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hidePivotFieldList="1"/>
  <mc:AlternateContent xmlns:mc="http://schemas.openxmlformats.org/markup-compatibility/2006">
    <mc:Choice Requires="x15">
      <x15ac:absPath xmlns:x15ac="http://schemas.microsoft.com/office/spreadsheetml/2010/11/ac" url="G:\NYT\MIS\April\Auto\"/>
    </mc:Choice>
  </mc:AlternateContent>
  <bookViews>
    <workbookView xWindow="0" yWindow="0" windowWidth="20490" windowHeight="6930" tabRatio="796" firstSheet="2" activeTab="3"/>
  </bookViews>
  <sheets>
    <sheet name="Supply to date 2026" sheetId="18" r:id="rId1"/>
    <sheet name="MTD &amp; YTD for Supply (SOUTH)" sheetId="126" r:id="rId2"/>
    <sheet name="MTD &amp; YTD for Supply(NORTH)" sheetId="162" r:id="rId3"/>
    <sheet name="DAILY TMH April 2026" sheetId="11" r:id="rId4"/>
    <sheet name="MIS April 2026" sheetId="155" r:id="rId5"/>
    <sheet name="Movements Summary" sheetId="170" r:id="rId6"/>
    <sheet name="Uploaded_Data" sheetId="167" r:id="rId7"/>
  </sheets>
  <definedNames>
    <definedName name="ExternalData_1" localSheetId="6" hidden="1">Uploaded_Data!$A$1:$O$9975</definedName>
    <definedName name="NativeTimeline_GrossDate">#N/A</definedName>
    <definedName name="NativeTimeline_GrossDate1">#N/A</definedName>
  </definedNames>
  <calcPr calcId="162913"/>
  <pivotCaches>
    <pivotCache cacheId="58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55" l="1"/>
  <c r="G11" i="155"/>
  <c r="J22" i="155"/>
  <c r="J16" i="155"/>
  <c r="J9" i="155"/>
  <c r="C39" i="162" l="1"/>
  <c r="C31" i="162"/>
  <c r="C5" i="162"/>
  <c r="M9" i="126"/>
  <c r="A52" i="18" l="1"/>
  <c r="A53" i="18"/>
  <c r="A54" i="18"/>
  <c r="A55" i="18"/>
  <c r="A56" i="18"/>
  <c r="A57" i="18"/>
  <c r="H5" i="11" l="1" a="1"/>
  <c r="H5" i="11" s="1"/>
  <c r="B35" i="11" a="1"/>
  <c r="B35" i="11" s="1"/>
  <c r="C35" i="11" a="1"/>
  <c r="C35" i="11" s="1"/>
  <c r="D35" i="11" a="1"/>
  <c r="D35" i="11" s="1"/>
  <c r="E35" i="11" a="1"/>
  <c r="E35" i="11" s="1"/>
  <c r="F35" i="11" a="1"/>
  <c r="F35" i="11" s="1"/>
  <c r="G35" i="11" a="1"/>
  <c r="G35" i="11" s="1"/>
  <c r="H35" i="11" a="1"/>
  <c r="H35" i="11" s="1"/>
  <c r="I35" i="11" a="1"/>
  <c r="I35" i="11" s="1"/>
  <c r="J35" i="11" a="1"/>
  <c r="J35" i="11" s="1"/>
  <c r="K35" i="11" a="1"/>
  <c r="K35" i="11" s="1"/>
  <c r="L35" i="11" a="1"/>
  <c r="L35" i="11" s="1"/>
  <c r="M35" i="11" a="1"/>
  <c r="M35" i="11" s="1"/>
  <c r="N35" i="11" a="1"/>
  <c r="N35" i="11" s="1"/>
  <c r="O35" i="11" a="1"/>
  <c r="O35" i="11" s="1"/>
  <c r="P35" i="11" a="1"/>
  <c r="P35" i="11" s="1"/>
  <c r="Q35" i="11" a="1"/>
  <c r="Q35" i="11" s="1"/>
  <c r="R35" i="11" a="1"/>
  <c r="R35" i="11" s="1"/>
  <c r="S35" i="11" a="1"/>
  <c r="S35" i="11" s="1"/>
  <c r="T35" i="11" a="1"/>
  <c r="T35" i="11" s="1"/>
  <c r="U35" i="11" a="1"/>
  <c r="U35" i="11" s="1"/>
  <c r="V35" i="11" a="1"/>
  <c r="V35" i="11" s="1"/>
  <c r="W35" i="11" a="1"/>
  <c r="W35" i="11" s="1"/>
  <c r="X35" i="11" a="1"/>
  <c r="X35" i="11" s="1"/>
  <c r="Y35" i="11" a="1"/>
  <c r="Y35" i="11" s="1"/>
  <c r="Z35" i="11" a="1"/>
  <c r="Z35" i="11" s="1"/>
  <c r="AA35" i="11" a="1"/>
  <c r="AA35" i="11" s="1"/>
  <c r="AB35" i="11" a="1"/>
  <c r="AB35" i="11" s="1"/>
  <c r="AC35" i="11" a="1"/>
  <c r="AC35" i="11" s="1"/>
  <c r="AD35" i="11" a="1"/>
  <c r="AD35" i="11" s="1"/>
  <c r="AE35" i="11" a="1"/>
  <c r="AE35" i="11" s="1"/>
  <c r="AF35" i="11" a="1"/>
  <c r="AF35" i="11" s="1"/>
  <c r="AG35" i="11" a="1"/>
  <c r="AG35" i="11" s="1"/>
  <c r="AH35" i="11" a="1"/>
  <c r="AH35" i="11" s="1"/>
  <c r="AI35" i="11" a="1"/>
  <c r="AI35" i="11" s="1"/>
  <c r="AJ35" i="11" a="1"/>
  <c r="AJ35" i="11" s="1"/>
  <c r="AK35" i="11" a="1"/>
  <c r="AK35" i="11" s="1"/>
  <c r="AL35" i="11" a="1"/>
  <c r="AL35" i="11" s="1"/>
  <c r="AM35" i="11" a="1"/>
  <c r="AM35" i="11" s="1"/>
  <c r="AP35" i="11" a="1"/>
  <c r="AP35" i="11" s="1"/>
  <c r="AQ35" i="11" a="1"/>
  <c r="AQ35" i="11" s="1"/>
  <c r="AR35" i="11" a="1"/>
  <c r="AR35" i="11" s="1"/>
  <c r="AS35" i="11" a="1"/>
  <c r="AS35" i="11" s="1"/>
  <c r="AT35" i="11" a="1"/>
  <c r="AT35" i="11" s="1"/>
  <c r="B34" i="11" a="1"/>
  <c r="B34" i="11" s="1"/>
  <c r="C34" i="11" a="1"/>
  <c r="C34" i="11" s="1"/>
  <c r="D34" i="11" a="1"/>
  <c r="D34" i="11" s="1"/>
  <c r="E34" i="11" a="1"/>
  <c r="E34" i="11" s="1"/>
  <c r="F34" i="11" a="1"/>
  <c r="F34" i="11" s="1"/>
  <c r="G34" i="11" a="1"/>
  <c r="G34" i="11" s="1"/>
  <c r="H34" i="11" a="1"/>
  <c r="H34" i="11" s="1"/>
  <c r="I34" i="11" a="1"/>
  <c r="I34" i="11" s="1"/>
  <c r="J34" i="11" a="1"/>
  <c r="J34" i="11" s="1"/>
  <c r="K34" i="11" a="1"/>
  <c r="K34" i="11" s="1"/>
  <c r="L34" i="11" a="1"/>
  <c r="L34" i="11" s="1"/>
  <c r="M34" i="11" a="1"/>
  <c r="M34" i="11" s="1"/>
  <c r="N34" i="11" a="1"/>
  <c r="N34" i="11" s="1"/>
  <c r="O34" i="11" a="1"/>
  <c r="O34" i="11" s="1"/>
  <c r="P34" i="11" a="1"/>
  <c r="P34" i="11" s="1"/>
  <c r="Q34" i="11" a="1"/>
  <c r="Q34" i="11" s="1"/>
  <c r="R34" i="11" a="1"/>
  <c r="R34" i="11" s="1"/>
  <c r="S34" i="11" a="1"/>
  <c r="S34" i="11" s="1"/>
  <c r="T34" i="11" a="1"/>
  <c r="T34" i="11" s="1"/>
  <c r="U34" i="11" a="1"/>
  <c r="U34" i="11" s="1"/>
  <c r="V34" i="11" a="1"/>
  <c r="V34" i="11" s="1"/>
  <c r="W34" i="11" a="1"/>
  <c r="W34" i="11" s="1"/>
  <c r="X34" i="11" a="1"/>
  <c r="X34" i="11" s="1"/>
  <c r="Y34" i="11" a="1"/>
  <c r="Y34" i="11" s="1"/>
  <c r="Z34" i="11" a="1"/>
  <c r="Z34" i="11" s="1"/>
  <c r="AA34" i="11" a="1"/>
  <c r="AA34" i="11" s="1"/>
  <c r="AB34" i="11" a="1"/>
  <c r="AB34" i="11" s="1"/>
  <c r="AC34" i="11" a="1"/>
  <c r="AC34" i="11" s="1"/>
  <c r="AD34" i="11" a="1"/>
  <c r="AD34" i="11" s="1"/>
  <c r="AE34" i="11" a="1"/>
  <c r="AE34" i="11" s="1"/>
  <c r="AF34" i="11" a="1"/>
  <c r="AF34" i="11" s="1"/>
  <c r="AG34" i="11" a="1"/>
  <c r="AG34" i="11" s="1"/>
  <c r="AH34" i="11" a="1"/>
  <c r="AH34" i="11" s="1"/>
  <c r="AI34" i="11" a="1"/>
  <c r="AI34" i="11" s="1"/>
  <c r="AJ34" i="11" a="1"/>
  <c r="AJ34" i="11" s="1"/>
  <c r="AK34" i="11" a="1"/>
  <c r="AK34" i="11" s="1"/>
  <c r="AL34" i="11" a="1"/>
  <c r="AL34" i="11" s="1"/>
  <c r="AM34" i="11" a="1"/>
  <c r="AM34" i="11" s="1"/>
  <c r="AP34" i="11" a="1"/>
  <c r="AP34" i="11" s="1"/>
  <c r="AQ34" i="11" a="1"/>
  <c r="AQ34" i="11" s="1"/>
  <c r="AR34" i="11" a="1"/>
  <c r="AR34" i="11" s="1"/>
  <c r="AS34" i="11" a="1"/>
  <c r="AS34" i="11" s="1"/>
  <c r="AT34" i="11" a="1"/>
  <c r="AT34" i="11" s="1"/>
  <c r="B33" i="11" a="1"/>
  <c r="B33" i="11" s="1"/>
  <c r="C33" i="11" a="1"/>
  <c r="C33" i="11" s="1"/>
  <c r="D33" i="11" a="1"/>
  <c r="D33" i="11" s="1"/>
  <c r="E33" i="11" a="1"/>
  <c r="E33" i="11" s="1"/>
  <c r="F33" i="11" a="1"/>
  <c r="F33" i="11" s="1"/>
  <c r="G33" i="11" a="1"/>
  <c r="G33" i="11" s="1"/>
  <c r="H33" i="11" a="1"/>
  <c r="H33" i="11" s="1"/>
  <c r="I33" i="11" a="1"/>
  <c r="I33" i="11" s="1"/>
  <c r="J33" i="11" a="1"/>
  <c r="J33" i="11" s="1"/>
  <c r="K33" i="11" a="1"/>
  <c r="K33" i="11" s="1"/>
  <c r="L33" i="11" a="1"/>
  <c r="L33" i="11" s="1"/>
  <c r="M33" i="11" a="1"/>
  <c r="M33" i="11" s="1"/>
  <c r="N33" i="11" a="1"/>
  <c r="N33" i="11" s="1"/>
  <c r="O33" i="11" a="1"/>
  <c r="O33" i="11" s="1"/>
  <c r="P33" i="11" a="1"/>
  <c r="P33" i="11" s="1"/>
  <c r="Q33" i="11" a="1"/>
  <c r="Q33" i="11" s="1"/>
  <c r="R33" i="11" a="1"/>
  <c r="R33" i="11" s="1"/>
  <c r="S33" i="11" a="1"/>
  <c r="S33" i="11" s="1"/>
  <c r="T33" i="11" a="1"/>
  <c r="T33" i="11" s="1"/>
  <c r="U33" i="11" a="1"/>
  <c r="U33" i="11" s="1"/>
  <c r="V33" i="11" a="1"/>
  <c r="V33" i="11" s="1"/>
  <c r="W33" i="11" a="1"/>
  <c r="W33" i="11" s="1"/>
  <c r="X33" i="11" a="1"/>
  <c r="X33" i="11" s="1"/>
  <c r="Y33" i="11" a="1"/>
  <c r="Y33" i="11" s="1"/>
  <c r="Z33" i="11" a="1"/>
  <c r="Z33" i="11" s="1"/>
  <c r="AA33" i="11" a="1"/>
  <c r="AA33" i="11" s="1"/>
  <c r="AB33" i="11" a="1"/>
  <c r="AB33" i="11" s="1"/>
  <c r="AC33" i="11" a="1"/>
  <c r="AC33" i="11" s="1"/>
  <c r="AD33" i="11" a="1"/>
  <c r="AD33" i="11" s="1"/>
  <c r="AE33" i="11" a="1"/>
  <c r="AE33" i="11" s="1"/>
  <c r="AF33" i="11" a="1"/>
  <c r="AF33" i="11" s="1"/>
  <c r="AG33" i="11" a="1"/>
  <c r="AG33" i="11" s="1"/>
  <c r="AH33" i="11" a="1"/>
  <c r="AH33" i="11" s="1"/>
  <c r="AI33" i="11" a="1"/>
  <c r="AI33" i="11" s="1"/>
  <c r="AJ33" i="11" a="1"/>
  <c r="AJ33" i="11" s="1"/>
  <c r="AK33" i="11" a="1"/>
  <c r="AK33" i="11" s="1"/>
  <c r="AL33" i="11" a="1"/>
  <c r="AL33" i="11" s="1"/>
  <c r="AM33" i="11" a="1"/>
  <c r="AM33" i="11" s="1"/>
  <c r="AP33" i="11" a="1"/>
  <c r="AP33" i="11" s="1"/>
  <c r="AQ33" i="11" a="1"/>
  <c r="AQ33" i="11" s="1"/>
  <c r="AR33" i="11" a="1"/>
  <c r="AR33" i="11" s="1"/>
  <c r="AS33" i="11" a="1"/>
  <c r="AS33" i="11" s="1"/>
  <c r="AT33" i="11" a="1"/>
  <c r="AT33" i="11" s="1"/>
  <c r="B32" i="11" a="1"/>
  <c r="B32" i="11" s="1"/>
  <c r="C32" i="11" a="1"/>
  <c r="C32" i="11" s="1"/>
  <c r="D32" i="11" a="1"/>
  <c r="D32" i="11" s="1"/>
  <c r="E32" i="11" a="1"/>
  <c r="E32" i="11" s="1"/>
  <c r="F32" i="11" a="1"/>
  <c r="F32" i="11" s="1"/>
  <c r="G32" i="11" a="1"/>
  <c r="G32" i="11" s="1"/>
  <c r="H32" i="11" a="1"/>
  <c r="H32" i="11" s="1"/>
  <c r="I32" i="11" a="1"/>
  <c r="I32" i="11" s="1"/>
  <c r="J32" i="11" a="1"/>
  <c r="J32" i="11" s="1"/>
  <c r="K32" i="11" a="1"/>
  <c r="K32" i="11" s="1"/>
  <c r="L32" i="11" a="1"/>
  <c r="L32" i="11" s="1"/>
  <c r="M32" i="11" a="1"/>
  <c r="M32" i="11" s="1"/>
  <c r="N32" i="11" a="1"/>
  <c r="N32" i="11" s="1"/>
  <c r="O32" i="11" a="1"/>
  <c r="O32" i="11" s="1"/>
  <c r="P32" i="11" a="1"/>
  <c r="P32" i="11" s="1"/>
  <c r="Q32" i="11" a="1"/>
  <c r="Q32" i="11" s="1"/>
  <c r="R32" i="11" a="1"/>
  <c r="R32" i="11" s="1"/>
  <c r="S32" i="11" a="1"/>
  <c r="S32" i="11" s="1"/>
  <c r="T32" i="11" a="1"/>
  <c r="T32" i="11" s="1"/>
  <c r="U32" i="11" a="1"/>
  <c r="U32" i="11" s="1"/>
  <c r="V32" i="11" a="1"/>
  <c r="V32" i="11" s="1"/>
  <c r="W32" i="11" a="1"/>
  <c r="W32" i="11" s="1"/>
  <c r="X32" i="11" a="1"/>
  <c r="X32" i="11" s="1"/>
  <c r="Y32" i="11" a="1"/>
  <c r="Y32" i="11" s="1"/>
  <c r="Z32" i="11" a="1"/>
  <c r="Z32" i="11" s="1"/>
  <c r="AA32" i="11" a="1"/>
  <c r="AA32" i="11" s="1"/>
  <c r="AB32" i="11" a="1"/>
  <c r="AB32" i="11" s="1"/>
  <c r="AC32" i="11" a="1"/>
  <c r="AC32" i="11" s="1"/>
  <c r="AD32" i="11" a="1"/>
  <c r="AD32" i="11" s="1"/>
  <c r="AE32" i="11" a="1"/>
  <c r="AE32" i="11" s="1"/>
  <c r="AF32" i="11" a="1"/>
  <c r="AF32" i="11" s="1"/>
  <c r="AG32" i="11" a="1"/>
  <c r="AG32" i="11" s="1"/>
  <c r="AH32" i="11" a="1"/>
  <c r="AH32" i="11" s="1"/>
  <c r="AI32" i="11" a="1"/>
  <c r="AI32" i="11" s="1"/>
  <c r="AJ32" i="11" a="1"/>
  <c r="AJ32" i="11" s="1"/>
  <c r="AK32" i="11" a="1"/>
  <c r="AK32" i="11" s="1"/>
  <c r="AL32" i="11" a="1"/>
  <c r="AL32" i="11" s="1"/>
  <c r="AM32" i="11" a="1"/>
  <c r="AM32" i="11" s="1"/>
  <c r="AP32" i="11" a="1"/>
  <c r="AP32" i="11" s="1"/>
  <c r="AQ32" i="11" a="1"/>
  <c r="AQ32" i="11" s="1"/>
  <c r="AR32" i="11" a="1"/>
  <c r="AR32" i="11" s="1"/>
  <c r="AS32" i="11" a="1"/>
  <c r="AS32" i="11" s="1"/>
  <c r="AT32" i="11" a="1"/>
  <c r="AT32" i="11" s="1"/>
  <c r="B31" i="11" a="1"/>
  <c r="B31" i="11" s="1"/>
  <c r="C31" i="11" a="1"/>
  <c r="C31" i="11" s="1"/>
  <c r="D31" i="11" a="1"/>
  <c r="D31" i="11" s="1"/>
  <c r="E31" i="11" a="1"/>
  <c r="E31" i="11" s="1"/>
  <c r="F31" i="11" a="1"/>
  <c r="F31" i="11" s="1"/>
  <c r="G31" i="11" a="1"/>
  <c r="G31" i="11" s="1"/>
  <c r="H31" i="11" a="1"/>
  <c r="H31" i="11" s="1"/>
  <c r="I31" i="11" a="1"/>
  <c r="I31" i="11" s="1"/>
  <c r="J31" i="11" a="1"/>
  <c r="J31" i="11" s="1"/>
  <c r="K31" i="11" a="1"/>
  <c r="K31" i="11" s="1"/>
  <c r="L31" i="11" a="1"/>
  <c r="L31" i="11" s="1"/>
  <c r="M31" i="11" a="1"/>
  <c r="M31" i="11" s="1"/>
  <c r="N31" i="11" a="1"/>
  <c r="N31" i="11" s="1"/>
  <c r="O31" i="11" a="1"/>
  <c r="O31" i="11" s="1"/>
  <c r="P31" i="11" a="1"/>
  <c r="P31" i="11" s="1"/>
  <c r="Q31" i="11" a="1"/>
  <c r="Q31" i="11" s="1"/>
  <c r="R31" i="11" a="1"/>
  <c r="R31" i="11" s="1"/>
  <c r="S31" i="11" a="1"/>
  <c r="S31" i="11" s="1"/>
  <c r="T31" i="11" a="1"/>
  <c r="T31" i="11" s="1"/>
  <c r="U31" i="11" a="1"/>
  <c r="U31" i="11" s="1"/>
  <c r="V31" i="11" a="1"/>
  <c r="V31" i="11" s="1"/>
  <c r="W31" i="11" a="1"/>
  <c r="W31" i="11" s="1"/>
  <c r="X31" i="11" a="1"/>
  <c r="X31" i="11" s="1"/>
  <c r="Y31" i="11" a="1"/>
  <c r="Y31" i="11" s="1"/>
  <c r="Z31" i="11" a="1"/>
  <c r="Z31" i="11" s="1"/>
  <c r="AA31" i="11" a="1"/>
  <c r="AA31" i="11" s="1"/>
  <c r="AB31" i="11" a="1"/>
  <c r="AB31" i="11" s="1"/>
  <c r="AC31" i="11" a="1"/>
  <c r="AC31" i="11" s="1"/>
  <c r="AD31" i="11" a="1"/>
  <c r="AD31" i="11" s="1"/>
  <c r="AE31" i="11" a="1"/>
  <c r="AE31" i="11" s="1"/>
  <c r="AF31" i="11" a="1"/>
  <c r="AF31" i="11" s="1"/>
  <c r="AG31" i="11" a="1"/>
  <c r="AG31" i="11" s="1"/>
  <c r="AH31" i="11" a="1"/>
  <c r="AH31" i="11" s="1"/>
  <c r="AI31" i="11" a="1"/>
  <c r="AI31" i="11" s="1"/>
  <c r="AJ31" i="11" a="1"/>
  <c r="AJ31" i="11" s="1"/>
  <c r="AK31" i="11" a="1"/>
  <c r="AK31" i="11" s="1"/>
  <c r="AL31" i="11" a="1"/>
  <c r="AL31" i="11" s="1"/>
  <c r="AM31" i="11" a="1"/>
  <c r="AM31" i="11" s="1"/>
  <c r="AP31" i="11" a="1"/>
  <c r="AP31" i="11" s="1"/>
  <c r="AQ31" i="11" a="1"/>
  <c r="AQ31" i="11" s="1"/>
  <c r="AR31" i="11" a="1"/>
  <c r="AR31" i="11" s="1"/>
  <c r="AS31" i="11" a="1"/>
  <c r="AS31" i="11" s="1"/>
  <c r="AT31" i="11" a="1"/>
  <c r="AT31" i="11" s="1"/>
  <c r="B30" i="11" a="1"/>
  <c r="B30" i="11" s="1"/>
  <c r="C30" i="11" a="1"/>
  <c r="C30" i="11" s="1"/>
  <c r="D30" i="11" a="1"/>
  <c r="D30" i="11" s="1"/>
  <c r="E30" i="11" a="1"/>
  <c r="E30" i="11" s="1"/>
  <c r="F30" i="11" a="1"/>
  <c r="F30" i="11" s="1"/>
  <c r="G30" i="11" a="1"/>
  <c r="G30" i="11" s="1"/>
  <c r="H30" i="11" a="1"/>
  <c r="H30" i="11" s="1"/>
  <c r="I30" i="11" a="1"/>
  <c r="I30" i="11" s="1"/>
  <c r="J30" i="11" a="1"/>
  <c r="J30" i="11" s="1"/>
  <c r="K30" i="11" a="1"/>
  <c r="K30" i="11" s="1"/>
  <c r="L30" i="11" a="1"/>
  <c r="L30" i="11" s="1"/>
  <c r="M30" i="11" a="1"/>
  <c r="M30" i="11" s="1"/>
  <c r="N30" i="11" a="1"/>
  <c r="N30" i="11" s="1"/>
  <c r="O30" i="11" a="1"/>
  <c r="O30" i="11" s="1"/>
  <c r="P30" i="11" a="1"/>
  <c r="P30" i="11" s="1"/>
  <c r="Q30" i="11" a="1"/>
  <c r="Q30" i="11" s="1"/>
  <c r="R30" i="11" a="1"/>
  <c r="R30" i="11" s="1"/>
  <c r="S30" i="11" a="1"/>
  <c r="S30" i="11" s="1"/>
  <c r="T30" i="11" a="1"/>
  <c r="T30" i="11" s="1"/>
  <c r="U30" i="11" a="1"/>
  <c r="U30" i="11" s="1"/>
  <c r="V30" i="11" a="1"/>
  <c r="V30" i="11" s="1"/>
  <c r="W30" i="11" a="1"/>
  <c r="W30" i="11" s="1"/>
  <c r="X30" i="11" a="1"/>
  <c r="X30" i="11" s="1"/>
  <c r="Y30" i="11" a="1"/>
  <c r="Y30" i="11" s="1"/>
  <c r="Z30" i="11" a="1"/>
  <c r="Z30" i="11" s="1"/>
  <c r="AA30" i="11" a="1"/>
  <c r="AA30" i="11" s="1"/>
  <c r="AB30" i="11" a="1"/>
  <c r="AB30" i="11" s="1"/>
  <c r="AC30" i="11" a="1"/>
  <c r="AC30" i="11" s="1"/>
  <c r="AD30" i="11" a="1"/>
  <c r="AD30" i="11" s="1"/>
  <c r="AE30" i="11" a="1"/>
  <c r="AE30" i="11" s="1"/>
  <c r="AF30" i="11" a="1"/>
  <c r="AF30" i="11" s="1"/>
  <c r="AG30" i="11" a="1"/>
  <c r="AG30" i="11" s="1"/>
  <c r="AH30" i="11" a="1"/>
  <c r="AH30" i="11" s="1"/>
  <c r="AI30" i="11" a="1"/>
  <c r="AI30" i="11" s="1"/>
  <c r="AJ30" i="11" a="1"/>
  <c r="AJ30" i="11" s="1"/>
  <c r="AK30" i="11" a="1"/>
  <c r="AK30" i="11" s="1"/>
  <c r="AL30" i="11" a="1"/>
  <c r="AL30" i="11" s="1"/>
  <c r="AM30" i="11" a="1"/>
  <c r="AM30" i="11" s="1"/>
  <c r="AP30" i="11" a="1"/>
  <c r="AP30" i="11" s="1"/>
  <c r="AQ30" i="11" a="1"/>
  <c r="AQ30" i="11" s="1"/>
  <c r="AR30" i="11" a="1"/>
  <c r="AR30" i="11" s="1"/>
  <c r="AS30" i="11" a="1"/>
  <c r="AS30" i="11" s="1"/>
  <c r="AT30" i="11" a="1"/>
  <c r="AT30" i="11" s="1"/>
  <c r="B29" i="11" a="1"/>
  <c r="B29" i="11" s="1"/>
  <c r="C29" i="11" a="1"/>
  <c r="C29" i="11" s="1"/>
  <c r="D29" i="11" a="1"/>
  <c r="D29" i="11" s="1"/>
  <c r="E29" i="11" a="1"/>
  <c r="E29" i="11" s="1"/>
  <c r="F29" i="11" a="1"/>
  <c r="F29" i="11" s="1"/>
  <c r="G29" i="11" a="1"/>
  <c r="G29" i="11" s="1"/>
  <c r="H29" i="11" a="1"/>
  <c r="H29" i="11" s="1"/>
  <c r="I29" i="11" a="1"/>
  <c r="I29" i="11" s="1"/>
  <c r="J29" i="11" a="1"/>
  <c r="J29" i="11" s="1"/>
  <c r="K29" i="11" a="1"/>
  <c r="K29" i="11" s="1"/>
  <c r="L29" i="11" a="1"/>
  <c r="L29" i="11" s="1"/>
  <c r="M29" i="11" a="1"/>
  <c r="M29" i="11" s="1"/>
  <c r="N29" i="11" a="1"/>
  <c r="N29" i="11" s="1"/>
  <c r="O29" i="11" a="1"/>
  <c r="O29" i="11" s="1"/>
  <c r="P29" i="11" a="1"/>
  <c r="P29" i="11" s="1"/>
  <c r="Q29" i="11" a="1"/>
  <c r="Q29" i="11" s="1"/>
  <c r="R29" i="11" a="1"/>
  <c r="R29" i="11" s="1"/>
  <c r="S29" i="11" a="1"/>
  <c r="S29" i="11" s="1"/>
  <c r="T29" i="11" a="1"/>
  <c r="T29" i="11" s="1"/>
  <c r="U29" i="11" a="1"/>
  <c r="U29" i="11" s="1"/>
  <c r="V29" i="11" a="1"/>
  <c r="V29" i="11" s="1"/>
  <c r="W29" i="11" a="1"/>
  <c r="W29" i="11" s="1"/>
  <c r="X29" i="11" a="1"/>
  <c r="X29" i="11" s="1"/>
  <c r="Y29" i="11" a="1"/>
  <c r="Y29" i="11" s="1"/>
  <c r="Z29" i="11" a="1"/>
  <c r="Z29" i="11" s="1"/>
  <c r="AA29" i="11" a="1"/>
  <c r="AA29" i="11" s="1"/>
  <c r="AB29" i="11" a="1"/>
  <c r="AB29" i="11" s="1"/>
  <c r="AC29" i="11" a="1"/>
  <c r="AC29" i="11" s="1"/>
  <c r="AD29" i="11" a="1"/>
  <c r="AD29" i="11" s="1"/>
  <c r="AE29" i="11" a="1"/>
  <c r="AE29" i="11" s="1"/>
  <c r="AF29" i="11" a="1"/>
  <c r="AF29" i="11" s="1"/>
  <c r="AG29" i="11" a="1"/>
  <c r="AG29" i="11" s="1"/>
  <c r="AH29" i="11" a="1"/>
  <c r="AH29" i="11" s="1"/>
  <c r="AI29" i="11" a="1"/>
  <c r="AI29" i="11" s="1"/>
  <c r="AJ29" i="11" a="1"/>
  <c r="AJ29" i="11" s="1"/>
  <c r="AK29" i="11" a="1"/>
  <c r="AK29" i="11" s="1"/>
  <c r="AL29" i="11" a="1"/>
  <c r="AL29" i="11" s="1"/>
  <c r="AM29" i="11" a="1"/>
  <c r="AM29" i="11" s="1"/>
  <c r="AP29" i="11" a="1"/>
  <c r="AP29" i="11" s="1"/>
  <c r="AQ29" i="11" a="1"/>
  <c r="AQ29" i="11" s="1"/>
  <c r="AR29" i="11" a="1"/>
  <c r="AR29" i="11" s="1"/>
  <c r="AS29" i="11" a="1"/>
  <c r="AS29" i="11" s="1"/>
  <c r="AT29" i="11" a="1"/>
  <c r="AT29" i="11" s="1"/>
  <c r="B28" i="11" a="1"/>
  <c r="B28" i="11" s="1"/>
  <c r="C28" i="11" a="1"/>
  <c r="C28" i="11" s="1"/>
  <c r="D28" i="11" a="1"/>
  <c r="D28" i="11" s="1"/>
  <c r="E28" i="11" a="1"/>
  <c r="E28" i="11" s="1"/>
  <c r="F28" i="11" a="1"/>
  <c r="F28" i="11" s="1"/>
  <c r="G28" i="11" a="1"/>
  <c r="G28" i="11" s="1"/>
  <c r="H28" i="11" a="1"/>
  <c r="H28" i="11" s="1"/>
  <c r="I28" i="11" a="1"/>
  <c r="I28" i="11" s="1"/>
  <c r="J28" i="11" a="1"/>
  <c r="J28" i="11" s="1"/>
  <c r="K28" i="11" a="1"/>
  <c r="K28" i="11" s="1"/>
  <c r="L28" i="11" a="1"/>
  <c r="L28" i="11" s="1"/>
  <c r="M28" i="11" a="1"/>
  <c r="M28" i="11" s="1"/>
  <c r="N28" i="11" a="1"/>
  <c r="N28" i="11" s="1"/>
  <c r="O28" i="11" a="1"/>
  <c r="O28" i="11" s="1"/>
  <c r="P28" i="11" a="1"/>
  <c r="P28" i="11" s="1"/>
  <c r="Q28" i="11" a="1"/>
  <c r="Q28" i="11" s="1"/>
  <c r="R28" i="11" a="1"/>
  <c r="R28" i="11" s="1"/>
  <c r="S28" i="11" a="1"/>
  <c r="S28" i="11" s="1"/>
  <c r="T28" i="11" a="1"/>
  <c r="T28" i="11" s="1"/>
  <c r="U28" i="11" a="1"/>
  <c r="U28" i="11" s="1"/>
  <c r="V28" i="11" a="1"/>
  <c r="V28" i="11" s="1"/>
  <c r="W28" i="11" a="1"/>
  <c r="W28" i="11" s="1"/>
  <c r="X28" i="11" a="1"/>
  <c r="X28" i="11" s="1"/>
  <c r="Y28" i="11" a="1"/>
  <c r="Y28" i="11" s="1"/>
  <c r="Z28" i="11" a="1"/>
  <c r="Z28" i="11" s="1"/>
  <c r="AA28" i="11" a="1"/>
  <c r="AA28" i="11" s="1"/>
  <c r="AB28" i="11" a="1"/>
  <c r="AB28" i="11" s="1"/>
  <c r="AC28" i="11" a="1"/>
  <c r="AC28" i="11" s="1"/>
  <c r="AD28" i="11" a="1"/>
  <c r="AD28" i="11" s="1"/>
  <c r="AE28" i="11" a="1"/>
  <c r="AE28" i="11" s="1"/>
  <c r="AF28" i="11" a="1"/>
  <c r="AF28" i="11" s="1"/>
  <c r="AG28" i="11" a="1"/>
  <c r="AG28" i="11" s="1"/>
  <c r="AH28" i="11" a="1"/>
  <c r="AH28" i="11" s="1"/>
  <c r="AI28" i="11" a="1"/>
  <c r="AI28" i="11" s="1"/>
  <c r="AJ28" i="11" a="1"/>
  <c r="AJ28" i="11" s="1"/>
  <c r="AK28" i="11" a="1"/>
  <c r="AK28" i="11" s="1"/>
  <c r="AL28" i="11" a="1"/>
  <c r="AL28" i="11" s="1"/>
  <c r="AM28" i="11" a="1"/>
  <c r="AM28" i="11" s="1"/>
  <c r="AP28" i="11" a="1"/>
  <c r="AP28" i="11" s="1"/>
  <c r="AQ28" i="11" a="1"/>
  <c r="AQ28" i="11" s="1"/>
  <c r="AR28" i="11" a="1"/>
  <c r="AR28" i="11" s="1"/>
  <c r="AS28" i="11" a="1"/>
  <c r="AS28" i="11" s="1"/>
  <c r="AT28" i="11" a="1"/>
  <c r="AT28" i="11" s="1"/>
  <c r="B27" i="11" a="1"/>
  <c r="B27" i="11" s="1"/>
  <c r="C27" i="11" a="1"/>
  <c r="C27" i="11" s="1"/>
  <c r="D27" i="11" a="1"/>
  <c r="D27" i="11" s="1"/>
  <c r="E27" i="11" a="1"/>
  <c r="E27" i="11" s="1"/>
  <c r="F27" i="11" a="1"/>
  <c r="F27" i="11" s="1"/>
  <c r="G27" i="11" a="1"/>
  <c r="G27" i="11" s="1"/>
  <c r="H27" i="11" a="1"/>
  <c r="H27" i="11" s="1"/>
  <c r="I27" i="11" a="1"/>
  <c r="I27" i="11" s="1"/>
  <c r="J27" i="11" a="1"/>
  <c r="J27" i="11" s="1"/>
  <c r="K27" i="11" a="1"/>
  <c r="K27" i="11" s="1"/>
  <c r="L27" i="11" a="1"/>
  <c r="L27" i="11" s="1"/>
  <c r="M27" i="11" a="1"/>
  <c r="M27" i="11" s="1"/>
  <c r="N27" i="11" a="1"/>
  <c r="N27" i="11" s="1"/>
  <c r="O27" i="11" a="1"/>
  <c r="O27" i="11" s="1"/>
  <c r="P27" i="11" a="1"/>
  <c r="P27" i="11" s="1"/>
  <c r="Q27" i="11" a="1"/>
  <c r="Q27" i="11" s="1"/>
  <c r="R27" i="11" a="1"/>
  <c r="R27" i="11" s="1"/>
  <c r="S27" i="11" a="1"/>
  <c r="S27" i="11" s="1"/>
  <c r="T27" i="11" a="1"/>
  <c r="T27" i="11" s="1"/>
  <c r="U27" i="11" a="1"/>
  <c r="U27" i="11" s="1"/>
  <c r="V27" i="11" a="1"/>
  <c r="V27" i="11" s="1"/>
  <c r="W27" i="11" a="1"/>
  <c r="W27" i="11" s="1"/>
  <c r="X27" i="11" a="1"/>
  <c r="X27" i="11" s="1"/>
  <c r="Y27" i="11" a="1"/>
  <c r="Y27" i="11" s="1"/>
  <c r="Z27" i="11" a="1"/>
  <c r="Z27" i="11" s="1"/>
  <c r="AA27" i="11" a="1"/>
  <c r="AA27" i="11" s="1"/>
  <c r="AB27" i="11" a="1"/>
  <c r="AB27" i="11" s="1"/>
  <c r="AC27" i="11" a="1"/>
  <c r="AC27" i="11" s="1"/>
  <c r="AD27" i="11" a="1"/>
  <c r="AD27" i="11" s="1"/>
  <c r="AE27" i="11" a="1"/>
  <c r="AE27" i="11" s="1"/>
  <c r="AF27" i="11" a="1"/>
  <c r="AF27" i="11" s="1"/>
  <c r="AG27" i="11" a="1"/>
  <c r="AG27" i="11" s="1"/>
  <c r="AH27" i="11" a="1"/>
  <c r="AH27" i="11" s="1"/>
  <c r="AI27" i="11" a="1"/>
  <c r="AI27" i="11" s="1"/>
  <c r="AJ27" i="11" a="1"/>
  <c r="AJ27" i="11" s="1"/>
  <c r="AK27" i="11" a="1"/>
  <c r="AK27" i="11" s="1"/>
  <c r="AL27" i="11" a="1"/>
  <c r="AL27" i="11" s="1"/>
  <c r="AM27" i="11" a="1"/>
  <c r="AM27" i="11" s="1"/>
  <c r="AP27" i="11" a="1"/>
  <c r="AP27" i="11" s="1"/>
  <c r="AQ27" i="11" a="1"/>
  <c r="AQ27" i="11" s="1"/>
  <c r="AR27" i="11" a="1"/>
  <c r="AR27" i="11" s="1"/>
  <c r="AS27" i="11" a="1"/>
  <c r="AS27" i="11" s="1"/>
  <c r="AT27" i="11" a="1"/>
  <c r="AT27" i="11" s="1"/>
  <c r="B26" i="11" a="1"/>
  <c r="B26" i="11" s="1"/>
  <c r="C26" i="11" a="1"/>
  <c r="C26" i="11" s="1"/>
  <c r="D26" i="11" a="1"/>
  <c r="D26" i="11" s="1"/>
  <c r="E26" i="11" a="1"/>
  <c r="E26" i="11" s="1"/>
  <c r="F26" i="11" a="1"/>
  <c r="F26" i="11" s="1"/>
  <c r="G26" i="11" a="1"/>
  <c r="G26" i="11" s="1"/>
  <c r="H26" i="11" a="1"/>
  <c r="H26" i="11" s="1"/>
  <c r="I26" i="11" a="1"/>
  <c r="I26" i="11" s="1"/>
  <c r="J26" i="11" a="1"/>
  <c r="J26" i="11" s="1"/>
  <c r="K26" i="11" a="1"/>
  <c r="K26" i="11" s="1"/>
  <c r="L26" i="11" a="1"/>
  <c r="L26" i="11" s="1"/>
  <c r="M26" i="11" a="1"/>
  <c r="M26" i="11" s="1"/>
  <c r="N26" i="11" a="1"/>
  <c r="N26" i="11" s="1"/>
  <c r="O26" i="11" a="1"/>
  <c r="O26" i="11" s="1"/>
  <c r="P26" i="11" a="1"/>
  <c r="P26" i="11" s="1"/>
  <c r="Q26" i="11" a="1"/>
  <c r="Q26" i="11" s="1"/>
  <c r="R26" i="11" a="1"/>
  <c r="R26" i="11" s="1"/>
  <c r="S26" i="11" a="1"/>
  <c r="S26" i="11" s="1"/>
  <c r="T26" i="11" a="1"/>
  <c r="T26" i="11" s="1"/>
  <c r="U26" i="11" a="1"/>
  <c r="U26" i="11" s="1"/>
  <c r="V26" i="11" a="1"/>
  <c r="V26" i="11" s="1"/>
  <c r="W26" i="11" a="1"/>
  <c r="W26" i="11" s="1"/>
  <c r="X26" i="11" a="1"/>
  <c r="X26" i="11" s="1"/>
  <c r="Y26" i="11" a="1"/>
  <c r="Y26" i="11" s="1"/>
  <c r="Z26" i="11" a="1"/>
  <c r="Z26" i="11" s="1"/>
  <c r="AA26" i="11" a="1"/>
  <c r="AA26" i="11" s="1"/>
  <c r="AB26" i="11" a="1"/>
  <c r="AB26" i="11" s="1"/>
  <c r="AC26" i="11" a="1"/>
  <c r="AC26" i="11" s="1"/>
  <c r="AD26" i="11" a="1"/>
  <c r="AD26" i="11" s="1"/>
  <c r="AE26" i="11" a="1"/>
  <c r="AE26" i="11" s="1"/>
  <c r="AF26" i="11" a="1"/>
  <c r="AF26" i="11" s="1"/>
  <c r="AG26" i="11" a="1"/>
  <c r="AG26" i="11" s="1"/>
  <c r="AH26" i="11" a="1"/>
  <c r="AH26" i="11" s="1"/>
  <c r="AI26" i="11" a="1"/>
  <c r="AI26" i="11" s="1"/>
  <c r="AJ26" i="11" a="1"/>
  <c r="AJ26" i="11" s="1"/>
  <c r="AK26" i="11" a="1"/>
  <c r="AK26" i="11" s="1"/>
  <c r="AL26" i="11" a="1"/>
  <c r="AL26" i="11" s="1"/>
  <c r="AM26" i="11" a="1"/>
  <c r="AM26" i="11" s="1"/>
  <c r="AP26" i="11" a="1"/>
  <c r="AP26" i="11" s="1"/>
  <c r="AQ26" i="11" a="1"/>
  <c r="AQ26" i="11" s="1"/>
  <c r="AR26" i="11" a="1"/>
  <c r="AR26" i="11" s="1"/>
  <c r="AS26" i="11" a="1"/>
  <c r="AS26" i="11" s="1"/>
  <c r="AT26" i="11" a="1"/>
  <c r="AT26" i="11" s="1"/>
  <c r="B25" i="11" a="1"/>
  <c r="B25" i="11" s="1"/>
  <c r="C25" i="11" a="1"/>
  <c r="C25" i="11" s="1"/>
  <c r="D25" i="11" a="1"/>
  <c r="D25" i="11" s="1"/>
  <c r="E25" i="11" a="1"/>
  <c r="E25" i="11" s="1"/>
  <c r="F25" i="11" a="1"/>
  <c r="F25" i="11" s="1"/>
  <c r="G25" i="11" a="1"/>
  <c r="G25" i="11" s="1"/>
  <c r="H25" i="11" a="1"/>
  <c r="H25" i="11" s="1"/>
  <c r="I25" i="11" a="1"/>
  <c r="I25" i="11" s="1"/>
  <c r="J25" i="11" a="1"/>
  <c r="J25" i="11" s="1"/>
  <c r="K25" i="11" a="1"/>
  <c r="K25" i="11" s="1"/>
  <c r="L25" i="11" a="1"/>
  <c r="L25" i="11" s="1"/>
  <c r="M25" i="11" a="1"/>
  <c r="M25" i="11" s="1"/>
  <c r="N25" i="11" a="1"/>
  <c r="N25" i="11" s="1"/>
  <c r="O25" i="11" a="1"/>
  <c r="O25" i="11" s="1"/>
  <c r="P25" i="11" a="1"/>
  <c r="P25" i="11" s="1"/>
  <c r="Q25" i="11" a="1"/>
  <c r="Q25" i="11" s="1"/>
  <c r="R25" i="11" a="1"/>
  <c r="R25" i="11" s="1"/>
  <c r="S25" i="11" a="1"/>
  <c r="S25" i="11" s="1"/>
  <c r="T25" i="11" a="1"/>
  <c r="T25" i="11" s="1"/>
  <c r="U25" i="11" a="1"/>
  <c r="U25" i="11" s="1"/>
  <c r="V25" i="11" a="1"/>
  <c r="V25" i="11" s="1"/>
  <c r="W25" i="11" a="1"/>
  <c r="W25" i="11" s="1"/>
  <c r="X25" i="11" a="1"/>
  <c r="X25" i="11" s="1"/>
  <c r="Y25" i="11" a="1"/>
  <c r="Y25" i="11" s="1"/>
  <c r="Z25" i="11" a="1"/>
  <c r="Z25" i="11" s="1"/>
  <c r="AA25" i="11" a="1"/>
  <c r="AA25" i="11" s="1"/>
  <c r="AB25" i="11" a="1"/>
  <c r="AB25" i="11" s="1"/>
  <c r="AC25" i="11" a="1"/>
  <c r="AC25" i="11" s="1"/>
  <c r="AD25" i="11" a="1"/>
  <c r="AD25" i="11" s="1"/>
  <c r="AE25" i="11" a="1"/>
  <c r="AE25" i="11" s="1"/>
  <c r="AF25" i="11" a="1"/>
  <c r="AF25" i="11" s="1"/>
  <c r="AG25" i="11" a="1"/>
  <c r="AG25" i="11" s="1"/>
  <c r="AH25" i="11" a="1"/>
  <c r="AH25" i="11" s="1"/>
  <c r="AI25" i="11" a="1"/>
  <c r="AI25" i="11" s="1"/>
  <c r="AJ25" i="11" a="1"/>
  <c r="AJ25" i="11" s="1"/>
  <c r="AK25" i="11" a="1"/>
  <c r="AK25" i="11" s="1"/>
  <c r="AL25" i="11" a="1"/>
  <c r="AL25" i="11" s="1"/>
  <c r="AM25" i="11" a="1"/>
  <c r="AM25" i="11" s="1"/>
  <c r="AP25" i="11" a="1"/>
  <c r="AP25" i="11" s="1"/>
  <c r="AQ25" i="11" a="1"/>
  <c r="AQ25" i="11" s="1"/>
  <c r="AR25" i="11" a="1"/>
  <c r="AR25" i="11" s="1"/>
  <c r="AS25" i="11" a="1"/>
  <c r="AS25" i="11" s="1"/>
  <c r="AT25" i="11" a="1"/>
  <c r="AT25" i="11" s="1"/>
  <c r="B24" i="11" a="1"/>
  <c r="B24" i="11" s="1"/>
  <c r="C24" i="11" a="1"/>
  <c r="C24" i="11" s="1"/>
  <c r="D24" i="11" a="1"/>
  <c r="D24" i="11" s="1"/>
  <c r="E24" i="11" a="1"/>
  <c r="E24" i="11" s="1"/>
  <c r="F24" i="11" a="1"/>
  <c r="F24" i="11" s="1"/>
  <c r="G24" i="11" a="1"/>
  <c r="G24" i="11" s="1"/>
  <c r="H24" i="11" a="1"/>
  <c r="H24" i="11" s="1"/>
  <c r="I24" i="11" a="1"/>
  <c r="I24" i="11" s="1"/>
  <c r="J24" i="11" a="1"/>
  <c r="J24" i="11" s="1"/>
  <c r="K24" i="11" a="1"/>
  <c r="K24" i="11" s="1"/>
  <c r="L24" i="11" a="1"/>
  <c r="L24" i="11" s="1"/>
  <c r="M24" i="11" a="1"/>
  <c r="M24" i="11" s="1"/>
  <c r="N24" i="11" a="1"/>
  <c r="N24" i="11" s="1"/>
  <c r="O24" i="11" a="1"/>
  <c r="O24" i="11" s="1"/>
  <c r="P24" i="11" a="1"/>
  <c r="P24" i="11" s="1"/>
  <c r="Q24" i="11" a="1"/>
  <c r="Q24" i="11" s="1"/>
  <c r="R24" i="11" a="1"/>
  <c r="R24" i="11" s="1"/>
  <c r="S24" i="11" a="1"/>
  <c r="S24" i="11" s="1"/>
  <c r="T24" i="11" a="1"/>
  <c r="T24" i="11" s="1"/>
  <c r="U24" i="11" a="1"/>
  <c r="U24" i="11" s="1"/>
  <c r="V24" i="11" a="1"/>
  <c r="V24" i="11" s="1"/>
  <c r="W24" i="11" a="1"/>
  <c r="W24" i="11" s="1"/>
  <c r="X24" i="11" a="1"/>
  <c r="X24" i="11" s="1"/>
  <c r="Y24" i="11" a="1"/>
  <c r="Y24" i="11" s="1"/>
  <c r="Z24" i="11" a="1"/>
  <c r="Z24" i="11" s="1"/>
  <c r="AA24" i="11" a="1"/>
  <c r="AA24" i="11" s="1"/>
  <c r="AB24" i="11" a="1"/>
  <c r="AB24" i="11" s="1"/>
  <c r="AC24" i="11" a="1"/>
  <c r="AC24" i="11" s="1"/>
  <c r="AD24" i="11" a="1"/>
  <c r="AD24" i="11" s="1"/>
  <c r="AE24" i="11" a="1"/>
  <c r="AE24" i="11" s="1"/>
  <c r="AF24" i="11" a="1"/>
  <c r="AF24" i="11" s="1"/>
  <c r="AG24" i="11" a="1"/>
  <c r="AG24" i="11" s="1"/>
  <c r="AH24" i="11" a="1"/>
  <c r="AH24" i="11" s="1"/>
  <c r="AI24" i="11" a="1"/>
  <c r="AI24" i="11" s="1"/>
  <c r="AJ24" i="11" a="1"/>
  <c r="AJ24" i="11" s="1"/>
  <c r="AK24" i="11" a="1"/>
  <c r="AK24" i="11" s="1"/>
  <c r="AL24" i="11" a="1"/>
  <c r="AL24" i="11" s="1"/>
  <c r="AM24" i="11" a="1"/>
  <c r="AM24" i="11" s="1"/>
  <c r="AP24" i="11" a="1"/>
  <c r="AP24" i="11" s="1"/>
  <c r="AQ24" i="11" a="1"/>
  <c r="AQ24" i="11" s="1"/>
  <c r="AR24" i="11" a="1"/>
  <c r="AR24" i="11" s="1"/>
  <c r="AS24" i="11" a="1"/>
  <c r="AS24" i="11" s="1"/>
  <c r="AT24" i="11" a="1"/>
  <c r="AT24" i="11" s="1"/>
  <c r="B23" i="11" a="1"/>
  <c r="B23" i="11" s="1"/>
  <c r="C23" i="11" a="1"/>
  <c r="C23" i="11" s="1"/>
  <c r="D23" i="11" a="1"/>
  <c r="D23" i="11" s="1"/>
  <c r="E23" i="11" a="1"/>
  <c r="E23" i="11" s="1"/>
  <c r="F23" i="11" a="1"/>
  <c r="F23" i="11" s="1"/>
  <c r="G23" i="11" a="1"/>
  <c r="G23" i="11" s="1"/>
  <c r="H23" i="11" a="1"/>
  <c r="H23" i="11" s="1"/>
  <c r="I23" i="11" a="1"/>
  <c r="I23" i="11" s="1"/>
  <c r="J23" i="11" a="1"/>
  <c r="J23" i="11" s="1"/>
  <c r="K23" i="11" a="1"/>
  <c r="K23" i="11" s="1"/>
  <c r="L23" i="11" a="1"/>
  <c r="L23" i="11" s="1"/>
  <c r="M23" i="11" a="1"/>
  <c r="M23" i="11" s="1"/>
  <c r="N23" i="11" a="1"/>
  <c r="N23" i="11" s="1"/>
  <c r="O23" i="11" a="1"/>
  <c r="O23" i="11" s="1"/>
  <c r="P23" i="11" a="1"/>
  <c r="P23" i="11" s="1"/>
  <c r="Q23" i="11" a="1"/>
  <c r="Q23" i="11" s="1"/>
  <c r="R23" i="11" a="1"/>
  <c r="R23" i="11" s="1"/>
  <c r="S23" i="11" a="1"/>
  <c r="S23" i="11" s="1"/>
  <c r="T23" i="11" a="1"/>
  <c r="T23" i="11" s="1"/>
  <c r="U23" i="11" a="1"/>
  <c r="U23" i="11" s="1"/>
  <c r="V23" i="11" a="1"/>
  <c r="V23" i="11" s="1"/>
  <c r="W23" i="11" a="1"/>
  <c r="W23" i="11" s="1"/>
  <c r="X23" i="11" a="1"/>
  <c r="X23" i="11" s="1"/>
  <c r="Y23" i="11" a="1"/>
  <c r="Y23" i="11" s="1"/>
  <c r="Z23" i="11" a="1"/>
  <c r="Z23" i="11" s="1"/>
  <c r="AA23" i="11" a="1"/>
  <c r="AA23" i="11" s="1"/>
  <c r="AB23" i="11" a="1"/>
  <c r="AB23" i="11" s="1"/>
  <c r="AC23" i="11" a="1"/>
  <c r="AC23" i="11" s="1"/>
  <c r="AD23" i="11" a="1"/>
  <c r="AD23" i="11" s="1"/>
  <c r="AE23" i="11" a="1"/>
  <c r="AE23" i="11" s="1"/>
  <c r="AF23" i="11" a="1"/>
  <c r="AF23" i="11" s="1"/>
  <c r="AG23" i="11" a="1"/>
  <c r="AG23" i="11" s="1"/>
  <c r="AH23" i="11" a="1"/>
  <c r="AH23" i="11" s="1"/>
  <c r="AI23" i="11" a="1"/>
  <c r="AI23" i="11" s="1"/>
  <c r="AJ23" i="11" a="1"/>
  <c r="AJ23" i="11" s="1"/>
  <c r="AK23" i="11" a="1"/>
  <c r="AK23" i="11" s="1"/>
  <c r="AL23" i="11" a="1"/>
  <c r="AL23" i="11" s="1"/>
  <c r="AM23" i="11" a="1"/>
  <c r="AM23" i="11" s="1"/>
  <c r="AP23" i="11" a="1"/>
  <c r="AP23" i="11" s="1"/>
  <c r="AQ23" i="11" a="1"/>
  <c r="AQ23" i="11" s="1"/>
  <c r="AR23" i="11" a="1"/>
  <c r="AR23" i="11" s="1"/>
  <c r="AS23" i="11" a="1"/>
  <c r="AS23" i="11" s="1"/>
  <c r="AT23" i="11" a="1"/>
  <c r="AT23" i="11" s="1"/>
  <c r="B22" i="11" a="1"/>
  <c r="B22" i="11" s="1"/>
  <c r="C22" i="11" a="1"/>
  <c r="C22" i="11" s="1"/>
  <c r="D22" i="11" a="1"/>
  <c r="D22" i="11" s="1"/>
  <c r="E22" i="11" a="1"/>
  <c r="E22" i="11" s="1"/>
  <c r="F22" i="11" a="1"/>
  <c r="F22" i="11" s="1"/>
  <c r="G22" i="11" a="1"/>
  <c r="G22" i="11" s="1"/>
  <c r="H22" i="11" a="1"/>
  <c r="H22" i="11" s="1"/>
  <c r="I22" i="11" a="1"/>
  <c r="I22" i="11" s="1"/>
  <c r="J22" i="11" a="1"/>
  <c r="J22" i="11" s="1"/>
  <c r="K22" i="11" a="1"/>
  <c r="K22" i="11" s="1"/>
  <c r="L22" i="11" a="1"/>
  <c r="L22" i="11" s="1"/>
  <c r="M22" i="11" a="1"/>
  <c r="M22" i="11" s="1"/>
  <c r="N22" i="11" a="1"/>
  <c r="N22" i="11" s="1"/>
  <c r="O22" i="11" a="1"/>
  <c r="O22" i="11" s="1"/>
  <c r="P22" i="11" a="1"/>
  <c r="P22" i="11" s="1"/>
  <c r="Q22" i="11" a="1"/>
  <c r="Q22" i="11" s="1"/>
  <c r="R22" i="11" a="1"/>
  <c r="R22" i="11" s="1"/>
  <c r="S22" i="11" a="1"/>
  <c r="S22" i="11" s="1"/>
  <c r="T22" i="11" a="1"/>
  <c r="T22" i="11" s="1"/>
  <c r="U22" i="11" a="1"/>
  <c r="U22" i="11" s="1"/>
  <c r="V22" i="11" a="1"/>
  <c r="V22" i="11" s="1"/>
  <c r="W22" i="11" a="1"/>
  <c r="W22" i="11" s="1"/>
  <c r="X22" i="11" a="1"/>
  <c r="X22" i="11" s="1"/>
  <c r="Y22" i="11" a="1"/>
  <c r="Y22" i="11" s="1"/>
  <c r="Z22" i="11" a="1"/>
  <c r="Z22" i="11" s="1"/>
  <c r="AA22" i="11" a="1"/>
  <c r="AA22" i="11" s="1"/>
  <c r="AB22" i="11" a="1"/>
  <c r="AB22" i="11" s="1"/>
  <c r="AC22" i="11" a="1"/>
  <c r="AC22" i="11" s="1"/>
  <c r="AD22" i="11" a="1"/>
  <c r="AD22" i="11" s="1"/>
  <c r="AE22" i="11" a="1"/>
  <c r="AE22" i="11" s="1"/>
  <c r="AF22" i="11" a="1"/>
  <c r="AF22" i="11" s="1"/>
  <c r="AG22" i="11" a="1"/>
  <c r="AG22" i="11" s="1"/>
  <c r="AH22" i="11" a="1"/>
  <c r="AH22" i="11" s="1"/>
  <c r="AI22" i="11" a="1"/>
  <c r="AI22" i="11" s="1"/>
  <c r="AJ22" i="11" a="1"/>
  <c r="AJ22" i="11" s="1"/>
  <c r="AK22" i="11" a="1"/>
  <c r="AK22" i="11" s="1"/>
  <c r="AL22" i="11" a="1"/>
  <c r="AL22" i="11" s="1"/>
  <c r="AM22" i="11" a="1"/>
  <c r="AM22" i="11" s="1"/>
  <c r="AP22" i="11" a="1"/>
  <c r="AP22" i="11" s="1"/>
  <c r="AQ22" i="11" a="1"/>
  <c r="AQ22" i="11" s="1"/>
  <c r="AR22" i="11" a="1"/>
  <c r="AR22" i="11" s="1"/>
  <c r="AS22" i="11" a="1"/>
  <c r="AS22" i="11" s="1"/>
  <c r="AT22" i="11" a="1"/>
  <c r="AT22" i="11" s="1"/>
  <c r="B21" i="11" a="1"/>
  <c r="B21" i="11" s="1"/>
  <c r="C21" i="11" a="1"/>
  <c r="C21" i="11" s="1"/>
  <c r="D21" i="11" a="1"/>
  <c r="D21" i="11" s="1"/>
  <c r="E21" i="11" a="1"/>
  <c r="E21" i="11" s="1"/>
  <c r="F21" i="11" a="1"/>
  <c r="F21" i="11" s="1"/>
  <c r="G21" i="11" a="1"/>
  <c r="G21" i="11" s="1"/>
  <c r="H21" i="11" a="1"/>
  <c r="H21" i="11" s="1"/>
  <c r="I21" i="11" a="1"/>
  <c r="I21" i="11" s="1"/>
  <c r="J21" i="11" a="1"/>
  <c r="J21" i="11" s="1"/>
  <c r="K21" i="11" a="1"/>
  <c r="K21" i="11" s="1"/>
  <c r="L21" i="11" a="1"/>
  <c r="L21" i="11" s="1"/>
  <c r="M21" i="11" a="1"/>
  <c r="M21" i="11" s="1"/>
  <c r="N21" i="11" a="1"/>
  <c r="N21" i="11" s="1"/>
  <c r="O21" i="11" a="1"/>
  <c r="O21" i="11" s="1"/>
  <c r="P21" i="11" a="1"/>
  <c r="P21" i="11" s="1"/>
  <c r="Q21" i="11" a="1"/>
  <c r="Q21" i="11" s="1"/>
  <c r="R21" i="11" a="1"/>
  <c r="R21" i="11" s="1"/>
  <c r="S21" i="11" a="1"/>
  <c r="S21" i="11" s="1"/>
  <c r="T21" i="11" a="1"/>
  <c r="T21" i="11" s="1"/>
  <c r="U21" i="11" a="1"/>
  <c r="U21" i="11" s="1"/>
  <c r="V21" i="11" a="1"/>
  <c r="V21" i="11" s="1"/>
  <c r="W21" i="11" a="1"/>
  <c r="W21" i="11" s="1"/>
  <c r="X21" i="11" a="1"/>
  <c r="X21" i="11" s="1"/>
  <c r="Y21" i="11" a="1"/>
  <c r="Y21" i="11" s="1"/>
  <c r="Z21" i="11" a="1"/>
  <c r="Z21" i="11" s="1"/>
  <c r="AA21" i="11" a="1"/>
  <c r="AA21" i="11" s="1"/>
  <c r="AB21" i="11" a="1"/>
  <c r="AB21" i="11" s="1"/>
  <c r="AC21" i="11" a="1"/>
  <c r="AC21" i="11" s="1"/>
  <c r="AD21" i="11" a="1"/>
  <c r="AD21" i="11" s="1"/>
  <c r="AE21" i="11" a="1"/>
  <c r="AE21" i="11" s="1"/>
  <c r="AF21" i="11" a="1"/>
  <c r="AF21" i="11" s="1"/>
  <c r="AG21" i="11" a="1"/>
  <c r="AG21" i="11" s="1"/>
  <c r="AH21" i="11" a="1"/>
  <c r="AH21" i="11" s="1"/>
  <c r="AI21" i="11" a="1"/>
  <c r="AI21" i="11" s="1"/>
  <c r="AJ21" i="11" a="1"/>
  <c r="AJ21" i="11" s="1"/>
  <c r="AK21" i="11" a="1"/>
  <c r="AK21" i="11" s="1"/>
  <c r="AL21" i="11" a="1"/>
  <c r="AL21" i="11" s="1"/>
  <c r="AM21" i="11" a="1"/>
  <c r="AM21" i="11" s="1"/>
  <c r="AP21" i="11" a="1"/>
  <c r="AP21" i="11" s="1"/>
  <c r="AQ21" i="11" a="1"/>
  <c r="AQ21" i="11" s="1"/>
  <c r="AR21" i="11" a="1"/>
  <c r="AR21" i="11" s="1"/>
  <c r="AS21" i="11" a="1"/>
  <c r="AS21" i="11" s="1"/>
  <c r="AT21" i="11" a="1"/>
  <c r="AT21" i="11" s="1"/>
  <c r="B20" i="11" a="1"/>
  <c r="B20" i="11" s="1"/>
  <c r="C20" i="11" a="1"/>
  <c r="C20" i="11" s="1"/>
  <c r="D20" i="11" a="1"/>
  <c r="D20" i="11" s="1"/>
  <c r="E20" i="11" a="1"/>
  <c r="E20" i="11" s="1"/>
  <c r="F20" i="11" a="1"/>
  <c r="F20" i="11" s="1"/>
  <c r="G20" i="11" a="1"/>
  <c r="G20" i="11" s="1"/>
  <c r="H20" i="11" a="1"/>
  <c r="H20" i="11" s="1"/>
  <c r="I20" i="11" a="1"/>
  <c r="I20" i="11" s="1"/>
  <c r="J20" i="11" a="1"/>
  <c r="J20" i="11" s="1"/>
  <c r="K20" i="11" a="1"/>
  <c r="K20" i="11" s="1"/>
  <c r="L20" i="11" a="1"/>
  <c r="L20" i="11" s="1"/>
  <c r="M20" i="11" a="1"/>
  <c r="M20" i="11" s="1"/>
  <c r="N20" i="11" a="1"/>
  <c r="N20" i="11" s="1"/>
  <c r="O20" i="11" a="1"/>
  <c r="O20" i="11" s="1"/>
  <c r="P20" i="11" a="1"/>
  <c r="P20" i="11" s="1"/>
  <c r="Q20" i="11" a="1"/>
  <c r="Q20" i="11" s="1"/>
  <c r="R20" i="11" a="1"/>
  <c r="R20" i="11" s="1"/>
  <c r="S20" i="11" a="1"/>
  <c r="S20" i="11" s="1"/>
  <c r="T20" i="11" a="1"/>
  <c r="T20" i="11" s="1"/>
  <c r="U20" i="11" a="1"/>
  <c r="U20" i="11" s="1"/>
  <c r="V20" i="11" a="1"/>
  <c r="V20" i="11" s="1"/>
  <c r="W20" i="11" a="1"/>
  <c r="W20" i="11" s="1"/>
  <c r="X20" i="11" a="1"/>
  <c r="X20" i="11" s="1"/>
  <c r="Y20" i="11" a="1"/>
  <c r="Y20" i="11" s="1"/>
  <c r="Z20" i="11" a="1"/>
  <c r="Z20" i="11" s="1"/>
  <c r="AA20" i="11" a="1"/>
  <c r="AA20" i="11" s="1"/>
  <c r="AB20" i="11" a="1"/>
  <c r="AB20" i="11" s="1"/>
  <c r="AC20" i="11" a="1"/>
  <c r="AC20" i="11" s="1"/>
  <c r="AD20" i="11" a="1"/>
  <c r="AD20" i="11" s="1"/>
  <c r="AE20" i="11" a="1"/>
  <c r="AE20" i="11" s="1"/>
  <c r="AF20" i="11" a="1"/>
  <c r="AF20" i="11" s="1"/>
  <c r="AG20" i="11" a="1"/>
  <c r="AG20" i="11" s="1"/>
  <c r="AH20" i="11" a="1"/>
  <c r="AH20" i="11" s="1"/>
  <c r="AI20" i="11" a="1"/>
  <c r="AI20" i="11" s="1"/>
  <c r="AJ20" i="11" a="1"/>
  <c r="AJ20" i="11" s="1"/>
  <c r="AK20" i="11" a="1"/>
  <c r="AK20" i="11" s="1"/>
  <c r="AL20" i="11" a="1"/>
  <c r="AL20" i="11" s="1"/>
  <c r="AM20" i="11" a="1"/>
  <c r="AM20" i="11" s="1"/>
  <c r="AP20" i="11" a="1"/>
  <c r="AP20" i="11" s="1"/>
  <c r="AQ20" i="11" a="1"/>
  <c r="AQ20" i="11" s="1"/>
  <c r="AR20" i="11" a="1"/>
  <c r="AR20" i="11" s="1"/>
  <c r="AS20" i="11" a="1"/>
  <c r="AS20" i="11" s="1"/>
  <c r="AT20" i="11" a="1"/>
  <c r="AT20" i="11" s="1"/>
  <c r="B19" i="11" a="1"/>
  <c r="B19" i="11" s="1"/>
  <c r="C19" i="11" a="1"/>
  <c r="C19" i="11" s="1"/>
  <c r="D19" i="11" a="1"/>
  <c r="D19" i="11" s="1"/>
  <c r="E19" i="11" a="1"/>
  <c r="E19" i="11" s="1"/>
  <c r="F19" i="11" a="1"/>
  <c r="F19" i="11" s="1"/>
  <c r="G19" i="11" a="1"/>
  <c r="G19" i="11" s="1"/>
  <c r="H19" i="11" a="1"/>
  <c r="H19" i="11" s="1"/>
  <c r="I19" i="11" a="1"/>
  <c r="I19" i="11" s="1"/>
  <c r="J19" i="11" a="1"/>
  <c r="J19" i="11" s="1"/>
  <c r="K19" i="11" a="1"/>
  <c r="K19" i="11" s="1"/>
  <c r="L19" i="11" a="1"/>
  <c r="L19" i="11" s="1"/>
  <c r="M19" i="11" a="1"/>
  <c r="M19" i="11" s="1"/>
  <c r="N19" i="11" a="1"/>
  <c r="N19" i="11" s="1"/>
  <c r="O19" i="11" a="1"/>
  <c r="O19" i="11" s="1"/>
  <c r="P19" i="11" a="1"/>
  <c r="P19" i="11" s="1"/>
  <c r="Q19" i="11" a="1"/>
  <c r="Q19" i="11" s="1"/>
  <c r="R19" i="11" a="1"/>
  <c r="R19" i="11" s="1"/>
  <c r="S19" i="11" a="1"/>
  <c r="S19" i="11" s="1"/>
  <c r="T19" i="11" a="1"/>
  <c r="T19" i="11" s="1"/>
  <c r="U19" i="11" a="1"/>
  <c r="U19" i="11" s="1"/>
  <c r="V19" i="11" a="1"/>
  <c r="V19" i="11" s="1"/>
  <c r="W19" i="11" a="1"/>
  <c r="W19" i="11" s="1"/>
  <c r="X19" i="11" a="1"/>
  <c r="X19" i="11" s="1"/>
  <c r="Y19" i="11" a="1"/>
  <c r="Y19" i="11" s="1"/>
  <c r="Z19" i="11" a="1"/>
  <c r="Z19" i="11" s="1"/>
  <c r="AA19" i="11" a="1"/>
  <c r="AA19" i="11" s="1"/>
  <c r="AB19" i="11" a="1"/>
  <c r="AB19" i="11" s="1"/>
  <c r="AC19" i="11" a="1"/>
  <c r="AC19" i="11" s="1"/>
  <c r="AD19" i="11" a="1"/>
  <c r="AD19" i="11" s="1"/>
  <c r="AE19" i="11" a="1"/>
  <c r="AE19" i="11" s="1"/>
  <c r="AF19" i="11" a="1"/>
  <c r="AF19" i="11" s="1"/>
  <c r="AG19" i="11" a="1"/>
  <c r="AG19" i="11" s="1"/>
  <c r="AH19" i="11" a="1"/>
  <c r="AH19" i="11" s="1"/>
  <c r="AI19" i="11" a="1"/>
  <c r="AI19" i="11" s="1"/>
  <c r="AJ19" i="11" a="1"/>
  <c r="AJ19" i="11" s="1"/>
  <c r="AK19" i="11" a="1"/>
  <c r="AK19" i="11" s="1"/>
  <c r="AL19" i="11" a="1"/>
  <c r="AL19" i="11" s="1"/>
  <c r="AM19" i="11" a="1"/>
  <c r="AM19" i="11" s="1"/>
  <c r="AP19" i="11" a="1"/>
  <c r="AP19" i="11" s="1"/>
  <c r="AQ19" i="11" a="1"/>
  <c r="AQ19" i="11" s="1"/>
  <c r="AR19" i="11" a="1"/>
  <c r="AR19" i="11" s="1"/>
  <c r="AS19" i="11" a="1"/>
  <c r="AS19" i="11" s="1"/>
  <c r="AT19" i="11" a="1"/>
  <c r="AT19" i="11" s="1"/>
  <c r="B18" i="11" a="1"/>
  <c r="B18" i="11" s="1"/>
  <c r="C18" i="11" a="1"/>
  <c r="C18" i="11" s="1"/>
  <c r="D18" i="11" a="1"/>
  <c r="D18" i="11" s="1"/>
  <c r="E18" i="11" a="1"/>
  <c r="E18" i="11" s="1"/>
  <c r="F18" i="11" a="1"/>
  <c r="F18" i="11" s="1"/>
  <c r="G18" i="11" a="1"/>
  <c r="G18" i="11" s="1"/>
  <c r="H18" i="11" a="1"/>
  <c r="H18" i="11" s="1"/>
  <c r="I18" i="11" a="1"/>
  <c r="I18" i="11" s="1"/>
  <c r="J18" i="11" a="1"/>
  <c r="J18" i="11" s="1"/>
  <c r="K18" i="11" a="1"/>
  <c r="K18" i="11" s="1"/>
  <c r="L18" i="11" a="1"/>
  <c r="L18" i="11" s="1"/>
  <c r="M18" i="11" a="1"/>
  <c r="M18" i="11" s="1"/>
  <c r="N18" i="11" a="1"/>
  <c r="N18" i="11" s="1"/>
  <c r="O18" i="11" a="1"/>
  <c r="O18" i="11" s="1"/>
  <c r="P18" i="11" a="1"/>
  <c r="P18" i="11" s="1"/>
  <c r="Q18" i="11" a="1"/>
  <c r="Q18" i="11" s="1"/>
  <c r="R18" i="11" a="1"/>
  <c r="R18" i="11" s="1"/>
  <c r="S18" i="11" a="1"/>
  <c r="S18" i="11" s="1"/>
  <c r="T18" i="11" a="1"/>
  <c r="T18" i="11" s="1"/>
  <c r="U18" i="11" a="1"/>
  <c r="U18" i="11" s="1"/>
  <c r="V18" i="11" a="1"/>
  <c r="V18" i="11" s="1"/>
  <c r="W18" i="11" a="1"/>
  <c r="W18" i="11" s="1"/>
  <c r="X18" i="11" a="1"/>
  <c r="X18" i="11" s="1"/>
  <c r="Y18" i="11" a="1"/>
  <c r="Y18" i="11" s="1"/>
  <c r="Z18" i="11" a="1"/>
  <c r="Z18" i="11" s="1"/>
  <c r="AA18" i="11" a="1"/>
  <c r="AA18" i="11" s="1"/>
  <c r="AB18" i="11" a="1"/>
  <c r="AB18" i="11" s="1"/>
  <c r="AC18" i="11" a="1"/>
  <c r="AC18" i="11" s="1"/>
  <c r="AD18" i="11" a="1"/>
  <c r="AD18" i="11" s="1"/>
  <c r="AE18" i="11" a="1"/>
  <c r="AE18" i="11" s="1"/>
  <c r="AF18" i="11" a="1"/>
  <c r="AF18" i="11" s="1"/>
  <c r="AG18" i="11" a="1"/>
  <c r="AG18" i="11" s="1"/>
  <c r="AH18" i="11" a="1"/>
  <c r="AH18" i="11" s="1"/>
  <c r="AI18" i="11" a="1"/>
  <c r="AI18" i="11" s="1"/>
  <c r="AJ18" i="11" a="1"/>
  <c r="AJ18" i="11" s="1"/>
  <c r="AK18" i="11" a="1"/>
  <c r="AK18" i="11" s="1"/>
  <c r="AL18" i="11" a="1"/>
  <c r="AL18" i="11" s="1"/>
  <c r="AM18" i="11" a="1"/>
  <c r="AM18" i="11" s="1"/>
  <c r="AP18" i="11" a="1"/>
  <c r="AP18" i="11" s="1"/>
  <c r="AQ18" i="11" a="1"/>
  <c r="AQ18" i="11" s="1"/>
  <c r="AR18" i="11" a="1"/>
  <c r="AR18" i="11" s="1"/>
  <c r="AS18" i="11" a="1"/>
  <c r="AS18" i="11" s="1"/>
  <c r="AT18" i="11" a="1"/>
  <c r="AT18" i="11" s="1"/>
  <c r="B17" i="11" a="1"/>
  <c r="B17" i="11" s="1"/>
  <c r="C17" i="11" a="1"/>
  <c r="C17" i="11" s="1"/>
  <c r="D17" i="11" a="1"/>
  <c r="D17" i="11" s="1"/>
  <c r="E17" i="11" a="1"/>
  <c r="E17" i="11" s="1"/>
  <c r="F17" i="11" a="1"/>
  <c r="F17" i="11" s="1"/>
  <c r="G17" i="11" a="1"/>
  <c r="G17" i="11" s="1"/>
  <c r="H17" i="11" a="1"/>
  <c r="H17" i="11" s="1"/>
  <c r="I17" i="11" a="1"/>
  <c r="I17" i="11" s="1"/>
  <c r="J17" i="11" a="1"/>
  <c r="J17" i="11" s="1"/>
  <c r="K17" i="11" a="1"/>
  <c r="K17" i="11" s="1"/>
  <c r="L17" i="11" a="1"/>
  <c r="L17" i="11" s="1"/>
  <c r="M17" i="11" a="1"/>
  <c r="M17" i="11" s="1"/>
  <c r="N17" i="11" a="1"/>
  <c r="N17" i="11" s="1"/>
  <c r="O17" i="11" a="1"/>
  <c r="O17" i="11" s="1"/>
  <c r="P17" i="11" a="1"/>
  <c r="P17" i="11" s="1"/>
  <c r="Q17" i="11" a="1"/>
  <c r="Q17" i="11" s="1"/>
  <c r="R17" i="11" a="1"/>
  <c r="R17" i="11" s="1"/>
  <c r="S17" i="11" a="1"/>
  <c r="S17" i="11" s="1"/>
  <c r="T17" i="11" a="1"/>
  <c r="T17" i="11" s="1"/>
  <c r="U17" i="11" a="1"/>
  <c r="U17" i="11" s="1"/>
  <c r="V17" i="11" a="1"/>
  <c r="V17" i="11" s="1"/>
  <c r="W17" i="11" a="1"/>
  <c r="W17" i="11" s="1"/>
  <c r="X17" i="11" a="1"/>
  <c r="X17" i="11" s="1"/>
  <c r="Y17" i="11" a="1"/>
  <c r="Y17" i="11" s="1"/>
  <c r="Z17" i="11" a="1"/>
  <c r="Z17" i="11" s="1"/>
  <c r="AA17" i="11" a="1"/>
  <c r="AA17" i="11" s="1"/>
  <c r="AB17" i="11" a="1"/>
  <c r="AB17" i="11" s="1"/>
  <c r="AC17" i="11" a="1"/>
  <c r="AC17" i="11" s="1"/>
  <c r="AD17" i="11" a="1"/>
  <c r="AD17" i="11" s="1"/>
  <c r="AE17" i="11" a="1"/>
  <c r="AE17" i="11" s="1"/>
  <c r="AF17" i="11" a="1"/>
  <c r="AF17" i="11" s="1"/>
  <c r="AG17" i="11" a="1"/>
  <c r="AG17" i="11" s="1"/>
  <c r="AH17" i="11" a="1"/>
  <c r="AH17" i="11" s="1"/>
  <c r="AI17" i="11" a="1"/>
  <c r="AI17" i="11" s="1"/>
  <c r="AJ17" i="11" a="1"/>
  <c r="AJ17" i="11" s="1"/>
  <c r="AK17" i="11" a="1"/>
  <c r="AK17" i="11" s="1"/>
  <c r="AL17" i="11" a="1"/>
  <c r="AL17" i="11" s="1"/>
  <c r="AM17" i="11" a="1"/>
  <c r="AM17" i="11" s="1"/>
  <c r="AP17" i="11" a="1"/>
  <c r="AP17" i="11" s="1"/>
  <c r="AQ17" i="11" a="1"/>
  <c r="AQ17" i="11" s="1"/>
  <c r="AR17" i="11" a="1"/>
  <c r="AR17" i="11" s="1"/>
  <c r="AS17" i="11" a="1"/>
  <c r="AS17" i="11" s="1"/>
  <c r="AT17" i="11" a="1"/>
  <c r="AT17" i="11" s="1"/>
  <c r="B16" i="11" a="1"/>
  <c r="B16" i="11" s="1"/>
  <c r="C16" i="11" a="1"/>
  <c r="C16" i="11" s="1"/>
  <c r="D16" i="11" a="1"/>
  <c r="D16" i="11" s="1"/>
  <c r="E16" i="11" a="1"/>
  <c r="E16" i="11" s="1"/>
  <c r="F16" i="11" a="1"/>
  <c r="F16" i="11" s="1"/>
  <c r="G16" i="11" a="1"/>
  <c r="G16" i="11" s="1"/>
  <c r="H16" i="11" a="1"/>
  <c r="H16" i="11" s="1"/>
  <c r="I16" i="11" a="1"/>
  <c r="I16" i="11" s="1"/>
  <c r="J16" i="11" a="1"/>
  <c r="J16" i="11" s="1"/>
  <c r="K16" i="11" a="1"/>
  <c r="K16" i="11" s="1"/>
  <c r="L16" i="11" a="1"/>
  <c r="L16" i="11" s="1"/>
  <c r="M16" i="11" a="1"/>
  <c r="M16" i="11" s="1"/>
  <c r="N16" i="11" a="1"/>
  <c r="N16" i="11" s="1"/>
  <c r="O16" i="11" a="1"/>
  <c r="O16" i="11" s="1"/>
  <c r="P16" i="11" a="1"/>
  <c r="P16" i="11" s="1"/>
  <c r="Q16" i="11" a="1"/>
  <c r="Q16" i="11" s="1"/>
  <c r="R16" i="11" a="1"/>
  <c r="R16" i="11" s="1"/>
  <c r="S16" i="11" a="1"/>
  <c r="S16" i="11" s="1"/>
  <c r="T16" i="11" a="1"/>
  <c r="T16" i="11" s="1"/>
  <c r="U16" i="11" a="1"/>
  <c r="U16" i="11" s="1"/>
  <c r="V16" i="11" a="1"/>
  <c r="V16" i="11" s="1"/>
  <c r="W16" i="11" a="1"/>
  <c r="W16" i="11" s="1"/>
  <c r="X16" i="11" a="1"/>
  <c r="X16" i="11" s="1"/>
  <c r="Y16" i="11" a="1"/>
  <c r="Y16" i="11" s="1"/>
  <c r="Z16" i="11" a="1"/>
  <c r="Z16" i="11" s="1"/>
  <c r="AA16" i="11" a="1"/>
  <c r="AA16" i="11" s="1"/>
  <c r="AB16" i="11" a="1"/>
  <c r="AB16" i="11" s="1"/>
  <c r="AC16" i="11" a="1"/>
  <c r="AC16" i="11" s="1"/>
  <c r="AD16" i="11" a="1"/>
  <c r="AD16" i="11" s="1"/>
  <c r="AE16" i="11" a="1"/>
  <c r="AE16" i="11" s="1"/>
  <c r="AF16" i="11" a="1"/>
  <c r="AF16" i="11" s="1"/>
  <c r="AG16" i="11" a="1"/>
  <c r="AG16" i="11" s="1"/>
  <c r="AH16" i="11" a="1"/>
  <c r="AH16" i="11" s="1"/>
  <c r="AI16" i="11" a="1"/>
  <c r="AI16" i="11" s="1"/>
  <c r="AJ16" i="11" a="1"/>
  <c r="AJ16" i="11" s="1"/>
  <c r="AK16" i="11" a="1"/>
  <c r="AK16" i="11" s="1"/>
  <c r="AL16" i="11" a="1"/>
  <c r="AL16" i="11" s="1"/>
  <c r="AM16" i="11" a="1"/>
  <c r="AM16" i="11" s="1"/>
  <c r="AP16" i="11" a="1"/>
  <c r="AP16" i="11" s="1"/>
  <c r="AQ16" i="11" a="1"/>
  <c r="AQ16" i="11" s="1"/>
  <c r="AR16" i="11" a="1"/>
  <c r="AR16" i="11" s="1"/>
  <c r="AS16" i="11" a="1"/>
  <c r="AS16" i="11" s="1"/>
  <c r="AT16" i="11" a="1"/>
  <c r="AT16" i="11" s="1"/>
  <c r="B15" i="11" a="1"/>
  <c r="B15" i="11" s="1"/>
  <c r="C15" i="11" a="1"/>
  <c r="C15" i="11" s="1"/>
  <c r="D15" i="11" a="1"/>
  <c r="D15" i="11" s="1"/>
  <c r="E15" i="11" a="1"/>
  <c r="E15" i="11" s="1"/>
  <c r="F15" i="11" a="1"/>
  <c r="F15" i="11" s="1"/>
  <c r="G15" i="11" a="1"/>
  <c r="G15" i="11" s="1"/>
  <c r="H15" i="11" a="1"/>
  <c r="H15" i="11" s="1"/>
  <c r="I15" i="11" a="1"/>
  <c r="I15" i="11" s="1"/>
  <c r="J15" i="11" a="1"/>
  <c r="J15" i="11" s="1"/>
  <c r="K15" i="11" a="1"/>
  <c r="K15" i="11" s="1"/>
  <c r="L15" i="11" a="1"/>
  <c r="L15" i="11" s="1"/>
  <c r="M15" i="11" a="1"/>
  <c r="M15" i="11" s="1"/>
  <c r="N15" i="11" a="1"/>
  <c r="N15" i="11" s="1"/>
  <c r="O15" i="11" a="1"/>
  <c r="O15" i="11" s="1"/>
  <c r="P15" i="11" a="1"/>
  <c r="P15" i="11" s="1"/>
  <c r="Q15" i="11" a="1"/>
  <c r="Q15" i="11" s="1"/>
  <c r="R15" i="11" a="1"/>
  <c r="R15" i="11" s="1"/>
  <c r="S15" i="11" a="1"/>
  <c r="S15" i="11" s="1"/>
  <c r="T15" i="11" a="1"/>
  <c r="T15" i="11" s="1"/>
  <c r="U15" i="11" a="1"/>
  <c r="U15" i="11" s="1"/>
  <c r="V15" i="11" a="1"/>
  <c r="V15" i="11" s="1"/>
  <c r="W15" i="11" a="1"/>
  <c r="W15" i="11" s="1"/>
  <c r="X15" i="11" a="1"/>
  <c r="X15" i="11" s="1"/>
  <c r="Y15" i="11" a="1"/>
  <c r="Y15" i="11" s="1"/>
  <c r="Z15" i="11" a="1"/>
  <c r="Z15" i="11" s="1"/>
  <c r="AA15" i="11" a="1"/>
  <c r="AA15" i="11" s="1"/>
  <c r="AB15" i="11" a="1"/>
  <c r="AB15" i="11" s="1"/>
  <c r="AC15" i="11" a="1"/>
  <c r="AC15" i="11" s="1"/>
  <c r="AD15" i="11" a="1"/>
  <c r="AD15" i="11" s="1"/>
  <c r="AE15" i="11" a="1"/>
  <c r="AE15" i="11" s="1"/>
  <c r="AF15" i="11" a="1"/>
  <c r="AF15" i="11" s="1"/>
  <c r="AG15" i="11" a="1"/>
  <c r="AG15" i="11" s="1"/>
  <c r="AH15" i="11" a="1"/>
  <c r="AH15" i="11" s="1"/>
  <c r="AI15" i="11" a="1"/>
  <c r="AI15" i="11" s="1"/>
  <c r="AJ15" i="11" a="1"/>
  <c r="AJ15" i="11" s="1"/>
  <c r="AK15" i="11" a="1"/>
  <c r="AK15" i="11" s="1"/>
  <c r="AL15" i="11" a="1"/>
  <c r="AL15" i="11" s="1"/>
  <c r="AM15" i="11" a="1"/>
  <c r="AM15" i="11" s="1"/>
  <c r="AP15" i="11" a="1"/>
  <c r="AP15" i="11" s="1"/>
  <c r="AQ15" i="11" a="1"/>
  <c r="AQ15" i="11" s="1"/>
  <c r="AR15" i="11" a="1"/>
  <c r="AR15" i="11" s="1"/>
  <c r="AS15" i="11" a="1"/>
  <c r="AS15" i="11" s="1"/>
  <c r="AT15" i="11" a="1"/>
  <c r="AT15" i="11" s="1"/>
  <c r="B14" i="11" a="1"/>
  <c r="B14" i="11" s="1"/>
  <c r="C14" i="11" a="1"/>
  <c r="C14" i="11" s="1"/>
  <c r="D14" i="11" a="1"/>
  <c r="D14" i="11" s="1"/>
  <c r="E14" i="11" a="1"/>
  <c r="E14" i="11" s="1"/>
  <c r="F14" i="11" a="1"/>
  <c r="F14" i="11" s="1"/>
  <c r="G14" i="11" a="1"/>
  <c r="G14" i="11" s="1"/>
  <c r="H14" i="11" a="1"/>
  <c r="H14" i="11" s="1"/>
  <c r="I14" i="11" a="1"/>
  <c r="I14" i="11" s="1"/>
  <c r="J14" i="11" a="1"/>
  <c r="J14" i="11" s="1"/>
  <c r="K14" i="11" a="1"/>
  <c r="K14" i="11" s="1"/>
  <c r="L14" i="11" a="1"/>
  <c r="L14" i="11" s="1"/>
  <c r="M14" i="11" a="1"/>
  <c r="M14" i="11" s="1"/>
  <c r="N14" i="11" a="1"/>
  <c r="N14" i="11" s="1"/>
  <c r="O14" i="11" a="1"/>
  <c r="O14" i="11" s="1"/>
  <c r="P14" i="11" a="1"/>
  <c r="P14" i="11" s="1"/>
  <c r="Q14" i="11" a="1"/>
  <c r="Q14" i="11" s="1"/>
  <c r="R14" i="11" a="1"/>
  <c r="R14" i="11" s="1"/>
  <c r="S14" i="11" a="1"/>
  <c r="S14" i="11" s="1"/>
  <c r="T14" i="11" a="1"/>
  <c r="T14" i="11" s="1"/>
  <c r="U14" i="11" a="1"/>
  <c r="U14" i="11" s="1"/>
  <c r="V14" i="11" a="1"/>
  <c r="V14" i="11" s="1"/>
  <c r="W14" i="11" a="1"/>
  <c r="W14" i="11" s="1"/>
  <c r="X14" i="11" a="1"/>
  <c r="X14" i="11" s="1"/>
  <c r="Y14" i="11" a="1"/>
  <c r="Y14" i="11" s="1"/>
  <c r="Z14" i="11" a="1"/>
  <c r="Z14" i="11" s="1"/>
  <c r="AA14" i="11" a="1"/>
  <c r="AA14" i="11" s="1"/>
  <c r="AB14" i="11" a="1"/>
  <c r="AB14" i="11" s="1"/>
  <c r="AC14" i="11" a="1"/>
  <c r="AC14" i="11" s="1"/>
  <c r="AD14" i="11" a="1"/>
  <c r="AD14" i="11" s="1"/>
  <c r="AE14" i="11" a="1"/>
  <c r="AE14" i="11" s="1"/>
  <c r="AF14" i="11" a="1"/>
  <c r="AF14" i="11" s="1"/>
  <c r="AG14" i="11" a="1"/>
  <c r="AG14" i="11" s="1"/>
  <c r="AH14" i="11" a="1"/>
  <c r="AH14" i="11" s="1"/>
  <c r="AI14" i="11" a="1"/>
  <c r="AI14" i="11" s="1"/>
  <c r="AJ14" i="11" a="1"/>
  <c r="AJ14" i="11" s="1"/>
  <c r="AK14" i="11" a="1"/>
  <c r="AK14" i="11" s="1"/>
  <c r="AL14" i="11" a="1"/>
  <c r="AL14" i="11" s="1"/>
  <c r="AM14" i="11" a="1"/>
  <c r="AM14" i="11" s="1"/>
  <c r="AP14" i="11" a="1"/>
  <c r="AP14" i="11" s="1"/>
  <c r="AQ14" i="11" a="1"/>
  <c r="AQ14" i="11" s="1"/>
  <c r="AR14" i="11" a="1"/>
  <c r="AR14" i="11" s="1"/>
  <c r="AS14" i="11" a="1"/>
  <c r="AS14" i="11" s="1"/>
  <c r="AT14" i="11" a="1"/>
  <c r="AT14" i="11" s="1"/>
  <c r="B13" i="11" a="1"/>
  <c r="B13" i="11" s="1"/>
  <c r="C13" i="11" a="1"/>
  <c r="C13" i="11" s="1"/>
  <c r="D13" i="11" a="1"/>
  <c r="D13" i="11" s="1"/>
  <c r="E13" i="11" a="1"/>
  <c r="E13" i="11" s="1"/>
  <c r="F13" i="11" a="1"/>
  <c r="F13" i="11" s="1"/>
  <c r="G13" i="11" a="1"/>
  <c r="G13" i="11" s="1"/>
  <c r="H13" i="11" a="1"/>
  <c r="H13" i="11" s="1"/>
  <c r="I13" i="11" a="1"/>
  <c r="I13" i="11" s="1"/>
  <c r="J13" i="11" a="1"/>
  <c r="J13" i="11" s="1"/>
  <c r="K13" i="11" a="1"/>
  <c r="K13" i="11" s="1"/>
  <c r="L13" i="11" a="1"/>
  <c r="L13" i="11" s="1"/>
  <c r="M13" i="11" a="1"/>
  <c r="M13" i="11" s="1"/>
  <c r="N13" i="11" a="1"/>
  <c r="N13" i="11" s="1"/>
  <c r="O13" i="11" a="1"/>
  <c r="O13" i="11" s="1"/>
  <c r="P13" i="11" a="1"/>
  <c r="P13" i="11" s="1"/>
  <c r="Q13" i="11" a="1"/>
  <c r="Q13" i="11" s="1"/>
  <c r="R13" i="11" a="1"/>
  <c r="R13" i="11" s="1"/>
  <c r="S13" i="11" a="1"/>
  <c r="S13" i="11" s="1"/>
  <c r="T13" i="11" a="1"/>
  <c r="T13" i="11" s="1"/>
  <c r="U13" i="11" a="1"/>
  <c r="U13" i="11" s="1"/>
  <c r="V13" i="11" a="1"/>
  <c r="V13" i="11" s="1"/>
  <c r="W13" i="11" a="1"/>
  <c r="W13" i="11" s="1"/>
  <c r="X13" i="11" a="1"/>
  <c r="X13" i="11" s="1"/>
  <c r="Y13" i="11" a="1"/>
  <c r="Y13" i="11" s="1"/>
  <c r="Z13" i="11" a="1"/>
  <c r="Z13" i="11" s="1"/>
  <c r="AA13" i="11" a="1"/>
  <c r="AA13" i="11" s="1"/>
  <c r="AB13" i="11" a="1"/>
  <c r="AB13" i="11" s="1"/>
  <c r="AC13" i="11" a="1"/>
  <c r="AC13" i="11" s="1"/>
  <c r="AD13" i="11" a="1"/>
  <c r="AD13" i="11" s="1"/>
  <c r="AE13" i="11" a="1"/>
  <c r="AE13" i="11" s="1"/>
  <c r="AF13" i="11" a="1"/>
  <c r="AF13" i="11" s="1"/>
  <c r="AG13" i="11" a="1"/>
  <c r="AG13" i="11" s="1"/>
  <c r="AH13" i="11" a="1"/>
  <c r="AH13" i="11" s="1"/>
  <c r="AI13" i="11" a="1"/>
  <c r="AI13" i="11" s="1"/>
  <c r="AJ13" i="11" a="1"/>
  <c r="AJ13" i="11" s="1"/>
  <c r="AK13" i="11" a="1"/>
  <c r="AK13" i="11" s="1"/>
  <c r="AL13" i="11" a="1"/>
  <c r="AL13" i="11" s="1"/>
  <c r="AM13" i="11" a="1"/>
  <c r="AM13" i="11" s="1"/>
  <c r="AP13" i="11" a="1"/>
  <c r="AP13" i="11" s="1"/>
  <c r="AQ13" i="11" a="1"/>
  <c r="AQ13" i="11" s="1"/>
  <c r="AR13" i="11" a="1"/>
  <c r="AR13" i="11" s="1"/>
  <c r="AS13" i="11" a="1"/>
  <c r="AS13" i="11" s="1"/>
  <c r="AT13" i="11" a="1"/>
  <c r="AT13" i="11" s="1"/>
  <c r="B12" i="11" a="1"/>
  <c r="B12" i="11" s="1"/>
  <c r="C12" i="11" a="1"/>
  <c r="C12" i="11" s="1"/>
  <c r="D12" i="11" a="1"/>
  <c r="D12" i="11" s="1"/>
  <c r="E12" i="11" a="1"/>
  <c r="E12" i="11" s="1"/>
  <c r="F12" i="11" a="1"/>
  <c r="F12" i="11" s="1"/>
  <c r="G12" i="11" a="1"/>
  <c r="G12" i="11" s="1"/>
  <c r="H12" i="11" a="1"/>
  <c r="H12" i="11" s="1"/>
  <c r="I12" i="11" a="1"/>
  <c r="I12" i="11" s="1"/>
  <c r="J12" i="11" a="1"/>
  <c r="J12" i="11" s="1"/>
  <c r="K12" i="11" a="1"/>
  <c r="K12" i="11" s="1"/>
  <c r="L12" i="11" a="1"/>
  <c r="L12" i="11" s="1"/>
  <c r="M12" i="11" a="1"/>
  <c r="M12" i="11" s="1"/>
  <c r="N12" i="11" a="1"/>
  <c r="N12" i="11" s="1"/>
  <c r="O12" i="11" a="1"/>
  <c r="O12" i="11" s="1"/>
  <c r="P12" i="11" a="1"/>
  <c r="P12" i="11" s="1"/>
  <c r="Q12" i="11" a="1"/>
  <c r="Q12" i="11" s="1"/>
  <c r="R12" i="11" a="1"/>
  <c r="R12" i="11" s="1"/>
  <c r="S12" i="11" a="1"/>
  <c r="S12" i="11" s="1"/>
  <c r="T12" i="11" a="1"/>
  <c r="T12" i="11" s="1"/>
  <c r="U12" i="11" a="1"/>
  <c r="U12" i="11" s="1"/>
  <c r="V12" i="11" a="1"/>
  <c r="V12" i="11" s="1"/>
  <c r="W12" i="11" a="1"/>
  <c r="W12" i="11" s="1"/>
  <c r="X12" i="11" a="1"/>
  <c r="X12" i="11" s="1"/>
  <c r="Y12" i="11" a="1"/>
  <c r="Y12" i="11" s="1"/>
  <c r="Z12" i="11" a="1"/>
  <c r="Z12" i="11" s="1"/>
  <c r="AA12" i="11" a="1"/>
  <c r="AA12" i="11" s="1"/>
  <c r="AB12" i="11" a="1"/>
  <c r="AB12" i="11" s="1"/>
  <c r="AC12" i="11" a="1"/>
  <c r="AC12" i="11" s="1"/>
  <c r="AD12" i="11" a="1"/>
  <c r="AD12" i="11" s="1"/>
  <c r="AE12" i="11" a="1"/>
  <c r="AE12" i="11" s="1"/>
  <c r="AF12" i="11" a="1"/>
  <c r="AF12" i="11" s="1"/>
  <c r="AG12" i="11" a="1"/>
  <c r="AG12" i="11" s="1"/>
  <c r="AH12" i="11" a="1"/>
  <c r="AH12" i="11" s="1"/>
  <c r="AI12" i="11" a="1"/>
  <c r="AI12" i="11" s="1"/>
  <c r="AJ12" i="11" a="1"/>
  <c r="AJ12" i="11" s="1"/>
  <c r="AK12" i="11" a="1"/>
  <c r="AK12" i="11" s="1"/>
  <c r="AL12" i="11" a="1"/>
  <c r="AL12" i="11" s="1"/>
  <c r="AM12" i="11" a="1"/>
  <c r="AM12" i="11" s="1"/>
  <c r="AP12" i="11" a="1"/>
  <c r="AP12" i="11" s="1"/>
  <c r="AQ12" i="11" a="1"/>
  <c r="AQ12" i="11" s="1"/>
  <c r="AR12" i="11" a="1"/>
  <c r="AR12" i="11" s="1"/>
  <c r="AS12" i="11" a="1"/>
  <c r="AS12" i="11" s="1"/>
  <c r="AT12" i="11" a="1"/>
  <c r="AT12" i="11" s="1"/>
  <c r="B11" i="11" a="1"/>
  <c r="B11" i="11" s="1"/>
  <c r="C11" i="11" a="1"/>
  <c r="C11" i="11" s="1"/>
  <c r="D11" i="11" a="1"/>
  <c r="D11" i="11" s="1"/>
  <c r="E11" i="11" a="1"/>
  <c r="E11" i="11" s="1"/>
  <c r="F11" i="11" a="1"/>
  <c r="F11" i="11" s="1"/>
  <c r="G11" i="11" a="1"/>
  <c r="G11" i="11" s="1"/>
  <c r="H11" i="11" a="1"/>
  <c r="H11" i="11" s="1"/>
  <c r="I11" i="11" a="1"/>
  <c r="I11" i="11" s="1"/>
  <c r="J11" i="11" a="1"/>
  <c r="J11" i="11" s="1"/>
  <c r="K11" i="11" a="1"/>
  <c r="K11" i="11" s="1"/>
  <c r="L11" i="11" a="1"/>
  <c r="L11" i="11" s="1"/>
  <c r="M11" i="11" a="1"/>
  <c r="M11" i="11" s="1"/>
  <c r="N11" i="11" a="1"/>
  <c r="N11" i="11" s="1"/>
  <c r="O11" i="11" a="1"/>
  <c r="O11" i="11" s="1"/>
  <c r="P11" i="11" a="1"/>
  <c r="P11" i="11" s="1"/>
  <c r="Q11" i="11" a="1"/>
  <c r="Q11" i="11" s="1"/>
  <c r="R11" i="11" a="1"/>
  <c r="R11" i="11" s="1"/>
  <c r="S11" i="11" a="1"/>
  <c r="S11" i="11" s="1"/>
  <c r="T11" i="11" a="1"/>
  <c r="T11" i="11" s="1"/>
  <c r="U11" i="11" a="1"/>
  <c r="U11" i="11" s="1"/>
  <c r="V11" i="11" a="1"/>
  <c r="V11" i="11" s="1"/>
  <c r="W11" i="11" a="1"/>
  <c r="W11" i="11" s="1"/>
  <c r="X11" i="11" a="1"/>
  <c r="X11" i="11" s="1"/>
  <c r="Y11" i="11" a="1"/>
  <c r="Y11" i="11" s="1"/>
  <c r="Z11" i="11" a="1"/>
  <c r="Z11" i="11" s="1"/>
  <c r="AA11" i="11" a="1"/>
  <c r="AA11" i="11" s="1"/>
  <c r="AB11" i="11" a="1"/>
  <c r="AB11" i="11" s="1"/>
  <c r="AC11" i="11" a="1"/>
  <c r="AC11" i="11" s="1"/>
  <c r="AD11" i="11" a="1"/>
  <c r="AD11" i="11" s="1"/>
  <c r="AE11" i="11" a="1"/>
  <c r="AE11" i="11" s="1"/>
  <c r="AF11" i="11" a="1"/>
  <c r="AF11" i="11" s="1"/>
  <c r="AG11" i="11" a="1"/>
  <c r="AG11" i="11" s="1"/>
  <c r="AH11" i="11" a="1"/>
  <c r="AH11" i="11" s="1"/>
  <c r="AI11" i="11" a="1"/>
  <c r="AI11" i="11" s="1"/>
  <c r="AJ11" i="11" a="1"/>
  <c r="AJ11" i="11" s="1"/>
  <c r="AK11" i="11" a="1"/>
  <c r="AK11" i="11" s="1"/>
  <c r="AL11" i="11" a="1"/>
  <c r="AL11" i="11" s="1"/>
  <c r="AM11" i="11" a="1"/>
  <c r="AM11" i="11" s="1"/>
  <c r="AP11" i="11" a="1"/>
  <c r="AP11" i="11" s="1"/>
  <c r="AQ11" i="11" a="1"/>
  <c r="AQ11" i="11" s="1"/>
  <c r="AR11" i="11" a="1"/>
  <c r="AR11" i="11" s="1"/>
  <c r="AS11" i="11" a="1"/>
  <c r="AS11" i="11" s="1"/>
  <c r="AT11" i="11" a="1"/>
  <c r="AT11" i="11" s="1"/>
  <c r="B10" i="11" a="1"/>
  <c r="B10" i="11" s="1"/>
  <c r="C10" i="11" a="1"/>
  <c r="C10" i="11" s="1"/>
  <c r="D10" i="11" a="1"/>
  <c r="D10" i="11" s="1"/>
  <c r="E10" i="11" a="1"/>
  <c r="E10" i="11" s="1"/>
  <c r="F10" i="11" a="1"/>
  <c r="F10" i="11" s="1"/>
  <c r="G10" i="11" a="1"/>
  <c r="G10" i="11" s="1"/>
  <c r="H10" i="11" a="1"/>
  <c r="H10" i="11" s="1"/>
  <c r="I10" i="11" a="1"/>
  <c r="I10" i="11" s="1"/>
  <c r="J10" i="11" a="1"/>
  <c r="J10" i="11" s="1"/>
  <c r="K10" i="11" a="1"/>
  <c r="K10" i="11" s="1"/>
  <c r="L10" i="11" a="1"/>
  <c r="L10" i="11" s="1"/>
  <c r="M10" i="11" a="1"/>
  <c r="M10" i="11" s="1"/>
  <c r="N10" i="11" a="1"/>
  <c r="N10" i="11" s="1"/>
  <c r="O10" i="11" a="1"/>
  <c r="O10" i="11" s="1"/>
  <c r="P10" i="11" a="1"/>
  <c r="P10" i="11" s="1"/>
  <c r="Q10" i="11" a="1"/>
  <c r="Q10" i="11" s="1"/>
  <c r="R10" i="11" a="1"/>
  <c r="R10" i="11" s="1"/>
  <c r="S10" i="11" a="1"/>
  <c r="S10" i="11" s="1"/>
  <c r="T10" i="11" a="1"/>
  <c r="T10" i="11" s="1"/>
  <c r="U10" i="11" a="1"/>
  <c r="U10" i="11" s="1"/>
  <c r="V10" i="11" a="1"/>
  <c r="V10" i="11" s="1"/>
  <c r="W10" i="11" a="1"/>
  <c r="W10" i="11" s="1"/>
  <c r="X10" i="11" a="1"/>
  <c r="X10" i="11" s="1"/>
  <c r="Y10" i="11" a="1"/>
  <c r="Y10" i="11" s="1"/>
  <c r="Z10" i="11" a="1"/>
  <c r="Z10" i="11" s="1"/>
  <c r="AA10" i="11" a="1"/>
  <c r="AA10" i="11" s="1"/>
  <c r="AB10" i="11" a="1"/>
  <c r="AB10" i="11" s="1"/>
  <c r="AC10" i="11" a="1"/>
  <c r="AC10" i="11" s="1"/>
  <c r="AD10" i="11" a="1"/>
  <c r="AD10" i="11" s="1"/>
  <c r="AE10" i="11" a="1"/>
  <c r="AE10" i="11" s="1"/>
  <c r="AF10" i="11" a="1"/>
  <c r="AF10" i="11" s="1"/>
  <c r="AG10" i="11" a="1"/>
  <c r="AG10" i="11" s="1"/>
  <c r="AH10" i="11" a="1"/>
  <c r="AH10" i="11" s="1"/>
  <c r="AI10" i="11" a="1"/>
  <c r="AI10" i="11" s="1"/>
  <c r="AJ10" i="11" a="1"/>
  <c r="AJ10" i="11" s="1"/>
  <c r="AK10" i="11" a="1"/>
  <c r="AK10" i="11" s="1"/>
  <c r="AL10" i="11" a="1"/>
  <c r="AL10" i="11" s="1"/>
  <c r="AM10" i="11" a="1"/>
  <c r="AM10" i="11" s="1"/>
  <c r="AP10" i="11" a="1"/>
  <c r="AP10" i="11" s="1"/>
  <c r="AQ10" i="11" a="1"/>
  <c r="AQ10" i="11" s="1"/>
  <c r="AR10" i="11" a="1"/>
  <c r="AR10" i="11" s="1"/>
  <c r="AS10" i="11" a="1"/>
  <c r="AS10" i="11" s="1"/>
  <c r="AT10" i="11" a="1"/>
  <c r="AT10" i="11" s="1"/>
  <c r="B9" i="11" a="1"/>
  <c r="B9" i="11" s="1"/>
  <c r="C9" i="11" a="1"/>
  <c r="C9" i="11" s="1"/>
  <c r="D9" i="11" a="1"/>
  <c r="D9" i="11" s="1"/>
  <c r="E9" i="11" a="1"/>
  <c r="E9" i="11" s="1"/>
  <c r="F9" i="11" a="1"/>
  <c r="F9" i="11" s="1"/>
  <c r="G9" i="11" a="1"/>
  <c r="G9" i="11" s="1"/>
  <c r="H9" i="11" a="1"/>
  <c r="H9" i="11" s="1"/>
  <c r="I9" i="11" a="1"/>
  <c r="I9" i="11" s="1"/>
  <c r="J9" i="11" a="1"/>
  <c r="J9" i="11" s="1"/>
  <c r="K9" i="11" a="1"/>
  <c r="K9" i="11" s="1"/>
  <c r="L9" i="11" a="1"/>
  <c r="L9" i="11" s="1"/>
  <c r="M9" i="11" a="1"/>
  <c r="M9" i="11" s="1"/>
  <c r="N9" i="11" a="1"/>
  <c r="N9" i="11" s="1"/>
  <c r="O9" i="11" a="1"/>
  <c r="O9" i="11" s="1"/>
  <c r="P9" i="11" a="1"/>
  <c r="P9" i="11" s="1"/>
  <c r="Q9" i="11" a="1"/>
  <c r="Q9" i="11" s="1"/>
  <c r="R9" i="11" a="1"/>
  <c r="R9" i="11" s="1"/>
  <c r="S9" i="11" a="1"/>
  <c r="S9" i="11" s="1"/>
  <c r="T9" i="11" a="1"/>
  <c r="T9" i="11" s="1"/>
  <c r="U9" i="11" a="1"/>
  <c r="U9" i="11" s="1"/>
  <c r="V9" i="11" a="1"/>
  <c r="V9" i="11" s="1"/>
  <c r="W9" i="11" a="1"/>
  <c r="W9" i="11" s="1"/>
  <c r="X9" i="11" a="1"/>
  <c r="X9" i="11" s="1"/>
  <c r="Y9" i="11" a="1"/>
  <c r="Y9" i="11" s="1"/>
  <c r="Z9" i="11" a="1"/>
  <c r="Z9" i="11" s="1"/>
  <c r="AA9" i="11" a="1"/>
  <c r="AA9" i="11" s="1"/>
  <c r="AB9" i="11" a="1"/>
  <c r="AB9" i="11" s="1"/>
  <c r="AC9" i="11" a="1"/>
  <c r="AC9" i="11" s="1"/>
  <c r="AD9" i="11" a="1"/>
  <c r="AD9" i="11" s="1"/>
  <c r="AE9" i="11" a="1"/>
  <c r="AE9" i="11" s="1"/>
  <c r="AF9" i="11" a="1"/>
  <c r="AF9" i="11" s="1"/>
  <c r="AG9" i="11" a="1"/>
  <c r="AG9" i="11" s="1"/>
  <c r="AH9" i="11" a="1"/>
  <c r="AH9" i="11" s="1"/>
  <c r="AI9" i="11" a="1"/>
  <c r="AI9" i="11" s="1"/>
  <c r="AJ9" i="11" a="1"/>
  <c r="AJ9" i="11" s="1"/>
  <c r="AK9" i="11" a="1"/>
  <c r="AK9" i="11" s="1"/>
  <c r="AL9" i="11" a="1"/>
  <c r="AL9" i="11" s="1"/>
  <c r="AM9" i="11" a="1"/>
  <c r="AM9" i="11" s="1"/>
  <c r="AP9" i="11" a="1"/>
  <c r="AP9" i="11" s="1"/>
  <c r="AQ9" i="11" a="1"/>
  <c r="AQ9" i="11" s="1"/>
  <c r="AR9" i="11" a="1"/>
  <c r="AR9" i="11" s="1"/>
  <c r="AS9" i="11" a="1"/>
  <c r="AS9" i="11" s="1"/>
  <c r="AT9" i="11" a="1"/>
  <c r="AT9" i="11" s="1"/>
  <c r="B8" i="11" a="1"/>
  <c r="B8" i="11" s="1"/>
  <c r="C8" i="11" a="1"/>
  <c r="C8" i="11" s="1"/>
  <c r="D8" i="11" a="1"/>
  <c r="D8" i="11" s="1"/>
  <c r="E8" i="11" a="1"/>
  <c r="E8" i="11" s="1"/>
  <c r="F8" i="11" a="1"/>
  <c r="F8" i="11" s="1"/>
  <c r="G8" i="11" a="1"/>
  <c r="G8" i="11" s="1"/>
  <c r="H8" i="11" a="1"/>
  <c r="H8" i="11" s="1"/>
  <c r="I8" i="11" a="1"/>
  <c r="I8" i="11" s="1"/>
  <c r="J8" i="11" a="1"/>
  <c r="J8" i="11" s="1"/>
  <c r="K8" i="11" a="1"/>
  <c r="K8" i="11" s="1"/>
  <c r="L8" i="11" a="1"/>
  <c r="L8" i="11" s="1"/>
  <c r="M8" i="11" a="1"/>
  <c r="M8" i="11" s="1"/>
  <c r="N8" i="11" a="1"/>
  <c r="N8" i="11" s="1"/>
  <c r="O8" i="11" a="1"/>
  <c r="O8" i="11" s="1"/>
  <c r="P8" i="11" a="1"/>
  <c r="P8" i="11" s="1"/>
  <c r="Q8" i="11" a="1"/>
  <c r="Q8" i="11" s="1"/>
  <c r="R8" i="11" a="1"/>
  <c r="R8" i="11" s="1"/>
  <c r="S8" i="11" a="1"/>
  <c r="S8" i="11" s="1"/>
  <c r="T8" i="11" a="1"/>
  <c r="T8" i="11" s="1"/>
  <c r="U8" i="11" a="1"/>
  <c r="U8" i="11" s="1"/>
  <c r="V8" i="11" a="1"/>
  <c r="V8" i="11" s="1"/>
  <c r="W8" i="11" a="1"/>
  <c r="W8" i="11" s="1"/>
  <c r="X8" i="11" a="1"/>
  <c r="X8" i="11" s="1"/>
  <c r="Y8" i="11" a="1"/>
  <c r="Y8" i="11" s="1"/>
  <c r="Z8" i="11" a="1"/>
  <c r="Z8" i="11" s="1"/>
  <c r="AA8" i="11" a="1"/>
  <c r="AA8" i="11" s="1"/>
  <c r="AB8" i="11" a="1"/>
  <c r="AB8" i="11" s="1"/>
  <c r="AC8" i="11" a="1"/>
  <c r="AC8" i="11" s="1"/>
  <c r="AD8" i="11" a="1"/>
  <c r="AD8" i="11" s="1"/>
  <c r="AE8" i="11" a="1"/>
  <c r="AE8" i="11" s="1"/>
  <c r="AF8" i="11" a="1"/>
  <c r="AF8" i="11" s="1"/>
  <c r="AG8" i="11" a="1"/>
  <c r="AG8" i="11" s="1"/>
  <c r="AH8" i="11" a="1"/>
  <c r="AH8" i="11" s="1"/>
  <c r="AI8" i="11" a="1"/>
  <c r="AI8" i="11" s="1"/>
  <c r="AJ8" i="11" a="1"/>
  <c r="AJ8" i="11" s="1"/>
  <c r="AK8" i="11" a="1"/>
  <c r="AK8" i="11" s="1"/>
  <c r="AL8" i="11" a="1"/>
  <c r="AL8" i="11" s="1"/>
  <c r="AM8" i="11" a="1"/>
  <c r="AM8" i="11" s="1"/>
  <c r="AP8" i="11" a="1"/>
  <c r="AP8" i="11" s="1"/>
  <c r="AQ8" i="11" a="1"/>
  <c r="AQ8" i="11" s="1"/>
  <c r="AR8" i="11" a="1"/>
  <c r="AR8" i="11" s="1"/>
  <c r="AS8" i="11" a="1"/>
  <c r="AS8" i="11" s="1"/>
  <c r="AT8" i="11" a="1"/>
  <c r="AT8" i="11" s="1"/>
  <c r="B7" i="11" a="1"/>
  <c r="B7" i="11" s="1"/>
  <c r="C7" i="11" a="1"/>
  <c r="C7" i="11" s="1"/>
  <c r="D7" i="11" a="1"/>
  <c r="D7" i="11" s="1"/>
  <c r="E7" i="11" a="1"/>
  <c r="E7" i="11" s="1"/>
  <c r="F7" i="11" a="1"/>
  <c r="F7" i="11" s="1"/>
  <c r="G7" i="11" a="1"/>
  <c r="G7" i="11" s="1"/>
  <c r="H7" i="11" a="1"/>
  <c r="H7" i="11" s="1"/>
  <c r="I7" i="11" a="1"/>
  <c r="I7" i="11" s="1"/>
  <c r="J7" i="11" a="1"/>
  <c r="J7" i="11" s="1"/>
  <c r="K7" i="11" a="1"/>
  <c r="K7" i="11" s="1"/>
  <c r="L7" i="11" a="1"/>
  <c r="L7" i="11" s="1"/>
  <c r="M7" i="11" a="1"/>
  <c r="M7" i="11" s="1"/>
  <c r="N7" i="11" a="1"/>
  <c r="N7" i="11" s="1"/>
  <c r="O7" i="11" a="1"/>
  <c r="O7" i="11" s="1"/>
  <c r="P7" i="11" a="1"/>
  <c r="P7" i="11" s="1"/>
  <c r="Q7" i="11" a="1"/>
  <c r="Q7" i="11" s="1"/>
  <c r="R7" i="11" a="1"/>
  <c r="R7" i="11" s="1"/>
  <c r="S7" i="11" a="1"/>
  <c r="S7" i="11" s="1"/>
  <c r="T7" i="11" a="1"/>
  <c r="T7" i="11" s="1"/>
  <c r="U7" i="11" a="1"/>
  <c r="U7" i="11" s="1"/>
  <c r="V7" i="11" a="1"/>
  <c r="V7" i="11" s="1"/>
  <c r="W7" i="11" a="1"/>
  <c r="W7" i="11" s="1"/>
  <c r="X7" i="11" a="1"/>
  <c r="X7" i="11" s="1"/>
  <c r="Y7" i="11" a="1"/>
  <c r="Y7" i="11" s="1"/>
  <c r="Z7" i="11" a="1"/>
  <c r="Z7" i="11" s="1"/>
  <c r="AA7" i="11" a="1"/>
  <c r="AA7" i="11" s="1"/>
  <c r="AB7" i="11" a="1"/>
  <c r="AB7" i="11" s="1"/>
  <c r="AC7" i="11" a="1"/>
  <c r="AC7" i="11" s="1"/>
  <c r="AD7" i="11" a="1"/>
  <c r="AD7" i="11" s="1"/>
  <c r="AE7" i="11" a="1"/>
  <c r="AE7" i="11" s="1"/>
  <c r="AF7" i="11" a="1"/>
  <c r="AF7" i="11" s="1"/>
  <c r="AG7" i="11" a="1"/>
  <c r="AG7" i="11" s="1"/>
  <c r="AH7" i="11" a="1"/>
  <c r="AH7" i="11" s="1"/>
  <c r="AI7" i="11" a="1"/>
  <c r="AI7" i="11" s="1"/>
  <c r="AJ7" i="11" a="1"/>
  <c r="AJ7" i="11" s="1"/>
  <c r="AK7" i="11" a="1"/>
  <c r="AK7" i="11" s="1"/>
  <c r="AL7" i="11" a="1"/>
  <c r="AL7" i="11" s="1"/>
  <c r="AM7" i="11" a="1"/>
  <c r="AM7" i="11" s="1"/>
  <c r="AP7" i="11" a="1"/>
  <c r="AP7" i="11" s="1"/>
  <c r="AQ7" i="11" a="1"/>
  <c r="AQ7" i="11" s="1"/>
  <c r="AR7" i="11" a="1"/>
  <c r="AR7" i="11" s="1"/>
  <c r="AS7" i="11" a="1"/>
  <c r="AS7" i="11" s="1"/>
  <c r="AT7" i="11" a="1"/>
  <c r="AT7" i="11" s="1"/>
  <c r="B6" i="11" a="1"/>
  <c r="B6" i="11" s="1"/>
  <c r="C6" i="11" a="1"/>
  <c r="C6" i="11" s="1"/>
  <c r="D6" i="11" a="1"/>
  <c r="D6" i="11" s="1"/>
  <c r="E6" i="11" a="1"/>
  <c r="E6" i="11" s="1"/>
  <c r="F6" i="11" a="1"/>
  <c r="F6" i="11" s="1"/>
  <c r="G6" i="11" a="1"/>
  <c r="G6" i="11" s="1"/>
  <c r="H6" i="11" a="1"/>
  <c r="H6" i="11" s="1"/>
  <c r="I6" i="11" a="1"/>
  <c r="I6" i="11" s="1"/>
  <c r="J6" i="11" a="1"/>
  <c r="J6" i="11" s="1"/>
  <c r="K6" i="11" a="1"/>
  <c r="K6" i="11" s="1"/>
  <c r="L6" i="11" a="1"/>
  <c r="L6" i="11" s="1"/>
  <c r="M6" i="11" a="1"/>
  <c r="M6" i="11" s="1"/>
  <c r="N6" i="11" a="1"/>
  <c r="N6" i="11" s="1"/>
  <c r="O6" i="11" a="1"/>
  <c r="O6" i="11" s="1"/>
  <c r="P6" i="11" a="1"/>
  <c r="P6" i="11" s="1"/>
  <c r="Q6" i="11" a="1"/>
  <c r="Q6" i="11" s="1"/>
  <c r="R6" i="11" a="1"/>
  <c r="R6" i="11" s="1"/>
  <c r="S6" i="11" a="1"/>
  <c r="S6" i="11" s="1"/>
  <c r="T6" i="11" a="1"/>
  <c r="T6" i="11" s="1"/>
  <c r="U6" i="11" a="1"/>
  <c r="U6" i="11" s="1"/>
  <c r="V6" i="11" a="1"/>
  <c r="V6" i="11" s="1"/>
  <c r="W6" i="11" a="1"/>
  <c r="W6" i="11" s="1"/>
  <c r="X6" i="11" a="1"/>
  <c r="X6" i="11" s="1"/>
  <c r="Y6" i="11" a="1"/>
  <c r="Y6" i="11" s="1"/>
  <c r="Z6" i="11" a="1"/>
  <c r="Z6" i="11" s="1"/>
  <c r="AA6" i="11" a="1"/>
  <c r="AA6" i="11" s="1"/>
  <c r="AB6" i="11" a="1"/>
  <c r="AB6" i="11" s="1"/>
  <c r="AC6" i="11" a="1"/>
  <c r="AC6" i="11" s="1"/>
  <c r="AD6" i="11" a="1"/>
  <c r="AD6" i="11" s="1"/>
  <c r="AE6" i="11" a="1"/>
  <c r="AE6" i="11" s="1"/>
  <c r="AF6" i="11" a="1"/>
  <c r="AF6" i="11" s="1"/>
  <c r="AG6" i="11" a="1"/>
  <c r="AG6" i="11" s="1"/>
  <c r="AH6" i="11" a="1"/>
  <c r="AH6" i="11" s="1"/>
  <c r="AI6" i="11" a="1"/>
  <c r="AI6" i="11" s="1"/>
  <c r="AJ6" i="11" a="1"/>
  <c r="AJ6" i="11" s="1"/>
  <c r="AK6" i="11" a="1"/>
  <c r="AK6" i="11" s="1"/>
  <c r="AL6" i="11" a="1"/>
  <c r="AL6" i="11" s="1"/>
  <c r="AM6" i="11" a="1"/>
  <c r="AM6" i="11" s="1"/>
  <c r="AP6" i="11" a="1"/>
  <c r="AP6" i="11" s="1"/>
  <c r="AQ6" i="11" a="1"/>
  <c r="AQ6" i="11" s="1"/>
  <c r="AR6" i="11" a="1"/>
  <c r="AR6" i="11" s="1"/>
  <c r="AS6" i="11" a="1"/>
  <c r="AS6" i="11" s="1"/>
  <c r="AT6" i="11" a="1"/>
  <c r="AT6" i="11" s="1"/>
  <c r="B5" i="11" a="1"/>
  <c r="B5" i="11" s="1"/>
  <c r="C5" i="11" a="1"/>
  <c r="C5" i="11" s="1"/>
  <c r="D5" i="11" a="1"/>
  <c r="D5" i="11" s="1"/>
  <c r="E5" i="11" a="1"/>
  <c r="E5" i="11" s="1"/>
  <c r="F5" i="11" a="1"/>
  <c r="F5" i="11" s="1"/>
  <c r="G5" i="11" a="1"/>
  <c r="G5" i="11" s="1"/>
  <c r="I5" i="11" a="1"/>
  <c r="I5" i="11" s="1"/>
  <c r="J5" i="11" a="1"/>
  <c r="J5" i="11" s="1"/>
  <c r="K5" i="11" a="1"/>
  <c r="K5" i="11" s="1"/>
  <c r="L5" i="11" a="1"/>
  <c r="L5" i="11" s="1"/>
  <c r="M5" i="11" a="1"/>
  <c r="M5" i="11" s="1"/>
  <c r="N5" i="11" a="1"/>
  <c r="N5" i="11" s="1"/>
  <c r="O5" i="11" a="1"/>
  <c r="O5" i="11" s="1"/>
  <c r="P5" i="11" a="1"/>
  <c r="P5" i="11" s="1"/>
  <c r="Q5" i="11" a="1"/>
  <c r="Q5" i="11" s="1"/>
  <c r="R5" i="11" a="1"/>
  <c r="R5" i="11" s="1"/>
  <c r="S5" i="11" a="1"/>
  <c r="S5" i="11" s="1"/>
  <c r="T5" i="11" a="1"/>
  <c r="T5" i="11" s="1"/>
  <c r="U5" i="11" a="1"/>
  <c r="U5" i="11" s="1"/>
  <c r="V5" i="11" a="1"/>
  <c r="V5" i="11" s="1"/>
  <c r="W5" i="11" a="1"/>
  <c r="W5" i="11" s="1"/>
  <c r="X5" i="11" a="1"/>
  <c r="X5" i="11" s="1"/>
  <c r="Y5" i="11" a="1"/>
  <c r="Y5" i="11" s="1"/>
  <c r="Z5" i="11" a="1"/>
  <c r="Z5" i="11" s="1"/>
  <c r="AA5" i="11" a="1"/>
  <c r="AA5" i="11" s="1"/>
  <c r="AB5" i="11" a="1"/>
  <c r="AB5" i="11" s="1"/>
  <c r="AC5" i="11" a="1"/>
  <c r="AC5" i="11" s="1"/>
  <c r="AD5" i="11" a="1"/>
  <c r="AD5" i="11" s="1"/>
  <c r="AE5" i="11" a="1"/>
  <c r="AE5" i="11" s="1"/>
  <c r="AF5" i="11" a="1"/>
  <c r="AF5" i="11" s="1"/>
  <c r="AG5" i="11" a="1"/>
  <c r="AG5" i="11" s="1"/>
  <c r="AH5" i="11" a="1"/>
  <c r="AH5" i="11" s="1"/>
  <c r="AI5" i="11" a="1"/>
  <c r="AI5" i="11" s="1"/>
  <c r="AJ5" i="11" a="1"/>
  <c r="AJ5" i="11" s="1"/>
  <c r="AK5" i="11" a="1"/>
  <c r="AK5" i="11" s="1"/>
  <c r="AL5" i="11" a="1"/>
  <c r="AL5" i="11" s="1"/>
  <c r="AM5" i="11" a="1"/>
  <c r="AM5" i="11" s="1"/>
  <c r="AP5" i="11" a="1"/>
  <c r="AP5" i="11" s="1"/>
  <c r="AQ5" i="11" a="1"/>
  <c r="AQ5" i="11" s="1"/>
  <c r="AR5" i="11" a="1"/>
  <c r="AR5" i="11" s="1"/>
  <c r="AS5" i="11" a="1"/>
  <c r="AS5" i="11" s="1"/>
  <c r="AT5" i="11" a="1"/>
  <c r="AT5" i="11" s="1"/>
  <c r="AW36" i="11"/>
  <c r="AX36" i="11"/>
  <c r="AY36" i="11"/>
  <c r="BB36" i="11"/>
  <c r="AZ35" i="11" l="1"/>
  <c r="AN35" i="11"/>
  <c r="AU35" i="11" s="1"/>
  <c r="AZ34" i="11"/>
  <c r="AN34" i="11"/>
  <c r="AU34" i="11" s="1"/>
  <c r="AZ33" i="11"/>
  <c r="AN33" i="11"/>
  <c r="AU33" i="11" s="1"/>
  <c r="AZ32" i="11"/>
  <c r="AN32" i="11"/>
  <c r="AU32" i="11" s="1"/>
  <c r="AZ31" i="11"/>
  <c r="AN31" i="11"/>
  <c r="AU31" i="11" s="1"/>
  <c r="AZ30" i="11"/>
  <c r="AN30" i="11"/>
  <c r="AU30" i="11" s="1"/>
  <c r="AZ29" i="11"/>
  <c r="AN29" i="11"/>
  <c r="AU29" i="11" s="1"/>
  <c r="AZ28" i="11"/>
  <c r="AN28" i="11"/>
  <c r="AU28" i="11" s="1"/>
  <c r="AZ27" i="11"/>
  <c r="AN27" i="11"/>
  <c r="AU27" i="11" s="1"/>
  <c r="AZ26" i="11"/>
  <c r="AN26" i="11"/>
  <c r="AU26" i="11" s="1"/>
  <c r="AZ25" i="11"/>
  <c r="AN25" i="11"/>
  <c r="AU25" i="11" s="1"/>
  <c r="AZ24" i="11"/>
  <c r="AN24" i="11"/>
  <c r="AU24" i="11" s="1"/>
  <c r="AZ23" i="11"/>
  <c r="AN23" i="11"/>
  <c r="AU23" i="11" s="1"/>
  <c r="AZ22" i="11"/>
  <c r="AN22" i="11"/>
  <c r="AU22" i="11" s="1"/>
  <c r="AZ21" i="11"/>
  <c r="AN21" i="11"/>
  <c r="AU21" i="11" s="1"/>
  <c r="AZ20" i="11"/>
  <c r="AN20" i="11"/>
  <c r="AU20" i="11" s="1"/>
  <c r="AZ19" i="11"/>
  <c r="AN19" i="11"/>
  <c r="AU19" i="11" s="1"/>
  <c r="AZ18" i="11"/>
  <c r="AN18" i="11"/>
  <c r="AU18" i="11" s="1"/>
  <c r="AZ17" i="11"/>
  <c r="AN17" i="11"/>
  <c r="AU17" i="11" s="1"/>
  <c r="AZ16" i="11"/>
  <c r="AN16" i="11"/>
  <c r="AU16" i="11" s="1"/>
  <c r="AZ15" i="11"/>
  <c r="AN15" i="11"/>
  <c r="AU15" i="11" s="1"/>
  <c r="AZ14" i="11"/>
  <c r="AN14" i="11"/>
  <c r="AU14" i="11" s="1"/>
  <c r="AZ13" i="11"/>
  <c r="AN13" i="11"/>
  <c r="AU13" i="11" s="1"/>
  <c r="AZ12" i="11"/>
  <c r="AN12" i="11"/>
  <c r="AU12" i="11" s="1"/>
  <c r="AZ11" i="11"/>
  <c r="AN11" i="11"/>
  <c r="AU11" i="11" s="1"/>
  <c r="AZ10" i="11"/>
  <c r="AN10" i="11"/>
  <c r="AU10" i="11" s="1"/>
  <c r="AZ9" i="11"/>
  <c r="AN9" i="11"/>
  <c r="AU9" i="11" s="1"/>
  <c r="AZ8" i="11"/>
  <c r="AN8" i="11"/>
  <c r="AU8" i="11" s="1"/>
  <c r="AS36" i="11"/>
  <c r="C30" i="126" s="1"/>
  <c r="G30" i="155" s="1"/>
  <c r="AZ7" i="11"/>
  <c r="AN7" i="11"/>
  <c r="AU7" i="11" s="1"/>
  <c r="AQ36" i="11"/>
  <c r="AT36" i="11"/>
  <c r="AP36" i="11"/>
  <c r="AZ6" i="11"/>
  <c r="AN6" i="11"/>
  <c r="AU6" i="11" s="1"/>
  <c r="AL36" i="11"/>
  <c r="AD36" i="11"/>
  <c r="V36" i="11"/>
  <c r="C21" i="126" s="1"/>
  <c r="M23" i="155" s="1"/>
  <c r="N36" i="11"/>
  <c r="C19" i="162" s="1"/>
  <c r="J21" i="155" s="1"/>
  <c r="F36" i="11"/>
  <c r="C18" i="162" s="1"/>
  <c r="J20" i="155" s="1"/>
  <c r="AG36" i="11"/>
  <c r="C20" i="126" s="1"/>
  <c r="M22" i="155" s="1"/>
  <c r="Y36" i="11"/>
  <c r="C14" i="162" s="1"/>
  <c r="J17" i="155" s="1"/>
  <c r="Q36" i="11"/>
  <c r="C34" i="126" s="1"/>
  <c r="I36" i="11"/>
  <c r="C33" i="126" s="1"/>
  <c r="M33" i="155" s="1"/>
  <c r="AM36" i="11"/>
  <c r="C35" i="126" s="1"/>
  <c r="M35" i="155" s="1"/>
  <c r="AE36" i="11"/>
  <c r="C36" i="126" s="1"/>
  <c r="M36" i="155" s="1"/>
  <c r="W36" i="11"/>
  <c r="C6" i="126" s="1"/>
  <c r="M10" i="155" s="1"/>
  <c r="O36" i="11"/>
  <c r="C4" i="162" s="1"/>
  <c r="J8" i="155" s="1"/>
  <c r="G36" i="11"/>
  <c r="C3" i="162" s="1"/>
  <c r="J7" i="155" s="1"/>
  <c r="AJ36" i="11"/>
  <c r="AB36" i="11"/>
  <c r="C46" i="162" s="1"/>
  <c r="T36" i="11"/>
  <c r="C37" i="126" s="1"/>
  <c r="P38" i="155" s="1"/>
  <c r="L36" i="11"/>
  <c r="C4" i="126" s="1"/>
  <c r="M8" i="155" s="1"/>
  <c r="D36" i="11"/>
  <c r="C3" i="126" s="1"/>
  <c r="M7" i="155" s="1"/>
  <c r="AR36" i="11"/>
  <c r="C47" i="126" s="1"/>
  <c r="V37" i="155" s="1"/>
  <c r="AK36" i="11"/>
  <c r="AC36" i="11"/>
  <c r="C28" i="126" s="1"/>
  <c r="M29" i="155" s="1"/>
  <c r="U36" i="11"/>
  <c r="C14" i="126" s="1"/>
  <c r="M17" i="155" s="1"/>
  <c r="M36" i="11"/>
  <c r="C12" i="162" s="1"/>
  <c r="J15" i="155" s="1"/>
  <c r="E36" i="11"/>
  <c r="C11" i="162" s="1"/>
  <c r="J14" i="155" s="1"/>
  <c r="AI36" i="11"/>
  <c r="C27" i="126" s="1"/>
  <c r="M28" i="155" s="1"/>
  <c r="AA36" i="11"/>
  <c r="C6" i="162" s="1"/>
  <c r="J10" i="155" s="1"/>
  <c r="S36" i="11"/>
  <c r="C29" i="126" s="1"/>
  <c r="P31" i="155" s="1"/>
  <c r="K36" i="11"/>
  <c r="C19" i="126" s="1"/>
  <c r="M21" i="155" s="1"/>
  <c r="C36" i="11"/>
  <c r="C18" i="126" s="1"/>
  <c r="M20" i="155" s="1"/>
  <c r="AH36" i="11"/>
  <c r="C5" i="126" s="1"/>
  <c r="M9" i="155" s="1"/>
  <c r="Z36" i="11"/>
  <c r="C21" i="162" s="1"/>
  <c r="J23" i="155" s="1"/>
  <c r="R36" i="11"/>
  <c r="C44" i="126" s="1"/>
  <c r="V34" i="155" s="1"/>
  <c r="J36" i="11"/>
  <c r="C12" i="126" s="1"/>
  <c r="M15" i="155" s="1"/>
  <c r="AF36" i="11"/>
  <c r="C13" i="126" s="1"/>
  <c r="M16" i="155" s="1"/>
  <c r="X36" i="11"/>
  <c r="P36" i="11"/>
  <c r="C26" i="126" s="1"/>
  <c r="M27" i="155" s="1"/>
  <c r="H36" i="11"/>
  <c r="C25" i="126" s="1"/>
  <c r="M26" i="155" s="1"/>
  <c r="AZ5" i="11"/>
  <c r="B36" i="11"/>
  <c r="C11" i="126" s="1"/>
  <c r="M14" i="155" s="1"/>
  <c r="AN5" i="11"/>
  <c r="AU5" i="11" s="1"/>
  <c r="L26" i="155"/>
  <c r="I53" i="11"/>
  <c r="I52" i="11"/>
  <c r="F34" i="18"/>
  <c r="H33" i="18"/>
  <c r="F33" i="18"/>
  <c r="H32" i="18"/>
  <c r="H31" i="18"/>
  <c r="G31" i="18"/>
  <c r="H30" i="18"/>
  <c r="G30" i="18"/>
  <c r="H29" i="18"/>
  <c r="G29" i="18"/>
  <c r="F29" i="18"/>
  <c r="H28" i="18"/>
  <c r="D28" i="18"/>
  <c r="H27" i="18"/>
  <c r="F27" i="18"/>
  <c r="B27" i="18"/>
  <c r="H26" i="18"/>
  <c r="H25" i="18"/>
  <c r="C25" i="18"/>
  <c r="H24" i="18"/>
  <c r="G24" i="18"/>
  <c r="H23" i="18"/>
  <c r="G23" i="18"/>
  <c r="F23" i="18"/>
  <c r="C23" i="18"/>
  <c r="B23" i="18"/>
  <c r="H22" i="18"/>
  <c r="G22" i="18"/>
  <c r="E22" i="18"/>
  <c r="C22" i="18"/>
  <c r="B22" i="18"/>
  <c r="H21" i="18"/>
  <c r="G21" i="18"/>
  <c r="D21" i="18"/>
  <c r="H20" i="18"/>
  <c r="H19" i="18"/>
  <c r="G19" i="18"/>
  <c r="H18" i="18"/>
  <c r="G18" i="18"/>
  <c r="E18" i="18"/>
  <c r="C18" i="18"/>
  <c r="H17" i="18"/>
  <c r="E17" i="18"/>
  <c r="C17" i="18"/>
  <c r="H16" i="18"/>
  <c r="D16" i="18"/>
  <c r="F11" i="155"/>
  <c r="L28" i="155"/>
  <c r="F37" i="155"/>
  <c r="L22" i="155"/>
  <c r="R40" i="155" a="1"/>
  <c r="R40" i="155" s="1"/>
  <c r="L36" i="155"/>
  <c r="L29" i="155"/>
  <c r="I42" i="155"/>
  <c r="I10" i="155"/>
  <c r="I23" i="155"/>
  <c r="I17" i="155"/>
  <c r="L42" i="155"/>
  <c r="L23" i="155"/>
  <c r="L17" i="155"/>
  <c r="O38" i="155"/>
  <c r="E14" i="18"/>
  <c r="U36" i="155" a="1"/>
  <c r="U36" i="155" s="1"/>
  <c r="U10" i="155" s="1"/>
  <c r="L34" i="155"/>
  <c r="L27" i="155"/>
  <c r="I8" i="155"/>
  <c r="I21" i="155"/>
  <c r="I15" i="155"/>
  <c r="L21" i="155"/>
  <c r="L33" i="155"/>
  <c r="I7" i="155"/>
  <c r="I20" i="155"/>
  <c r="I14" i="155"/>
  <c r="L20" i="155" a="1"/>
  <c r="L20" i="155" s="1"/>
  <c r="L14" i="155"/>
  <c r="M48" i="162"/>
  <c r="L48" i="162"/>
  <c r="K48" i="162"/>
  <c r="J48" i="162"/>
  <c r="I48" i="162"/>
  <c r="H48" i="162"/>
  <c r="G48" i="162"/>
  <c r="F48" i="162"/>
  <c r="E48" i="162"/>
  <c r="D48" i="162"/>
  <c r="O47" i="162"/>
  <c r="O45" i="162"/>
  <c r="O44" i="162"/>
  <c r="O43" i="162"/>
  <c r="O42" i="162"/>
  <c r="O41" i="162"/>
  <c r="N39" i="162"/>
  <c r="M39" i="162"/>
  <c r="L39" i="162"/>
  <c r="K39" i="162"/>
  <c r="J39" i="162"/>
  <c r="I39" i="162"/>
  <c r="H39" i="162"/>
  <c r="G39" i="162"/>
  <c r="F39" i="162"/>
  <c r="E39" i="162"/>
  <c r="D39" i="162"/>
  <c r="O38" i="162"/>
  <c r="U37" i="162"/>
  <c r="O37" i="162"/>
  <c r="O36" i="162"/>
  <c r="O35" i="162"/>
  <c r="O34" i="162"/>
  <c r="O33" i="162"/>
  <c r="N31" i="162"/>
  <c r="M31" i="162"/>
  <c r="L31" i="162"/>
  <c r="K31" i="162"/>
  <c r="J31" i="162"/>
  <c r="I31" i="162"/>
  <c r="H31" i="162"/>
  <c r="G31" i="162"/>
  <c r="F31" i="162"/>
  <c r="E31" i="162"/>
  <c r="D31" i="162"/>
  <c r="O30" i="162"/>
  <c r="O29" i="162"/>
  <c r="O28" i="162"/>
  <c r="O27" i="162"/>
  <c r="O26" i="162"/>
  <c r="O25" i="162"/>
  <c r="M23" i="162"/>
  <c r="L23" i="162"/>
  <c r="K23" i="162"/>
  <c r="J23" i="162"/>
  <c r="I23" i="162"/>
  <c r="H23" i="162"/>
  <c r="G23" i="162"/>
  <c r="F23" i="162"/>
  <c r="E23" i="162"/>
  <c r="D23" i="162"/>
  <c r="O22" i="162"/>
  <c r="O20" i="162"/>
  <c r="K22" i="155" s="1"/>
  <c r="M16" i="162"/>
  <c r="L16" i="162"/>
  <c r="K16" i="162"/>
  <c r="J16" i="162"/>
  <c r="I16" i="162"/>
  <c r="H16" i="162"/>
  <c r="G16" i="162"/>
  <c r="F16" i="162"/>
  <c r="E16" i="162"/>
  <c r="D16" i="162"/>
  <c r="O15" i="162"/>
  <c r="O13" i="162"/>
  <c r="K16" i="155" s="1"/>
  <c r="M9" i="162"/>
  <c r="L9" i="162"/>
  <c r="K9" i="162"/>
  <c r="J9" i="162"/>
  <c r="I9" i="162"/>
  <c r="H9" i="162"/>
  <c r="G9" i="162"/>
  <c r="F9" i="162"/>
  <c r="E9" i="162"/>
  <c r="D9" i="162"/>
  <c r="O8" i="162"/>
  <c r="O7" i="162"/>
  <c r="O5" i="162"/>
  <c r="K9" i="155" s="1"/>
  <c r="M48" i="126"/>
  <c r="L48" i="126"/>
  <c r="K48" i="126"/>
  <c r="J48" i="126"/>
  <c r="I48" i="126"/>
  <c r="H48" i="126"/>
  <c r="G48" i="126"/>
  <c r="F48" i="126"/>
  <c r="E48" i="126"/>
  <c r="D48" i="126"/>
  <c r="O45" i="126"/>
  <c r="O43" i="126"/>
  <c r="O42" i="126"/>
  <c r="M39" i="126"/>
  <c r="L39" i="126"/>
  <c r="K39" i="126"/>
  <c r="J39" i="126"/>
  <c r="I39" i="126"/>
  <c r="H39" i="126"/>
  <c r="G39" i="126"/>
  <c r="F39" i="126"/>
  <c r="E39" i="126"/>
  <c r="D39" i="126"/>
  <c r="O38" i="126"/>
  <c r="H37" i="155" s="1"/>
  <c r="M31" i="126"/>
  <c r="L31" i="126"/>
  <c r="K31" i="126"/>
  <c r="J31" i="126"/>
  <c r="I31" i="126"/>
  <c r="H31" i="126"/>
  <c r="G31" i="126"/>
  <c r="F31" i="126"/>
  <c r="E31" i="126"/>
  <c r="D31" i="126"/>
  <c r="M23" i="126"/>
  <c r="L23" i="126"/>
  <c r="K23" i="126"/>
  <c r="J23" i="126"/>
  <c r="I23" i="126"/>
  <c r="H23" i="126"/>
  <c r="G23" i="126"/>
  <c r="F23" i="126"/>
  <c r="E23" i="126"/>
  <c r="D23" i="126"/>
  <c r="O22" i="126"/>
  <c r="M16" i="126"/>
  <c r="L16" i="126"/>
  <c r="K16" i="126"/>
  <c r="J16" i="126"/>
  <c r="I16" i="126"/>
  <c r="H16" i="126"/>
  <c r="G16" i="126"/>
  <c r="F16" i="126"/>
  <c r="E16" i="126"/>
  <c r="D16" i="126"/>
  <c r="O15" i="126"/>
  <c r="L9" i="126"/>
  <c r="K9" i="126"/>
  <c r="J9" i="126"/>
  <c r="I9" i="126"/>
  <c r="H9" i="126"/>
  <c r="G9" i="126"/>
  <c r="F9" i="126"/>
  <c r="E9" i="126"/>
  <c r="D9" i="126"/>
  <c r="O8" i="126"/>
  <c r="O7" i="126"/>
  <c r="H11" i="155" s="1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1" i="18"/>
  <c r="F50" i="18"/>
  <c r="F51" i="18" s="1"/>
  <c r="E50" i="18"/>
  <c r="D50" i="18"/>
  <c r="D51" i="18" s="1"/>
  <c r="D52" i="18" s="1"/>
  <c r="D53" i="18" s="1"/>
  <c r="D54" i="18" s="1"/>
  <c r="D55" i="18" s="1"/>
  <c r="D56" i="18" s="1"/>
  <c r="D57" i="18" s="1"/>
  <c r="C50" i="18"/>
  <c r="B50" i="18"/>
  <c r="A50" i="18"/>
  <c r="H44" i="18"/>
  <c r="G44" i="18"/>
  <c r="F44" i="18"/>
  <c r="E44" i="18"/>
  <c r="D44" i="18"/>
  <c r="C44" i="18"/>
  <c r="B44" i="18"/>
  <c r="A44" i="18"/>
  <c r="H43" i="18"/>
  <c r="G43" i="18"/>
  <c r="F43" i="18"/>
  <c r="E43" i="18"/>
  <c r="D43" i="18"/>
  <c r="C43" i="18"/>
  <c r="B43" i="18"/>
  <c r="A43" i="18"/>
  <c r="H42" i="18"/>
  <c r="G42" i="18"/>
  <c r="F42" i="18"/>
  <c r="E42" i="18"/>
  <c r="D42" i="18"/>
  <c r="C42" i="18"/>
  <c r="B42" i="18"/>
  <c r="A42" i="18"/>
  <c r="H41" i="18"/>
  <c r="G41" i="18"/>
  <c r="F41" i="18"/>
  <c r="E41" i="18"/>
  <c r="D41" i="18"/>
  <c r="C41" i="18"/>
  <c r="B41" i="18"/>
  <c r="A41" i="18"/>
  <c r="H40" i="18"/>
  <c r="G40" i="18"/>
  <c r="F40" i="18"/>
  <c r="E40" i="18"/>
  <c r="D40" i="18"/>
  <c r="C40" i="18"/>
  <c r="A40" i="18"/>
  <c r="H39" i="18"/>
  <c r="G39" i="18"/>
  <c r="F39" i="18"/>
  <c r="E39" i="18"/>
  <c r="D39" i="18"/>
  <c r="C39" i="18"/>
  <c r="B39" i="18"/>
  <c r="A39" i="18"/>
  <c r="H38" i="18"/>
  <c r="G38" i="18"/>
  <c r="F38" i="18"/>
  <c r="E38" i="18"/>
  <c r="D38" i="18"/>
  <c r="C38" i="18"/>
  <c r="B38" i="18"/>
  <c r="A38" i="18"/>
  <c r="H37" i="18"/>
  <c r="G37" i="18"/>
  <c r="F37" i="18"/>
  <c r="E37" i="18"/>
  <c r="D37" i="18"/>
  <c r="C37" i="18"/>
  <c r="B37" i="18"/>
  <c r="A37" i="18"/>
  <c r="H36" i="18"/>
  <c r="G36" i="18"/>
  <c r="F36" i="18"/>
  <c r="E36" i="18"/>
  <c r="D36" i="18"/>
  <c r="C36" i="18"/>
  <c r="B36" i="18"/>
  <c r="A36" i="18"/>
  <c r="H35" i="18"/>
  <c r="G35" i="18"/>
  <c r="F35" i="18"/>
  <c r="E35" i="18"/>
  <c r="D35" i="18"/>
  <c r="C35" i="18"/>
  <c r="B35" i="18"/>
  <c r="A35" i="18"/>
  <c r="H34" i="18"/>
  <c r="G34" i="18"/>
  <c r="E34" i="18"/>
  <c r="A34" i="18"/>
  <c r="E33" i="18"/>
  <c r="A33" i="18"/>
  <c r="E32" i="18"/>
  <c r="A32" i="18"/>
  <c r="E31" i="18"/>
  <c r="A31" i="18"/>
  <c r="E30" i="18"/>
  <c r="A30" i="18"/>
  <c r="E29" i="18"/>
  <c r="A29" i="18"/>
  <c r="E28" i="18"/>
  <c r="A28" i="18"/>
  <c r="E27" i="18"/>
  <c r="A27" i="18"/>
  <c r="E26" i="18"/>
  <c r="A26" i="18"/>
  <c r="E25" i="18"/>
  <c r="A25" i="18"/>
  <c r="E24" i="18"/>
  <c r="A24" i="18"/>
  <c r="E23" i="18"/>
  <c r="A23" i="18"/>
  <c r="A22" i="18"/>
  <c r="E21" i="18"/>
  <c r="A21" i="18"/>
  <c r="E20" i="18"/>
  <c r="A20" i="18"/>
  <c r="E19" i="18"/>
  <c r="A19" i="18"/>
  <c r="A18" i="18"/>
  <c r="A17" i="18"/>
  <c r="E16" i="18"/>
  <c r="A16" i="18"/>
  <c r="A15" i="18"/>
  <c r="A14" i="18"/>
  <c r="C41" i="126" l="1"/>
  <c r="S40" i="155" s="1"/>
  <c r="C48" i="162"/>
  <c r="J42" i="155"/>
  <c r="C39" i="126"/>
  <c r="M34" i="155"/>
  <c r="C31" i="126"/>
  <c r="C23" i="126"/>
  <c r="C16" i="162"/>
  <c r="C9" i="162"/>
  <c r="C23" i="162"/>
  <c r="C16" i="126"/>
  <c r="C9" i="126"/>
  <c r="C46" i="126"/>
  <c r="AZ36" i="11"/>
  <c r="BA35" i="11"/>
  <c r="AV35" i="11"/>
  <c r="AV34" i="11"/>
  <c r="BA34" i="11"/>
  <c r="AV33" i="11"/>
  <c r="BA33" i="11"/>
  <c r="BA32" i="11"/>
  <c r="AV32" i="11"/>
  <c r="AV31" i="11"/>
  <c r="BA31" i="11"/>
  <c r="BA30" i="11"/>
  <c r="AV30" i="11"/>
  <c r="BA29" i="11"/>
  <c r="AV29" i="11"/>
  <c r="AV28" i="11"/>
  <c r="BA28" i="11"/>
  <c r="AV27" i="11"/>
  <c r="BA27" i="11"/>
  <c r="AV26" i="11"/>
  <c r="BA26" i="11"/>
  <c r="AV25" i="11"/>
  <c r="BA25" i="11"/>
  <c r="AV24" i="11"/>
  <c r="BA24" i="11"/>
  <c r="AV23" i="11"/>
  <c r="BA23" i="11"/>
  <c r="AV22" i="11"/>
  <c r="BA22" i="11"/>
  <c r="BA21" i="11"/>
  <c r="AV21" i="11"/>
  <c r="AV20" i="11"/>
  <c r="BA20" i="11"/>
  <c r="AV19" i="11"/>
  <c r="BA19" i="11"/>
  <c r="BA18" i="11"/>
  <c r="AV18" i="11"/>
  <c r="AV17" i="11"/>
  <c r="BA17" i="11"/>
  <c r="AV16" i="11"/>
  <c r="BA16" i="11"/>
  <c r="AV15" i="11"/>
  <c r="BA15" i="11"/>
  <c r="AV14" i="11"/>
  <c r="BA14" i="11"/>
  <c r="BA13" i="11"/>
  <c r="AV13" i="11"/>
  <c r="BA12" i="11"/>
  <c r="AV12" i="11"/>
  <c r="AV11" i="11"/>
  <c r="BA11" i="11"/>
  <c r="AV10" i="11"/>
  <c r="BA10" i="11"/>
  <c r="AV9" i="11"/>
  <c r="BA9" i="11"/>
  <c r="AV8" i="11"/>
  <c r="BA8" i="11"/>
  <c r="BA7" i="11"/>
  <c r="AV7" i="11"/>
  <c r="AV6" i="11"/>
  <c r="BA6" i="11"/>
  <c r="AV5" i="11"/>
  <c r="BA5" i="11"/>
  <c r="O31" i="162"/>
  <c r="O39" i="162"/>
  <c r="AU36" i="11"/>
  <c r="I39" i="11" s="1"/>
  <c r="AN36" i="11"/>
  <c r="R10" i="155"/>
  <c r="D58" i="18"/>
  <c r="D59" i="18" s="1"/>
  <c r="D60" i="18" s="1"/>
  <c r="D61" i="18" s="1"/>
  <c r="D62" i="18" s="1"/>
  <c r="D63" i="18" s="1"/>
  <c r="D64" i="18" s="1"/>
  <c r="D65" i="18" s="1"/>
  <c r="D66" i="18" s="1"/>
  <c r="D67" i="18" s="1"/>
  <c r="D68" i="18" s="1"/>
  <c r="D69" i="18" s="1"/>
  <c r="D70" i="18" s="1"/>
  <c r="D71" i="18" s="1"/>
  <c r="D72" i="18" s="1"/>
  <c r="D73" i="18" s="1"/>
  <c r="D74" i="18" s="1"/>
  <c r="D75" i="18" s="1"/>
  <c r="D76" i="18" s="1"/>
  <c r="D77" i="18" s="1"/>
  <c r="D78" i="18" s="1"/>
  <c r="D79" i="18" s="1"/>
  <c r="D80" i="18" s="1"/>
  <c r="D81" i="18" s="1"/>
  <c r="F15" i="18"/>
  <c r="F20" i="18"/>
  <c r="F30" i="155"/>
  <c r="R11" i="155" s="1"/>
  <c r="H14" i="18"/>
  <c r="D15" i="18"/>
  <c r="B51" i="18"/>
  <c r="C20" i="18"/>
  <c r="B19" i="18"/>
  <c r="G16" i="18"/>
  <c r="C26" i="18"/>
  <c r="D22" i="18"/>
  <c r="F21" i="18"/>
  <c r="D24" i="18"/>
  <c r="G17" i="18"/>
  <c r="C16" i="18"/>
  <c r="F19" i="18"/>
  <c r="D20" i="18"/>
  <c r="C21" i="18"/>
  <c r="F17" i="18"/>
  <c r="D18" i="18"/>
  <c r="C19" i="18"/>
  <c r="G20" i="18"/>
  <c r="D26" i="18"/>
  <c r="G26" i="18"/>
  <c r="C28" i="18"/>
  <c r="C33" i="18"/>
  <c r="D34" i="18"/>
  <c r="G27" i="18"/>
  <c r="C31" i="18"/>
  <c r="C24" i="18"/>
  <c r="G25" i="18"/>
  <c r="D32" i="18"/>
  <c r="C29" i="18"/>
  <c r="D30" i="18"/>
  <c r="C27" i="18"/>
  <c r="F31" i="18"/>
  <c r="C32" i="18"/>
  <c r="G33" i="18"/>
  <c r="C30" i="18"/>
  <c r="G32" i="18"/>
  <c r="B40" i="18"/>
  <c r="C34" i="18"/>
  <c r="G28" i="18"/>
  <c r="B31" i="18"/>
  <c r="D14" i="18"/>
  <c r="G14" i="18"/>
  <c r="B16" i="18"/>
  <c r="F22" i="18"/>
  <c r="D23" i="18"/>
  <c r="F30" i="18"/>
  <c r="D31" i="18"/>
  <c r="B32" i="18"/>
  <c r="L9" i="155"/>
  <c r="L16" i="155"/>
  <c r="R9" i="155" s="1"/>
  <c r="O31" i="155"/>
  <c r="R12" i="155" s="1"/>
  <c r="C51" i="18"/>
  <c r="F18" i="18"/>
  <c r="D19" i="18"/>
  <c r="B20" i="18"/>
  <c r="B24" i="18"/>
  <c r="F26" i="18"/>
  <c r="D27" i="18"/>
  <c r="F14" i="18"/>
  <c r="F25" i="18"/>
  <c r="E51" i="18"/>
  <c r="L8" i="155"/>
  <c r="C14" i="18"/>
  <c r="F16" i="18"/>
  <c r="D17" i="18"/>
  <c r="F28" i="18"/>
  <c r="D29" i="18"/>
  <c r="B30" i="18"/>
  <c r="L15" i="155"/>
  <c r="R8" i="155" s="1"/>
  <c r="F24" i="18"/>
  <c r="D25" i="18"/>
  <c r="F32" i="18"/>
  <c r="D33" i="18"/>
  <c r="L10" i="155"/>
  <c r="L7" i="155" a="1"/>
  <c r="L7" i="155" s="1"/>
  <c r="U34" i="155"/>
  <c r="B14" i="18"/>
  <c r="B17" i="18"/>
  <c r="B18" i="18"/>
  <c r="B21" i="18"/>
  <c r="B25" i="18"/>
  <c r="B26" i="18"/>
  <c r="B28" i="18"/>
  <c r="B29" i="18"/>
  <c r="B33" i="18"/>
  <c r="B34" i="18"/>
  <c r="B15" i="18"/>
  <c r="E7" i="18"/>
  <c r="E15" i="18"/>
  <c r="E45" i="18" s="1"/>
  <c r="E46" i="18" s="1"/>
  <c r="I47" i="11"/>
  <c r="G15" i="18"/>
  <c r="C15" i="18"/>
  <c r="R7" i="155"/>
  <c r="H15" i="18"/>
  <c r="F52" i="18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I50" i="11"/>
  <c r="C48" i="126" l="1"/>
  <c r="M42" i="155"/>
  <c r="V36" i="155"/>
  <c r="E10" i="155"/>
  <c r="X10" i="155" s="1"/>
  <c r="E11" i="155"/>
  <c r="X11" i="155" s="1"/>
  <c r="E52" i="18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B52" i="18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C52" i="18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H45" i="18"/>
  <c r="H46" i="18" s="1"/>
  <c r="O11" i="162"/>
  <c r="K14" i="155" s="1"/>
  <c r="O4" i="162"/>
  <c r="K8" i="155" s="1"/>
  <c r="O47" i="126"/>
  <c r="W37" i="155" s="1"/>
  <c r="O14" i="126"/>
  <c r="N17" i="155" s="1"/>
  <c r="O36" i="126"/>
  <c r="N36" i="155" s="1"/>
  <c r="O6" i="126"/>
  <c r="N10" i="155" s="1"/>
  <c r="N48" i="162"/>
  <c r="O48" i="162" s="1"/>
  <c r="O6" i="162"/>
  <c r="K10" i="155" s="1"/>
  <c r="O29" i="126"/>
  <c r="Q31" i="155" s="1"/>
  <c r="O14" i="162"/>
  <c r="K17" i="155" s="1"/>
  <c r="O19" i="126"/>
  <c r="N21" i="155" s="1"/>
  <c r="O34" i="126"/>
  <c r="N34" i="155" s="1"/>
  <c r="O30" i="126"/>
  <c r="H30" i="155" s="1"/>
  <c r="T11" i="155" s="1"/>
  <c r="S11" i="155"/>
  <c r="O20" i="126"/>
  <c r="N22" i="155" s="1"/>
  <c r="O21" i="162"/>
  <c r="K23" i="155" s="1"/>
  <c r="O12" i="162"/>
  <c r="K15" i="155" s="1"/>
  <c r="O37" i="126"/>
  <c r="Q38" i="155" s="1"/>
  <c r="O12" i="126"/>
  <c r="N15" i="155" s="1"/>
  <c r="O4" i="126"/>
  <c r="N8" i="155" s="1"/>
  <c r="O18" i="126"/>
  <c r="N20" i="155" s="1"/>
  <c r="O33" i="126"/>
  <c r="N33" i="155" s="1"/>
  <c r="O13" i="126"/>
  <c r="N16" i="155" s="1"/>
  <c r="O35" i="126"/>
  <c r="N35" i="155" s="1"/>
  <c r="O21" i="126"/>
  <c r="N23" i="155" s="1"/>
  <c r="O19" i="162"/>
  <c r="K21" i="155" s="1"/>
  <c r="G45" i="18"/>
  <c r="G46" i="18" s="1"/>
  <c r="C45" i="18"/>
  <c r="C46" i="18" s="1"/>
  <c r="BA36" i="11"/>
  <c r="AV36" i="11"/>
  <c r="I40" i="11" s="1"/>
  <c r="D8" i="18"/>
  <c r="D45" i="18"/>
  <c r="D46" i="18" s="1"/>
  <c r="B45" i="18"/>
  <c r="B46" i="18" s="1"/>
  <c r="O46" i="162"/>
  <c r="K42" i="155" s="1"/>
  <c r="I45" i="11"/>
  <c r="I46" i="11" s="1"/>
  <c r="D9" i="18"/>
  <c r="N23" i="162"/>
  <c r="O23" i="162" s="1"/>
  <c r="F45" i="18"/>
  <c r="F46" i="18" s="1"/>
  <c r="E9" i="18"/>
  <c r="E5" i="18"/>
  <c r="D7" i="18"/>
  <c r="F7" i="18" s="1"/>
  <c r="H7" i="18" s="1"/>
  <c r="E10" i="18"/>
  <c r="F10" i="18" s="1"/>
  <c r="H10" i="18" s="1"/>
  <c r="I44" i="11"/>
  <c r="O18" i="162"/>
  <c r="K20" i="155" s="1"/>
  <c r="I43" i="11"/>
  <c r="N39" i="126"/>
  <c r="O39" i="126" s="1"/>
  <c r="N23" i="126"/>
  <c r="O23" i="126" s="1"/>
  <c r="E8" i="18"/>
  <c r="D6" i="18"/>
  <c r="O3" i="162"/>
  <c r="K7" i="155" s="1"/>
  <c r="N9" i="162"/>
  <c r="O9" i="162" s="1"/>
  <c r="E6" i="18"/>
  <c r="N16" i="162"/>
  <c r="O16" i="162" s="1"/>
  <c r="O25" i="126"/>
  <c r="N26" i="155" s="1"/>
  <c r="I42" i="11"/>
  <c r="I41" i="11"/>
  <c r="D5" i="18"/>
  <c r="E9" i="155" l="1"/>
  <c r="X9" i="155" s="1"/>
  <c r="E7" i="155"/>
  <c r="X7" i="155" s="1"/>
  <c r="E8" i="155"/>
  <c r="X8" i="155" s="1"/>
  <c r="S7" i="155"/>
  <c r="T12" i="155"/>
  <c r="O46" i="126"/>
  <c r="W36" i="155" s="1"/>
  <c r="W10" i="155" s="1"/>
  <c r="V10" i="155"/>
  <c r="O28" i="126"/>
  <c r="N29" i="155" s="1"/>
  <c r="T10" i="155" s="1"/>
  <c r="S10" i="155"/>
  <c r="O26" i="126"/>
  <c r="N27" i="155" s="1"/>
  <c r="T8" i="155" s="1"/>
  <c r="S8" i="155"/>
  <c r="O5" i="126"/>
  <c r="N9" i="155" s="1"/>
  <c r="S12" i="155"/>
  <c r="O27" i="126"/>
  <c r="N28" i="155" s="1"/>
  <c r="T9" i="155" s="1"/>
  <c r="S9" i="155"/>
  <c r="F47" i="18"/>
  <c r="F8" i="18"/>
  <c r="H8" i="18" s="1"/>
  <c r="G47" i="18"/>
  <c r="F5" i="18"/>
  <c r="H5" i="18" s="1"/>
  <c r="D47" i="18"/>
  <c r="F9" i="18"/>
  <c r="H9" i="18" s="1"/>
  <c r="O41" i="126"/>
  <c r="T40" i="155" s="1"/>
  <c r="C47" i="18"/>
  <c r="E47" i="18"/>
  <c r="H47" i="18"/>
  <c r="B47" i="18"/>
  <c r="N31" i="126"/>
  <c r="O31" i="126" s="1"/>
  <c r="O44" i="126"/>
  <c r="W34" i="155" s="1"/>
  <c r="N48" i="126"/>
  <c r="O48" i="126" s="1"/>
  <c r="F6" i="18"/>
  <c r="H6" i="18" s="1"/>
  <c r="O3" i="126"/>
  <c r="N7" i="155" s="1"/>
  <c r="N9" i="126"/>
  <c r="O9" i="126" s="1"/>
  <c r="I51" i="11"/>
  <c r="I54" i="11" s="1"/>
  <c r="N16" i="126"/>
  <c r="O16" i="126" s="1"/>
  <c r="O11" i="126"/>
  <c r="N14" i="155" s="1"/>
  <c r="T7" i="155" s="1"/>
  <c r="N42" i="155" l="1"/>
</calcChain>
</file>

<file path=xl/connections.xml><?xml version="1.0" encoding="utf-8"?>
<connections xmlns="http://schemas.openxmlformats.org/spreadsheetml/2006/main">
  <connection id="1" keepAlive="1" name="Query - Documents" description="Connection to the 'Documents' query in the workbook." type="5" refreshedVersion="0" background="1">
    <dbPr connection="Provider=Microsoft.Mashup.OleDb.1;Data Source=$Workbook$;Location=Documents" command="SELECT * FROM [Documents]"/>
  </connection>
  <connection id="2" keepAlive="1" name="Query - Parameter2" description="Connection to the 'Parameter2' query in the workbook." type="5" refreshedVersion="0" background="1">
    <dbPr connection="Provider=Microsoft.Mashup.OleDb.1;Data Source=$Workbook$;Location=Parameter2" command="SELECT * FROM [Parameter2]"/>
  </connection>
  <connection id="3" keepAlive="1" name="Query - Parameter3" description="Connection to the 'Parameter3' query in the workbook." type="5" refreshedVersion="0" background="1">
    <dbPr connection="Provider=Microsoft.Mashup.OleDb.1;Data Source=$Workbook$;Location=Parameter3" command="SELECT * FROM [Parameter3]"/>
  </connection>
  <connection id="4" keepAlive="1" name="Query - Parameter4" description="Connection to the 'Parameter4' query in the workbook." type="5" refreshedVersion="0" background="1">
    <dbPr connection="Provider=Microsoft.Mashup.OleDb.1;Data Source=$Workbook$;Location=Parameter4" command="SELECT * FROM [Parameter4]"/>
  </connection>
  <connection id="5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6" keepAlive="1" name="Query - Query3" description="Connection to the 'Query3' query in the workbook." type="5" refreshedVersion="6" background="1" saveData="1">
    <dbPr connection="Provider=Microsoft.Mashup.OleDb.1;Data Source=$Workbook$;Location=Query3" command="SELECT * FROM [Query3]"/>
  </connection>
  <connection id="7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" command="SELECT * FROM [Sample File (10)]"/>
  </connection>
  <connection id="8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" command="SELECT * FROM [Sample File (12)]"/>
  </connection>
  <connection id="9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" command="SELECT * FROM [Sample File (13)]"/>
  </connection>
  <connection id="10" name="Query - Sample File (7)" description="Connection to the 'Sample File (7)' query in the workbook." type="5" refreshedVersion="2" background="1" saveData="1">
    <dbPr connection="Provider=Microsoft.Mashup.OleDb.1;Data Source=$Workbook$;Location=&quot;Sample File (7)&quot;" command="SELECT * FROM [Sample File (7)]"/>
  </connection>
  <connection id="11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" command="SELECT * FROM [Sample File (8)]"/>
  </connection>
  <connection id="12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" command="SELECT * FROM [Sample File (9)]"/>
  </connection>
  <connection id="13" name="Query - Sample File Parameter6" description="Connection to the 'Sample File Parameter6' query in the workbook." type="5" refreshedVersion="2" background="1" saveData="1">
    <dbPr connection="Provider=Microsoft.Mashup.OleDb.1;Data Source=$Workbook$;Location=&quot;Sample File Parameter6&quot;" command="SELECT * FROM [Sample File Parameter6]"/>
  </connection>
  <connection id="14" keepAlive="1" name="Query - Sample File Parameter7" description="Connection to the 'Sample File Parameter7' query in the workbook." type="5" refreshedVersion="0" background="1">
    <dbPr connection="Provider=Microsoft.Mashup.OleDb.1;Data Source=$Workbook$;Location=&quot;Sample File Parameter7&quot;" command="SELECT * FROM [Sample File Parameter7]"/>
  </connection>
  <connection id="15" keepAlive="1" name="Query - Sample File Parameter8" description="Connection to the 'Sample File Parameter8' query in the workbook." type="5" refreshedVersion="0" background="1">
    <dbPr connection="Provider=Microsoft.Mashup.OleDb.1;Data Source=$Workbook$;Location=&quot;Sample File Parameter8&quot;" command="SELECT * FROM [Sample File Parameter8]"/>
  </connection>
  <connection id="16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" command="SELECT * FROM [Transform File (2)]"/>
  </connection>
  <connection id="17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" command="SELECT * FROM [Transform File (3)]"/>
  </connection>
  <connection id="18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" command="SELECT * FROM [Transform File (4)]"/>
  </connection>
  <connection id="19" name="Query - Transform File from Uploaded Data (2)" description="Connection to the 'Transform File from Uploaded Data (2)' query in the workbook." type="5" refreshedVersion="2" background="1" saveData="1">
    <dbPr connection="Provider=Microsoft.Mashup.OleDb.1;Data Source=$Workbook$;Location=&quot;Transform File from Uploaded Data (2)&quot;" command="SELECT * FROM [Transform File from Uploaded Data (2)]"/>
  </connection>
  <connection id="20" keepAlive="1" name="Query - Transform File from Uploaded Data (3)" description="Connection to the 'Transform File from Uploaded Data (3)' query in the workbook." type="5" refreshedVersion="0" background="1">
    <dbPr connection="Provider=Microsoft.Mashup.OleDb.1;Data Source=$Workbook$;Location=&quot;Transform File from Uploaded Data (3)&quot;" command="SELECT * FROM [Transform File from Uploaded Data (3)]"/>
  </connection>
  <connection id="21" keepAlive="1" name="Query - Transform File from Uploaded Data (4)" description="Connection to the 'Transform File from Uploaded Data (4)' query in the workbook." type="5" refreshedVersion="0" background="1">
    <dbPr connection="Provider=Microsoft.Mashup.OleDb.1;Data Source=$Workbook$;Location=&quot;Transform File from Uploaded Data (4)&quot;" command="SELECT * FROM [Transform File from Uploaded Data (4)]"/>
  </connection>
  <connection id="22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" command="SELECT * FROM [Transform Sample File (2)]"/>
  </connection>
  <connection id="23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" command="SELECT * FROM [Transform Sample File (3)]"/>
  </connection>
  <connection id="24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" command="SELECT * FROM [Transform Sample File (4)]"/>
  </connection>
  <connection id="25" name="Query - Transform Sample File from Uploaded Data (2)" description="Connection to the 'Transform Sample File from Uploaded Data (2)' query in the workbook." type="5" refreshedVersion="2" background="1" saveData="1">
    <dbPr connection="Provider=Microsoft.Mashup.OleDb.1;Data Source=$Workbook$;Location=&quot;Transform Sample File from Uploaded Data (2)&quot;" command="SELECT * FROM [Transform Sample File from Uploaded Data (2)]"/>
  </connection>
  <connection id="26" keepAlive="1" name="Query - Transform Sample File from Uploaded Data (3)" description="Connection to the 'Transform Sample File from Uploaded Data (3)' query in the workbook." type="5" refreshedVersion="0" background="1">
    <dbPr connection="Provider=Microsoft.Mashup.OleDb.1;Data Source=$Workbook$;Location=&quot;Transform Sample File from Uploaded Data (3)&quot;" command="SELECT * FROM [Transform Sample File from Uploaded Data (3)]"/>
  </connection>
  <connection id="27" keepAlive="1" name="Query - Transform Sample File from Uploaded Data (4)" description="Connection to the 'Transform Sample File from Uploaded Data (4)' query in the workbook." type="5" refreshedVersion="0" background="1">
    <dbPr connection="Provider=Microsoft.Mashup.OleDb.1;Data Source=$Workbook$;Location=&quot;Transform Sample File from Uploaded Data (4)&quot;" command="SELECT * FROM [Transform Sample File from Uploaded Data (4)]"/>
  </connection>
  <connection id="28" keepAlive="1" name="Query - Uploaded Data _Computer B" description="Connection to the 'Uploaded Data _Computer B' query in the workbook." type="5" refreshedVersion="0" background="1">
    <dbPr connection="Provider=Microsoft.Mashup.OleDb.1;Data Source=$Workbook$;Location=&quot;Uploaded Data _Computer B&quot;" command="SELECT * FROM [Uploaded Data _Computer B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<sst xmlns="http://schemas.openxmlformats.org/spreadsheetml/2006/main" count="41102" uniqueCount="10225">
  <si>
    <t>Material Type</t>
  </si>
  <si>
    <t>Mines to stock</t>
  </si>
  <si>
    <t>stock to Pile/Other Usages</t>
  </si>
  <si>
    <t>Closing Stock(on date)</t>
  </si>
  <si>
    <t>Odoo Stock level</t>
  </si>
  <si>
    <t>Diff due to Lcl Transfers</t>
  </si>
  <si>
    <t>HG</t>
  </si>
  <si>
    <t>LG1</t>
  </si>
  <si>
    <t>HGHMGO</t>
  </si>
  <si>
    <t>OB</t>
  </si>
  <si>
    <t>ID CLAY</t>
  </si>
  <si>
    <t>LIMESTONE SPG</t>
  </si>
  <si>
    <t>Month</t>
  </si>
  <si>
    <t xml:space="preserve">OB </t>
  </si>
  <si>
    <t>HG-HMGO</t>
  </si>
  <si>
    <t>GYPSUM</t>
  </si>
  <si>
    <t>Stock Levels</t>
  </si>
  <si>
    <t>YTD</t>
  </si>
  <si>
    <t>MINES TO STOCK YARD</t>
  </si>
  <si>
    <t>MINES TO PILE THROUGH CRUSHER</t>
  </si>
  <si>
    <t>MINES TO PILE BYPASS CRUSHER</t>
  </si>
  <si>
    <t>MG - HG</t>
  </si>
  <si>
    <t xml:space="preserve">STOCK YARD TO PILE THROUGH CRUSHER </t>
  </si>
  <si>
    <t>SPG</t>
  </si>
  <si>
    <t xml:space="preserve">STOCK YARD TO PILE BYPASS CRUSHER </t>
  </si>
  <si>
    <t>GYPSUM STOCK YARD TO PILE</t>
  </si>
  <si>
    <t>OTHER USAGES/PLANT USAGE/Dump</t>
  </si>
  <si>
    <t>OB SOIL</t>
  </si>
  <si>
    <t xml:space="preserve">Raw Material  </t>
  </si>
  <si>
    <t>Date</t>
  </si>
  <si>
    <t>HG from South</t>
  </si>
  <si>
    <t>HG from North</t>
  </si>
  <si>
    <t>HG from Stock</t>
  </si>
  <si>
    <t>LG1 from South</t>
  </si>
  <si>
    <t>LG1 from North</t>
  </si>
  <si>
    <t>LG1 from Stock</t>
  </si>
  <si>
    <t>OB from South</t>
  </si>
  <si>
    <t>OB from North</t>
  </si>
  <si>
    <t>OB from Stock</t>
  </si>
  <si>
    <t xml:space="preserve">MG-HG from South </t>
  </si>
  <si>
    <t>MG -HG Stock to crusher</t>
  </si>
  <si>
    <t xml:space="preserve">MG-LG  from South </t>
  </si>
  <si>
    <t>MG-LG Stock  to Crusher</t>
  </si>
  <si>
    <t>TMH</t>
  </si>
  <si>
    <t>Gypsum to Crusher</t>
  </si>
  <si>
    <t>Id Clay</t>
  </si>
  <si>
    <t>TOTAL TMH</t>
  </si>
  <si>
    <t>without Overburden</t>
  </si>
  <si>
    <t>LG1 Limestone  hauled by lcl truck</t>
  </si>
  <si>
    <t>LG1 to Other usage by `Digalla</t>
  </si>
  <si>
    <t>LG1 to Other usage by On Africa</t>
  </si>
  <si>
    <t>Crusher</t>
  </si>
  <si>
    <t xml:space="preserve"> Direct to Pile</t>
  </si>
  <si>
    <t>Stock</t>
  </si>
  <si>
    <t>Direct to Pile</t>
  </si>
  <si>
    <t>Other Usage</t>
  </si>
  <si>
    <t>Waste Dump</t>
  </si>
  <si>
    <t>Other Usages</t>
  </si>
  <si>
    <t>stock</t>
  </si>
  <si>
    <t>STOCK</t>
  </si>
  <si>
    <t>Direct(Lcl)</t>
  </si>
  <si>
    <t>Stock to Other Usages</t>
  </si>
  <si>
    <t>Stock to pile</t>
  </si>
  <si>
    <t>kijaka-Stock</t>
  </si>
  <si>
    <t>VIA CRUSHER</t>
  </si>
  <si>
    <t>TOTAL</t>
  </si>
  <si>
    <t>Total Tonnage VIA Odoo</t>
  </si>
  <si>
    <t>Tonnage Exclusive Waste</t>
  </si>
  <si>
    <t>KIMBIJI ROYALTY</t>
  </si>
  <si>
    <t>Lime Consumption</t>
  </si>
  <si>
    <t>OB/CLAY ROYALTY</t>
  </si>
  <si>
    <t xml:space="preserve">OB/CLAY Consumption </t>
  </si>
  <si>
    <t>Kijaka Tonnage</t>
  </si>
  <si>
    <t>Kijaka Royalty</t>
  </si>
  <si>
    <t>Waste to Dump Remieli</t>
  </si>
  <si>
    <t>Waste to Dump Amin</t>
  </si>
  <si>
    <t>Waste to Dump Digalla</t>
  </si>
  <si>
    <t>Hauled by LCL truck</t>
  </si>
  <si>
    <t>Total Tonnage By Remieli</t>
  </si>
  <si>
    <t>Total Tonnage By Amin</t>
  </si>
  <si>
    <t>Total Tonnage By Digalla</t>
  </si>
  <si>
    <t>SELECT THE DATE</t>
  </si>
  <si>
    <t>LAKE CEMENT LIMITED</t>
  </si>
  <si>
    <t>DESCRIPTION</t>
  </si>
  <si>
    <t>GRADE</t>
  </si>
  <si>
    <t>MATERIAL CODE</t>
  </si>
  <si>
    <t>OPENING STOCK</t>
  </si>
  <si>
    <t>RECEIPT</t>
  </si>
  <si>
    <t>CLOSING STOCK</t>
  </si>
  <si>
    <t>KIJAKA</t>
  </si>
  <si>
    <t>NORTH</t>
  </si>
  <si>
    <t>SOUTH</t>
  </si>
  <si>
    <t>DELIVER TO PLANT</t>
  </si>
  <si>
    <t>OTHER USAGES/DUMP</t>
  </si>
  <si>
    <t>ON DATE</t>
  </si>
  <si>
    <t>MTD</t>
  </si>
  <si>
    <t>QRM001</t>
  </si>
  <si>
    <t>N/A</t>
  </si>
  <si>
    <t>QRM003</t>
  </si>
  <si>
    <t>QRM005</t>
  </si>
  <si>
    <t>QRM007</t>
  </si>
  <si>
    <t>ID Clay</t>
  </si>
  <si>
    <t>QRM008</t>
  </si>
  <si>
    <t>RM000005</t>
  </si>
  <si>
    <t>MINES TO PILE - BYPASS CRUSHER</t>
  </si>
  <si>
    <t>STOCK YARD TO PILE  THROUGH CRUSHER</t>
  </si>
  <si>
    <t xml:space="preserve">STOCK YARD TO PILE- BYPASSS CRUSHER  </t>
  </si>
  <si>
    <t xml:space="preserve">GYPSUM STOCK YARD TO PILE </t>
  </si>
  <si>
    <t>RM000003</t>
  </si>
  <si>
    <t>MINES TO DUMP</t>
  </si>
  <si>
    <t>Vendor</t>
  </si>
  <si>
    <t>[CMLT2022] Remieli Rentals Limited</t>
  </si>
  <si>
    <t>Input Product</t>
  </si>
  <si>
    <t>Transfer Type</t>
  </si>
  <si>
    <t>Movement Type</t>
  </si>
  <si>
    <t>Grand Total</t>
  </si>
  <si>
    <t>Internal Transfers</t>
  </si>
  <si>
    <t>Internal Transfers Total</t>
  </si>
  <si>
    <t>Production Transfers</t>
  </si>
  <si>
    <t>Production Transfers Total</t>
  </si>
  <si>
    <t>Ticket_No</t>
  </si>
  <si>
    <t>Vehicle_No</t>
  </si>
  <si>
    <t>UOM</t>
  </si>
  <si>
    <t>GrossDate</t>
  </si>
  <si>
    <t>GrossDate &amp; Time</t>
  </si>
  <si>
    <t>TareDate &amp; Time</t>
  </si>
  <si>
    <t>Gross Wt(Kg)</t>
  </si>
  <si>
    <t>Tare Wt(Kg)</t>
  </si>
  <si>
    <t>NetWt(Kg)</t>
  </si>
  <si>
    <t>Reader</t>
  </si>
  <si>
    <t>MT</t>
  </si>
  <si>
    <t>RFID</t>
  </si>
  <si>
    <t>T309 EHH</t>
  </si>
  <si>
    <t>T311 EHH</t>
  </si>
  <si>
    <t>T312 EHH</t>
  </si>
  <si>
    <t>T293 EHH</t>
  </si>
  <si>
    <t>T299 EHH</t>
  </si>
  <si>
    <t>MATERIAL SUPPLY TO PILE-February 2026</t>
  </si>
  <si>
    <t>Stock Yard to Direct Pile (Bypass Crusher)</t>
  </si>
  <si>
    <t>North Mine to Stock Yard</t>
  </si>
  <si>
    <t>Net_Qty</t>
  </si>
  <si>
    <t>28280</t>
  </si>
  <si>
    <t>Sum of Net_Qty</t>
  </si>
  <si>
    <t>14880</t>
  </si>
  <si>
    <t>15560</t>
  </si>
  <si>
    <t>21300</t>
  </si>
  <si>
    <t>14920</t>
  </si>
  <si>
    <t>16840</t>
  </si>
  <si>
    <t>15360</t>
  </si>
  <si>
    <t>15500</t>
  </si>
  <si>
    <t>36240</t>
  </si>
  <si>
    <t>15060</t>
  </si>
  <si>
    <t>15040</t>
  </si>
  <si>
    <t>15080</t>
  </si>
  <si>
    <t>14840</t>
  </si>
  <si>
    <t>15020</t>
  </si>
  <si>
    <t>22980</t>
  </si>
  <si>
    <t>14960</t>
  </si>
  <si>
    <t>38880</t>
  </si>
  <si>
    <t>39220</t>
  </si>
  <si>
    <t>38320</t>
  </si>
  <si>
    <t>39540</t>
  </si>
  <si>
    <t>15640</t>
  </si>
  <si>
    <t>14980</t>
  </si>
  <si>
    <t>36080</t>
  </si>
  <si>
    <t>14900</t>
  </si>
  <si>
    <t>23100</t>
  </si>
  <si>
    <t>35100</t>
  </si>
  <si>
    <t>15000</t>
  </si>
  <si>
    <t>16800</t>
  </si>
  <si>
    <t>25580</t>
  </si>
  <si>
    <t>25040</t>
  </si>
  <si>
    <t>25800</t>
  </si>
  <si>
    <t>40000</t>
  </si>
  <si>
    <t>14820</t>
  </si>
  <si>
    <t>21100</t>
  </si>
  <si>
    <t>23020</t>
  </si>
  <si>
    <t>38060</t>
  </si>
  <si>
    <t>35420</t>
  </si>
  <si>
    <t>20100</t>
  </si>
  <si>
    <t>16700</t>
  </si>
  <si>
    <t>40420</t>
  </si>
  <si>
    <t>23740</t>
  </si>
  <si>
    <t>21640</t>
  </si>
  <si>
    <t>20980</t>
  </si>
  <si>
    <t>20720</t>
  </si>
  <si>
    <t>23580</t>
  </si>
  <si>
    <t>22740</t>
  </si>
  <si>
    <t>38920</t>
  </si>
  <si>
    <t>24000</t>
  </si>
  <si>
    <t>24480</t>
  </si>
  <si>
    <t>38080</t>
  </si>
  <si>
    <t>38120</t>
  </si>
  <si>
    <t>15600</t>
  </si>
  <si>
    <t>20400</t>
  </si>
  <si>
    <t>24560</t>
  </si>
  <si>
    <t>39360</t>
  </si>
  <si>
    <t>24760</t>
  </si>
  <si>
    <t>24540</t>
  </si>
  <si>
    <t>41220</t>
  </si>
  <si>
    <t>40780</t>
  </si>
  <si>
    <t>24320</t>
  </si>
  <si>
    <t>23460</t>
  </si>
  <si>
    <t>14940</t>
  </si>
  <si>
    <t>35860</t>
  </si>
  <si>
    <t>37200</t>
  </si>
  <si>
    <t>36800</t>
  </si>
  <si>
    <t>20920</t>
  </si>
  <si>
    <t>15580</t>
  </si>
  <si>
    <t>23960</t>
  </si>
  <si>
    <t>36100</t>
  </si>
  <si>
    <t>21320</t>
  </si>
  <si>
    <t>16780</t>
  </si>
  <si>
    <t>39720</t>
  </si>
  <si>
    <t>38580</t>
  </si>
  <si>
    <t>36580</t>
  </si>
  <si>
    <t>23400</t>
  </si>
  <si>
    <t>36280</t>
  </si>
  <si>
    <t>39820</t>
  </si>
  <si>
    <t>24940</t>
  </si>
  <si>
    <t>24220</t>
  </si>
  <si>
    <t>39500</t>
  </si>
  <si>
    <t>23200</t>
  </si>
  <si>
    <t>41960</t>
  </si>
  <si>
    <t>42300</t>
  </si>
  <si>
    <t>37700</t>
  </si>
  <si>
    <t>20200</t>
  </si>
  <si>
    <t>28960</t>
  </si>
  <si>
    <t>39460</t>
  </si>
  <si>
    <t>39380</t>
  </si>
  <si>
    <t>24520</t>
  </si>
  <si>
    <t>40240</t>
  </si>
  <si>
    <t/>
  </si>
  <si>
    <t>23120</t>
  </si>
  <si>
    <t>25720</t>
  </si>
  <si>
    <t>41540</t>
  </si>
  <si>
    <t>38680</t>
  </si>
  <si>
    <t>40760</t>
  </si>
  <si>
    <t>24440</t>
  </si>
  <si>
    <t>27640</t>
  </si>
  <si>
    <t>42740</t>
  </si>
  <si>
    <t>32400</t>
  </si>
  <si>
    <t>38960</t>
  </si>
  <si>
    <t>25260</t>
  </si>
  <si>
    <t>42640</t>
  </si>
  <si>
    <t>43280</t>
  </si>
  <si>
    <t>Remieli</t>
  </si>
  <si>
    <t>North Mine to Golani Waste dump</t>
  </si>
  <si>
    <t>WASTE</t>
  </si>
  <si>
    <t>1000000</t>
  </si>
  <si>
    <t>42560</t>
  </si>
  <si>
    <t>26700</t>
  </si>
  <si>
    <t>MNWS290326</t>
  </si>
  <si>
    <t>2340000</t>
  </si>
  <si>
    <t>1340000</t>
  </si>
  <si>
    <t>Supply April TO DATE 2027</t>
  </si>
  <si>
    <t>Opening stock start of April 2026</t>
  </si>
  <si>
    <t xml:space="preserve"> SUMMARY April  2026 -UP TO DATE STOCK LEVELS</t>
  </si>
  <si>
    <t>Total Tonnage In April</t>
  </si>
  <si>
    <t>32394</t>
  </si>
  <si>
    <t>01/04/2026 09:37:08 AM</t>
  </si>
  <si>
    <t>01/04/2026 09:41:56 AM</t>
  </si>
  <si>
    <t>27220</t>
  </si>
  <si>
    <t>32395</t>
  </si>
  <si>
    <t>01/04/2026 09:44:25 AM</t>
  </si>
  <si>
    <t>01/04/2026 09:50:18 AM</t>
  </si>
  <si>
    <t>32396</t>
  </si>
  <si>
    <t>01/04/2026 09:53:01 AM</t>
  </si>
  <si>
    <t>01/04/2026 09:57:52 AM</t>
  </si>
  <si>
    <t>32397</t>
  </si>
  <si>
    <t>01/04/2026 09:59:50 AM</t>
  </si>
  <si>
    <t>01/04/2026 10:03:31 AM</t>
  </si>
  <si>
    <t>27760</t>
  </si>
  <si>
    <t>32398</t>
  </si>
  <si>
    <t>01/04/2026 10:13:43 AM</t>
  </si>
  <si>
    <t>01/04/2026 10:17:31 AM</t>
  </si>
  <si>
    <t>32399</t>
  </si>
  <si>
    <t>01/04/2026 10:14:45 AM</t>
  </si>
  <si>
    <t>01/04/2026 10:20:16 AM</t>
  </si>
  <si>
    <t>01/04/2026 10:27:58 AM</t>
  </si>
  <si>
    <t>01/04/2026 10:32:50 AM</t>
  </si>
  <si>
    <t>32401</t>
  </si>
  <si>
    <t>01/04/2026 10:37:43 AM</t>
  </si>
  <si>
    <t>01/04/2026 10:41:53 AM</t>
  </si>
  <si>
    <t>32402</t>
  </si>
  <si>
    <t>01/04/2026 10:43:01 AM</t>
  </si>
  <si>
    <t>01/04/2026 10:46:30 AM</t>
  </si>
  <si>
    <t>27020</t>
  </si>
  <si>
    <t>32403</t>
  </si>
  <si>
    <t>01/04/2026 10:51:09 AM</t>
  </si>
  <si>
    <t>01/04/2026 10:54:59 AM</t>
  </si>
  <si>
    <t>32404</t>
  </si>
  <si>
    <t>01/04/2026 10:56:04 AM</t>
  </si>
  <si>
    <t>01/04/2026 11:00:16 AM</t>
  </si>
  <si>
    <t>32405</t>
  </si>
  <si>
    <t>01/04/2026 11:03:44 AM</t>
  </si>
  <si>
    <t>01/04/2026 11:07:09 AM</t>
  </si>
  <si>
    <t>32406</t>
  </si>
  <si>
    <t>01/04/2026 11:09:43 AM</t>
  </si>
  <si>
    <t>01/04/2026 11:13:12 AM</t>
  </si>
  <si>
    <t>32407</t>
  </si>
  <si>
    <t>01/04/2026 11:17:44 AM</t>
  </si>
  <si>
    <t>01/04/2026 11:21:20 AM</t>
  </si>
  <si>
    <t>32408</t>
  </si>
  <si>
    <t>01/04/2026 11:24:48 AM</t>
  </si>
  <si>
    <t>01/04/2026 11:28:37 AM</t>
  </si>
  <si>
    <t>32409</t>
  </si>
  <si>
    <t>01/04/2026 11:31:51 AM</t>
  </si>
  <si>
    <t>01/04/2026 11:35:39 AM</t>
  </si>
  <si>
    <t>32410</t>
  </si>
  <si>
    <t>01/04/2026 11:39:19 AM</t>
  </si>
  <si>
    <t>01/04/2026 11:43:05 AM</t>
  </si>
  <si>
    <t>32411</t>
  </si>
  <si>
    <t>01/04/2026 11:50:15 AM</t>
  </si>
  <si>
    <t>01/04/2026 11:53:56 AM</t>
  </si>
  <si>
    <t>32412</t>
  </si>
  <si>
    <t>01/04/2026 11:55:12 AM</t>
  </si>
  <si>
    <t>01/04/2026 11:59:48 AM</t>
  </si>
  <si>
    <t>32413</t>
  </si>
  <si>
    <t>01/04/2026 12:01:38 PM</t>
  </si>
  <si>
    <t>01/04/2026 12:06:27 PM</t>
  </si>
  <si>
    <t>32414</t>
  </si>
  <si>
    <t>01/04/2026 12:05:11 PM</t>
  </si>
  <si>
    <t>01/04/2026 12:09:17 PM</t>
  </si>
  <si>
    <t>32415</t>
  </si>
  <si>
    <t>01/04/2026 12:12:53 PM</t>
  </si>
  <si>
    <t>01/04/2026 12:19:52 PM</t>
  </si>
  <si>
    <t>32416</t>
  </si>
  <si>
    <t>01/04/2026 12:17:59 PM</t>
  </si>
  <si>
    <t>01/04/2026 12:21:50 PM</t>
  </si>
  <si>
    <t>32417</t>
  </si>
  <si>
    <t>01/04/2026 12:23:00 PM</t>
  </si>
  <si>
    <t>01/04/2026 12:27:30 PM</t>
  </si>
  <si>
    <t>32418</t>
  </si>
  <si>
    <t>01/04/2026 12:31:16 PM</t>
  </si>
  <si>
    <t>01/04/2026 12:35:49 PM</t>
  </si>
  <si>
    <t>27160</t>
  </si>
  <si>
    <t>32419</t>
  </si>
  <si>
    <t>01/04/2026 02:15:30 PM</t>
  </si>
  <si>
    <t>01/04/2026 02:29:13 PM</t>
  </si>
  <si>
    <t>32420</t>
  </si>
  <si>
    <t>01/04/2026 02:21:27 PM</t>
  </si>
  <si>
    <t>01/04/2026 02:34:28 PM</t>
  </si>
  <si>
    <t>32421</t>
  </si>
  <si>
    <t>01/04/2026 02:27:52 PM</t>
  </si>
  <si>
    <t>01/04/2026 02:48:43 PM</t>
  </si>
  <si>
    <t>32422</t>
  </si>
  <si>
    <t>01/04/2026 02:43:31 PM</t>
  </si>
  <si>
    <t>01/04/2026 02:58:38 PM</t>
  </si>
  <si>
    <t>32423</t>
  </si>
  <si>
    <t>01/04/2026 02:57:24 PM</t>
  </si>
  <si>
    <t>01/04/2026 03:14:05 PM</t>
  </si>
  <si>
    <t>32424</t>
  </si>
  <si>
    <t>01/04/2026 03:09:16 PM</t>
  </si>
  <si>
    <t>01/04/2026 03:22:28 PM</t>
  </si>
  <si>
    <t>32425</t>
  </si>
  <si>
    <t>01/04/2026 03:16:06 PM</t>
  </si>
  <si>
    <t>01/04/2026 03:30:02 PM</t>
  </si>
  <si>
    <t>32426</t>
  </si>
  <si>
    <t>01/04/2026 03:25:39 PM</t>
  </si>
  <si>
    <t>01/04/2026 03:45:45 PM</t>
  </si>
  <si>
    <t>32427</t>
  </si>
  <si>
    <t>01/04/2026 03:31:56 PM</t>
  </si>
  <si>
    <t>01/04/2026 03:50:05 PM</t>
  </si>
  <si>
    <t>32428</t>
  </si>
  <si>
    <t>01/04/2026 03:42:06 PM</t>
  </si>
  <si>
    <t>01/04/2026 04:07:12 PM</t>
  </si>
  <si>
    <t>32429</t>
  </si>
  <si>
    <t>01/04/2026 03:57:19 PM</t>
  </si>
  <si>
    <t>01/04/2026 04:23:48 PM</t>
  </si>
  <si>
    <t>32431</t>
  </si>
  <si>
    <t>01/04/2026 04:22:17 PM</t>
  </si>
  <si>
    <t>01/04/2026 04:59:25 PM</t>
  </si>
  <si>
    <t>32432</t>
  </si>
  <si>
    <t>01/04/2026 04:33:26 PM</t>
  </si>
  <si>
    <t>01/04/2026 05:00:22 PM</t>
  </si>
  <si>
    <t>43800</t>
  </si>
  <si>
    <t>32433</t>
  </si>
  <si>
    <t>01/04/2026 05:07:49 PM</t>
  </si>
  <si>
    <t>01/04/2026 05:19:02 PM</t>
  </si>
  <si>
    <t>32434</t>
  </si>
  <si>
    <t>01/04/2026 05:13:50 PM</t>
  </si>
  <si>
    <t>01/04/2026 05:36:30 PM</t>
  </si>
  <si>
    <t>32436</t>
  </si>
  <si>
    <t>01/04/2026 05:20:20 PM</t>
  </si>
  <si>
    <t>01/04/2026 05:38:00 PM</t>
  </si>
  <si>
    <t>32437</t>
  </si>
  <si>
    <t>01/04/2026 05:27:23 PM</t>
  </si>
  <si>
    <t>01/04/2026 05:45:54 PM</t>
  </si>
  <si>
    <t>32391</t>
  </si>
  <si>
    <t>31/03/2026 03:10:02 PM</t>
  </si>
  <si>
    <t>31/03/2026 03:14:21 PM</t>
  </si>
  <si>
    <t>32392</t>
  </si>
  <si>
    <t>31/03/2026 03:20:40 PM</t>
  </si>
  <si>
    <t>31/03/2026 03:25:28 PM</t>
  </si>
  <si>
    <t>32393</t>
  </si>
  <si>
    <t>31/03/2026 03:28:14 PM</t>
  </si>
  <si>
    <t>31/03/2026 03:32:15 PM</t>
  </si>
  <si>
    <t>29/3/2026  6:00:00 AM</t>
  </si>
  <si>
    <t>29/3/2026  6:00:00 PM</t>
  </si>
  <si>
    <t>MNWS010426</t>
  </si>
  <si>
    <t>1/4/2026 6:00</t>
  </si>
  <si>
    <t>1/4/2026 18:00</t>
  </si>
  <si>
    <t>2500000</t>
  </si>
  <si>
    <t>1500000</t>
  </si>
  <si>
    <t>32444</t>
  </si>
  <si>
    <t>T295 EHH</t>
  </si>
  <si>
    <t>02/04/2026 09:36:42 AM</t>
  </si>
  <si>
    <t>02/04/2026 09:56:36 AM</t>
  </si>
  <si>
    <t>38000</t>
  </si>
  <si>
    <t>22360</t>
  </si>
  <si>
    <t>32445</t>
  </si>
  <si>
    <t>02/04/2026 09:39:36 AM</t>
  </si>
  <si>
    <t>02/04/2026 09:58:52 AM</t>
  </si>
  <si>
    <t>34100</t>
  </si>
  <si>
    <t>14800</t>
  </si>
  <si>
    <t>19300</t>
  </si>
  <si>
    <t>32446</t>
  </si>
  <si>
    <t>Stock Yard to Pile (through Crusher)</t>
  </si>
  <si>
    <t>02/04/2026 09:45:13 AM</t>
  </si>
  <si>
    <t>02/04/2026 09:54:44 AM</t>
  </si>
  <si>
    <t>35260</t>
  </si>
  <si>
    <t>20420</t>
  </si>
  <si>
    <t>32447</t>
  </si>
  <si>
    <t>02/04/2026 10:02:11 AM</t>
  </si>
  <si>
    <t>02/04/2026 10:06:14 AM</t>
  </si>
  <si>
    <t>36060</t>
  </si>
  <si>
    <t>15100</t>
  </si>
  <si>
    <t>20960</t>
  </si>
  <si>
    <t>32448</t>
  </si>
  <si>
    <t>South Mine to Pile (through Crusher)</t>
  </si>
  <si>
    <t>02/04/2026 10:10:38 AM</t>
  </si>
  <si>
    <t>02/04/2026 10:15:09 AM</t>
  </si>
  <si>
    <t>36600</t>
  </si>
  <si>
    <t>21600</t>
  </si>
  <si>
    <t>32449</t>
  </si>
  <si>
    <t>02/04/2026 10:12:25 AM</t>
  </si>
  <si>
    <t>02/04/2026 10:18:13 AM</t>
  </si>
  <si>
    <t>36620</t>
  </si>
  <si>
    <t>21720</t>
  </si>
  <si>
    <t>32450</t>
  </si>
  <si>
    <t>02/04/2026 10:19:49 AM</t>
  </si>
  <si>
    <t>02/04/2026 10:25:04 AM</t>
  </si>
  <si>
    <t>36780</t>
  </si>
  <si>
    <t>20080</t>
  </si>
  <si>
    <t>32451</t>
  </si>
  <si>
    <t>02/04/2026 10:21:44 AM</t>
  </si>
  <si>
    <t>02/04/2026 10:26:32 AM</t>
  </si>
  <si>
    <t>36660</t>
  </si>
  <si>
    <t>15140</t>
  </si>
  <si>
    <t>21520</t>
  </si>
  <si>
    <t>32452</t>
  </si>
  <si>
    <t>02/04/2026 10:29:26 AM</t>
  </si>
  <si>
    <t>02/04/2026 10:34:41 AM</t>
  </si>
  <si>
    <t>36560</t>
  </si>
  <si>
    <t>21680</t>
  </si>
  <si>
    <t>32453</t>
  </si>
  <si>
    <t>02/04/2026 10:33:00 AM</t>
  </si>
  <si>
    <t>02/04/2026 10:37:43 AM</t>
  </si>
  <si>
    <t>14780</t>
  </si>
  <si>
    <t>21280</t>
  </si>
  <si>
    <t>32454</t>
  </si>
  <si>
    <t>02/04/2026 10:39:22 AM</t>
  </si>
  <si>
    <t>02/04/2026 10:44:30 AM</t>
  </si>
  <si>
    <t>36980</t>
  </si>
  <si>
    <t>16660</t>
  </si>
  <si>
    <t>20320</t>
  </si>
  <si>
    <t>32455</t>
  </si>
  <si>
    <t>02/04/2026 10:41:46 AM</t>
  </si>
  <si>
    <t>02/04/2026 10:46:31 AM</t>
  </si>
  <si>
    <t>37180</t>
  </si>
  <si>
    <t>22040</t>
  </si>
  <si>
    <t>32457</t>
  </si>
  <si>
    <t>02/04/2026 10:49:49 AM</t>
  </si>
  <si>
    <t>02/04/2026 10:54:20 AM</t>
  </si>
  <si>
    <t>36840</t>
  </si>
  <si>
    <t>21820</t>
  </si>
  <si>
    <t>32458</t>
  </si>
  <si>
    <t>02/04/2026 10:52:14 AM</t>
  </si>
  <si>
    <t>02/04/2026 10:56:29 AM</t>
  </si>
  <si>
    <t>37280</t>
  </si>
  <si>
    <t>22400</t>
  </si>
  <si>
    <t>32459</t>
  </si>
  <si>
    <t>02/04/2026 10:59:05 AM</t>
  </si>
  <si>
    <t>02/04/2026 11:03:44 AM</t>
  </si>
  <si>
    <t>38600</t>
  </si>
  <si>
    <t>16720</t>
  </si>
  <si>
    <t>21880</t>
  </si>
  <si>
    <t>32460</t>
  </si>
  <si>
    <t>02/04/2026 11:01:26 AM</t>
  </si>
  <si>
    <t>02/04/2026 11:07:37 AM</t>
  </si>
  <si>
    <t>37340</t>
  </si>
  <si>
    <t>15180</t>
  </si>
  <si>
    <t>22160</t>
  </si>
  <si>
    <t>32461</t>
  </si>
  <si>
    <t>02/04/2026 11:06:29 AM</t>
  </si>
  <si>
    <t>02/04/2026 11:10:48 AM</t>
  </si>
  <si>
    <t>36700</t>
  </si>
  <si>
    <t>21620</t>
  </si>
  <si>
    <t>32462</t>
  </si>
  <si>
    <t>02/04/2026 11:12:23 AM</t>
  </si>
  <si>
    <t>02/04/2026 11:16:25 AM</t>
  </si>
  <si>
    <t>38020</t>
  </si>
  <si>
    <t>14860</t>
  </si>
  <si>
    <t>23160</t>
  </si>
  <si>
    <t>32463</t>
  </si>
  <si>
    <t>02/04/2026 11:18:01 AM</t>
  </si>
  <si>
    <t>02/04/2026 11:22:01 AM</t>
  </si>
  <si>
    <t>38940</t>
  </si>
  <si>
    <t>16760</t>
  </si>
  <si>
    <t>22180</t>
  </si>
  <si>
    <t>32464</t>
  </si>
  <si>
    <t>02/04/2026 11:20:58 AM</t>
  </si>
  <si>
    <t>02/04/2026 11:25:06 AM</t>
  </si>
  <si>
    <t>36640</t>
  </si>
  <si>
    <t>15340</t>
  </si>
  <si>
    <t>32466</t>
  </si>
  <si>
    <t>02/04/2026 11:26:22 AM</t>
  </si>
  <si>
    <t>02/04/2026 11:34:22 AM</t>
  </si>
  <si>
    <t>39420</t>
  </si>
  <si>
    <t>24420</t>
  </si>
  <si>
    <t>32467</t>
  </si>
  <si>
    <t>02/04/2026 11:35:27 AM</t>
  </si>
  <si>
    <t>02/04/2026 11:45:53 AM</t>
  </si>
  <si>
    <t>37000</t>
  </si>
  <si>
    <t>32468</t>
  </si>
  <si>
    <t>02/04/2026 11:38:14 AM</t>
  </si>
  <si>
    <t>02/04/2026 11:49:17 AM</t>
  </si>
  <si>
    <t>36260</t>
  </si>
  <si>
    <t>15260</t>
  </si>
  <si>
    <t>21000</t>
  </si>
  <si>
    <t>32469</t>
  </si>
  <si>
    <t>02/04/2026 11:43:00 AM</t>
  </si>
  <si>
    <t>02/04/2026 11:50:24 AM</t>
  </si>
  <si>
    <t>39640</t>
  </si>
  <si>
    <t>14740</t>
  </si>
  <si>
    <t>24900</t>
  </si>
  <si>
    <t>32470</t>
  </si>
  <si>
    <t>02/04/2026 11:44:43 AM</t>
  </si>
  <si>
    <t>02/04/2026 11:51:19 AM</t>
  </si>
  <si>
    <t>36180</t>
  </si>
  <si>
    <t>21180</t>
  </si>
  <si>
    <t>32472</t>
  </si>
  <si>
    <t>02/04/2026 12:12:33 PM</t>
  </si>
  <si>
    <t>02/04/2026 12:17:13 PM</t>
  </si>
  <si>
    <t>37240</t>
  </si>
  <si>
    <t>22380</t>
  </si>
  <si>
    <t>32473</t>
  </si>
  <si>
    <t>02/04/2026 12:13:33 PM</t>
  </si>
  <si>
    <t>02/04/2026 12:18:17 PM</t>
  </si>
  <si>
    <t>37420</t>
  </si>
  <si>
    <t>32474</t>
  </si>
  <si>
    <t>02/04/2026 12:14:35 PM</t>
  </si>
  <si>
    <t>02/04/2026 12:22:22 PM</t>
  </si>
  <si>
    <t>37140</t>
  </si>
  <si>
    <t>14700</t>
  </si>
  <si>
    <t>22440</t>
  </si>
  <si>
    <t>32481</t>
  </si>
  <si>
    <t>South Mine to Direct Pile (Bypass Crusher)</t>
  </si>
  <si>
    <t>02/04/2026 02:22:34 PM</t>
  </si>
  <si>
    <t>02/04/2026 02:45:20 PM</t>
  </si>
  <si>
    <t>21980</t>
  </si>
  <si>
    <t>32482</t>
  </si>
  <si>
    <t>02/04/2026 02:24:55 PM</t>
  </si>
  <si>
    <t>02/04/2026 02:44:11 PM</t>
  </si>
  <si>
    <t>14580</t>
  </si>
  <si>
    <t>32484</t>
  </si>
  <si>
    <t>02/04/2026 02:37:33 PM</t>
  </si>
  <si>
    <t>02/04/2026 02:51:57 PM</t>
  </si>
  <si>
    <t>21700</t>
  </si>
  <si>
    <t>32486</t>
  </si>
  <si>
    <t>02/04/2026 02:58:00 PM</t>
  </si>
  <si>
    <t>02/04/2026 03:15:35 PM</t>
  </si>
  <si>
    <t>36200</t>
  </si>
  <si>
    <t>14720</t>
  </si>
  <si>
    <t>21480</t>
  </si>
  <si>
    <t>32487</t>
  </si>
  <si>
    <t>02/04/2026 03:02:04 PM</t>
  </si>
  <si>
    <t>02/04/2026 03:18:21 PM</t>
  </si>
  <si>
    <t>21220</t>
  </si>
  <si>
    <t>32488</t>
  </si>
  <si>
    <t>02/04/2026 03:11:04 PM</t>
  </si>
  <si>
    <t>02/04/2026 03:24:49 PM</t>
  </si>
  <si>
    <t>40160</t>
  </si>
  <si>
    <t>15280</t>
  </si>
  <si>
    <t>24880</t>
  </si>
  <si>
    <t>32490</t>
  </si>
  <si>
    <t>02/04/2026 03:32:07 PM</t>
  </si>
  <si>
    <t>02/04/2026 03:59:41 PM</t>
  </si>
  <si>
    <t>37560</t>
  </si>
  <si>
    <t>14640</t>
  </si>
  <si>
    <t>22920</t>
  </si>
  <si>
    <t>32491</t>
  </si>
  <si>
    <t>02/04/2026 03:35:31 PM</t>
  </si>
  <si>
    <t>02/04/2026 04:00:37 PM</t>
  </si>
  <si>
    <t>35240</t>
  </si>
  <si>
    <t>20360</t>
  </si>
  <si>
    <t>32493</t>
  </si>
  <si>
    <t>02/04/2026 03:40:47 PM</t>
  </si>
  <si>
    <t>02/04/2026 04:01:27 PM</t>
  </si>
  <si>
    <t>36720</t>
  </si>
  <si>
    <t>21460</t>
  </si>
  <si>
    <t>MNWS020426</t>
  </si>
  <si>
    <t>2/4/2026 6:00</t>
  </si>
  <si>
    <t>2/4/2026 18:00</t>
  </si>
  <si>
    <t>3300000</t>
  </si>
  <si>
    <t>2300000</t>
  </si>
  <si>
    <t>32503</t>
  </si>
  <si>
    <t>03/04/2026 09:07:49 AM</t>
  </si>
  <si>
    <t>03/04/2026 09:21:09 AM</t>
  </si>
  <si>
    <t>37380</t>
  </si>
  <si>
    <t>15900</t>
  </si>
  <si>
    <t>32504</t>
  </si>
  <si>
    <t>03/04/2026 09:11:40 AM</t>
  </si>
  <si>
    <t>03/04/2026 09:27:53 AM</t>
  </si>
  <si>
    <t>35700</t>
  </si>
  <si>
    <t>15680</t>
  </si>
  <si>
    <t>20020</t>
  </si>
  <si>
    <t>32505</t>
  </si>
  <si>
    <t>03/04/2026 09:24:00 AM</t>
  </si>
  <si>
    <t>03/04/2026 09:37:03 AM</t>
  </si>
  <si>
    <t>36380</t>
  </si>
  <si>
    <t>15520</t>
  </si>
  <si>
    <t>20860</t>
  </si>
  <si>
    <t>32506</t>
  </si>
  <si>
    <t>03/04/2026 09:47:12 AM</t>
  </si>
  <si>
    <t>03/04/2026 10:03:13 AM</t>
  </si>
  <si>
    <t>36160</t>
  </si>
  <si>
    <t>20480</t>
  </si>
  <si>
    <t>32507</t>
  </si>
  <si>
    <t>03/04/2026 09:54:40 AM</t>
  </si>
  <si>
    <t>03/04/2026 10:12:55 AM</t>
  </si>
  <si>
    <t>36220</t>
  </si>
  <si>
    <t>15160</t>
  </si>
  <si>
    <t>21060</t>
  </si>
  <si>
    <t>32509</t>
  </si>
  <si>
    <t>03/04/2026 09:58:34 AM</t>
  </si>
  <si>
    <t>03/04/2026 10:14:40 AM</t>
  </si>
  <si>
    <t>36540</t>
  </si>
  <si>
    <t>21020</t>
  </si>
  <si>
    <t>32510</t>
  </si>
  <si>
    <t>T304 EHH</t>
  </si>
  <si>
    <t>03/04/2026 10:10:38 AM</t>
  </si>
  <si>
    <t>03/04/2026 10:26:34 AM</t>
  </si>
  <si>
    <t>38340</t>
  </si>
  <si>
    <t>15420</t>
  </si>
  <si>
    <t>32511</t>
  </si>
  <si>
    <t>03/04/2026 10:15:58 AM</t>
  </si>
  <si>
    <t>03/04/2026 10:31:22 AM</t>
  </si>
  <si>
    <t>38280</t>
  </si>
  <si>
    <t>15860</t>
  </si>
  <si>
    <t>22420</t>
  </si>
  <si>
    <t>32512</t>
  </si>
  <si>
    <t>03/04/2026 10:29:58 AM</t>
  </si>
  <si>
    <t>03/04/2026 10:56:54 AM</t>
  </si>
  <si>
    <t>38180</t>
  </si>
  <si>
    <t>32513</t>
  </si>
  <si>
    <t>03/04/2026 10:34:01 AM</t>
  </si>
  <si>
    <t>03/04/2026 10:58:02 AM</t>
  </si>
  <si>
    <t>37800</t>
  </si>
  <si>
    <t>22300</t>
  </si>
  <si>
    <t>32514</t>
  </si>
  <si>
    <t>03/04/2026 10:40:04 AM</t>
  </si>
  <si>
    <t>03/04/2026 10:54:24 AM</t>
  </si>
  <si>
    <t>39080</t>
  </si>
  <si>
    <t>15480</t>
  </si>
  <si>
    <t>23600</t>
  </si>
  <si>
    <t>32515</t>
  </si>
  <si>
    <t>South Mine to Stock Yard</t>
  </si>
  <si>
    <t>03/04/2026 10:49:32 AM</t>
  </si>
  <si>
    <t>03/04/2026 10:55:36 AM</t>
  </si>
  <si>
    <t>39900</t>
  </si>
  <si>
    <t>16000</t>
  </si>
  <si>
    <t>23900</t>
  </si>
  <si>
    <t>32517</t>
  </si>
  <si>
    <t>03/04/2026 11:13:09 AM</t>
  </si>
  <si>
    <t>03/04/2026 11:18:44 AM</t>
  </si>
  <si>
    <t>24580</t>
  </si>
  <si>
    <t>32518</t>
  </si>
  <si>
    <t>03/04/2026 12:04:50 PM</t>
  </si>
  <si>
    <t>03/04/2026 12:09:43 PM</t>
  </si>
  <si>
    <t>38820</t>
  </si>
  <si>
    <t>23340</t>
  </si>
  <si>
    <t>32519</t>
  </si>
  <si>
    <t>03/04/2026 12:07:30 PM</t>
  </si>
  <si>
    <t>03/04/2026 12:10:56 PM</t>
  </si>
  <si>
    <t>41480</t>
  </si>
  <si>
    <t>15920</t>
  </si>
  <si>
    <t>25560</t>
  </si>
  <si>
    <t>32520</t>
  </si>
  <si>
    <t>03/04/2026 12:08:35 PM</t>
  </si>
  <si>
    <t>03/04/2026 12:13:21 PM</t>
  </si>
  <si>
    <t>23820</t>
  </si>
  <si>
    <t>32521</t>
  </si>
  <si>
    <t>03/04/2026 12:22:39 PM</t>
  </si>
  <si>
    <t>03/04/2026 12:25:58 PM</t>
  </si>
  <si>
    <t>42380</t>
  </si>
  <si>
    <t>26460</t>
  </si>
  <si>
    <t>32522</t>
  </si>
  <si>
    <t>03/04/2026 12:27:01 PM</t>
  </si>
  <si>
    <t>03/04/2026 12:33:11 PM</t>
  </si>
  <si>
    <t>40640</t>
  </si>
  <si>
    <t>25000</t>
  </si>
  <si>
    <t>32524</t>
  </si>
  <si>
    <t>03/04/2026 12:31:58 PM</t>
  </si>
  <si>
    <t>03/04/2026 12:35:28 PM</t>
  </si>
  <si>
    <t>41020</t>
  </si>
  <si>
    <t>25540</t>
  </si>
  <si>
    <t>32525</t>
  </si>
  <si>
    <t>03/04/2026 12:36:39 PM</t>
  </si>
  <si>
    <t>03/04/2026 12:41:06 PM</t>
  </si>
  <si>
    <t>32526</t>
  </si>
  <si>
    <t>03/04/2026 12:43:27 PM</t>
  </si>
  <si>
    <t>03/04/2026 12:50:54 PM</t>
  </si>
  <si>
    <t>15760</t>
  </si>
  <si>
    <t>22840</t>
  </si>
  <si>
    <t>32527</t>
  </si>
  <si>
    <t>03/04/2026 12:49:24 PM</t>
  </si>
  <si>
    <t>03/04/2026 12:53:32 PM</t>
  </si>
  <si>
    <t>39600</t>
  </si>
  <si>
    <t>15460</t>
  </si>
  <si>
    <t>24140</t>
  </si>
  <si>
    <t>32528</t>
  </si>
  <si>
    <t>03/04/2026 12:52:03 PM</t>
  </si>
  <si>
    <t>03/04/2026 12:55:29 PM</t>
  </si>
  <si>
    <t>15880</t>
  </si>
  <si>
    <t>24360</t>
  </si>
  <si>
    <t>32530</t>
  </si>
  <si>
    <t>03/04/2026 02:25:11 PM</t>
  </si>
  <si>
    <t>03/04/2026 01:28:59 PM</t>
  </si>
  <si>
    <t>15820</t>
  </si>
  <si>
    <t>20820</t>
  </si>
  <si>
    <t>32531</t>
  </si>
  <si>
    <t>03/04/2026 01:19:27 PM</t>
  </si>
  <si>
    <t>03/04/2026 01:32:13 PM</t>
  </si>
  <si>
    <t>38760</t>
  </si>
  <si>
    <t>32533</t>
  </si>
  <si>
    <t>03/04/2026 03:48:35 PM</t>
  </si>
  <si>
    <t>03/04/2026 03:55:25 PM</t>
  </si>
  <si>
    <t>38100</t>
  </si>
  <si>
    <t>32534</t>
  </si>
  <si>
    <t>03/04/2026 03:53:15 PM</t>
  </si>
  <si>
    <t>03/04/2026 03:58:03 PM</t>
  </si>
  <si>
    <t>40400</t>
  </si>
  <si>
    <t>32535</t>
  </si>
  <si>
    <t>03/04/2026 03:59:56 PM</t>
  </si>
  <si>
    <t>03/04/2026 04:05:11 PM</t>
  </si>
  <si>
    <t>23380</t>
  </si>
  <si>
    <t>32536</t>
  </si>
  <si>
    <t>03/04/2026 04:08:07 PM</t>
  </si>
  <si>
    <t>03/04/2026 04:11:43 PM</t>
  </si>
  <si>
    <t>20880</t>
  </si>
  <si>
    <t>32538</t>
  </si>
  <si>
    <t>03/04/2026 04:52:17 PM</t>
  </si>
  <si>
    <t>03/04/2026 04:58:59 PM</t>
  </si>
  <si>
    <t>37780</t>
  </si>
  <si>
    <t>22100</t>
  </si>
  <si>
    <t>32539</t>
  </si>
  <si>
    <t>03/04/2026 04:57:21 PM</t>
  </si>
  <si>
    <t>03/04/2026 05:01:58 PM</t>
  </si>
  <si>
    <t>37760</t>
  </si>
  <si>
    <t>15700</t>
  </si>
  <si>
    <t>22060</t>
  </si>
  <si>
    <t>32540</t>
  </si>
  <si>
    <t>03/04/2026 05:00:46 PM</t>
  </si>
  <si>
    <t>03/04/2026 05:04:21 PM</t>
  </si>
  <si>
    <t>37160</t>
  </si>
  <si>
    <t>22240</t>
  </si>
  <si>
    <t>32541</t>
  </si>
  <si>
    <t>03/04/2026 05:13:02 PM</t>
  </si>
  <si>
    <t>03/04/2026 05:16:45 PM</t>
  </si>
  <si>
    <t>36400</t>
  </si>
  <si>
    <t>15740</t>
  </si>
  <si>
    <t>20660</t>
  </si>
  <si>
    <t>32542</t>
  </si>
  <si>
    <t>03/04/2026 05:17:48 PM</t>
  </si>
  <si>
    <t>03/04/2026 05:22:05 PM</t>
  </si>
  <si>
    <t>15660</t>
  </si>
  <si>
    <t>32543</t>
  </si>
  <si>
    <t>03/04/2026 05:20:43 PM</t>
  </si>
  <si>
    <t>03/04/2026 05:24:18 PM</t>
  </si>
  <si>
    <t>36760</t>
  </si>
  <si>
    <t>21920</t>
  </si>
  <si>
    <t>32544</t>
  </si>
  <si>
    <t>03/04/2026 05:31:46 PM</t>
  </si>
  <si>
    <t>03/04/2026 05:36:40 PM</t>
  </si>
  <si>
    <t>15720</t>
  </si>
  <si>
    <t>32546</t>
  </si>
  <si>
    <t>03/04/2026 05:42:32 PM</t>
  </si>
  <si>
    <t>03/04/2026 05:47:25 PM</t>
  </si>
  <si>
    <t>34720</t>
  </si>
  <si>
    <t>19080</t>
  </si>
  <si>
    <t>32547</t>
  </si>
  <si>
    <t>03/04/2026 05:51:56 PM</t>
  </si>
  <si>
    <t>03/04/2026 05:55:36 PM</t>
  </si>
  <si>
    <t>38860</t>
  </si>
  <si>
    <t>24020</t>
  </si>
  <si>
    <t>32548</t>
  </si>
  <si>
    <t>03/04/2026 06:00:11 PM</t>
  </si>
  <si>
    <t>03/04/2026 06:03:27 PM</t>
  </si>
  <si>
    <t>38460</t>
  </si>
  <si>
    <t>15780</t>
  </si>
  <si>
    <t>22680</t>
  </si>
  <si>
    <t>32550</t>
  </si>
  <si>
    <t>03/04/2026 06:12:58 PM</t>
  </si>
  <si>
    <t>03/04/2026 06:19:43 PM</t>
  </si>
  <si>
    <t>39840</t>
  </si>
  <si>
    <t>24280</t>
  </si>
  <si>
    <t>32551</t>
  </si>
  <si>
    <t>03/04/2026 06:17:15 PM</t>
  </si>
  <si>
    <t>03/04/2026 06:22:18 PM</t>
  </si>
  <si>
    <t>14760</t>
  </si>
  <si>
    <t>24180</t>
  </si>
  <si>
    <t>32552</t>
  </si>
  <si>
    <t>03/04/2026 06:30:08 PM</t>
  </si>
  <si>
    <t>03/04/2026 06:33:23 PM</t>
  </si>
  <si>
    <t>37980</t>
  </si>
  <si>
    <t>32553</t>
  </si>
  <si>
    <t>03/04/2026 06:51:47 PM</t>
  </si>
  <si>
    <t>03/04/2026 06:57:03 PM</t>
  </si>
  <si>
    <t>39480</t>
  </si>
  <si>
    <t>23800</t>
  </si>
  <si>
    <t>32554</t>
  </si>
  <si>
    <t>03/04/2026 06:53:17 PM</t>
  </si>
  <si>
    <t>03/04/2026 06:55:46 PM</t>
  </si>
  <si>
    <t>35220</t>
  </si>
  <si>
    <t>20380</t>
  </si>
  <si>
    <t>32555</t>
  </si>
  <si>
    <t>03/04/2026 06:58:25 PM</t>
  </si>
  <si>
    <t>03/04/2026 07:01:51 PM</t>
  </si>
  <si>
    <t>34520</t>
  </si>
  <si>
    <t>15800</t>
  </si>
  <si>
    <t>18720</t>
  </si>
  <si>
    <t>32556</t>
  </si>
  <si>
    <t>03/04/2026 09:21:22 PM</t>
  </si>
  <si>
    <t>03/04/2026 09:26:31 PM</t>
  </si>
  <si>
    <t>33080</t>
  </si>
  <si>
    <t>18140</t>
  </si>
  <si>
    <t>32557</t>
  </si>
  <si>
    <t>03/04/2026 09:25:29 PM</t>
  </si>
  <si>
    <t>03/04/2026 09:29:06 PM</t>
  </si>
  <si>
    <t>32558</t>
  </si>
  <si>
    <t>03/04/2026 09:30:06 PM</t>
  </si>
  <si>
    <t>03/04/2026 09:34:04 PM</t>
  </si>
  <si>
    <t>39560</t>
  </si>
  <si>
    <t>16520</t>
  </si>
  <si>
    <t>23040</t>
  </si>
  <si>
    <t>32559</t>
  </si>
  <si>
    <t>03/04/2026 09:35:30 PM</t>
  </si>
  <si>
    <t>03/04/2026 09:46:03 PM</t>
  </si>
  <si>
    <t>39920</t>
  </si>
  <si>
    <t>24340</t>
  </si>
  <si>
    <t>32560</t>
  </si>
  <si>
    <t>03/04/2026 09:40:23 PM</t>
  </si>
  <si>
    <t>03/04/2026 09:44:47 PM</t>
  </si>
  <si>
    <t>39120</t>
  </si>
  <si>
    <t>16180</t>
  </si>
  <si>
    <t>22940</t>
  </si>
  <si>
    <t>32561</t>
  </si>
  <si>
    <t>03/04/2026 09:47:06 PM</t>
  </si>
  <si>
    <t>03/04/2026 09:50:36 PM</t>
  </si>
  <si>
    <t>21840</t>
  </si>
  <si>
    <t>32562</t>
  </si>
  <si>
    <t>03/04/2026 09:48:53 PM</t>
  </si>
  <si>
    <t>03/04/2026 09:52:34 PM</t>
  </si>
  <si>
    <t>41820</t>
  </si>
  <si>
    <t>26040</t>
  </si>
  <si>
    <t>32563</t>
  </si>
  <si>
    <t>03/04/2026 09:53:53 PM</t>
  </si>
  <si>
    <t>03/04/2026 09:57:59 PM</t>
  </si>
  <si>
    <t>16560</t>
  </si>
  <si>
    <t>22860</t>
  </si>
  <si>
    <t>32564</t>
  </si>
  <si>
    <t>03/04/2026 10:00:52 PM</t>
  </si>
  <si>
    <t>03/04/2026 10:05:33 PM</t>
  </si>
  <si>
    <t>38360</t>
  </si>
  <si>
    <t>32565</t>
  </si>
  <si>
    <t>03/04/2026 10:07:43 PM</t>
  </si>
  <si>
    <t>03/04/2026 10:11:25 PM</t>
  </si>
  <si>
    <t>40700</t>
  </si>
  <si>
    <t>24700</t>
  </si>
  <si>
    <t>MNWS030426</t>
  </si>
  <si>
    <t>3/4/2026 6:00</t>
  </si>
  <si>
    <t>3/4/2026 18:00</t>
  </si>
  <si>
    <t>3140000</t>
  </si>
  <si>
    <t>2140000</t>
  </si>
  <si>
    <t>32566</t>
  </si>
  <si>
    <t>04/04/2026 03:04:27 AM</t>
  </si>
  <si>
    <t>04/04/2026 03:08:23 AM</t>
  </si>
  <si>
    <t>43080</t>
  </si>
  <si>
    <t>16440</t>
  </si>
  <si>
    <t>26640</t>
  </si>
  <si>
    <t>32567</t>
  </si>
  <si>
    <t>04/04/2026 03:09:55 AM</t>
  </si>
  <si>
    <t>04/04/2026 03:13:42 AM</t>
  </si>
  <si>
    <t>41400</t>
  </si>
  <si>
    <t>25600</t>
  </si>
  <si>
    <t>32568</t>
  </si>
  <si>
    <t>04/04/2026 03:16:45 AM</t>
  </si>
  <si>
    <t>04/04/2026 03:20:46 AM</t>
  </si>
  <si>
    <t>41940</t>
  </si>
  <si>
    <t>16540</t>
  </si>
  <si>
    <t>25400</t>
  </si>
  <si>
    <t>32569</t>
  </si>
  <si>
    <t>04/04/2026 03:24:03 AM</t>
  </si>
  <si>
    <t>04/04/2026 03:30:41 AM</t>
  </si>
  <si>
    <t>41980</t>
  </si>
  <si>
    <t>16060</t>
  </si>
  <si>
    <t>25920</t>
  </si>
  <si>
    <t>32570</t>
  </si>
  <si>
    <t>04/04/2026 03:32:20 AM</t>
  </si>
  <si>
    <t>04/04/2026 03:36:16 AM</t>
  </si>
  <si>
    <t>41460</t>
  </si>
  <si>
    <t>26100</t>
  </si>
  <si>
    <t>32571</t>
  </si>
  <si>
    <t>04/04/2026 03:38:53 AM</t>
  </si>
  <si>
    <t>04/04/2026 03:42:28 AM</t>
  </si>
  <si>
    <t>22500</t>
  </si>
  <si>
    <t>32572</t>
  </si>
  <si>
    <t>04/04/2026 03:44:22 AM</t>
  </si>
  <si>
    <t>04/04/2026 03:48:00 AM</t>
  </si>
  <si>
    <t>41740</t>
  </si>
  <si>
    <t>25200</t>
  </si>
  <si>
    <t>32573</t>
  </si>
  <si>
    <t>04/04/2026 03:50:28 AM</t>
  </si>
  <si>
    <t>04/04/2026 03:55:31 AM</t>
  </si>
  <si>
    <t>43920</t>
  </si>
  <si>
    <t>16300</t>
  </si>
  <si>
    <t>27620</t>
  </si>
  <si>
    <t>32574</t>
  </si>
  <si>
    <t>04/04/2026 03:54:22 AM</t>
  </si>
  <si>
    <t>04/04/2026 03:58:09 AM</t>
  </si>
  <si>
    <t>45260</t>
  </si>
  <si>
    <t>29900</t>
  </si>
  <si>
    <t>32575</t>
  </si>
  <si>
    <t>04/04/2026 04:01:27 AM</t>
  </si>
  <si>
    <t>04/04/2026 04:06:24 AM</t>
  </si>
  <si>
    <t>43900</t>
  </si>
  <si>
    <t>28100</t>
  </si>
  <si>
    <t>32576</t>
  </si>
  <si>
    <t>04/04/2026 04:09:38 AM</t>
  </si>
  <si>
    <t>04/04/2026 04:15:07 AM</t>
  </si>
  <si>
    <t>43340</t>
  </si>
  <si>
    <t>26800</t>
  </si>
  <si>
    <t>32577</t>
  </si>
  <si>
    <t>04/04/2026 04:16:14 AM</t>
  </si>
  <si>
    <t>04/04/2026 04:22:07 AM</t>
  </si>
  <si>
    <t>44840</t>
  </si>
  <si>
    <t>16360</t>
  </si>
  <si>
    <t>28480</t>
  </si>
  <si>
    <t>32578</t>
  </si>
  <si>
    <t>04/04/2026 04:20:48 AM</t>
  </si>
  <si>
    <t>04/04/2026 04:24:52 AM</t>
  </si>
  <si>
    <t>45580</t>
  </si>
  <si>
    <t>29980</t>
  </si>
  <si>
    <t>32579</t>
  </si>
  <si>
    <t>04/04/2026 04:27:47 AM</t>
  </si>
  <si>
    <t>04/04/2026 04:41:28 AM</t>
  </si>
  <si>
    <t>47000</t>
  </si>
  <si>
    <t>31200</t>
  </si>
  <si>
    <t>32580</t>
  </si>
  <si>
    <t>04/04/2026 04:34:10 AM</t>
  </si>
  <si>
    <t>04/04/2026 04:42:24 AM</t>
  </si>
  <si>
    <t>44100</t>
  </si>
  <si>
    <t>27560</t>
  </si>
  <si>
    <t>32581</t>
  </si>
  <si>
    <t>04/04/2026 04:40:20 AM</t>
  </si>
  <si>
    <t>04/04/2026 04:44:49 AM</t>
  </si>
  <si>
    <t>43740</t>
  </si>
  <si>
    <t>27300</t>
  </si>
  <si>
    <t>32582</t>
  </si>
  <si>
    <t>04/04/2026 04:46:04 AM</t>
  </si>
  <si>
    <t>04/04/2026 04:50:57 AM</t>
  </si>
  <si>
    <t>45600</t>
  </si>
  <si>
    <t>15620</t>
  </si>
  <si>
    <t>32583</t>
  </si>
  <si>
    <t>04/04/2026 05:02:00 AM</t>
  </si>
  <si>
    <t>04/04/2026 05:05:36 AM</t>
  </si>
  <si>
    <t>46880</t>
  </si>
  <si>
    <t>31100</t>
  </si>
  <si>
    <t>32584</t>
  </si>
  <si>
    <t>04/04/2026 05:09:55 AM</t>
  </si>
  <si>
    <t>04/04/2026 05:13:45 AM</t>
  </si>
  <si>
    <t>45140</t>
  </si>
  <si>
    <t>28600</t>
  </si>
  <si>
    <t>32585</t>
  </si>
  <si>
    <t>04/04/2026 05:15:16 AM</t>
  </si>
  <si>
    <t>04/04/2026 05:21:17 AM</t>
  </si>
  <si>
    <t>44820</t>
  </si>
  <si>
    <t>15440</t>
  </si>
  <si>
    <t>29380</t>
  </si>
  <si>
    <t>32586</t>
  </si>
  <si>
    <t>04/04/2026 05:20:25 AM</t>
  </si>
  <si>
    <t>04/04/2026 05:24:01 AM</t>
  </si>
  <si>
    <t>40900</t>
  </si>
  <si>
    <t>25340</t>
  </si>
  <si>
    <t>32587</t>
  </si>
  <si>
    <t>04/04/2026 05:28:02 AM</t>
  </si>
  <si>
    <t>04/04/2026 05:32:22 AM</t>
  </si>
  <si>
    <t>40980</t>
  </si>
  <si>
    <t>32588</t>
  </si>
  <si>
    <t>04/04/2026 05:38:30 AM</t>
  </si>
  <si>
    <t>04/04/2026 05:42:14 AM</t>
  </si>
  <si>
    <t>44520</t>
  </si>
  <si>
    <t>27980</t>
  </si>
  <si>
    <t>32589</t>
  </si>
  <si>
    <t>04/04/2026 05:46:09 AM</t>
  </si>
  <si>
    <t>04/04/2026 05:49:57 AM</t>
  </si>
  <si>
    <t>43360</t>
  </si>
  <si>
    <t>27780</t>
  </si>
  <si>
    <t>32590</t>
  </si>
  <si>
    <t>04/04/2026 05:52:38 AM</t>
  </si>
  <si>
    <t>04/04/2026 05:56:47 AM</t>
  </si>
  <si>
    <t>44060</t>
  </si>
  <si>
    <t>32591</t>
  </si>
  <si>
    <t>04/04/2026 05:59:24 AM</t>
  </si>
  <si>
    <t>04/04/2026 06:03:01 AM</t>
  </si>
  <si>
    <t>44700</t>
  </si>
  <si>
    <t>28940</t>
  </si>
  <si>
    <t>32592</t>
  </si>
  <si>
    <t>04/04/2026 06:06:27 AM</t>
  </si>
  <si>
    <t>04/04/2026 06:11:26 AM</t>
  </si>
  <si>
    <t>47040</t>
  </si>
  <si>
    <t>30500</t>
  </si>
  <si>
    <t>32593</t>
  </si>
  <si>
    <t>04/04/2026 06:12:18 AM</t>
  </si>
  <si>
    <t>04/04/2026 06:15:36 AM</t>
  </si>
  <si>
    <t>47440</t>
  </si>
  <si>
    <t>31860</t>
  </si>
  <si>
    <t>32594</t>
  </si>
  <si>
    <t>04/04/2026 06:18:45 AM</t>
  </si>
  <si>
    <t>04/04/2026 06:22:59 AM</t>
  </si>
  <si>
    <t>45860</t>
  </si>
  <si>
    <t>30280</t>
  </si>
  <si>
    <t>32595</t>
  </si>
  <si>
    <t>04/04/2026 06:24:11 AM</t>
  </si>
  <si>
    <t>04/04/2026 06:45:58 AM</t>
  </si>
  <si>
    <t>43600</t>
  </si>
  <si>
    <t>27820</t>
  </si>
  <si>
    <t>32596</t>
  </si>
  <si>
    <t>04/04/2026 06:33:39 AM</t>
  </si>
  <si>
    <t>04/04/2026 06:48:42 AM</t>
  </si>
  <si>
    <t>44020</t>
  </si>
  <si>
    <t>27480</t>
  </si>
  <si>
    <t>32597</t>
  </si>
  <si>
    <t>04/04/2026 06:39:41 AM</t>
  </si>
  <si>
    <t>04/04/2026 06:51:13 AM</t>
  </si>
  <si>
    <t>41500</t>
  </si>
  <si>
    <t>26000</t>
  </si>
  <si>
    <t>32598</t>
  </si>
  <si>
    <t>04/04/2026 06:46:58 AM</t>
  </si>
  <si>
    <t>04/04/2026 06:53:11 AM</t>
  </si>
  <si>
    <t>36900</t>
  </si>
  <si>
    <t>32599</t>
  </si>
  <si>
    <t>04/04/2026 07:05:40 AM</t>
  </si>
  <si>
    <t>04/04/2026 07:10:04 AM</t>
  </si>
  <si>
    <t>35940</t>
  </si>
  <si>
    <t>20140</t>
  </si>
  <si>
    <t>32600</t>
  </si>
  <si>
    <t>04/04/2026 07:09:01 AM</t>
  </si>
  <si>
    <t>04/04/2026 07:12:16 AM</t>
  </si>
  <si>
    <t>33140</t>
  </si>
  <si>
    <t>16600</t>
  </si>
  <si>
    <t>32601</t>
  </si>
  <si>
    <t>04/04/2026 07:14:43 AM</t>
  </si>
  <si>
    <t>04/04/2026 07:18:57 AM</t>
  </si>
  <si>
    <t>34500</t>
  </si>
  <si>
    <t>18840</t>
  </si>
  <si>
    <t>32602</t>
  </si>
  <si>
    <t>04/04/2026 07:20:06 AM</t>
  </si>
  <si>
    <t>04/04/2026 07:25:42 AM</t>
  </si>
  <si>
    <t>36460</t>
  </si>
  <si>
    <t>15540</t>
  </si>
  <si>
    <t>32603</t>
  </si>
  <si>
    <t>04/04/2026 07:29:20 AM</t>
  </si>
  <si>
    <t>04/04/2026 07:33:18 AM</t>
  </si>
  <si>
    <t>15840</t>
  </si>
  <si>
    <t>32604</t>
  </si>
  <si>
    <t>04/04/2026 07:34:37 AM</t>
  </si>
  <si>
    <t>04/04/2026 07:38:04 AM</t>
  </si>
  <si>
    <t>38040</t>
  </si>
  <si>
    <t>16580</t>
  </si>
  <si>
    <t>32606</t>
  </si>
  <si>
    <t>04/04/2026 09:14:16 AM</t>
  </si>
  <si>
    <t>04/04/2026 09:20:52 AM</t>
  </si>
  <si>
    <t>34460</t>
  </si>
  <si>
    <t>18820</t>
  </si>
  <si>
    <t>32607</t>
  </si>
  <si>
    <t>04/04/2026 09:17:19 AM</t>
  </si>
  <si>
    <t>04/04/2026 09:23:09 AM</t>
  </si>
  <si>
    <t>21660</t>
  </si>
  <si>
    <t>32608</t>
  </si>
  <si>
    <t>04/04/2026 09:24:21 AM</t>
  </si>
  <si>
    <t>04/04/2026 09:30:21 AM</t>
  </si>
  <si>
    <t>38300</t>
  </si>
  <si>
    <t>23780</t>
  </si>
  <si>
    <t>14520</t>
  </si>
  <si>
    <t>32609</t>
  </si>
  <si>
    <t>04/04/2026 09:25:37 AM</t>
  </si>
  <si>
    <t>04/04/2026 09:39:34 AM</t>
  </si>
  <si>
    <t>35560</t>
  </si>
  <si>
    <t>16680</t>
  </si>
  <si>
    <t>18880</t>
  </si>
  <si>
    <t>32610</t>
  </si>
  <si>
    <t>T290 EHH</t>
  </si>
  <si>
    <t>04/04/2026 09:27:16 AM</t>
  </si>
  <si>
    <t>04/04/2026 09:33:51 AM</t>
  </si>
  <si>
    <t>35760</t>
  </si>
  <si>
    <t>20640</t>
  </si>
  <si>
    <t>15120</t>
  </si>
  <si>
    <t>32611</t>
  </si>
  <si>
    <t>04/04/2026 09:37:58 AM</t>
  </si>
  <si>
    <t>04/04/2026 09:43:16 AM</t>
  </si>
  <si>
    <t>33440</t>
  </si>
  <si>
    <t>17800</t>
  </si>
  <si>
    <t>32612</t>
  </si>
  <si>
    <t>04/04/2026 09:41:37 AM</t>
  </si>
  <si>
    <t>04/04/2026 09:46:13 AM</t>
  </si>
  <si>
    <t>32613</t>
  </si>
  <si>
    <t>04/04/2026 09:48:37 AM</t>
  </si>
  <si>
    <t>04/04/2026 09:55:18 AM</t>
  </si>
  <si>
    <t>25320</t>
  </si>
  <si>
    <t>12980</t>
  </si>
  <si>
    <t>32614</t>
  </si>
  <si>
    <t>04/04/2026 09:52:28 AM</t>
  </si>
  <si>
    <t>04/04/2026 09:58:15 AM</t>
  </si>
  <si>
    <t>34840</t>
  </si>
  <si>
    <t>19920</t>
  </si>
  <si>
    <t>32615</t>
  </si>
  <si>
    <t>04/04/2026 09:56:57 AM</t>
  </si>
  <si>
    <t>04/04/2026 10:04:01 AM</t>
  </si>
  <si>
    <t>35000</t>
  </si>
  <si>
    <t>18340</t>
  </si>
  <si>
    <t>32617</t>
  </si>
  <si>
    <t>04/04/2026 10:01:49 AM</t>
  </si>
  <si>
    <t>04/04/2026 10:09:08 AM</t>
  </si>
  <si>
    <t>19900</t>
  </si>
  <si>
    <t>32618</t>
  </si>
  <si>
    <t>04/04/2026 10:05:11 AM</t>
  </si>
  <si>
    <t>04/04/2026 10:11:01 AM</t>
  </si>
  <si>
    <t>21200</t>
  </si>
  <si>
    <t>32619</t>
  </si>
  <si>
    <t>04/04/2026 10:15:53 AM</t>
  </si>
  <si>
    <t>04/04/2026 10:22:15 AM</t>
  </si>
  <si>
    <t>34160</t>
  </si>
  <si>
    <t>19580</t>
  </si>
  <si>
    <t>32620</t>
  </si>
  <si>
    <t>04/04/2026 10:18:55 AM</t>
  </si>
  <si>
    <t>04/04/2026 10:24:24 AM</t>
  </si>
  <si>
    <t>33860</t>
  </si>
  <si>
    <t>18860</t>
  </si>
  <si>
    <t>32621</t>
  </si>
  <si>
    <t>04/04/2026 10:23:17 AM</t>
  </si>
  <si>
    <t>04/04/2026 10:29:04 AM</t>
  </si>
  <si>
    <t>35020</t>
  </si>
  <si>
    <t>18300</t>
  </si>
  <si>
    <t>32622</t>
  </si>
  <si>
    <t>04/04/2026 10:27:55 AM</t>
  </si>
  <si>
    <t>04/04/2026 10:34:39 AM</t>
  </si>
  <si>
    <t>20340</t>
  </si>
  <si>
    <t>32623</t>
  </si>
  <si>
    <t>04/04/2026 10:33:22 AM</t>
  </si>
  <si>
    <t>04/04/2026 10:40:04 AM</t>
  </si>
  <si>
    <t>37480</t>
  </si>
  <si>
    <t>22460</t>
  </si>
  <si>
    <t>32624</t>
  </si>
  <si>
    <t>04/04/2026 10:38:42 AM</t>
  </si>
  <si>
    <t>04/04/2026 10:43:55 AM</t>
  </si>
  <si>
    <t>18500</t>
  </si>
  <si>
    <t>32625</t>
  </si>
  <si>
    <t>04/04/2026 10:45:08 AM</t>
  </si>
  <si>
    <t>04/04/2026 10:51:43 AM</t>
  </si>
  <si>
    <t>34380</t>
  </si>
  <si>
    <t>19340</t>
  </si>
  <si>
    <t>32626</t>
  </si>
  <si>
    <t>04/04/2026 10:45:59 AM</t>
  </si>
  <si>
    <t>04/04/2026 11:06:48 AM</t>
  </si>
  <si>
    <t>16640</t>
  </si>
  <si>
    <t>21120</t>
  </si>
  <si>
    <t>32627</t>
  </si>
  <si>
    <t>04/04/2026 10:55:43 AM</t>
  </si>
  <si>
    <t>04/04/2026 11:02:28 AM</t>
  </si>
  <si>
    <t>23180</t>
  </si>
  <si>
    <t>32628</t>
  </si>
  <si>
    <t>04/04/2026 11:00:19 AM</t>
  </si>
  <si>
    <t>04/04/2026 11:04:56 AM</t>
  </si>
  <si>
    <t>32629</t>
  </si>
  <si>
    <t>04/04/2026 11:01:11 AM</t>
  </si>
  <si>
    <t>04/04/2026 11:11:08 AM</t>
  </si>
  <si>
    <t>23480</t>
  </si>
  <si>
    <t>32630</t>
  </si>
  <si>
    <t>04/04/2026 11:09:57 AM</t>
  </si>
  <si>
    <t>04/04/2026 11:16:35 AM</t>
  </si>
  <si>
    <t>37900</t>
  </si>
  <si>
    <t>32632</t>
  </si>
  <si>
    <t>04/04/2026 11:20:01 AM</t>
  </si>
  <si>
    <t>04/04/2026 11:29:11 AM</t>
  </si>
  <si>
    <t>22220</t>
  </si>
  <si>
    <t>32633</t>
  </si>
  <si>
    <t>04/04/2026 11:26:13 AM</t>
  </si>
  <si>
    <t>04/04/2026 11:32:48 AM</t>
  </si>
  <si>
    <t>37220</t>
  </si>
  <si>
    <t>32634</t>
  </si>
  <si>
    <t>04/04/2026 11:27:41 AM</t>
  </si>
  <si>
    <t>04/04/2026 11:34:01 AM</t>
  </si>
  <si>
    <t>39340</t>
  </si>
  <si>
    <t>22660</t>
  </si>
  <si>
    <t>32635</t>
  </si>
  <si>
    <t>04/04/2026 11:31:28 AM</t>
  </si>
  <si>
    <t>04/04/2026 11:40:05 AM</t>
  </si>
  <si>
    <t>38780</t>
  </si>
  <si>
    <t>32636</t>
  </si>
  <si>
    <t>04/04/2026 11:37:26 AM</t>
  </si>
  <si>
    <t>04/04/2026 12:24:19 PM</t>
  </si>
  <si>
    <t>39980</t>
  </si>
  <si>
    <t>32637</t>
  </si>
  <si>
    <t>04/04/2026 11:47:20 AM</t>
  </si>
  <si>
    <t>04/04/2026 12:25:46 PM</t>
  </si>
  <si>
    <t>35880</t>
  </si>
  <si>
    <t>32638</t>
  </si>
  <si>
    <t>04/04/2026 11:54:20 AM</t>
  </si>
  <si>
    <t>04/04/2026 12:28:36 PM</t>
  </si>
  <si>
    <t>37680</t>
  </si>
  <si>
    <t>22760</t>
  </si>
  <si>
    <t>32639</t>
  </si>
  <si>
    <t>04/04/2026 12:00:11 PM</t>
  </si>
  <si>
    <t>04/04/2026 12:35:22 PM</t>
  </si>
  <si>
    <t>40920</t>
  </si>
  <si>
    <t>25980</t>
  </si>
  <si>
    <t>32640</t>
  </si>
  <si>
    <t>04/04/2026 12:04:37 PM</t>
  </si>
  <si>
    <t>04/04/2026 12:29:50 PM</t>
  </si>
  <si>
    <t>36500</t>
  </si>
  <si>
    <t>19860</t>
  </si>
  <si>
    <t>32643</t>
  </si>
  <si>
    <t>04/04/2026 12:39:10 PM</t>
  </si>
  <si>
    <t>04/04/2026 12:44:43 PM</t>
  </si>
  <si>
    <t>20060</t>
  </si>
  <si>
    <t>32644</t>
  </si>
  <si>
    <t>04/04/2026 12:43:31 PM</t>
  </si>
  <si>
    <t>04/04/2026 12:49:01 PM</t>
  </si>
  <si>
    <t>32645</t>
  </si>
  <si>
    <t>04/04/2026 12:45:51 PM</t>
  </si>
  <si>
    <t>04/04/2026 12:50:54 PM</t>
  </si>
  <si>
    <t>21800</t>
  </si>
  <si>
    <t>32646</t>
  </si>
  <si>
    <t>04/04/2026 12:46:58 PM</t>
  </si>
  <si>
    <t>04/04/2026 12:53:35 PM</t>
  </si>
  <si>
    <t>32647</t>
  </si>
  <si>
    <t>04/04/2026 12:52:05 PM</t>
  </si>
  <si>
    <t>04/04/2026 12:59:24 PM</t>
  </si>
  <si>
    <t>33300</t>
  </si>
  <si>
    <t>18360</t>
  </si>
  <si>
    <t>32648</t>
  </si>
  <si>
    <t>04/04/2026 12:58:17 PM</t>
  </si>
  <si>
    <t>04/04/2026 01:01:50 PM</t>
  </si>
  <si>
    <t>34620</t>
  </si>
  <si>
    <t>15200</t>
  </si>
  <si>
    <t>19420</t>
  </si>
  <si>
    <t>32652</t>
  </si>
  <si>
    <t>04/04/2026 02:36:24 PM</t>
  </si>
  <si>
    <t>04/04/2026 02:44:39 PM</t>
  </si>
  <si>
    <t>34320</t>
  </si>
  <si>
    <t>18480</t>
  </si>
  <si>
    <t>32653</t>
  </si>
  <si>
    <t>04/04/2026 02:39:21 PM</t>
  </si>
  <si>
    <t>04/04/2026 02:45:38 PM</t>
  </si>
  <si>
    <t>19680</t>
  </si>
  <si>
    <t>32654</t>
  </si>
  <si>
    <t>04/04/2026 02:41:22 PM</t>
  </si>
  <si>
    <t>04/04/2026 02:46:39 PM</t>
  </si>
  <si>
    <t>32655</t>
  </si>
  <si>
    <t>04/04/2026 02:42:19 PM</t>
  </si>
  <si>
    <t>04/04/2026 02:48:44 PM</t>
  </si>
  <si>
    <t>33960</t>
  </si>
  <si>
    <t>18980</t>
  </si>
  <si>
    <t>32656</t>
  </si>
  <si>
    <t>04/04/2026 02:47:42 PM</t>
  </si>
  <si>
    <t>04/04/2026 02:51:53 PM</t>
  </si>
  <si>
    <t>34020</t>
  </si>
  <si>
    <t>16160</t>
  </si>
  <si>
    <t>17860</t>
  </si>
  <si>
    <t>32657</t>
  </si>
  <si>
    <t>04/04/2026 02:59:30 PM</t>
  </si>
  <si>
    <t>04/04/2026 03:05:31 PM</t>
  </si>
  <si>
    <t>35520</t>
  </si>
  <si>
    <t>19640</t>
  </si>
  <si>
    <t>32658</t>
  </si>
  <si>
    <t>04/04/2026 03:02:10 PM</t>
  </si>
  <si>
    <t>04/04/2026 03:08:13 PM</t>
  </si>
  <si>
    <t>33420</t>
  </si>
  <si>
    <t>18400</t>
  </si>
  <si>
    <t>32659</t>
  </si>
  <si>
    <t>04/04/2026 03:07:04 PM</t>
  </si>
  <si>
    <t>04/04/2026 03:12:57 PM</t>
  </si>
  <si>
    <t>33640</t>
  </si>
  <si>
    <t>18760</t>
  </si>
  <si>
    <t>32660</t>
  </si>
  <si>
    <t>04/04/2026 03:09:17 PM</t>
  </si>
  <si>
    <t>04/04/2026 03:14:15 PM</t>
  </si>
  <si>
    <t>34260</t>
  </si>
  <si>
    <t>19360</t>
  </si>
  <si>
    <t>32661</t>
  </si>
  <si>
    <t>04/04/2026 03:15:16 PM</t>
  </si>
  <si>
    <t>04/04/2026 03:29:25 PM</t>
  </si>
  <si>
    <t>34920</t>
  </si>
  <si>
    <t>32662</t>
  </si>
  <si>
    <t>04/04/2026 03:27:08 PM</t>
  </si>
  <si>
    <t>04/04/2026 03:34:52 PM</t>
  </si>
  <si>
    <t>35180</t>
  </si>
  <si>
    <t>19380</t>
  </si>
  <si>
    <t>32663</t>
  </si>
  <si>
    <t>04/04/2026 03:28:18 PM</t>
  </si>
  <si>
    <t>04/04/2026 03:35:54 PM</t>
  </si>
  <si>
    <t>34180</t>
  </si>
  <si>
    <t>19280</t>
  </si>
  <si>
    <t>32664</t>
  </si>
  <si>
    <t>04/04/2026 03:30:43 PM</t>
  </si>
  <si>
    <t>04/04/2026 03:36:57 PM</t>
  </si>
  <si>
    <t>32665</t>
  </si>
  <si>
    <t>04/04/2026 03:33:17 PM</t>
  </si>
  <si>
    <t>04/04/2026 03:42:56 PM</t>
  </si>
  <si>
    <t>35320</t>
  </si>
  <si>
    <t>20440</t>
  </si>
  <si>
    <t>32667</t>
  </si>
  <si>
    <t>04/04/2026 03:44:22 PM</t>
  </si>
  <si>
    <t>04/04/2026 03:56:21 PM</t>
  </si>
  <si>
    <t>34680</t>
  </si>
  <si>
    <t>19540</t>
  </si>
  <si>
    <t>32669</t>
  </si>
  <si>
    <t>04/04/2026 03:48:36 PM</t>
  </si>
  <si>
    <t>04/04/2026 03:59:06 PM</t>
  </si>
  <si>
    <t>34860</t>
  </si>
  <si>
    <t>19140</t>
  </si>
  <si>
    <t>32670</t>
  </si>
  <si>
    <t>04/04/2026 03:49:32 PM</t>
  </si>
  <si>
    <t>04/04/2026 04:00:21 PM</t>
  </si>
  <si>
    <t>34700</t>
  </si>
  <si>
    <t>19840</t>
  </si>
  <si>
    <t>32671</t>
  </si>
  <si>
    <t>04/04/2026 03:52:55 PM</t>
  </si>
  <si>
    <t>04/04/2026 04:02:55 PM</t>
  </si>
  <si>
    <t>34220</t>
  </si>
  <si>
    <t>32672</t>
  </si>
  <si>
    <t>04/04/2026 03:57:47 PM</t>
  </si>
  <si>
    <t>04/04/2026 04:04:30 PM</t>
  </si>
  <si>
    <t>34200</t>
  </si>
  <si>
    <t>19200</t>
  </si>
  <si>
    <t>32673</t>
  </si>
  <si>
    <t>04/04/2026 04:09:53 PM</t>
  </si>
  <si>
    <t>04/04/2026 04:14:49 PM</t>
  </si>
  <si>
    <t>32674</t>
  </si>
  <si>
    <t>04/04/2026 04:13:40 PM</t>
  </si>
  <si>
    <t>04/04/2026 04:18:26 PM</t>
  </si>
  <si>
    <t>18700</t>
  </si>
  <si>
    <t>32675</t>
  </si>
  <si>
    <t>04/04/2026 04:15:31 PM</t>
  </si>
  <si>
    <t>04/04/2026 04:19:50 PM</t>
  </si>
  <si>
    <t>33500</t>
  </si>
  <si>
    <t>18600</t>
  </si>
  <si>
    <t>32676</t>
  </si>
  <si>
    <t>04/04/2026 04:25:05 PM</t>
  </si>
  <si>
    <t>04/04/2026 04:28:39 PM</t>
  </si>
  <si>
    <t>32720</t>
  </si>
  <si>
    <t>17760</t>
  </si>
  <si>
    <t>32677</t>
  </si>
  <si>
    <t>04/04/2026 04:26:25 PM</t>
  </si>
  <si>
    <t>04/04/2026 04:32:45 PM</t>
  </si>
  <si>
    <t>33660</t>
  </si>
  <si>
    <t>18780</t>
  </si>
  <si>
    <t>32678</t>
  </si>
  <si>
    <t>04/04/2026 04:27:47 PM</t>
  </si>
  <si>
    <t>04/04/2026 04:33:47 PM</t>
  </si>
  <si>
    <t>19100</t>
  </si>
  <si>
    <t>32679</t>
  </si>
  <si>
    <t>04/04/2026 04:31:31 PM</t>
  </si>
  <si>
    <t>04/04/2026 04:36:33 PM</t>
  </si>
  <si>
    <t>35480</t>
  </si>
  <si>
    <t>32680</t>
  </si>
  <si>
    <t>04/04/2026 04:34:50 PM</t>
  </si>
  <si>
    <t>04/04/2026 04:39:22 PM</t>
  </si>
  <si>
    <t>34820</t>
  </si>
  <si>
    <t>32681</t>
  </si>
  <si>
    <t>04/04/2026 04:42:19 PM</t>
  </si>
  <si>
    <t>04/04/2026 04:47:59 PM</t>
  </si>
  <si>
    <t>19780</t>
  </si>
  <si>
    <t>32682</t>
  </si>
  <si>
    <t>04/04/2026 04:47:00 PM</t>
  </si>
  <si>
    <t>04/04/2026 04:52:00 PM</t>
  </si>
  <si>
    <t>18540</t>
  </si>
  <si>
    <t>32683</t>
  </si>
  <si>
    <t>04/04/2026 04:50:45 PM</t>
  </si>
  <si>
    <t>04/04/2026 04:57:35 PM</t>
  </si>
  <si>
    <t>34740</t>
  </si>
  <si>
    <t>18960</t>
  </si>
  <si>
    <t>32684</t>
  </si>
  <si>
    <t>04/04/2026 04:56:14 PM</t>
  </si>
  <si>
    <t>04/04/2026 05:00:44 PM</t>
  </si>
  <si>
    <t>35060</t>
  </si>
  <si>
    <t>19320</t>
  </si>
  <si>
    <t>32686</t>
  </si>
  <si>
    <t>04/04/2026 05:02:19 PM</t>
  </si>
  <si>
    <t>04/04/2026 05:09:10 PM</t>
  </si>
  <si>
    <t>33540</t>
  </si>
  <si>
    <t>18580</t>
  </si>
  <si>
    <t>32687</t>
  </si>
  <si>
    <t>04/04/2026 05:07:00 PM</t>
  </si>
  <si>
    <t>04/04/2026 05:12:06 PM</t>
  </si>
  <si>
    <t>33740</t>
  </si>
  <si>
    <t>32688</t>
  </si>
  <si>
    <t>04/04/2026 05:10:11 PM</t>
  </si>
  <si>
    <t>04/04/2026 05:15:08 PM</t>
  </si>
  <si>
    <t>18620</t>
  </si>
  <si>
    <t>32689</t>
  </si>
  <si>
    <t>04/04/2026 05:13:08 PM</t>
  </si>
  <si>
    <t>04/04/2026 05:18:47 PM</t>
  </si>
  <si>
    <t>17940</t>
  </si>
  <si>
    <t>32690</t>
  </si>
  <si>
    <t>04/04/2026 05:22:50 PM</t>
  </si>
  <si>
    <t>04/04/2026 05:27:47 PM</t>
  </si>
  <si>
    <t>34660</t>
  </si>
  <si>
    <t>19700</t>
  </si>
  <si>
    <t>32691</t>
  </si>
  <si>
    <t>04/04/2026 05:25:01 PM</t>
  </si>
  <si>
    <t>04/04/2026 05:30:42 PM</t>
  </si>
  <si>
    <t>19520</t>
  </si>
  <si>
    <t>32692</t>
  </si>
  <si>
    <t>04/04/2026 05:29:21 PM</t>
  </si>
  <si>
    <t>04/04/2026 05:34:05 PM</t>
  </si>
  <si>
    <t>34760</t>
  </si>
  <si>
    <t>18900</t>
  </si>
  <si>
    <t>32693</t>
  </si>
  <si>
    <t>04/04/2026 05:35:40 PM</t>
  </si>
  <si>
    <t>04/04/2026 05:40:35 PM</t>
  </si>
  <si>
    <t>32694</t>
  </si>
  <si>
    <t>04/04/2026 05:50:11 PM</t>
  </si>
  <si>
    <t>04/04/2026 05:57:39 PM</t>
  </si>
  <si>
    <t>22780</t>
  </si>
  <si>
    <t>12080</t>
  </si>
  <si>
    <t>32695</t>
  </si>
  <si>
    <t>04/04/2026 05:54:43 PM</t>
  </si>
  <si>
    <t>04/04/2026 06:02:28 PM</t>
  </si>
  <si>
    <t>35800</t>
  </si>
  <si>
    <t>19940</t>
  </si>
  <si>
    <t>32697</t>
  </si>
  <si>
    <t>04/04/2026 06:01:00 PM</t>
  </si>
  <si>
    <t>04/04/2026 06:07:11 PM</t>
  </si>
  <si>
    <t>22900</t>
  </si>
  <si>
    <t>32698</t>
  </si>
  <si>
    <t>04/04/2026 06:08:36 PM</t>
  </si>
  <si>
    <t>04/04/2026 06:14:25 PM</t>
  </si>
  <si>
    <t>38240</t>
  </si>
  <si>
    <t>22960</t>
  </si>
  <si>
    <t>32700</t>
  </si>
  <si>
    <t>04/04/2026 06:13:21 PM</t>
  </si>
  <si>
    <t>04/04/2026 06:18:31 PM</t>
  </si>
  <si>
    <t>21780</t>
  </si>
  <si>
    <t>32701</t>
  </si>
  <si>
    <t>04/04/2026 06:15:42 PM</t>
  </si>
  <si>
    <t>04/04/2026 06:20:06 PM</t>
  </si>
  <si>
    <t>32702</t>
  </si>
  <si>
    <t>04/04/2026 06:21:20 PM</t>
  </si>
  <si>
    <t>04/04/2026 06:26:36 PM</t>
  </si>
  <si>
    <t>37820</t>
  </si>
  <si>
    <t>32703</t>
  </si>
  <si>
    <t>04/04/2026 06:27:42 PM</t>
  </si>
  <si>
    <t>04/04/2026 06:32:46 PM</t>
  </si>
  <si>
    <t>34280</t>
  </si>
  <si>
    <t>19000</t>
  </si>
  <si>
    <t>32704</t>
  </si>
  <si>
    <t>04/04/2026 06:30:55 PM</t>
  </si>
  <si>
    <t>04/04/2026 06:35:08 PM</t>
  </si>
  <si>
    <t>36300</t>
  </si>
  <si>
    <t>21340</t>
  </si>
  <si>
    <t>32705</t>
  </si>
  <si>
    <t>04/04/2026 06:36:03 PM</t>
  </si>
  <si>
    <t>04/04/2026 06:40:36 PM</t>
  </si>
  <si>
    <t>32706</t>
  </si>
  <si>
    <t>04/04/2026 06:43:20 PM</t>
  </si>
  <si>
    <t>04/04/2026 06:48:27 PM</t>
  </si>
  <si>
    <t>32707</t>
  </si>
  <si>
    <t>04/04/2026 06:46:42 PM</t>
  </si>
  <si>
    <t>04/04/2026 06:51:21 PM</t>
  </si>
  <si>
    <t>15320</t>
  </si>
  <si>
    <t>18220</t>
  </si>
  <si>
    <t>32708</t>
  </si>
  <si>
    <t>04/04/2026 06:52:38 PM</t>
  </si>
  <si>
    <t>04/04/2026 07:00:13 PM</t>
  </si>
  <si>
    <t>33940</t>
  </si>
  <si>
    <t>32709</t>
  </si>
  <si>
    <t>04/04/2026 06:54:28 PM</t>
  </si>
  <si>
    <t>04/04/2026 07:01:15 PM</t>
  </si>
  <si>
    <t>37860</t>
  </si>
  <si>
    <t>15960</t>
  </si>
  <si>
    <t>21900</t>
  </si>
  <si>
    <t>32710</t>
  </si>
  <si>
    <t>04/04/2026 07:04:54 PM</t>
  </si>
  <si>
    <t>04/04/2026 07:09:56 PM</t>
  </si>
  <si>
    <t>32140</t>
  </si>
  <si>
    <t>15300</t>
  </si>
  <si>
    <t>32711</t>
  </si>
  <si>
    <t>04/04/2026 07:08:36 PM</t>
  </si>
  <si>
    <t>04/04/2026 07:12:54 PM</t>
  </si>
  <si>
    <t>15380</t>
  </si>
  <si>
    <t>20840</t>
  </si>
  <si>
    <t>32712</t>
  </si>
  <si>
    <t>04/04/2026 07:14:05 PM</t>
  </si>
  <si>
    <t>04/04/2026 07:18:52 PM</t>
  </si>
  <si>
    <t>32713</t>
  </si>
  <si>
    <t>04/04/2026 07:20:14 PM</t>
  </si>
  <si>
    <t>04/04/2026 07:25:53 PM</t>
  </si>
  <si>
    <t>32714</t>
  </si>
  <si>
    <t>04/04/2026 07:21:52 PM</t>
  </si>
  <si>
    <t>04/04/2026 07:26:49 PM</t>
  </si>
  <si>
    <t>36140</t>
  </si>
  <si>
    <t>32715</t>
  </si>
  <si>
    <t>04/04/2026 11:05:34 PM</t>
  </si>
  <si>
    <t>04/04/2026 11:12:03 PM</t>
  </si>
  <si>
    <t>32716</t>
  </si>
  <si>
    <t>04/04/2026 11:11:00 PM</t>
  </si>
  <si>
    <t>04/04/2026 11:18:01 PM</t>
  </si>
  <si>
    <t>37540</t>
  </si>
  <si>
    <t>32717</t>
  </si>
  <si>
    <t>04/04/2026 11:16:56 PM</t>
  </si>
  <si>
    <t>04/04/2026 11:21:40 PM</t>
  </si>
  <si>
    <t>35660</t>
  </si>
  <si>
    <t>32718</t>
  </si>
  <si>
    <t>04/04/2026 11:26:01 PM</t>
  </si>
  <si>
    <t>04/04/2026 11:30:21 PM</t>
  </si>
  <si>
    <t>19880</t>
  </si>
  <si>
    <t>32719</t>
  </si>
  <si>
    <t>04/04/2026 11:29:29 PM</t>
  </si>
  <si>
    <t>04/04/2026 11:33:52 PM</t>
  </si>
  <si>
    <t>35160</t>
  </si>
  <si>
    <t>04/04/2026 11:35:02 PM</t>
  </si>
  <si>
    <t>04/04/2026 11:40:36 PM</t>
  </si>
  <si>
    <t>37720</t>
  </si>
  <si>
    <t>22580</t>
  </si>
  <si>
    <t>32721</t>
  </si>
  <si>
    <t>04/04/2026 11:38:12 PM</t>
  </si>
  <si>
    <t>04/04/2026 11:43:39 PM</t>
  </si>
  <si>
    <t>35140</t>
  </si>
  <si>
    <t>32722</t>
  </si>
  <si>
    <t>04/04/2026 11:42:34 PM</t>
  </si>
  <si>
    <t>04/04/2026 11:46:50 PM</t>
  </si>
  <si>
    <t>20680</t>
  </si>
  <si>
    <t>32723</t>
  </si>
  <si>
    <t>04/04/2026 11:46:00 PM</t>
  </si>
  <si>
    <t>04/04/2026 11:51:44 PM</t>
  </si>
  <si>
    <t>36040</t>
  </si>
  <si>
    <t>32724</t>
  </si>
  <si>
    <t>04/04/2026 11:49:31 PM</t>
  </si>
  <si>
    <t>04/04/2026 11:55:29 PM</t>
  </si>
  <si>
    <t>20240</t>
  </si>
  <si>
    <t>32725</t>
  </si>
  <si>
    <t>04/04/2026 11:54:04 PM</t>
  </si>
  <si>
    <t>04/04/2026 11:58:17 PM</t>
  </si>
  <si>
    <t>32726</t>
  </si>
  <si>
    <t>04/04/2026 11:59:53 PM</t>
  </si>
  <si>
    <t>05/04/2026 12:06:40 AM</t>
  </si>
  <si>
    <t>15240</t>
  </si>
  <si>
    <t>32727</t>
  </si>
  <si>
    <t>05/04/2026 12:04:29 AM</t>
  </si>
  <si>
    <t>05/04/2026 12:10:21 AM</t>
  </si>
  <si>
    <t>37920</t>
  </si>
  <si>
    <t>32728</t>
  </si>
  <si>
    <t>05/04/2026 12:09:26 AM</t>
  </si>
  <si>
    <t>05/04/2026 12:13:38 AM</t>
  </si>
  <si>
    <t>38800</t>
  </si>
  <si>
    <t>32729</t>
  </si>
  <si>
    <t>05/04/2026 12:16:01 AM</t>
  </si>
  <si>
    <t>05/04/2026 12:20:07 AM</t>
  </si>
  <si>
    <t>33260</t>
  </si>
  <si>
    <t>18320</t>
  </si>
  <si>
    <t>32730</t>
  </si>
  <si>
    <t>05/04/2026 12:20:57 AM</t>
  </si>
  <si>
    <t>05/04/2026 12:24:59 AM</t>
  </si>
  <si>
    <t>19220</t>
  </si>
  <si>
    <t>32731</t>
  </si>
  <si>
    <t>05/04/2026 12:26:10 AM</t>
  </si>
  <si>
    <t>05/04/2026 12:32:01 AM</t>
  </si>
  <si>
    <t>35440</t>
  </si>
  <si>
    <t>15220</t>
  </si>
  <si>
    <t>20220</t>
  </si>
  <si>
    <t>32732</t>
  </si>
  <si>
    <t>05/04/2026 12:30:12 AM</t>
  </si>
  <si>
    <t>05/04/2026 12:35:57 AM</t>
  </si>
  <si>
    <t>20500</t>
  </si>
  <si>
    <t>32733</t>
  </si>
  <si>
    <t>05/04/2026 12:33:42 AM</t>
  </si>
  <si>
    <t>05/04/2026 12:37:46 AM</t>
  </si>
  <si>
    <t>35780</t>
  </si>
  <si>
    <t>32734</t>
  </si>
  <si>
    <t>05/04/2026 12:38:50 AM</t>
  </si>
  <si>
    <t>05/04/2026 12:44:55 AM</t>
  </si>
  <si>
    <t>23140</t>
  </si>
  <si>
    <t>32735</t>
  </si>
  <si>
    <t>05/04/2026 12:43:02 AM</t>
  </si>
  <si>
    <t>05/04/2026 12:47:25 AM</t>
  </si>
  <si>
    <t>32736</t>
  </si>
  <si>
    <t>05/04/2026 12:46:16 AM</t>
  </si>
  <si>
    <t>05/04/2026 12:50:14 AM</t>
  </si>
  <si>
    <t>36020</t>
  </si>
  <si>
    <t>32737</t>
  </si>
  <si>
    <t>05/04/2026 12:51:33 AM</t>
  </si>
  <si>
    <t>05/04/2026 12:57:01 AM</t>
  </si>
  <si>
    <t>37640</t>
  </si>
  <si>
    <t>32738</t>
  </si>
  <si>
    <t>05/04/2026 12:58:03 AM</t>
  </si>
  <si>
    <t>05/04/2026 01:03:01 AM</t>
  </si>
  <si>
    <t>32739</t>
  </si>
  <si>
    <t>05/04/2026 01:02:12 AM</t>
  </si>
  <si>
    <t>05/04/2026 01:07:11 AM</t>
  </si>
  <si>
    <t>32740</t>
  </si>
  <si>
    <t>05/04/2026 01:06:16 AM</t>
  </si>
  <si>
    <t>05/04/2026 01:12:13 AM</t>
  </si>
  <si>
    <t>32741</t>
  </si>
  <si>
    <t>05/04/2026 01:11:19 AM</t>
  </si>
  <si>
    <t>05/04/2026 01:16:56 AM</t>
  </si>
  <si>
    <t>38700</t>
  </si>
  <si>
    <t>32742</t>
  </si>
  <si>
    <t>05/04/2026 01:16:09 AM</t>
  </si>
  <si>
    <t>05/04/2026 01:20:13 AM</t>
  </si>
  <si>
    <t>23500</t>
  </si>
  <si>
    <t>32743</t>
  </si>
  <si>
    <t>05/04/2026 01:20:59 AM</t>
  </si>
  <si>
    <t>05/04/2026 01:26:23 AM</t>
  </si>
  <si>
    <t>38980</t>
  </si>
  <si>
    <t>23660</t>
  </si>
  <si>
    <t>32744</t>
  </si>
  <si>
    <t>05/04/2026 01:24:39 AM</t>
  </si>
  <si>
    <t>05/04/2026 01:58:57 AM</t>
  </si>
  <si>
    <t>32745</t>
  </si>
  <si>
    <t>05/04/2026 01:28:56 AM</t>
  </si>
  <si>
    <t>05/04/2026 02:01:10 AM</t>
  </si>
  <si>
    <t>36480</t>
  </si>
  <si>
    <t>32746</t>
  </si>
  <si>
    <t>05/04/2026 01:33:13 AM</t>
  </si>
  <si>
    <t>05/04/2026 02:03:47 AM</t>
  </si>
  <si>
    <t>32747</t>
  </si>
  <si>
    <t>05/04/2026 02:07:24 AM</t>
  </si>
  <si>
    <t>05/04/2026 02:11:24 AM</t>
  </si>
  <si>
    <t>32748</t>
  </si>
  <si>
    <t>05/04/2026 02:12:17 AM</t>
  </si>
  <si>
    <t>05/04/2026 02:16:31 AM</t>
  </si>
  <si>
    <t>23000</t>
  </si>
  <si>
    <t>32749</t>
  </si>
  <si>
    <t>05/04/2026 02:17:23 AM</t>
  </si>
  <si>
    <t>05/04/2026 02:21:39 AM</t>
  </si>
  <si>
    <t>25840</t>
  </si>
  <si>
    <t>32750</t>
  </si>
  <si>
    <t>05/04/2026 02:22:31 AM</t>
  </si>
  <si>
    <t>05/04/2026 02:28:32 AM</t>
  </si>
  <si>
    <t>21420</t>
  </si>
  <si>
    <t>32751</t>
  </si>
  <si>
    <t>05/04/2026 02:26:41 AM</t>
  </si>
  <si>
    <t>05/04/2026 02:31:17 AM</t>
  </si>
  <si>
    <t>22800</t>
  </si>
  <si>
    <t>32752</t>
  </si>
  <si>
    <t>05/04/2026 02:33:33 AM</t>
  </si>
  <si>
    <t>05/04/2026 02:46:42 AM</t>
  </si>
  <si>
    <t>35200</t>
  </si>
  <si>
    <t>16020</t>
  </si>
  <si>
    <t>19180</t>
  </si>
  <si>
    <t>32753</t>
  </si>
  <si>
    <t>05/04/2026 02:39:49 AM</t>
  </si>
  <si>
    <t>05/04/2026 02:59:08 AM</t>
  </si>
  <si>
    <t>32754</t>
  </si>
  <si>
    <t>05/04/2026 03:02:39 AM</t>
  </si>
  <si>
    <t>05/04/2026 04:15:52 AM</t>
  </si>
  <si>
    <t>60</t>
  </si>
  <si>
    <t>32755</t>
  </si>
  <si>
    <t>05/04/2026 03:31:00 AM</t>
  </si>
  <si>
    <t>05/04/2026 03:34:33 AM</t>
  </si>
  <si>
    <t>21240</t>
  </si>
  <si>
    <t>32756</t>
  </si>
  <si>
    <t>05/04/2026 03:32:37 AM</t>
  </si>
  <si>
    <t>05/04/2026 03:37:25 AM</t>
  </si>
  <si>
    <t>32757</t>
  </si>
  <si>
    <t>05/04/2026 03:42:30 AM</t>
  </si>
  <si>
    <t>05/04/2026 03:48:15 AM</t>
  </si>
  <si>
    <t>35460</t>
  </si>
  <si>
    <t>19820</t>
  </si>
  <si>
    <t>32758</t>
  </si>
  <si>
    <t>05/04/2026 03:47:22 AM</t>
  </si>
  <si>
    <t>05/04/2026 03:53:19 AM</t>
  </si>
  <si>
    <t>32759</t>
  </si>
  <si>
    <t>05/04/2026 03:57:03 AM</t>
  </si>
  <si>
    <t>05/04/2026 04:01:58 AM</t>
  </si>
  <si>
    <t>38540</t>
  </si>
  <si>
    <t>32760</t>
  </si>
  <si>
    <t>05/04/2026 04:11:22 AM</t>
  </si>
  <si>
    <t>05/04/2026 04:17:05 AM</t>
  </si>
  <si>
    <t>23060</t>
  </si>
  <si>
    <t>32761</t>
  </si>
  <si>
    <t>05/04/2026 04:21:51 AM</t>
  </si>
  <si>
    <t>05/04/2026 04:27:39 AM</t>
  </si>
  <si>
    <t>35720</t>
  </si>
  <si>
    <t>32762</t>
  </si>
  <si>
    <t>05/04/2026 05:04:49 AM</t>
  </si>
  <si>
    <t>05/04/2026 06:18:57 AM</t>
  </si>
  <si>
    <t>21140</t>
  </si>
  <si>
    <t>32763</t>
  </si>
  <si>
    <t>05/04/2026 06:11:33 AM</t>
  </si>
  <si>
    <t>05/04/2026 06:20:04 AM</t>
  </si>
  <si>
    <t>35600</t>
  </si>
  <si>
    <t>32764</t>
  </si>
  <si>
    <t>05/04/2026 06:17:05 AM</t>
  </si>
  <si>
    <t>05/04/2026 06:21:19 AM</t>
  </si>
  <si>
    <t>35080</t>
  </si>
  <si>
    <t>19460</t>
  </si>
  <si>
    <t>32765</t>
  </si>
  <si>
    <t>05/04/2026 06:35:03 AM</t>
  </si>
  <si>
    <t>05/04/2026 06:40:41 AM</t>
  </si>
  <si>
    <t>37440</t>
  </si>
  <si>
    <t>32766</t>
  </si>
  <si>
    <t>05/04/2026 06:39:26 AM</t>
  </si>
  <si>
    <t>05/04/2026 06:42:59 AM</t>
  </si>
  <si>
    <t>23920</t>
  </si>
  <si>
    <t>32767</t>
  </si>
  <si>
    <t>05/04/2026 06:44:58 AM</t>
  </si>
  <si>
    <t>05/04/2026 06:48:56 AM</t>
  </si>
  <si>
    <t>41120</t>
  </si>
  <si>
    <t>25480</t>
  </si>
  <si>
    <t>32768</t>
  </si>
  <si>
    <t>05/04/2026 06:51:08 AM</t>
  </si>
  <si>
    <t>05/04/2026 06:56:18 AM</t>
  </si>
  <si>
    <t>39880</t>
  </si>
  <si>
    <t>32769</t>
  </si>
  <si>
    <t>05/04/2026 06:55:12 AM</t>
  </si>
  <si>
    <t>05/04/2026 06:58:31 AM</t>
  </si>
  <si>
    <t>26360</t>
  </si>
  <si>
    <t>32770</t>
  </si>
  <si>
    <t>05/04/2026 06:59:53 AM</t>
  </si>
  <si>
    <t>05/04/2026 07:04:31 AM</t>
  </si>
  <si>
    <t>26740</t>
  </si>
  <si>
    <t>32771</t>
  </si>
  <si>
    <t>05/04/2026 07:07:22 AM</t>
  </si>
  <si>
    <t>05/04/2026 07:12:44 AM</t>
  </si>
  <si>
    <t>42000</t>
  </si>
  <si>
    <t>27000</t>
  </si>
  <si>
    <t>32772</t>
  </si>
  <si>
    <t>05/04/2026 07:11:37 AM</t>
  </si>
  <si>
    <t>05/04/2026 07:14:55 AM</t>
  </si>
  <si>
    <t>41140</t>
  </si>
  <si>
    <t>25520</t>
  </si>
  <si>
    <t>32773</t>
  </si>
  <si>
    <t>05/04/2026 09:03:19 AM</t>
  </si>
  <si>
    <t>05/04/2026 09:14:15 AM</t>
  </si>
  <si>
    <t>34480</t>
  </si>
  <si>
    <t>32774</t>
  </si>
  <si>
    <t>05/04/2026 09:04:37 AM</t>
  </si>
  <si>
    <t>05/04/2026 09:18:01 AM</t>
  </si>
  <si>
    <t>34080</t>
  </si>
  <si>
    <t>32775</t>
  </si>
  <si>
    <t>05/04/2026 09:07:55 AM</t>
  </si>
  <si>
    <t>05/04/2026 09:20:03 AM</t>
  </si>
  <si>
    <t>20280</t>
  </si>
  <si>
    <t>32776</t>
  </si>
  <si>
    <t>05/04/2026 09:12:56 AM</t>
  </si>
  <si>
    <t>05/04/2026 09:33:09 AM</t>
  </si>
  <si>
    <t>32777</t>
  </si>
  <si>
    <t>05/04/2026 09:16:59 AM</t>
  </si>
  <si>
    <t>05/04/2026 09:29:13 AM</t>
  </si>
  <si>
    <t>32778</t>
  </si>
  <si>
    <t>05/04/2026 09:24:35 AM</t>
  </si>
  <si>
    <t>05/04/2026 09:36:54 AM</t>
  </si>
  <si>
    <t>40100</t>
  </si>
  <si>
    <t>32779</t>
  </si>
  <si>
    <t>05/04/2026 09:30:38 AM</t>
  </si>
  <si>
    <t>05/04/2026 09:48:10 AM</t>
  </si>
  <si>
    <t>32780</t>
  </si>
  <si>
    <t>05/04/2026 09:35:43 AM</t>
  </si>
  <si>
    <t>05/04/2026 09:53:08 AM</t>
  </si>
  <si>
    <t>35300</t>
  </si>
  <si>
    <t>32781</t>
  </si>
  <si>
    <t>05/04/2026 09:40:26 AM</t>
  </si>
  <si>
    <t>05/04/2026 09:57:57 AM</t>
  </si>
  <si>
    <t>19800</t>
  </si>
  <si>
    <t>32782</t>
  </si>
  <si>
    <t>05/04/2026 09:43:40 AM</t>
  </si>
  <si>
    <t>05/04/2026 10:03:08 AM</t>
  </si>
  <si>
    <t>32783</t>
  </si>
  <si>
    <t>05/04/2026 09:47:02 AM</t>
  </si>
  <si>
    <t>05/04/2026 10:02:18 AM</t>
  </si>
  <si>
    <t>34440</t>
  </si>
  <si>
    <t>32784</t>
  </si>
  <si>
    <t>05/04/2026 09:51:17 AM</t>
  </si>
  <si>
    <t>05/04/2026 10:05:53 AM</t>
  </si>
  <si>
    <t>34060</t>
  </si>
  <si>
    <t>32785</t>
  </si>
  <si>
    <t>05/04/2026 10:01:20 AM</t>
  </si>
  <si>
    <t>05/04/2026 10:11:54 AM</t>
  </si>
  <si>
    <t>36860</t>
  </si>
  <si>
    <t>32786</t>
  </si>
  <si>
    <t>05/04/2026 10:10:33 AM</t>
  </si>
  <si>
    <t>05/04/2026 10:28:16 AM</t>
  </si>
  <si>
    <t>20260</t>
  </si>
  <si>
    <t>32787</t>
  </si>
  <si>
    <t>05/04/2026 10:13:08 AM</t>
  </si>
  <si>
    <t>05/04/2026 10:23:59 AM</t>
  </si>
  <si>
    <t>34420</t>
  </si>
  <si>
    <t>19400</t>
  </si>
  <si>
    <t>32788</t>
  </si>
  <si>
    <t>05/04/2026 10:17:24 AM</t>
  </si>
  <si>
    <t>05/04/2026 10:31:57 AM</t>
  </si>
  <si>
    <t>36360</t>
  </si>
  <si>
    <t>32789</t>
  </si>
  <si>
    <t>05/04/2026 10:21:12 AM</t>
  </si>
  <si>
    <t>05/04/2026 10:34:10 AM</t>
  </si>
  <si>
    <t>35740</t>
  </si>
  <si>
    <t>32790</t>
  </si>
  <si>
    <t>05/04/2026 10:25:08 AM</t>
  </si>
  <si>
    <t>05/04/2026 10:42:54 AM</t>
  </si>
  <si>
    <t>19500</t>
  </si>
  <si>
    <t>32791</t>
  </si>
  <si>
    <t>05/04/2026 10:29:31 AM</t>
  </si>
  <si>
    <t>05/04/2026 10:43:38 AM</t>
  </si>
  <si>
    <t>36120</t>
  </si>
  <si>
    <t>20620</t>
  </si>
  <si>
    <t>32792</t>
  </si>
  <si>
    <t>05/04/2026 10:36:35 AM</t>
  </si>
  <si>
    <t>05/04/2026 10:49:14 AM</t>
  </si>
  <si>
    <t>17380</t>
  </si>
  <si>
    <t>32793</t>
  </si>
  <si>
    <t>05/04/2026 10:41:51 AM</t>
  </si>
  <si>
    <t>05/04/2026 10:55:07 AM</t>
  </si>
  <si>
    <t>32794</t>
  </si>
  <si>
    <t>05/04/2026 10:50:16 AM</t>
  </si>
  <si>
    <t>05/04/2026 11:02:44 AM</t>
  </si>
  <si>
    <t>18520</t>
  </si>
  <si>
    <t>32795</t>
  </si>
  <si>
    <t>05/04/2026 10:53:56 AM</t>
  </si>
  <si>
    <t>05/04/2026 11:09:50 AM</t>
  </si>
  <si>
    <t>39660</t>
  </si>
  <si>
    <t>15940</t>
  </si>
  <si>
    <t>23720</t>
  </si>
  <si>
    <t>32796</t>
  </si>
  <si>
    <t>05/04/2026 11:00:14 AM</t>
  </si>
  <si>
    <t>05/04/2026 11:11:16 AM</t>
  </si>
  <si>
    <t>34800</t>
  </si>
  <si>
    <t>32797</t>
  </si>
  <si>
    <t>05/04/2026 11:04:37 AM</t>
  </si>
  <si>
    <t>05/04/2026 11:15:27 AM</t>
  </si>
  <si>
    <t>34300</t>
  </si>
  <si>
    <t>16380</t>
  </si>
  <si>
    <t>17920</t>
  </si>
  <si>
    <t>32798</t>
  </si>
  <si>
    <t>05/04/2026 11:05:55 AM</t>
  </si>
  <si>
    <t>05/04/2026 11:20:11 AM</t>
  </si>
  <si>
    <t>19740</t>
  </si>
  <si>
    <t>32799</t>
  </si>
  <si>
    <t>05/04/2026 11:08:40 AM</t>
  </si>
  <si>
    <t>05/04/2026 11:25:07 AM</t>
  </si>
  <si>
    <t>33580</t>
  </si>
  <si>
    <t>32800</t>
  </si>
  <si>
    <t>05/04/2026 11:35:05 AM</t>
  </si>
  <si>
    <t>05/04/2026 11:39:33 AM</t>
  </si>
  <si>
    <t>32801</t>
  </si>
  <si>
    <t>05/04/2026 11:38:10 AM</t>
  </si>
  <si>
    <t>05/04/2026 11:43:20 AM</t>
  </si>
  <si>
    <t>35840</t>
  </si>
  <si>
    <t>16420</t>
  </si>
  <si>
    <t>32802</t>
  </si>
  <si>
    <t>05/04/2026 11:41:10 AM</t>
  </si>
  <si>
    <t>05/04/2026 11:46:03 AM</t>
  </si>
  <si>
    <t>22280</t>
  </si>
  <si>
    <t>32803</t>
  </si>
  <si>
    <t>05/04/2026 11:47:27 AM</t>
  </si>
  <si>
    <t>05/04/2026 11:51:13 AM</t>
  </si>
  <si>
    <t>30220</t>
  </si>
  <si>
    <t>32804</t>
  </si>
  <si>
    <t>05/04/2026 11:49:00 AM</t>
  </si>
  <si>
    <t>05/04/2026 11:56:15 AM</t>
  </si>
  <si>
    <t>32805</t>
  </si>
  <si>
    <t>05/04/2026 11:55:10 AM</t>
  </si>
  <si>
    <t>05/04/2026 11:58:36 AM</t>
  </si>
  <si>
    <t>32806</t>
  </si>
  <si>
    <t>05/04/2026 12:00:12 PM</t>
  </si>
  <si>
    <t>05/04/2026 12:04:44 PM</t>
  </si>
  <si>
    <t>36740</t>
  </si>
  <si>
    <t>16400</t>
  </si>
  <si>
    <t>32807</t>
  </si>
  <si>
    <t>05/04/2026 12:02:50 PM</t>
  </si>
  <si>
    <t>05/04/2026 12:06:03 PM</t>
  </si>
  <si>
    <t>36940</t>
  </si>
  <si>
    <t>32808</t>
  </si>
  <si>
    <t>05/04/2026 12:07:44 PM</t>
  </si>
  <si>
    <t>05/04/2026 12:12:50 PM</t>
  </si>
  <si>
    <t>35340</t>
  </si>
  <si>
    <t>32809</t>
  </si>
  <si>
    <t>05/04/2026 12:11:38 PM</t>
  </si>
  <si>
    <t>05/04/2026 12:15:35 PM</t>
  </si>
  <si>
    <t>32810</t>
  </si>
  <si>
    <t>05/04/2026 12:14:19 PM</t>
  </si>
  <si>
    <t>05/04/2026 12:18:36 PM</t>
  </si>
  <si>
    <t>35680</t>
  </si>
  <si>
    <t>32811</t>
  </si>
  <si>
    <t>05/04/2026 12:17:36 PM</t>
  </si>
  <si>
    <t>05/04/2026 12:22:22 PM</t>
  </si>
  <si>
    <t>32812</t>
  </si>
  <si>
    <t>05/04/2026 12:21:07 PM</t>
  </si>
  <si>
    <t>05/04/2026 12:25:45 PM</t>
  </si>
  <si>
    <t>32813</t>
  </si>
  <si>
    <t>05/04/2026 12:23:13 PM</t>
  </si>
  <si>
    <t>05/04/2026 12:26:35 PM</t>
  </si>
  <si>
    <t>34900</t>
  </si>
  <si>
    <t>19660</t>
  </si>
  <si>
    <t>32814</t>
  </si>
  <si>
    <t>05/04/2026 12:28:23 PM</t>
  </si>
  <si>
    <t>05/04/2026 12:33:00 PM</t>
  </si>
  <si>
    <t>32815</t>
  </si>
  <si>
    <t>05/04/2026 12:31:50 PM</t>
  </si>
  <si>
    <t>05/04/2026 12:35:29 PM</t>
  </si>
  <si>
    <t>33340</t>
  </si>
  <si>
    <t>32816</t>
  </si>
  <si>
    <t>05/04/2026 12:36:59 PM</t>
  </si>
  <si>
    <t>05/04/2026 12:41:41 PM</t>
  </si>
  <si>
    <t>34940</t>
  </si>
  <si>
    <t>32817</t>
  </si>
  <si>
    <t>05/04/2026 12:39:30 PM</t>
  </si>
  <si>
    <t>05/04/2026 12:44:15 PM</t>
  </si>
  <si>
    <t>18920</t>
  </si>
  <si>
    <t>32818</t>
  </si>
  <si>
    <t>05/04/2026 12:46:27 PM</t>
  </si>
  <si>
    <t>05/04/2026 12:50:49 PM</t>
  </si>
  <si>
    <t>18200</t>
  </si>
  <si>
    <t>32819</t>
  </si>
  <si>
    <t>05/04/2026 12:52:10 PM</t>
  </si>
  <si>
    <t>05/04/2026 12:55:34 PM</t>
  </si>
  <si>
    <t>32820</t>
  </si>
  <si>
    <t>05/04/2026 12:53:25 PM</t>
  </si>
  <si>
    <t>05/04/2026 12:56:38 PM</t>
  </si>
  <si>
    <t>34640</t>
  </si>
  <si>
    <t>19620</t>
  </si>
  <si>
    <t>32821</t>
  </si>
  <si>
    <t>05/04/2026 02:20:50 PM</t>
  </si>
  <si>
    <t>05/04/2026 02:30:29 PM</t>
  </si>
  <si>
    <t>32822</t>
  </si>
  <si>
    <t>05/04/2026 02:23:39 PM</t>
  </si>
  <si>
    <t>05/04/2026 02:37:20 PM</t>
  </si>
  <si>
    <t>32823</t>
  </si>
  <si>
    <t>05/04/2026 02:26:47 PM</t>
  </si>
  <si>
    <t>05/04/2026 02:33:08 PM</t>
  </si>
  <si>
    <t>32900</t>
  </si>
  <si>
    <t>32824</t>
  </si>
  <si>
    <t>05/04/2026 02:31:51 PM</t>
  </si>
  <si>
    <t>05/04/2026 02:39:32 PM</t>
  </si>
  <si>
    <t>35640</t>
  </si>
  <si>
    <t>32825</t>
  </si>
  <si>
    <t>05/04/2026 02:35:17 PM</t>
  </si>
  <si>
    <t>05/04/2026 02:40:12 PM</t>
  </si>
  <si>
    <t>32827</t>
  </si>
  <si>
    <t>05/04/2026 02:38:25 PM</t>
  </si>
  <si>
    <t>05/04/2026 02:43:13 PM</t>
  </si>
  <si>
    <t>32828</t>
  </si>
  <si>
    <t>05/04/2026 02:44:57 PM</t>
  </si>
  <si>
    <t>05/04/2026 02:50:53 PM</t>
  </si>
  <si>
    <t>16480</t>
  </si>
  <si>
    <t>32829</t>
  </si>
  <si>
    <t>05/04/2026 02:53:15 PM</t>
  </si>
  <si>
    <t>05/04/2026 02:58:52 PM</t>
  </si>
  <si>
    <t>32830</t>
  </si>
  <si>
    <t>05/04/2026 02:56:14 PM</t>
  </si>
  <si>
    <t>05/04/2026 03:01:12 PM</t>
  </si>
  <si>
    <t>35620</t>
  </si>
  <si>
    <t>32831</t>
  </si>
  <si>
    <t>05/04/2026 03:02:45 PM</t>
  </si>
  <si>
    <t>05/04/2026 03:09:39 PM</t>
  </si>
  <si>
    <t>35280</t>
  </si>
  <si>
    <t>32832</t>
  </si>
  <si>
    <t>05/04/2026 03:05:17 PM</t>
  </si>
  <si>
    <t>05/04/2026 03:10:23 PM</t>
  </si>
  <si>
    <t>32833</t>
  </si>
  <si>
    <t>05/04/2026 03:08:30 PM</t>
  </si>
  <si>
    <t>05/04/2026 03:13:51 PM</t>
  </si>
  <si>
    <t>35380</t>
  </si>
  <si>
    <t>18660</t>
  </si>
  <si>
    <t>32834</t>
  </si>
  <si>
    <t>05/04/2026 03:12:37 PM</t>
  </si>
  <si>
    <t>05/04/2026 03:16:27 PM</t>
  </si>
  <si>
    <t>32835</t>
  </si>
  <si>
    <t>05/04/2026 03:17:40 PM</t>
  </si>
  <si>
    <t>05/04/2026 03:21:40 PM</t>
  </si>
  <si>
    <t>32836</t>
  </si>
  <si>
    <t>05/04/2026 03:20:32 PM</t>
  </si>
  <si>
    <t>05/04/2026 03:23:42 PM</t>
  </si>
  <si>
    <t>34560</t>
  </si>
  <si>
    <t>19600</t>
  </si>
  <si>
    <t>32837</t>
  </si>
  <si>
    <t>05/04/2026 03:25:03 PM</t>
  </si>
  <si>
    <t>05/04/2026 03:28:50 PM</t>
  </si>
  <si>
    <t>32838</t>
  </si>
  <si>
    <t>05/04/2026 03:26:56 PM</t>
  </si>
  <si>
    <t>05/04/2026 03:30:42 PM</t>
  </si>
  <si>
    <t>19120</t>
  </si>
  <si>
    <t>32839</t>
  </si>
  <si>
    <t>05/04/2026 03:31:59 PM</t>
  </si>
  <si>
    <t>05/04/2026 03:36:09 PM</t>
  </si>
  <si>
    <t>31240</t>
  </si>
  <si>
    <t>32840</t>
  </si>
  <si>
    <t>05/04/2026 03:33:33 PM</t>
  </si>
  <si>
    <t>05/04/2026 03:38:49 PM</t>
  </si>
  <si>
    <t>30940</t>
  </si>
  <si>
    <t>15980</t>
  </si>
  <si>
    <t>32841</t>
  </si>
  <si>
    <t>05/04/2026 03:37:40 PM</t>
  </si>
  <si>
    <t>05/04/2026 03:42:50 PM</t>
  </si>
  <si>
    <t>19040</t>
  </si>
  <si>
    <t>32842</t>
  </si>
  <si>
    <t>05/04/2026 03:40:20 PM</t>
  </si>
  <si>
    <t>05/04/2026 03:45:45 PM</t>
  </si>
  <si>
    <t>32843</t>
  </si>
  <si>
    <t>05/04/2026 03:44:32 PM</t>
  </si>
  <si>
    <t>05/04/2026 03:48:08 PM</t>
  </si>
  <si>
    <t>32844</t>
  </si>
  <si>
    <t>05/04/2026 03:49:49 PM</t>
  </si>
  <si>
    <t>05/04/2026 03:53:33 PM</t>
  </si>
  <si>
    <t>33060</t>
  </si>
  <si>
    <t>17120</t>
  </si>
  <si>
    <t>32845</t>
  </si>
  <si>
    <t>05/04/2026 03:54:41 PM</t>
  </si>
  <si>
    <t>05/04/2026 03:58:40 PM</t>
  </si>
  <si>
    <t>34340</t>
  </si>
  <si>
    <t>17780</t>
  </si>
  <si>
    <t>32846</t>
  </si>
  <si>
    <t>05/04/2026 04:04:20 PM</t>
  </si>
  <si>
    <t>05/04/2026 04:08:37 PM</t>
  </si>
  <si>
    <t>32847</t>
  </si>
  <si>
    <t>05/04/2026 04:07:29 PM</t>
  </si>
  <si>
    <t>05/04/2026 04:12:55 PM</t>
  </si>
  <si>
    <t>32848</t>
  </si>
  <si>
    <t>05/04/2026 04:11:23 PM</t>
  </si>
  <si>
    <t>05/04/2026 04:15:25 PM</t>
  </si>
  <si>
    <t>17720</t>
  </si>
  <si>
    <t>32849</t>
  </si>
  <si>
    <t>05/04/2026 04:17:46 PM</t>
  </si>
  <si>
    <t>05/04/2026 04:23:34 PM</t>
  </si>
  <si>
    <t>21080</t>
  </si>
  <si>
    <t>32850</t>
  </si>
  <si>
    <t>05/04/2026 04:22:30 PM</t>
  </si>
  <si>
    <t>05/04/2026 04:26:30 PM</t>
  </si>
  <si>
    <t>39700</t>
  </si>
  <si>
    <t>32851</t>
  </si>
  <si>
    <t>05/04/2026 04:25:18 PM</t>
  </si>
  <si>
    <t>05/04/2026 04:30:39 PM</t>
  </si>
  <si>
    <t>19160</t>
  </si>
  <si>
    <t>32852</t>
  </si>
  <si>
    <t>05/04/2026 04:29:21 PM</t>
  </si>
  <si>
    <t>05/04/2026 04:34:14 PM</t>
  </si>
  <si>
    <t>35360</t>
  </si>
  <si>
    <t>32853</t>
  </si>
  <si>
    <t>05/04/2026 04:33:04 PM</t>
  </si>
  <si>
    <t>05/04/2026 04:37:04 PM</t>
  </si>
  <si>
    <t>33380</t>
  </si>
  <si>
    <t>32854</t>
  </si>
  <si>
    <t>05/04/2026 04:35:35 PM</t>
  </si>
  <si>
    <t>05/04/2026 04:40:37 PM</t>
  </si>
  <si>
    <t>16080</t>
  </si>
  <si>
    <t>32855</t>
  </si>
  <si>
    <t>05/04/2026 04:38:42 PM</t>
  </si>
  <si>
    <t>05/04/2026 04:43:28 PM</t>
  </si>
  <si>
    <t>33840</t>
  </si>
  <si>
    <t>32856</t>
  </si>
  <si>
    <t>05/04/2026 04:42:29 PM</t>
  </si>
  <si>
    <t>05/04/2026 04:46:38 PM</t>
  </si>
  <si>
    <t>35120</t>
  </si>
  <si>
    <t>18560</t>
  </si>
  <si>
    <t>32857</t>
  </si>
  <si>
    <t>05/04/2026 04:45:22 PM</t>
  </si>
  <si>
    <t>05/04/2026 04:50:38 PM</t>
  </si>
  <si>
    <t>18380</t>
  </si>
  <si>
    <t>32858</t>
  </si>
  <si>
    <t>05/04/2026 04:49:35 PM</t>
  </si>
  <si>
    <t>05/04/2026 04:53:14 PM</t>
  </si>
  <si>
    <t>18120</t>
  </si>
  <si>
    <t>32859</t>
  </si>
  <si>
    <t>05/04/2026 04:55:47 PM</t>
  </si>
  <si>
    <t>05/04/2026 04:59:36 PM</t>
  </si>
  <si>
    <t>37740</t>
  </si>
  <si>
    <t>32860</t>
  </si>
  <si>
    <t>05/04/2026 05:01:39 PM</t>
  </si>
  <si>
    <t>05/04/2026 05:05:26 PM</t>
  </si>
  <si>
    <t>32861</t>
  </si>
  <si>
    <t>05/04/2026 05:03:49 PM</t>
  </si>
  <si>
    <t>05/04/2026 05:09:16 PM</t>
  </si>
  <si>
    <t>19560</t>
  </si>
  <si>
    <t>32862</t>
  </si>
  <si>
    <t>05/04/2026 05:08:16 PM</t>
  </si>
  <si>
    <t>05/04/2026 05:11:59 PM</t>
  </si>
  <si>
    <t>16620</t>
  </si>
  <si>
    <t>18020</t>
  </si>
  <si>
    <t>32863</t>
  </si>
  <si>
    <t>05/04/2026 05:13:43 PM</t>
  </si>
  <si>
    <t>05/04/2026 05:17:39 PM</t>
  </si>
  <si>
    <t>16040</t>
  </si>
  <si>
    <t>20740</t>
  </si>
  <si>
    <t>32864</t>
  </si>
  <si>
    <t>05/04/2026 05:15:55 PM</t>
  </si>
  <si>
    <t>05/04/2026 05:19:53 PM</t>
  </si>
  <si>
    <t>20540</t>
  </si>
  <si>
    <t>32865</t>
  </si>
  <si>
    <t>05/04/2026 05:22:40 PM</t>
  </si>
  <si>
    <t>05/04/2026 05:27:30 PM</t>
  </si>
  <si>
    <t>32866</t>
  </si>
  <si>
    <t>05/04/2026 05:24:23 PM</t>
  </si>
  <si>
    <t>05/04/2026 05:28:21 PM</t>
  </si>
  <si>
    <t>32867</t>
  </si>
  <si>
    <t>05/04/2026 05:26:22 PM</t>
  </si>
  <si>
    <t>05/04/2026 05:31:10 PM</t>
  </si>
  <si>
    <t>32868</t>
  </si>
  <si>
    <t>05/04/2026 05:32:56 PM</t>
  </si>
  <si>
    <t>05/04/2026 05:36:13 PM</t>
  </si>
  <si>
    <t>32869</t>
  </si>
  <si>
    <t>05/04/2026 05:37:55 PM</t>
  </si>
  <si>
    <t>05/04/2026 05:43:33 PM</t>
  </si>
  <si>
    <t>20460</t>
  </si>
  <si>
    <t>32870</t>
  </si>
  <si>
    <t>05/04/2026 05:42:23 PM</t>
  </si>
  <si>
    <t>05/04/2026 05:46:21 PM</t>
  </si>
  <si>
    <t>32871</t>
  </si>
  <si>
    <t>05/04/2026 05:48:11 PM</t>
  </si>
  <si>
    <t>05/04/2026 05:51:21 PM</t>
  </si>
  <si>
    <t>32920</t>
  </si>
  <si>
    <t>32872</t>
  </si>
  <si>
    <t>05/04/2026 05:54:01 PM</t>
  </si>
  <si>
    <t>05/04/2026 05:58:02 PM</t>
  </si>
  <si>
    <t>16140</t>
  </si>
  <si>
    <t>18680</t>
  </si>
  <si>
    <t>32873</t>
  </si>
  <si>
    <t>05/04/2026 06:00:19 PM</t>
  </si>
  <si>
    <t>05/04/2026 06:04:34 PM</t>
  </si>
  <si>
    <t>32874</t>
  </si>
  <si>
    <t>05/04/2026 06:07:53 PM</t>
  </si>
  <si>
    <t>05/04/2026 06:11:42 PM</t>
  </si>
  <si>
    <t>34980</t>
  </si>
  <si>
    <t>32875</t>
  </si>
  <si>
    <t>05/04/2026 06:08:50 PM</t>
  </si>
  <si>
    <t>05/04/2026 06:14:32 PM</t>
  </si>
  <si>
    <t>32876</t>
  </si>
  <si>
    <t>05/04/2026 06:12:42 PM</t>
  </si>
  <si>
    <t>05/04/2026 06:16:48 PM</t>
  </si>
  <si>
    <t>33360</t>
  </si>
  <si>
    <t>17600</t>
  </si>
  <si>
    <t>32877</t>
  </si>
  <si>
    <t>05/04/2026 06:22:34 PM</t>
  </si>
  <si>
    <t>05/04/2026 06:26:19 PM</t>
  </si>
  <si>
    <t>32878</t>
  </si>
  <si>
    <t>05/04/2026 06:23:26 PM</t>
  </si>
  <si>
    <t>05/04/2026 06:27:22 PM</t>
  </si>
  <si>
    <t>31120</t>
  </si>
  <si>
    <t>32879</t>
  </si>
  <si>
    <t>05/04/2026 06:28:28 PM</t>
  </si>
  <si>
    <t>05/04/2026 06:32:30 PM</t>
  </si>
  <si>
    <t>20180</t>
  </si>
  <si>
    <t>32880</t>
  </si>
  <si>
    <t>05/04/2026 06:30:52 PM</t>
  </si>
  <si>
    <t>05/04/2026 06:34:19 PM</t>
  </si>
  <si>
    <t>20940</t>
  </si>
  <si>
    <t>32881</t>
  </si>
  <si>
    <t>05/04/2026 06:35:29 PM</t>
  </si>
  <si>
    <t>05/04/2026 06:41:00 PM</t>
  </si>
  <si>
    <t>32882</t>
  </si>
  <si>
    <t>05/04/2026 06:39:53 PM</t>
  </si>
  <si>
    <t>05/04/2026 06:44:18 PM</t>
  </si>
  <si>
    <t>21260</t>
  </si>
  <si>
    <t>32883</t>
  </si>
  <si>
    <t>05/04/2026 06:42:51 PM</t>
  </si>
  <si>
    <t>05/04/2026 06:47:39 PM</t>
  </si>
  <si>
    <t>32884</t>
  </si>
  <si>
    <t>05/04/2026 06:46:31 PM</t>
  </si>
  <si>
    <t>05/04/2026 06:51:51 PM</t>
  </si>
  <si>
    <t>32885</t>
  </si>
  <si>
    <t>05/04/2026 06:53:04 PM</t>
  </si>
  <si>
    <t>05/04/2026 06:57:55 PM</t>
  </si>
  <si>
    <t>19760</t>
  </si>
  <si>
    <t>32886</t>
  </si>
  <si>
    <t>05/04/2026 06:56:46 PM</t>
  </si>
  <si>
    <t>05/04/2026 07:01:06 PM</t>
  </si>
  <si>
    <t>37600</t>
  </si>
  <si>
    <t>20900</t>
  </si>
  <si>
    <t>32887</t>
  </si>
  <si>
    <t>05/04/2026 07:00:00 PM</t>
  </si>
  <si>
    <t>05/04/2026 07:04:01 PM</t>
  </si>
  <si>
    <t>16100</t>
  </si>
  <si>
    <t>32888</t>
  </si>
  <si>
    <t>05/04/2026 07:07:45 PM</t>
  </si>
  <si>
    <t>05/04/2026 07:11:48 PM</t>
  </si>
  <si>
    <t>22260</t>
  </si>
  <si>
    <t>32889</t>
  </si>
  <si>
    <t>05/04/2026 07:15:21 PM</t>
  </si>
  <si>
    <t>05/04/2026 07:19:52 PM</t>
  </si>
  <si>
    <t>32890</t>
  </si>
  <si>
    <t>05/04/2026 07:18:34 PM</t>
  </si>
  <si>
    <t>05/04/2026 07:22:44 PM</t>
  </si>
  <si>
    <t>32891</t>
  </si>
  <si>
    <t>05/04/2026 09:10:16 PM</t>
  </si>
  <si>
    <t>05/04/2026 09:40:45 PM</t>
  </si>
  <si>
    <t>39020</t>
  </si>
  <si>
    <t>24100</t>
  </si>
  <si>
    <t>32892</t>
  </si>
  <si>
    <t>05/04/2026 09:39:10 PM</t>
  </si>
  <si>
    <t>05/04/2026 09:43:19 PM</t>
  </si>
  <si>
    <t>41920</t>
  </si>
  <si>
    <t>25880</t>
  </si>
  <si>
    <t>32893</t>
  </si>
  <si>
    <t>05/04/2026 09:45:19 PM</t>
  </si>
  <si>
    <t>05/04/2026 09:49:01 PM</t>
  </si>
  <si>
    <t>44620</t>
  </si>
  <si>
    <t>28440</t>
  </si>
  <si>
    <t>32894</t>
  </si>
  <si>
    <t>05/04/2026 09:55:12 PM</t>
  </si>
  <si>
    <t>05/04/2026 10:02:35 PM</t>
  </si>
  <si>
    <t>46160</t>
  </si>
  <si>
    <t>32895</t>
  </si>
  <si>
    <t>05/04/2026 09:56:16 PM</t>
  </si>
  <si>
    <t>05/04/2026 10:00:02 PM</t>
  </si>
  <si>
    <t>41720</t>
  </si>
  <si>
    <t>25660</t>
  </si>
  <si>
    <t>32896</t>
  </si>
  <si>
    <t>05/04/2026 10:01:14 PM</t>
  </si>
  <si>
    <t>05/04/2026 10:04:40 PM</t>
  </si>
  <si>
    <t>32897</t>
  </si>
  <si>
    <t>05/04/2026 10:07:53 PM</t>
  </si>
  <si>
    <t>05/04/2026 10:12:31 PM</t>
  </si>
  <si>
    <t>42060</t>
  </si>
  <si>
    <t>26020</t>
  </si>
  <si>
    <t>32898</t>
  </si>
  <si>
    <t>05/04/2026 10:14:23 PM</t>
  </si>
  <si>
    <t>05/04/2026 10:19:43 PM</t>
  </si>
  <si>
    <t>32899</t>
  </si>
  <si>
    <t>05/04/2026 10:18:18 PM</t>
  </si>
  <si>
    <t>05/04/2026 10:21:39 PM</t>
  </si>
  <si>
    <t>44280</t>
  </si>
  <si>
    <t>28120</t>
  </si>
  <si>
    <t>05/04/2026 10:23:15 PM</t>
  </si>
  <si>
    <t>05/04/2026 10:38:37 PM</t>
  </si>
  <si>
    <t>45020</t>
  </si>
  <si>
    <t>29000</t>
  </si>
  <si>
    <t>32901</t>
  </si>
  <si>
    <t>05/04/2026 10:32:32 PM</t>
  </si>
  <si>
    <t>05/04/2026 10:37:13 PM</t>
  </si>
  <si>
    <t>45780</t>
  </si>
  <si>
    <t>30860</t>
  </si>
  <si>
    <t>32902</t>
  </si>
  <si>
    <t>05/04/2026 10:35:37 PM</t>
  </si>
  <si>
    <t>05/04/2026 10:44:20 PM</t>
  </si>
  <si>
    <t>32903</t>
  </si>
  <si>
    <t>05/04/2026 10:50:36 PM</t>
  </si>
  <si>
    <t>05/04/2026 10:55:23 PM</t>
  </si>
  <si>
    <t>27800</t>
  </si>
  <si>
    <t>32904</t>
  </si>
  <si>
    <t>05/04/2026 10:57:35 PM</t>
  </si>
  <si>
    <t>05/04/2026 11:01:14 PM</t>
  </si>
  <si>
    <t>23680</t>
  </si>
  <si>
    <t>32905</t>
  </si>
  <si>
    <t>05/04/2026 11:02:56 PM</t>
  </si>
  <si>
    <t>05/04/2026 11:06:21 PM</t>
  </si>
  <si>
    <t>42960</t>
  </si>
  <si>
    <t>26900</t>
  </si>
  <si>
    <t>32906</t>
  </si>
  <si>
    <t>05/04/2026 11:17:01 PM</t>
  </si>
  <si>
    <t>05/04/2026 11:22:22 PM</t>
  </si>
  <si>
    <t>43880</t>
  </si>
  <si>
    <t>32907</t>
  </si>
  <si>
    <t>05/04/2026 11:24:21 PM</t>
  </si>
  <si>
    <t>05/04/2026 11:28:24 PM</t>
  </si>
  <si>
    <t>16120</t>
  </si>
  <si>
    <t>25360</t>
  </si>
  <si>
    <t>32908</t>
  </si>
  <si>
    <t>06/04/2026 01:35:03 AM</t>
  </si>
  <si>
    <t>06/04/2026 01:40:10 AM</t>
  </si>
  <si>
    <t>16320</t>
  </si>
  <si>
    <t>20300</t>
  </si>
  <si>
    <t>32909</t>
  </si>
  <si>
    <t>06/04/2026 01:38:43 AM</t>
  </si>
  <si>
    <t>06/04/2026 01:42:33 AM</t>
  </si>
  <si>
    <t>32910</t>
  </si>
  <si>
    <t>06/04/2026 01:45:38 AM</t>
  </si>
  <si>
    <t>06/04/2026 01:48:16 AM</t>
  </si>
  <si>
    <t>32911</t>
  </si>
  <si>
    <t>06/04/2026 01:50:56 AM</t>
  </si>
  <si>
    <t>06/04/2026 01:55:33 AM</t>
  </si>
  <si>
    <t>32912</t>
  </si>
  <si>
    <t>06/04/2026 01:54:23 AM</t>
  </si>
  <si>
    <t>06/04/2026 01:57:20 AM</t>
  </si>
  <si>
    <t>32913</t>
  </si>
  <si>
    <t>06/04/2026 01:59:20 AM</t>
  </si>
  <si>
    <t>06/04/2026 02:02:33 AM</t>
  </si>
  <si>
    <t>32914</t>
  </si>
  <si>
    <t>06/04/2026 02:03:23 AM</t>
  </si>
  <si>
    <t>06/04/2026 02:06:20 AM</t>
  </si>
  <si>
    <t>33520</t>
  </si>
  <si>
    <t>32915</t>
  </si>
  <si>
    <t>06/04/2026 02:14:06 AM</t>
  </si>
  <si>
    <t>06/04/2026 02:17:44 AM</t>
  </si>
  <si>
    <t>37660</t>
  </si>
  <si>
    <t>22340</t>
  </si>
  <si>
    <t>32916</t>
  </si>
  <si>
    <t>06/04/2026 02:16:30 AM</t>
  </si>
  <si>
    <t>06/04/2026 02:19:31 AM</t>
  </si>
  <si>
    <t>34780</t>
  </si>
  <si>
    <t>32917</t>
  </si>
  <si>
    <t>06/04/2026 02:22:02 AM</t>
  </si>
  <si>
    <t>06/04/2026 02:25:36 AM</t>
  </si>
  <si>
    <t>32918</t>
  </si>
  <si>
    <t>06/04/2026 02:26:43 AM</t>
  </si>
  <si>
    <t>06/04/2026 02:31:34 AM</t>
  </si>
  <si>
    <t>32919</t>
  </si>
  <si>
    <t>06/04/2026 02:35:33 AM</t>
  </si>
  <si>
    <t>06/04/2026 02:39:58 AM</t>
  </si>
  <si>
    <t>06/04/2026 02:38:47 AM</t>
  </si>
  <si>
    <t>06/04/2026 02:42:13 AM</t>
  </si>
  <si>
    <t>32921</t>
  </si>
  <si>
    <t>06/04/2026 02:47:21 AM</t>
  </si>
  <si>
    <t>06/04/2026 02:50:32 AM</t>
  </si>
  <si>
    <t>17320</t>
  </si>
  <si>
    <t>32922</t>
  </si>
  <si>
    <t>06/04/2026 02:53:43 AM</t>
  </si>
  <si>
    <t>06/04/2026 02:57:19 AM</t>
  </si>
  <si>
    <t>32923</t>
  </si>
  <si>
    <t>06/04/2026 02:59:10 AM</t>
  </si>
  <si>
    <t>06/04/2026 03:12:27 AM</t>
  </si>
  <si>
    <t>32924</t>
  </si>
  <si>
    <t>06/04/2026 03:02:30 AM</t>
  </si>
  <si>
    <t>06/04/2026 03:05:57 AM</t>
  </si>
  <si>
    <t>35900</t>
  </si>
  <si>
    <t>32925</t>
  </si>
  <si>
    <t>06/04/2026 03:06:50 AM</t>
  </si>
  <si>
    <t>06/04/2026 03:09:55 AM</t>
  </si>
  <si>
    <t>32926</t>
  </si>
  <si>
    <t>06/04/2026 03:11:07 AM</t>
  </si>
  <si>
    <t>06/04/2026 03:14:26 AM</t>
  </si>
  <si>
    <t>32927</t>
  </si>
  <si>
    <t>06/04/2026 03:20:58 AM</t>
  </si>
  <si>
    <t>06/04/2026 03:24:04 AM</t>
  </si>
  <si>
    <t>19440</t>
  </si>
  <si>
    <t>32928</t>
  </si>
  <si>
    <t>06/04/2026 03:25:25 AM</t>
  </si>
  <si>
    <t>06/04/2026 03:28:39 AM</t>
  </si>
  <si>
    <t>35820</t>
  </si>
  <si>
    <t>32929</t>
  </si>
  <si>
    <t>06/04/2026 03:30:53 AM</t>
  </si>
  <si>
    <t>06/04/2026 03:35:24 AM</t>
  </si>
  <si>
    <t>18280</t>
  </si>
  <si>
    <t>32930</t>
  </si>
  <si>
    <t>06/04/2026 03:34:12 AM</t>
  </si>
  <si>
    <t>06/04/2026 03:38:48 AM</t>
  </si>
  <si>
    <t>32931</t>
  </si>
  <si>
    <t>06/04/2026 03:41:08 AM</t>
  </si>
  <si>
    <t>06/04/2026 03:44:23 AM</t>
  </si>
  <si>
    <t>36960</t>
  </si>
  <si>
    <t>32932</t>
  </si>
  <si>
    <t>06/04/2026 03:48:33 AM</t>
  </si>
  <si>
    <t>06/04/2026 03:51:49 AM</t>
  </si>
  <si>
    <t>22560</t>
  </si>
  <si>
    <t>32933</t>
  </si>
  <si>
    <t>06/04/2026 03:58:07 AM</t>
  </si>
  <si>
    <t>06/04/2026 04:02:19 AM</t>
  </si>
  <si>
    <t>22480</t>
  </si>
  <si>
    <t>32934</t>
  </si>
  <si>
    <t>06/04/2026 04:04:37 AM</t>
  </si>
  <si>
    <t>06/04/2026 04:08:31 AM</t>
  </si>
  <si>
    <t>40800</t>
  </si>
  <si>
    <t>32935</t>
  </si>
  <si>
    <t>06/04/2026 04:09:59 AM</t>
  </si>
  <si>
    <t>06/04/2026 04:13:13 AM</t>
  </si>
  <si>
    <t>37040</t>
  </si>
  <si>
    <t>32936</t>
  </si>
  <si>
    <t>06/04/2026 04:15:57 AM</t>
  </si>
  <si>
    <t>06/04/2026 04:33:14 AM</t>
  </si>
  <si>
    <t>32937</t>
  </si>
  <si>
    <t>06/04/2026 04:23:44 AM</t>
  </si>
  <si>
    <t>06/04/2026 04:28:09 AM</t>
  </si>
  <si>
    <t>40260</t>
  </si>
  <si>
    <t>24960</t>
  </si>
  <si>
    <t>32938</t>
  </si>
  <si>
    <t>06/04/2026 04:26:55 AM</t>
  </si>
  <si>
    <t>06/04/2026 04:29:54 AM</t>
  </si>
  <si>
    <t>35580</t>
  </si>
  <si>
    <t>32939</t>
  </si>
  <si>
    <t>06/04/2026 04:32:18 AM</t>
  </si>
  <si>
    <t>06/04/2026 04:37:29 AM</t>
  </si>
  <si>
    <t>32940</t>
  </si>
  <si>
    <t>06/04/2026 04:51:30 AM</t>
  </si>
  <si>
    <t>06/04/2026 04:56:11 AM</t>
  </si>
  <si>
    <t>42760</t>
  </si>
  <si>
    <t>27460</t>
  </si>
  <si>
    <t>32941</t>
  </si>
  <si>
    <t>06/04/2026 04:55:00 AM</t>
  </si>
  <si>
    <t>06/04/2026 04:58:03 AM</t>
  </si>
  <si>
    <t>32942</t>
  </si>
  <si>
    <t>06/04/2026 05:04:22 AM</t>
  </si>
  <si>
    <t>06/04/2026 05:09:09 AM</t>
  </si>
  <si>
    <t>39320</t>
  </si>
  <si>
    <t>23220</t>
  </si>
  <si>
    <t>32943</t>
  </si>
  <si>
    <t>06/04/2026 05:29:05 AM</t>
  </si>
  <si>
    <t>06/04/2026 05:32:56 AM</t>
  </si>
  <si>
    <t>32944</t>
  </si>
  <si>
    <t>06/04/2026 09:03:36 AM</t>
  </si>
  <si>
    <t>06/04/2026 09:15:33 AM</t>
  </si>
  <si>
    <t>20040</t>
  </si>
  <si>
    <t>32945</t>
  </si>
  <si>
    <t>06/04/2026 09:08:25 AM</t>
  </si>
  <si>
    <t>06/04/2026 09:20:42 AM</t>
  </si>
  <si>
    <t>20120</t>
  </si>
  <si>
    <t>32946</t>
  </si>
  <si>
    <t>06/04/2026 09:14:13 AM</t>
  </si>
  <si>
    <t>06/04/2026 09:27:04 AM</t>
  </si>
  <si>
    <t>32947</t>
  </si>
  <si>
    <t>06/04/2026 09:17:32 AM</t>
  </si>
  <si>
    <t>06/04/2026 09:35:29 AM</t>
  </si>
  <si>
    <t>37360</t>
  </si>
  <si>
    <t>32948</t>
  </si>
  <si>
    <t>06/04/2026 09:21:56 AM</t>
  </si>
  <si>
    <t>06/04/2026 09:47:50 AM</t>
  </si>
  <si>
    <t>32949</t>
  </si>
  <si>
    <t>06/04/2026 09:25:47 AM</t>
  </si>
  <si>
    <t>06/04/2026 09:41:55 AM</t>
  </si>
  <si>
    <t>32950</t>
  </si>
  <si>
    <t>06/04/2026 09:30:42 AM</t>
  </si>
  <si>
    <t>06/04/2026 09:50:58 AM</t>
  </si>
  <si>
    <t>32951</t>
  </si>
  <si>
    <t>T306 EHH</t>
  </si>
  <si>
    <t>06/04/2026 09:34:25 AM</t>
  </si>
  <si>
    <t>06/04/2026 09:51:50 AM</t>
  </si>
  <si>
    <t>32952</t>
  </si>
  <si>
    <t>06/04/2026 09:38:04 AM</t>
  </si>
  <si>
    <t>06/04/2026 09:52:38 AM</t>
  </si>
  <si>
    <t>35400</t>
  </si>
  <si>
    <t>32953</t>
  </si>
  <si>
    <t>06/04/2026 09:48:57 AM</t>
  </si>
  <si>
    <t>06/04/2026 10:05:35 AM</t>
  </si>
  <si>
    <t>32954</t>
  </si>
  <si>
    <t>06/04/2026 09:49:51 AM</t>
  </si>
  <si>
    <t>06/04/2026 10:04:44 AM</t>
  </si>
  <si>
    <t>20520</t>
  </si>
  <si>
    <t>32955</t>
  </si>
  <si>
    <t>06/04/2026 09:56:04 AM</t>
  </si>
  <si>
    <t>06/04/2026 10:08:30 AM</t>
  </si>
  <si>
    <t>32956</t>
  </si>
  <si>
    <t>06/04/2026 10:00:35 AM</t>
  </si>
  <si>
    <t>06/04/2026 10:19:00 AM</t>
  </si>
  <si>
    <t>32957</t>
  </si>
  <si>
    <t>06/04/2026 10:03:38 AM</t>
  </si>
  <si>
    <t>06/04/2026 10:19:47 AM</t>
  </si>
  <si>
    <t>32958</t>
  </si>
  <si>
    <t>06/04/2026 10:07:13 AM</t>
  </si>
  <si>
    <t>06/04/2026 10:20:42 AM</t>
  </si>
  <si>
    <t>17640</t>
  </si>
  <si>
    <t>32959</t>
  </si>
  <si>
    <t>06/04/2026 10:12:01 AM</t>
  </si>
  <si>
    <t>06/04/2026 10:30:34 AM</t>
  </si>
  <si>
    <t>32960</t>
  </si>
  <si>
    <t>06/04/2026 10:17:42 AM</t>
  </si>
  <si>
    <t>06/04/2026 11:31:51 AM</t>
  </si>
  <si>
    <t>14460</t>
  </si>
  <si>
    <t>32961</t>
  </si>
  <si>
    <t>06/04/2026 10:22:12 AM</t>
  </si>
  <si>
    <t>06/04/2026 10:42:08 AM</t>
  </si>
  <si>
    <t>32962</t>
  </si>
  <si>
    <t>06/04/2026 10:25:58 AM</t>
  </si>
  <si>
    <t>06/04/2026 10:45:54 AM</t>
  </si>
  <si>
    <t>32963</t>
  </si>
  <si>
    <t>06/04/2026 10:32:19 AM</t>
  </si>
  <si>
    <t>06/04/2026 11:16:03 AM</t>
  </si>
  <si>
    <t>32964</t>
  </si>
  <si>
    <t>06/04/2026 10:36:01 AM</t>
  </si>
  <si>
    <t>06/04/2026 10:50:06 AM</t>
  </si>
  <si>
    <t>32965</t>
  </si>
  <si>
    <t>06/04/2026 10:38:58 AM</t>
  </si>
  <si>
    <t>06/04/2026 10:53:44 AM</t>
  </si>
  <si>
    <t>17660</t>
  </si>
  <si>
    <t>17680</t>
  </si>
  <si>
    <t>32966</t>
  </si>
  <si>
    <t>06/04/2026 10:43:26 AM</t>
  </si>
  <si>
    <t>06/04/2026 10:59:22 AM</t>
  </si>
  <si>
    <t>36440</t>
  </si>
  <si>
    <t>32967</t>
  </si>
  <si>
    <t>06/04/2026 11:00:42 AM</t>
  </si>
  <si>
    <t>06/04/2026 11:12:10 AM</t>
  </si>
  <si>
    <t>32968</t>
  </si>
  <si>
    <t>7/4/2026 4:21</t>
  </si>
  <si>
    <t>7/4/2026 4:26</t>
  </si>
  <si>
    <t>32969</t>
  </si>
  <si>
    <t>7/4/2026 4:25</t>
  </si>
  <si>
    <t>7/4/2026 4:30</t>
  </si>
  <si>
    <t>32970</t>
  </si>
  <si>
    <t>7/4/2026 4:31</t>
  </si>
  <si>
    <t>7/4/2026 4:36</t>
  </si>
  <si>
    <t>14600</t>
  </si>
  <si>
    <t>32971</t>
  </si>
  <si>
    <t>7/4/2026 4:34</t>
  </si>
  <si>
    <t>7/4/2026 4:38</t>
  </si>
  <si>
    <t>35500</t>
  </si>
  <si>
    <t>32972</t>
  </si>
  <si>
    <t>7/4/2026 4:40</t>
  </si>
  <si>
    <t>7/4/2026 4:44</t>
  </si>
  <si>
    <t>32973</t>
  </si>
  <si>
    <t>7/4/2026 4:45</t>
  </si>
  <si>
    <t>7/4/2026 4:50</t>
  </si>
  <si>
    <t>19960</t>
  </si>
  <si>
    <t>32974</t>
  </si>
  <si>
    <t>7/4/2026 4:48</t>
  </si>
  <si>
    <t>7/4/2026 4:51</t>
  </si>
  <si>
    <t>32975</t>
  </si>
  <si>
    <t>7/4/2026 4:52</t>
  </si>
  <si>
    <t>7/4/2026 4:59</t>
  </si>
  <si>
    <t>32976</t>
  </si>
  <si>
    <t>7/4/2026 5:00</t>
  </si>
  <si>
    <t>7/4/2026 5:16</t>
  </si>
  <si>
    <t>32977</t>
  </si>
  <si>
    <t>7/4/2026 5:05</t>
  </si>
  <si>
    <t>7/4/2026 5:13</t>
  </si>
  <si>
    <t>32978</t>
  </si>
  <si>
    <t>7/4/2026 5:15</t>
  </si>
  <si>
    <t>7/4/2026 5:20</t>
  </si>
  <si>
    <t>18640</t>
  </si>
  <si>
    <t>32979</t>
  </si>
  <si>
    <t>7/4/2026 5:19</t>
  </si>
  <si>
    <t>7/4/2026 5:38</t>
  </si>
  <si>
    <t>33180</t>
  </si>
  <si>
    <t>17500</t>
  </si>
  <si>
    <t>32980</t>
  </si>
  <si>
    <t>7/4/2026 5:36</t>
  </si>
  <si>
    <t>7/4/2026 5:42</t>
  </si>
  <si>
    <t>33900</t>
  </si>
  <si>
    <t>32981</t>
  </si>
  <si>
    <t>7/4/2026 5:37</t>
  </si>
  <si>
    <t>7/4/2026 5:45</t>
  </si>
  <si>
    <t>17520</t>
  </si>
  <si>
    <t>17420</t>
  </si>
  <si>
    <t>32982</t>
  </si>
  <si>
    <t>7/4/2026 5:40</t>
  </si>
  <si>
    <t>7/4/2026 5:49</t>
  </si>
  <si>
    <t>18160</t>
  </si>
  <si>
    <t>32983</t>
  </si>
  <si>
    <t>7/4/2026 5:56</t>
  </si>
  <si>
    <t>7/4/2026 6:00</t>
  </si>
  <si>
    <t>36340</t>
  </si>
  <si>
    <t>32984</t>
  </si>
  <si>
    <t>7/4/2026 6:06</t>
  </si>
  <si>
    <t>7/4/2026 6:11</t>
  </si>
  <si>
    <t>17200</t>
  </si>
  <si>
    <t>17180</t>
  </si>
  <si>
    <t>32985</t>
  </si>
  <si>
    <t>7/4/2026 6:09</t>
  </si>
  <si>
    <t>7/4/2026 6:15</t>
  </si>
  <si>
    <t>17040</t>
  </si>
  <si>
    <t>32986</t>
  </si>
  <si>
    <t>7/4/2026 6:13</t>
  </si>
  <si>
    <t>7/4/2026 6:22</t>
  </si>
  <si>
    <t>32987</t>
  </si>
  <si>
    <t>7/4/2026 6:21</t>
  </si>
  <si>
    <t>7/4/2026 6:40</t>
  </si>
  <si>
    <t>32988</t>
  </si>
  <si>
    <t>7/4/2026 6:37</t>
  </si>
  <si>
    <t>7/4/2026 6:47</t>
  </si>
  <si>
    <t>36520</t>
  </si>
  <si>
    <t>20600</t>
  </si>
  <si>
    <t>32989</t>
  </si>
  <si>
    <t>7/4/2026 6:38</t>
  </si>
  <si>
    <t>7/4/2026 6:48</t>
  </si>
  <si>
    <t>32990</t>
  </si>
  <si>
    <t>7/4/2026 6:45</t>
  </si>
  <si>
    <t>7/4/2026 6:55</t>
  </si>
  <si>
    <t>37400</t>
  </si>
  <si>
    <t>16200</t>
  </si>
  <si>
    <t>32991</t>
  </si>
  <si>
    <t>7/4/2026 6:56</t>
  </si>
  <si>
    <t>7/4/2026 7:12</t>
  </si>
  <si>
    <t>17080</t>
  </si>
  <si>
    <t>32992</t>
  </si>
  <si>
    <t>7/4/2026 7:08</t>
  </si>
  <si>
    <t>7/4/2026 7:18</t>
  </si>
  <si>
    <t>34040</t>
  </si>
  <si>
    <t>18180</t>
  </si>
  <si>
    <t>32993</t>
  </si>
  <si>
    <t>7/4/2026 7:09</t>
  </si>
  <si>
    <t>7/4/2026 7:19</t>
  </si>
  <si>
    <t>14400</t>
  </si>
  <si>
    <t>32994</t>
  </si>
  <si>
    <t>7/4/2026 7:16</t>
  </si>
  <si>
    <t>7/4/2026 7:29</t>
  </si>
  <si>
    <t>37880</t>
  </si>
  <si>
    <t>21040</t>
  </si>
  <si>
    <t>32995</t>
  </si>
  <si>
    <t>7/4/2026 7:30</t>
  </si>
  <si>
    <t>17140</t>
  </si>
  <si>
    <t>32996</t>
  </si>
  <si>
    <t>7/4/2026 7:24</t>
  </si>
  <si>
    <t>7/4/2026 7:31</t>
  </si>
  <si>
    <t>32997</t>
  </si>
  <si>
    <t>7/4/2026 7:28</t>
  </si>
  <si>
    <t>7/4/2026 7:35</t>
  </si>
  <si>
    <t>32998</t>
  </si>
  <si>
    <t>7/4/2026 9:02</t>
  </si>
  <si>
    <t>7/4/2026 9:26</t>
  </si>
  <si>
    <t>17240</t>
  </si>
  <si>
    <t>32999</t>
  </si>
  <si>
    <t>7/4/2026 9:03</t>
  </si>
  <si>
    <t>7/4/2026 9:27</t>
  </si>
  <si>
    <t>16880</t>
  </si>
  <si>
    <t>33000</t>
  </si>
  <si>
    <t>7/4/2026 9:08</t>
  </si>
  <si>
    <t>7/4/2026 9:29</t>
  </si>
  <si>
    <t>33001</t>
  </si>
  <si>
    <t>7/4/2026 9:16</t>
  </si>
  <si>
    <t>7/4/2026 9:32</t>
  </si>
  <si>
    <t>33002</t>
  </si>
  <si>
    <t>7/4/2026 9:19</t>
  </si>
  <si>
    <t>7/4/2026 9:35</t>
  </si>
  <si>
    <t>33003</t>
  </si>
  <si>
    <t>7/4/2026 9:42</t>
  </si>
  <si>
    <t>7/4/2026 9:57</t>
  </si>
  <si>
    <t>38480</t>
  </si>
  <si>
    <t>33004</t>
  </si>
  <si>
    <t>North Mine to Pile (through Crusher)</t>
  </si>
  <si>
    <t>7/4/2026 9:48</t>
  </si>
  <si>
    <t>7/4/2026 9:55</t>
  </si>
  <si>
    <t>33005</t>
  </si>
  <si>
    <t>7/4/2026 9:52</t>
  </si>
  <si>
    <t>7/4/2026 10:04</t>
  </si>
  <si>
    <t>16920</t>
  </si>
  <si>
    <t>26420</t>
  </si>
  <si>
    <t>33006</t>
  </si>
  <si>
    <t>7/4/2026 9:56</t>
  </si>
  <si>
    <t>7/4/2026 10:06</t>
  </si>
  <si>
    <t>41040</t>
  </si>
  <si>
    <t>24840</t>
  </si>
  <si>
    <t>33007</t>
  </si>
  <si>
    <t>7/4/2026 10:02</t>
  </si>
  <si>
    <t>7/4/2026 10:11</t>
  </si>
  <si>
    <t>41640</t>
  </si>
  <si>
    <t>33008</t>
  </si>
  <si>
    <t>7/4/2026 10:12</t>
  </si>
  <si>
    <t>7/4/2026 10:17</t>
  </si>
  <si>
    <t>38500</t>
  </si>
  <si>
    <t>17580</t>
  </si>
  <si>
    <t>33009</t>
  </si>
  <si>
    <t>7/4/2026 10:16</t>
  </si>
  <si>
    <t>7/4/2026 10:22</t>
  </si>
  <si>
    <t>40180</t>
  </si>
  <si>
    <t>16240</t>
  </si>
  <si>
    <t>23940</t>
  </si>
  <si>
    <t>33010</t>
  </si>
  <si>
    <t>7/4/2026 10:23</t>
  </si>
  <si>
    <t>7/4/2026 10:28</t>
  </si>
  <si>
    <t>33011</t>
  </si>
  <si>
    <t>7/4/2026 10:30</t>
  </si>
  <si>
    <t>7/4/2026 10:36</t>
  </si>
  <si>
    <t>17540</t>
  </si>
  <si>
    <t>21160</t>
  </si>
  <si>
    <t>33012</t>
  </si>
  <si>
    <t>7/4/2026 10:35</t>
  </si>
  <si>
    <t>7/4/2026 10:41</t>
  </si>
  <si>
    <t>16220</t>
  </si>
  <si>
    <t>33013</t>
  </si>
  <si>
    <t>7/4/2026 10:40</t>
  </si>
  <si>
    <t>7/4/2026 10:46</t>
  </si>
  <si>
    <t>39680</t>
  </si>
  <si>
    <t>33014</t>
  </si>
  <si>
    <t>7/4/2026 10:48</t>
  </si>
  <si>
    <t>7/4/2026 10:52</t>
  </si>
  <si>
    <t>33015</t>
  </si>
  <si>
    <t>7/4/2026 10:53</t>
  </si>
  <si>
    <t>7/4/2026 10:59</t>
  </si>
  <si>
    <t>39520</t>
  </si>
  <si>
    <t>23320</t>
  </si>
  <si>
    <t>33016</t>
  </si>
  <si>
    <t>7/4/2026 10:58</t>
  </si>
  <si>
    <t>7/4/2026 11:03</t>
  </si>
  <si>
    <t>40460</t>
  </si>
  <si>
    <t>33017</t>
  </si>
  <si>
    <t>7/4/2026 11:02</t>
  </si>
  <si>
    <t>7/4/2026 11:08</t>
  </si>
  <si>
    <t>39300</t>
  </si>
  <si>
    <t>17820</t>
  </si>
  <si>
    <t>33018</t>
  </si>
  <si>
    <t>7/4/2026 11:09</t>
  </si>
  <si>
    <t>7/4/2026 11:14</t>
  </si>
  <si>
    <t>40600</t>
  </si>
  <si>
    <t>33019</t>
  </si>
  <si>
    <t>7/4/2026 11:12</t>
  </si>
  <si>
    <t>7/4/2026 11:19</t>
  </si>
  <si>
    <t>33020</t>
  </si>
  <si>
    <t>7/4/2026 11:18</t>
  </si>
  <si>
    <t>7/4/2026 11:23</t>
  </si>
  <si>
    <t>33021</t>
  </si>
  <si>
    <t>7/4/2026 11:24</t>
  </si>
  <si>
    <t>7/4/2026 11:30</t>
  </si>
  <si>
    <t>24920</t>
  </si>
  <si>
    <t>33022</t>
  </si>
  <si>
    <t>7/4/2026 11:51</t>
  </si>
  <si>
    <t>7/4/2026 11:56</t>
  </si>
  <si>
    <t>41680</t>
  </si>
  <si>
    <t>23860</t>
  </si>
  <si>
    <t>33023</t>
  </si>
  <si>
    <t>7/4/2026 11:54</t>
  </si>
  <si>
    <t>7/4/2026 12:00</t>
  </si>
  <si>
    <t>33024</t>
  </si>
  <si>
    <t>7/4/2026 11:59</t>
  </si>
  <si>
    <t>7/4/2026 12:05</t>
  </si>
  <si>
    <t>33025</t>
  </si>
  <si>
    <t>7/4/2026 12:02</t>
  </si>
  <si>
    <t>7/4/2026 12:08</t>
  </si>
  <si>
    <t>41440</t>
  </si>
  <si>
    <t>23620</t>
  </si>
  <si>
    <t>33026</t>
  </si>
  <si>
    <t>7/4/2026 12:07</t>
  </si>
  <si>
    <t>7/4/2026 12:13</t>
  </si>
  <si>
    <t>42320</t>
  </si>
  <si>
    <t>27740</t>
  </si>
  <si>
    <t>33027</t>
  </si>
  <si>
    <t>7/4/2026 12:11</t>
  </si>
  <si>
    <t>7/4/2026 12:16</t>
  </si>
  <si>
    <t>43520</t>
  </si>
  <si>
    <t>33028</t>
  </si>
  <si>
    <t>7/4/2026 12:14</t>
  </si>
  <si>
    <t>7/4/2026 12:19</t>
  </si>
  <si>
    <t>25700</t>
  </si>
  <si>
    <t>33029</t>
  </si>
  <si>
    <t>7/4/2026 12:23</t>
  </si>
  <si>
    <t>7/4/2026 12:28</t>
  </si>
  <si>
    <t>25080</t>
  </si>
  <si>
    <t>33030</t>
  </si>
  <si>
    <t>7/4/2026 12:29</t>
  </si>
  <si>
    <t>7/4/2026 12:34</t>
  </si>
  <si>
    <t>33031</t>
  </si>
  <si>
    <t>7/4/2026 12:33</t>
  </si>
  <si>
    <t>7/4/2026 12:38</t>
  </si>
  <si>
    <t>42860</t>
  </si>
  <si>
    <t>33032</t>
  </si>
  <si>
    <t>7/4/2026 12:37</t>
  </si>
  <si>
    <t>7/4/2026 12:42</t>
  </si>
  <si>
    <t>42040</t>
  </si>
  <si>
    <t>14480</t>
  </si>
  <si>
    <t>33033</t>
  </si>
  <si>
    <t>7/4/2026 12:41</t>
  </si>
  <si>
    <t>7/4/2026 12:47</t>
  </si>
  <si>
    <t>39760</t>
  </si>
  <si>
    <t>33034</t>
  </si>
  <si>
    <t>7/4/2026 12:44</t>
  </si>
  <si>
    <t>7/4/2026 12:51</t>
  </si>
  <si>
    <t>20780</t>
  </si>
  <si>
    <t>33035</t>
  </si>
  <si>
    <t>7/4/2026 12:50</t>
  </si>
  <si>
    <t>7/4/2026 12:54</t>
  </si>
  <si>
    <t>14560</t>
  </si>
  <si>
    <t>29540</t>
  </si>
  <si>
    <t>33036</t>
  </si>
  <si>
    <t>7/4/2026 14:18</t>
  </si>
  <si>
    <t>7/4/2026 14:25</t>
  </si>
  <si>
    <t>14540</t>
  </si>
  <si>
    <t>33037</t>
  </si>
  <si>
    <t>7/4/2026 14:22</t>
  </si>
  <si>
    <t>7/4/2026 14:34</t>
  </si>
  <si>
    <t>17980</t>
  </si>
  <si>
    <t>23700</t>
  </si>
  <si>
    <t>33038</t>
  </si>
  <si>
    <t>7/4/2026 14:27</t>
  </si>
  <si>
    <t>7/4/2026 14:36</t>
  </si>
  <si>
    <t>42120</t>
  </si>
  <si>
    <t>26260</t>
  </si>
  <si>
    <t>33039</t>
  </si>
  <si>
    <t>7/4/2026 14:31</t>
  </si>
  <si>
    <t>7/4/2026 14:39</t>
  </si>
  <si>
    <t>33040</t>
  </si>
  <si>
    <t>7/4/2026 14:40</t>
  </si>
  <si>
    <t>7/4/2026 14:45</t>
  </si>
  <si>
    <t>42460</t>
  </si>
  <si>
    <t>33041</t>
  </si>
  <si>
    <t>7/4/2026 14:44</t>
  </si>
  <si>
    <t>7/4/2026 14:49</t>
  </si>
  <si>
    <t>40380</t>
  </si>
  <si>
    <t>10080</t>
  </si>
  <si>
    <t>30300</t>
  </si>
  <si>
    <t>33042</t>
  </si>
  <si>
    <t>7/4/2026 14:47</t>
  </si>
  <si>
    <t>7/4/2026 14:53</t>
  </si>
  <si>
    <t>41280</t>
  </si>
  <si>
    <t>33043</t>
  </si>
  <si>
    <t>7/4/2026 14:54</t>
  </si>
  <si>
    <t>7/4/2026 15:02</t>
  </si>
  <si>
    <t>26960</t>
  </si>
  <si>
    <t>33044</t>
  </si>
  <si>
    <t>7/4/2026 14:59</t>
  </si>
  <si>
    <t>7/4/2026 15:04</t>
  </si>
  <si>
    <t>28080</t>
  </si>
  <si>
    <t>33045</t>
  </si>
  <si>
    <t>7/4/2026 15:08</t>
  </si>
  <si>
    <t>33046</t>
  </si>
  <si>
    <t>7/4/2026 15:06</t>
  </si>
  <si>
    <t>7/4/2026 15:11</t>
  </si>
  <si>
    <t>41600</t>
  </si>
  <si>
    <t>25760</t>
  </si>
  <si>
    <t>33047</t>
  </si>
  <si>
    <t>7/4/2026 15:09</t>
  </si>
  <si>
    <t>7/4/2026 15:17</t>
  </si>
  <si>
    <t>33048</t>
  </si>
  <si>
    <t>7/4/2026 15:13</t>
  </si>
  <si>
    <t>7/4/2026 15:22</t>
  </si>
  <si>
    <t>26280</t>
  </si>
  <si>
    <t>33049</t>
  </si>
  <si>
    <t>7/4/2026 15:16</t>
  </si>
  <si>
    <t>7/4/2026 15:25</t>
  </si>
  <si>
    <t>41260</t>
  </si>
  <si>
    <t>33050</t>
  </si>
  <si>
    <t>7/4/2026 15:20</t>
  </si>
  <si>
    <t>7/4/2026 15:31</t>
  </si>
  <si>
    <t>44920</t>
  </si>
  <si>
    <t>29080</t>
  </si>
  <si>
    <t>33051</t>
  </si>
  <si>
    <t>7/4/2026 15:34</t>
  </si>
  <si>
    <t>14680</t>
  </si>
  <si>
    <t>19260</t>
  </si>
  <si>
    <t>33052</t>
  </si>
  <si>
    <t>7/4/2026 15:30</t>
  </si>
  <si>
    <t>7/4/2026 15:44</t>
  </si>
  <si>
    <t>42580</t>
  </si>
  <si>
    <t>27600</t>
  </si>
  <si>
    <t>33053</t>
  </si>
  <si>
    <t>7/4/2026 15:33</t>
  </si>
  <si>
    <t>7/4/2026 15:48</t>
  </si>
  <si>
    <t>41300</t>
  </si>
  <si>
    <t>26780</t>
  </si>
  <si>
    <t>33054</t>
  </si>
  <si>
    <t>7/4/2026 15:40</t>
  </si>
  <si>
    <t>7/4/2026 16:22</t>
  </si>
  <si>
    <t>42200</t>
  </si>
  <si>
    <t>26380</t>
  </si>
  <si>
    <t>33055</t>
  </si>
  <si>
    <t>7/4/2026 15:47</t>
  </si>
  <si>
    <t>7/4/2026 16:23</t>
  </si>
  <si>
    <t>24640</t>
  </si>
  <si>
    <t>33056</t>
  </si>
  <si>
    <t>7/4/2026 16:30</t>
  </si>
  <si>
    <t>7/4/2026 16:36</t>
  </si>
  <si>
    <t>40020</t>
  </si>
  <si>
    <t>33057</t>
  </si>
  <si>
    <t>7/4/2026 16:34</t>
  </si>
  <si>
    <t>7/4/2026 16:40</t>
  </si>
  <si>
    <t>39960</t>
  </si>
  <si>
    <t>33058</t>
  </si>
  <si>
    <t>7/4/2026 16:39</t>
  </si>
  <si>
    <t>7/4/2026 16:45</t>
  </si>
  <si>
    <t>42240</t>
  </si>
  <si>
    <t>14660</t>
  </si>
  <si>
    <t>27580</t>
  </si>
  <si>
    <t>33059</t>
  </si>
  <si>
    <t>7/4/2026 16:43</t>
  </si>
  <si>
    <t>7/4/2026 16:49</t>
  </si>
  <si>
    <t>41660</t>
  </si>
  <si>
    <t>27080</t>
  </si>
  <si>
    <t>7/4/2026 16:47</t>
  </si>
  <si>
    <t>7/4/2026 16:53</t>
  </si>
  <si>
    <t>41160</t>
  </si>
  <si>
    <t>33061</t>
  </si>
  <si>
    <t>7/4/2026 16:51</t>
  </si>
  <si>
    <t>7/4/2026 16:57</t>
  </si>
  <si>
    <t>39940</t>
  </si>
  <si>
    <t>33062</t>
  </si>
  <si>
    <t>7/4/2026 16:55</t>
  </si>
  <si>
    <t>7/4/2026 17:17</t>
  </si>
  <si>
    <t>44080</t>
  </si>
  <si>
    <t>33063</t>
  </si>
  <si>
    <t>7/4/2026 16:58</t>
  </si>
  <si>
    <t>7/4/2026 17:20</t>
  </si>
  <si>
    <t>43760</t>
  </si>
  <si>
    <t>29180</t>
  </si>
  <si>
    <t>33064</t>
  </si>
  <si>
    <t>7/4/2026 17:02</t>
  </si>
  <si>
    <t>7/4/2026 17:26</t>
  </si>
  <si>
    <t>26540</t>
  </si>
  <si>
    <t>33065</t>
  </si>
  <si>
    <t>7/4/2026 17:05</t>
  </si>
  <si>
    <t>7/4/2026 17:22</t>
  </si>
  <si>
    <t>44260</t>
  </si>
  <si>
    <t>29300</t>
  </si>
  <si>
    <t>33066</t>
  </si>
  <si>
    <t>7/4/2026 17:23</t>
  </si>
  <si>
    <t>7/4/2026 17:39</t>
  </si>
  <si>
    <t>42840</t>
  </si>
  <si>
    <t>33067</t>
  </si>
  <si>
    <t>7/4/2026 17:27</t>
  </si>
  <si>
    <t>7/4/2026 17:46</t>
  </si>
  <si>
    <t>24980</t>
  </si>
  <si>
    <t>33068</t>
  </si>
  <si>
    <t>7/4/2026 17:31</t>
  </si>
  <si>
    <t>7/4/2026 17:51</t>
  </si>
  <si>
    <t>25900</t>
  </si>
  <si>
    <t>33069</t>
  </si>
  <si>
    <t>7/4/2026 17:36</t>
  </si>
  <si>
    <t>7/4/2026 17:52</t>
  </si>
  <si>
    <t>46000</t>
  </si>
  <si>
    <t>30160</t>
  </si>
  <si>
    <t>33070</t>
  </si>
  <si>
    <t>7/4/2026 17:45</t>
  </si>
  <si>
    <t>7/4/2026 17:53</t>
  </si>
  <si>
    <t>28200</t>
  </si>
  <si>
    <t>33071</t>
  </si>
  <si>
    <t>7/4/2026 17:58</t>
  </si>
  <si>
    <t>7/4/2026 18:04</t>
  </si>
  <si>
    <t>39240</t>
  </si>
  <si>
    <t>24300</t>
  </si>
  <si>
    <t>33072</t>
  </si>
  <si>
    <t>7/4/2026 18:02</t>
  </si>
  <si>
    <t>7/4/2026 18:08</t>
  </si>
  <si>
    <t>43200</t>
  </si>
  <si>
    <t>27380</t>
  </si>
  <si>
    <t>33073</t>
  </si>
  <si>
    <t>7/4/2026 18:05</t>
  </si>
  <si>
    <t>7/4/2026 18:11</t>
  </si>
  <si>
    <t>25740</t>
  </si>
  <si>
    <t>33074</t>
  </si>
  <si>
    <t>7/4/2026 18:12</t>
  </si>
  <si>
    <t>7/4/2026 18:18</t>
  </si>
  <si>
    <t>33075</t>
  </si>
  <si>
    <t>7/4/2026 18:21</t>
  </si>
  <si>
    <t>7/4/2026 18:26</t>
  </si>
  <si>
    <t>27900</t>
  </si>
  <si>
    <t>33076</t>
  </si>
  <si>
    <t>7/4/2026 18:23</t>
  </si>
  <si>
    <t>7/4/2026 18:31</t>
  </si>
  <si>
    <t>33077</t>
  </si>
  <si>
    <t>7/4/2026 18:27</t>
  </si>
  <si>
    <t>7/4/2026 18:33</t>
  </si>
  <si>
    <t>40840</t>
  </si>
  <si>
    <t>25960</t>
  </si>
  <si>
    <t>33078</t>
  </si>
  <si>
    <t>7/4/2026 18:32</t>
  </si>
  <si>
    <t>7/4/2026 18:38</t>
  </si>
  <si>
    <t>33079</t>
  </si>
  <si>
    <t>7/4/2026 18:36</t>
  </si>
  <si>
    <t>7/4/2026 18:40</t>
  </si>
  <si>
    <t>7/4/2026 18:43</t>
  </si>
  <si>
    <t>41100</t>
  </si>
  <si>
    <t>25280</t>
  </si>
  <si>
    <t>33081</t>
  </si>
  <si>
    <t>7/4/2026 18:41</t>
  </si>
  <si>
    <t>7/4/2026 18:46</t>
  </si>
  <si>
    <t>40140</t>
  </si>
  <si>
    <t>25160</t>
  </si>
  <si>
    <t>33082</t>
  </si>
  <si>
    <t>7/4/2026 18:45</t>
  </si>
  <si>
    <t>7/4/2026 19:17</t>
  </si>
  <si>
    <t>40500</t>
  </si>
  <si>
    <t>25860</t>
  </si>
  <si>
    <t>33083</t>
  </si>
  <si>
    <t>7/4/2026 18:51</t>
  </si>
  <si>
    <t>7/4/2026 19:16</t>
  </si>
  <si>
    <t>24200</t>
  </si>
  <si>
    <t>33084</t>
  </si>
  <si>
    <t>7/4/2026 18:55</t>
  </si>
  <si>
    <t>7/4/2026 19:14</t>
  </si>
  <si>
    <t>40880</t>
  </si>
  <si>
    <t>25060</t>
  </si>
  <si>
    <t>33085</t>
  </si>
  <si>
    <t>7/4/2026 18:59</t>
  </si>
  <si>
    <t>42540</t>
  </si>
  <si>
    <t>27500</t>
  </si>
  <si>
    <t>33086</t>
  </si>
  <si>
    <t>7/4/2026 20:47</t>
  </si>
  <si>
    <t>7/4/2026 20:54</t>
  </si>
  <si>
    <t>38420</t>
  </si>
  <si>
    <t>33087</t>
  </si>
  <si>
    <t>7/4/2026 20:50</t>
  </si>
  <si>
    <t>7/4/2026 21:09</t>
  </si>
  <si>
    <t>33088</t>
  </si>
  <si>
    <t>7/4/2026 20:53</t>
  </si>
  <si>
    <t>7/4/2026 21:11</t>
  </si>
  <si>
    <t>33089</t>
  </si>
  <si>
    <t>7/4/2026 20:58</t>
  </si>
  <si>
    <t>7/4/2026 21:12</t>
  </si>
  <si>
    <t>24060</t>
  </si>
  <si>
    <t>33090</t>
  </si>
  <si>
    <t>7/4/2026 21:01</t>
  </si>
  <si>
    <t>7/4/2026 21:14</t>
  </si>
  <si>
    <t>41360</t>
  </si>
  <si>
    <t>33091</t>
  </si>
  <si>
    <t>7/4/2026 21:08</t>
  </si>
  <si>
    <t>7/4/2026 21:15</t>
  </si>
  <si>
    <t>41420</t>
  </si>
  <si>
    <t>33092</t>
  </si>
  <si>
    <t>7/4/2026 21:52</t>
  </si>
  <si>
    <t>7/4/2026 22:04</t>
  </si>
  <si>
    <t>23280</t>
  </si>
  <si>
    <t>33093</t>
  </si>
  <si>
    <t>7/4/2026 22:06</t>
  </si>
  <si>
    <t>7/4/2026 22:23</t>
  </si>
  <si>
    <t>33094</t>
  </si>
  <si>
    <t>7/4/2026 22:11</t>
  </si>
  <si>
    <t>7/4/2026 22:30</t>
  </si>
  <si>
    <t>37940</t>
  </si>
  <si>
    <t>33095</t>
  </si>
  <si>
    <t>7/4/2026 22:14</t>
  </si>
  <si>
    <t>7/4/2026 22:29</t>
  </si>
  <si>
    <t>16960</t>
  </si>
  <si>
    <t>33096</t>
  </si>
  <si>
    <t>7/4/2026 22:21</t>
  </si>
  <si>
    <t>7/4/2026 22:31</t>
  </si>
  <si>
    <t>33097</t>
  </si>
  <si>
    <t>7/4/2026 22:26</t>
  </si>
  <si>
    <t>7/4/2026 22:36</t>
  </si>
  <si>
    <t>33098</t>
  </si>
  <si>
    <t>7/4/2026 22:33</t>
  </si>
  <si>
    <t>7/4/2026 22:41</t>
  </si>
  <si>
    <t>33099</t>
  </si>
  <si>
    <t>7/4/2026 22:39</t>
  </si>
  <si>
    <t>7/4/2026 22:46</t>
  </si>
  <si>
    <t>33100</t>
  </si>
  <si>
    <t>7/4/2026 22:53</t>
  </si>
  <si>
    <t>7/4/2026 23:05</t>
  </si>
  <si>
    <t>41760</t>
  </si>
  <si>
    <t>26760</t>
  </si>
  <si>
    <t>33101</t>
  </si>
  <si>
    <t>7/4/2026 22:54</t>
  </si>
  <si>
    <t>7/4/2026 23:38</t>
  </si>
  <si>
    <t>45460</t>
  </si>
  <si>
    <t>29860</t>
  </si>
  <si>
    <t>33102</t>
  </si>
  <si>
    <t>7/4/2026 22:57</t>
  </si>
  <si>
    <t>7/4/2026 23:03</t>
  </si>
  <si>
    <t>20560</t>
  </si>
  <si>
    <t>33103</t>
  </si>
  <si>
    <t>7/4/2026 22:58</t>
  </si>
  <si>
    <t>7/4/2026 23:04</t>
  </si>
  <si>
    <t>17280</t>
  </si>
  <si>
    <t>33104</t>
  </si>
  <si>
    <t>7/4/2026 23:01</t>
  </si>
  <si>
    <t>7/4/2026 23:08</t>
  </si>
  <si>
    <t>15400</t>
  </si>
  <si>
    <t>33105</t>
  </si>
  <si>
    <t>7/4/2026 23:40</t>
  </si>
  <si>
    <t>7/4/2026 23:48</t>
  </si>
  <si>
    <t>25680</t>
  </si>
  <si>
    <t>33106</t>
  </si>
  <si>
    <t>7/4/2026 23:41</t>
  </si>
  <si>
    <t>7/4/2026 23:51</t>
  </si>
  <si>
    <t>16740</t>
  </si>
  <si>
    <t>22600</t>
  </si>
  <si>
    <t>33107</t>
  </si>
  <si>
    <t>7/4/2026 23:44</t>
  </si>
  <si>
    <t>7/4/2026 23:49</t>
  </si>
  <si>
    <t>33108</t>
  </si>
  <si>
    <t>7/4/2026 23:46</t>
  </si>
  <si>
    <t>7/4/2026 23:53</t>
  </si>
  <si>
    <t>33109</t>
  </si>
  <si>
    <t>7/4/2026 23:47</t>
  </si>
  <si>
    <t>7/4/2026 23:55</t>
  </si>
  <si>
    <t>43120</t>
  </si>
  <si>
    <t>27540</t>
  </si>
  <si>
    <t>33110</t>
  </si>
  <si>
    <t>7/4/2026 23:54</t>
  </si>
  <si>
    <t>7/4/2026 23:59</t>
  </si>
  <si>
    <t>40520</t>
  </si>
  <si>
    <t>33111</t>
  </si>
  <si>
    <t>7/4/2026 23:58</t>
  </si>
  <si>
    <t>8/4/2026 0:08</t>
  </si>
  <si>
    <t>33112</t>
  </si>
  <si>
    <t>08/04/2026 12:01:35 AM</t>
  </si>
  <si>
    <t>08/04/2026 12:09:46 AM</t>
  </si>
  <si>
    <t>40340</t>
  </si>
  <si>
    <t>33113</t>
  </si>
  <si>
    <t>08/04/2026 12:15:58 AM</t>
  </si>
  <si>
    <t>08/04/2026 12:21:18 AM</t>
  </si>
  <si>
    <t>33114</t>
  </si>
  <si>
    <t>08/04/2026 12:19:46 AM</t>
  </si>
  <si>
    <t>08/04/2026 12:23:58 AM</t>
  </si>
  <si>
    <t>39800</t>
  </si>
  <si>
    <t>33115</t>
  </si>
  <si>
    <t>08/04/2026 12:22:43 AM</t>
  </si>
  <si>
    <t>08/04/2026 12:25:56 AM</t>
  </si>
  <si>
    <t>40360</t>
  </si>
  <si>
    <t>16940</t>
  </si>
  <si>
    <t>23420</t>
  </si>
  <si>
    <t>33116</t>
  </si>
  <si>
    <t>08/04/2026 12:29:46 AM</t>
  </si>
  <si>
    <t>08/04/2026 12:35:01 AM</t>
  </si>
  <si>
    <t>33117</t>
  </si>
  <si>
    <t>08/04/2026 12:33:34 AM</t>
  </si>
  <si>
    <t>08/04/2026 12:36:53 AM</t>
  </si>
  <si>
    <t>36680</t>
  </si>
  <si>
    <t>21500</t>
  </si>
  <si>
    <t>33118</t>
  </si>
  <si>
    <t>08/04/2026 12:38:44 AM</t>
  </si>
  <si>
    <t>08/04/2026 12:43:02 AM</t>
  </si>
  <si>
    <t>33119</t>
  </si>
  <si>
    <t>08/04/2026 12:41:52 AM</t>
  </si>
  <si>
    <t>08/04/2026 12:45:03 AM</t>
  </si>
  <si>
    <t>38840</t>
  </si>
  <si>
    <t>33120</t>
  </si>
  <si>
    <t>08/04/2026 12:47:05 AM</t>
  </si>
  <si>
    <t>08/04/2026 12:50:54 AM</t>
  </si>
  <si>
    <t>33121</t>
  </si>
  <si>
    <t>08/04/2026 12:53:59 AM</t>
  </si>
  <si>
    <t>08/04/2026 12:58:37 AM</t>
  </si>
  <si>
    <t>22200</t>
  </si>
  <si>
    <t>33122</t>
  </si>
  <si>
    <t>08/04/2026 12:59:51 AM</t>
  </si>
  <si>
    <t>08/04/2026 01:03:27 AM</t>
  </si>
  <si>
    <t>33123</t>
  </si>
  <si>
    <t>08/04/2026 01:02:22 AM</t>
  </si>
  <si>
    <t>08/04/2026 01:06:52 AM</t>
  </si>
  <si>
    <t>33124</t>
  </si>
  <si>
    <t>08/04/2026 01:09:30 AM</t>
  </si>
  <si>
    <t>08/04/2026 01:13:44 AM</t>
  </si>
  <si>
    <t>37840</t>
  </si>
  <si>
    <t>33125</t>
  </si>
  <si>
    <t>08/04/2026 01:11:18 AM</t>
  </si>
  <si>
    <t>08/04/2026 01:15:25 AM</t>
  </si>
  <si>
    <t>24500</t>
  </si>
  <si>
    <t>33126</t>
  </si>
  <si>
    <t>08/04/2026 01:19:05 AM</t>
  </si>
  <si>
    <t>08/04/2026 01:22:55 AM</t>
  </si>
  <si>
    <t>33127</t>
  </si>
  <si>
    <t>08/04/2026 01:26:06 AM</t>
  </si>
  <si>
    <t>08/04/2026 01:47:20 AM</t>
  </si>
  <si>
    <t>33128</t>
  </si>
  <si>
    <t>08/04/2026 01:27:36 AM</t>
  </si>
  <si>
    <t>08/04/2026 01:48:15 AM</t>
  </si>
  <si>
    <t>33129</t>
  </si>
  <si>
    <t>08/04/2026 01:49:51 AM</t>
  </si>
  <si>
    <t>08/04/2026 01:54:08 AM</t>
  </si>
  <si>
    <t>37320</t>
  </si>
  <si>
    <t>33130</t>
  </si>
  <si>
    <t>08/04/2026 01:50:51 AM</t>
  </si>
  <si>
    <t>08/04/2026 01:55:05 AM</t>
  </si>
  <si>
    <t>16500</t>
  </si>
  <si>
    <t>33131</t>
  </si>
  <si>
    <t>08/04/2026 01:52:11 AM</t>
  </si>
  <si>
    <t>08/04/2026 01:57:38 AM</t>
  </si>
  <si>
    <t>37460</t>
  </si>
  <si>
    <t>16900</t>
  </si>
  <si>
    <t>33132</t>
  </si>
  <si>
    <t>08/04/2026 02:04:44 AM</t>
  </si>
  <si>
    <t>08/04/2026 02:08:10 AM</t>
  </si>
  <si>
    <t>21940</t>
  </si>
  <si>
    <t>33133</t>
  </si>
  <si>
    <t>08/04/2026 02:11:48 AM</t>
  </si>
  <si>
    <t>08/04/2026 02:14:58 AM</t>
  </si>
  <si>
    <t>33134</t>
  </si>
  <si>
    <t>08/04/2026 02:16:11 AM</t>
  </si>
  <si>
    <t>08/04/2026 02:20:21 AM</t>
  </si>
  <si>
    <t>21540</t>
  </si>
  <si>
    <t>33135</t>
  </si>
  <si>
    <t>08/04/2026 02:17:48 AM</t>
  </si>
  <si>
    <t>08/04/2026 02:22:12 AM</t>
  </si>
  <si>
    <t>33136</t>
  </si>
  <si>
    <t>08/04/2026 02:24:37 AM</t>
  </si>
  <si>
    <t>08/04/2026 02:27:59 AM</t>
  </si>
  <si>
    <t>17000</t>
  </si>
  <si>
    <t>33137</t>
  </si>
  <si>
    <t>08/04/2026 02:29:08 AM</t>
  </si>
  <si>
    <t>08/04/2026 02:33:42 AM</t>
  </si>
  <si>
    <t>33138</t>
  </si>
  <si>
    <t>08/04/2026 02:40:34 AM</t>
  </si>
  <si>
    <t>08/04/2026 02:45:18 AM</t>
  </si>
  <si>
    <t>21400</t>
  </si>
  <si>
    <t>33139</t>
  </si>
  <si>
    <t>08/04/2026 02:47:27 AM</t>
  </si>
  <si>
    <t>08/04/2026 02:51:49 AM</t>
  </si>
  <si>
    <t>08/04/2026 02:50:37 AM</t>
  </si>
  <si>
    <t>08/04/2026 02:53:47 AM</t>
  </si>
  <si>
    <t>33141</t>
  </si>
  <si>
    <t>08/04/2026 02:54:50 AM</t>
  </si>
  <si>
    <t>08/04/2026 02:58:23 AM</t>
  </si>
  <si>
    <t>34360</t>
  </si>
  <si>
    <t>18800</t>
  </si>
  <si>
    <t>33142</t>
  </si>
  <si>
    <t>08/04/2026 03:01:26 AM</t>
  </si>
  <si>
    <t>08/04/2026 03:04:41 AM</t>
  </si>
  <si>
    <t>16980</t>
  </si>
  <si>
    <t>20700</t>
  </si>
  <si>
    <t>33143</t>
  </si>
  <si>
    <t>08/04/2026 03:07:49 AM</t>
  </si>
  <si>
    <t>08/04/2026 03:12:37 AM</t>
  </si>
  <si>
    <t>36320</t>
  </si>
  <si>
    <t>33144</t>
  </si>
  <si>
    <t>08/04/2026 03:11:27 AM</t>
  </si>
  <si>
    <t>08/04/2026 03:16:23 AM</t>
  </si>
  <si>
    <t>17560</t>
  </si>
  <si>
    <t>33145</t>
  </si>
  <si>
    <t>08/04/2026 03:17:26 AM</t>
  </si>
  <si>
    <t>08/04/2026 03:21:22 AM</t>
  </si>
  <si>
    <t>33146</t>
  </si>
  <si>
    <t>08/04/2026 03:23:40 AM</t>
  </si>
  <si>
    <t>08/04/2026 03:26:52 AM</t>
  </si>
  <si>
    <t>33147</t>
  </si>
  <si>
    <t>08/04/2026 03:28:50 AM</t>
  </si>
  <si>
    <t>08/04/2026 03:32:00 AM</t>
  </si>
  <si>
    <t>17160</t>
  </si>
  <si>
    <t>33148</t>
  </si>
  <si>
    <t>08/04/2026 03:36:06 AM</t>
  </si>
  <si>
    <t>08/04/2026 03:40:54 AM</t>
  </si>
  <si>
    <t>33149</t>
  </si>
  <si>
    <t>08/04/2026 03:38:41 AM</t>
  </si>
  <si>
    <t>08/04/2026 03:43:25 AM</t>
  </si>
  <si>
    <t>24080</t>
  </si>
  <si>
    <t>33150</t>
  </si>
  <si>
    <t>08/04/2026 03:45:17 AM</t>
  </si>
  <si>
    <t>08/04/2026 03:51:20 AM</t>
  </si>
  <si>
    <t>20760</t>
  </si>
  <si>
    <t>33151</t>
  </si>
  <si>
    <t>08/04/2026 03:48:08 AM</t>
  </si>
  <si>
    <t>08/04/2026 03:53:35 AM</t>
  </si>
  <si>
    <t>22000</t>
  </si>
  <si>
    <t>33152</t>
  </si>
  <si>
    <t>08/04/2026 03:52:41 AM</t>
  </si>
  <si>
    <t>08/04/2026 03:57:38 AM</t>
  </si>
  <si>
    <t>43260</t>
  </si>
  <si>
    <t>27660</t>
  </si>
  <si>
    <t>33153</t>
  </si>
  <si>
    <t>08/04/2026 03:56:33 AM</t>
  </si>
  <si>
    <t>08/04/2026 04:02:09 AM</t>
  </si>
  <si>
    <t>33154</t>
  </si>
  <si>
    <t>08/04/2026 04:00:14 AM</t>
  </si>
  <si>
    <t>08/04/2026 04:05:39 AM</t>
  </si>
  <si>
    <t>24860</t>
  </si>
  <si>
    <t>33155</t>
  </si>
  <si>
    <t>08/04/2026 04:04:45 AM</t>
  </si>
  <si>
    <t>08/04/2026 04:09:28 AM</t>
  </si>
  <si>
    <t>43580</t>
  </si>
  <si>
    <t>27960</t>
  </si>
  <si>
    <t>33156</t>
  </si>
  <si>
    <t>08/04/2026 04:10:13 AM</t>
  </si>
  <si>
    <t>08/04/2026 04:17:16 AM</t>
  </si>
  <si>
    <t>40820</t>
  </si>
  <si>
    <t>17400</t>
  </si>
  <si>
    <t>33157</t>
  </si>
  <si>
    <t>08/04/2026 04:13:31 AM</t>
  </si>
  <si>
    <t>08/04/2026 04:18:58 AM</t>
  </si>
  <si>
    <t>41320</t>
  </si>
  <si>
    <t>33158</t>
  </si>
  <si>
    <t>08/04/2026 04:18:06 AM</t>
  </si>
  <si>
    <t>08/04/2026 04:23:24 AM</t>
  </si>
  <si>
    <t>45220</t>
  </si>
  <si>
    <t>29580</t>
  </si>
  <si>
    <t>33159</t>
  </si>
  <si>
    <t>08/04/2026 04:22:36 AM</t>
  </si>
  <si>
    <t>08/04/2026 04:30:42 AM</t>
  </si>
  <si>
    <t>33160</t>
  </si>
  <si>
    <t>08/04/2026 04:25:54 AM</t>
  </si>
  <si>
    <t>08/04/2026 04:32:58 AM</t>
  </si>
  <si>
    <t>42080</t>
  </si>
  <si>
    <t>26500</t>
  </si>
  <si>
    <t>33161</t>
  </si>
  <si>
    <t>08/04/2026 04:29:23 AM</t>
  </si>
  <si>
    <t>08/04/2026 04:34:51 AM</t>
  </si>
  <si>
    <t>43720</t>
  </si>
  <si>
    <t>28060</t>
  </si>
  <si>
    <t>33162</t>
  </si>
  <si>
    <t>08/04/2026 04:35:37 AM</t>
  </si>
  <si>
    <t>08/04/2026 04:43:29 AM</t>
  </si>
  <si>
    <t>39140</t>
  </si>
  <si>
    <t>33163</t>
  </si>
  <si>
    <t>08/04/2026 04:39:01 AM</t>
  </si>
  <si>
    <t>08/04/2026 04:44:36 AM</t>
  </si>
  <si>
    <t>33164</t>
  </si>
  <si>
    <t>08/04/2026 04:42:30 AM</t>
  </si>
  <si>
    <t>08/04/2026 04:47:02 AM</t>
  </si>
  <si>
    <t>42940</t>
  </si>
  <si>
    <t>27260</t>
  </si>
  <si>
    <t>33165</t>
  </si>
  <si>
    <t>08/04/2026 04:48:11 AM</t>
  </si>
  <si>
    <t>08/04/2026 04:55:22 AM</t>
  </si>
  <si>
    <t>38640</t>
  </si>
  <si>
    <t>17440</t>
  </si>
  <si>
    <t>33166</t>
  </si>
  <si>
    <t>08/04/2026 04:51:25 AM</t>
  </si>
  <si>
    <t>08/04/2026 05:13:27 AM</t>
  </si>
  <si>
    <t>33167</t>
  </si>
  <si>
    <t>08/04/2026 04:54:26 AM</t>
  </si>
  <si>
    <t>08/04/2026 05:17:51 AM</t>
  </si>
  <si>
    <t>33168</t>
  </si>
  <si>
    <t>08/04/2026 05:00:18 AM</t>
  </si>
  <si>
    <t>08/04/2026 05:31:30 AM</t>
  </si>
  <si>
    <t>22320</t>
  </si>
  <si>
    <t>33169</t>
  </si>
  <si>
    <t>08/04/2026 05:40:34 AM</t>
  </si>
  <si>
    <t>08/04/2026 05:48:11 AM</t>
  </si>
  <si>
    <t>39180</t>
  </si>
  <si>
    <t>23540</t>
  </si>
  <si>
    <t>33170</t>
  </si>
  <si>
    <t>08/04/2026 05:43:32 AM</t>
  </si>
  <si>
    <t>08/04/2026 05:51:16 AM</t>
  </si>
  <si>
    <t>17360</t>
  </si>
  <si>
    <t>33171</t>
  </si>
  <si>
    <t>08/04/2026 05:54:19 AM</t>
  </si>
  <si>
    <t>08/04/2026 06:01:31 AM</t>
  </si>
  <si>
    <t>37960</t>
  </si>
  <si>
    <t>33172</t>
  </si>
  <si>
    <t>08/04/2026 05:59:08 AM</t>
  </si>
  <si>
    <t>08/04/2026 06:06:07 AM</t>
  </si>
  <si>
    <t>16280</t>
  </si>
  <si>
    <t>33173</t>
  </si>
  <si>
    <t>08/04/2026 06:07:07 AM</t>
  </si>
  <si>
    <t>08/04/2026 06:15:36 AM</t>
  </si>
  <si>
    <t>40440</t>
  </si>
  <si>
    <t>33174</t>
  </si>
  <si>
    <t>08/04/2026 06:11:13 AM</t>
  </si>
  <si>
    <t>08/04/2026 06:21:02 AM</t>
  </si>
  <si>
    <t>40740</t>
  </si>
  <si>
    <t>33175</t>
  </si>
  <si>
    <t>08/04/2026 06:22:45 AM</t>
  </si>
  <si>
    <t>08/04/2026 06:28:51 AM</t>
  </si>
  <si>
    <t>26940</t>
  </si>
  <si>
    <t>33176</t>
  </si>
  <si>
    <t>08/04/2026 06:26:41 AM</t>
  </si>
  <si>
    <t>08/04/2026 06:33:12 AM</t>
  </si>
  <si>
    <t>23640</t>
  </si>
  <si>
    <t>33177</t>
  </si>
  <si>
    <t>08/04/2026 06:34:29 AM</t>
  </si>
  <si>
    <t>08/04/2026 06:40:14 AM</t>
  </si>
  <si>
    <t>33178</t>
  </si>
  <si>
    <t>08/04/2026 06:38:22 AM</t>
  </si>
  <si>
    <t>08/04/2026 06:44:33 AM</t>
  </si>
  <si>
    <t>17620</t>
  </si>
  <si>
    <t>33179</t>
  </si>
  <si>
    <t>08/04/2026 06:46:23 AM</t>
  </si>
  <si>
    <t>08/04/2026 06:51:56 AM</t>
  </si>
  <si>
    <t>08/04/2026 06:50:18 AM</t>
  </si>
  <si>
    <t>08/04/2026 07:08:04 AM</t>
  </si>
  <si>
    <t>42480</t>
  </si>
  <si>
    <t>24460</t>
  </si>
  <si>
    <t>33181</t>
  </si>
  <si>
    <t>08/04/2026 10:00:35 AM</t>
  </si>
  <si>
    <t>08/04/2026 10:31:00 AM</t>
  </si>
  <si>
    <t>33182</t>
  </si>
  <si>
    <t>08/04/2026 10:02:45 AM</t>
  </si>
  <si>
    <t>08/04/2026 10:29:01 AM</t>
  </si>
  <si>
    <t>33183</t>
  </si>
  <si>
    <t>08/04/2026 10:05:30 AM</t>
  </si>
  <si>
    <t>08/04/2026 10:34:16 AM</t>
  </si>
  <si>
    <t>33184</t>
  </si>
  <si>
    <t>08/04/2026 10:35:56 AM</t>
  </si>
  <si>
    <t>08/04/2026 10:41:51 AM</t>
  </si>
  <si>
    <t>33185</t>
  </si>
  <si>
    <t>08/04/2026 10:38:56 AM</t>
  </si>
  <si>
    <t>08/04/2026 10:45:39 AM</t>
  </si>
  <si>
    <t>33186</t>
  </si>
  <si>
    <t>08/04/2026 10:42:56 AM</t>
  </si>
  <si>
    <t>08/04/2026 10:49:33 AM</t>
  </si>
  <si>
    <t>33187</t>
  </si>
  <si>
    <t>08/04/2026 10:47:13 AM</t>
  </si>
  <si>
    <t>08/04/2026 10:52:39 AM</t>
  </si>
  <si>
    <t>33188</t>
  </si>
  <si>
    <t>08/04/2026 10:51:23 AM</t>
  </si>
  <si>
    <t>08/04/2026 10:57:34 AM</t>
  </si>
  <si>
    <t>17480</t>
  </si>
  <si>
    <t>33189</t>
  </si>
  <si>
    <t>08/04/2026 10:54:57 AM</t>
  </si>
  <si>
    <t>08/04/2026 11:02:08 AM</t>
  </si>
  <si>
    <t>33190</t>
  </si>
  <si>
    <t>08/04/2026 10:58:55 AM</t>
  </si>
  <si>
    <t>08/04/2026 11:04:26 AM</t>
  </si>
  <si>
    <t>36820</t>
  </si>
  <si>
    <t>33191</t>
  </si>
  <si>
    <t>08/04/2026 11:05:33 AM</t>
  </si>
  <si>
    <t>08/04/2026 11:15:41 AM</t>
  </si>
  <si>
    <t>21960</t>
  </si>
  <si>
    <t>33192</t>
  </si>
  <si>
    <t>08/04/2026 11:07:41 AM</t>
  </si>
  <si>
    <t>08/04/2026 11:17:40 AM</t>
  </si>
  <si>
    <t>33193</t>
  </si>
  <si>
    <t>08/04/2026 11:10:32 AM</t>
  </si>
  <si>
    <t>08/04/2026 11:21:00 AM</t>
  </si>
  <si>
    <t>33194</t>
  </si>
  <si>
    <t>08/04/2026 11:22:48 AM</t>
  </si>
  <si>
    <t>08/04/2026 11:30:14 AM</t>
  </si>
  <si>
    <t>33280</t>
  </si>
  <si>
    <t>17960</t>
  </si>
  <si>
    <t>33195</t>
  </si>
  <si>
    <t>08/04/2026 11:28:06 AM</t>
  </si>
  <si>
    <t>08/04/2026 11:33:27 AM</t>
  </si>
  <si>
    <t>17020</t>
  </si>
  <si>
    <t>33196</t>
  </si>
  <si>
    <t>08/04/2026 11:37:30 AM</t>
  </si>
  <si>
    <t>08/04/2026 11:44:08 AM</t>
  </si>
  <si>
    <t>33197</t>
  </si>
  <si>
    <t>08/04/2026 11:40:23 AM</t>
  </si>
  <si>
    <t>08/04/2026 11:46:38 AM</t>
  </si>
  <si>
    <t>33198</t>
  </si>
  <si>
    <t>08/04/2026 11:50:19 AM</t>
  </si>
  <si>
    <t>08/04/2026 11:57:26 AM</t>
  </si>
  <si>
    <t>33199</t>
  </si>
  <si>
    <t>08/04/2026 11:53:29 AM</t>
  </si>
  <si>
    <t>08/04/2026 11:59:33 AM</t>
  </si>
  <si>
    <t>33200</t>
  </si>
  <si>
    <t>08/04/2026 12:01:29 PM</t>
  </si>
  <si>
    <t>08/04/2026 12:08:20 PM</t>
  </si>
  <si>
    <t>33201</t>
  </si>
  <si>
    <t>08/04/2026 02:21:27 PM</t>
  </si>
  <si>
    <t>08/04/2026 02:29:22 PM</t>
  </si>
  <si>
    <t>18420</t>
  </si>
  <si>
    <t>33202</t>
  </si>
  <si>
    <t>08/04/2026 02:27:30 PM</t>
  </si>
  <si>
    <t>08/04/2026 02:32:35 PM</t>
  </si>
  <si>
    <t>33203</t>
  </si>
  <si>
    <t>08/04/2026 02:34:42 PM</t>
  </si>
  <si>
    <t>08/04/2026 02:40:56 PM</t>
  </si>
  <si>
    <t>33204</t>
  </si>
  <si>
    <t>08/04/2026 02:38:18 PM</t>
  </si>
  <si>
    <t>08/04/2026 02:43:47 PM</t>
  </si>
  <si>
    <t>33205</t>
  </si>
  <si>
    <t>08/04/2026 02:42:06 PM</t>
  </si>
  <si>
    <t>08/04/2026 02:48:28 PM</t>
  </si>
  <si>
    <t>33206</t>
  </si>
  <si>
    <t>08/04/2026 02:46:03 PM</t>
  </si>
  <si>
    <t>08/04/2026 02:53:11 PM</t>
  </si>
  <si>
    <t>33207</t>
  </si>
  <si>
    <t>08/04/2026 02:49:42 PM</t>
  </si>
  <si>
    <t>08/04/2026 02:55:19 PM</t>
  </si>
  <si>
    <t>33208</t>
  </si>
  <si>
    <t>08/04/2026 02:54:20 PM</t>
  </si>
  <si>
    <t>08/04/2026 02:59:35 PM</t>
  </si>
  <si>
    <t>33209</t>
  </si>
  <si>
    <t>08/04/2026 02:58:22 PM</t>
  </si>
  <si>
    <t>08/04/2026 03:07:17 PM</t>
  </si>
  <si>
    <t>21560</t>
  </si>
  <si>
    <t>33210</t>
  </si>
  <si>
    <t>08/04/2026 03:02:35 PM</t>
  </si>
  <si>
    <t>08/04/2026 03:08:52 PM</t>
  </si>
  <si>
    <t>33211</t>
  </si>
  <si>
    <t>08/04/2026 03:06:20 PM</t>
  </si>
  <si>
    <t>08/04/2026 03:12:03 PM</t>
  </si>
  <si>
    <t>33212</t>
  </si>
  <si>
    <t>08/04/2026 03:13:05 PM</t>
  </si>
  <si>
    <t>08/04/2026 03:20:59 PM</t>
  </si>
  <si>
    <t>33213</t>
  </si>
  <si>
    <t>08/04/2026 03:16:00 PM</t>
  </si>
  <si>
    <t>08/04/2026 03:44:12 PM</t>
  </si>
  <si>
    <t>37260</t>
  </si>
  <si>
    <t>33214</t>
  </si>
  <si>
    <t>08/04/2026 03:19:54 PM</t>
  </si>
  <si>
    <t>08/04/2026 03:47:07 PM</t>
  </si>
  <si>
    <t>17460</t>
  </si>
  <si>
    <t>33215</t>
  </si>
  <si>
    <t>08/04/2026 03:26:39 PM</t>
  </si>
  <si>
    <t>08/04/2026 03:50:00 PM</t>
  </si>
  <si>
    <t>16340</t>
  </si>
  <si>
    <t>33216</t>
  </si>
  <si>
    <t>08/04/2026 03:49:00 PM</t>
  </si>
  <si>
    <t>08/04/2026 03:54:58 PM</t>
  </si>
  <si>
    <t>33217</t>
  </si>
  <si>
    <t>08/04/2026 03:52:49 PM</t>
  </si>
  <si>
    <t>08/04/2026 04:00:14 PM</t>
  </si>
  <si>
    <t>33218</t>
  </si>
  <si>
    <t>08/04/2026 03:55:48 PM</t>
  </si>
  <si>
    <t>08/04/2026 04:02:50 PM</t>
  </si>
  <si>
    <t>33219</t>
  </si>
  <si>
    <t>08/04/2026 03:59:18 PM</t>
  </si>
  <si>
    <t>08/04/2026 04:16:22 PM</t>
  </si>
  <si>
    <t>33220</t>
  </si>
  <si>
    <t>08/04/2026 04:05:56 PM</t>
  </si>
  <si>
    <t>08/04/2026 04:22:16 PM</t>
  </si>
  <si>
    <t>33221</t>
  </si>
  <si>
    <t>08/04/2026 04:09:20 PM</t>
  </si>
  <si>
    <t>08/04/2026 04:23:48 PM</t>
  </si>
  <si>
    <t>33222</t>
  </si>
  <si>
    <t>08/04/2026 04:21:24 PM</t>
  </si>
  <si>
    <t>08/04/2026 04:35:41 PM</t>
  </si>
  <si>
    <t>33223</t>
  </si>
  <si>
    <t>08/04/2026 04:27:48 PM</t>
  </si>
  <si>
    <t>08/04/2026 05:01:15 PM</t>
  </si>
  <si>
    <t>33224</t>
  </si>
  <si>
    <t>08/04/2026 04:31:09 PM</t>
  </si>
  <si>
    <t>08/04/2026 05:02:34 PM</t>
  </si>
  <si>
    <t>33225</t>
  </si>
  <si>
    <t>08/04/2026 04:40:25 PM</t>
  </si>
  <si>
    <t>08/04/2026 05:05:47 PM</t>
  </si>
  <si>
    <t>33226</t>
  </si>
  <si>
    <t>08/04/2026 05:10:42 PM</t>
  </si>
  <si>
    <t>08/04/2026 05:16:56 PM</t>
  </si>
  <si>
    <t>33680</t>
  </si>
  <si>
    <t>33227</t>
  </si>
  <si>
    <t>08/04/2026 05:15:14 PM</t>
  </si>
  <si>
    <t>08/04/2026 05:21:23 PM</t>
  </si>
  <si>
    <t>37620</t>
  </si>
  <si>
    <t>33228</t>
  </si>
  <si>
    <t>08/04/2026 05:19:22 PM</t>
  </si>
  <si>
    <t>08/04/2026 05:25:00 PM</t>
  </si>
  <si>
    <t>17260</t>
  </si>
  <si>
    <t>19980</t>
  </si>
  <si>
    <t>33229</t>
  </si>
  <si>
    <t>08/04/2026 05:22:46 PM</t>
  </si>
  <si>
    <t>08/04/2026 05:29:33 PM</t>
  </si>
  <si>
    <t>33230</t>
  </si>
  <si>
    <t>08/04/2026 05:31:48 PM</t>
  </si>
  <si>
    <t>08/04/2026 05:40:10 PM</t>
  </si>
  <si>
    <t>18940</t>
  </si>
  <si>
    <t>33231</t>
  </si>
  <si>
    <t>08/04/2026 05:35:33 PM</t>
  </si>
  <si>
    <t>08/04/2026 05:41:40 PM</t>
  </si>
  <si>
    <t>33232</t>
  </si>
  <si>
    <t>08/04/2026 05:39:10 PM</t>
  </si>
  <si>
    <t>08/04/2026 05:45:47 PM</t>
  </si>
  <si>
    <t>33233</t>
  </si>
  <si>
    <t>08/04/2026 05:44:52 PM</t>
  </si>
  <si>
    <t>08/04/2026 05:51:51 PM</t>
  </si>
  <si>
    <t>17100</t>
  </si>
  <si>
    <t>33234</t>
  </si>
  <si>
    <t>08/04/2026 05:48:12 PM</t>
  </si>
  <si>
    <t>08/04/2026 05:53:54 PM</t>
  </si>
  <si>
    <t>33235</t>
  </si>
  <si>
    <t>08/04/2026 05:52:49 PM</t>
  </si>
  <si>
    <t>08/04/2026 05:59:42 PM</t>
  </si>
  <si>
    <t>33236</t>
  </si>
  <si>
    <t>08/04/2026 05:57:00 PM</t>
  </si>
  <si>
    <t>08/04/2026 06:04:21 PM</t>
  </si>
  <si>
    <t>33237</t>
  </si>
  <si>
    <t>08/04/2026 06:00:42 PM</t>
  </si>
  <si>
    <t>08/04/2026 06:07:22 PM</t>
  </si>
  <si>
    <t>33238</t>
  </si>
  <si>
    <t>08/04/2026 06:05:21 PM</t>
  </si>
  <si>
    <t>08/04/2026 06:12:32 PM</t>
  </si>
  <si>
    <t>17060</t>
  </si>
  <si>
    <t>33239</t>
  </si>
  <si>
    <t>08/04/2026 06:09:10 PM</t>
  </si>
  <si>
    <t>08/04/2026 06:15:41 PM</t>
  </si>
  <si>
    <t>33240</t>
  </si>
  <si>
    <t>08/04/2026 06:13:35 PM</t>
  </si>
  <si>
    <t>08/04/2026 06:19:14 PM</t>
  </si>
  <si>
    <t>37300</t>
  </si>
  <si>
    <t>33241</t>
  </si>
  <si>
    <t>08/04/2026 06:22:06 PM</t>
  </si>
  <si>
    <t>08/04/2026 06:27:26 PM</t>
  </si>
  <si>
    <t>33242</t>
  </si>
  <si>
    <t>08/04/2026 06:25:30 PM</t>
  </si>
  <si>
    <t>08/04/2026 06:31:51 PM</t>
  </si>
  <si>
    <t>33243</t>
  </si>
  <si>
    <t>08/04/2026 06:28:30 PM</t>
  </si>
  <si>
    <t>08/04/2026 06:36:10 PM</t>
  </si>
  <si>
    <t>18740</t>
  </si>
  <si>
    <t>33244</t>
  </si>
  <si>
    <t>08/04/2026 06:33:50 PM</t>
  </si>
  <si>
    <t>08/04/2026 06:40:42 PM</t>
  </si>
  <si>
    <t>34600</t>
  </si>
  <si>
    <t>33245</t>
  </si>
  <si>
    <t>08/04/2026 06:37:53 PM</t>
  </si>
  <si>
    <t>08/04/2026 06:44:51 PM</t>
  </si>
  <si>
    <t>18060</t>
  </si>
  <si>
    <t>33246</t>
  </si>
  <si>
    <t>08/04/2026 06:46:16 PM</t>
  </si>
  <si>
    <t>08/04/2026 06:51:27 PM</t>
  </si>
  <si>
    <t>34580</t>
  </si>
  <si>
    <t>33247</t>
  </si>
  <si>
    <t>08/04/2026 06:50:15 PM</t>
  </si>
  <si>
    <t>08/04/2026 06:56:09 PM</t>
  </si>
  <si>
    <t>33248</t>
  </si>
  <si>
    <t>08/04/2026 06:54:33 PM</t>
  </si>
  <si>
    <t>08/04/2026 07:00:33 PM</t>
  </si>
  <si>
    <t>37080</t>
  </si>
  <si>
    <t>33249</t>
  </si>
  <si>
    <t>08/04/2026 06:58:12 PM</t>
  </si>
  <si>
    <t>08/04/2026 07:04:11 PM</t>
  </si>
  <si>
    <t>33250</t>
  </si>
  <si>
    <t>08/04/2026 07:05:54 PM</t>
  </si>
  <si>
    <t>08/04/2026 07:11:54 PM</t>
  </si>
  <si>
    <t>33251</t>
  </si>
  <si>
    <t>08/04/2026 07:10:04 PM</t>
  </si>
  <si>
    <t>08/04/2026 07:17:18 PM</t>
  </si>
  <si>
    <t>33252</t>
  </si>
  <si>
    <t>08/04/2026 07:14:37 PM</t>
  </si>
  <si>
    <t>08/04/2026 07:21:00 PM</t>
  </si>
  <si>
    <t>33253</t>
  </si>
  <si>
    <t>08/04/2026 07:19:35 PM</t>
  </si>
  <si>
    <t>08/04/2026 07:26:59 PM</t>
  </si>
  <si>
    <t>33254</t>
  </si>
  <si>
    <t>08/04/2026 07:22:25 PM</t>
  </si>
  <si>
    <t>08/04/2026 07:29:53 PM</t>
  </si>
  <si>
    <t>33255</t>
  </si>
  <si>
    <t>08/04/2026 07:26:11 PM</t>
  </si>
  <si>
    <t>08/04/2026 07:32:26 PM</t>
  </si>
  <si>
    <t>16260</t>
  </si>
  <si>
    <t>33256</t>
  </si>
  <si>
    <t>08/04/2026 07:33:36 PM</t>
  </si>
  <si>
    <t>08/04/2026 07:39:14 PM</t>
  </si>
  <si>
    <t>33257</t>
  </si>
  <si>
    <t>08/04/2026 07:35:37 PM</t>
  </si>
  <si>
    <t>08/04/2026 07:42:32 PM</t>
  </si>
  <si>
    <t>19720</t>
  </si>
  <si>
    <t>33258</t>
  </si>
  <si>
    <t>08/04/2026 08:24:23 PM</t>
  </si>
  <si>
    <t>08/04/2026 08:32:37 PM</t>
  </si>
  <si>
    <t>33259</t>
  </si>
  <si>
    <t>08/04/2026 08:26:18 PM</t>
  </si>
  <si>
    <t>08/04/2026 08:35:19 PM</t>
  </si>
  <si>
    <t>41560</t>
  </si>
  <si>
    <t>08/04/2026 08:31:28 PM</t>
  </si>
  <si>
    <t>08/04/2026 08:55:58 PM</t>
  </si>
  <si>
    <t>38740</t>
  </si>
  <si>
    <t>33261</t>
  </si>
  <si>
    <t>08/04/2026 08:34:23 PM</t>
  </si>
  <si>
    <t>08/04/2026 08:58:16 PM</t>
  </si>
  <si>
    <t>41060</t>
  </si>
  <si>
    <t>33262</t>
  </si>
  <si>
    <t>08/04/2026 08:40:56 PM</t>
  </si>
  <si>
    <t>08/04/2026 09:00:41 PM</t>
  </si>
  <si>
    <t>33263</t>
  </si>
  <si>
    <t>08/04/2026 09:03:18 PM</t>
  </si>
  <si>
    <t>08/04/2026 09:09:00 PM</t>
  </si>
  <si>
    <t>41800</t>
  </si>
  <si>
    <t>33264</t>
  </si>
  <si>
    <t>08/04/2026 09:07:53 PM</t>
  </si>
  <si>
    <t>08/04/2026 09:15:30 PM</t>
  </si>
  <si>
    <t>40960</t>
  </si>
  <si>
    <t>33265</t>
  </si>
  <si>
    <t>08/04/2026 09:14:32 PM</t>
  </si>
  <si>
    <t>08/04/2026 09:21:03 PM</t>
  </si>
  <si>
    <t>33266</t>
  </si>
  <si>
    <t>08/04/2026 09:17:45 PM</t>
  </si>
  <si>
    <t>08/04/2026 09:24:33 PM</t>
  </si>
  <si>
    <t>41620</t>
  </si>
  <si>
    <t>33267</t>
  </si>
  <si>
    <t>08/04/2026 09:23:10 PM</t>
  </si>
  <si>
    <t>08/04/2026 09:28:16 PM</t>
  </si>
  <si>
    <t>40280</t>
  </si>
  <si>
    <t>33268</t>
  </si>
  <si>
    <t>08/04/2026 09:27:21 PM</t>
  </si>
  <si>
    <t>08/04/2026 09:34:04 PM</t>
  </si>
  <si>
    <t>40580</t>
  </si>
  <si>
    <t>23300</t>
  </si>
  <si>
    <t>33269</t>
  </si>
  <si>
    <t>08/04/2026 09:30:26 PM</t>
  </si>
  <si>
    <t>08/04/2026 09:35:44 PM</t>
  </si>
  <si>
    <t>40320</t>
  </si>
  <si>
    <t>33270</t>
  </si>
  <si>
    <t>08/04/2026 09:34:57 PM</t>
  </si>
  <si>
    <t>08/04/2026 09:39:56 PM</t>
  </si>
  <si>
    <t>22520</t>
  </si>
  <si>
    <t>33271</t>
  </si>
  <si>
    <t>08/04/2026 09:40:48 PM</t>
  </si>
  <si>
    <t>08/04/2026 09:47:55 PM</t>
  </si>
  <si>
    <t>17340</t>
  </si>
  <si>
    <t>33272</t>
  </si>
  <si>
    <t>08/04/2026 09:44:16 PM</t>
  </si>
  <si>
    <t>08/04/2026 09:50:33 PM</t>
  </si>
  <si>
    <t>33273</t>
  </si>
  <si>
    <t>08/04/2026 09:47:00 PM</t>
  </si>
  <si>
    <t>08/04/2026 09:51:45 PM</t>
  </si>
  <si>
    <t>18080</t>
  </si>
  <si>
    <t>33274</t>
  </si>
  <si>
    <t>08/04/2026 09:53:22 PM</t>
  </si>
  <si>
    <t>08/04/2026 09:59:56 PM</t>
  </si>
  <si>
    <t>20000</t>
  </si>
  <si>
    <t>33275</t>
  </si>
  <si>
    <t>08/04/2026 09:57:18 PM</t>
  </si>
  <si>
    <t>08/04/2026 10:29:54 PM</t>
  </si>
  <si>
    <t>33276</t>
  </si>
  <si>
    <t>08/04/2026 10:00:43 PM</t>
  </si>
  <si>
    <t>08/04/2026 10:28:08 PM</t>
  </si>
  <si>
    <t>18440</t>
  </si>
  <si>
    <t>33277</t>
  </si>
  <si>
    <t>08/04/2026 10:26:15 PM</t>
  </si>
  <si>
    <t>08/04/2026 10:34:00 PM</t>
  </si>
  <si>
    <t>33278</t>
  </si>
  <si>
    <t>08/04/2026 10:33:02 PM</t>
  </si>
  <si>
    <t>08/04/2026 10:38:30 PM</t>
  </si>
  <si>
    <t>33279</t>
  </si>
  <si>
    <t>08/04/2026 10:37:31 PM</t>
  </si>
  <si>
    <t>08/04/2026 10:43:00 PM</t>
  </si>
  <si>
    <t>24620</t>
  </si>
  <si>
    <t>08/04/2026 10:42:03 PM</t>
  </si>
  <si>
    <t>08/04/2026 10:48:24 PM</t>
  </si>
  <si>
    <t>24120</t>
  </si>
  <si>
    <t>33281</t>
  </si>
  <si>
    <t>08/04/2026 10:47:22 PM</t>
  </si>
  <si>
    <t>08/04/2026 10:52:26 PM</t>
  </si>
  <si>
    <t>40080</t>
  </si>
  <si>
    <t>33282</t>
  </si>
  <si>
    <t>08/04/2026 10:51:30 PM</t>
  </si>
  <si>
    <t>08/04/2026 10:56:44 PM</t>
  </si>
  <si>
    <t>33283</t>
  </si>
  <si>
    <t>08/04/2026 10:55:26 PM</t>
  </si>
  <si>
    <t>08/04/2026 11:01:47 PM</t>
  </si>
  <si>
    <t>33284</t>
  </si>
  <si>
    <t>08/04/2026 10:58:14 PM</t>
  </si>
  <si>
    <t>08/04/2026 11:02:37 PM</t>
  </si>
  <si>
    <t>33285</t>
  </si>
  <si>
    <t>08/04/2026 11:03:37 PM</t>
  </si>
  <si>
    <t>08/04/2026 11:09:30 PM</t>
  </si>
  <si>
    <t>33286</t>
  </si>
  <si>
    <t>08/04/2026 11:08:16 PM</t>
  </si>
  <si>
    <t>08/04/2026 11:13:31 PM</t>
  </si>
  <si>
    <t>33287</t>
  </si>
  <si>
    <t>08/04/2026 11:11:19 PM</t>
  </si>
  <si>
    <t>08/04/2026 11:16:12 PM</t>
  </si>
  <si>
    <t>25440</t>
  </si>
  <si>
    <t>33288</t>
  </si>
  <si>
    <t>08/04/2026 11:19:30 PM</t>
  </si>
  <si>
    <t>08/04/2026 11:28:20 PM</t>
  </si>
  <si>
    <t>38720</t>
  </si>
  <si>
    <t>33289</t>
  </si>
  <si>
    <t>08/04/2026 11:22:13 PM</t>
  </si>
  <si>
    <t>08/04/2026 11:50:21 PM</t>
  </si>
  <si>
    <t>33290</t>
  </si>
  <si>
    <t>08/04/2026 11:25:07 PM</t>
  </si>
  <si>
    <t>09/04/2026 12:43:50 AM</t>
  </si>
  <si>
    <t>40860</t>
  </si>
  <si>
    <t>33291</t>
  </si>
  <si>
    <t>08/04/2026 11:34:01 PM</t>
  </si>
  <si>
    <t>09/04/2026 12:45:58 AM</t>
  </si>
  <si>
    <t>24680</t>
  </si>
  <si>
    <t>MNWS040426</t>
  </si>
  <si>
    <t>4/4/2026 6:00</t>
  </si>
  <si>
    <t>4/4/2026 18:00</t>
  </si>
  <si>
    <t>1140000</t>
  </si>
  <si>
    <t>MNWS060426</t>
  </si>
  <si>
    <t>6/4/2026 6:00</t>
  </si>
  <si>
    <t>6/4/2026 18:00</t>
  </si>
  <si>
    <t>3220000</t>
  </si>
  <si>
    <t>2220000</t>
  </si>
  <si>
    <t>MNWS070426</t>
  </si>
  <si>
    <t>7/4/2026 18:00</t>
  </si>
  <si>
    <t>2420000</t>
  </si>
  <si>
    <t>1420000</t>
  </si>
  <si>
    <t>33292</t>
  </si>
  <si>
    <t>09/04/2026 12:00:44 AM</t>
  </si>
  <si>
    <t>09/04/2026 12:49:06 AM</t>
  </si>
  <si>
    <t>42260</t>
  </si>
  <si>
    <t>18100</t>
  </si>
  <si>
    <t>24160</t>
  </si>
  <si>
    <t>33293</t>
  </si>
  <si>
    <t>09/04/2026 12:53:48 AM</t>
  </si>
  <si>
    <t>09/04/2026 01:01:13 AM</t>
  </si>
  <si>
    <t>33294</t>
  </si>
  <si>
    <t>09/04/2026 12:58:42 AM</t>
  </si>
  <si>
    <t>09/04/2026 01:05:38 AM</t>
  </si>
  <si>
    <t>41700</t>
  </si>
  <si>
    <t>33295</t>
  </si>
  <si>
    <t>09/04/2026 01:04:41 AM</t>
  </si>
  <si>
    <t>09/04/2026 01:17:02 AM</t>
  </si>
  <si>
    <t>22020</t>
  </si>
  <si>
    <t>33296</t>
  </si>
  <si>
    <t>09/04/2026 01:15:30 AM</t>
  </si>
  <si>
    <t>09/04/2026 01:23:21 AM</t>
  </si>
  <si>
    <t>33297</t>
  </si>
  <si>
    <t>09/04/2026 01:18:17 AM</t>
  </si>
  <si>
    <t>09/04/2026 01:24:24 AM</t>
  </si>
  <si>
    <t>33298</t>
  </si>
  <si>
    <t>09/04/2026 01:22:28 AM</t>
  </si>
  <si>
    <t>09/04/2026 01:28:55 AM</t>
  </si>
  <si>
    <t>40060</t>
  </si>
  <si>
    <t>33299</t>
  </si>
  <si>
    <t>09/04/2026 01:33:13 AM</t>
  </si>
  <si>
    <t>09/04/2026 01:39:43 AM</t>
  </si>
  <si>
    <t>23760</t>
  </si>
  <si>
    <t>09/04/2026 01:40:41 AM</t>
  </si>
  <si>
    <t>09/04/2026 01:47:06 AM</t>
  </si>
  <si>
    <t>17300</t>
  </si>
  <si>
    <t>33301</t>
  </si>
  <si>
    <t>09/04/2026 01:45:57 AM</t>
  </si>
  <si>
    <t>09/04/2026 01:53:00 AM</t>
  </si>
  <si>
    <t>33302</t>
  </si>
  <si>
    <t>09/04/2026 01:50:07 AM</t>
  </si>
  <si>
    <t>09/04/2026 02:05:12 AM</t>
  </si>
  <si>
    <t>33303</t>
  </si>
  <si>
    <t>09/04/2026 02:04:17 AM</t>
  </si>
  <si>
    <t>09/04/2026 02:15:04 AM</t>
  </si>
  <si>
    <t>33304</t>
  </si>
  <si>
    <t>09/04/2026 02:06:54 AM</t>
  </si>
  <si>
    <t>09/04/2026 02:52:40 AM</t>
  </si>
  <si>
    <t>40660</t>
  </si>
  <si>
    <t>22700</t>
  </si>
  <si>
    <t>33305</t>
  </si>
  <si>
    <t>09/04/2026 02:15:54 AM</t>
  </si>
  <si>
    <t>09/04/2026 02:56:33 AM</t>
  </si>
  <si>
    <t>33306</t>
  </si>
  <si>
    <t>09/04/2026 03:11:42 AM</t>
  </si>
  <si>
    <t>09/04/2026 03:17:31 AM</t>
  </si>
  <si>
    <t>33307</t>
  </si>
  <si>
    <t>09/04/2026 03:15:32 AM</t>
  </si>
  <si>
    <t>09/04/2026 03:21:36 AM</t>
  </si>
  <si>
    <t>18260</t>
  </si>
  <si>
    <t>33308</t>
  </si>
  <si>
    <t>09/04/2026 03:18:48 AM</t>
  </si>
  <si>
    <t>09/04/2026 03:25:32 AM</t>
  </si>
  <si>
    <t>33309</t>
  </si>
  <si>
    <t>09/04/2026 03:23:49 AM</t>
  </si>
  <si>
    <t>09/04/2026 03:30:48 AM</t>
  </si>
  <si>
    <t>24040</t>
  </si>
  <si>
    <t>33310</t>
  </si>
  <si>
    <t>09/04/2026 03:28:40 AM</t>
  </si>
  <si>
    <t>09/04/2026 03:34:01 AM</t>
  </si>
  <si>
    <t>33311</t>
  </si>
  <si>
    <t>09/04/2026 03:34:51 AM</t>
  </si>
  <si>
    <t>09/04/2026 03:40:37 AM</t>
  </si>
  <si>
    <t>33312</t>
  </si>
  <si>
    <t>09/04/2026 03:38:02 AM</t>
  </si>
  <si>
    <t>09/04/2026 03:47:51 AM</t>
  </si>
  <si>
    <t>33313</t>
  </si>
  <si>
    <t>09/04/2026 03:41:30 AM</t>
  </si>
  <si>
    <t>09/04/2026 03:49:46 AM</t>
  </si>
  <si>
    <t>42600</t>
  </si>
  <si>
    <t>33314</t>
  </si>
  <si>
    <t>09/04/2026 03:48:51 AM</t>
  </si>
  <si>
    <t>09/04/2026 03:55:23 AM</t>
  </si>
  <si>
    <t>24240</t>
  </si>
  <si>
    <t>33315</t>
  </si>
  <si>
    <t>09/04/2026 03:53:48 AM</t>
  </si>
  <si>
    <t>09/04/2026 04:01:07 AM</t>
  </si>
  <si>
    <t>33316</t>
  </si>
  <si>
    <t>09/04/2026 03:57:18 AM</t>
  </si>
  <si>
    <t>09/04/2026 04:03:25 AM</t>
  </si>
  <si>
    <t>33317</t>
  </si>
  <si>
    <t>09/04/2026 04:02:06 AM</t>
  </si>
  <si>
    <t>09/04/2026 04:09:00 AM</t>
  </si>
  <si>
    <t>40480</t>
  </si>
  <si>
    <t>33318</t>
  </si>
  <si>
    <t>09/04/2026 04:07:35 AM</t>
  </si>
  <si>
    <t>09/04/2026 04:14:51 AM</t>
  </si>
  <si>
    <t>16460</t>
  </si>
  <si>
    <t>22080</t>
  </si>
  <si>
    <t>33319</t>
  </si>
  <si>
    <t>09/04/2026 04:11:55 AM</t>
  </si>
  <si>
    <t>09/04/2026 04:18:41 AM</t>
  </si>
  <si>
    <t>33320</t>
  </si>
  <si>
    <t>09/04/2026 04:17:16 AM</t>
  </si>
  <si>
    <t>09/04/2026 06:08:17 AM</t>
  </si>
  <si>
    <t>33321</t>
  </si>
  <si>
    <t>09/04/2026 06:21:38 AM</t>
  </si>
  <si>
    <t>09/04/2026 06:27:36 AM</t>
  </si>
  <si>
    <t>33322</t>
  </si>
  <si>
    <t>09/04/2026 06:30:33 AM</t>
  </si>
  <si>
    <t>09/04/2026 06:35:02 AM</t>
  </si>
  <si>
    <t>33323</t>
  </si>
  <si>
    <t>09/04/2026 06:32:54 AM</t>
  </si>
  <si>
    <t>09/04/2026 06:38:07 AM</t>
  </si>
  <si>
    <t>33324</t>
  </si>
  <si>
    <t>09/04/2026 06:36:52 AM</t>
  </si>
  <si>
    <t>09/04/2026 06:42:35 AM</t>
  </si>
  <si>
    <t>40540</t>
  </si>
  <si>
    <t>33325</t>
  </si>
  <si>
    <t>09/04/2026 06:40:55 AM</t>
  </si>
  <si>
    <t>09/04/2026 06:45:28 AM</t>
  </si>
  <si>
    <t>33326</t>
  </si>
  <si>
    <t>09/04/2026 06:44:41 AM</t>
  </si>
  <si>
    <t>09/04/2026 06:49:54 AM</t>
  </si>
  <si>
    <t>33327</t>
  </si>
  <si>
    <t>09/04/2026 06:48:36 AM</t>
  </si>
  <si>
    <t>09/04/2026 06:54:42 AM</t>
  </si>
  <si>
    <t>20800</t>
  </si>
  <si>
    <t>33328</t>
  </si>
  <si>
    <t>09/04/2026 06:51:47 AM</t>
  </si>
  <si>
    <t>09/04/2026 06:57:00 AM</t>
  </si>
  <si>
    <t>33329</t>
  </si>
  <si>
    <t>09/04/2026 06:56:00 AM</t>
  </si>
  <si>
    <t>09/04/2026 07:02:01 AM</t>
  </si>
  <si>
    <t>33330</t>
  </si>
  <si>
    <t>09/04/2026 07:01:04 AM</t>
  </si>
  <si>
    <t>09/04/2026 07:06:40 AM</t>
  </si>
  <si>
    <t>39860</t>
  </si>
  <si>
    <t>33331</t>
  </si>
  <si>
    <t>09/04/2026 07:04:53 AM</t>
  </si>
  <si>
    <t>09/04/2026 07:09:11 AM</t>
  </si>
  <si>
    <t>17840</t>
  </si>
  <si>
    <t>33332</t>
  </si>
  <si>
    <t>09/04/2026 07:07:45 AM</t>
  </si>
  <si>
    <t>09/04/2026 07:12:56 AM</t>
  </si>
  <si>
    <t>33333</t>
  </si>
  <si>
    <t>09/04/2026 07:14:04 AM</t>
  </si>
  <si>
    <t>09/04/2026 07:24:19 AM</t>
  </si>
  <si>
    <t>20160</t>
  </si>
  <si>
    <t>33334</t>
  </si>
  <si>
    <t>09/04/2026 07:16:43 AM</t>
  </si>
  <si>
    <t>09/04/2026 07:27:53 AM</t>
  </si>
  <si>
    <t>33335</t>
  </si>
  <si>
    <t>09/04/2026 07:20:56 AM</t>
  </si>
  <si>
    <t>09/04/2026 07:27:00 AM</t>
  </si>
  <si>
    <t>39200</t>
  </si>
  <si>
    <t>33336</t>
  </si>
  <si>
    <t>09/04/2026 08:38:44 AM</t>
  </si>
  <si>
    <t>09/04/2026 08:47:08 AM</t>
  </si>
  <si>
    <t>33337</t>
  </si>
  <si>
    <t>09/04/2026 08:42:25 AM</t>
  </si>
  <si>
    <t>09/04/2026 08:50:24 AM</t>
  </si>
  <si>
    <t>33338</t>
  </si>
  <si>
    <t>09/04/2026 08:46:09 AM</t>
  </si>
  <si>
    <t>09/04/2026 08:53:15 AM</t>
  </si>
  <si>
    <t>33339</t>
  </si>
  <si>
    <t>09/04/2026 08:54:07 AM</t>
  </si>
  <si>
    <t>09/04/2026 08:59:45 AM</t>
  </si>
  <si>
    <t>09/04/2026 08:57:27 AM</t>
  </si>
  <si>
    <t>09/04/2026 09:14:37 AM</t>
  </si>
  <si>
    <t>33341</t>
  </si>
  <si>
    <t>09/04/2026 09:05:14 AM</t>
  </si>
  <si>
    <t>09/04/2026 09:15:52 AM</t>
  </si>
  <si>
    <t>33342</t>
  </si>
  <si>
    <t>09/04/2026 09:19:04 AM</t>
  </si>
  <si>
    <t>09/04/2026 09:24:32 AM</t>
  </si>
  <si>
    <t>33343</t>
  </si>
  <si>
    <t>09/04/2026 09:23:07 AM</t>
  </si>
  <si>
    <t>09/04/2026 09:29:22 AM</t>
  </si>
  <si>
    <t>33344</t>
  </si>
  <si>
    <t>09/04/2026 09:27:22 AM</t>
  </si>
  <si>
    <t>09/04/2026 09:32:31 AM</t>
  </si>
  <si>
    <t>19060</t>
  </si>
  <si>
    <t>33345</t>
  </si>
  <si>
    <t>09/04/2026 09:31:35 AM</t>
  </si>
  <si>
    <t>09/04/2026 09:38:14 AM</t>
  </si>
  <si>
    <t>33346</t>
  </si>
  <si>
    <t>09/04/2026 09:35:24 AM</t>
  </si>
  <si>
    <t>09/04/2026 09:41:33 AM</t>
  </si>
  <si>
    <t>33600</t>
  </si>
  <si>
    <t>17700</t>
  </si>
  <si>
    <t>33347</t>
  </si>
  <si>
    <t>09/04/2026 09:39:11 AM</t>
  </si>
  <si>
    <t>09/04/2026 09:43:59 AM</t>
  </si>
  <si>
    <t>33348</t>
  </si>
  <si>
    <t>09/04/2026 09:44:49 AM</t>
  </si>
  <si>
    <t>09/04/2026 09:49:50 AM</t>
  </si>
  <si>
    <t>33349</t>
  </si>
  <si>
    <t>09/04/2026 09:48:43 AM</t>
  </si>
  <si>
    <t>09/04/2026 09:54:56 AM</t>
  </si>
  <si>
    <t>33350</t>
  </si>
  <si>
    <t>09/04/2026 09:52:31 AM</t>
  </si>
  <si>
    <t>09/04/2026 09:58:19 AM</t>
  </si>
  <si>
    <t>33351</t>
  </si>
  <si>
    <t>09/04/2026 09:55:56 AM</t>
  </si>
  <si>
    <t>09/04/2026 10:41:25 AM</t>
  </si>
  <si>
    <t>32020</t>
  </si>
  <si>
    <t>33352</t>
  </si>
  <si>
    <t>09/04/2026 10:01:40 AM</t>
  </si>
  <si>
    <t>09/04/2026 10:44:23 AM</t>
  </si>
  <si>
    <t>37520</t>
  </si>
  <si>
    <t>33353</t>
  </si>
  <si>
    <t>09/04/2026 10:48:12 AM</t>
  </si>
  <si>
    <t>09/04/2026 10:53:48 AM</t>
  </si>
  <si>
    <t>33354</t>
  </si>
  <si>
    <t>09/04/2026 10:52:43 AM</t>
  </si>
  <si>
    <t>09/04/2026 10:59:15 AM</t>
  </si>
  <si>
    <t>33355</t>
  </si>
  <si>
    <t>09/04/2026 10:57:01 AM</t>
  </si>
  <si>
    <t>09/04/2026 11:03:00 AM</t>
  </si>
  <si>
    <t>33356</t>
  </si>
  <si>
    <t>09/04/2026 11:05:08 AM</t>
  </si>
  <si>
    <t>09/04/2026 11:10:24 AM</t>
  </si>
  <si>
    <t>33357</t>
  </si>
  <si>
    <t>09/04/2026 11:09:34 AM</t>
  </si>
  <si>
    <t>09/04/2026 11:30:43 AM</t>
  </si>
  <si>
    <t>37020</t>
  </si>
  <si>
    <t>33358</t>
  </si>
  <si>
    <t>09/04/2026 11:16:43 AM</t>
  </si>
  <si>
    <t>09/04/2026 11:31:37 AM</t>
  </si>
  <si>
    <t>33359</t>
  </si>
  <si>
    <t>09/04/2026 11:20:58 AM</t>
  </si>
  <si>
    <t>09/04/2026 11:34:24 AM</t>
  </si>
  <si>
    <t>09/04/2026 11:37:20 AM</t>
  </si>
  <si>
    <t>09/04/2026 11:43:30 AM</t>
  </si>
  <si>
    <t>33361</t>
  </si>
  <si>
    <t>09/04/2026 11:41:20 AM</t>
  </si>
  <si>
    <t>09/04/2026 11:46:42 AM</t>
  </si>
  <si>
    <t>33362</t>
  </si>
  <si>
    <t>09/04/2026 11:44:46 AM</t>
  </si>
  <si>
    <t>09/04/2026 11:49:33 AM</t>
  </si>
  <si>
    <t>33363</t>
  </si>
  <si>
    <t>09/04/2026 11:50:38 AM</t>
  </si>
  <si>
    <t>09/04/2026 12:10:11 PM</t>
  </si>
  <si>
    <t>33820</t>
  </si>
  <si>
    <t>33364</t>
  </si>
  <si>
    <t>09/04/2026 11:53:46 AM</t>
  </si>
  <si>
    <t>09/04/2026 12:11:36 PM</t>
  </si>
  <si>
    <t>33365</t>
  </si>
  <si>
    <t>09/04/2026 12:04:00 PM</t>
  </si>
  <si>
    <t>09/04/2026 12:12:27 PM</t>
  </si>
  <si>
    <t>17880</t>
  </si>
  <si>
    <t>33366</t>
  </si>
  <si>
    <t>09/04/2026 06:10:28 PM</t>
  </si>
  <si>
    <t>09/04/2026 06:15:48 PM</t>
  </si>
  <si>
    <t>33367</t>
  </si>
  <si>
    <t>09/04/2026 06:13:44 PM</t>
  </si>
  <si>
    <t>09/04/2026 06:18:09 PM</t>
  </si>
  <si>
    <t>33368</t>
  </si>
  <si>
    <t>09/04/2026 06:21:48 PM</t>
  </si>
  <si>
    <t>09/04/2026 06:27:46 PM</t>
  </si>
  <si>
    <t>33369</t>
  </si>
  <si>
    <t>09/04/2026 06:26:50 PM</t>
  </si>
  <si>
    <t>09/04/2026 06:32:10 PM</t>
  </si>
  <si>
    <t>33370</t>
  </si>
  <si>
    <t>09/04/2026 06:33:35 PM</t>
  </si>
  <si>
    <t>09/04/2026 06:40:10 PM</t>
  </si>
  <si>
    <t>33371</t>
  </si>
  <si>
    <t>09/04/2026 06:38:57 PM</t>
  </si>
  <si>
    <t>09/04/2026 06:48:23 PM</t>
  </si>
  <si>
    <t>33372</t>
  </si>
  <si>
    <t>09/04/2026 06:45:49 PM</t>
  </si>
  <si>
    <t>09/04/2026 06:51:34 PM</t>
  </si>
  <si>
    <t>33373</t>
  </si>
  <si>
    <t>09/04/2026 06:55:00 PM</t>
  </si>
  <si>
    <t>09/04/2026 06:59:46 PM</t>
  </si>
  <si>
    <t>33780</t>
  </si>
  <si>
    <t>18240</t>
  </si>
  <si>
    <t>33374</t>
  </si>
  <si>
    <t>09/04/2026 06:58:43 PM</t>
  </si>
  <si>
    <t>09/04/2026 07:04:16 PM</t>
  </si>
  <si>
    <t>33375</t>
  </si>
  <si>
    <t>09/04/2026 07:05:57 PM</t>
  </si>
  <si>
    <t>09/04/2026 07:12:12 PM</t>
  </si>
  <si>
    <t>33376</t>
  </si>
  <si>
    <t>09/04/2026 07:14:43 PM</t>
  </si>
  <si>
    <t>09/04/2026 07:21:12 PM</t>
  </si>
  <si>
    <t>33377</t>
  </si>
  <si>
    <t>09/04/2026 09:51:29 PM</t>
  </si>
  <si>
    <t>09/04/2026 10:28:21 PM</t>
  </si>
  <si>
    <t>33378</t>
  </si>
  <si>
    <t>09/04/2026 09:56:12 PM</t>
  </si>
  <si>
    <t>09/04/2026 10:30:32 PM</t>
  </si>
  <si>
    <t>33379</t>
  </si>
  <si>
    <t>09/04/2026 10:01:17 PM</t>
  </si>
  <si>
    <t>09/04/2026 10:34:50 PM</t>
  </si>
  <si>
    <t>38560</t>
  </si>
  <si>
    <t>09/04/2026 10:39:13 PM</t>
  </si>
  <si>
    <t>09/04/2026 10:45:47 PM</t>
  </si>
  <si>
    <t>33381</t>
  </si>
  <si>
    <t>09/04/2026 10:44:29 PM</t>
  </si>
  <si>
    <t>09/04/2026 10:51:24 PM</t>
  </si>
  <si>
    <t>33382</t>
  </si>
  <si>
    <t>09/04/2026 10:50:10 PM</t>
  </si>
  <si>
    <t>09/04/2026 10:55:39 PM</t>
  </si>
  <si>
    <t>33383</t>
  </si>
  <si>
    <t>09/04/2026 10:56:45 PM</t>
  </si>
  <si>
    <t>10/04/2026 12:11:00 AM</t>
  </si>
  <si>
    <t>33384</t>
  </si>
  <si>
    <t>09/04/2026 11:01:37 PM</t>
  </si>
  <si>
    <t>10/04/2026 12:15:36 AM</t>
  </si>
  <si>
    <t>33385</t>
  </si>
  <si>
    <t>09/04/2026 11:07:39 PM</t>
  </si>
  <si>
    <t>10/04/2026 12:17:52 AM</t>
  </si>
  <si>
    <t>MN09042601</t>
  </si>
  <si>
    <t>MN09042602</t>
  </si>
  <si>
    <t>MN09042603</t>
  </si>
  <si>
    <t>MN09042604</t>
  </si>
  <si>
    <t>MN09042605</t>
  </si>
  <si>
    <t>MN09042606</t>
  </si>
  <si>
    <t>MN09042607</t>
  </si>
  <si>
    <t>MN09042608</t>
  </si>
  <si>
    <t>MN09042609</t>
  </si>
  <si>
    <t>MN09042610</t>
  </si>
  <si>
    <t>MN09042611</t>
  </si>
  <si>
    <t>MN09042612</t>
  </si>
  <si>
    <t>MN09042613</t>
  </si>
  <si>
    <t>MN09042614</t>
  </si>
  <si>
    <t>MN09042615</t>
  </si>
  <si>
    <t>MN09042616</t>
  </si>
  <si>
    <t>MN09042617</t>
  </si>
  <si>
    <t>MN09042618</t>
  </si>
  <si>
    <t>MN09042619</t>
  </si>
  <si>
    <t>MN09042620</t>
  </si>
  <si>
    <t>MN09042621</t>
  </si>
  <si>
    <t>MN09042622</t>
  </si>
  <si>
    <t>MN09042623</t>
  </si>
  <si>
    <t>MN09042624</t>
  </si>
  <si>
    <t>MN09042625</t>
  </si>
  <si>
    <t>MN09042626</t>
  </si>
  <si>
    <t>MN09042627</t>
  </si>
  <si>
    <t>MN09042628</t>
  </si>
  <si>
    <t>MN09042629</t>
  </si>
  <si>
    <t>MN09042630</t>
  </si>
  <si>
    <t>MN09042631</t>
  </si>
  <si>
    <t>MN09042632</t>
  </si>
  <si>
    <t>MN09042633</t>
  </si>
  <si>
    <t>MN09042634</t>
  </si>
  <si>
    <t>MN09042635</t>
  </si>
  <si>
    <t>MN09042636</t>
  </si>
  <si>
    <t>MN09042637</t>
  </si>
  <si>
    <t>MN09042638</t>
  </si>
  <si>
    <t>MN09042639</t>
  </si>
  <si>
    <t>MN09042640</t>
  </si>
  <si>
    <t>MN09042641</t>
  </si>
  <si>
    <t>MN09042642</t>
  </si>
  <si>
    <t>MN09042643</t>
  </si>
  <si>
    <t>MN09042644</t>
  </si>
  <si>
    <t>MN09042645</t>
  </si>
  <si>
    <t>MN09042646</t>
  </si>
  <si>
    <t>MN09042647</t>
  </si>
  <si>
    <t>MN09042648</t>
  </si>
  <si>
    <t>MN09042649</t>
  </si>
  <si>
    <t>MN09042650</t>
  </si>
  <si>
    <t>MN09042651</t>
  </si>
  <si>
    <t>MN09042652</t>
  </si>
  <si>
    <t>MN09042653</t>
  </si>
  <si>
    <t>MN09042654</t>
  </si>
  <si>
    <t>MN09042655</t>
  </si>
  <si>
    <t>MN09042656</t>
  </si>
  <si>
    <t>MN09042657</t>
  </si>
  <si>
    <t>MN09042658</t>
  </si>
  <si>
    <t>MN09042659</t>
  </si>
  <si>
    <t>MN09042660</t>
  </si>
  <si>
    <t>33386</t>
  </si>
  <si>
    <t>10/04/2026 12:23:53 AM</t>
  </si>
  <si>
    <t>10/04/2026 12:33:39 AM</t>
  </si>
  <si>
    <t>33387</t>
  </si>
  <si>
    <t>10/04/2026 12:28:40 AM</t>
  </si>
  <si>
    <t>10/04/2026 12:38:07 AM</t>
  </si>
  <si>
    <t>25300</t>
  </si>
  <si>
    <t>33388</t>
  </si>
  <si>
    <t>10/04/2026 12:36:28 AM</t>
  </si>
  <si>
    <t>10/04/2026 12:47:58 AM</t>
  </si>
  <si>
    <t>33389</t>
  </si>
  <si>
    <t>10/04/2026 12:44:23 AM</t>
  </si>
  <si>
    <t>10/04/2026 02:41:51 AM</t>
  </si>
  <si>
    <t>38380</t>
  </si>
  <si>
    <t>33390</t>
  </si>
  <si>
    <t>10/04/2026 12:49:11 AM</t>
  </si>
  <si>
    <t>10/04/2026 02:37:23 AM</t>
  </si>
  <si>
    <t>24740</t>
  </si>
  <si>
    <t>33391</t>
  </si>
  <si>
    <t>10/04/2026 01:11:14 AM</t>
  </si>
  <si>
    <t>10/04/2026 02:44:39 AM</t>
  </si>
  <si>
    <t>34000</t>
  </si>
  <si>
    <t>33392</t>
  </si>
  <si>
    <t>10/04/2026 02:53:38 AM</t>
  </si>
  <si>
    <t>10/04/2026 03:37:58 AM</t>
  </si>
  <si>
    <t>14180</t>
  </si>
  <si>
    <t>33393</t>
  </si>
  <si>
    <t>10/04/2026 02:57:40 AM</t>
  </si>
  <si>
    <t>10/04/2026 03:41:33 AM</t>
  </si>
  <si>
    <t>37500</t>
  </si>
  <si>
    <t>33394</t>
  </si>
  <si>
    <t>10/04/2026 03:08:24 AM</t>
  </si>
  <si>
    <t>10/04/2026 03:48:10 AM</t>
  </si>
  <si>
    <t>33395</t>
  </si>
  <si>
    <t>10/04/2026 03:51:08 AM</t>
  </si>
  <si>
    <t>10/04/2026 03:58:21 AM</t>
  </si>
  <si>
    <t>33396</t>
  </si>
  <si>
    <t>10/04/2026 03:56:28 AM</t>
  </si>
  <si>
    <t>10/04/2026 04:02:37 AM</t>
  </si>
  <si>
    <t>33397</t>
  </si>
  <si>
    <t>10/04/2026 04:10:54 AM</t>
  </si>
  <si>
    <t>10/04/2026 04:17:03 AM</t>
  </si>
  <si>
    <t>33398</t>
  </si>
  <si>
    <t>10/04/2026 04:14:55 AM</t>
  </si>
  <si>
    <t>10/04/2026 04:19:49 AM</t>
  </si>
  <si>
    <t>33399</t>
  </si>
  <si>
    <t>10/04/2026 04:15:52 AM</t>
  </si>
  <si>
    <t>10/04/2026 05:28:34 AM</t>
  </si>
  <si>
    <t>33400</t>
  </si>
  <si>
    <t>10/04/2026 04:25:36 AM</t>
  </si>
  <si>
    <t>10/04/2026 05:39:30 AM</t>
  </si>
  <si>
    <t>33401</t>
  </si>
  <si>
    <t>10/04/2026 04:31:24 AM</t>
  </si>
  <si>
    <t>10/04/2026 05:42:55 AM</t>
  </si>
  <si>
    <t>33402</t>
  </si>
  <si>
    <t>10/04/2026 05:37:09 AM</t>
  </si>
  <si>
    <t>10/04/2026 06:19:13 AM</t>
  </si>
  <si>
    <t>33800</t>
  </si>
  <si>
    <t>17900</t>
  </si>
  <si>
    <t>33403</t>
  </si>
  <si>
    <t>10/04/2026 05:45:46 AM</t>
  </si>
  <si>
    <t>10/04/2026 06:23:07 AM</t>
  </si>
  <si>
    <t>33404</t>
  </si>
  <si>
    <t>10/04/2026 05:49:40 AM</t>
  </si>
  <si>
    <t>10/04/2026 06:28:04 AM</t>
  </si>
  <si>
    <t>33405</t>
  </si>
  <si>
    <t>10/04/2026 06:27:12 AM</t>
  </si>
  <si>
    <t>10/04/2026 06:33:38 AM</t>
  </si>
  <si>
    <t>33406</t>
  </si>
  <si>
    <t>10/04/2026 06:31:03 AM</t>
  </si>
  <si>
    <t>10/04/2026 06:36:31 AM</t>
  </si>
  <si>
    <t>33407</t>
  </si>
  <si>
    <t>10/04/2026 06:34:43 AM</t>
  </si>
  <si>
    <t>10/04/2026 06:39:21 AM</t>
  </si>
  <si>
    <t>33408</t>
  </si>
  <si>
    <t>10/04/2026 06:42:12 AM</t>
  </si>
  <si>
    <t>10/04/2026 06:48:43 AM</t>
  </si>
  <si>
    <t>33409</t>
  </si>
  <si>
    <t>10/04/2026 06:46:28 AM</t>
  </si>
  <si>
    <t>10/04/2026 06:52:29 AM</t>
  </si>
  <si>
    <t>33410</t>
  </si>
  <si>
    <t>10/04/2026 06:53:44 AM</t>
  </si>
  <si>
    <t>10/04/2026 06:58:08 AM</t>
  </si>
  <si>
    <t>33411</t>
  </si>
  <si>
    <t>10/04/2026 06:59:31 AM</t>
  </si>
  <si>
    <t>10/04/2026 07:05:17 AM</t>
  </si>
  <si>
    <t>33412</t>
  </si>
  <si>
    <t>10/04/2026 07:06:50 AM</t>
  </si>
  <si>
    <t>10/04/2026 07:32:40 AM</t>
  </si>
  <si>
    <t>33413</t>
  </si>
  <si>
    <t>10/04/2026 07:10:48 AM</t>
  </si>
  <si>
    <t>10/04/2026 09:03:32 AM</t>
  </si>
  <si>
    <t>1680</t>
  </si>
  <si>
    <t>33414</t>
  </si>
  <si>
    <t>10/04/2026 07:31:09 AM</t>
  </si>
  <si>
    <t>10/04/2026 08:57:40 AM</t>
  </si>
  <si>
    <t>3220</t>
  </si>
  <si>
    <t>33415</t>
  </si>
  <si>
    <t>10/04/2026 09:07:07 AM</t>
  </si>
  <si>
    <t>10/04/2026 09:28:45 AM</t>
  </si>
  <si>
    <t>34400</t>
  </si>
  <si>
    <t>33416</t>
  </si>
  <si>
    <t>10/04/2026 09:33:26 AM</t>
  </si>
  <si>
    <t>10/04/2026 09:38:29 AM</t>
  </si>
  <si>
    <t>33417</t>
  </si>
  <si>
    <t>10/04/2026 09:37:09 AM</t>
  </si>
  <si>
    <t>10/04/2026 09:53:16 AM</t>
  </si>
  <si>
    <t>33418</t>
  </si>
  <si>
    <t>10/04/2026 09:50:39 AM</t>
  </si>
  <si>
    <t>10/04/2026 09:54:58 AM</t>
  </si>
  <si>
    <t>33419</t>
  </si>
  <si>
    <t>10/04/2026 09:51:47 AM</t>
  </si>
  <si>
    <t>10/04/2026 09:57:23 AM</t>
  </si>
  <si>
    <t>10/04/2026 09:59:43 AM</t>
  </si>
  <si>
    <t>10/04/2026 10:08:16 AM</t>
  </si>
  <si>
    <t>33421</t>
  </si>
  <si>
    <t>10/04/2026 10:01:22 AM</t>
  </si>
  <si>
    <t>10/04/2026 10:06:22 AM</t>
  </si>
  <si>
    <t>33422</t>
  </si>
  <si>
    <t>10/04/2026 10:04:33 AM</t>
  </si>
  <si>
    <t>10/04/2026 10:09:36 AM</t>
  </si>
  <si>
    <t>33423</t>
  </si>
  <si>
    <t>10/04/2026 10:12:26 AM</t>
  </si>
  <si>
    <t>10/04/2026 10:38:25 AM</t>
  </si>
  <si>
    <t>33424</t>
  </si>
  <si>
    <t>10/04/2026 10:35:20 AM</t>
  </si>
  <si>
    <t>10/04/2026 10:40:08 AM</t>
  </si>
  <si>
    <t>33425</t>
  </si>
  <si>
    <t>10/04/2026 10:37:26 AM</t>
  </si>
  <si>
    <t>10/04/2026 10:49:42 AM</t>
  </si>
  <si>
    <t>260</t>
  </si>
  <si>
    <t>33426</t>
  </si>
  <si>
    <t>10/04/2026 10:48:33 AM</t>
  </si>
  <si>
    <t>10/04/2026 10:53:19 AM</t>
  </si>
  <si>
    <t>33427</t>
  </si>
  <si>
    <t>10/04/2026 10:52:18 AM</t>
  </si>
  <si>
    <t>10/04/2026 10:56:46 AM</t>
  </si>
  <si>
    <t>31980</t>
  </si>
  <si>
    <t>33428</t>
  </si>
  <si>
    <t>10/04/2026 10:55:30 AM</t>
  </si>
  <si>
    <t>10/04/2026 11:00:54 AM</t>
  </si>
  <si>
    <t>33429</t>
  </si>
  <si>
    <t>10/04/2026 11:00:05 AM</t>
  </si>
  <si>
    <t>10/04/2026 11:05:54 AM</t>
  </si>
  <si>
    <t>33430</t>
  </si>
  <si>
    <t>10/04/2026 11:04:55 AM</t>
  </si>
  <si>
    <t>10/04/2026 11:11:27 AM</t>
  </si>
  <si>
    <t>33431</t>
  </si>
  <si>
    <t>10/04/2026 11:08:53 AM</t>
  </si>
  <si>
    <t>10/04/2026 11:14:48 AM</t>
  </si>
  <si>
    <t>33432</t>
  </si>
  <si>
    <t>10/04/2026 11:13:54 AM</t>
  </si>
  <si>
    <t>10/04/2026 11:18:34 AM</t>
  </si>
  <si>
    <t>33433</t>
  </si>
  <si>
    <t>10/04/2026 11:17:20 AM</t>
  </si>
  <si>
    <t>10/04/2026 11:38:45 AM</t>
  </si>
  <si>
    <t>31720</t>
  </si>
  <si>
    <t>33434</t>
  </si>
  <si>
    <t>10/04/2026 11:21:56 AM</t>
  </si>
  <si>
    <t>10/04/2026 11:39:59 AM</t>
  </si>
  <si>
    <t>33435</t>
  </si>
  <si>
    <t>10/04/2026 11:36:43 AM</t>
  </si>
  <si>
    <t>10/04/2026 12:02:04 PM</t>
  </si>
  <si>
    <t>33436</t>
  </si>
  <si>
    <t>10/04/2026 12:11:05 PM</t>
  </si>
  <si>
    <t>10/04/2026 12:21:47 PM</t>
  </si>
  <si>
    <t>33437</t>
  </si>
  <si>
    <t>10/04/2026 12:20:15 PM</t>
  </si>
  <si>
    <t>10/04/2026 12:24:17 PM</t>
  </si>
  <si>
    <t>13800</t>
  </si>
  <si>
    <t>33438</t>
  </si>
  <si>
    <t>10/04/2026 12:22:56 PM</t>
  </si>
  <si>
    <t>10/04/2026 12:27:56 PM</t>
  </si>
  <si>
    <t>33920</t>
  </si>
  <si>
    <t>33439</t>
  </si>
  <si>
    <t>10/04/2026 12:28:44 PM</t>
  </si>
  <si>
    <t>10/04/2026 12:32:33 PM</t>
  </si>
  <si>
    <t>10/04/2026 12:35:50 PM</t>
  </si>
  <si>
    <t>10/04/2026 12:39:54 PM</t>
  </si>
  <si>
    <t>33441</t>
  </si>
  <si>
    <t>10/04/2026 12:41:31 PM</t>
  </si>
  <si>
    <t>10/04/2026 12:46:59 PM</t>
  </si>
  <si>
    <t>33442</t>
  </si>
  <si>
    <t>10/04/2026 12:46:03 PM</t>
  </si>
  <si>
    <t>10/04/2026 12:51:08 PM</t>
  </si>
  <si>
    <t>33443</t>
  </si>
  <si>
    <t>10/04/2026 12:50:08 PM</t>
  </si>
  <si>
    <t>10/04/2026 12:54:34 PM</t>
  </si>
  <si>
    <t>33444</t>
  </si>
  <si>
    <t>10/04/2026 12:56:06 PM</t>
  </si>
  <si>
    <t>10/04/2026 01:03:35 PM</t>
  </si>
  <si>
    <t>33445</t>
  </si>
  <si>
    <t>10/04/2026 01:01:33 PM</t>
  </si>
  <si>
    <t>10/04/2026 01:13:01 PM</t>
  </si>
  <si>
    <t>31220</t>
  </si>
  <si>
    <t>33446</t>
  </si>
  <si>
    <t>10/04/2026 01:06:06 PM</t>
  </si>
  <si>
    <t>10/04/2026 01:14:06 PM</t>
  </si>
  <si>
    <t>33447</t>
  </si>
  <si>
    <t>10/04/2026 02:57:36 PM</t>
  </si>
  <si>
    <t>10/04/2026 03:02:21 PM</t>
  </si>
  <si>
    <t>33448</t>
  </si>
  <si>
    <t>10/04/2026 03:00:48 PM</t>
  </si>
  <si>
    <t>10/04/2026 03:05:00 PM</t>
  </si>
  <si>
    <t>33449</t>
  </si>
  <si>
    <t>10/04/2026 03:08:33 PM</t>
  </si>
  <si>
    <t>10/04/2026 03:13:26 PM</t>
  </si>
  <si>
    <t>33450</t>
  </si>
  <si>
    <t>10/04/2026 03:12:10 PM</t>
  </si>
  <si>
    <t>10/04/2026 03:18:07 PM</t>
  </si>
  <si>
    <t>33451</t>
  </si>
  <si>
    <t>10/04/2026 03:16:47 PM</t>
  </si>
  <si>
    <t>10/04/2026 03:21:09 PM</t>
  </si>
  <si>
    <t>33452</t>
  </si>
  <si>
    <t>10/04/2026 03:23:28 PM</t>
  </si>
  <si>
    <t>10/04/2026 03:28:16 PM</t>
  </si>
  <si>
    <t>33453</t>
  </si>
  <si>
    <t>10/04/2026 03:27:18 PM</t>
  </si>
  <si>
    <t>10/04/2026 03:31:36 PM</t>
  </si>
  <si>
    <t>33454</t>
  </si>
  <si>
    <t>10/04/2026 03:32:46 PM</t>
  </si>
  <si>
    <t>10/04/2026 03:37:44 PM</t>
  </si>
  <si>
    <t>38260</t>
  </si>
  <si>
    <t>33455</t>
  </si>
  <si>
    <t>10/04/2026 03:36:50 PM</t>
  </si>
  <si>
    <t>10/04/2026 03:41:44 PM</t>
  </si>
  <si>
    <t>33456</t>
  </si>
  <si>
    <t>10/04/2026 03:40:48 PM</t>
  </si>
  <si>
    <t>10/04/2026 03:46:33 PM</t>
  </si>
  <si>
    <t>33457</t>
  </si>
  <si>
    <t>10/04/2026 03:45:37 PM</t>
  </si>
  <si>
    <t>10/04/2026 03:49:52 PM</t>
  </si>
  <si>
    <t>33458</t>
  </si>
  <si>
    <t>10/04/2026 03:51:58 PM</t>
  </si>
  <si>
    <t>10/04/2026 03:56:43 PM</t>
  </si>
  <si>
    <t>20580</t>
  </si>
  <si>
    <t>33459</t>
  </si>
  <si>
    <t>10/04/2026 03:58:18 PM</t>
  </si>
  <si>
    <t>10/04/2026 04:04:47 PM</t>
  </si>
  <si>
    <t>33460</t>
  </si>
  <si>
    <t>10/04/2026 04:03:16 PM</t>
  </si>
  <si>
    <t>10/04/2026 04:08:24 PM</t>
  </si>
  <si>
    <t>33461</t>
  </si>
  <si>
    <t>10/04/2026 04:07:05 PM</t>
  </si>
  <si>
    <t>10/04/2026 04:12:18 PM</t>
  </si>
  <si>
    <t>33462</t>
  </si>
  <si>
    <t>10/04/2026 04:11:25 PM</t>
  </si>
  <si>
    <t>10/04/2026 04:15:39 PM</t>
  </si>
  <si>
    <t>33463</t>
  </si>
  <si>
    <t>10/04/2026 04:23:10 PM</t>
  </si>
  <si>
    <t>10/04/2026 04:28:25 PM</t>
  </si>
  <si>
    <t>33464</t>
  </si>
  <si>
    <t>10/04/2026 04:27:14 PM</t>
  </si>
  <si>
    <t>10/04/2026 04:31:42 PM</t>
  </si>
  <si>
    <t>33465</t>
  </si>
  <si>
    <t>10/04/2026 04:32:39 PM</t>
  </si>
  <si>
    <t>10/04/2026 04:37:36 PM</t>
  </si>
  <si>
    <t>35960</t>
  </si>
  <si>
    <t>33466</t>
  </si>
  <si>
    <t>10/04/2026 04:36:34 PM</t>
  </si>
  <si>
    <t>10/04/2026 04:42:11 PM</t>
  </si>
  <si>
    <t>33467</t>
  </si>
  <si>
    <t>10/04/2026 04:41:15 PM</t>
  </si>
  <si>
    <t>10/04/2026 04:45:18 PM</t>
  </si>
  <si>
    <t>33468</t>
  </si>
  <si>
    <t>10/04/2026 04:51:48 PM</t>
  </si>
  <si>
    <t>10/04/2026 04:55:55 PM</t>
  </si>
  <si>
    <t>33469</t>
  </si>
  <si>
    <t>10/04/2026 04:57:46 PM</t>
  </si>
  <si>
    <t>10/04/2026 05:02:33 PM</t>
  </si>
  <si>
    <t>41580</t>
  </si>
  <si>
    <t>33470</t>
  </si>
  <si>
    <t>10/04/2026 05:03:58 PM</t>
  </si>
  <si>
    <t>10/04/2026 05:08:55 PM</t>
  </si>
  <si>
    <t>39620</t>
  </si>
  <si>
    <t>33471</t>
  </si>
  <si>
    <t>10/04/2026 05:07:39 PM</t>
  </si>
  <si>
    <t>10/04/2026 05:13:11 PM</t>
  </si>
  <si>
    <t>33472</t>
  </si>
  <si>
    <t>10/04/2026 05:12:11 PM</t>
  </si>
  <si>
    <t>10/04/2026 05:18:02 PM</t>
  </si>
  <si>
    <t>33473</t>
  </si>
  <si>
    <t>10/04/2026 05:16:54 PM</t>
  </si>
  <si>
    <t>10/04/2026 05:20:51 PM</t>
  </si>
  <si>
    <t>22540</t>
  </si>
  <si>
    <t>33474</t>
  </si>
  <si>
    <t>10/04/2026 05:22:22 PM</t>
  </si>
  <si>
    <t>10/04/2026 05:26:42 PM</t>
  </si>
  <si>
    <t>33475</t>
  </si>
  <si>
    <t>10/04/2026 05:28:23 PM</t>
  </si>
  <si>
    <t>10/04/2026 05:33:00 PM</t>
  </si>
  <si>
    <t>38620</t>
  </si>
  <si>
    <t>33476</t>
  </si>
  <si>
    <t>10/04/2026 05:34:52 PM</t>
  </si>
  <si>
    <t>10/04/2026 05:40:54 PM</t>
  </si>
  <si>
    <t>33477</t>
  </si>
  <si>
    <t>10/04/2026 05:39:41 PM</t>
  </si>
  <si>
    <t>10/04/2026 05:51:25 PM</t>
  </si>
  <si>
    <t>38140</t>
  </si>
  <si>
    <t>22640</t>
  </si>
  <si>
    <t>33478</t>
  </si>
  <si>
    <t>10/04/2026 05:50:12 PM</t>
  </si>
  <si>
    <t>10/04/2026 05:58:26 PM</t>
  </si>
  <si>
    <t>33479</t>
  </si>
  <si>
    <t>10/04/2026 05:52:31 PM</t>
  </si>
  <si>
    <t>10/04/2026 06:00:37 PM</t>
  </si>
  <si>
    <t>33480</t>
  </si>
  <si>
    <t>10/04/2026 05:59:42 PM</t>
  </si>
  <si>
    <t>10/04/2026 06:04:21 PM</t>
  </si>
  <si>
    <t>33481</t>
  </si>
  <si>
    <t>10/04/2026 06:06:43 PM</t>
  </si>
  <si>
    <t>10/04/2026 06:11:47 PM</t>
  </si>
  <si>
    <t>23980</t>
  </si>
  <si>
    <t>33482</t>
  </si>
  <si>
    <t>10/04/2026 06:10:24 PM</t>
  </si>
  <si>
    <t>10/04/2026 06:14:52 PM</t>
  </si>
  <si>
    <t>39280</t>
  </si>
  <si>
    <t>23260</t>
  </si>
  <si>
    <t>33483</t>
  </si>
  <si>
    <t>10/04/2026 06:16:05 PM</t>
  </si>
  <si>
    <t>10/04/2026 06:21:12 PM</t>
  </si>
  <si>
    <t>33484</t>
  </si>
  <si>
    <t>10/04/2026 06:20:17 PM</t>
  </si>
  <si>
    <t>10/04/2026 06:27:37 PM</t>
  </si>
  <si>
    <t>33485</t>
  </si>
  <si>
    <t>10/04/2026 06:26:36 PM</t>
  </si>
  <si>
    <t>10/04/2026 06:31:36 PM</t>
  </si>
  <si>
    <t>33486</t>
  </si>
  <si>
    <t>10/04/2026 06:30:20 PM</t>
  </si>
  <si>
    <t>10/04/2026 06:35:43 PM</t>
  </si>
  <si>
    <t>39060</t>
  </si>
  <si>
    <t>33487</t>
  </si>
  <si>
    <t>10/04/2026 06:37:39 PM</t>
  </si>
  <si>
    <t>10/04/2026 06:42:34 PM</t>
  </si>
  <si>
    <t>33488</t>
  </si>
  <si>
    <t>10/04/2026 06:45:43 PM</t>
  </si>
  <si>
    <t>10/04/2026 06:49:33 PM</t>
  </si>
  <si>
    <t>33489</t>
  </si>
  <si>
    <t>10/04/2026 06:51:12 PM</t>
  </si>
  <si>
    <t>10/04/2026 06:57:02 PM</t>
  </si>
  <si>
    <t>33490</t>
  </si>
  <si>
    <t>10/04/2026 06:55:51 PM</t>
  </si>
  <si>
    <t>10/04/2026 07:00:59 PM</t>
  </si>
  <si>
    <t>33491</t>
  </si>
  <si>
    <t>10/04/2026 06:59:26 PM</t>
  </si>
  <si>
    <t>10/04/2026 07:05:32 PM</t>
  </si>
  <si>
    <t>33880</t>
  </si>
  <si>
    <t>33492</t>
  </si>
  <si>
    <t>10/04/2026 07:03:51 PM</t>
  </si>
  <si>
    <t>10/04/2026 07:15:39 PM</t>
  </si>
  <si>
    <t>33493</t>
  </si>
  <si>
    <t>10/04/2026 07:09:20 PM</t>
  </si>
  <si>
    <t>10/04/2026 07:17:54 PM</t>
  </si>
  <si>
    <t>33494</t>
  </si>
  <si>
    <t>10/04/2026 07:16:56 PM</t>
  </si>
  <si>
    <t>10/04/2026 07:21:03 PM</t>
  </si>
  <si>
    <t>33495</t>
  </si>
  <si>
    <t>10/04/2026 07:22:44 PM</t>
  </si>
  <si>
    <t>10/04/2026 07:26:28 PM</t>
  </si>
  <si>
    <t>33496</t>
  </si>
  <si>
    <t>10/04/2026 09:07:06 PM</t>
  </si>
  <si>
    <t>10/04/2026 09:23:05 PM</t>
  </si>
  <si>
    <t>33497</t>
  </si>
  <si>
    <t>10/04/2026 09:11:51 PM</t>
  </si>
  <si>
    <t>10/04/2026 09:25:55 PM</t>
  </si>
  <si>
    <t>33498</t>
  </si>
  <si>
    <t>10/04/2026 09:17:24 PM</t>
  </si>
  <si>
    <t>10/04/2026 09:28:29 PM</t>
  </si>
  <si>
    <t>33499</t>
  </si>
  <si>
    <t>10/04/2026 09:33:56 PM</t>
  </si>
  <si>
    <t>10/04/2026 09:40:48 PM</t>
  </si>
  <si>
    <t>31640</t>
  </si>
  <si>
    <t>14060</t>
  </si>
  <si>
    <t>10/04/2026 09:38:40 PM</t>
  </si>
  <si>
    <t>10/04/2026 09:45:51 PM</t>
  </si>
  <si>
    <t>33501</t>
  </si>
  <si>
    <t>10/04/2026 09:42:21 PM</t>
  </si>
  <si>
    <t>10/04/2026 09:48:00 PM</t>
  </si>
  <si>
    <t>36920</t>
  </si>
  <si>
    <t>33502</t>
  </si>
  <si>
    <t>10/04/2026 09:46:59 PM</t>
  </si>
  <si>
    <t>10/04/2026 09:53:24 PM</t>
  </si>
  <si>
    <t>33503</t>
  </si>
  <si>
    <t>10/04/2026 09:54:49 PM</t>
  </si>
  <si>
    <t>10/04/2026 10:00:23 PM</t>
  </si>
  <si>
    <t>33504</t>
  </si>
  <si>
    <t>10/04/2026 09:59:22 PM</t>
  </si>
  <si>
    <t>10/04/2026 10:09:03 PM</t>
  </si>
  <si>
    <t>33505</t>
  </si>
  <si>
    <t>10/04/2026 10:03:31 PM</t>
  </si>
  <si>
    <t>10/04/2026 10:09:55 PM</t>
  </si>
  <si>
    <t>33506</t>
  </si>
  <si>
    <t>10/04/2026 10:07:57 PM</t>
  </si>
  <si>
    <t>10/04/2026 10:13:42 PM</t>
  </si>
  <si>
    <t>33507</t>
  </si>
  <si>
    <t>10/04/2026 10:15:47 PM</t>
  </si>
  <si>
    <t>10/04/2026 10:21:03 PM</t>
  </si>
  <si>
    <t>33508</t>
  </si>
  <si>
    <t>10/04/2026 10:23:02 PM</t>
  </si>
  <si>
    <t>10/04/2026 10:28:44 PM</t>
  </si>
  <si>
    <t>33509</t>
  </si>
  <si>
    <t>10/04/2026 10:26:56 PM</t>
  </si>
  <si>
    <t>10/04/2026 10:32:55 PM</t>
  </si>
  <si>
    <t>38220</t>
  </si>
  <si>
    <t>33510</t>
  </si>
  <si>
    <t>10/04/2026 10:31:58 PM</t>
  </si>
  <si>
    <t>10/04/2026 10:38:07 PM</t>
  </si>
  <si>
    <t>33511</t>
  </si>
  <si>
    <t>10/04/2026 10:36:13 PM</t>
  </si>
  <si>
    <t>10/04/2026 10:42:14 PM</t>
  </si>
  <si>
    <t>33512</t>
  </si>
  <si>
    <t>10/04/2026 10:40:18 PM</t>
  </si>
  <si>
    <t>10/04/2026 10:45:48 PM</t>
  </si>
  <si>
    <t>33513</t>
  </si>
  <si>
    <t>10/04/2026 10:50:28 PM</t>
  </si>
  <si>
    <t>10/04/2026 10:55:33 PM</t>
  </si>
  <si>
    <t>33514</t>
  </si>
  <si>
    <t>10/04/2026 10:54:07 PM</t>
  </si>
  <si>
    <t>10/04/2026 11:00:00 PM</t>
  </si>
  <si>
    <t>33515</t>
  </si>
  <si>
    <t>10/04/2026 10:58:25 PM</t>
  </si>
  <si>
    <t>10/04/2026 11:04:55 PM</t>
  </si>
  <si>
    <t>33516</t>
  </si>
  <si>
    <t>10/04/2026 11:03:57 PM</t>
  </si>
  <si>
    <t>10/04/2026 11:10:55 PM</t>
  </si>
  <si>
    <t>33517</t>
  </si>
  <si>
    <t>10/04/2026 11:08:56 PM</t>
  </si>
  <si>
    <t>10/04/2026 11:15:00 PM</t>
  </si>
  <si>
    <t>33518</t>
  </si>
  <si>
    <t>10/04/2026 11:12:35 PM</t>
  </si>
  <si>
    <t>10/04/2026 11:19:31 PM</t>
  </si>
  <si>
    <t>18460</t>
  </si>
  <si>
    <t>33519</t>
  </si>
  <si>
    <t>10/04/2026 11:18:22 PM</t>
  </si>
  <si>
    <t>10/04/2026 11:24:33 PM</t>
  </si>
  <si>
    <t>10/04/2026 11:23:37 PM</t>
  </si>
  <si>
    <t>10/04/2026 11:29:37 PM</t>
  </si>
  <si>
    <t>36420</t>
  </si>
  <si>
    <t>33521</t>
  </si>
  <si>
    <t>10/04/2026 11:31:03 PM</t>
  </si>
  <si>
    <t>10/04/2026 11:36:36 PM</t>
  </si>
  <si>
    <t>25140</t>
  </si>
  <si>
    <t>33522</t>
  </si>
  <si>
    <t>10/04/2026 11:35:36 PM</t>
  </si>
  <si>
    <t>10/04/2026 11:41:37 PM</t>
  </si>
  <si>
    <t>33523</t>
  </si>
  <si>
    <t>10/04/2026 11:40:25 PM</t>
  </si>
  <si>
    <t>10/04/2026 11:49:56 PM</t>
  </si>
  <si>
    <t>33524</t>
  </si>
  <si>
    <t>10/04/2026 11:44:18 PM</t>
  </si>
  <si>
    <t>10/04/2026 11:51:15 PM</t>
  </si>
  <si>
    <t>33525</t>
  </si>
  <si>
    <t>10/04/2026 11:49:01 PM</t>
  </si>
  <si>
    <t>10/04/2026 11:55:19 PM</t>
  </si>
  <si>
    <t>33526</t>
  </si>
  <si>
    <t>11/04/2026 12:02:24 AM</t>
  </si>
  <si>
    <t>11/04/2026 12:07:43 AM</t>
  </si>
  <si>
    <t>33527</t>
  </si>
  <si>
    <t>11/04/2026 12:08:48 AM</t>
  </si>
  <si>
    <t>11/04/2026 12:15:07 AM</t>
  </si>
  <si>
    <t>33528</t>
  </si>
  <si>
    <t>11/04/2026 12:12:10 AM</t>
  </si>
  <si>
    <t>11/04/2026 12:18:49 AM</t>
  </si>
  <si>
    <t>33529</t>
  </si>
  <si>
    <t>11/04/2026 12:16:00 AM</t>
  </si>
  <si>
    <t>11/04/2026 12:21:33 AM</t>
  </si>
  <si>
    <t>16860</t>
  </si>
  <si>
    <t>33530</t>
  </si>
  <si>
    <t>11/04/2026 12:19:50 AM</t>
  </si>
  <si>
    <t>11/04/2026 12:25:25 AM</t>
  </si>
  <si>
    <t>41200</t>
  </si>
  <si>
    <t>33531</t>
  </si>
  <si>
    <t>11/04/2026 12:24:34 AM</t>
  </si>
  <si>
    <t>11/04/2026 12:30:02 AM</t>
  </si>
  <si>
    <t>33532</t>
  </si>
  <si>
    <t>11/04/2026 12:28:26 AM</t>
  </si>
  <si>
    <t>11/04/2026 12:33:46 AM</t>
  </si>
  <si>
    <t>33533</t>
  </si>
  <si>
    <t>11/04/2026 12:31:46 AM</t>
  </si>
  <si>
    <t>11/04/2026 12:37:04 AM</t>
  </si>
  <si>
    <t>42360</t>
  </si>
  <si>
    <t>33534</t>
  </si>
  <si>
    <t>11/04/2026 12:36:05 AM</t>
  </si>
  <si>
    <t>11/04/2026 12:41:53 AM</t>
  </si>
  <si>
    <t>44760</t>
  </si>
  <si>
    <t>28380</t>
  </si>
  <si>
    <t>33535</t>
  </si>
  <si>
    <t>11/04/2026 12:40:07 AM</t>
  </si>
  <si>
    <t>11/04/2026 12:45:12 AM</t>
  </si>
  <si>
    <t>45320</t>
  </si>
  <si>
    <t>27840</t>
  </si>
  <si>
    <t>33536</t>
  </si>
  <si>
    <t>11/04/2026 12:42:47 AM</t>
  </si>
  <si>
    <t>11/04/2026 12:48:45 AM</t>
  </si>
  <si>
    <t>33537</t>
  </si>
  <si>
    <t>11/04/2026 12:47:34 AM</t>
  </si>
  <si>
    <t>11/04/2026 12:54:10 AM</t>
  </si>
  <si>
    <t>33538</t>
  </si>
  <si>
    <t>11/04/2026 12:53:06 AM</t>
  </si>
  <si>
    <t>11/04/2026 12:59:07 AM</t>
  </si>
  <si>
    <t>39580</t>
  </si>
  <si>
    <t>33539</t>
  </si>
  <si>
    <t>11/04/2026 12:56:19 AM</t>
  </si>
  <si>
    <t>11/04/2026 01:03:44 AM</t>
  </si>
  <si>
    <t>44740</t>
  </si>
  <si>
    <t>11/04/2026 01:00:44 AM</t>
  </si>
  <si>
    <t>11/04/2026 01:42:09 AM</t>
  </si>
  <si>
    <t>33541</t>
  </si>
  <si>
    <t>11/04/2026 01:05:36 AM</t>
  </si>
  <si>
    <t>11/04/2026 03:45:25 AM</t>
  </si>
  <si>
    <t>33542</t>
  </si>
  <si>
    <t>11/04/2026 01:13:35 AM</t>
  </si>
  <si>
    <t>11/04/2026 01:47:32 AM</t>
  </si>
  <si>
    <t>39400</t>
  </si>
  <si>
    <t>23840</t>
  </si>
  <si>
    <t>33543</t>
  </si>
  <si>
    <t>11/04/2026 03:38:33 AM</t>
  </si>
  <si>
    <t>11/04/2026 03:46:58 AM</t>
  </si>
  <si>
    <t>33544</t>
  </si>
  <si>
    <t>11/04/2026 03:44:05 AM</t>
  </si>
  <si>
    <t>11/04/2026 03:52:48 AM</t>
  </si>
  <si>
    <t>23880</t>
  </si>
  <si>
    <t>33545</t>
  </si>
  <si>
    <t>11/04/2026 03:51:40 AM</t>
  </si>
  <si>
    <t>11/04/2026 03:57:15 AM</t>
  </si>
  <si>
    <t>33546</t>
  </si>
  <si>
    <t>11/04/2026 03:55:37 AM</t>
  </si>
  <si>
    <t>11/04/2026 04:01:38 AM</t>
  </si>
  <si>
    <t>33547</t>
  </si>
  <si>
    <t>11/04/2026 04:00:34 AM</t>
  </si>
  <si>
    <t>11/04/2026 04:07:10 AM</t>
  </si>
  <si>
    <t>26180</t>
  </si>
  <si>
    <t>33548</t>
  </si>
  <si>
    <t>11/04/2026 04:04:29 AM</t>
  </si>
  <si>
    <t>11/04/2026 04:09:26 AM</t>
  </si>
  <si>
    <t>33549</t>
  </si>
  <si>
    <t>11/04/2026 04:08:11 AM</t>
  </si>
  <si>
    <t>11/04/2026 04:14:17 AM</t>
  </si>
  <si>
    <t>41900</t>
  </si>
  <si>
    <t>33550</t>
  </si>
  <si>
    <t>11/04/2026 04:13:09 AM</t>
  </si>
  <si>
    <t>11/04/2026 04:18:29 AM</t>
  </si>
  <si>
    <t>33551</t>
  </si>
  <si>
    <t>11/04/2026 04:19:47 AM</t>
  </si>
  <si>
    <t>11/04/2026 04:23:38 AM</t>
  </si>
  <si>
    <t>33552</t>
  </si>
  <si>
    <t>11/04/2026 04:24:52 AM</t>
  </si>
  <si>
    <t>11/04/2026 04:30:34 AM</t>
  </si>
  <si>
    <t>33553</t>
  </si>
  <si>
    <t>11/04/2026 04:29:38 AM</t>
  </si>
  <si>
    <t>11/04/2026 04:35:41 AM</t>
  </si>
  <si>
    <t>19020</t>
  </si>
  <si>
    <t>33554</t>
  </si>
  <si>
    <t>11/04/2026 04:34:02 AM</t>
  </si>
  <si>
    <t>11/04/2026 04:40:21 AM</t>
  </si>
  <si>
    <t>37120</t>
  </si>
  <si>
    <t>33555</t>
  </si>
  <si>
    <t>11/04/2026 04:38:46 AM</t>
  </si>
  <si>
    <t>11/04/2026 04:44:15 AM</t>
  </si>
  <si>
    <t>38440</t>
  </si>
  <si>
    <t>33556</t>
  </si>
  <si>
    <t>11/04/2026 04:43:08 AM</t>
  </si>
  <si>
    <t>11/04/2026 04:48:39 AM</t>
  </si>
  <si>
    <t>33557</t>
  </si>
  <si>
    <t>11/04/2026 04:47:43 AM</t>
  </si>
  <si>
    <t>11/04/2026 04:53:51 AM</t>
  </si>
  <si>
    <t>33558</t>
  </si>
  <si>
    <t>11/04/2026 04:53:02 AM</t>
  </si>
  <si>
    <t>11/04/2026 04:57:58 AM</t>
  </si>
  <si>
    <t>33559</t>
  </si>
  <si>
    <t>11/04/2026 05:01:16 AM</t>
  </si>
  <si>
    <t>11/04/2026 05:08:14 AM</t>
  </si>
  <si>
    <t>17220</t>
  </si>
  <si>
    <t>33560</t>
  </si>
  <si>
    <t>11/04/2026 05:05:57 AM</t>
  </si>
  <si>
    <t>11/04/2026 05:12:33 AM</t>
  </si>
  <si>
    <t>33561</t>
  </si>
  <si>
    <t>11/04/2026 05:10:38 AM</t>
  </si>
  <si>
    <t>11/04/2026 05:16:10 AM</t>
  </si>
  <si>
    <t>33562</t>
  </si>
  <si>
    <t>11/04/2026 05:21:05 AM</t>
  </si>
  <si>
    <t>11/04/2026 05:28:51 AM</t>
  </si>
  <si>
    <t>33563</t>
  </si>
  <si>
    <t>11/04/2026 05:27:24 AM</t>
  </si>
  <si>
    <t>11/04/2026 05:33:12 AM</t>
  </si>
  <si>
    <t>33564</t>
  </si>
  <si>
    <t>11/04/2026 05:34:03 AM</t>
  </si>
  <si>
    <t>11/04/2026 05:39:16 AM</t>
  </si>
  <si>
    <t>14620</t>
  </si>
  <si>
    <t>33565</t>
  </si>
  <si>
    <t>11/04/2026 05:40:12 AM</t>
  </si>
  <si>
    <t>11/04/2026 05:46:58 AM</t>
  </si>
  <si>
    <t>33566</t>
  </si>
  <si>
    <t>11/04/2026 05:45:19 AM</t>
  </si>
  <si>
    <t>11/04/2026 05:51:36 AM</t>
  </si>
  <si>
    <t>33567</t>
  </si>
  <si>
    <t>11/04/2026 05:50:49 AM</t>
  </si>
  <si>
    <t>11/04/2026 05:56:27 AM</t>
  </si>
  <si>
    <t>33568</t>
  </si>
  <si>
    <t>11/04/2026 05:57:48 AM</t>
  </si>
  <si>
    <t>11/04/2026 06:04:01 AM</t>
  </si>
  <si>
    <t>33569</t>
  </si>
  <si>
    <t>11/04/2026 06:04:51 AM</t>
  </si>
  <si>
    <t>11/04/2026 06:15:42 AM</t>
  </si>
  <si>
    <t>33570</t>
  </si>
  <si>
    <t>11/04/2026 06:12:23 AM</t>
  </si>
  <si>
    <t>11/04/2026 06:30:08 AM</t>
  </si>
  <si>
    <t>33571</t>
  </si>
  <si>
    <t>11/04/2026 06:24:39 AM</t>
  </si>
  <si>
    <t>11/04/2026 06:31:17 AM</t>
  </si>
  <si>
    <t>19480</t>
  </si>
  <si>
    <t>33572</t>
  </si>
  <si>
    <t>11/04/2026 07:01:58 AM</t>
  </si>
  <si>
    <t>11/04/2026 07:08:05 AM</t>
  </si>
  <si>
    <t>33573</t>
  </si>
  <si>
    <t>11/04/2026 07:07:07 AM</t>
  </si>
  <si>
    <t>11/04/2026 07:12:07 AM</t>
  </si>
  <si>
    <t>33574</t>
  </si>
  <si>
    <t>11/04/2026 07:13:02 AM</t>
  </si>
  <si>
    <t>11/04/2026 07:21:47 AM</t>
  </si>
  <si>
    <t>33575</t>
  </si>
  <si>
    <t>11/04/2026 07:19:37 AM</t>
  </si>
  <si>
    <t>11/04/2026 07:25:40 AM</t>
  </si>
  <si>
    <t>33576</t>
  </si>
  <si>
    <t>11/04/2026 07:28:19 AM</t>
  </si>
  <si>
    <t>11/04/2026 07:33:24 AM</t>
  </si>
  <si>
    <t>33577</t>
  </si>
  <si>
    <t>11/04/2026 09:38:25 AM</t>
  </si>
  <si>
    <t>11/04/2026 09:45:13 AM</t>
  </si>
  <si>
    <t>38200</t>
  </si>
  <si>
    <t>33578</t>
  </si>
  <si>
    <t>11/04/2026 09:40:39 AM</t>
  </si>
  <si>
    <t>11/04/2026 09:48:09 AM</t>
  </si>
  <si>
    <t>33579</t>
  </si>
  <si>
    <t>11/04/2026 09:46:35 AM</t>
  </si>
  <si>
    <t>11/04/2026 09:52:25 AM</t>
  </si>
  <si>
    <t>11/04/2026 09:54:44 AM</t>
  </si>
  <si>
    <t>11/04/2026 10:02:09 AM</t>
  </si>
  <si>
    <t>40300</t>
  </si>
  <si>
    <t>33581</t>
  </si>
  <si>
    <t>11/04/2026 09:57:33 AM</t>
  </si>
  <si>
    <t>11/04/2026 10:03:48 AM</t>
  </si>
  <si>
    <t>22120</t>
  </si>
  <si>
    <t>33582</t>
  </si>
  <si>
    <t>11/04/2026 10:05:16 AM</t>
  </si>
  <si>
    <t>11/04/2026 10:11:34 AM</t>
  </si>
  <si>
    <t>25120</t>
  </si>
  <si>
    <t>33583</t>
  </si>
  <si>
    <t>11/04/2026 10:09:56 AM</t>
  </si>
  <si>
    <t>11/04/2026 10:14:57 AM</t>
  </si>
  <si>
    <t>40720</t>
  </si>
  <si>
    <t>33584</t>
  </si>
  <si>
    <t>11/04/2026 10:13:20 AM</t>
  </si>
  <si>
    <t>11/04/2026 10:20:18 AM</t>
  </si>
  <si>
    <t>42620</t>
  </si>
  <si>
    <t>33585</t>
  </si>
  <si>
    <t>11/04/2026 10:21:58 AM</t>
  </si>
  <si>
    <t>11/04/2026 10:29:00 AM</t>
  </si>
  <si>
    <t>33586</t>
  </si>
  <si>
    <t>11/04/2026 10:24:46 AM</t>
  </si>
  <si>
    <t>11/04/2026 10:30:15 AM</t>
  </si>
  <si>
    <t>23240</t>
  </si>
  <si>
    <t>33587</t>
  </si>
  <si>
    <t>11/04/2026 10:26:51 AM</t>
  </si>
  <si>
    <t>11/04/2026 10:32:04 AM</t>
  </si>
  <si>
    <t>33588</t>
  </si>
  <si>
    <t>11/04/2026 10:35:59 AM</t>
  </si>
  <si>
    <t>11/04/2026 10:41:29 AM</t>
  </si>
  <si>
    <t>33589</t>
  </si>
  <si>
    <t>11/04/2026 10:38:41 AM</t>
  </si>
  <si>
    <t>11/04/2026 10:44:31 AM</t>
  </si>
  <si>
    <t>33590</t>
  </si>
  <si>
    <t>11/04/2026 10:42:25 AM</t>
  </si>
  <si>
    <t>11/04/2026 10:47:58 AM</t>
  </si>
  <si>
    <t>23080</t>
  </si>
  <si>
    <t>33591</t>
  </si>
  <si>
    <t>11/04/2026 11:17:58 AM</t>
  </si>
  <si>
    <t>11/04/2026 11:24:45 AM</t>
  </si>
  <si>
    <t>38160</t>
  </si>
  <si>
    <t>33592</t>
  </si>
  <si>
    <t>11/04/2026 11:23:38 AM</t>
  </si>
  <si>
    <t>11/04/2026 11:28:55 AM</t>
  </si>
  <si>
    <t>33593</t>
  </si>
  <si>
    <t>11/04/2026 11:26:53 AM</t>
  </si>
  <si>
    <t>11/04/2026 11:33:48 AM</t>
  </si>
  <si>
    <t>33594</t>
  </si>
  <si>
    <t>11/04/2026 11:32:02 AM</t>
  </si>
  <si>
    <t>11/04/2026 11:39:09 AM</t>
  </si>
  <si>
    <t>21440</t>
  </si>
  <si>
    <t>33595</t>
  </si>
  <si>
    <t>11/04/2026 11:36:52 AM</t>
  </si>
  <si>
    <t>11/04/2026 11:42:38 AM</t>
  </si>
  <si>
    <t>33596</t>
  </si>
  <si>
    <t>11/04/2026 11:40:32 AM</t>
  </si>
  <si>
    <t>11/04/2026 11:47:57 AM</t>
  </si>
  <si>
    <t>33597</t>
  </si>
  <si>
    <t>11/04/2026 11:45:33 AM</t>
  </si>
  <si>
    <t>11/04/2026 11:53:14 AM</t>
  </si>
  <si>
    <t>33598</t>
  </si>
  <si>
    <t>11/04/2026 11:49:03 AM</t>
  </si>
  <si>
    <t>11/04/2026 12:02:32 PM</t>
  </si>
  <si>
    <t>40120</t>
  </si>
  <si>
    <t>33599</t>
  </si>
  <si>
    <t>11/04/2026 11:54:16 AM</t>
  </si>
  <si>
    <t>11/04/2026 12:00:50 PM</t>
  </si>
  <si>
    <t>11/04/2026 11:59:55 AM</t>
  </si>
  <si>
    <t>11/04/2026 12:08:51 PM</t>
  </si>
  <si>
    <t>24600</t>
  </si>
  <si>
    <t>33601</t>
  </si>
  <si>
    <t>11/04/2026 12:07:59 PM</t>
  </si>
  <si>
    <t>11/04/2026 12:17:47 PM</t>
  </si>
  <si>
    <t>26140</t>
  </si>
  <si>
    <t>33602</t>
  </si>
  <si>
    <t>11/04/2026 12:11:16 PM</t>
  </si>
  <si>
    <t>11/04/2026 12:18:51 PM</t>
  </si>
  <si>
    <t>36880</t>
  </si>
  <si>
    <t>33603</t>
  </si>
  <si>
    <t>11/04/2026 12:16:49 PM</t>
  </si>
  <si>
    <t>11/04/2026 12:26:49 PM</t>
  </si>
  <si>
    <t>33604</t>
  </si>
  <si>
    <t>11/04/2026 12:24:20 PM</t>
  </si>
  <si>
    <t>11/04/2026 12:33:03 PM</t>
  </si>
  <si>
    <t>33605</t>
  </si>
  <si>
    <t>11/04/2026 12:28:10 PM</t>
  </si>
  <si>
    <t>11/04/2026 12:35:10 PM</t>
  </si>
  <si>
    <t>38520</t>
  </si>
  <si>
    <t>33606</t>
  </si>
  <si>
    <t>11/04/2026 12:34:13 PM</t>
  </si>
  <si>
    <t>11/04/2026 12:46:15 PM</t>
  </si>
  <si>
    <t>33607</t>
  </si>
  <si>
    <t>11/04/2026 12:39:03 PM</t>
  </si>
  <si>
    <t>11/04/2026 12:48:11 PM</t>
  </si>
  <si>
    <t>33608</t>
  </si>
  <si>
    <t>11/04/2026 12:43:09 PM</t>
  </si>
  <si>
    <t>11/04/2026 12:53:12 PM</t>
  </si>
  <si>
    <t>33609</t>
  </si>
  <si>
    <t>11/04/2026 12:52:00 PM</t>
  </si>
  <si>
    <t>11/04/2026 12:58:20 PM</t>
  </si>
  <si>
    <t>33610</t>
  </si>
  <si>
    <t>11/04/2026 12:54:42 PM</t>
  </si>
  <si>
    <t>11/04/2026 12:59:33 PM</t>
  </si>
  <si>
    <t>33611</t>
  </si>
  <si>
    <t>11/04/2026 02:17:26 PM</t>
  </si>
  <si>
    <t>11/04/2026 02:26:01 PM</t>
  </si>
  <si>
    <t>21360</t>
  </si>
  <si>
    <t>33612</t>
  </si>
  <si>
    <t>11/04/2026 02:20:00 PM</t>
  </si>
  <si>
    <t>11/04/2026 02:29:11 PM</t>
  </si>
  <si>
    <t>38400</t>
  </si>
  <si>
    <t>33613</t>
  </si>
  <si>
    <t>11/04/2026 02:27:10 PM</t>
  </si>
  <si>
    <t>11/04/2026 02:32:50 PM</t>
  </si>
  <si>
    <t>33614</t>
  </si>
  <si>
    <t>11/04/2026 02:33:52 PM</t>
  </si>
  <si>
    <t>11/04/2026 02:39:39 PM</t>
  </si>
  <si>
    <t>33615</t>
  </si>
  <si>
    <t>11/04/2026 02:37:02 PM</t>
  </si>
  <si>
    <t>11/04/2026 02:43:26 PM</t>
  </si>
  <si>
    <t>33616</t>
  </si>
  <si>
    <t>11/04/2026 02:47:09 PM</t>
  </si>
  <si>
    <t>11/04/2026 02:53:10 PM</t>
  </si>
  <si>
    <t>41180</t>
  </si>
  <si>
    <t>33617</t>
  </si>
  <si>
    <t>11/04/2026 02:50:16 PM</t>
  </si>
  <si>
    <t>11/04/2026 02:57:03 PM</t>
  </si>
  <si>
    <t>33618</t>
  </si>
  <si>
    <t>11/04/2026 02:54:29 PM</t>
  </si>
  <si>
    <t>11/04/2026 03:00:08 PM</t>
  </si>
  <si>
    <t>43440</t>
  </si>
  <si>
    <t>33619</t>
  </si>
  <si>
    <t>11/04/2026 02:58:03 PM</t>
  </si>
  <si>
    <t>11/04/2026 03:05:04 PM</t>
  </si>
  <si>
    <t>24800</t>
  </si>
  <si>
    <t>33620</t>
  </si>
  <si>
    <t>11/04/2026 03:03:35 PM</t>
  </si>
  <si>
    <t>11/04/2026 03:10:14 PM</t>
  </si>
  <si>
    <t>33621</t>
  </si>
  <si>
    <t>11/04/2026 03:06:20 PM</t>
  </si>
  <si>
    <t>11/04/2026 03:12:18 PM</t>
  </si>
  <si>
    <t>33622</t>
  </si>
  <si>
    <t>11/04/2026 03:11:10 PM</t>
  </si>
  <si>
    <t>11/04/2026 03:18:14 PM</t>
  </si>
  <si>
    <t>33623</t>
  </si>
  <si>
    <t>11/04/2026 03:15:53 PM</t>
  </si>
  <si>
    <t>11/04/2026 03:36:17 PM</t>
  </si>
  <si>
    <t>17740</t>
  </si>
  <si>
    <t>33624</t>
  </si>
  <si>
    <t>11/04/2026 03:19:40 PM</t>
  </si>
  <si>
    <t>11/04/2026 03:43:38 PM</t>
  </si>
  <si>
    <t>39260</t>
  </si>
  <si>
    <t>33625</t>
  </si>
  <si>
    <t>11/04/2026 04:53:37 PM</t>
  </si>
  <si>
    <t>11/04/2026 04:59:33 PM</t>
  </si>
  <si>
    <t>33626</t>
  </si>
  <si>
    <t>11/04/2026 04:54:41 PM</t>
  </si>
  <si>
    <t>11/04/2026 05:01:45 PM</t>
  </si>
  <si>
    <t>33627</t>
  </si>
  <si>
    <t>11/04/2026 04:57:30 PM</t>
  </si>
  <si>
    <t>11/04/2026 05:02:33 PM</t>
  </si>
  <si>
    <t>33628</t>
  </si>
  <si>
    <t>11/04/2026 05:06:08 PM</t>
  </si>
  <si>
    <t>11/04/2026 05:11:56 PM</t>
  </si>
  <si>
    <t>33629</t>
  </si>
  <si>
    <t>11/04/2026 05:10:12 PM</t>
  </si>
  <si>
    <t>11/04/2026 05:16:30 PM</t>
  </si>
  <si>
    <t>33630</t>
  </si>
  <si>
    <t>11/04/2026 05:15:35 PM</t>
  </si>
  <si>
    <t>11/04/2026 05:20:40 PM</t>
  </si>
  <si>
    <t>33631</t>
  </si>
  <si>
    <t>11/04/2026 05:22:17 PM</t>
  </si>
  <si>
    <t>11/04/2026 05:28:50 PM</t>
  </si>
  <si>
    <t>33632</t>
  </si>
  <si>
    <t>11/04/2026 05:35:46 PM</t>
  </si>
  <si>
    <t>11/04/2026 05:41:05 PM</t>
  </si>
  <si>
    <t>33633</t>
  </si>
  <si>
    <t>11/04/2026 05:36:52 PM</t>
  </si>
  <si>
    <t>11/04/2026 05:43:40 PM</t>
  </si>
  <si>
    <t>33634</t>
  </si>
  <si>
    <t>11/04/2026 05:40:18 PM</t>
  </si>
  <si>
    <t>11/04/2026 05:46:00 PM</t>
  </si>
  <si>
    <t>33635</t>
  </si>
  <si>
    <t>11/04/2026 05:47:55 PM</t>
  </si>
  <si>
    <t>11/04/2026 06:25:12 PM</t>
  </si>
  <si>
    <t>33636</t>
  </si>
  <si>
    <t>11/04/2026 06:28:43 PM</t>
  </si>
  <si>
    <t>11/04/2026 06:35:06 PM</t>
  </si>
  <si>
    <t>33637</t>
  </si>
  <si>
    <t>11/04/2026 06:30:25 PM</t>
  </si>
  <si>
    <t>11/04/2026 06:36:53 PM</t>
  </si>
  <si>
    <t>33638</t>
  </si>
  <si>
    <t>11/04/2026 06:34:05 PM</t>
  </si>
  <si>
    <t>11/04/2026 06:43:41 PM</t>
  </si>
  <si>
    <t>33639</t>
  </si>
  <si>
    <t>11/04/2026 06:44:49 PM</t>
  </si>
  <si>
    <t>11/04/2026 06:50:39 PM</t>
  </si>
  <si>
    <t>11/04/2026 06:46:56 PM</t>
  </si>
  <si>
    <t>11/04/2026 06:52:52 PM</t>
  </si>
  <si>
    <t>18040</t>
  </si>
  <si>
    <t>33642</t>
  </si>
  <si>
    <t>11/04/2026 07:01:46 PM</t>
  </si>
  <si>
    <t>11/04/2026 07:07:38 PM</t>
  </si>
  <si>
    <t>33643</t>
  </si>
  <si>
    <t>11/04/2026 07:04:02 PM</t>
  </si>
  <si>
    <t>11/04/2026 07:09:54 PM</t>
  </si>
  <si>
    <t>33644</t>
  </si>
  <si>
    <t>11/04/2026 07:15:45 PM</t>
  </si>
  <si>
    <t>11/04/2026 07:23:08 PM</t>
  </si>
  <si>
    <t>33645</t>
  </si>
  <si>
    <t>11/04/2026 07:19:06 PM</t>
  </si>
  <si>
    <t>11/04/2026 07:25:07 PM</t>
  </si>
  <si>
    <t>33646</t>
  </si>
  <si>
    <t>11/04/2026 07:24:13 PM</t>
  </si>
  <si>
    <t>12/04/2026 03:07:36 PM</t>
  </si>
  <si>
    <t>2720</t>
  </si>
  <si>
    <t>33647</t>
  </si>
  <si>
    <t>11/04/2026 09:08:40 PM</t>
  </si>
  <si>
    <t>11/04/2026 09:15:17 PM</t>
  </si>
  <si>
    <t>33648</t>
  </si>
  <si>
    <t>11/04/2026 09:14:01 PM</t>
  </si>
  <si>
    <t>11/04/2026 09:19:28 PM</t>
  </si>
  <si>
    <t>33649</t>
  </si>
  <si>
    <t>11/04/2026 09:21:19 PM</t>
  </si>
  <si>
    <t>11/04/2026 09:29:21 PM</t>
  </si>
  <si>
    <t>33650</t>
  </si>
  <si>
    <t>11/04/2026 09:23:13 PM</t>
  </si>
  <si>
    <t>11/04/2026 09:30:45 PM</t>
  </si>
  <si>
    <t>41860</t>
  </si>
  <si>
    <t>33651</t>
  </si>
  <si>
    <t>11/04/2026 09:26:25 PM</t>
  </si>
  <si>
    <t>11/04/2026 09:34:15 PM</t>
  </si>
  <si>
    <t>33652</t>
  </si>
  <si>
    <t>11/04/2026 09:41:02 PM</t>
  </si>
  <si>
    <t>11/04/2026 09:49:01 PM</t>
  </si>
  <si>
    <t>27420</t>
  </si>
  <si>
    <t>33653</t>
  </si>
  <si>
    <t>11/04/2026 09:44:53 PM</t>
  </si>
  <si>
    <t>11/04/2026 09:53:59 PM</t>
  </si>
  <si>
    <t>33654</t>
  </si>
  <si>
    <t>11/04/2026 09:47:52 PM</t>
  </si>
  <si>
    <t>11/04/2026 09:55:07 PM</t>
  </si>
  <si>
    <t>33655</t>
  </si>
  <si>
    <t>11/04/2026 09:56:44 PM</t>
  </si>
  <si>
    <t>11/04/2026 10:07:03 PM</t>
  </si>
  <si>
    <t>41340</t>
  </si>
  <si>
    <t>33656</t>
  </si>
  <si>
    <t>11/04/2026 10:03:27 PM</t>
  </si>
  <si>
    <t>11/04/2026 10:11:02 PM</t>
  </si>
  <si>
    <t>33657</t>
  </si>
  <si>
    <t>11/04/2026 10:08:50 PM</t>
  </si>
  <si>
    <t>11/04/2026 10:14:12 PM</t>
  </si>
  <si>
    <t>33658</t>
  </si>
  <si>
    <t>11/04/2026 10:21:45 PM</t>
  </si>
  <si>
    <t>11/04/2026 10:26:50 PM</t>
  </si>
  <si>
    <t>38900</t>
  </si>
  <si>
    <t>33659</t>
  </si>
  <si>
    <t>11/04/2026 10:28:18 PM</t>
  </si>
  <si>
    <t>11/04/2026 10:36:38 PM</t>
  </si>
  <si>
    <t>11/04/2026 10:30:53 PM</t>
  </si>
  <si>
    <t>11/04/2026 10:37:30 PM</t>
  </si>
  <si>
    <t>33661</t>
  </si>
  <si>
    <t>11/04/2026 10:35:42 PM</t>
  </si>
  <si>
    <t>11/04/2026 10:41:15 PM</t>
  </si>
  <si>
    <t>33662</t>
  </si>
  <si>
    <t>11/04/2026 10:43:19 PM</t>
  </si>
  <si>
    <t>11/04/2026 10:49:30 PM</t>
  </si>
  <si>
    <t>33663</t>
  </si>
  <si>
    <t>11/04/2026 10:46:39 PM</t>
  </si>
  <si>
    <t>11/04/2026 10:51:34 PM</t>
  </si>
  <si>
    <t>41240</t>
  </si>
  <si>
    <t>33664</t>
  </si>
  <si>
    <t>11/04/2026 10:50:29 PM</t>
  </si>
  <si>
    <t>11/04/2026 10:57:19 PM</t>
  </si>
  <si>
    <t>41840</t>
  </si>
  <si>
    <t>33665</t>
  </si>
  <si>
    <t>11/04/2026 10:56:15 PM</t>
  </si>
  <si>
    <t>11/04/2026 11:01:03 PM</t>
  </si>
  <si>
    <t>33666</t>
  </si>
  <si>
    <t>11/04/2026 10:59:00 PM</t>
  </si>
  <si>
    <t>11/04/2026 11:04:08 PM</t>
  </si>
  <si>
    <t>33667</t>
  </si>
  <si>
    <t>11/04/2026 11:05:00 PM</t>
  </si>
  <si>
    <t>11/04/2026 11:16:21 PM</t>
  </si>
  <si>
    <t>33668</t>
  </si>
  <si>
    <t>11/04/2026 11:09:43 PM</t>
  </si>
  <si>
    <t>11/04/2026 11:18:51 PM</t>
  </si>
  <si>
    <t>43020</t>
  </si>
  <si>
    <t>33669</t>
  </si>
  <si>
    <t>11/04/2026 11:17:28 PM</t>
  </si>
  <si>
    <t>11/04/2026 11:22:46 PM</t>
  </si>
  <si>
    <t>33670</t>
  </si>
  <si>
    <t>11/04/2026 11:27:40 PM</t>
  </si>
  <si>
    <t>11/04/2026 11:32:25 PM</t>
  </si>
  <si>
    <t>33671</t>
  </si>
  <si>
    <t>11/04/2026 11:29:54 PM</t>
  </si>
  <si>
    <t>11/04/2026 11:35:06 PM</t>
  </si>
  <si>
    <t>33672</t>
  </si>
  <si>
    <t>11/04/2026 11:38:20 PM</t>
  </si>
  <si>
    <t>11/04/2026 11:43:16 PM</t>
  </si>
  <si>
    <t>24380</t>
  </si>
  <si>
    <t>33673</t>
  </si>
  <si>
    <t>11/04/2026 11:42:06 PM</t>
  </si>
  <si>
    <t>11/04/2026 11:48:28 PM</t>
  </si>
  <si>
    <t>33674</t>
  </si>
  <si>
    <t>11/04/2026 11:45:08 PM</t>
  </si>
  <si>
    <t>11/04/2026 11:50:32 PM</t>
  </si>
  <si>
    <t>39780</t>
  </si>
  <si>
    <t>33675</t>
  </si>
  <si>
    <t>11/04/2026 11:55:42 PM</t>
  </si>
  <si>
    <t>12/04/2026 12:02:59 AM</t>
  </si>
  <si>
    <t>33677</t>
  </si>
  <si>
    <t>12/04/2026 12:00:16 AM</t>
  </si>
  <si>
    <t>12/04/2026 12:05:26 AM</t>
  </si>
  <si>
    <t>33678</t>
  </si>
  <si>
    <t>12/04/2026 12:11:08 AM</t>
  </si>
  <si>
    <t>12/04/2026 12:18:38 AM</t>
  </si>
  <si>
    <t>40560</t>
  </si>
  <si>
    <t>33679</t>
  </si>
  <si>
    <t>12/04/2026 12:14:13 AM</t>
  </si>
  <si>
    <t>12/04/2026 12:21:25 AM</t>
  </si>
  <si>
    <t>40620</t>
  </si>
  <si>
    <t>12/04/2026 12:20:21 AM</t>
  </si>
  <si>
    <t>12/04/2026 12:25:04 AM</t>
  </si>
  <si>
    <t>33681</t>
  </si>
  <si>
    <t>12/04/2026 12:26:00 AM</t>
  </si>
  <si>
    <t>12/04/2026 12:40:55 AM</t>
  </si>
  <si>
    <t>43420</t>
  </si>
  <si>
    <t>33682</t>
  </si>
  <si>
    <t>12/04/2026 12:28:47 AM</t>
  </si>
  <si>
    <t>12/04/2026 01:31:27 AM</t>
  </si>
  <si>
    <t>33683</t>
  </si>
  <si>
    <t>12/04/2026 12:36:52 AM</t>
  </si>
  <si>
    <t>12/04/2026 01:33:40 AM</t>
  </si>
  <si>
    <t>33684</t>
  </si>
  <si>
    <t>12/04/2026 12:48:29 AM</t>
  </si>
  <si>
    <t>12/04/2026 01:38:23 AM</t>
  </si>
  <si>
    <t>44560</t>
  </si>
  <si>
    <t>33685</t>
  </si>
  <si>
    <t>12/04/2026 01:39:36 AM</t>
  </si>
  <si>
    <t>12/04/2026 01:45:42 AM</t>
  </si>
  <si>
    <t>33686</t>
  </si>
  <si>
    <t>12/04/2026 01:44:39 AM</t>
  </si>
  <si>
    <t>12/04/2026 01:49:11 AM</t>
  </si>
  <si>
    <t>40220</t>
  </si>
  <si>
    <t>33687</t>
  </si>
  <si>
    <t>12/04/2026 01:50:10 AM</t>
  </si>
  <si>
    <t>12/04/2026 01:57:26 AM</t>
  </si>
  <si>
    <t>33688</t>
  </si>
  <si>
    <t>12/04/2026 01:53:57 AM</t>
  </si>
  <si>
    <t>12/04/2026 02:00:50 AM</t>
  </si>
  <si>
    <t>41520</t>
  </si>
  <si>
    <t>33689</t>
  </si>
  <si>
    <t>12/04/2026 02:02:13 AM</t>
  </si>
  <si>
    <t>12/04/2026 02:08:07 AM</t>
  </si>
  <si>
    <t>25100</t>
  </si>
  <si>
    <t>33690</t>
  </si>
  <si>
    <t>12/04/2026 02:06:54 AM</t>
  </si>
  <si>
    <t>12/04/2026 02:12:35 AM</t>
  </si>
  <si>
    <t>42660</t>
  </si>
  <si>
    <t>33691</t>
  </si>
  <si>
    <t>12/04/2026 02:11:29 AM</t>
  </si>
  <si>
    <t>12/04/2026 02:20:27 AM</t>
  </si>
  <si>
    <t>33692</t>
  </si>
  <si>
    <t>12/04/2026 02:16:32 AM</t>
  </si>
  <si>
    <t>12/04/2026 02:21:43 AM</t>
  </si>
  <si>
    <t>33693</t>
  </si>
  <si>
    <t>12/04/2026 02:19:29 AM</t>
  </si>
  <si>
    <t>12/04/2026 02:25:08 AM</t>
  </si>
  <si>
    <t>42220</t>
  </si>
  <si>
    <t>22620</t>
  </si>
  <si>
    <t>33694</t>
  </si>
  <si>
    <t>12/04/2026 02:28:54 AM</t>
  </si>
  <si>
    <t>12/04/2026 02:37:08 AM</t>
  </si>
  <si>
    <t>33695</t>
  </si>
  <si>
    <t>12/04/2026 02:33:28 AM</t>
  </si>
  <si>
    <t>12/04/2026 02:38:17 AM</t>
  </si>
  <si>
    <t>33697</t>
  </si>
  <si>
    <t>12/04/2026 02:52:21 AM</t>
  </si>
  <si>
    <t>12/04/2026 02:58:16 AM</t>
  </si>
  <si>
    <t>41780</t>
  </si>
  <si>
    <t>33698</t>
  </si>
  <si>
    <t>12/04/2026 02:54:24 AM</t>
  </si>
  <si>
    <t>12/04/2026 02:59:19 AM</t>
  </si>
  <si>
    <t>33699</t>
  </si>
  <si>
    <t>12/04/2026 03:03:45 AM</t>
  </si>
  <si>
    <t>12/04/2026 03:09:44 AM</t>
  </si>
  <si>
    <t>33700</t>
  </si>
  <si>
    <t>12/04/2026 03:08:51 AM</t>
  </si>
  <si>
    <t>12/04/2026 03:16:17 AM</t>
  </si>
  <si>
    <t>33701</t>
  </si>
  <si>
    <t>12/04/2026 03:15:29 AM</t>
  </si>
  <si>
    <t>12/04/2026 03:20:30 AM</t>
  </si>
  <si>
    <t>9240</t>
  </si>
  <si>
    <t>33702</t>
  </si>
  <si>
    <t>12/04/2026 03:19:32 AM</t>
  </si>
  <si>
    <t>12/04/2026 03:25:32 AM</t>
  </si>
  <si>
    <t>21760</t>
  </si>
  <si>
    <t>33703</t>
  </si>
  <si>
    <t>12/04/2026 03:24:28 AM</t>
  </si>
  <si>
    <t>12/04/2026 03:32:38 AM</t>
  </si>
  <si>
    <t>33704</t>
  </si>
  <si>
    <t>12/04/2026 03:31:26 AM</t>
  </si>
  <si>
    <t>12/04/2026 03:40:08 AM</t>
  </si>
  <si>
    <t>33705</t>
  </si>
  <si>
    <t>12/04/2026 03:41:52 AM</t>
  </si>
  <si>
    <t>12/04/2026 03:47:33 AM</t>
  </si>
  <si>
    <t>33706</t>
  </si>
  <si>
    <t>12/04/2026 03:48:40 AM</t>
  </si>
  <si>
    <t>12/04/2026 03:55:32 AM</t>
  </si>
  <si>
    <t>33707</t>
  </si>
  <si>
    <t>12/04/2026 03:56:56 AM</t>
  </si>
  <si>
    <t>12/04/2026 04:02:32 AM</t>
  </si>
  <si>
    <t>22880</t>
  </si>
  <si>
    <t>33709</t>
  </si>
  <si>
    <t>12/04/2026 04:14:41 AM</t>
  </si>
  <si>
    <t>12/04/2026 04:24:24 AM</t>
  </si>
  <si>
    <t>33710</t>
  </si>
  <si>
    <t>12/04/2026 05:10:46 AM</t>
  </si>
  <si>
    <t>12/04/2026 05:43:31 AM</t>
  </si>
  <si>
    <t>33711</t>
  </si>
  <si>
    <t>12/04/2026 05:54:05 AM</t>
  </si>
  <si>
    <t>12/04/2026 05:59:44 AM</t>
  </si>
  <si>
    <t>33712</t>
  </si>
  <si>
    <t>12/04/2026 05:58:38 AM</t>
  </si>
  <si>
    <t>12/04/2026 06:05:57 AM</t>
  </si>
  <si>
    <t>33713</t>
  </si>
  <si>
    <t>12/04/2026 06:06:53 AM</t>
  </si>
  <si>
    <t>12/04/2026 06:11:28 AM</t>
  </si>
  <si>
    <t>33714</t>
  </si>
  <si>
    <t>12/04/2026 06:17:16 AM</t>
  </si>
  <si>
    <t>12/04/2026 06:23:55 AM</t>
  </si>
  <si>
    <t>33715</t>
  </si>
  <si>
    <t>12/04/2026 06:22:57 AM</t>
  </si>
  <si>
    <t>12/04/2026 06:28:55 AM</t>
  </si>
  <si>
    <t>33716</t>
  </si>
  <si>
    <t>12/04/2026 06:30:41 AM</t>
  </si>
  <si>
    <t>12/04/2026 06:35:21 AM</t>
  </si>
  <si>
    <t>33717</t>
  </si>
  <si>
    <t>12/04/2026 06:37:03 AM</t>
  </si>
  <si>
    <t>12/04/2026 06:42:17 AM</t>
  </si>
  <si>
    <t>40940</t>
  </si>
  <si>
    <t>33718</t>
  </si>
  <si>
    <t>12/04/2026 06:38:10 AM</t>
  </si>
  <si>
    <t>12/04/2026 06:44:35 AM</t>
  </si>
  <si>
    <t>33719</t>
  </si>
  <si>
    <t>12/04/2026 06:43:32 AM</t>
  </si>
  <si>
    <t>12/04/2026 06:48:14 AM</t>
  </si>
  <si>
    <t>33720</t>
  </si>
  <si>
    <t>12/04/2026 06:54:02 AM</t>
  </si>
  <si>
    <t>12/04/2026 06:59:52 AM</t>
  </si>
  <si>
    <t>33721</t>
  </si>
  <si>
    <t>12/04/2026 06:57:51 AM</t>
  </si>
  <si>
    <t>12/04/2026 07:03:42 AM</t>
  </si>
  <si>
    <t>33722</t>
  </si>
  <si>
    <t>12/04/2026 07:06:16 AM</t>
  </si>
  <si>
    <t>12/04/2026 07:10:58 AM</t>
  </si>
  <si>
    <t>33723</t>
  </si>
  <si>
    <t>12/04/2026 07:11:54 AM</t>
  </si>
  <si>
    <t>12/04/2026 07:21:21 AM</t>
  </si>
  <si>
    <t>33724</t>
  </si>
  <si>
    <t>12/04/2026 07:19:38 AM</t>
  </si>
  <si>
    <t>12/04/2026 07:25:55 AM</t>
  </si>
  <si>
    <t>33725</t>
  </si>
  <si>
    <t>12/04/2026 07:24:16 AM</t>
  </si>
  <si>
    <t>12/04/2026 07:29:42 AM</t>
  </si>
  <si>
    <t>33726</t>
  </si>
  <si>
    <t>12/04/2026 08:59:36 AM</t>
  </si>
  <si>
    <t>12/04/2026 09:07:17 AM</t>
  </si>
  <si>
    <t>33727</t>
  </si>
  <si>
    <t>12/04/2026 09:03:09 AM</t>
  </si>
  <si>
    <t>12/04/2026 09:08:53 AM</t>
  </si>
  <si>
    <t>33728</t>
  </si>
  <si>
    <t>12/04/2026 09:06:04 AM</t>
  </si>
  <si>
    <t>12/04/2026 09:09:42 AM</t>
  </si>
  <si>
    <t>33729</t>
  </si>
  <si>
    <t>12/04/2026 09:28:41 AM</t>
  </si>
  <si>
    <t>12/04/2026 09:33:13 AM</t>
  </si>
  <si>
    <t>33730</t>
  </si>
  <si>
    <t>12/04/2026 09:30:34 AM</t>
  </si>
  <si>
    <t>12/04/2026 09:36:21 AM</t>
  </si>
  <si>
    <t>36000</t>
  </si>
  <si>
    <t>33731</t>
  </si>
  <si>
    <t>12/04/2026 09:34:58 AM</t>
  </si>
  <si>
    <t>12/04/2026 09:40:11 AM</t>
  </si>
  <si>
    <t>33732</t>
  </si>
  <si>
    <t>12/04/2026 09:41:12 AM</t>
  </si>
  <si>
    <t>12/04/2026 09:45:43 AM</t>
  </si>
  <si>
    <t>33733</t>
  </si>
  <si>
    <t>12/04/2026 09:46:44 AM</t>
  </si>
  <si>
    <t>12/04/2026 09:55:42 AM</t>
  </si>
  <si>
    <t>33734</t>
  </si>
  <si>
    <t>12/04/2026 09:50:32 AM</t>
  </si>
  <si>
    <t>12/04/2026 10:00:10 AM</t>
  </si>
  <si>
    <t>33735</t>
  </si>
  <si>
    <t>12/04/2026 09:52:54 AM</t>
  </si>
  <si>
    <t>12/04/2026 09:59:19 AM</t>
  </si>
  <si>
    <t>33736</t>
  </si>
  <si>
    <t>12/04/2026 10:02:00 AM</t>
  </si>
  <si>
    <t>12/04/2026 10:07:44 AM</t>
  </si>
  <si>
    <t>33737</t>
  </si>
  <si>
    <t>12/04/2026 10:04:30 AM</t>
  </si>
  <si>
    <t>12/04/2026 10:09:36 AM</t>
  </si>
  <si>
    <t>33738</t>
  </si>
  <si>
    <t>12/04/2026 10:08:53 AM</t>
  </si>
  <si>
    <t>12/04/2026 10:13:51 AM</t>
  </si>
  <si>
    <t>33739</t>
  </si>
  <si>
    <t>12/04/2026 10:12:48 AM</t>
  </si>
  <si>
    <t>12/04/2026 10:17:19 AM</t>
  </si>
  <si>
    <t>12/04/2026 10:16:14 AM</t>
  </si>
  <si>
    <t>12/04/2026 10:21:20 AM</t>
  </si>
  <si>
    <t>33741</t>
  </si>
  <si>
    <t>12/04/2026 10:20:11 AM</t>
  </si>
  <si>
    <t>12/04/2026 10:25:15 AM</t>
  </si>
  <si>
    <t>33742</t>
  </si>
  <si>
    <t>12/04/2026 10:23:54 AM</t>
  </si>
  <si>
    <t>12/04/2026 10:28:31 AM</t>
  </si>
  <si>
    <t>33743</t>
  </si>
  <si>
    <t>12/04/2026 10:27:00 AM</t>
  </si>
  <si>
    <t>12/04/2026 10:32:25 AM</t>
  </si>
  <si>
    <t>33744</t>
  </si>
  <si>
    <t>12/04/2026 10:33:34 AM</t>
  </si>
  <si>
    <t>12/04/2026 10:38:56 AM</t>
  </si>
  <si>
    <t>33745</t>
  </si>
  <si>
    <t>12/04/2026 10:34:49 AM</t>
  </si>
  <si>
    <t>12/04/2026 10:39:59 AM</t>
  </si>
  <si>
    <t>33746</t>
  </si>
  <si>
    <t>12/04/2026 10:37:49 AM</t>
  </si>
  <si>
    <t>12/04/2026 10:43:18 AM</t>
  </si>
  <si>
    <t>33747</t>
  </si>
  <si>
    <t>12/04/2026 10:44:15 AM</t>
  </si>
  <si>
    <t>12/04/2026 10:49:44 AM</t>
  </si>
  <si>
    <t>33748</t>
  </si>
  <si>
    <t>12/04/2026 10:48:22 AM</t>
  </si>
  <si>
    <t>12/04/2026 10:53:01 AM</t>
  </si>
  <si>
    <t>33749</t>
  </si>
  <si>
    <t>12/04/2026 10:51:48 AM</t>
  </si>
  <si>
    <t>12/04/2026 10:55:16 AM</t>
  </si>
  <si>
    <t>33750</t>
  </si>
  <si>
    <t>12/04/2026 11:20:48 AM</t>
  </si>
  <si>
    <t>12/04/2026 11:30:46 AM</t>
  </si>
  <si>
    <t>33751</t>
  </si>
  <si>
    <t>12/04/2026 11:24:15 AM</t>
  </si>
  <si>
    <t>12/04/2026 11:33:15 AM</t>
  </si>
  <si>
    <t>33752</t>
  </si>
  <si>
    <t>12/04/2026 11:34:22 AM</t>
  </si>
  <si>
    <t>12/04/2026 11:39:34 AM</t>
  </si>
  <si>
    <t>33753</t>
  </si>
  <si>
    <t>12/04/2026 11:35:41 AM</t>
  </si>
  <si>
    <t>12/04/2026 11:40:59 AM</t>
  </si>
  <si>
    <t>33754</t>
  </si>
  <si>
    <t>12/04/2026 11:42:00 AM</t>
  </si>
  <si>
    <t>12/04/2026 11:46:51 AM</t>
  </si>
  <si>
    <t>33755</t>
  </si>
  <si>
    <t>12/04/2026 11:46:03 AM</t>
  </si>
  <si>
    <t>12/04/2026 11:51:50 AM</t>
  </si>
  <si>
    <t>33756</t>
  </si>
  <si>
    <t>12/04/2026 11:50:02 AM</t>
  </si>
  <si>
    <t>12/04/2026 11:55:13 AM</t>
  </si>
  <si>
    <t>33757</t>
  </si>
  <si>
    <t>12/04/2026 12:21:31 PM</t>
  </si>
  <si>
    <t>12/04/2026 12:27:16 PM</t>
  </si>
  <si>
    <t>33758</t>
  </si>
  <si>
    <t>12/04/2026 12:23:47 PM</t>
  </si>
  <si>
    <t>12/04/2026 12:31:17 PM</t>
  </si>
  <si>
    <t>33759</t>
  </si>
  <si>
    <t>12/04/2026 12:28:50 PM</t>
  </si>
  <si>
    <t>12/04/2026 12:43:10 PM</t>
  </si>
  <si>
    <t>33760</t>
  </si>
  <si>
    <t>12/04/2026 12:36:15 PM</t>
  </si>
  <si>
    <t>12/04/2026 12:40:32 PM</t>
  </si>
  <si>
    <t>33761</t>
  </si>
  <si>
    <t>12/04/2026 12:41:43 PM</t>
  </si>
  <si>
    <t>12/04/2026 12:48:30 PM</t>
  </si>
  <si>
    <t>33762</t>
  </si>
  <si>
    <t>12/04/2026 12:46:25 PM</t>
  </si>
  <si>
    <t>12/04/2026 12:50:14 PM</t>
  </si>
  <si>
    <t>33763</t>
  </si>
  <si>
    <t>12/04/2026 02:16:41 PM</t>
  </si>
  <si>
    <t>12/04/2026 02:28:09 PM</t>
  </si>
  <si>
    <t>33764</t>
  </si>
  <si>
    <t>12/04/2026 02:21:12 PM</t>
  </si>
  <si>
    <t>12/04/2026 02:30:48 PM</t>
  </si>
  <si>
    <t>33765</t>
  </si>
  <si>
    <t>12/04/2026 02:24:29 PM</t>
  </si>
  <si>
    <t>12/04/2026 03:01:28 PM</t>
  </si>
  <si>
    <t>33766</t>
  </si>
  <si>
    <t>12/04/2026 03:00:04 PM</t>
  </si>
  <si>
    <t>12/04/2026 03:08:18 PM</t>
  </si>
  <si>
    <t>33767</t>
  </si>
  <si>
    <t>12/04/2026 03:03:49 PM</t>
  </si>
  <si>
    <t>12/04/2026 03:09:44 PM</t>
  </si>
  <si>
    <t>33768</t>
  </si>
  <si>
    <t>12/04/2026 03:37:29 PM</t>
  </si>
  <si>
    <t>12/04/2026 03:43:20 PM</t>
  </si>
  <si>
    <t>33769</t>
  </si>
  <si>
    <t>12/04/2026 03:47:04 PM</t>
  </si>
  <si>
    <t>12/04/2026 03:50:49 PM</t>
  </si>
  <si>
    <t>33770</t>
  </si>
  <si>
    <t>12/04/2026 03:52:27 PM</t>
  </si>
  <si>
    <t>12/04/2026 03:57:27 PM</t>
  </si>
  <si>
    <t>33771</t>
  </si>
  <si>
    <t>12/04/2026 03:58:33 PM</t>
  </si>
  <si>
    <t>12/04/2026 04:03:11 PM</t>
  </si>
  <si>
    <t>33772</t>
  </si>
  <si>
    <t>12/04/2026 04:04:15 PM</t>
  </si>
  <si>
    <t>12/04/2026 04:17:03 PM</t>
  </si>
  <si>
    <t>33773</t>
  </si>
  <si>
    <t>12/04/2026 04:45:01 PM</t>
  </si>
  <si>
    <t>12/04/2026 04:52:22 PM</t>
  </si>
  <si>
    <t>33774</t>
  </si>
  <si>
    <t>12/04/2026 04:50:11 PM</t>
  </si>
  <si>
    <t>12/04/2026 04:54:51 PM</t>
  </si>
  <si>
    <t>33775</t>
  </si>
  <si>
    <t>12/04/2026 04:56:38 PM</t>
  </si>
  <si>
    <t>12/04/2026 05:01:03 PM</t>
  </si>
  <si>
    <t>33776</t>
  </si>
  <si>
    <t>12/04/2026 05:02:24 PM</t>
  </si>
  <si>
    <t>12/04/2026 05:06:08 PM</t>
  </si>
  <si>
    <t>33777</t>
  </si>
  <si>
    <t>12/04/2026 05:07:30 PM</t>
  </si>
  <si>
    <t>12/04/2026 05:12:11 PM</t>
  </si>
  <si>
    <t>33778</t>
  </si>
  <si>
    <t>12/04/2026 05:14:34 PM</t>
  </si>
  <si>
    <t>12/04/2026 05:40:46 PM</t>
  </si>
  <si>
    <t>33779</t>
  </si>
  <si>
    <t>12/04/2026 05:18:14 PM</t>
  </si>
  <si>
    <t>12/04/2026 05:44:17 PM</t>
  </si>
  <si>
    <t>12/04/2026 05:20:05 PM</t>
  </si>
  <si>
    <t>12/04/2026 05:42:50 PM</t>
  </si>
  <si>
    <t>33781</t>
  </si>
  <si>
    <t>12/04/2026 05:28:35 PM</t>
  </si>
  <si>
    <t>12/04/2026 05:32:52 PM</t>
  </si>
  <si>
    <t>33782</t>
  </si>
  <si>
    <t>12/04/2026 05:46:13 PM</t>
  </si>
  <si>
    <t>12/04/2026 05:50:39 PM</t>
  </si>
  <si>
    <t>33783</t>
  </si>
  <si>
    <t>12/04/2026 05:53:27 PM</t>
  </si>
  <si>
    <t>12/04/2026 05:59:58 PM</t>
  </si>
  <si>
    <t>33784</t>
  </si>
  <si>
    <t>12/04/2026 05:58:38 PM</t>
  </si>
  <si>
    <t>12/04/2026 06:03:43 PM</t>
  </si>
  <si>
    <t>33785</t>
  </si>
  <si>
    <t>12/04/2026 06:04:54 PM</t>
  </si>
  <si>
    <t>12/04/2026 06:32:35 PM</t>
  </si>
  <si>
    <t>33786</t>
  </si>
  <si>
    <t>12/04/2026 06:18:37 PM</t>
  </si>
  <si>
    <t>12/04/2026 06:33:58 PM</t>
  </si>
  <si>
    <t>33787</t>
  </si>
  <si>
    <t>12/04/2026 06:30:20 PM</t>
  </si>
  <si>
    <t>12/04/2026 06:35:10 PM</t>
  </si>
  <si>
    <t>33788</t>
  </si>
  <si>
    <t>12/04/2026 06:31:15 PM</t>
  </si>
  <si>
    <t>12/04/2026 06:37:19 PM</t>
  </si>
  <si>
    <t>33789</t>
  </si>
  <si>
    <t>12/04/2026 06:44:01 PM</t>
  </si>
  <si>
    <t>12/04/2026 06:50:14 PM</t>
  </si>
  <si>
    <t>16820</t>
  </si>
  <si>
    <t>33790</t>
  </si>
  <si>
    <t>12/04/2026 06:58:03 PM</t>
  </si>
  <si>
    <t>12/04/2026 07:04:37 PM</t>
  </si>
  <si>
    <t>33791</t>
  </si>
  <si>
    <t>12/04/2026 07:03:28 PM</t>
  </si>
  <si>
    <t>12/04/2026 07:10:10 PM</t>
  </si>
  <si>
    <t>33792</t>
  </si>
  <si>
    <t>12/04/2026 07:08:45 PM</t>
  </si>
  <si>
    <t>12/04/2026 07:14:15 PM</t>
  </si>
  <si>
    <t>33793</t>
  </si>
  <si>
    <t>12/04/2026 07:15:24 PM</t>
  </si>
  <si>
    <t>12/04/2026 07:22:12 PM</t>
  </si>
  <si>
    <t>21860</t>
  </si>
  <si>
    <t>33794</t>
  </si>
  <si>
    <t>12/04/2026 07:16:51 PM</t>
  </si>
  <si>
    <t>12/04/2026 07:32:11 PM</t>
  </si>
  <si>
    <t>33795</t>
  </si>
  <si>
    <t>12/04/2026 07:20:58 PM</t>
  </si>
  <si>
    <t>12/04/2026 07:25:26 PM</t>
  </si>
  <si>
    <t>33796</t>
  </si>
  <si>
    <t>12/04/2026 09:06:34 PM</t>
  </si>
  <si>
    <t>12/04/2026 09:14:30 PM</t>
  </si>
  <si>
    <t>33797</t>
  </si>
  <si>
    <t>12/04/2026 09:08:46 PM</t>
  </si>
  <si>
    <t>12/04/2026 09:18:00 PM</t>
  </si>
  <si>
    <t>33798</t>
  </si>
  <si>
    <t>12/04/2026 09:12:07 PM</t>
  </si>
  <si>
    <t>12/04/2026 09:19:46 PM</t>
  </si>
  <si>
    <t>33799</t>
  </si>
  <si>
    <t>12/04/2026 09:21:21 PM</t>
  </si>
  <si>
    <t>12/04/2026 09:29:28 PM</t>
  </si>
  <si>
    <t>12/04/2026 09:56:26 PM</t>
  </si>
  <si>
    <t>12/04/2026 10:04:09 PM</t>
  </si>
  <si>
    <t>33801</t>
  </si>
  <si>
    <t>12/04/2026 10:01:47 PM</t>
  </si>
  <si>
    <t>12/04/2026 10:06:10 PM</t>
  </si>
  <si>
    <t>33802</t>
  </si>
  <si>
    <t>12/04/2026 10:09:07 PM</t>
  </si>
  <si>
    <t>12/04/2026 10:17:11 PM</t>
  </si>
  <si>
    <t>33803</t>
  </si>
  <si>
    <t>12/04/2026 10:12:31 PM</t>
  </si>
  <si>
    <t>12/04/2026 10:20:08 PM</t>
  </si>
  <si>
    <t>33804</t>
  </si>
  <si>
    <t>12/04/2026 10:18:18 PM</t>
  </si>
  <si>
    <t>12/04/2026 10:23:25 PM</t>
  </si>
  <si>
    <t>33805</t>
  </si>
  <si>
    <t>12/04/2026 10:27:28 PM</t>
  </si>
  <si>
    <t>12/04/2026 10:31:48 PM</t>
  </si>
  <si>
    <t>33806</t>
  </si>
  <si>
    <t>12/04/2026 10:33:47 PM</t>
  </si>
  <si>
    <t>12/04/2026 10:39:22 PM</t>
  </si>
  <si>
    <t>33807</t>
  </si>
  <si>
    <t>12/04/2026 10:38:14 PM</t>
  </si>
  <si>
    <t>12/04/2026 10:42:36 PM</t>
  </si>
  <si>
    <t>33808</t>
  </si>
  <si>
    <t>12/04/2026 10:44:46 PM</t>
  </si>
  <si>
    <t>12/04/2026 10:55:21 PM</t>
  </si>
  <si>
    <t>33809</t>
  </si>
  <si>
    <t>12/04/2026 10:51:57 PM</t>
  </si>
  <si>
    <t>12/04/2026 10:57:17 PM</t>
  </si>
  <si>
    <t>25020</t>
  </si>
  <si>
    <t>33810</t>
  </si>
  <si>
    <t>12/04/2026 11:02:22 PM</t>
  </si>
  <si>
    <t>12/04/2026 11:06:35 PM</t>
  </si>
  <si>
    <t>33811</t>
  </si>
  <si>
    <t>12/04/2026 11:08:16 PM</t>
  </si>
  <si>
    <t>12/04/2026 11:12:36 PM</t>
  </si>
  <si>
    <t>33812</t>
  </si>
  <si>
    <t>12/04/2026 11:13:29 PM</t>
  </si>
  <si>
    <t>12/04/2026 11:18:32 PM</t>
  </si>
  <si>
    <t>33813</t>
  </si>
  <si>
    <t>12/04/2026 11:26:41 PM</t>
  </si>
  <si>
    <t>12/04/2026 11:30:47 PM</t>
  </si>
  <si>
    <t>24780</t>
  </si>
  <si>
    <t>33814</t>
  </si>
  <si>
    <t>12/04/2026 11:27:37 PM</t>
  </si>
  <si>
    <t>12/04/2026 11:33:14 PM</t>
  </si>
  <si>
    <t>33815</t>
  </si>
  <si>
    <t>12/04/2026 11:29:49 PM</t>
  </si>
  <si>
    <t>12/04/2026 11:35:41 PM</t>
  </si>
  <si>
    <t>33816</t>
  </si>
  <si>
    <t>12/04/2026 11:40:18 PM</t>
  </si>
  <si>
    <t>12/04/2026 11:44:30 PM</t>
  </si>
  <si>
    <t>33817</t>
  </si>
  <si>
    <t>12/04/2026 11:43:37 PM</t>
  </si>
  <si>
    <t>12/04/2026 11:47:32 PM</t>
  </si>
  <si>
    <t>33818</t>
  </si>
  <si>
    <t>12/04/2026 11:48:48 PM</t>
  </si>
  <si>
    <t>12/04/2026 11:53:23 PM</t>
  </si>
  <si>
    <t>33819</t>
  </si>
  <si>
    <t>12/04/2026 11:54:48 PM</t>
  </si>
  <si>
    <t>12/04/2026 11:58:37 PM</t>
  </si>
  <si>
    <t>13/04/2026 12:00:26 AM</t>
  </si>
  <si>
    <t>13/04/2026 12:05:49 AM</t>
  </si>
  <si>
    <t>33821</t>
  </si>
  <si>
    <t>13/04/2026 12:04:25 AM</t>
  </si>
  <si>
    <t>13/04/2026 12:09:54 AM</t>
  </si>
  <si>
    <t>33822</t>
  </si>
  <si>
    <t>13/04/2026 12:11:45 AM</t>
  </si>
  <si>
    <t>13/04/2026 12:16:27 AM</t>
  </si>
  <si>
    <t>24660</t>
  </si>
  <si>
    <t>33823</t>
  </si>
  <si>
    <t>13/04/2026 12:19:14 AM</t>
  </si>
  <si>
    <t>13/04/2026 12:25:25 AM</t>
  </si>
  <si>
    <t>33824</t>
  </si>
  <si>
    <t>13/04/2026 12:24:09 AM</t>
  </si>
  <si>
    <t>13/04/2026 12:28:36 AM</t>
  </si>
  <si>
    <t>42800</t>
  </si>
  <si>
    <t>33825</t>
  </si>
  <si>
    <t>13/04/2026 12:34:25 AM</t>
  </si>
  <si>
    <t>13/04/2026 12:39:13 AM</t>
  </si>
  <si>
    <t>33826</t>
  </si>
  <si>
    <t>13/04/2026 12:35:44 AM</t>
  </si>
  <si>
    <t>13/04/2026 12:41:55 AM</t>
  </si>
  <si>
    <t>39160</t>
  </si>
  <si>
    <t>33827</t>
  </si>
  <si>
    <t>13/04/2026 12:44:50 AM</t>
  </si>
  <si>
    <t>13/04/2026 01:04:10 AM</t>
  </si>
  <si>
    <t>33828</t>
  </si>
  <si>
    <t>13/04/2026 12:53:09 AM</t>
  </si>
  <si>
    <t>13/04/2026 01:03:15 AM</t>
  </si>
  <si>
    <t>33829</t>
  </si>
  <si>
    <t>13/04/2026 01:02:07 AM</t>
  </si>
  <si>
    <t>13/04/2026 01:06:19 AM</t>
  </si>
  <si>
    <t>33830</t>
  </si>
  <si>
    <t>13/04/2026 01:10:39 AM</t>
  </si>
  <si>
    <t>13/04/2026 01:14:25 AM</t>
  </si>
  <si>
    <t>40680</t>
  </si>
  <si>
    <t>33831</t>
  </si>
  <si>
    <t>13/04/2026 01:17:45 AM</t>
  </si>
  <si>
    <t>13/04/2026 01:34:35 AM</t>
  </si>
  <si>
    <t>33832</t>
  </si>
  <si>
    <t>13/04/2026 01:23:05 AM</t>
  </si>
  <si>
    <t>13/04/2026 01:27:03 AM</t>
  </si>
  <si>
    <t>33833</t>
  </si>
  <si>
    <t>13/04/2026 01:31:27 AM</t>
  </si>
  <si>
    <t>13/04/2026 01:35:40 AM</t>
  </si>
  <si>
    <t>33834</t>
  </si>
  <si>
    <t>13/04/2026 01:33:24 AM</t>
  </si>
  <si>
    <t>13/04/2026 01:38:39 AM</t>
  </si>
  <si>
    <t>33835</t>
  </si>
  <si>
    <t>13/04/2026 01:41:54 AM</t>
  </si>
  <si>
    <t>13/04/2026 01:46:02 AM</t>
  </si>
  <si>
    <t>33836</t>
  </si>
  <si>
    <t>13/04/2026 01:47:16 AM</t>
  </si>
  <si>
    <t>13/04/2026 01:54:04 AM</t>
  </si>
  <si>
    <t>33837</t>
  </si>
  <si>
    <t>13/04/2026 01:51:48 AM</t>
  </si>
  <si>
    <t>13/04/2026 01:56:40 AM</t>
  </si>
  <si>
    <t>23360</t>
  </si>
  <si>
    <t>33838</t>
  </si>
  <si>
    <t>13/04/2026 01:58:02 AM</t>
  </si>
  <si>
    <t>13/04/2026 02:02:21 AM</t>
  </si>
  <si>
    <t>33839</t>
  </si>
  <si>
    <t>13/04/2026 02:05:28 AM</t>
  </si>
  <si>
    <t>13/04/2026 02:09:32 AM</t>
  </si>
  <si>
    <t>25820</t>
  </si>
  <si>
    <t>13/04/2026 02:10:24 AM</t>
  </si>
  <si>
    <t>13/04/2026 02:15:16 AM</t>
  </si>
  <si>
    <t>33841</t>
  </si>
  <si>
    <t>13/04/2026 02:16:38 AM</t>
  </si>
  <si>
    <t>13/04/2026 02:21:03 AM</t>
  </si>
  <si>
    <t>33842</t>
  </si>
  <si>
    <t>13/04/2026 02:22:16 AM</t>
  </si>
  <si>
    <t>13/04/2026 02:26:05 AM</t>
  </si>
  <si>
    <t>33843</t>
  </si>
  <si>
    <t>13/04/2026 02:28:14 AM</t>
  </si>
  <si>
    <t>13/04/2026 02:33:07 AM</t>
  </si>
  <si>
    <t>33844</t>
  </si>
  <si>
    <t>13/04/2026 02:31:54 AM</t>
  </si>
  <si>
    <t>13/04/2026 02:38:32 AM</t>
  </si>
  <si>
    <t>33845</t>
  </si>
  <si>
    <t>13/04/2026 02:37:14 AM</t>
  </si>
  <si>
    <t>13/04/2026 02:41:49 AM</t>
  </si>
  <si>
    <t>33846</t>
  </si>
  <si>
    <t>13/04/2026 02:45:56 AM</t>
  </si>
  <si>
    <t>13/04/2026 02:53:56 AM</t>
  </si>
  <si>
    <t>33847</t>
  </si>
  <si>
    <t>13/04/2026 02:50:12 AM</t>
  </si>
  <si>
    <t>13/04/2026 02:59:50 AM</t>
  </si>
  <si>
    <t>33848</t>
  </si>
  <si>
    <t>13/04/2026 02:58:59 AM</t>
  </si>
  <si>
    <t>13/04/2026 03:03:34 AM</t>
  </si>
  <si>
    <t>33849</t>
  </si>
  <si>
    <t>13/04/2026 03:04:50 AM</t>
  </si>
  <si>
    <t>13/04/2026 03:10:47 AM</t>
  </si>
  <si>
    <t>33850</t>
  </si>
  <si>
    <t>13/04/2026 03:09:38 AM</t>
  </si>
  <si>
    <t>13/04/2026 03:16:07 AM</t>
  </si>
  <si>
    <t>33851</t>
  </si>
  <si>
    <t>13/04/2026 03:15:19 AM</t>
  </si>
  <si>
    <t>13/04/2026 05:38:58 AM</t>
  </si>
  <si>
    <t>33852</t>
  </si>
  <si>
    <t>13/04/2026 03:21:53 AM</t>
  </si>
  <si>
    <t>13/04/2026 05:29:20 AM</t>
  </si>
  <si>
    <t>33853</t>
  </si>
  <si>
    <t>13/04/2026 03:26:03 AM</t>
  </si>
  <si>
    <t>13/04/2026 05:30:21 AM</t>
  </si>
  <si>
    <t>33854</t>
  </si>
  <si>
    <t>13/04/2026 05:37:50 AM</t>
  </si>
  <si>
    <t>13/04/2026 05:42:07 AM</t>
  </si>
  <si>
    <t>33855</t>
  </si>
  <si>
    <t>13/04/2026 05:46:02 AM</t>
  </si>
  <si>
    <t>13/04/2026 05:50:55 AM</t>
  </si>
  <si>
    <t>33856</t>
  </si>
  <si>
    <t>13/04/2026 05:52:09 AM</t>
  </si>
  <si>
    <t>13/04/2026 05:56:23 AM</t>
  </si>
  <si>
    <t>33857</t>
  </si>
  <si>
    <t>13/04/2026 06:00:35 AM</t>
  </si>
  <si>
    <t>13/04/2026 06:04:53 AM</t>
  </si>
  <si>
    <t>33858</t>
  </si>
  <si>
    <t>13/04/2026 06:06:06 AM</t>
  </si>
  <si>
    <t>13/04/2026 06:12:17 AM</t>
  </si>
  <si>
    <t>33859</t>
  </si>
  <si>
    <t>13/04/2026 06:13:30 AM</t>
  </si>
  <si>
    <t>13/04/2026 06:17:44 AM</t>
  </si>
  <si>
    <t>13/04/2026 06:20:16 AM</t>
  </si>
  <si>
    <t>13/04/2026 06:46:58 AM</t>
  </si>
  <si>
    <t>33861</t>
  </si>
  <si>
    <t>13/04/2026 06:21:30 AM</t>
  </si>
  <si>
    <t>13/04/2026 06:26:18 AM</t>
  </si>
  <si>
    <t>33862</t>
  </si>
  <si>
    <t>13/04/2026 06:25:25 AM</t>
  </si>
  <si>
    <t>13/04/2026 06:31:08 AM</t>
  </si>
  <si>
    <t>19240</t>
  </si>
  <si>
    <t>33863</t>
  </si>
  <si>
    <t>13/04/2026 06:41:04 AM</t>
  </si>
  <si>
    <t>13/04/2026 06:49:17 AM</t>
  </si>
  <si>
    <t>33864</t>
  </si>
  <si>
    <t>13/04/2026 06:43:51 AM</t>
  </si>
  <si>
    <t>13/04/2026 06:53:29 AM</t>
  </si>
  <si>
    <t>33865</t>
  </si>
  <si>
    <t>13/04/2026 06:54:42 AM</t>
  </si>
  <si>
    <t>13/04/2026 07:03:24 AM</t>
  </si>
  <si>
    <t>33866</t>
  </si>
  <si>
    <t>13/04/2026 07:00:38 AM</t>
  </si>
  <si>
    <t>13/04/2026 07:04:58 AM</t>
  </si>
  <si>
    <t>33867</t>
  </si>
  <si>
    <t>13/04/2026 07:07:48 AM</t>
  </si>
  <si>
    <t>13/04/2026 07:14:20 AM</t>
  </si>
  <si>
    <t>33868</t>
  </si>
  <si>
    <t>13/04/2026 07:15:43 AM</t>
  </si>
  <si>
    <t>13/04/2026 07:23:54 AM</t>
  </si>
  <si>
    <t>33869</t>
  </si>
  <si>
    <t>13/04/2026 07:22:37 AM</t>
  </si>
  <si>
    <t>13/04/2026 07:29:14 AM</t>
  </si>
  <si>
    <t>33870</t>
  </si>
  <si>
    <t>13/04/2026 09:30:01 AM</t>
  </si>
  <si>
    <t>13/04/2026 09:36:49 AM</t>
  </si>
  <si>
    <t>33871</t>
  </si>
  <si>
    <t>13/04/2026 09:31:26 AM</t>
  </si>
  <si>
    <t>13/04/2026 09:38:08 AM</t>
  </si>
  <si>
    <t>33872</t>
  </si>
  <si>
    <t>13/04/2026 09:35:22 AM</t>
  </si>
  <si>
    <t>13/04/2026 09:42:25 AM</t>
  </si>
  <si>
    <t>33873</t>
  </si>
  <si>
    <t>13/04/2026 09:41:01 AM</t>
  </si>
  <si>
    <t>13/04/2026 09:47:08 AM</t>
  </si>
  <si>
    <t>33874</t>
  </si>
  <si>
    <t>13/04/2026 09:45:44 AM</t>
  </si>
  <si>
    <t>13/04/2026 10:29:17 AM</t>
  </si>
  <si>
    <t>33875</t>
  </si>
  <si>
    <t>13/04/2026 09:48:58 AM</t>
  </si>
  <si>
    <t>13/04/2026 10:37:19 AM</t>
  </si>
  <si>
    <t>30780</t>
  </si>
  <si>
    <t>33876</t>
  </si>
  <si>
    <t>13/04/2026 10:20:37 AM</t>
  </si>
  <si>
    <t>13/04/2026 10:31:38 AM</t>
  </si>
  <si>
    <t>33877</t>
  </si>
  <si>
    <t>13/04/2026 10:35:44 AM</t>
  </si>
  <si>
    <t>13/04/2026 10:41:42 AM</t>
  </si>
  <si>
    <t>33878</t>
  </si>
  <si>
    <t>13/04/2026 10:42:39 AM</t>
  </si>
  <si>
    <t>13/04/2026 10:49:17 AM</t>
  </si>
  <si>
    <t>33879</t>
  </si>
  <si>
    <t>13/04/2026 10:51:51 AM</t>
  </si>
  <si>
    <t>13/04/2026 10:57:24 AM</t>
  </si>
  <si>
    <t>13/04/2026 10:56:08 AM</t>
  </si>
  <si>
    <t>13/04/2026 11:03:56 AM</t>
  </si>
  <si>
    <t>33881</t>
  </si>
  <si>
    <t>13/04/2026 11:01:56 AM</t>
  </si>
  <si>
    <t>13/04/2026 11:06:40 AM</t>
  </si>
  <si>
    <t>33980</t>
  </si>
  <si>
    <t>33882</t>
  </si>
  <si>
    <t>13/04/2026 11:07:32 AM</t>
  </si>
  <si>
    <t>13/04/2026 11:12:44 AM</t>
  </si>
  <si>
    <t>32200</t>
  </si>
  <si>
    <t>33883</t>
  </si>
  <si>
    <t>13/04/2026 11:13:44 AM</t>
  </si>
  <si>
    <t>13/04/2026 11:21:00 AM</t>
  </si>
  <si>
    <t>33884</t>
  </si>
  <si>
    <t>13/04/2026 11:19:30 AM</t>
  </si>
  <si>
    <t>13/04/2026 11:24:24 AM</t>
  </si>
  <si>
    <t>33885</t>
  </si>
  <si>
    <t>13/04/2026 11:26:36 AM</t>
  </si>
  <si>
    <t>13/04/2026 11:31:53 AM</t>
  </si>
  <si>
    <t>33886</t>
  </si>
  <si>
    <t>13/04/2026 11:33:00 AM</t>
  </si>
  <si>
    <t>13/04/2026 11:38:39 AM</t>
  </si>
  <si>
    <t>33887</t>
  </si>
  <si>
    <t>13/04/2026 11:39:48 AM</t>
  </si>
  <si>
    <t>13/04/2026 11:45:32 AM</t>
  </si>
  <si>
    <t>33888</t>
  </si>
  <si>
    <t>13/04/2026 11:46:29 AM</t>
  </si>
  <si>
    <t>13/04/2026 11:52:51 AM</t>
  </si>
  <si>
    <t>33889</t>
  </si>
  <si>
    <t>13/04/2026 11:53:46 AM</t>
  </si>
  <si>
    <t>13/04/2026 11:58:44 AM</t>
  </si>
  <si>
    <t>31400</t>
  </si>
  <si>
    <t>33890</t>
  </si>
  <si>
    <t>13/04/2026 12:13:13 PM</t>
  </si>
  <si>
    <t>13/04/2026 12:17:16 PM</t>
  </si>
  <si>
    <t>33891</t>
  </si>
  <si>
    <t>13/04/2026 12:14:15 PM</t>
  </si>
  <si>
    <t>13/04/2026 12:19:43 PM</t>
  </si>
  <si>
    <t>33892</t>
  </si>
  <si>
    <t>13/04/2026 12:16:04 PM</t>
  </si>
  <si>
    <t>13/04/2026 12:21:20 PM</t>
  </si>
  <si>
    <t>33893</t>
  </si>
  <si>
    <t>13/04/2026 12:24:17 PM</t>
  </si>
  <si>
    <t>13/04/2026 12:29:45 PM</t>
  </si>
  <si>
    <t>37100</t>
  </si>
  <si>
    <t>33894</t>
  </si>
  <si>
    <t>13/04/2026 12:30:41 PM</t>
  </si>
  <si>
    <t>13/04/2026 12:36:08 PM</t>
  </si>
  <si>
    <t>33895</t>
  </si>
  <si>
    <t>13/04/2026 12:37:08 PM</t>
  </si>
  <si>
    <t>13/04/2026 12:43:36 PM</t>
  </si>
  <si>
    <t>33896</t>
  </si>
  <si>
    <t>13/04/2026 12:41:15 PM</t>
  </si>
  <si>
    <t>13/04/2026 12:50:42 PM</t>
  </si>
  <si>
    <t>33897</t>
  </si>
  <si>
    <t>13/04/2026 12:47:46 PM</t>
  </si>
  <si>
    <t>13/04/2026 12:53:38 PM</t>
  </si>
  <si>
    <t>33898</t>
  </si>
  <si>
    <t>13/04/2026 12:55:17 PM</t>
  </si>
  <si>
    <t>13/04/2026 02:23:34 PM</t>
  </si>
  <si>
    <t>33899</t>
  </si>
  <si>
    <t>13/04/2026 03:42:26 PM</t>
  </si>
  <si>
    <t>13/04/2026 03:57:51 PM</t>
  </si>
  <si>
    <t>13/04/2026 03:43:41 PM</t>
  </si>
  <si>
    <t>13/04/2026 03:59:21 PM</t>
  </si>
  <si>
    <t>33901</t>
  </si>
  <si>
    <t>13/04/2026 03:44:34 PM</t>
  </si>
  <si>
    <t>13/04/2026 04:00:19 PM</t>
  </si>
  <si>
    <t>33902</t>
  </si>
  <si>
    <t>13/04/2026 04:06:54 PM</t>
  </si>
  <si>
    <t>13/04/2026 04:12:25 PM</t>
  </si>
  <si>
    <t>33903</t>
  </si>
  <si>
    <t>13/04/2026 04:08:25 PM</t>
  </si>
  <si>
    <t>13/04/2026 04:14:13 PM</t>
  </si>
  <si>
    <t>33904</t>
  </si>
  <si>
    <t>13/04/2026 04:11:27 PM</t>
  </si>
  <si>
    <t>13/04/2026 04:19:15 PM</t>
  </si>
  <si>
    <t>33905</t>
  </si>
  <si>
    <t>13/04/2026 04:16:14 PM</t>
  </si>
  <si>
    <t>13/04/2026 04:22:09 PM</t>
  </si>
  <si>
    <t>33906</t>
  </si>
  <si>
    <t>13/04/2026 04:20:11 PM</t>
  </si>
  <si>
    <t>13/04/2026 04:27:16 PM</t>
  </si>
  <si>
    <t>41000</t>
  </si>
  <si>
    <t>33907</t>
  </si>
  <si>
    <t>13/04/2026 04:24:01 PM</t>
  </si>
  <si>
    <t>13/04/2026 04:30:17 PM</t>
  </si>
  <si>
    <t>33908</t>
  </si>
  <si>
    <t>13/04/2026 04:38:00 PM</t>
  </si>
  <si>
    <t>13/04/2026 04:44:28 PM</t>
  </si>
  <si>
    <t>21580</t>
  </si>
  <si>
    <t>33909</t>
  </si>
  <si>
    <t>13/04/2026 04:39:39 PM</t>
  </si>
  <si>
    <t>13/04/2026 04:46:29 PM</t>
  </si>
  <si>
    <t>33910</t>
  </si>
  <si>
    <t>13/04/2026 04:43:04 PM</t>
  </si>
  <si>
    <t>13/04/2026 04:49:57 PM</t>
  </si>
  <si>
    <t>33911</t>
  </si>
  <si>
    <t>13/04/2026 04:48:48 PM</t>
  </si>
  <si>
    <t>13/04/2026 04:57:03 PM</t>
  </si>
  <si>
    <t>33912</t>
  </si>
  <si>
    <t>13/04/2026 04:51:54 PM</t>
  </si>
  <si>
    <t>13/04/2026 04:58:17 PM</t>
  </si>
  <si>
    <t>25420</t>
  </si>
  <si>
    <t>33913</t>
  </si>
  <si>
    <t>13/04/2026 04:53:06 PM</t>
  </si>
  <si>
    <t>13/04/2026 05:01:38 PM</t>
  </si>
  <si>
    <t>33914</t>
  </si>
  <si>
    <t>13/04/2026 04:55:58 PM</t>
  </si>
  <si>
    <t>13/04/2026 05:03:35 PM</t>
  </si>
  <si>
    <t>33915</t>
  </si>
  <si>
    <t>13/04/2026 04:59:28 PM</t>
  </si>
  <si>
    <t>13/04/2026 05:05:23 PM</t>
  </si>
  <si>
    <t>33916</t>
  </si>
  <si>
    <t>13/04/2026 05:12:01 PM</t>
  </si>
  <si>
    <t>13/04/2026 05:17:50 PM</t>
  </si>
  <si>
    <t>33917</t>
  </si>
  <si>
    <t>13/04/2026 05:16:11 PM</t>
  </si>
  <si>
    <t>13/04/2026 05:21:53 PM</t>
  </si>
  <si>
    <t>33918</t>
  </si>
  <si>
    <t>13/04/2026 05:19:49 PM</t>
  </si>
  <si>
    <t>13/04/2026 05:26:10 PM</t>
  </si>
  <si>
    <t>33919</t>
  </si>
  <si>
    <t>13/04/2026 05:23:51 PM</t>
  </si>
  <si>
    <t>13/04/2026 05:31:30 PM</t>
  </si>
  <si>
    <t>31620</t>
  </si>
  <si>
    <t>13/04/2026 05:30:20 PM</t>
  </si>
  <si>
    <t>13/04/2026 05:36:36 PM</t>
  </si>
  <si>
    <t>33921</t>
  </si>
  <si>
    <t>13/04/2026 05:34:57 PM</t>
  </si>
  <si>
    <t>13/04/2026 05:45:17 PM</t>
  </si>
  <si>
    <t>33922</t>
  </si>
  <si>
    <t>13/04/2026 05:38:25 PM</t>
  </si>
  <si>
    <t>13/04/2026 05:44:15 PM</t>
  </si>
  <si>
    <t>33923</t>
  </si>
  <si>
    <t>13/04/2026 05:41:44 PM</t>
  </si>
  <si>
    <t>13/04/2026 05:47:56 PM</t>
  </si>
  <si>
    <t>22140</t>
  </si>
  <si>
    <t>33924</t>
  </si>
  <si>
    <t>13/04/2026 05:46:35 PM</t>
  </si>
  <si>
    <t>13/04/2026 05:51:48 PM</t>
  </si>
  <si>
    <t>33925</t>
  </si>
  <si>
    <t>13/04/2026 05:49:10 PM</t>
  </si>
  <si>
    <t>13/04/2026 05:54:17 PM</t>
  </si>
  <si>
    <t>33926</t>
  </si>
  <si>
    <t>13/04/2026 05:55:35 PM</t>
  </si>
  <si>
    <t>13/04/2026 06:03:25 PM</t>
  </si>
  <si>
    <t>33927</t>
  </si>
  <si>
    <t>13/04/2026 05:59:14 PM</t>
  </si>
  <si>
    <t>13/04/2026 06:04:49 PM</t>
  </si>
  <si>
    <t>33928</t>
  </si>
  <si>
    <t>13/04/2026 06:02:10 PM</t>
  </si>
  <si>
    <t>13/04/2026 06:07:43 PM</t>
  </si>
  <si>
    <t>33929</t>
  </si>
  <si>
    <t>13/04/2026 06:06:26 PM</t>
  </si>
  <si>
    <t>13/04/2026 06:11:05 PM</t>
  </si>
  <si>
    <t>33930</t>
  </si>
  <si>
    <t>13/04/2026 06:12:26 PM</t>
  </si>
  <si>
    <t>13/04/2026 06:18:19 PM</t>
  </si>
  <si>
    <t>33931</t>
  </si>
  <si>
    <t>13/04/2026 06:16:52 PM</t>
  </si>
  <si>
    <t>13/04/2026 06:21:50 PM</t>
  </si>
  <si>
    <t>33932</t>
  </si>
  <si>
    <t>13/04/2026 06:20:45 PM</t>
  </si>
  <si>
    <t>13/04/2026 06:25:45 PM</t>
  </si>
  <si>
    <t>33933</t>
  </si>
  <si>
    <t>13/04/2026 06:24:23 PM</t>
  </si>
  <si>
    <t>13/04/2026 06:30:24 PM</t>
  </si>
  <si>
    <t>33934</t>
  </si>
  <si>
    <t>13/04/2026 06:27:21 PM</t>
  </si>
  <si>
    <t>13/04/2026 06:32:50 PM</t>
  </si>
  <si>
    <t>33935</t>
  </si>
  <si>
    <t>13/04/2026 06:31:29 PM</t>
  </si>
  <si>
    <t>13/04/2026 06:36:42 PM</t>
  </si>
  <si>
    <t>33936</t>
  </si>
  <si>
    <t>13/04/2026 06:35:49 PM</t>
  </si>
  <si>
    <t>13/04/2026 06:41:34 PM</t>
  </si>
  <si>
    <t>35540</t>
  </si>
  <si>
    <t>33937</t>
  </si>
  <si>
    <t>13/04/2026 06:40:12 PM</t>
  </si>
  <si>
    <t>13/04/2026 06:45:44 PM</t>
  </si>
  <si>
    <t>33938</t>
  </si>
  <si>
    <t>13/04/2026 06:43:33 PM</t>
  </si>
  <si>
    <t>13/04/2026 06:48:56 PM</t>
  </si>
  <si>
    <t>33939</t>
  </si>
  <si>
    <t>13/04/2026 06:47:28 PM</t>
  </si>
  <si>
    <t>13/04/2026 06:52:50 PM</t>
  </si>
  <si>
    <t>13/04/2026 06:52:02 PM</t>
  </si>
  <si>
    <t>13/04/2026 06:56:59 PM</t>
  </si>
  <si>
    <t>33941</t>
  </si>
  <si>
    <t>13/04/2026 06:55:50 PM</t>
  </si>
  <si>
    <t>13/04/2026 07:00:36 PM</t>
  </si>
  <si>
    <t>33942</t>
  </si>
  <si>
    <t>13/04/2026 06:59:30 PM</t>
  </si>
  <si>
    <t>13/04/2026 07:05:44 PM</t>
  </si>
  <si>
    <t>33943</t>
  </si>
  <si>
    <t>13/04/2026 07:04:08 PM</t>
  </si>
  <si>
    <t>13/04/2026 07:09:20 PM</t>
  </si>
  <si>
    <t>33944</t>
  </si>
  <si>
    <t>13/04/2026 07:08:12 PM</t>
  </si>
  <si>
    <t>13/04/2026 07:14:33 PM</t>
  </si>
  <si>
    <t>33945</t>
  </si>
  <si>
    <t>13/04/2026 07:11:17 PM</t>
  </si>
  <si>
    <t>13/04/2026 07:16:12 PM</t>
  </si>
  <si>
    <t>33946</t>
  </si>
  <si>
    <t>13/04/2026 07:17:50 PM</t>
  </si>
  <si>
    <t>13/04/2026 07:39:41 PM</t>
  </si>
  <si>
    <t>33947</t>
  </si>
  <si>
    <t>13/04/2026 07:22:48 PM</t>
  </si>
  <si>
    <t>13/04/2026 07:40:32 PM</t>
  </si>
  <si>
    <t>33948</t>
  </si>
  <si>
    <t>13/04/2026 09:31:07 PM</t>
  </si>
  <si>
    <t>13/04/2026 09:34:57 PM</t>
  </si>
  <si>
    <t>33949</t>
  </si>
  <si>
    <t>13/04/2026 09:36:15 PM</t>
  </si>
  <si>
    <t>13/04/2026 09:42:00 PM</t>
  </si>
  <si>
    <t>33950</t>
  </si>
  <si>
    <t>13/04/2026 09:40:36 PM</t>
  </si>
  <si>
    <t>13/04/2026 09:44:32 PM</t>
  </si>
  <si>
    <t>33951</t>
  </si>
  <si>
    <t>13/04/2026 09:45:44 PM</t>
  </si>
  <si>
    <t>13/04/2026 09:50:43 PM</t>
  </si>
  <si>
    <t>33952</t>
  </si>
  <si>
    <t>13/04/2026 09:52:59 PM</t>
  </si>
  <si>
    <t>13/04/2026 10:00:01 PM</t>
  </si>
  <si>
    <t>24260</t>
  </si>
  <si>
    <t>33953</t>
  </si>
  <si>
    <t>13/04/2026 09:57:39 PM</t>
  </si>
  <si>
    <t>13/04/2026 10:06:03 PM</t>
  </si>
  <si>
    <t>33954</t>
  </si>
  <si>
    <t>13/04/2026 10:04:47 PM</t>
  </si>
  <si>
    <t>13/04/2026 10:08:59 PM</t>
  </si>
  <si>
    <t>34120</t>
  </si>
  <si>
    <t>33955</t>
  </si>
  <si>
    <t>13/04/2026 10:10:46 PM</t>
  </si>
  <si>
    <t>13/04/2026 10:16:20 PM</t>
  </si>
  <si>
    <t>33956</t>
  </si>
  <si>
    <t>13/04/2026 10:14:48 PM</t>
  </si>
  <si>
    <t>13/04/2026 10:19:21 PM</t>
  </si>
  <si>
    <t>33957</t>
  </si>
  <si>
    <t>13/04/2026 10:20:45 PM</t>
  </si>
  <si>
    <t>13/04/2026 10:26:48 PM</t>
  </si>
  <si>
    <t>33958</t>
  </si>
  <si>
    <t>13/04/2026 10:25:35 PM</t>
  </si>
  <si>
    <t>13/04/2026 10:39:45 PM</t>
  </si>
  <si>
    <t>33959</t>
  </si>
  <si>
    <t>13/04/2026 10:29:35 PM</t>
  </si>
  <si>
    <t>13/04/2026 10:41:31 PM</t>
  </si>
  <si>
    <t>13/04/2026 10:37:01 PM</t>
  </si>
  <si>
    <t>13/04/2026 10:42:47 PM</t>
  </si>
  <si>
    <t>33961</t>
  </si>
  <si>
    <t>13/04/2026 10:59:38 PM</t>
  </si>
  <si>
    <t>13/04/2026 11:06:42 PM</t>
  </si>
  <si>
    <t>33962</t>
  </si>
  <si>
    <t>13/04/2026 11:05:52 PM</t>
  </si>
  <si>
    <t>13/04/2026 11:11:56 PM</t>
  </si>
  <si>
    <t>33963</t>
  </si>
  <si>
    <t>13/04/2026 11:11:08 PM</t>
  </si>
  <si>
    <t>13/04/2026 11:29:10 PM</t>
  </si>
  <si>
    <t>42400</t>
  </si>
  <si>
    <t>27120</t>
  </si>
  <si>
    <t>33964</t>
  </si>
  <si>
    <t>13/04/2026 11:15:15 PM</t>
  </si>
  <si>
    <t>13/04/2026 11:50:31 PM</t>
  </si>
  <si>
    <t>33965</t>
  </si>
  <si>
    <t>13/04/2026 11:20:38 PM</t>
  </si>
  <si>
    <t>13/04/2026 11:52:07 PM</t>
  </si>
  <si>
    <t>23520</t>
  </si>
  <si>
    <t>33966</t>
  </si>
  <si>
    <t>13/04/2026 11:58:26 PM</t>
  </si>
  <si>
    <t>14/04/2026 12:04:12 AM</t>
  </si>
  <si>
    <t>33967</t>
  </si>
  <si>
    <t>14/04/2026 12:03:21 AM</t>
  </si>
  <si>
    <t>14/04/2026 12:08:52 AM</t>
  </si>
  <si>
    <t>33968</t>
  </si>
  <si>
    <t>14/04/2026 12:07:49 AM</t>
  </si>
  <si>
    <t>14/04/2026 12:12:30 AM</t>
  </si>
  <si>
    <t>26660</t>
  </si>
  <si>
    <t>33969</t>
  </si>
  <si>
    <t>14/04/2026 12:11:36 AM</t>
  </si>
  <si>
    <t>14/04/2026 12:17:18 AM</t>
  </si>
  <si>
    <t>33970</t>
  </si>
  <si>
    <t>14/04/2026 12:16:15 AM</t>
  </si>
  <si>
    <t>14/04/2026 12:20:59 AM</t>
  </si>
  <si>
    <t>33971</t>
  </si>
  <si>
    <t>14/04/2026 12:19:58 AM</t>
  </si>
  <si>
    <t>14/04/2026 12:24:59 AM</t>
  </si>
  <si>
    <t>33972</t>
  </si>
  <si>
    <t>14/04/2026 12:23:55 AM</t>
  </si>
  <si>
    <t>14/04/2026 12:29:07 AM</t>
  </si>
  <si>
    <t>33973</t>
  </si>
  <si>
    <t>14/04/2026 12:28:10 AM</t>
  </si>
  <si>
    <t>14/04/2026 12:43:15 AM</t>
  </si>
  <si>
    <t>33974</t>
  </si>
  <si>
    <t>14/04/2026 12:32:25 AM</t>
  </si>
  <si>
    <t>14/04/2026 12:52:45 AM</t>
  </si>
  <si>
    <t>33975</t>
  </si>
  <si>
    <t>14/04/2026 12:36:25 AM</t>
  </si>
  <si>
    <t>14/04/2026 12:53:45 AM</t>
  </si>
  <si>
    <t>33976</t>
  </si>
  <si>
    <t>14/04/2026 12:54:49 AM</t>
  </si>
  <si>
    <t>14/04/2026 01:02:14 AM</t>
  </si>
  <si>
    <t>33977</t>
  </si>
  <si>
    <t>14/04/2026 01:01:19 AM</t>
  </si>
  <si>
    <t>14/04/2026 01:06:32 AM</t>
  </si>
  <si>
    <t>33978</t>
  </si>
  <si>
    <t>14/04/2026 01:03:07 AM</t>
  </si>
  <si>
    <t>14/04/2026 01:10:57 AM</t>
  </si>
  <si>
    <t>33979</t>
  </si>
  <si>
    <t>14/04/2026 01:10:03 AM</t>
  </si>
  <si>
    <t>14/04/2026 01:17:18 AM</t>
  </si>
  <si>
    <t>14/04/2026 01:12:29 AM</t>
  </si>
  <si>
    <t>14/04/2026 01:19:06 AM</t>
  </si>
  <si>
    <t>33981</t>
  </si>
  <si>
    <t>14/04/2026 01:18:07 AM</t>
  </si>
  <si>
    <t>14/04/2026 01:24:29 AM</t>
  </si>
  <si>
    <t>33982</t>
  </si>
  <si>
    <t>14/04/2026 01:23:45 AM</t>
  </si>
  <si>
    <t>14/04/2026 01:35:06 AM</t>
  </si>
  <si>
    <t>33983</t>
  </si>
  <si>
    <t>14/04/2026 01:26:03 AM</t>
  </si>
  <si>
    <t>14/04/2026 01:37:11 AM</t>
  </si>
  <si>
    <t>33984</t>
  </si>
  <si>
    <t>14/04/2026 01:34:08 AM</t>
  </si>
  <si>
    <t>14/04/2026 01:47:54 AM</t>
  </si>
  <si>
    <t>33985</t>
  </si>
  <si>
    <t>14/04/2026 01:40:21 AM</t>
  </si>
  <si>
    <t>14/04/2026 02:14:35 AM</t>
  </si>
  <si>
    <t>33986</t>
  </si>
  <si>
    <t>14/04/2026 01:46:14 AM</t>
  </si>
  <si>
    <t>14/04/2026 02:17:24 AM</t>
  </si>
  <si>
    <t>33987</t>
  </si>
  <si>
    <t>14/04/2026 02:21:44 AM</t>
  </si>
  <si>
    <t>14/04/2026 02:26:44 AM</t>
  </si>
  <si>
    <t>33988</t>
  </si>
  <si>
    <t>14/04/2026 02:25:49 AM</t>
  </si>
  <si>
    <t>14/04/2026 02:30:08 AM</t>
  </si>
  <si>
    <t>33989</t>
  </si>
  <si>
    <t>14/04/2026 02:31:15 AM</t>
  </si>
  <si>
    <t>14/04/2026 02:36:18 AM</t>
  </si>
  <si>
    <t>33990</t>
  </si>
  <si>
    <t>14/04/2026 02:35:17 AM</t>
  </si>
  <si>
    <t>14/04/2026 02:40:35 AM</t>
  </si>
  <si>
    <t>33991</t>
  </si>
  <si>
    <t>14/04/2026 02:39:23 AM</t>
  </si>
  <si>
    <t>14/04/2026 02:44:15 AM</t>
  </si>
  <si>
    <t>33992</t>
  </si>
  <si>
    <t>14/04/2026 02:42:47 AM</t>
  </si>
  <si>
    <t>14/04/2026 02:58:41 AM</t>
  </si>
  <si>
    <t>33993</t>
  </si>
  <si>
    <t>14/04/2026 02:47:03 AM</t>
  </si>
  <si>
    <t>14/04/2026 03:02:07 AM</t>
  </si>
  <si>
    <t>33994</t>
  </si>
  <si>
    <t>14/04/2026 02:51:19 AM</t>
  </si>
  <si>
    <t>14/04/2026 03:33:44 AM</t>
  </si>
  <si>
    <t>33995</t>
  </si>
  <si>
    <t>14/04/2026 03:42:23 AM</t>
  </si>
  <si>
    <t>14/04/2026 03:48:43 AM</t>
  </si>
  <si>
    <t>33996</t>
  </si>
  <si>
    <t>14/04/2026 03:47:29 AM</t>
  </si>
  <si>
    <t>14/04/2026 03:52:37 AM</t>
  </si>
  <si>
    <t>33997</t>
  </si>
  <si>
    <t>14/04/2026 03:51:30 AM</t>
  </si>
  <si>
    <t>14/04/2026 03:56:41 AM</t>
  </si>
  <si>
    <t>33998</t>
  </si>
  <si>
    <t>14/04/2026 03:55:46 AM</t>
  </si>
  <si>
    <t>14/04/2026 04:00:50 AM</t>
  </si>
  <si>
    <t>33999</t>
  </si>
  <si>
    <t>14/04/2026 03:59:47 AM</t>
  </si>
  <si>
    <t>14/04/2026 04:05:29 AM</t>
  </si>
  <si>
    <t>14/04/2026 04:03:42 AM</t>
  </si>
  <si>
    <t>14/04/2026 04:08:21 AM</t>
  </si>
  <si>
    <t>34001</t>
  </si>
  <si>
    <t>14/04/2026 04:09:15 AM</t>
  </si>
  <si>
    <t>14/04/2026 04:14:19 AM</t>
  </si>
  <si>
    <t>34002</t>
  </si>
  <si>
    <t>14/04/2026 04:13:20 AM</t>
  </si>
  <si>
    <t>14/04/2026 04:19:32 AM</t>
  </si>
  <si>
    <t>34003</t>
  </si>
  <si>
    <t>14/04/2026 04:17:16 AM</t>
  </si>
  <si>
    <t>14/04/2026 04:22:16 AM</t>
  </si>
  <si>
    <t>34004</t>
  </si>
  <si>
    <t>14/04/2026 04:21:18 AM</t>
  </si>
  <si>
    <t>14/04/2026 04:26:43 AM</t>
  </si>
  <si>
    <t>34005</t>
  </si>
  <si>
    <t>14/04/2026 04:25:17 AM</t>
  </si>
  <si>
    <t>14/04/2026 04:31:27 AM</t>
  </si>
  <si>
    <t>34006</t>
  </si>
  <si>
    <t>14/04/2026 04:28:55 AM</t>
  </si>
  <si>
    <t>14/04/2026 04:34:02 AM</t>
  </si>
  <si>
    <t>34007</t>
  </si>
  <si>
    <t>14/04/2026 04:32:29 AM</t>
  </si>
  <si>
    <t>14/04/2026 04:37:19 AM</t>
  </si>
  <si>
    <t>34008</t>
  </si>
  <si>
    <t>14/04/2026 04:40:12 AM</t>
  </si>
  <si>
    <t>14/04/2026 04:44:51 AM</t>
  </si>
  <si>
    <t>34009</t>
  </si>
  <si>
    <t>14/04/2026 04:43:44 AM</t>
  </si>
  <si>
    <t>14/04/2026 04:48:14 AM</t>
  </si>
  <si>
    <t>34010</t>
  </si>
  <si>
    <t>14/04/2026 04:47:13 AM</t>
  </si>
  <si>
    <t>14/04/2026 04:51:50 AM</t>
  </si>
  <si>
    <t>34011</t>
  </si>
  <si>
    <t>14/04/2026 04:50:57 AM</t>
  </si>
  <si>
    <t>14/04/2026 04:55:46 AM</t>
  </si>
  <si>
    <t>34012</t>
  </si>
  <si>
    <t>14/04/2026 04:55:05 AM</t>
  </si>
  <si>
    <t>14/04/2026 04:59:54 AM</t>
  </si>
  <si>
    <t>34013</t>
  </si>
  <si>
    <t>14/04/2026 04:58:23 AM</t>
  </si>
  <si>
    <t>14/04/2026 05:11:31 AM</t>
  </si>
  <si>
    <t>34014</t>
  </si>
  <si>
    <t>14/04/2026 05:02:12 AM</t>
  </si>
  <si>
    <t>14/04/2026 05:14:09 AM</t>
  </si>
  <si>
    <t>34015</t>
  </si>
  <si>
    <t>14/04/2026 05:06:36 AM</t>
  </si>
  <si>
    <t>14/04/2026 05:16:41 AM</t>
  </si>
  <si>
    <t>34016</t>
  </si>
  <si>
    <t>14/04/2026 05:20:49 AM</t>
  </si>
  <si>
    <t>14/04/2026 05:27:47 AM</t>
  </si>
  <si>
    <t>26620</t>
  </si>
  <si>
    <t>34017</t>
  </si>
  <si>
    <t>14/04/2026 05:24:27 AM</t>
  </si>
  <si>
    <t>14/04/2026 05:29:13 AM</t>
  </si>
  <si>
    <t>34018</t>
  </si>
  <si>
    <t>14/04/2026 05:38:54 AM</t>
  </si>
  <si>
    <t>14/04/2026 05:47:54 AM</t>
  </si>
  <si>
    <t>34019</t>
  </si>
  <si>
    <t>14/04/2026 05:48:56 AM</t>
  </si>
  <si>
    <t>14/04/2026 05:53:28 AM</t>
  </si>
  <si>
    <t>14/04/2026 05:50:04 AM</t>
  </si>
  <si>
    <t>14/04/2026 05:58:46 AM</t>
  </si>
  <si>
    <t>34021</t>
  </si>
  <si>
    <t>14/04/2026 05:54:40 AM</t>
  </si>
  <si>
    <t>14/04/2026 06:50:39 AM</t>
  </si>
  <si>
    <t>42900</t>
  </si>
  <si>
    <t>34022</t>
  </si>
  <si>
    <t>14/04/2026 06:00:01 AM</t>
  </si>
  <si>
    <t>14/04/2026 06:45:58 AM</t>
  </si>
  <si>
    <t>26920</t>
  </si>
  <si>
    <t>34023</t>
  </si>
  <si>
    <t>14/04/2026 06:06:37 AM</t>
  </si>
  <si>
    <t>14/04/2026 06:48:44 AM</t>
  </si>
  <si>
    <t>34024</t>
  </si>
  <si>
    <t>14/04/2026 06:54:23 AM</t>
  </si>
  <si>
    <t>14/04/2026 07:00:30 AM</t>
  </si>
  <si>
    <t>22720</t>
  </si>
  <si>
    <t>34025</t>
  </si>
  <si>
    <t>14/04/2026 06:57:51 AM</t>
  </si>
  <si>
    <t>14/04/2026 07:03:30 AM</t>
  </si>
  <si>
    <t>39040</t>
  </si>
  <si>
    <t>34026</t>
  </si>
  <si>
    <t>14/04/2026 07:01:35 AM</t>
  </si>
  <si>
    <t>14/04/2026 07:05:39 AM</t>
  </si>
  <si>
    <t>39100</t>
  </si>
  <si>
    <t>34027</t>
  </si>
  <si>
    <t>14/04/2026 07:07:07 AM</t>
  </si>
  <si>
    <t>14/04/2026 07:10:44 AM</t>
  </si>
  <si>
    <t>34028</t>
  </si>
  <si>
    <t>14/04/2026 07:12:06 AM</t>
  </si>
  <si>
    <t>14/04/2026 07:18:36 AM</t>
  </si>
  <si>
    <t>34029</t>
  </si>
  <si>
    <t>14/04/2026 07:16:00 AM</t>
  </si>
  <si>
    <t>14/04/2026 07:21:15 AM</t>
  </si>
  <si>
    <t>34030</t>
  </si>
  <si>
    <t>14/04/2026 07:20:06 AM</t>
  </si>
  <si>
    <t>14/04/2026 09:08:16 AM</t>
  </si>
  <si>
    <t>5240</t>
  </si>
  <si>
    <t>34031</t>
  </si>
  <si>
    <t>14/04/2026 09:09:44 AM</t>
  </si>
  <si>
    <t>14/04/2026 09:19:33 AM</t>
  </si>
  <si>
    <t>34032</t>
  </si>
  <si>
    <t>14/04/2026 09:18:20 AM</t>
  </si>
  <si>
    <t>14/04/2026 09:24:17 AM</t>
  </si>
  <si>
    <t>32480</t>
  </si>
  <si>
    <t>14040</t>
  </si>
  <si>
    <t>34033</t>
  </si>
  <si>
    <t>14/04/2026 09:26:03 AM</t>
  </si>
  <si>
    <t>14/04/2026 09:32:19 AM</t>
  </si>
  <si>
    <t>34034</t>
  </si>
  <si>
    <t>14/04/2026 09:33:18 AM</t>
  </si>
  <si>
    <t>14/04/2026 09:38:44 AM</t>
  </si>
  <si>
    <t>34035</t>
  </si>
  <si>
    <t>14/04/2026 09:37:42 AM</t>
  </si>
  <si>
    <t>14/04/2026 09:46:36 AM</t>
  </si>
  <si>
    <t>34036</t>
  </si>
  <si>
    <t>14/04/2026 09:42:29 AM</t>
  </si>
  <si>
    <t>14/04/2026 09:48:47 AM</t>
  </si>
  <si>
    <t>34037</t>
  </si>
  <si>
    <t>14/04/2026 09:47:53 AM</t>
  </si>
  <si>
    <t>14/04/2026 09:53:13 AM</t>
  </si>
  <si>
    <t>34038</t>
  </si>
  <si>
    <t>14/04/2026 09:57:45 AM</t>
  </si>
  <si>
    <t>14/04/2026 10:03:14 AM</t>
  </si>
  <si>
    <t>34039</t>
  </si>
  <si>
    <t>14/04/2026 10:04:53 AM</t>
  </si>
  <si>
    <t>14/04/2026 10:11:01 AM</t>
  </si>
  <si>
    <t>14/04/2026 10:09:01 AM</t>
  </si>
  <si>
    <t>14/04/2026 10:15:22 AM</t>
  </si>
  <si>
    <t>34041</t>
  </si>
  <si>
    <t>14/04/2026 10:14:17 AM</t>
  </si>
  <si>
    <t>14/04/2026 10:19:21 AM</t>
  </si>
  <si>
    <t>34042</t>
  </si>
  <si>
    <t>14/04/2026 10:20:41 AM</t>
  </si>
  <si>
    <t>14/04/2026 10:26:36 AM</t>
  </si>
  <si>
    <t>34043</t>
  </si>
  <si>
    <t>14/04/2026 10:25:34 AM</t>
  </si>
  <si>
    <t>14/04/2026 10:35:32 AM</t>
  </si>
  <si>
    <t>34044</t>
  </si>
  <si>
    <t>14/04/2026 02:23:26 PM</t>
  </si>
  <si>
    <t>14/04/2026 02:28:44 PM</t>
  </si>
  <si>
    <t>34045</t>
  </si>
  <si>
    <t>14/04/2026 02:24:34 PM</t>
  </si>
  <si>
    <t>14/04/2026 02:31:32 PM</t>
  </si>
  <si>
    <t>34140</t>
  </si>
  <si>
    <t>34046</t>
  </si>
  <si>
    <t>14/04/2026 02:30:03 PM</t>
  </si>
  <si>
    <t>14/04/2026 02:38:29 PM</t>
  </si>
  <si>
    <t>34047</t>
  </si>
  <si>
    <t>14/04/2026 02:40:18 PM</t>
  </si>
  <si>
    <t>14/04/2026 02:45:02 PM</t>
  </si>
  <si>
    <t>34048</t>
  </si>
  <si>
    <t>14/04/2026 02:46:27 PM</t>
  </si>
  <si>
    <t>14/04/2026 02:51:51 PM</t>
  </si>
  <si>
    <t>34049</t>
  </si>
  <si>
    <t>14/04/2026 02:50:32 PM</t>
  </si>
  <si>
    <t>14/04/2026 02:54:57 PM</t>
  </si>
  <si>
    <t>34050</t>
  </si>
  <si>
    <t>14/04/2026 02:57:04 PM</t>
  </si>
  <si>
    <t>14/04/2026 03:01:47 PM</t>
  </si>
  <si>
    <t>34051</t>
  </si>
  <si>
    <t>14/04/2026 03:03:16 PM</t>
  </si>
  <si>
    <t>14/04/2026 03:08:34 PM</t>
  </si>
  <si>
    <t>34052</t>
  </si>
  <si>
    <t>14/04/2026 03:07:11 PM</t>
  </si>
  <si>
    <t>14/04/2026 03:12:21 PM</t>
  </si>
  <si>
    <t>34053</t>
  </si>
  <si>
    <t>14/04/2026 03:15:41 PM</t>
  </si>
  <si>
    <t>14/04/2026 03:21:38 PM</t>
  </si>
  <si>
    <t>34054</t>
  </si>
  <si>
    <t>14/04/2026 03:20:22 PM</t>
  </si>
  <si>
    <t>14/04/2026 03:26:10 PM</t>
  </si>
  <si>
    <t>34055</t>
  </si>
  <si>
    <t>14/04/2026 03:23:57 PM</t>
  </si>
  <si>
    <t>14/04/2026 03:29:14 PM</t>
  </si>
  <si>
    <t>34056</t>
  </si>
  <si>
    <t>14/04/2026 03:31:28 PM</t>
  </si>
  <si>
    <t>14/04/2026 03:35:42 PM</t>
  </si>
  <si>
    <t>27040</t>
  </si>
  <si>
    <t>8480</t>
  </si>
  <si>
    <t>34057</t>
  </si>
  <si>
    <t>14/04/2026 03:37:04 PM</t>
  </si>
  <si>
    <t>14/04/2026 03:42:23 PM</t>
  </si>
  <si>
    <t>35040</t>
  </si>
  <si>
    <t>34058</t>
  </si>
  <si>
    <t>14/04/2026 03:40:05 PM</t>
  </si>
  <si>
    <t>14/04/2026 03:46:50 PM</t>
  </si>
  <si>
    <t>34059</t>
  </si>
  <si>
    <t>14/04/2026 03:44:56 PM</t>
  </si>
  <si>
    <t>14/04/2026 04:18:57 PM</t>
  </si>
  <si>
    <t>14/04/2026 03:50:43 PM</t>
  </si>
  <si>
    <t>14/04/2026 04:13:13 PM</t>
  </si>
  <si>
    <t>34061</t>
  </si>
  <si>
    <t>14/04/2026 03:55:59 PM</t>
  </si>
  <si>
    <t>14/04/2026 04:19:48 PM</t>
  </si>
  <si>
    <t>34062</t>
  </si>
  <si>
    <t>14/04/2026 04:22:19 PM</t>
  </si>
  <si>
    <t>14/04/2026 04:29:15 PM</t>
  </si>
  <si>
    <t>34063</t>
  </si>
  <si>
    <t>14/04/2026 04:26:23 PM</t>
  </si>
  <si>
    <t>14/04/2026 04:32:40 PM</t>
  </si>
  <si>
    <t>12580</t>
  </si>
  <si>
    <t>34064</t>
  </si>
  <si>
    <t>14/04/2026 04:31:31 PM</t>
  </si>
  <si>
    <t>14/04/2026 04:39:05 PM</t>
  </si>
  <si>
    <t>34065</t>
  </si>
  <si>
    <t>14/04/2026 04:37:51 PM</t>
  </si>
  <si>
    <t>14/04/2026 04:43:02 PM</t>
  </si>
  <si>
    <t>30740</t>
  </si>
  <si>
    <t>34066</t>
  </si>
  <si>
    <t>14/04/2026 04:40:24 PM</t>
  </si>
  <si>
    <t>14/04/2026 04:45:11 PM</t>
  </si>
  <si>
    <t>8160</t>
  </si>
  <si>
    <t>34067</t>
  </si>
  <si>
    <t>14/04/2026 04:53:48 PM</t>
  </si>
  <si>
    <t>14/04/2026 04:59:27 PM</t>
  </si>
  <si>
    <t>34068</t>
  </si>
  <si>
    <t>14/04/2026 04:58:11 PM</t>
  </si>
  <si>
    <t>14/04/2026 05:02:47 PM</t>
  </si>
  <si>
    <t>28640</t>
  </si>
  <si>
    <t>10700</t>
  </si>
  <si>
    <t>34069</t>
  </si>
  <si>
    <t>14/04/2026 05:05:57 PM</t>
  </si>
  <si>
    <t>14/04/2026 05:15:33 PM</t>
  </si>
  <si>
    <t>34070</t>
  </si>
  <si>
    <t>14/04/2026 05:11:53 PM</t>
  </si>
  <si>
    <t>14/04/2026 05:17:43 PM</t>
  </si>
  <si>
    <t>34071</t>
  </si>
  <si>
    <t>14/04/2026 05:14:27 PM</t>
  </si>
  <si>
    <t>14/04/2026 05:19:44 PM</t>
  </si>
  <si>
    <t>29400</t>
  </si>
  <si>
    <t>8120</t>
  </si>
  <si>
    <t>34072</t>
  </si>
  <si>
    <t>14/04/2026 05:24:54 PM</t>
  </si>
  <si>
    <t>14/04/2026 05:31:34 PM</t>
  </si>
  <si>
    <t>35980</t>
  </si>
  <si>
    <t>34073</t>
  </si>
  <si>
    <t>14/04/2026 05:30:06 PM</t>
  </si>
  <si>
    <t>14/04/2026 05:35:35 PM</t>
  </si>
  <si>
    <t>34074</t>
  </si>
  <si>
    <t>14/04/2026 05:33:26 PM</t>
  </si>
  <si>
    <t>14/04/2026 05:38:53 PM</t>
  </si>
  <si>
    <t>39000</t>
  </si>
  <si>
    <t>13340</t>
  </si>
  <si>
    <t>34075</t>
  </si>
  <si>
    <t>14/04/2026 05:39:58 PM</t>
  </si>
  <si>
    <t>14/04/2026 05:46:53 PM</t>
  </si>
  <si>
    <t>34076</t>
  </si>
  <si>
    <t>14/04/2026 05:45:35 PM</t>
  </si>
  <si>
    <t>14/04/2026 05:53:18 PM</t>
  </si>
  <si>
    <t>34077</t>
  </si>
  <si>
    <t>14/04/2026 05:50:20 PM</t>
  </si>
  <si>
    <t>14/04/2026 05:57:18 PM</t>
  </si>
  <si>
    <t>26200</t>
  </si>
  <si>
    <t>14160</t>
  </si>
  <si>
    <t>34078</t>
  </si>
  <si>
    <t>14/04/2026 05:58:29 PM</t>
  </si>
  <si>
    <t>14/04/2026 06:03:27 PM</t>
  </si>
  <si>
    <t>34079</t>
  </si>
  <si>
    <t>14/04/2026 06:23:16 PM</t>
  </si>
  <si>
    <t>14/04/2026 06:38:40 PM</t>
  </si>
  <si>
    <t>14/04/2026 06:26:47 PM</t>
  </si>
  <si>
    <t>14/04/2026 06:40:30 PM</t>
  </si>
  <si>
    <t>34081</t>
  </si>
  <si>
    <t>14/04/2026 06:28:09 PM</t>
  </si>
  <si>
    <t>14/04/2026 06:43:02 PM</t>
  </si>
  <si>
    <t>34082</t>
  </si>
  <si>
    <t>14/04/2026 06:30:28 PM</t>
  </si>
  <si>
    <t>14/04/2026 06:47:37 PM</t>
  </si>
  <si>
    <t>34083</t>
  </si>
  <si>
    <t>14/04/2026 06:59:27 PM</t>
  </si>
  <si>
    <t>14/04/2026 07:15:41 PM</t>
  </si>
  <si>
    <t>34084</t>
  </si>
  <si>
    <t>14/04/2026 07:01:49 PM</t>
  </si>
  <si>
    <t>14/04/2026 07:24:56 PM</t>
  </si>
  <si>
    <t>34085</t>
  </si>
  <si>
    <t>14/04/2026 07:03:39 PM</t>
  </si>
  <si>
    <t>14/04/2026 07:19:29 PM</t>
  </si>
  <si>
    <t>34086</t>
  </si>
  <si>
    <t>14/04/2026 07:06:58 PM</t>
  </si>
  <si>
    <t>14/04/2026 07:20:24 PM</t>
  </si>
  <si>
    <t>34087</t>
  </si>
  <si>
    <t>14/04/2026 09:08:06 PM</t>
  </si>
  <si>
    <t>14/04/2026 09:16:43 PM</t>
  </si>
  <si>
    <t>34088</t>
  </si>
  <si>
    <t>14/04/2026 09:11:06 PM</t>
  </si>
  <si>
    <t>14/04/2026 09:18:29 PM</t>
  </si>
  <si>
    <t>34089</t>
  </si>
  <si>
    <t>14/04/2026 09:12:27 PM</t>
  </si>
  <si>
    <t>14/04/2026 09:19:53 PM</t>
  </si>
  <si>
    <t>37580</t>
  </si>
  <si>
    <t>34090</t>
  </si>
  <si>
    <t>14/04/2026 09:15:37 PM</t>
  </si>
  <si>
    <t>14/04/2026 09:25:36 PM</t>
  </si>
  <si>
    <t>34091</t>
  </si>
  <si>
    <t>14/04/2026 09:40:13 PM</t>
  </si>
  <si>
    <t>14/04/2026 09:46:28 PM</t>
  </si>
  <si>
    <t>34092</t>
  </si>
  <si>
    <t>14/04/2026 09:49:05 PM</t>
  </si>
  <si>
    <t>14/04/2026 09:54:09 PM</t>
  </si>
  <si>
    <t>34093</t>
  </si>
  <si>
    <t>14/04/2026 09:50:05 PM</t>
  </si>
  <si>
    <t>14/04/2026 09:55:58 PM</t>
  </si>
  <si>
    <t>34094</t>
  </si>
  <si>
    <t>14/04/2026 09:52:49 PM</t>
  </si>
  <si>
    <t>14/04/2026 09:58:19 PM</t>
  </si>
  <si>
    <t>34095</t>
  </si>
  <si>
    <t>14/04/2026 10:09:12 PM</t>
  </si>
  <si>
    <t>14/04/2026 10:14:23 PM</t>
  </si>
  <si>
    <t>34096</t>
  </si>
  <si>
    <t>14/04/2026 10:36:32 PM</t>
  </si>
  <si>
    <t>14/04/2026 10:43:29 PM</t>
  </si>
  <si>
    <t>34097</t>
  </si>
  <si>
    <t>14/04/2026 10:37:29 PM</t>
  </si>
  <si>
    <t>14/04/2026 10:44:21 PM</t>
  </si>
  <si>
    <t>34098</t>
  </si>
  <si>
    <t>14/04/2026 10:38:31 PM</t>
  </si>
  <si>
    <t>14/04/2026 10:46:59 PM</t>
  </si>
  <si>
    <t>23560</t>
  </si>
  <si>
    <t>34099</t>
  </si>
  <si>
    <t>14/04/2026 10:39:37 PM</t>
  </si>
  <si>
    <t>14/04/2026 10:48:15 PM</t>
  </si>
  <si>
    <t>14/04/2026 10:40:35 PM</t>
  </si>
  <si>
    <t>14/04/2026 10:49:59 PM</t>
  </si>
  <si>
    <t>34101</t>
  </si>
  <si>
    <t>14/04/2026 11:05:25 PM</t>
  </si>
  <si>
    <t>14/04/2026 11:15:16 PM</t>
  </si>
  <si>
    <t>34102</t>
  </si>
  <si>
    <t>14/04/2026 11:10:38 PM</t>
  </si>
  <si>
    <t>14/04/2026 11:17:07 PM</t>
  </si>
  <si>
    <t>34103</t>
  </si>
  <si>
    <t>14/04/2026 11:16:13 PM</t>
  </si>
  <si>
    <t>14/04/2026 11:22:41 PM</t>
  </si>
  <si>
    <t>34104</t>
  </si>
  <si>
    <t>14/04/2026 11:21:02 PM</t>
  </si>
  <si>
    <t>14/04/2026 11:28:14 PM</t>
  </si>
  <si>
    <t>24820</t>
  </si>
  <si>
    <t>34105</t>
  </si>
  <si>
    <t>14/04/2026 11:25:48 PM</t>
  </si>
  <si>
    <t>15/04/2026 12:57:35 AM</t>
  </si>
  <si>
    <t>34106</t>
  </si>
  <si>
    <t>14/04/2026 11:36:11 PM</t>
  </si>
  <si>
    <t>15/04/2026 01:02:21 AM</t>
  </si>
  <si>
    <t>34107</t>
  </si>
  <si>
    <t>14/04/2026 11:40:49 PM</t>
  </si>
  <si>
    <t>15/04/2026 12:59:16 AM</t>
  </si>
  <si>
    <t>34108</t>
  </si>
  <si>
    <t>14/04/2026 11:46:39 PM</t>
  </si>
  <si>
    <t>15/04/2026 01:03:52 AM</t>
  </si>
  <si>
    <t>25240</t>
  </si>
  <si>
    <t>34109</t>
  </si>
  <si>
    <t>15/04/2026 01:11:19 AM</t>
  </si>
  <si>
    <t>15/04/2026 01:16:41 AM</t>
  </si>
  <si>
    <t>34110</t>
  </si>
  <si>
    <t>15/04/2026 01:18:11 AM</t>
  </si>
  <si>
    <t>15/04/2026 01:23:46 AM</t>
  </si>
  <si>
    <t>34111</t>
  </si>
  <si>
    <t>15/04/2026 01:22:33 AM</t>
  </si>
  <si>
    <t>15/04/2026 01:29:18 AM</t>
  </si>
  <si>
    <t>34112</t>
  </si>
  <si>
    <t>15/04/2026 01:26:05 AM</t>
  </si>
  <si>
    <t>15/04/2026 01:31:57 AM</t>
  </si>
  <si>
    <t>34113</t>
  </si>
  <si>
    <t>15/04/2026 01:30:44 AM</t>
  </si>
  <si>
    <t>15/04/2026 01:36:38 AM</t>
  </si>
  <si>
    <t>34114</t>
  </si>
  <si>
    <t>15/04/2026 01:34:04 AM</t>
  </si>
  <si>
    <t>15/04/2026 02:01:06 AM</t>
  </si>
  <si>
    <t>34115</t>
  </si>
  <si>
    <t>15/04/2026 01:39:30 AM</t>
  </si>
  <si>
    <t>15/04/2026 02:05:03 AM</t>
  </si>
  <si>
    <t>34116</t>
  </si>
  <si>
    <t>15/04/2026 01:44:32 AM</t>
  </si>
  <si>
    <t>15/04/2026 02:07:04 AM</t>
  </si>
  <si>
    <t>34117</t>
  </si>
  <si>
    <t>15/04/2026 01:49:35 AM</t>
  </si>
  <si>
    <t>15/04/2026 02:09:35 AM</t>
  </si>
  <si>
    <t>34118</t>
  </si>
  <si>
    <t>15/04/2026 02:11:07 AM</t>
  </si>
  <si>
    <t>15/04/2026 02:16:05 AM</t>
  </si>
  <si>
    <t>34119</t>
  </si>
  <si>
    <t>15/04/2026 02:14:57 AM</t>
  </si>
  <si>
    <t>15/04/2026 02:20:01 AM</t>
  </si>
  <si>
    <t>15/04/2026 02:21:45 AM</t>
  </si>
  <si>
    <t>15/04/2026 02:26:48 AM</t>
  </si>
  <si>
    <t>34121</t>
  </si>
  <si>
    <t>15/04/2026 02:25:24 AM</t>
  </si>
  <si>
    <t>15/04/2026 02:31:21 AM</t>
  </si>
  <si>
    <t>34122</t>
  </si>
  <si>
    <t>15/04/2026 02:30:02 AM</t>
  </si>
  <si>
    <t>15/04/2026 02:36:44 AM</t>
  </si>
  <si>
    <t>34123</t>
  </si>
  <si>
    <t>15/04/2026 02:38:04 AM</t>
  </si>
  <si>
    <t>15/04/2026 02:42:46 AM</t>
  </si>
  <si>
    <t>34124</t>
  </si>
  <si>
    <t>15/04/2026 03:01:23 AM</t>
  </si>
  <si>
    <t>15/04/2026 03:07:15 AM</t>
  </si>
  <si>
    <t>34125</t>
  </si>
  <si>
    <t>15/04/2026 03:05:51 AM</t>
  </si>
  <si>
    <t>15/04/2026 03:13:03 AM</t>
  </si>
  <si>
    <t>34126</t>
  </si>
  <si>
    <t>15/04/2026 03:09:47 AM</t>
  </si>
  <si>
    <t>15/04/2026 03:14:42 AM</t>
  </si>
  <si>
    <t>34127</t>
  </si>
  <si>
    <t>15/04/2026 03:16:01 AM</t>
  </si>
  <si>
    <t>15/04/2026 03:22:44 AM</t>
  </si>
  <si>
    <t>34128</t>
  </si>
  <si>
    <t>15/04/2026 03:18:40 AM</t>
  </si>
  <si>
    <t>15/04/2026 04:41:51 AM</t>
  </si>
  <si>
    <t>34129</t>
  </si>
  <si>
    <t>15/04/2026 03:21:36 AM</t>
  </si>
  <si>
    <t>15/04/2026 04:59:10 AM</t>
  </si>
  <si>
    <t>34130</t>
  </si>
  <si>
    <t>15/04/2026 03:26:58 AM</t>
  </si>
  <si>
    <t>15/04/2026 04:50:43 AM</t>
  </si>
  <si>
    <t>34131</t>
  </si>
  <si>
    <t>15/04/2026 03:31:35 AM</t>
  </si>
  <si>
    <t>15/04/2026 04:48:01 AM</t>
  </si>
  <si>
    <t>34132</t>
  </si>
  <si>
    <t>15/04/2026 04:52:17 AM</t>
  </si>
  <si>
    <t>15/04/2026 04:56:47 AM</t>
  </si>
  <si>
    <t>14380</t>
  </si>
  <si>
    <t>34133</t>
  </si>
  <si>
    <t>15/04/2026 05:00:15 AM</t>
  </si>
  <si>
    <t>15/04/2026 05:07:14 AM</t>
  </si>
  <si>
    <t>34134</t>
  </si>
  <si>
    <t>15/04/2026 05:03:52 AM</t>
  </si>
  <si>
    <t>15/04/2026 05:11:49 AM</t>
  </si>
  <si>
    <t>34135</t>
  </si>
  <si>
    <t>15/04/2026 05:13:02 AM</t>
  </si>
  <si>
    <t>15/04/2026 05:17:35 AM</t>
  </si>
  <si>
    <t>34136</t>
  </si>
  <si>
    <t>15/04/2026 05:14:30 AM</t>
  </si>
  <si>
    <t>15/04/2026 05:52:10 AM</t>
  </si>
  <si>
    <t>34137</t>
  </si>
  <si>
    <t>15/04/2026 05:20:49 AM</t>
  </si>
  <si>
    <t>15/04/2026 07:25:45 AM</t>
  </si>
  <si>
    <t>34138</t>
  </si>
  <si>
    <t>15/04/2026 05:29:09 AM</t>
  </si>
  <si>
    <t>15/04/2026 05:34:55 AM</t>
  </si>
  <si>
    <t>34139</t>
  </si>
  <si>
    <t>15/04/2026 05:32:01 AM</t>
  </si>
  <si>
    <t>15/04/2026 07:24:39 AM</t>
  </si>
  <si>
    <t>15/04/2026 05:36:48 AM</t>
  </si>
  <si>
    <t>15/04/2026 07:27:58 AM</t>
  </si>
  <si>
    <t>34141</t>
  </si>
  <si>
    <t>15/04/2026 05:42:32 AM</t>
  </si>
  <si>
    <t>15/04/2026 07:32:33 AM</t>
  </si>
  <si>
    <t>34142</t>
  </si>
  <si>
    <t>15/04/2026 09:08:53 AM</t>
  </si>
  <si>
    <t>15/04/2026 09:15:47 AM</t>
  </si>
  <si>
    <t>34143</t>
  </si>
  <si>
    <t>15/04/2026 09:12:09 AM</t>
  </si>
  <si>
    <t>15/04/2026 09:18:14 AM</t>
  </si>
  <si>
    <t>34144</t>
  </si>
  <si>
    <t>15/04/2026 09:50:23 AM</t>
  </si>
  <si>
    <t>15/04/2026 10:00:17 AM</t>
  </si>
  <si>
    <t>34145</t>
  </si>
  <si>
    <t>15/04/2026 09:53:59 AM</t>
  </si>
  <si>
    <t>15/04/2026 10:02:20 AM</t>
  </si>
  <si>
    <t>34146</t>
  </si>
  <si>
    <t>15/04/2026 09:56:42 AM</t>
  </si>
  <si>
    <t>15/04/2026 10:06:56 AM</t>
  </si>
  <si>
    <t>34147</t>
  </si>
  <si>
    <t>15/04/2026 10:05:53 AM</t>
  </si>
  <si>
    <t>15/04/2026 10:11:59 AM</t>
  </si>
  <si>
    <t>34148</t>
  </si>
  <si>
    <t>15/04/2026 10:09:39 AM</t>
  </si>
  <si>
    <t>15/04/2026 10:39:31 AM</t>
  </si>
  <si>
    <t>34149</t>
  </si>
  <si>
    <t>15/04/2026 10:15:40 AM</t>
  </si>
  <si>
    <t>15/04/2026 10:40:35 AM</t>
  </si>
  <si>
    <t>34150</t>
  </si>
  <si>
    <t>15/04/2026 10:19:38 AM</t>
  </si>
  <si>
    <t>15/04/2026 10:50:14 AM</t>
  </si>
  <si>
    <t>34151</t>
  </si>
  <si>
    <t>15/04/2026 10:51:15 AM</t>
  </si>
  <si>
    <t>15/04/2026 10:58:35 AM</t>
  </si>
  <si>
    <t>34152</t>
  </si>
  <si>
    <t>15/04/2026 10:53:00 AM</t>
  </si>
  <si>
    <t>15/04/2026 10:59:55 AM</t>
  </si>
  <si>
    <t>34153</t>
  </si>
  <si>
    <t>15/04/2026 10:56:30 AM</t>
  </si>
  <si>
    <t>15/04/2026 11:02:44 AM</t>
  </si>
  <si>
    <t>34154</t>
  </si>
  <si>
    <t>15/04/2026 11:03:55 AM</t>
  </si>
  <si>
    <t>15/04/2026 11:09:19 AM</t>
  </si>
  <si>
    <t>34155</t>
  </si>
  <si>
    <t>15/04/2026 11:07:42 AM</t>
  </si>
  <si>
    <t>15/04/2026 11:14:11 AM</t>
  </si>
  <si>
    <t>34156</t>
  </si>
  <si>
    <t>15/04/2026 11:10:41 AM</t>
  </si>
  <si>
    <t>15/04/2026 11:16:25 AM</t>
  </si>
  <si>
    <t>34157</t>
  </si>
  <si>
    <t>15/04/2026 11:15:08 AM</t>
  </si>
  <si>
    <t>15/04/2026 11:37:19 AM</t>
  </si>
  <si>
    <t>34158</t>
  </si>
  <si>
    <t>15/04/2026 11:30:14 AM</t>
  </si>
  <si>
    <t>15/04/2026 11:38:58 AM</t>
  </si>
  <si>
    <t>34159</t>
  </si>
  <si>
    <t>15/04/2026 11:31:27 AM</t>
  </si>
  <si>
    <t>15/04/2026 11:40:28 AM</t>
  </si>
  <si>
    <t>15/04/2026 11:42:43 AM</t>
  </si>
  <si>
    <t>15/04/2026 12:03:27 PM</t>
  </si>
  <si>
    <t>34161</t>
  </si>
  <si>
    <t>15/04/2026 11:45:58 AM</t>
  </si>
  <si>
    <t>15/04/2026 12:07:27 PM</t>
  </si>
  <si>
    <t>34162</t>
  </si>
  <si>
    <t>15/04/2026 11:49:54 AM</t>
  </si>
  <si>
    <t>15/04/2026 12:05:34 PM</t>
  </si>
  <si>
    <t>34163</t>
  </si>
  <si>
    <t>15/04/2026 12:10:12 PM</t>
  </si>
  <si>
    <t>15/04/2026 12:28:27 PM</t>
  </si>
  <si>
    <t>34164</t>
  </si>
  <si>
    <t>15/04/2026 12:13:34 PM</t>
  </si>
  <si>
    <t>15/04/2026 12:31:13 PM</t>
  </si>
  <si>
    <t>34165</t>
  </si>
  <si>
    <t>15/04/2026 12:25:18 PM</t>
  </si>
  <si>
    <t>15/04/2026 12:32:05 PM</t>
  </si>
  <si>
    <t>34166</t>
  </si>
  <si>
    <t>15/04/2026 12:33:42 PM</t>
  </si>
  <si>
    <t>15/04/2026 12:38:40 PM</t>
  </si>
  <si>
    <t>34167</t>
  </si>
  <si>
    <t>15/04/2026 12:36:38 PM</t>
  </si>
  <si>
    <t>15/04/2026 12:44:33 PM</t>
  </si>
  <si>
    <t>34168</t>
  </si>
  <si>
    <t>15/04/2026 12:43:23 PM</t>
  </si>
  <si>
    <t>15/04/2026 12:48:42 PM</t>
  </si>
  <si>
    <t>34169</t>
  </si>
  <si>
    <t>15/04/2026 12:45:38 PM</t>
  </si>
  <si>
    <t>15/04/2026 12:50:21 PM</t>
  </si>
  <si>
    <t>26080</t>
  </si>
  <si>
    <t>34170</t>
  </si>
  <si>
    <t>15/04/2026 12:49:28 PM</t>
  </si>
  <si>
    <t>15/04/2026 12:56:45 PM</t>
  </si>
  <si>
    <t>34171</t>
  </si>
  <si>
    <t>15/04/2026 12:55:59 PM</t>
  </si>
  <si>
    <t>15/04/2026 01:00:47 PM</t>
  </si>
  <si>
    <t>34172</t>
  </si>
  <si>
    <t>15/04/2026 12:57:37 PM</t>
  </si>
  <si>
    <t>15/04/2026 01:02:17 PM</t>
  </si>
  <si>
    <t>34173</t>
  </si>
  <si>
    <t>15/04/2026 01:15:13 PM</t>
  </si>
  <si>
    <t>15/04/2026 01:20:09 PM</t>
  </si>
  <si>
    <t>34174</t>
  </si>
  <si>
    <t>15/04/2026 01:24:33 PM</t>
  </si>
  <si>
    <t>15/04/2026 01:32:55 PM</t>
  </si>
  <si>
    <t>34175</t>
  </si>
  <si>
    <t>15/04/2026 01:28:14 PM</t>
  </si>
  <si>
    <t>15/04/2026 01:34:16 PM</t>
  </si>
  <si>
    <t>34176</t>
  </si>
  <si>
    <t>15/04/2026 01:37:53 PM</t>
  </si>
  <si>
    <t>15/04/2026 01:48:55 PM</t>
  </si>
  <si>
    <t>34177</t>
  </si>
  <si>
    <t>15/04/2026 01:40:59 PM</t>
  </si>
  <si>
    <t>15/04/2026 01:49:59 PM</t>
  </si>
  <si>
    <t>34178</t>
  </si>
  <si>
    <t>15/04/2026 01:50:54 PM</t>
  </si>
  <si>
    <t>15/04/2026 01:59:34 PM</t>
  </si>
  <si>
    <t>34179</t>
  </si>
  <si>
    <t>15/04/2026 01:54:09 PM</t>
  </si>
  <si>
    <t>15/04/2026 02:02:23 PM</t>
  </si>
  <si>
    <t>15/04/2026 01:57:45 PM</t>
  </si>
  <si>
    <t>15/04/2026 02:04:51 PM</t>
  </si>
  <si>
    <t>34181</t>
  </si>
  <si>
    <t>15/04/2026 02:24:24 PM</t>
  </si>
  <si>
    <t>15/04/2026 02:29:20 PM</t>
  </si>
  <si>
    <t>34182</t>
  </si>
  <si>
    <t>15/04/2026 02:28:26 PM</t>
  </si>
  <si>
    <t>15/04/2026 02:33:35 PM</t>
  </si>
  <si>
    <t>22820</t>
  </si>
  <si>
    <t>34183</t>
  </si>
  <si>
    <t>15/04/2026 02:31:19 PM</t>
  </si>
  <si>
    <t>15/04/2026 02:36:46 PM</t>
  </si>
  <si>
    <t>34184</t>
  </si>
  <si>
    <t>15/04/2026 02:34:56 PM</t>
  </si>
  <si>
    <t>15/04/2026 02:40:19 PM</t>
  </si>
  <si>
    <t>34185</t>
  </si>
  <si>
    <t>15/04/2026 02:39:15 PM</t>
  </si>
  <si>
    <t>15/04/2026 02:47:13 PM</t>
  </si>
  <si>
    <t>34186</t>
  </si>
  <si>
    <t>15/04/2026 02:44:20 PM</t>
  </si>
  <si>
    <t>15/04/2026 02:53:02 PM</t>
  </si>
  <si>
    <t>34187</t>
  </si>
  <si>
    <t>15/04/2026 02:51:38 PM</t>
  </si>
  <si>
    <t>15/04/2026 02:56:27 PM</t>
  </si>
  <si>
    <t>34188</t>
  </si>
  <si>
    <t>15/04/2026 02:55:08 PM</t>
  </si>
  <si>
    <t>15/04/2026 03:00:51 PM</t>
  </si>
  <si>
    <t>34189</t>
  </si>
  <si>
    <t>15/04/2026 02:58:33 PM</t>
  </si>
  <si>
    <t>15/04/2026 03:04:57 PM</t>
  </si>
  <si>
    <t>34190</t>
  </si>
  <si>
    <t>15/04/2026 03:01:47 PM</t>
  </si>
  <si>
    <t>15/04/2026 03:10:02 PM</t>
  </si>
  <si>
    <t>34191</t>
  </si>
  <si>
    <t>15/04/2026 03:06:08 PM</t>
  </si>
  <si>
    <t>15/04/2026 03:11:06 PM</t>
  </si>
  <si>
    <t>34192</t>
  </si>
  <si>
    <t>15/04/2026 03:08:55 PM</t>
  </si>
  <si>
    <t>15/04/2026 03:21:01 PM</t>
  </si>
  <si>
    <t>34193</t>
  </si>
  <si>
    <t>15/04/2026 03:13:18 PM</t>
  </si>
  <si>
    <t>15/04/2026 03:22:52 PM</t>
  </si>
  <si>
    <t>34194</t>
  </si>
  <si>
    <t>15/04/2026 03:19:51 PM</t>
  </si>
  <si>
    <t>15/04/2026 03:25:12 PM</t>
  </si>
  <si>
    <t>34195</t>
  </si>
  <si>
    <t>15/04/2026 03:21:49 PM</t>
  </si>
  <si>
    <t>15/04/2026 03:45:08 PM</t>
  </si>
  <si>
    <t>34196</t>
  </si>
  <si>
    <t>15/04/2026 03:26:34 PM</t>
  </si>
  <si>
    <t>15/04/2026 03:57:55 PM</t>
  </si>
  <si>
    <t>34197</t>
  </si>
  <si>
    <t>15/04/2026 03:30:32 PM</t>
  </si>
  <si>
    <t>15/04/2026 04:00:37 PM</t>
  </si>
  <si>
    <t>34198</t>
  </si>
  <si>
    <t>15/04/2026 03:33:13 PM</t>
  </si>
  <si>
    <t>15/04/2026 03:59:43 PM</t>
  </si>
  <si>
    <t>34199</t>
  </si>
  <si>
    <t>15/04/2026 04:04:34 PM</t>
  </si>
  <si>
    <t>15/04/2026 04:09:37 PM</t>
  </si>
  <si>
    <t>15/04/2026 04:06:02 PM</t>
  </si>
  <si>
    <t>15/04/2026 04:10:21 PM</t>
  </si>
  <si>
    <t>34201</t>
  </si>
  <si>
    <t>15/04/2026 04:11:25 PM</t>
  </si>
  <si>
    <t>15/04/2026 04:16:18 PM</t>
  </si>
  <si>
    <t>34202</t>
  </si>
  <si>
    <t>15/04/2026 04:14:31 PM</t>
  </si>
  <si>
    <t>15/04/2026 04:19:05 PM</t>
  </si>
  <si>
    <t>34203</t>
  </si>
  <si>
    <t>15/04/2026 04:17:17 PM</t>
  </si>
  <si>
    <t>15/04/2026 04:23:01 PM</t>
  </si>
  <si>
    <t>34204</t>
  </si>
  <si>
    <t>15/04/2026 04:21:48 PM</t>
  </si>
  <si>
    <t>15/04/2026 04:26:55 PM</t>
  </si>
  <si>
    <t>34205</t>
  </si>
  <si>
    <t>15/04/2026 04:28:34 PM</t>
  </si>
  <si>
    <t>15/04/2026 04:32:52 PM</t>
  </si>
  <si>
    <t>34206</t>
  </si>
  <si>
    <t>15/04/2026 04:56:24 PM</t>
  </si>
  <si>
    <t>15/04/2026 05:01:21 PM</t>
  </si>
  <si>
    <t>34207</t>
  </si>
  <si>
    <t>15/04/2026 05:02:36 PM</t>
  </si>
  <si>
    <t>15/04/2026 05:07:27 PM</t>
  </si>
  <si>
    <t>34208</t>
  </si>
  <si>
    <t>15/04/2026 05:06:21 PM</t>
  </si>
  <si>
    <t>15/04/2026 05:10:13 PM</t>
  </si>
  <si>
    <t>34209</t>
  </si>
  <si>
    <t>15/04/2026 05:13:06 PM</t>
  </si>
  <si>
    <t>15/04/2026 05:19:26 PM</t>
  </si>
  <si>
    <t>34210</t>
  </si>
  <si>
    <t>15/04/2026 06:41:21 PM</t>
  </si>
  <si>
    <t>15/04/2026 06:45:51 PM</t>
  </si>
  <si>
    <t>34211</t>
  </si>
  <si>
    <t>15/04/2026 06:52:48 PM</t>
  </si>
  <si>
    <t>15/04/2026 07:05:12 PM</t>
  </si>
  <si>
    <t>34212</t>
  </si>
  <si>
    <t>15/04/2026 06:55:15 PM</t>
  </si>
  <si>
    <t>15/04/2026 07:08:02 PM</t>
  </si>
  <si>
    <t>34213</t>
  </si>
  <si>
    <t>15/04/2026 06:58:53 PM</t>
  </si>
  <si>
    <t>15/04/2026 07:11:06 PM</t>
  </si>
  <si>
    <t>34214</t>
  </si>
  <si>
    <t>15/04/2026 07:13:55 PM</t>
  </si>
  <si>
    <t>15/04/2026 07:31:03 PM</t>
  </si>
  <si>
    <t>34215</t>
  </si>
  <si>
    <t>15/04/2026 07:17:39 PM</t>
  </si>
  <si>
    <t>15/04/2026 07:31:57 PM</t>
  </si>
  <si>
    <t>34216</t>
  </si>
  <si>
    <t>North Mine to Direct Pile (Bypass Crusher)</t>
  </si>
  <si>
    <t>15/04/2026 09:13:01 PM</t>
  </si>
  <si>
    <t>15/04/2026 09:34:42 PM</t>
  </si>
  <si>
    <t>34217</t>
  </si>
  <si>
    <t>15/04/2026 09:16:46 PM</t>
  </si>
  <si>
    <t>15/04/2026 09:45:30 PM</t>
  </si>
  <si>
    <t>34218</t>
  </si>
  <si>
    <t>15/04/2026 09:22:54 PM</t>
  </si>
  <si>
    <t>15/04/2026 09:50:53 PM</t>
  </si>
  <si>
    <t>34219</t>
  </si>
  <si>
    <t>15/04/2026 09:27:03 PM</t>
  </si>
  <si>
    <t>15/04/2026 09:59:12 PM</t>
  </si>
  <si>
    <t>15/04/2026 09:36:27 PM</t>
  </si>
  <si>
    <t>15/04/2026 09:54:37 PM</t>
  </si>
  <si>
    <t>34221</t>
  </si>
  <si>
    <t>15/04/2026 09:49:19 PM</t>
  </si>
  <si>
    <t>15/04/2026 10:00:30 PM</t>
  </si>
  <si>
    <t>34222</t>
  </si>
  <si>
    <t>15/04/2026 10:02:17 PM</t>
  </si>
  <si>
    <t>15/04/2026 10:15:40 PM</t>
  </si>
  <si>
    <t>34223</t>
  </si>
  <si>
    <t>15/04/2026 10:08:07 PM</t>
  </si>
  <si>
    <t>15/04/2026 10:21:39 PM</t>
  </si>
  <si>
    <t>34224</t>
  </si>
  <si>
    <t>15/04/2026 10:37:18 PM</t>
  </si>
  <si>
    <t>15/04/2026 10:57:48 PM</t>
  </si>
  <si>
    <t>34225</t>
  </si>
  <si>
    <t>15/04/2026 10:38:55 PM</t>
  </si>
  <si>
    <t>15/04/2026 11:00:29 PM</t>
  </si>
  <si>
    <t>34226</t>
  </si>
  <si>
    <t>15/04/2026 10:45:32 PM</t>
  </si>
  <si>
    <t>15/04/2026 11:10:56 PM</t>
  </si>
  <si>
    <t>34227</t>
  </si>
  <si>
    <t>15/04/2026 11:03:23 PM</t>
  </si>
  <si>
    <t>15/04/2026 11:09:04 PM</t>
  </si>
  <si>
    <t>34228</t>
  </si>
  <si>
    <t>15/04/2026 11:07:06 PM</t>
  </si>
  <si>
    <t>15/04/2026 11:27:22 PM</t>
  </si>
  <si>
    <t>34229</t>
  </si>
  <si>
    <t>15/04/2026 11:25:07 PM</t>
  </si>
  <si>
    <t>15/04/2026 11:42:42 PM</t>
  </si>
  <si>
    <t>34230</t>
  </si>
  <si>
    <t>15/04/2026 11:26:14 PM</t>
  </si>
  <si>
    <t>15/04/2026 11:45:39 PM</t>
  </si>
  <si>
    <t>34231</t>
  </si>
  <si>
    <t>15/04/2026 11:33:37 PM</t>
  </si>
  <si>
    <t>15/04/2026 11:47:27 PM</t>
  </si>
  <si>
    <t>34240</t>
  </si>
  <si>
    <t>34232</t>
  </si>
  <si>
    <t>15/04/2026 11:49:13 PM</t>
  </si>
  <si>
    <t>15/04/2026 11:58:44 PM</t>
  </si>
  <si>
    <t>34233</t>
  </si>
  <si>
    <t>15/04/2026 11:53:33 PM</t>
  </si>
  <si>
    <t>16/04/2026 12:00:25 AM</t>
  </si>
  <si>
    <t>34234</t>
  </si>
  <si>
    <t>15/04/2026 11:57:15 PM</t>
  </si>
  <si>
    <t>16/04/2026 12:07:09 AM</t>
  </si>
  <si>
    <t>34235</t>
  </si>
  <si>
    <t>16/04/2026 12:05:55 AM</t>
  </si>
  <si>
    <t>16/04/2026 12:12:07 AM</t>
  </si>
  <si>
    <t>34236</t>
  </si>
  <si>
    <t>16/04/2026 12:10:51 AM</t>
  </si>
  <si>
    <t>16/04/2026 12:38:33 AM</t>
  </si>
  <si>
    <t>34237</t>
  </si>
  <si>
    <t>16/04/2026 12:14:31 AM</t>
  </si>
  <si>
    <t>16/04/2026 12:41:07 AM</t>
  </si>
  <si>
    <t>34238</t>
  </si>
  <si>
    <t>16/04/2026 12:21:59 AM</t>
  </si>
  <si>
    <t>16/04/2026 12:46:56 AM</t>
  </si>
  <si>
    <t>13920</t>
  </si>
  <si>
    <t>34239</t>
  </si>
  <si>
    <t>16/04/2026 12:49:09 AM</t>
  </si>
  <si>
    <t>16/04/2026 12:55:48 AM</t>
  </si>
  <si>
    <t>16/04/2026 12:54:14 AM</t>
  </si>
  <si>
    <t>16/04/2026 12:59:34 AM</t>
  </si>
  <si>
    <t>34241</t>
  </si>
  <si>
    <t>16/04/2026 01:04:25 AM</t>
  </si>
  <si>
    <t>16/04/2026 01:09:06 AM</t>
  </si>
  <si>
    <t>12440</t>
  </si>
  <si>
    <t>34242</t>
  </si>
  <si>
    <t>16/04/2026 01:16:41 AM</t>
  </si>
  <si>
    <t>16/04/2026 01:23:21 AM</t>
  </si>
  <si>
    <t>34243</t>
  </si>
  <si>
    <t>16/04/2026 02:50:35 AM</t>
  </si>
  <si>
    <t>16/04/2026 02:57:03 AM</t>
  </si>
  <si>
    <t>34244</t>
  </si>
  <si>
    <t>16/04/2026 02:53:35 AM</t>
  </si>
  <si>
    <t>16/04/2026 03:03:46 AM</t>
  </si>
  <si>
    <t>34245</t>
  </si>
  <si>
    <t>16/04/2026 03:08:24 AM</t>
  </si>
  <si>
    <t>16/04/2026 03:16:04 AM</t>
  </si>
  <si>
    <t>34246</t>
  </si>
  <si>
    <t>16/04/2026 03:13:32 AM</t>
  </si>
  <si>
    <t>16/04/2026 03:21:08 AM</t>
  </si>
  <si>
    <t>34247</t>
  </si>
  <si>
    <t>16/04/2026 03:17:33 AM</t>
  </si>
  <si>
    <t>16/04/2026 03:23:32 AM</t>
  </si>
  <si>
    <t>40200</t>
  </si>
  <si>
    <t>34248</t>
  </si>
  <si>
    <t>16/04/2026 03:25:40 AM</t>
  </si>
  <si>
    <t>16/04/2026 03:33:31 AM</t>
  </si>
  <si>
    <t>34249</t>
  </si>
  <si>
    <t>16/04/2026 03:29:52 AM</t>
  </si>
  <si>
    <t>16/04/2026 03:37:18 AM</t>
  </si>
  <si>
    <t>21740</t>
  </si>
  <si>
    <t>34250</t>
  </si>
  <si>
    <t>16/04/2026 03:34:50 AM</t>
  </si>
  <si>
    <t>16/04/2026 04:20:22 AM</t>
  </si>
  <si>
    <t>34251</t>
  </si>
  <si>
    <t>16/04/2026 03:42:53 AM</t>
  </si>
  <si>
    <t>16/04/2026 04:22:11 AM</t>
  </si>
  <si>
    <t>34252</t>
  </si>
  <si>
    <t>16/04/2026 03:46:31 AM</t>
  </si>
  <si>
    <t>16/04/2026 04:27:53 AM</t>
  </si>
  <si>
    <t>34253</t>
  </si>
  <si>
    <t>16/04/2026 04:17:32 AM</t>
  </si>
  <si>
    <t>16/04/2026 04:33:38 AM</t>
  </si>
  <si>
    <t>34254</t>
  </si>
  <si>
    <t>16/04/2026 04:28:43 AM</t>
  </si>
  <si>
    <t>16/04/2026 04:37:39 AM</t>
  </si>
  <si>
    <t>34255</t>
  </si>
  <si>
    <t>16/04/2026 04:36:46 AM</t>
  </si>
  <si>
    <t>16/04/2026 04:43:57 AM</t>
  </si>
  <si>
    <t>34256</t>
  </si>
  <si>
    <t>16/04/2026 04:41:44 AM</t>
  </si>
  <si>
    <t>16/04/2026 04:53:30 AM</t>
  </si>
  <si>
    <t>34257</t>
  </si>
  <si>
    <t>16/04/2026 04:46:56 AM</t>
  </si>
  <si>
    <t>16/04/2026 06:18:15 AM</t>
  </si>
  <si>
    <t>34258</t>
  </si>
  <si>
    <t>16/04/2026 04:52:29 AM</t>
  </si>
  <si>
    <t>16/04/2026 06:31:08 AM</t>
  </si>
  <si>
    <t>34259</t>
  </si>
  <si>
    <t>16/04/2026 06:29:26 AM</t>
  </si>
  <si>
    <t>16/04/2026 06:35:53 AM</t>
  </si>
  <si>
    <t>16/04/2026 06:32:44 AM</t>
  </si>
  <si>
    <t>16/04/2026 06:38:27 AM</t>
  </si>
  <si>
    <t>34261</t>
  </si>
  <si>
    <t>16/04/2026 06:37:04 AM</t>
  </si>
  <si>
    <t>16/04/2026 06:44:46 AM</t>
  </si>
  <si>
    <t>34262</t>
  </si>
  <si>
    <t>16/04/2026 06:42:58 AM</t>
  </si>
  <si>
    <t>16/04/2026 07:28:15 AM</t>
  </si>
  <si>
    <t>34263</t>
  </si>
  <si>
    <t>16/04/2026 06:58:28 AM</t>
  </si>
  <si>
    <t>16/04/2026 07:05:28 AM</t>
  </si>
  <si>
    <t>34264</t>
  </si>
  <si>
    <t>16/04/2026 07:01:21 AM</t>
  </si>
  <si>
    <t>16/04/2026 07:07:47 AM</t>
  </si>
  <si>
    <t>34265</t>
  </si>
  <si>
    <t>16/04/2026 07:11:46 AM</t>
  </si>
  <si>
    <t>16/04/2026 07:16:11 AM</t>
  </si>
  <si>
    <t>34266</t>
  </si>
  <si>
    <t>16/04/2026 07:15:01 AM</t>
  </si>
  <si>
    <t>16/04/2026 07:40:25 AM</t>
  </si>
  <si>
    <t>34267</t>
  </si>
  <si>
    <t>16/04/2026 07:23:04 AM</t>
  </si>
  <si>
    <t>16/04/2026 07:26:48 AM</t>
  </si>
  <si>
    <t>34268</t>
  </si>
  <si>
    <t>16/04/2026 09:11:38 AM</t>
  </si>
  <si>
    <t>16/04/2026 09:25:33 AM</t>
  </si>
  <si>
    <t>34269</t>
  </si>
  <si>
    <t>16/04/2026 09:16:32 AM</t>
  </si>
  <si>
    <t>16/04/2026 09:27:50 AM</t>
  </si>
  <si>
    <t>34270</t>
  </si>
  <si>
    <t>16/04/2026 09:19:26 AM</t>
  </si>
  <si>
    <t>16/04/2026 09:30:52 AM</t>
  </si>
  <si>
    <t>34271</t>
  </si>
  <si>
    <t>16/04/2026 09:26:40 AM</t>
  </si>
  <si>
    <t>16/04/2026 09:34:03 AM</t>
  </si>
  <si>
    <t>34272</t>
  </si>
  <si>
    <t>16/04/2026 09:33:12 AM</t>
  </si>
  <si>
    <t>16/04/2026 09:38:32 AM</t>
  </si>
  <si>
    <t>34273</t>
  </si>
  <si>
    <t>16/04/2026 09:36:50 AM</t>
  </si>
  <si>
    <t>16/04/2026 09:41:57 AM</t>
  </si>
  <si>
    <t>34274</t>
  </si>
  <si>
    <t>16/04/2026 09:39:51 AM</t>
  </si>
  <si>
    <t>16/04/2026 09:45:50 AM</t>
  </si>
  <si>
    <t>34275</t>
  </si>
  <si>
    <t>16/04/2026 09:43:45 AM</t>
  </si>
  <si>
    <t>16/04/2026 09:49:01 AM</t>
  </si>
  <si>
    <t>34276</t>
  </si>
  <si>
    <t>16/04/2026 09:58:40 AM</t>
  </si>
  <si>
    <t>16/04/2026 10:05:12 AM</t>
  </si>
  <si>
    <t>34277</t>
  </si>
  <si>
    <t>16/04/2026 09:59:57 AM</t>
  </si>
  <si>
    <t>16/04/2026 10:06:02 AM</t>
  </si>
  <si>
    <t>34278</t>
  </si>
  <si>
    <t>16/04/2026 10:04:14 AM</t>
  </si>
  <si>
    <t>16/04/2026 10:09:30 AM</t>
  </si>
  <si>
    <t>34279</t>
  </si>
  <si>
    <t>16/04/2026 10:08:20 AM</t>
  </si>
  <si>
    <t>16/04/2026 10:13:30 AM</t>
  </si>
  <si>
    <t>16/04/2026 10:12:32 AM</t>
  </si>
  <si>
    <t>16/04/2026 10:17:15 AM</t>
  </si>
  <si>
    <t>34281</t>
  </si>
  <si>
    <t>16/04/2026 10:14:34 AM</t>
  </si>
  <si>
    <t>16/04/2026 10:19:11 AM</t>
  </si>
  <si>
    <t>34282</t>
  </si>
  <si>
    <t>16/04/2026 10:18:17 AM</t>
  </si>
  <si>
    <t>16/04/2026 10:23:31 AM</t>
  </si>
  <si>
    <t>34283</t>
  </si>
  <si>
    <t>16/04/2026 10:20:15 AM</t>
  </si>
  <si>
    <t>16/04/2026 10:27:01 AM</t>
  </si>
  <si>
    <t>34284</t>
  </si>
  <si>
    <t>16/04/2026 10:26:07 AM</t>
  </si>
  <si>
    <t>16/04/2026 10:32:48 AM</t>
  </si>
  <si>
    <t>34285</t>
  </si>
  <si>
    <t>16/04/2026 10:34:07 AM</t>
  </si>
  <si>
    <t>16/04/2026 10:38:20 AM</t>
  </si>
  <si>
    <t>34286</t>
  </si>
  <si>
    <t>16/04/2026 10:35:17 AM</t>
  </si>
  <si>
    <t>16/04/2026 10:41:31 AM</t>
  </si>
  <si>
    <t>34287</t>
  </si>
  <si>
    <t>16/04/2026 10:39:33 AM</t>
  </si>
  <si>
    <t>16/04/2026 10:47:41 AM</t>
  </si>
  <si>
    <t>34288</t>
  </si>
  <si>
    <t>16/04/2026 10:43:53 AM</t>
  </si>
  <si>
    <t>16/04/2026 10:48:47 AM</t>
  </si>
  <si>
    <t>39440</t>
  </si>
  <si>
    <t>34289</t>
  </si>
  <si>
    <t>16/04/2026 10:46:51 AM</t>
  </si>
  <si>
    <t>16/04/2026 10:51:47 AM</t>
  </si>
  <si>
    <t>34290</t>
  </si>
  <si>
    <t>16/04/2026 10:49:37 AM</t>
  </si>
  <si>
    <t>16/04/2026 10:54:31 AM</t>
  </si>
  <si>
    <t>34291</t>
  </si>
  <si>
    <t>16/04/2026 10:53:38 AM</t>
  </si>
  <si>
    <t>16/04/2026 10:59:22 AM</t>
  </si>
  <si>
    <t>34292</t>
  </si>
  <si>
    <t>16/04/2026 10:58:26 AM</t>
  </si>
  <si>
    <t>16/04/2026 11:03:25 AM</t>
  </si>
  <si>
    <t>34293</t>
  </si>
  <si>
    <t>16/04/2026 11:00:34 AM</t>
  </si>
  <si>
    <t>16/04/2026 11:05:38 AM</t>
  </si>
  <si>
    <t>34294</t>
  </si>
  <si>
    <t>16/04/2026 11:04:21 AM</t>
  </si>
  <si>
    <t>16/04/2026 11:09:32 AM</t>
  </si>
  <si>
    <t>34295</t>
  </si>
  <si>
    <t>16/04/2026 11:07:24 AM</t>
  </si>
  <si>
    <t>16/04/2026 11:31:07 AM</t>
  </si>
  <si>
    <t>34296</t>
  </si>
  <si>
    <t>16/04/2026 11:11:28 AM</t>
  </si>
  <si>
    <t>16/04/2026 11:34:51 AM</t>
  </si>
  <si>
    <t>34297</t>
  </si>
  <si>
    <t>16/04/2026 11:15:48 AM</t>
  </si>
  <si>
    <t>16/04/2026 11:33:33 AM</t>
  </si>
  <si>
    <t>34298</t>
  </si>
  <si>
    <t>16/04/2026 11:19:53 AM</t>
  </si>
  <si>
    <t>16/04/2026 11:36:19 AM</t>
  </si>
  <si>
    <t>34299</t>
  </si>
  <si>
    <t>16/04/2026 11:37:22 AM</t>
  </si>
  <si>
    <t>16/04/2026 11:43:06 AM</t>
  </si>
  <si>
    <t>16/04/2026 11:38:46 AM</t>
  </si>
  <si>
    <t>16/04/2026 11:46:50 AM</t>
  </si>
  <si>
    <t>34301</t>
  </si>
  <si>
    <t>16/04/2026 11:44:30 AM</t>
  </si>
  <si>
    <t>16/04/2026 11:50:15 AM</t>
  </si>
  <si>
    <t>34302</t>
  </si>
  <si>
    <t>16/04/2026 11:47:59 AM</t>
  </si>
  <si>
    <t>16/04/2026 11:53:47 AM</t>
  </si>
  <si>
    <t>34303</t>
  </si>
  <si>
    <t>16/04/2026 11:48:55 AM</t>
  </si>
  <si>
    <t>16/04/2026 11:55:37 AM</t>
  </si>
  <si>
    <t>34304</t>
  </si>
  <si>
    <t>16/04/2026 11:53:00 AM</t>
  </si>
  <si>
    <t>16/04/2026 11:58:35 AM</t>
  </si>
  <si>
    <t>34305</t>
  </si>
  <si>
    <t>16/04/2026 11:57:23 AM</t>
  </si>
  <si>
    <t>16/04/2026 12:02:46 PM</t>
  </si>
  <si>
    <t>34306</t>
  </si>
  <si>
    <t>16/04/2026 12:00:37 PM</t>
  </si>
  <si>
    <t>16/04/2026 12:08:06 PM</t>
  </si>
  <si>
    <t>34307</t>
  </si>
  <si>
    <t>16/04/2026 12:05:34 PM</t>
  </si>
  <si>
    <t>16/04/2026 12:11:24 PM</t>
  </si>
  <si>
    <t>34308</t>
  </si>
  <si>
    <t>16/04/2026 12:10:26 PM</t>
  </si>
  <si>
    <t>16/04/2026 12:15:10 PM</t>
  </si>
  <si>
    <t>34309</t>
  </si>
  <si>
    <t>16/04/2026 12:13:43 PM</t>
  </si>
  <si>
    <t>16/04/2026 12:18:52 PM</t>
  </si>
  <si>
    <t>34310</t>
  </si>
  <si>
    <t>16/04/2026 12:22:54 PM</t>
  </si>
  <si>
    <t>16/04/2026 12:28:12 PM</t>
  </si>
  <si>
    <t>34311</t>
  </si>
  <si>
    <t>16/04/2026 12:26:09 PM</t>
  </si>
  <si>
    <t>16/04/2026 12:34:29 PM</t>
  </si>
  <si>
    <t>34312</t>
  </si>
  <si>
    <t>16/04/2026 12:31:39 PM</t>
  </si>
  <si>
    <t>16/04/2026 12:39:24 PM</t>
  </si>
  <si>
    <t>34313</t>
  </si>
  <si>
    <t>16/04/2026 12:33:00 PM</t>
  </si>
  <si>
    <t>16/04/2026 12:40:34 PM</t>
  </si>
  <si>
    <t>34314</t>
  </si>
  <si>
    <t>16/04/2026 12:36:37 PM</t>
  </si>
  <si>
    <t>16/04/2026 01:06:34 PM</t>
  </si>
  <si>
    <t>34315</t>
  </si>
  <si>
    <t>16/04/2026 12:38:02 PM</t>
  </si>
  <si>
    <t>16/04/2026 12:42:45 PM</t>
  </si>
  <si>
    <t>34316</t>
  </si>
  <si>
    <t>16/04/2026 12:44:16 PM</t>
  </si>
  <si>
    <t>16/04/2026 01:09:03 PM</t>
  </si>
  <si>
    <t>34317</t>
  </si>
  <si>
    <t>16/04/2026 12:47:50 PM</t>
  </si>
  <si>
    <t>16/04/2026 01:14:34 PM</t>
  </si>
  <si>
    <t>34318</t>
  </si>
  <si>
    <t>16/04/2026 12:49:03 PM</t>
  </si>
  <si>
    <t>16/04/2026 12:54:30 PM</t>
  </si>
  <si>
    <t>34319</t>
  </si>
  <si>
    <t>16/04/2026 12:53:09 PM</t>
  </si>
  <si>
    <t>16/04/2026 01:00:13 PM</t>
  </si>
  <si>
    <t>16/04/2026 01:10:32 PM</t>
  </si>
  <si>
    <t>16/04/2026 01:21:53 PM</t>
  </si>
  <si>
    <t>34321</t>
  </si>
  <si>
    <t>16/04/2026 01:15:32 PM</t>
  </si>
  <si>
    <t>16/04/2026 01:24:19 PM</t>
  </si>
  <si>
    <t>34322</t>
  </si>
  <si>
    <t>16/04/2026 01:16:24 PM</t>
  </si>
  <si>
    <t>16/04/2026 01:22:45 PM</t>
  </si>
  <si>
    <t>34323</t>
  </si>
  <si>
    <t>16/04/2026 01:17:27 PM</t>
  </si>
  <si>
    <t>16/04/2026 01:27:54 PM</t>
  </si>
  <si>
    <t>34324</t>
  </si>
  <si>
    <t>16/04/2026 01:20:39 PM</t>
  </si>
  <si>
    <t>16/04/2026 01:26:43 PM</t>
  </si>
  <si>
    <t>34325</t>
  </si>
  <si>
    <t>16/04/2026 01:23:31 PM</t>
  </si>
  <si>
    <t>16/04/2026 01:43:37 PM</t>
  </si>
  <si>
    <t>34326</t>
  </si>
  <si>
    <t>16/04/2026 01:30:01 PM</t>
  </si>
  <si>
    <t>16/04/2026 01:47:23 PM</t>
  </si>
  <si>
    <t>34327</t>
  </si>
  <si>
    <t>16/04/2026 01:31:19 PM</t>
  </si>
  <si>
    <t>16/04/2026 01:36:29 PM</t>
  </si>
  <si>
    <t>34328</t>
  </si>
  <si>
    <t>16/04/2026 01:33:40 PM</t>
  </si>
  <si>
    <t>16/04/2026 01:48:52 PM</t>
  </si>
  <si>
    <t>34329</t>
  </si>
  <si>
    <t>16/04/2026 01:37:39 PM</t>
  </si>
  <si>
    <t>16/04/2026 01:41:54 PM</t>
  </si>
  <si>
    <t>34330</t>
  </si>
  <si>
    <t>16/04/2026 01:45:15 PM</t>
  </si>
  <si>
    <t>16/04/2026 01:51:06 PM</t>
  </si>
  <si>
    <t>34331</t>
  </si>
  <si>
    <t>16/04/2026 01:50:01 PM</t>
  </si>
  <si>
    <t>16/04/2026 01:53:38 PM</t>
  </si>
  <si>
    <t>34332</t>
  </si>
  <si>
    <t>16/04/2026 02:00:29 PM</t>
  </si>
  <si>
    <t>16/04/2026 02:14:46 PM</t>
  </si>
  <si>
    <t>34333</t>
  </si>
  <si>
    <t>16/04/2026 02:41:41 PM</t>
  </si>
  <si>
    <t>16/04/2026 02:47:32 PM</t>
  </si>
  <si>
    <t>34334</t>
  </si>
  <si>
    <t>16/04/2026 02:52:18 PM</t>
  </si>
  <si>
    <t>16/04/2026 02:58:16 PM</t>
  </si>
  <si>
    <t>34335</t>
  </si>
  <si>
    <t>16/04/2026 02:59:21 PM</t>
  </si>
  <si>
    <t>16/04/2026 03:04:26 PM</t>
  </si>
  <si>
    <t>34336</t>
  </si>
  <si>
    <t>16/04/2026 03:08:15 PM</t>
  </si>
  <si>
    <t>16/04/2026 03:14:46 PM</t>
  </si>
  <si>
    <t>34337</t>
  </si>
  <si>
    <t>16/04/2026 03:13:23 PM</t>
  </si>
  <si>
    <t>16/04/2026 03:18:02 PM</t>
  </si>
  <si>
    <t>34338</t>
  </si>
  <si>
    <t>16/04/2026 03:16:55 PM</t>
  </si>
  <si>
    <t>16/04/2026 03:23:07 PM</t>
  </si>
  <si>
    <t>34339</t>
  </si>
  <si>
    <t>16/04/2026 03:20:56 PM</t>
  </si>
  <si>
    <t>16/04/2026 03:27:10 PM</t>
  </si>
  <si>
    <t>16/04/2026 03:30:15 PM</t>
  </si>
  <si>
    <t>16/04/2026 03:35:53 PM</t>
  </si>
  <si>
    <t>34341</t>
  </si>
  <si>
    <t>16/04/2026 03:34:39 PM</t>
  </si>
  <si>
    <t>16/04/2026 03:41:27 PM</t>
  </si>
  <si>
    <t>34342</t>
  </si>
  <si>
    <t>16/04/2026 03:44:12 PM</t>
  </si>
  <si>
    <t>16/04/2026 03:49:40 PM</t>
  </si>
  <si>
    <t>34343</t>
  </si>
  <si>
    <t>16/04/2026 03:50:39 PM</t>
  </si>
  <si>
    <t>16/04/2026 03:55:28 PM</t>
  </si>
  <si>
    <t>34344</t>
  </si>
  <si>
    <t>16/04/2026 03:56:39 PM</t>
  </si>
  <si>
    <t>16/04/2026 04:02:09 PM</t>
  </si>
  <si>
    <t>34345</t>
  </si>
  <si>
    <t>16/04/2026 04:01:03 PM</t>
  </si>
  <si>
    <t>16/04/2026 04:04:59 PM</t>
  </si>
  <si>
    <t>39740</t>
  </si>
  <si>
    <t>34346</t>
  </si>
  <si>
    <t>16/04/2026 04:06:11 PM</t>
  </si>
  <si>
    <t>16/04/2026 04:17:08 PM</t>
  </si>
  <si>
    <t>34347</t>
  </si>
  <si>
    <t>16/04/2026 04:18:13 PM</t>
  </si>
  <si>
    <t>16/04/2026 04:24:43 PM</t>
  </si>
  <si>
    <t>26880</t>
  </si>
  <si>
    <t>34348</t>
  </si>
  <si>
    <t>16/04/2026 04:20:53 PM</t>
  </si>
  <si>
    <t>16/04/2026 04:26:22 PM</t>
  </si>
  <si>
    <t>34349</t>
  </si>
  <si>
    <t>16/04/2026 04:22:00 PM</t>
  </si>
  <si>
    <t>16/04/2026 04:30:51 PM</t>
  </si>
  <si>
    <t>34350</t>
  </si>
  <si>
    <t>16/04/2026 04:22:51 PM</t>
  </si>
  <si>
    <t>16/04/2026 04:30:00 PM</t>
  </si>
  <si>
    <t>34351</t>
  </si>
  <si>
    <t>16/04/2026 04:29:02 PM</t>
  </si>
  <si>
    <t>16/04/2026 04:37:21 PM</t>
  </si>
  <si>
    <t>10620</t>
  </si>
  <si>
    <t>34352</t>
  </si>
  <si>
    <t>16/04/2026 04:36:27 PM</t>
  </si>
  <si>
    <t>16/04/2026 04:41:17 PM</t>
  </si>
  <si>
    <t>34353</t>
  </si>
  <si>
    <t>16/04/2026 04:38:47 PM</t>
  </si>
  <si>
    <t>16/04/2026 04:43:01 PM</t>
  </si>
  <si>
    <t>34354</t>
  </si>
  <si>
    <t>16/04/2026 04:45:32 PM</t>
  </si>
  <si>
    <t>16/04/2026 04:51:34 PM</t>
  </si>
  <si>
    <t>34355</t>
  </si>
  <si>
    <t>16/04/2026 04:48:25 PM</t>
  </si>
  <si>
    <t>16/04/2026 04:55:43 PM</t>
  </si>
  <si>
    <t>34356</t>
  </si>
  <si>
    <t>16/04/2026 04:49:34 PM</t>
  </si>
  <si>
    <t>16/04/2026 04:54:12 PM</t>
  </si>
  <si>
    <t>34357</t>
  </si>
  <si>
    <t>16/04/2026 04:59:04 PM</t>
  </si>
  <si>
    <t>16/04/2026 05:04:24 PM</t>
  </si>
  <si>
    <t>34358</t>
  </si>
  <si>
    <t>16/04/2026 05:00:11 PM</t>
  </si>
  <si>
    <t>16/04/2026 05:05:34 PM</t>
  </si>
  <si>
    <t>27440</t>
  </si>
  <si>
    <t>11880</t>
  </si>
  <si>
    <t>34359</t>
  </si>
  <si>
    <t>16/04/2026 05:03:36 PM</t>
  </si>
  <si>
    <t>16/04/2026 05:07:55 PM</t>
  </si>
  <si>
    <t>16/04/2026 05:06:56 PM</t>
  </si>
  <si>
    <t>16/04/2026 05:11:23 PM</t>
  </si>
  <si>
    <t>34361</t>
  </si>
  <si>
    <t>16/04/2026 05:09:24 PM</t>
  </si>
  <si>
    <t>16/04/2026 05:13:33 PM</t>
  </si>
  <si>
    <t>34362</t>
  </si>
  <si>
    <t>16/04/2026 05:14:43 PM</t>
  </si>
  <si>
    <t>16/04/2026 05:19:31 PM</t>
  </si>
  <si>
    <t>34363</t>
  </si>
  <si>
    <t>16/04/2026 05:17:57 PM</t>
  </si>
  <si>
    <t>16/04/2026 05:43:25 PM</t>
  </si>
  <si>
    <t>34364</t>
  </si>
  <si>
    <t>16/04/2026 05:23:18 PM</t>
  </si>
  <si>
    <t>16/04/2026 05:30:05 PM</t>
  </si>
  <si>
    <t>34365</t>
  </si>
  <si>
    <t>16/04/2026 05:27:18 PM</t>
  </si>
  <si>
    <t>16/04/2026 05:34:39 PM</t>
  </si>
  <si>
    <t>34366</t>
  </si>
  <si>
    <t>16/04/2026 05:28:54 PM</t>
  </si>
  <si>
    <t>16/04/2026 05:33:47 PM</t>
  </si>
  <si>
    <t>34367</t>
  </si>
  <si>
    <t>16/04/2026 05:42:03 PM</t>
  </si>
  <si>
    <t>16/04/2026 05:48:11 PM</t>
  </si>
  <si>
    <t>34368</t>
  </si>
  <si>
    <t>16/04/2026 05:46:39 PM</t>
  </si>
  <si>
    <t>16/04/2026 05:51:15 PM</t>
  </si>
  <si>
    <t>34369</t>
  </si>
  <si>
    <t>16/04/2026 05:59:01 PM</t>
  </si>
  <si>
    <t>16/04/2026 06:04:18 PM</t>
  </si>
  <si>
    <t>34370</t>
  </si>
  <si>
    <t>16/04/2026 06:03:07 PM</t>
  </si>
  <si>
    <t>16/04/2026 06:06:48 PM</t>
  </si>
  <si>
    <t>34371</t>
  </si>
  <si>
    <t>16/04/2026 06:08:37 PM</t>
  </si>
  <si>
    <t>16/04/2026 06:12:46 PM</t>
  </si>
  <si>
    <t>34372</t>
  </si>
  <si>
    <t>16/04/2026 06:09:34 PM</t>
  </si>
  <si>
    <t>16/04/2026 06:15:53 PM</t>
  </si>
  <si>
    <t>34373</t>
  </si>
  <si>
    <t>16/04/2026 06:14:25 PM</t>
  </si>
  <si>
    <t>16/04/2026 06:20:18 PM</t>
  </si>
  <si>
    <t>34374</t>
  </si>
  <si>
    <t>16/04/2026 06:17:12 PM</t>
  </si>
  <si>
    <t>16/04/2026 06:21:22 PM</t>
  </si>
  <si>
    <t>34375</t>
  </si>
  <si>
    <t>16/04/2026 06:19:01 PM</t>
  </si>
  <si>
    <t>16/04/2026 06:23:51 PM</t>
  </si>
  <si>
    <t>34376</t>
  </si>
  <si>
    <t>16/04/2026 06:25:58 PM</t>
  </si>
  <si>
    <t>16/04/2026 06:30:27 PM</t>
  </si>
  <si>
    <t>34377</t>
  </si>
  <si>
    <t>16/04/2026 06:27:10 PM</t>
  </si>
  <si>
    <t>16/04/2026 06:31:50 PM</t>
  </si>
  <si>
    <t>34378</t>
  </si>
  <si>
    <t>16/04/2026 06:29:06 PM</t>
  </si>
  <si>
    <t>16/04/2026 06:35:24 PM</t>
  </si>
  <si>
    <t>34379</t>
  </si>
  <si>
    <t>16/04/2026 06:32:59 PM</t>
  </si>
  <si>
    <t>16/04/2026 06:37:10 PM</t>
  </si>
  <si>
    <t>16/04/2026 06:40:04 PM</t>
  </si>
  <si>
    <t>16/04/2026 06:44:10 PM</t>
  </si>
  <si>
    <t>11860</t>
  </si>
  <si>
    <t>34381</t>
  </si>
  <si>
    <t>16/04/2026 06:49:16 PM</t>
  </si>
  <si>
    <t>16/04/2026 06:54:59 PM</t>
  </si>
  <si>
    <t>34382</t>
  </si>
  <si>
    <t>16/04/2026 06:51:23 PM</t>
  </si>
  <si>
    <t>16/04/2026 06:56:01 PM</t>
  </si>
  <si>
    <t>34383</t>
  </si>
  <si>
    <t>16/04/2026 06:53:24 PM</t>
  </si>
  <si>
    <t>16/04/2026 06:57:26 PM</t>
  </si>
  <si>
    <t>34384</t>
  </si>
  <si>
    <t>16/04/2026 07:05:21 PM</t>
  </si>
  <si>
    <t>16/04/2026 07:12:54 PM</t>
  </si>
  <si>
    <t>34385</t>
  </si>
  <si>
    <t>16/04/2026 07:11:13 PM</t>
  </si>
  <si>
    <t>16/04/2026 07:18:59 PM</t>
  </si>
  <si>
    <t>34386</t>
  </si>
  <si>
    <t>16/04/2026 07:14:17 PM</t>
  </si>
  <si>
    <t>16/04/2026 07:21:57 PM</t>
  </si>
  <si>
    <t>34387</t>
  </si>
  <si>
    <t>16/04/2026 10:10:18 PM</t>
  </si>
  <si>
    <t>16/04/2026 10:19:22 PM</t>
  </si>
  <si>
    <t>34388</t>
  </si>
  <si>
    <t>16/04/2026 10:15:01 PM</t>
  </si>
  <si>
    <t>16/04/2026 10:21:49 PM</t>
  </si>
  <si>
    <t>34389</t>
  </si>
  <si>
    <t>16/04/2026 10:17:44 PM</t>
  </si>
  <si>
    <t>16/04/2026 10:27:15 PM</t>
  </si>
  <si>
    <t>34390</t>
  </si>
  <si>
    <t>16/04/2026 10:23:22 PM</t>
  </si>
  <si>
    <t>16/04/2026 10:32:59 PM</t>
  </si>
  <si>
    <t>35920</t>
  </si>
  <si>
    <t>34391</t>
  </si>
  <si>
    <t>16/04/2026 10:28:44 PM</t>
  </si>
  <si>
    <t>16/04/2026 10:36:24 PM</t>
  </si>
  <si>
    <t>34392</t>
  </si>
  <si>
    <t>16/04/2026 10:31:09 PM</t>
  </si>
  <si>
    <t>16/04/2026 10:41:10 PM</t>
  </si>
  <si>
    <t>34393</t>
  </si>
  <si>
    <t>16/04/2026 10:34:51 PM</t>
  </si>
  <si>
    <t>16/04/2026 10:42:26 PM</t>
  </si>
  <si>
    <t>34394</t>
  </si>
  <si>
    <t>16/04/2026 10:39:37 PM</t>
  </si>
  <si>
    <t>16/04/2026 10:46:36 PM</t>
  </si>
  <si>
    <t>34395</t>
  </si>
  <si>
    <t>16/04/2026 10:44:04 PM</t>
  </si>
  <si>
    <t>16/04/2026 10:48:22 PM</t>
  </si>
  <si>
    <t>34396</t>
  </si>
  <si>
    <t>16/04/2026 10:50:51 PM</t>
  </si>
  <si>
    <t>16/04/2026 11:01:34 PM</t>
  </si>
  <si>
    <t>44180</t>
  </si>
  <si>
    <t>34397</t>
  </si>
  <si>
    <t>16/04/2026 10:52:33 PM</t>
  </si>
  <si>
    <t>16/04/2026 10:58:24 PM</t>
  </si>
  <si>
    <t>34398</t>
  </si>
  <si>
    <t>16/04/2026 11:00:16 PM</t>
  </si>
  <si>
    <t>16/04/2026 11:30:04 PM</t>
  </si>
  <si>
    <t>34399</t>
  </si>
  <si>
    <t>16/04/2026 11:05:42 PM</t>
  </si>
  <si>
    <t>16/04/2026 11:31:44 PM</t>
  </si>
  <si>
    <t>28400</t>
  </si>
  <si>
    <t>16/04/2026 11:26:19 PM</t>
  </si>
  <si>
    <t>16/04/2026 11:32:45 PM</t>
  </si>
  <si>
    <t>27860</t>
  </si>
  <si>
    <t>34401</t>
  </si>
  <si>
    <t>16/04/2026 11:27:19 PM</t>
  </si>
  <si>
    <t>16/04/2026 11:33:41 PM</t>
  </si>
  <si>
    <t>34402</t>
  </si>
  <si>
    <t>16/04/2026 11:28:20 PM</t>
  </si>
  <si>
    <t>16/04/2026 11:36:57 PM</t>
  </si>
  <si>
    <t>34403</t>
  </si>
  <si>
    <t>16/04/2026 11:45:26 PM</t>
  </si>
  <si>
    <t>16/04/2026 11:57:03 PM</t>
  </si>
  <si>
    <t>34404</t>
  </si>
  <si>
    <t>16/04/2026 11:48:12 PM</t>
  </si>
  <si>
    <t>17/04/2026 01:11:40 AM</t>
  </si>
  <si>
    <t>34405</t>
  </si>
  <si>
    <t>16/04/2026 11:51:21 PM</t>
  </si>
  <si>
    <t>17/04/2026 01:13:00 AM</t>
  </si>
  <si>
    <t>34406</t>
  </si>
  <si>
    <t>16/04/2026 11:55:46 PM</t>
  </si>
  <si>
    <t>17/04/2026 01:15:02 AM</t>
  </si>
  <si>
    <t>MN16042601</t>
  </si>
  <si>
    <t>[CMLT1008] Lake Cement Ltd - Logistics</t>
  </si>
  <si>
    <t>T270EJP</t>
  </si>
  <si>
    <t>OB/CLAY</t>
  </si>
  <si>
    <t>45000</t>
  </si>
  <si>
    <t>MN16042602</t>
  </si>
  <si>
    <t>MN16042603</t>
  </si>
  <si>
    <t>MN16042604</t>
  </si>
  <si>
    <t>34407</t>
  </si>
  <si>
    <t>17/04/2026 12:05:10 AM</t>
  </si>
  <si>
    <t>17/04/2026 01:19:17 AM</t>
  </si>
  <si>
    <t>34408</t>
  </si>
  <si>
    <t>17/04/2026 12:08:57 AM</t>
  </si>
  <si>
    <t>17/04/2026 01:34:26 AM</t>
  </si>
  <si>
    <t>34409</t>
  </si>
  <si>
    <t>17/04/2026 01:24:56 AM</t>
  </si>
  <si>
    <t>17/04/2026 01:32:04 AM</t>
  </si>
  <si>
    <t>34410</t>
  </si>
  <si>
    <t>17/04/2026 01:26:17 AM</t>
  </si>
  <si>
    <t>17/04/2026 01:36:47 AM</t>
  </si>
  <si>
    <t>34411</t>
  </si>
  <si>
    <t>17/04/2026 01:30:37 AM</t>
  </si>
  <si>
    <t>17/04/2026 01:39:43 AM</t>
  </si>
  <si>
    <t>34412</t>
  </si>
  <si>
    <t>17/04/2026 01:59:09 AM</t>
  </si>
  <si>
    <t>17/04/2026 02:06:26 AM</t>
  </si>
  <si>
    <t>34413</t>
  </si>
  <si>
    <t>17/04/2026 02:01:07 AM</t>
  </si>
  <si>
    <t>17/04/2026 02:09:05 AM</t>
  </si>
  <si>
    <t>34414</t>
  </si>
  <si>
    <t>17/04/2026 02:02:08 AM</t>
  </si>
  <si>
    <t>17/04/2026 02:10:45 AM</t>
  </si>
  <si>
    <t>34415</t>
  </si>
  <si>
    <t>17/04/2026 02:03:06 AM</t>
  </si>
  <si>
    <t>17/04/2026 02:11:50 AM</t>
  </si>
  <si>
    <t>34416</t>
  </si>
  <si>
    <t>17/04/2026 02:04:19 AM</t>
  </si>
  <si>
    <t>17/04/2026 02:14:37 AM</t>
  </si>
  <si>
    <t>34417</t>
  </si>
  <si>
    <t>17/04/2026 02:16:26 AM</t>
  </si>
  <si>
    <t>17/04/2026 02:40:43 AM</t>
  </si>
  <si>
    <t>34418</t>
  </si>
  <si>
    <t>17/04/2026 02:21:13 AM</t>
  </si>
  <si>
    <t>17/04/2026 02:48:48 AM</t>
  </si>
  <si>
    <t>34419</t>
  </si>
  <si>
    <t>17/04/2026 02:33:59 AM</t>
  </si>
  <si>
    <t>17/04/2026 02:41:50 AM</t>
  </si>
  <si>
    <t>17/04/2026 02:35:00 AM</t>
  </si>
  <si>
    <t>17/04/2026 02:42:42 AM</t>
  </si>
  <si>
    <t>34421</t>
  </si>
  <si>
    <t>17/04/2026 02:35:58 AM</t>
  </si>
  <si>
    <t>17/04/2026 02:45:06 AM</t>
  </si>
  <si>
    <t>34422</t>
  </si>
  <si>
    <t>17/04/2026 02:54:04 AM</t>
  </si>
  <si>
    <t>17/04/2026 03:00:33 AM</t>
  </si>
  <si>
    <t>34423</t>
  </si>
  <si>
    <t>17/04/2026 02:57:55 AM</t>
  </si>
  <si>
    <t>17/04/2026 04:48:25 AM</t>
  </si>
  <si>
    <t>34424</t>
  </si>
  <si>
    <t>17/04/2026 03:01:46 AM</t>
  </si>
  <si>
    <t>17/04/2026 04:50:41 AM</t>
  </si>
  <si>
    <t>34425</t>
  </si>
  <si>
    <t>17/04/2026 03:06:01 AM</t>
  </si>
  <si>
    <t>17/04/2026 04:54:06 AM</t>
  </si>
  <si>
    <t>34426</t>
  </si>
  <si>
    <t>17/04/2026 03:11:35 AM</t>
  </si>
  <si>
    <t>17/04/2026 04:57:30 AM</t>
  </si>
  <si>
    <t>34427</t>
  </si>
  <si>
    <t>17/04/2026 03:15:00 AM</t>
  </si>
  <si>
    <t>17/04/2026 05:02:26 AM</t>
  </si>
  <si>
    <t>34428</t>
  </si>
  <si>
    <t>17/04/2026 04:58:55 AM</t>
  </si>
  <si>
    <t>17/04/2026 05:05:00 AM</t>
  </si>
  <si>
    <t>34429</t>
  </si>
  <si>
    <t>17/04/2026 05:03:42 AM</t>
  </si>
  <si>
    <t>17/04/2026 05:11:37 AM</t>
  </si>
  <si>
    <t>34430</t>
  </si>
  <si>
    <t>17/04/2026 05:08:17 AM</t>
  </si>
  <si>
    <t>17/04/2026 05:16:46 AM</t>
  </si>
  <si>
    <t>34431</t>
  </si>
  <si>
    <t>17/04/2026 05:13:01 AM</t>
  </si>
  <si>
    <t>17/04/2026 05:18:20 AM</t>
  </si>
  <si>
    <t>34432</t>
  </si>
  <si>
    <t>17/04/2026 05:20:53 AM</t>
  </si>
  <si>
    <t>17/04/2026 05:25:21 AM</t>
  </si>
  <si>
    <t>34433</t>
  </si>
  <si>
    <t>17/04/2026 05:29:04 AM</t>
  </si>
  <si>
    <t>17/04/2026 05:36:39 AM</t>
  </si>
  <si>
    <t>34434</t>
  </si>
  <si>
    <t>17/04/2026 05:35:37 AM</t>
  </si>
  <si>
    <t>17/04/2026 05:42:57 AM</t>
  </si>
  <si>
    <t>34435</t>
  </si>
  <si>
    <t>17/04/2026 05:40:54 AM</t>
  </si>
  <si>
    <t>17/04/2026 05:46:08 AM</t>
  </si>
  <si>
    <t>34436</t>
  </si>
  <si>
    <t>17/04/2026 05:48:35 AM</t>
  </si>
  <si>
    <t>17/04/2026 05:56:22 AM</t>
  </si>
  <si>
    <t>34437</t>
  </si>
  <si>
    <t>17/04/2026 05:55:14 AM</t>
  </si>
  <si>
    <t>17/04/2026 06:05:17 AM</t>
  </si>
  <si>
    <t>34438</t>
  </si>
  <si>
    <t>17/04/2026 05:58:55 AM</t>
  </si>
  <si>
    <t>17/04/2026 07:15:33 AM</t>
  </si>
  <si>
    <t>34439</t>
  </si>
  <si>
    <t>17/04/2026 06:03:36 AM</t>
  </si>
  <si>
    <t>17/04/2026 07:18:33 AM</t>
  </si>
  <si>
    <t>17/04/2026 06:08:39 AM</t>
  </si>
  <si>
    <t>17/04/2026 07:20:39 AM</t>
  </si>
  <si>
    <t>34441</t>
  </si>
  <si>
    <t>17/04/2026 06:17:57 AM</t>
  </si>
  <si>
    <t>17/04/2026 07:23:20 AM</t>
  </si>
  <si>
    <t>34442</t>
  </si>
  <si>
    <t>17/04/2026 07:22:17 AM</t>
  </si>
  <si>
    <t>17/04/2026 07:39:50 AM</t>
  </si>
  <si>
    <t>34443</t>
  </si>
  <si>
    <t>17/04/2026 08:56:36 AM</t>
  </si>
  <si>
    <t>17/04/2026 09:12:40 AM</t>
  </si>
  <si>
    <t>34444</t>
  </si>
  <si>
    <t>17/04/2026 08:57:48 AM</t>
  </si>
  <si>
    <t>17/04/2026 09:13:49 AM</t>
  </si>
  <si>
    <t>34445</t>
  </si>
  <si>
    <t>17/04/2026 09:00:49 AM</t>
  </si>
  <si>
    <t>17/04/2026 09:16:30 AM</t>
  </si>
  <si>
    <t>34446</t>
  </si>
  <si>
    <t>17/04/2026 09:06:42 AM</t>
  </si>
  <si>
    <t>17/04/2026 09:19:12 AM</t>
  </si>
  <si>
    <t>34447</t>
  </si>
  <si>
    <t>17/04/2026 09:20:56 AM</t>
  </si>
  <si>
    <t>17/04/2026 09:25:26 AM</t>
  </si>
  <si>
    <t>34448</t>
  </si>
  <si>
    <t>17/04/2026 09:38:15 AM</t>
  </si>
  <si>
    <t>17/04/2026 09:48:11 AM</t>
  </si>
  <si>
    <t>34449</t>
  </si>
  <si>
    <t>17/04/2026 09:40:02 AM</t>
  </si>
  <si>
    <t>17/04/2026 09:50:19 AM</t>
  </si>
  <si>
    <t>34880</t>
  </si>
  <si>
    <t>34450</t>
  </si>
  <si>
    <t>17/04/2026 09:42:57 AM</t>
  </si>
  <si>
    <t>17/04/2026 09:52:13 AM</t>
  </si>
  <si>
    <t>34451</t>
  </si>
  <si>
    <t>17/04/2026 09:46:29 AM</t>
  </si>
  <si>
    <t>17/04/2026 09:54:02 AM</t>
  </si>
  <si>
    <t>38660</t>
  </si>
  <si>
    <t>34452</t>
  </si>
  <si>
    <t>17/04/2026 09:56:22 AM</t>
  </si>
  <si>
    <t>17/04/2026 10:05:10 AM</t>
  </si>
  <si>
    <t>23440</t>
  </si>
  <si>
    <t>34453</t>
  </si>
  <si>
    <t>17/04/2026 10:00:08 AM</t>
  </si>
  <si>
    <t>17/04/2026 10:07:39 AM</t>
  </si>
  <si>
    <t>34454</t>
  </si>
  <si>
    <t>17/04/2026 10:04:01 AM</t>
  </si>
  <si>
    <t>17/04/2026 10:10:49 AM</t>
  </si>
  <si>
    <t>34455</t>
  </si>
  <si>
    <t>17/04/2026 10:09:32 AM</t>
  </si>
  <si>
    <t>17/04/2026 10:17:15 AM</t>
  </si>
  <si>
    <t>34456</t>
  </si>
  <si>
    <t>17/04/2026 10:14:23 AM</t>
  </si>
  <si>
    <t>17/04/2026 10:22:35 AM</t>
  </si>
  <si>
    <t>34457</t>
  </si>
  <si>
    <t>17/04/2026 10:21:18 AM</t>
  </si>
  <si>
    <t>17/04/2026 10:29:45 AM</t>
  </si>
  <si>
    <t>34458</t>
  </si>
  <si>
    <t>17/04/2026 10:24:53 AM</t>
  </si>
  <si>
    <t>17/04/2026 10:46:33 AM</t>
  </si>
  <si>
    <t>34459</t>
  </si>
  <si>
    <t>17/04/2026 10:31:26 AM</t>
  </si>
  <si>
    <t>17/04/2026 10:47:36 AM</t>
  </si>
  <si>
    <t>17/04/2026 10:37:54 AM</t>
  </si>
  <si>
    <t>17/04/2026 10:49:38 AM</t>
  </si>
  <si>
    <t>34461</t>
  </si>
  <si>
    <t>17/04/2026 10:42:27 AM</t>
  </si>
  <si>
    <t>17/04/2026 10:53:33 AM</t>
  </si>
  <si>
    <t>34462</t>
  </si>
  <si>
    <t>17/04/2026 10:56:11 AM</t>
  </si>
  <si>
    <t>17/04/2026 11:01:36 AM</t>
  </si>
  <si>
    <t>34463</t>
  </si>
  <si>
    <t>17/04/2026 11:00:23 AM</t>
  </si>
  <si>
    <t>17/04/2026 11:05:42 AM</t>
  </si>
  <si>
    <t>34464</t>
  </si>
  <si>
    <t>17/04/2026 11:02:58 AM</t>
  </si>
  <si>
    <t>17/04/2026 11:07:34 AM</t>
  </si>
  <si>
    <t>34465</t>
  </si>
  <si>
    <t>17/04/2026 11:11:14 AM</t>
  </si>
  <si>
    <t>17/04/2026 11:15:42 AM</t>
  </si>
  <si>
    <t>34466</t>
  </si>
  <si>
    <t>17/04/2026 11:14:33 AM</t>
  </si>
  <si>
    <t>17/04/2026 11:19:49 AM</t>
  </si>
  <si>
    <t>34467</t>
  </si>
  <si>
    <t>17/04/2026 11:18:16 AM</t>
  </si>
  <si>
    <t>17/04/2026 11:24:26 AM</t>
  </si>
  <si>
    <t>34468</t>
  </si>
  <si>
    <t>T292 EHH</t>
  </si>
  <si>
    <t>17/04/2026 11:21:00 AM</t>
  </si>
  <si>
    <t>17/04/2026 11:30:17 AM</t>
  </si>
  <si>
    <t>34469</t>
  </si>
  <si>
    <t>17/04/2026 11:23:10 AM</t>
  </si>
  <si>
    <t>17/04/2026 11:32:02 AM</t>
  </si>
  <si>
    <t>34470</t>
  </si>
  <si>
    <t>17/04/2026 11:29:07 AM</t>
  </si>
  <si>
    <t>17/04/2026 11:35:26 AM</t>
  </si>
  <si>
    <t>34471</t>
  </si>
  <si>
    <t>17/04/2026 11:33:20 AM</t>
  </si>
  <si>
    <t>17/04/2026 11:56:32 AM</t>
  </si>
  <si>
    <t>34472</t>
  </si>
  <si>
    <t>17/04/2026 11:34:13 AM</t>
  </si>
  <si>
    <t>17/04/2026 11:55:38 AM</t>
  </si>
  <si>
    <t>34473</t>
  </si>
  <si>
    <t>17/04/2026 11:39:51 AM</t>
  </si>
  <si>
    <t>17/04/2026 11:48:21 AM</t>
  </si>
  <si>
    <t>34474</t>
  </si>
  <si>
    <t>17/04/2026 11:40:48 AM</t>
  </si>
  <si>
    <t>17/04/2026 11:57:20 AM</t>
  </si>
  <si>
    <t>34475</t>
  </si>
  <si>
    <t>17/04/2026 11:43:42 AM</t>
  </si>
  <si>
    <t>17/04/2026 11:52:31 AM</t>
  </si>
  <si>
    <t>31920</t>
  </si>
  <si>
    <t>34476</t>
  </si>
  <si>
    <t>17/04/2026 11:46:09 AM</t>
  </si>
  <si>
    <t>17/04/2026 11:58:11 AM</t>
  </si>
  <si>
    <t>34477</t>
  </si>
  <si>
    <t>17/04/2026 11:50:39 AM</t>
  </si>
  <si>
    <t>17/04/2026 12:22:17 PM</t>
  </si>
  <si>
    <t>34478</t>
  </si>
  <si>
    <t>17/04/2026 11:54:31 AM</t>
  </si>
  <si>
    <t>17/04/2026 11:58:57 AM</t>
  </si>
  <si>
    <t>34479</t>
  </si>
  <si>
    <t>17/04/2026 12:00:33 PM</t>
  </si>
  <si>
    <t>17/04/2026 12:05:19 PM</t>
  </si>
  <si>
    <t>17/04/2026 12:01:36 PM</t>
  </si>
  <si>
    <t>17/04/2026 12:37:22 PM</t>
  </si>
  <si>
    <t>34481</t>
  </si>
  <si>
    <t>17/04/2026 12:03:07 PM</t>
  </si>
  <si>
    <t>17/04/2026 12:12:48 PM</t>
  </si>
  <si>
    <t>10100</t>
  </si>
  <si>
    <t>34482</t>
  </si>
  <si>
    <t>17/04/2026 12:07:11 PM</t>
  </si>
  <si>
    <t>17/04/2026 12:12:06 PM</t>
  </si>
  <si>
    <t>34483</t>
  </si>
  <si>
    <t>17/04/2026 12:09:24 PM</t>
  </si>
  <si>
    <t>17/04/2026 12:16:19 PM</t>
  </si>
  <si>
    <t>34484</t>
  </si>
  <si>
    <t>17/04/2026 12:10:19 PM</t>
  </si>
  <si>
    <t>17/04/2026 12:46:01 PM</t>
  </si>
  <si>
    <t>140</t>
  </si>
  <si>
    <t>34485</t>
  </si>
  <si>
    <t>17/04/2026 12:14:07 PM</t>
  </si>
  <si>
    <t>17/04/2026 12:41:02 PM</t>
  </si>
  <si>
    <t>34486</t>
  </si>
  <si>
    <t>17/04/2026 12:15:03 PM</t>
  </si>
  <si>
    <t>17/04/2026 12:21:33 PM</t>
  </si>
  <si>
    <t>34487</t>
  </si>
  <si>
    <t>17/04/2026 12:19:40 PM</t>
  </si>
  <si>
    <t>17/04/2026 12:26:55 PM</t>
  </si>
  <si>
    <t>34488</t>
  </si>
  <si>
    <t>17/04/2026 12:23:24 PM</t>
  </si>
  <si>
    <t>17/04/2026 12:29:46 PM</t>
  </si>
  <si>
    <t>34489</t>
  </si>
  <si>
    <t>17/04/2026 12:25:06 PM</t>
  </si>
  <si>
    <t>17/04/2026 12:43:17 PM</t>
  </si>
  <si>
    <t>34490</t>
  </si>
  <si>
    <t>17/04/2026 12:28:31 PM</t>
  </si>
  <si>
    <t>17/04/2026 12:36:03 PM</t>
  </si>
  <si>
    <t>34491</t>
  </si>
  <si>
    <t>17/04/2026 12:31:04 PM</t>
  </si>
  <si>
    <t>17/04/2026 12:48:47 PM</t>
  </si>
  <si>
    <t>34492</t>
  </si>
  <si>
    <t>17/04/2026 12:34:43 PM</t>
  </si>
  <si>
    <t>17/04/2026 12:42:08 PM</t>
  </si>
  <si>
    <t>34493</t>
  </si>
  <si>
    <t>17/04/2026 12:38:47 PM</t>
  </si>
  <si>
    <t>17/04/2026 12:47:59 PM</t>
  </si>
  <si>
    <t>34494</t>
  </si>
  <si>
    <t>17/04/2026 12:44:42 PM</t>
  </si>
  <si>
    <t>17/04/2026 12:53:27 PM</t>
  </si>
  <si>
    <t>34495</t>
  </si>
  <si>
    <t>17/04/2026 12:46:50 PM</t>
  </si>
  <si>
    <t>17/04/2026 01:02:05 PM</t>
  </si>
  <si>
    <t>34496</t>
  </si>
  <si>
    <t>17/04/2026 12:51:18 PM</t>
  </si>
  <si>
    <t>17/04/2026 12:56:02 PM</t>
  </si>
  <si>
    <t>34497</t>
  </si>
  <si>
    <t>17/04/2026 12:52:12 PM</t>
  </si>
  <si>
    <t>17/04/2026 12:58:46 PM</t>
  </si>
  <si>
    <t>34498</t>
  </si>
  <si>
    <t>17/04/2026 12:54:40 PM</t>
  </si>
  <si>
    <t>17/04/2026 01:03:40 PM</t>
  </si>
  <si>
    <t>34499</t>
  </si>
  <si>
    <t>17/04/2026 12:56:51 PM</t>
  </si>
  <si>
    <t>17/04/2026 01:21:03 PM</t>
  </si>
  <si>
    <t>17/04/2026 01:04:48 PM</t>
  </si>
  <si>
    <t>17/04/2026 01:11:51 PM</t>
  </si>
  <si>
    <t>34501</t>
  </si>
  <si>
    <t>17/04/2026 01:07:19 PM</t>
  </si>
  <si>
    <t>17/04/2026 01:19:42 PM</t>
  </si>
  <si>
    <t>34502</t>
  </si>
  <si>
    <t>17/04/2026 01:08:27 PM</t>
  </si>
  <si>
    <t>17/04/2026 01:17:42 PM</t>
  </si>
  <si>
    <t>34503</t>
  </si>
  <si>
    <t>17/04/2026 01:18:41 PM</t>
  </si>
  <si>
    <t>17/04/2026 01:25:38 PM</t>
  </si>
  <si>
    <t>34504</t>
  </si>
  <si>
    <t>17/04/2026 01:22:44 PM</t>
  </si>
  <si>
    <t>17/04/2026 01:28:55 PM</t>
  </si>
  <si>
    <t>34505</t>
  </si>
  <si>
    <t>17/04/2026 01:24:17 PM</t>
  </si>
  <si>
    <t>17/04/2026 01:51:52 PM</t>
  </si>
  <si>
    <t>34506</t>
  </si>
  <si>
    <t>17/04/2026 01:32:55 PM</t>
  </si>
  <si>
    <t>17/04/2026 03:02:58 PM</t>
  </si>
  <si>
    <t>34507</t>
  </si>
  <si>
    <t>17/04/2026 01:36:49 PM</t>
  </si>
  <si>
    <t>17/04/2026 03:05:11 PM</t>
  </si>
  <si>
    <t>34508</t>
  </si>
  <si>
    <t>17/04/2026 01:40:57 PM</t>
  </si>
  <si>
    <t>17/04/2026 03:08:24 PM</t>
  </si>
  <si>
    <t>34509</t>
  </si>
  <si>
    <t>17/04/2026 02:07:54 PM</t>
  </si>
  <si>
    <t>17/04/2026 02:18:22 PM</t>
  </si>
  <si>
    <t>34510</t>
  </si>
  <si>
    <t>17/04/2026 02:30:39 PM</t>
  </si>
  <si>
    <t>17/04/2026 02:41:56 PM</t>
  </si>
  <si>
    <t>34511</t>
  </si>
  <si>
    <t>17/04/2026 02:35:30 PM</t>
  </si>
  <si>
    <t>17/04/2026 02:51:40 PM</t>
  </si>
  <si>
    <t>34512</t>
  </si>
  <si>
    <t>17/04/2026 02:52:51 PM</t>
  </si>
  <si>
    <t>17/04/2026 03:03:41 PM</t>
  </si>
  <si>
    <t>34513</t>
  </si>
  <si>
    <t>17/04/2026 02:55:43 PM</t>
  </si>
  <si>
    <t>17/04/2026 02:59:55 PM</t>
  </si>
  <si>
    <t>34514</t>
  </si>
  <si>
    <t>17/04/2026 03:01:08 PM</t>
  </si>
  <si>
    <t>17/04/2026 03:05:57 PM</t>
  </si>
  <si>
    <t>34515</t>
  </si>
  <si>
    <t>17/04/2026 03:10:53 PM</t>
  </si>
  <si>
    <t>17/04/2026 03:15:25 PM</t>
  </si>
  <si>
    <t>13060</t>
  </si>
  <si>
    <t>34516</t>
  </si>
  <si>
    <t>17/04/2026 03:13:46 PM</t>
  </si>
  <si>
    <t>17/04/2026 03:34:44 PM</t>
  </si>
  <si>
    <t>34517</t>
  </si>
  <si>
    <t>17/04/2026 03:26:19 PM</t>
  </si>
  <si>
    <t>17/04/2026 03:32:57 PM</t>
  </si>
  <si>
    <t>34518</t>
  </si>
  <si>
    <t>17/04/2026 03:27:22 PM</t>
  </si>
  <si>
    <t>17/04/2026 03:33:55 PM</t>
  </si>
  <si>
    <t>34519</t>
  </si>
  <si>
    <t>17/04/2026 03:28:30 PM</t>
  </si>
  <si>
    <t>17/04/2026 03:35:40 PM</t>
  </si>
  <si>
    <t>31280</t>
  </si>
  <si>
    <t>13160</t>
  </si>
  <si>
    <t>17/04/2026 03:29:25 PM</t>
  </si>
  <si>
    <t>17/04/2026 03:38:09 PM</t>
  </si>
  <si>
    <t>34521</t>
  </si>
  <si>
    <t>17/04/2026 03:30:50 PM</t>
  </si>
  <si>
    <t>17/04/2026 03:41:03 PM</t>
  </si>
  <si>
    <t>34522</t>
  </si>
  <si>
    <t>17/04/2026 03:31:41 PM</t>
  </si>
  <si>
    <t>17/04/2026 03:56:51 PM</t>
  </si>
  <si>
    <t>34523</t>
  </si>
  <si>
    <t>17/04/2026 03:42:25 PM</t>
  </si>
  <si>
    <t>17/04/2026 03:47:17 PM</t>
  </si>
  <si>
    <t>34524</t>
  </si>
  <si>
    <t>17/04/2026 03:44:02 PM</t>
  </si>
  <si>
    <t>17/04/2026 03:49:12 PM</t>
  </si>
  <si>
    <t>34525</t>
  </si>
  <si>
    <t>17/04/2026 09:12:26 PM</t>
  </si>
  <si>
    <t>17/04/2026 09:28:25 PM</t>
  </si>
  <si>
    <t>34526</t>
  </si>
  <si>
    <t>17/04/2026 09:14:39 PM</t>
  </si>
  <si>
    <t>17/04/2026 09:27:31 PM</t>
  </si>
  <si>
    <t>34527</t>
  </si>
  <si>
    <t>17/04/2026 09:15:41 PM</t>
  </si>
  <si>
    <t>17/04/2026 09:19:54 PM</t>
  </si>
  <si>
    <t>34528</t>
  </si>
  <si>
    <t>17/04/2026 09:16:44 PM</t>
  </si>
  <si>
    <t>17/04/2026 09:24:02 PM</t>
  </si>
  <si>
    <t>34529</t>
  </si>
  <si>
    <t>17/04/2026 09:31:30 PM</t>
  </si>
  <si>
    <t>17/04/2026 09:35:33 PM</t>
  </si>
  <si>
    <t>34530</t>
  </si>
  <si>
    <t>17/04/2026 09:37:16 PM</t>
  </si>
  <si>
    <t>17/04/2026 09:41:10 PM</t>
  </si>
  <si>
    <t>34531</t>
  </si>
  <si>
    <t>17/04/2026 09:42:49 PM</t>
  </si>
  <si>
    <t>17/04/2026 09:47:21 PM</t>
  </si>
  <si>
    <t>34532</t>
  </si>
  <si>
    <t>17/04/2026 09:45:40 PM</t>
  </si>
  <si>
    <t>17/04/2026 09:50:17 PM</t>
  </si>
  <si>
    <t>34533</t>
  </si>
  <si>
    <t>17/04/2026 09:48:56 PM</t>
  </si>
  <si>
    <t>17/04/2026 09:52:21 PM</t>
  </si>
  <si>
    <t>34534</t>
  </si>
  <si>
    <t>17/04/2026 09:54:02 PM</t>
  </si>
  <si>
    <t>17/04/2026 09:59:36 PM</t>
  </si>
  <si>
    <t>34535</t>
  </si>
  <si>
    <t>17/04/2026 09:58:00 PM</t>
  </si>
  <si>
    <t>17/04/2026 10:02:49 PM</t>
  </si>
  <si>
    <t>34536</t>
  </si>
  <si>
    <t>17/04/2026 10:15:04 PM</t>
  </si>
  <si>
    <t>17/04/2026 10:19:25 PM</t>
  </si>
  <si>
    <t>34537</t>
  </si>
  <si>
    <t>17/04/2026 10:16:44 PM</t>
  </si>
  <si>
    <t>17/04/2026 10:20:19 PM</t>
  </si>
  <si>
    <t>34538</t>
  </si>
  <si>
    <t>17/04/2026 10:17:54 PM</t>
  </si>
  <si>
    <t>17/04/2026 10:24:25 PM</t>
  </si>
  <si>
    <t>34539</t>
  </si>
  <si>
    <t>17/04/2026 10:22:54 PM</t>
  </si>
  <si>
    <t>17/04/2026 10:29:28 PM</t>
  </si>
  <si>
    <t>34540</t>
  </si>
  <si>
    <t>17/04/2026 10:31:01 PM</t>
  </si>
  <si>
    <t>17/04/2026 10:38:31 PM</t>
  </si>
  <si>
    <t>34541</t>
  </si>
  <si>
    <t>17/04/2026 10:32:31 PM</t>
  </si>
  <si>
    <t>17/04/2026 10:39:30 PM</t>
  </si>
  <si>
    <t>34542</t>
  </si>
  <si>
    <t>17/04/2026 10:41:03 PM</t>
  </si>
  <si>
    <t>17/04/2026 10:46:18 PM</t>
  </si>
  <si>
    <t>34543</t>
  </si>
  <si>
    <t>17/04/2026 11:48:13 PM</t>
  </si>
  <si>
    <t>18/04/2026 12:00:00 AM</t>
  </si>
  <si>
    <t>34544</t>
  </si>
  <si>
    <t>17/04/2026 11:52:37 PM</t>
  </si>
  <si>
    <t>18/04/2026 12:01:27 AM</t>
  </si>
  <si>
    <t>34545</t>
  </si>
  <si>
    <t>17/04/2026 11:58:21 PM</t>
  </si>
  <si>
    <t>18/04/2026 12:07:04 AM</t>
  </si>
  <si>
    <t>MN17042601</t>
  </si>
  <si>
    <t>MN17042602</t>
  </si>
  <si>
    <t>MN17042603</t>
  </si>
  <si>
    <t>MN17042604</t>
  </si>
  <si>
    <t>MN17042605</t>
  </si>
  <si>
    <t>MN17042606</t>
  </si>
  <si>
    <t>MN17042607</t>
  </si>
  <si>
    <t>MN17042608</t>
  </si>
  <si>
    <t>MN17042609</t>
  </si>
  <si>
    <t>MN17042610</t>
  </si>
  <si>
    <t>MN17042611</t>
  </si>
  <si>
    <t>MN17042612</t>
  </si>
  <si>
    <t>MN17042613</t>
  </si>
  <si>
    <t>MN17042614</t>
  </si>
  <si>
    <t>MN17042615</t>
  </si>
  <si>
    <t>MN17042616</t>
  </si>
  <si>
    <t>MN17042617</t>
  </si>
  <si>
    <t>MN17042618</t>
  </si>
  <si>
    <t>MN17042619</t>
  </si>
  <si>
    <t>MN17042620</t>
  </si>
  <si>
    <t>MN17042621</t>
  </si>
  <si>
    <t>MN17042622</t>
  </si>
  <si>
    <t>MN17042623</t>
  </si>
  <si>
    <t>MN17042624</t>
  </si>
  <si>
    <t>MN17042625</t>
  </si>
  <si>
    <t>MN17042626</t>
  </si>
  <si>
    <t>MN17042627</t>
  </si>
  <si>
    <t>MN17042628</t>
  </si>
  <si>
    <t>MN17042629</t>
  </si>
  <si>
    <t>MN17042630</t>
  </si>
  <si>
    <t>MN17042631</t>
  </si>
  <si>
    <t>MN17042632</t>
  </si>
  <si>
    <t>MN17042633</t>
  </si>
  <si>
    <t>MN17042634</t>
  </si>
  <si>
    <t>MN17042635</t>
  </si>
  <si>
    <t>MN17042636</t>
  </si>
  <si>
    <t>MN17042637</t>
  </si>
  <si>
    <t>MN17042638</t>
  </si>
  <si>
    <t>MN17042639</t>
  </si>
  <si>
    <t>MN17042640</t>
  </si>
  <si>
    <t>MN17042641</t>
  </si>
  <si>
    <t>MN17042642</t>
  </si>
  <si>
    <t>MN17042643</t>
  </si>
  <si>
    <t>MN17042644</t>
  </si>
  <si>
    <t>MN17042645</t>
  </si>
  <si>
    <t>MN17042646</t>
  </si>
  <si>
    <t>MN17042647</t>
  </si>
  <si>
    <t>MN17042648</t>
  </si>
  <si>
    <t>MN17042649</t>
  </si>
  <si>
    <t>MN17042650</t>
  </si>
  <si>
    <t>MN17042651</t>
  </si>
  <si>
    <t>MN17042652</t>
  </si>
  <si>
    <t>MN17042653</t>
  </si>
  <si>
    <t>MN17042654</t>
  </si>
  <si>
    <t>MN17042655</t>
  </si>
  <si>
    <t>MN17042656</t>
  </si>
  <si>
    <t>MN17042657</t>
  </si>
  <si>
    <t>MN17042658</t>
  </si>
  <si>
    <t>MN17042659</t>
  </si>
  <si>
    <t>MN17042660</t>
  </si>
  <si>
    <t>MN17042661</t>
  </si>
  <si>
    <t>MN17042662</t>
  </si>
  <si>
    <t>MN17042663</t>
  </si>
  <si>
    <t>MN17042664</t>
  </si>
  <si>
    <t>MN17042665</t>
  </si>
  <si>
    <t>MN17042666</t>
  </si>
  <si>
    <t>34546</t>
  </si>
  <si>
    <t>18/04/2026 12:08:42 AM</t>
  </si>
  <si>
    <t>18/04/2026 12:14:35 AM</t>
  </si>
  <si>
    <t>34547</t>
  </si>
  <si>
    <t>18/04/2026 12:13:13 AM</t>
  </si>
  <si>
    <t>18/04/2026 12:19:13 AM</t>
  </si>
  <si>
    <t>34548</t>
  </si>
  <si>
    <t>18/04/2026 12:16:12 AM</t>
  </si>
  <si>
    <t>18/04/2026 12:24:26 AM</t>
  </si>
  <si>
    <t>34549</t>
  </si>
  <si>
    <t>18/04/2026 12:20:51 AM</t>
  </si>
  <si>
    <t>18/04/2026 12:29:45 AM</t>
  </si>
  <si>
    <t>34550</t>
  </si>
  <si>
    <t>18/04/2026 12:25:37 AM</t>
  </si>
  <si>
    <t>18/04/2026 12:32:50 AM</t>
  </si>
  <si>
    <t>34551</t>
  </si>
  <si>
    <t>18/04/2026 12:53:16 AM</t>
  </si>
  <si>
    <t>18/04/2026 01:03:08 AM</t>
  </si>
  <si>
    <t>42160</t>
  </si>
  <si>
    <t>34552</t>
  </si>
  <si>
    <t>18/04/2026 12:57:02 AM</t>
  </si>
  <si>
    <t>18/04/2026 01:08:50 AM</t>
  </si>
  <si>
    <t>34553</t>
  </si>
  <si>
    <t>18/04/2026 01:18:08 AM</t>
  </si>
  <si>
    <t>18/04/2026 01:29:39 AM</t>
  </si>
  <si>
    <t>34554</t>
  </si>
  <si>
    <t>18/04/2026 01:22:16 AM</t>
  </si>
  <si>
    <t>18/04/2026 01:36:40 AM</t>
  </si>
  <si>
    <t>34555</t>
  </si>
  <si>
    <t>18/04/2026 01:26:56 AM</t>
  </si>
  <si>
    <t>18/04/2026 01:35:45 AM</t>
  </si>
  <si>
    <t>34556</t>
  </si>
  <si>
    <t>18/04/2026 01:44:51 AM</t>
  </si>
  <si>
    <t>18/04/2026 01:52:56 AM</t>
  </si>
  <si>
    <t>34557</t>
  </si>
  <si>
    <t>18/04/2026 01:48:39 AM</t>
  </si>
  <si>
    <t>18/04/2026 02:05:03 AM</t>
  </si>
  <si>
    <t>34558</t>
  </si>
  <si>
    <t>18/04/2026 01:59:39 AM</t>
  </si>
  <si>
    <t>18/04/2026 02:09:43 AM</t>
  </si>
  <si>
    <t>34559</t>
  </si>
  <si>
    <t>18/04/2026 02:00:45 AM</t>
  </si>
  <si>
    <t>18/04/2026 02:11:08 AM</t>
  </si>
  <si>
    <t>18/04/2026 02:12:14 AM</t>
  </si>
  <si>
    <t>18/04/2026 02:44:41 AM</t>
  </si>
  <si>
    <t>34561</t>
  </si>
  <si>
    <t>18/04/2026 02:14:36 AM</t>
  </si>
  <si>
    <t>18/04/2026 02:48:57 AM</t>
  </si>
  <si>
    <t>34562</t>
  </si>
  <si>
    <t>18/04/2026 02:19:44 AM</t>
  </si>
  <si>
    <t>18/04/2026 02:43:13 AM</t>
  </si>
  <si>
    <t>34563</t>
  </si>
  <si>
    <t>18/04/2026 02:47:20 AM</t>
  </si>
  <si>
    <t>18/04/2026 02:57:02 AM</t>
  </si>
  <si>
    <t>34564</t>
  </si>
  <si>
    <t>18/04/2026 02:51:20 AM</t>
  </si>
  <si>
    <t>18/04/2026 02:59:29 AM</t>
  </si>
  <si>
    <t>34565</t>
  </si>
  <si>
    <t>18/04/2026 02:58:32 AM</t>
  </si>
  <si>
    <t>18/04/2026 03:05:36 AM</t>
  </si>
  <si>
    <t>34566</t>
  </si>
  <si>
    <t>18/04/2026 03:00:31 AM</t>
  </si>
  <si>
    <t>18/04/2026 03:06:22 AM</t>
  </si>
  <si>
    <t>34567</t>
  </si>
  <si>
    <t>18/04/2026 03:07:37 AM</t>
  </si>
  <si>
    <t>18/04/2026 03:14:01 AM</t>
  </si>
  <si>
    <t>34568</t>
  </si>
  <si>
    <t>18/04/2026 03:12:47 AM</t>
  </si>
  <si>
    <t>18/04/2026 03:20:54 AM</t>
  </si>
  <si>
    <t>34569</t>
  </si>
  <si>
    <t>18/04/2026 03:16:42 AM</t>
  </si>
  <si>
    <t>18/04/2026 03:23:39 AM</t>
  </si>
  <si>
    <t>34570</t>
  </si>
  <si>
    <t>18/04/2026 03:22:06 AM</t>
  </si>
  <si>
    <t>18/04/2026 03:27:39 AM</t>
  </si>
  <si>
    <t>34571</t>
  </si>
  <si>
    <t>18/04/2026 03:28:55 AM</t>
  </si>
  <si>
    <t>18/04/2026 03:37:13 AM</t>
  </si>
  <si>
    <t>34572</t>
  </si>
  <si>
    <t>18/04/2026 03:32:16 AM</t>
  </si>
  <si>
    <t>18/04/2026 03:40:15 AM</t>
  </si>
  <si>
    <t>34573</t>
  </si>
  <si>
    <t>18/04/2026 03:36:20 AM</t>
  </si>
  <si>
    <t>18/04/2026 03:42:28 AM</t>
  </si>
  <si>
    <t>34574</t>
  </si>
  <si>
    <t>18/04/2026 03:43:40 AM</t>
  </si>
  <si>
    <t>18/04/2026 03:48:13 AM</t>
  </si>
  <si>
    <t>34575</t>
  </si>
  <si>
    <t>18/04/2026 04:06:40 AM</t>
  </si>
  <si>
    <t>18/04/2026 04:12:46 AM</t>
  </si>
  <si>
    <t>34576</t>
  </si>
  <si>
    <t>18/04/2026 04:11:47 AM</t>
  </si>
  <si>
    <t>18/04/2026 04:22:10 AM</t>
  </si>
  <si>
    <t>34577</t>
  </si>
  <si>
    <t>18/04/2026 04:19:31 AM</t>
  </si>
  <si>
    <t>18/04/2026 04:49:15 AM</t>
  </si>
  <si>
    <t>34578</t>
  </si>
  <si>
    <t>18/04/2026 04:25:27 AM</t>
  </si>
  <si>
    <t>18/04/2026 04:52:00 AM</t>
  </si>
  <si>
    <t>34579</t>
  </si>
  <si>
    <t>18/04/2026 04:32:31 AM</t>
  </si>
  <si>
    <t>18/04/2026 05:19:22 AM</t>
  </si>
  <si>
    <t>18/04/2026 04:40:16 AM</t>
  </si>
  <si>
    <t>18/04/2026 05:23:09 AM</t>
  </si>
  <si>
    <t>34581</t>
  </si>
  <si>
    <t>18/04/2026 05:40:06 AM</t>
  </si>
  <si>
    <t>18/04/2026 05:48:21 AM</t>
  </si>
  <si>
    <t>34582</t>
  </si>
  <si>
    <t>18/04/2026 05:58:20 AM</t>
  </si>
  <si>
    <t>18/04/2026 06:03:10 AM</t>
  </si>
  <si>
    <t>34583</t>
  </si>
  <si>
    <t>18/04/2026 06:00:10 AM</t>
  </si>
  <si>
    <t>18/04/2026 06:06:19 AM</t>
  </si>
  <si>
    <t>34584</t>
  </si>
  <si>
    <t>18/04/2026 06:08:10 AM</t>
  </si>
  <si>
    <t>18/04/2026 06:22:35 AM</t>
  </si>
  <si>
    <t>34585</t>
  </si>
  <si>
    <t>18/04/2026 06:11:55 AM</t>
  </si>
  <si>
    <t>18/04/2026 06:16:28 AM</t>
  </si>
  <si>
    <t>34586</t>
  </si>
  <si>
    <t>18/04/2026 06:20:57 AM</t>
  </si>
  <si>
    <t>18/04/2026 06:29:23 AM</t>
  </si>
  <si>
    <t>34587</t>
  </si>
  <si>
    <t>18/04/2026 06:23:29 AM</t>
  </si>
  <si>
    <t>18/04/2026 07:25:30 AM</t>
  </si>
  <si>
    <t>34588</t>
  </si>
  <si>
    <t>18/04/2026 06:27:55 AM</t>
  </si>
  <si>
    <t>18/04/2026 07:28:29 AM</t>
  </si>
  <si>
    <t>34589</t>
  </si>
  <si>
    <t>18/04/2026 06:34:01 AM</t>
  </si>
  <si>
    <t>18/04/2026 07:35:14 AM</t>
  </si>
  <si>
    <t>34590</t>
  </si>
  <si>
    <t>18/04/2026 06:39:59 AM</t>
  </si>
  <si>
    <t>18/04/2026 07:40:12 AM</t>
  </si>
  <si>
    <t>34591</t>
  </si>
  <si>
    <t>18/04/2026 09:57:54 AM</t>
  </si>
  <si>
    <t>18/04/2026 10:06:51 AM</t>
  </si>
  <si>
    <t>34592</t>
  </si>
  <si>
    <t>18/04/2026 10:01:20 AM</t>
  </si>
  <si>
    <t>18/04/2026 10:10:31 AM</t>
  </si>
  <si>
    <t>34593</t>
  </si>
  <si>
    <t>18/04/2026 10:03:26 AM</t>
  </si>
  <si>
    <t>18/04/2026 10:17:14 AM</t>
  </si>
  <si>
    <t>34594</t>
  </si>
  <si>
    <t>18/04/2026 10:14:54 AM</t>
  </si>
  <si>
    <t>18/04/2026 10:39:03 AM</t>
  </si>
  <si>
    <t>34595</t>
  </si>
  <si>
    <t>18/04/2026 10:20:06 AM</t>
  </si>
  <si>
    <t>18/04/2026 10:41:12 AM</t>
  </si>
  <si>
    <t>34596</t>
  </si>
  <si>
    <t>18/04/2026 10:24:04 AM</t>
  </si>
  <si>
    <t>18/04/2026 10:44:10 AM</t>
  </si>
  <si>
    <t>34597</t>
  </si>
  <si>
    <t>18/04/2026 10:28:06 AM</t>
  </si>
  <si>
    <t>18/04/2026 10:50:23 AM</t>
  </si>
  <si>
    <t>34598</t>
  </si>
  <si>
    <t>18/04/2026 10:45:06 AM</t>
  </si>
  <si>
    <t>18/04/2026 11:09:23 AM</t>
  </si>
  <si>
    <t>34599</t>
  </si>
  <si>
    <t>18/04/2026 10:49:10 AM</t>
  </si>
  <si>
    <t>18/04/2026 11:12:57 AM</t>
  </si>
  <si>
    <t>18/04/2026 10:52:03 AM</t>
  </si>
  <si>
    <t>18/04/2026 11:16:12 AM</t>
  </si>
  <si>
    <t>34601</t>
  </si>
  <si>
    <t>18/04/2026 10:57:24 AM</t>
  </si>
  <si>
    <t>18/04/2026 11:19:54 AM</t>
  </si>
  <si>
    <t>34602</t>
  </si>
  <si>
    <t>18/04/2026 11:14:35 AM</t>
  </si>
  <si>
    <t>18/04/2026 11:21:21 AM</t>
  </si>
  <si>
    <t>34603</t>
  </si>
  <si>
    <t>18/04/2026 11:18:39 AM</t>
  </si>
  <si>
    <t>18/04/2026 11:25:52 AM</t>
  </si>
  <si>
    <t>34604</t>
  </si>
  <si>
    <t>18/04/2026 11:22:11 AM</t>
  </si>
  <si>
    <t>18/04/2026 12:23:04 PM</t>
  </si>
  <si>
    <t>34605</t>
  </si>
  <si>
    <t>18/04/2026 11:28:23 AM</t>
  </si>
  <si>
    <t>18/04/2026 12:26:20 PM</t>
  </si>
  <si>
    <t>34606</t>
  </si>
  <si>
    <t>18/04/2026 11:31:56 AM</t>
  </si>
  <si>
    <t>18/04/2026 12:32:00 PM</t>
  </si>
  <si>
    <t>34607</t>
  </si>
  <si>
    <t>18/04/2026 11:35:56 AM</t>
  </si>
  <si>
    <t>18/04/2026 12:29:05 PM</t>
  </si>
  <si>
    <t>34608</t>
  </si>
  <si>
    <t>18/04/2026 12:36:34 PM</t>
  </si>
  <si>
    <t>18/04/2026 12:43:57 PM</t>
  </si>
  <si>
    <t>34609</t>
  </si>
  <si>
    <t>18/04/2026 12:38:33 PM</t>
  </si>
  <si>
    <t>18/04/2026 12:55:48 PM</t>
  </si>
  <si>
    <t>34610</t>
  </si>
  <si>
    <t>18/04/2026 12:42:48 PM</t>
  </si>
  <si>
    <t>18/04/2026 12:57:01 PM</t>
  </si>
  <si>
    <t>34611</t>
  </si>
  <si>
    <t>18/04/2026 12:47:19 PM</t>
  </si>
  <si>
    <t>18/04/2026 12:53:32 PM</t>
  </si>
  <si>
    <t>34612</t>
  </si>
  <si>
    <t>18/04/2026 12:51:07 PM</t>
  </si>
  <si>
    <t>18/04/2026 01:04:07 PM</t>
  </si>
  <si>
    <t>34613</t>
  </si>
  <si>
    <t>18/04/2026 12:58:18 PM</t>
  </si>
  <si>
    <t>18/04/2026 01:12:12 PM</t>
  </si>
  <si>
    <t>34614</t>
  </si>
  <si>
    <t>18/04/2026 01:06:50 PM</t>
  </si>
  <si>
    <t>18/04/2026 01:13:25 PM</t>
  </si>
  <si>
    <t>34615</t>
  </si>
  <si>
    <t>18/04/2026 01:10:00 PM</t>
  </si>
  <si>
    <t>18/04/2026 01:20:42 PM</t>
  </si>
  <si>
    <t>34616</t>
  </si>
  <si>
    <t>18/04/2026 01:15:12 PM</t>
  </si>
  <si>
    <t>18/04/2026 01:21:26 PM</t>
  </si>
  <si>
    <t>24400</t>
  </si>
  <si>
    <t>34617</t>
  </si>
  <si>
    <t>18/04/2026 01:22:42 PM</t>
  </si>
  <si>
    <t>18/04/2026 01:28:21 PM</t>
  </si>
  <si>
    <t>34618</t>
  </si>
  <si>
    <t>18/04/2026 01:26:37 PM</t>
  </si>
  <si>
    <t>18/04/2026 01:34:18 PM</t>
  </si>
  <si>
    <t>34619</t>
  </si>
  <si>
    <t>18/04/2026 01:29:53 PM</t>
  </si>
  <si>
    <t>18/04/2026 01:37:26 PM</t>
  </si>
  <si>
    <t>18/04/2026 01:33:10 PM</t>
  </si>
  <si>
    <t>18/04/2026 01:39:37 PM</t>
  </si>
  <si>
    <t>34621</t>
  </si>
  <si>
    <t>18/04/2026 01:38:31 PM</t>
  </si>
  <si>
    <t>18/04/2026 01:44:59 PM</t>
  </si>
  <si>
    <t>34622</t>
  </si>
  <si>
    <t>18/04/2026 01:43:42 PM</t>
  </si>
  <si>
    <t>18/04/2026 02:00:35 PM</t>
  </si>
  <si>
    <t>34623</t>
  </si>
  <si>
    <t>18/04/2026 01:53:01 PM</t>
  </si>
  <si>
    <t>18/04/2026 01:59:49 PM</t>
  </si>
  <si>
    <t>34624</t>
  </si>
  <si>
    <t>18/04/2026 01:55:02 PM</t>
  </si>
  <si>
    <t>18/04/2026 02:02:26 PM</t>
  </si>
  <si>
    <t>34625</t>
  </si>
  <si>
    <t>18/04/2026 01:58:42 PM</t>
  </si>
  <si>
    <t>18/04/2026 02:05:34 PM</t>
  </si>
  <si>
    <t>26060</t>
  </si>
  <si>
    <t>34626</t>
  </si>
  <si>
    <t>18/04/2026 02:12:30 PM</t>
  </si>
  <si>
    <t>18/04/2026 02:18:29 PM</t>
  </si>
  <si>
    <t>34627</t>
  </si>
  <si>
    <t>18/04/2026 02:16:47 PM</t>
  </si>
  <si>
    <t>18/04/2026 02:23:51 PM</t>
  </si>
  <si>
    <t>34628</t>
  </si>
  <si>
    <t>18/04/2026 02:22:14 PM</t>
  </si>
  <si>
    <t>18/04/2026 02:26:40 PM</t>
  </si>
  <si>
    <t>34629</t>
  </si>
  <si>
    <t>18/04/2026 02:27:51 PM</t>
  </si>
  <si>
    <t>18/04/2026 02:33:34 PM</t>
  </si>
  <si>
    <t>34630</t>
  </si>
  <si>
    <t>18/04/2026 02:32:06 PM</t>
  </si>
  <si>
    <t>18/04/2026 02:38:19 PM</t>
  </si>
  <si>
    <t>34631</t>
  </si>
  <si>
    <t>18/04/2026 02:37:14 PM</t>
  </si>
  <si>
    <t>18/04/2026 02:46:54 PM</t>
  </si>
  <si>
    <t>34632</t>
  </si>
  <si>
    <t>18/04/2026 02:42:13 PM</t>
  </si>
  <si>
    <t>18/04/2026 03:10:41 PM</t>
  </si>
  <si>
    <t>34633</t>
  </si>
  <si>
    <t>18/04/2026 02:45:24 PM</t>
  </si>
  <si>
    <t>18/04/2026 02:51:01 PM</t>
  </si>
  <si>
    <t>34634</t>
  </si>
  <si>
    <t>18/04/2026 02:49:38 PM</t>
  </si>
  <si>
    <t>18/04/2026 02:55:13 PM</t>
  </si>
  <si>
    <t>34635</t>
  </si>
  <si>
    <t>18/04/2026 03:07:07 PM</t>
  </si>
  <si>
    <t>18/04/2026 03:14:20 PM</t>
  </si>
  <si>
    <t>34636</t>
  </si>
  <si>
    <t>18/04/2026 03:08:24 PM</t>
  </si>
  <si>
    <t>18/04/2026 03:28:19 PM</t>
  </si>
  <si>
    <t>34637</t>
  </si>
  <si>
    <t>18/04/2026 03:09:27 PM</t>
  </si>
  <si>
    <t>18/04/2026 03:20:28 PM</t>
  </si>
  <si>
    <t>34638</t>
  </si>
  <si>
    <t>18/04/2026 03:22:27 PM</t>
  </si>
  <si>
    <t>18/04/2026 03:26:24 PM</t>
  </si>
  <si>
    <t>34639</t>
  </si>
  <si>
    <t>18/04/2026 03:25:02 PM</t>
  </si>
  <si>
    <t>18/04/2026 03:29:30 PM</t>
  </si>
  <si>
    <t>18/04/2026 03:36:55 PM</t>
  </si>
  <si>
    <t>18/04/2026 03:42:22 PM</t>
  </si>
  <si>
    <t>34641</t>
  </si>
  <si>
    <t>18/04/2026 03:40:55 PM</t>
  </si>
  <si>
    <t>18/04/2026 03:47:01 PM</t>
  </si>
  <si>
    <t>34642</t>
  </si>
  <si>
    <t>18/04/2026 03:44:57 PM</t>
  </si>
  <si>
    <t>18/04/2026 03:51:32 PM</t>
  </si>
  <si>
    <t>34643</t>
  </si>
  <si>
    <t>18/04/2026 03:49:49 PM</t>
  </si>
  <si>
    <t>18/04/2026 04:19:36 PM</t>
  </si>
  <si>
    <t>27240</t>
  </si>
  <si>
    <t>34644</t>
  </si>
  <si>
    <t>18/04/2026 04:09:14 PM</t>
  </si>
  <si>
    <t>18/04/2026 04:44:58 PM</t>
  </si>
  <si>
    <t>34645</t>
  </si>
  <si>
    <t>18/04/2026 04:10:48 PM</t>
  </si>
  <si>
    <t>18/04/2026 04:59:18 PM</t>
  </si>
  <si>
    <t>34646</t>
  </si>
  <si>
    <t>18/04/2026 04:11:47 PM</t>
  </si>
  <si>
    <t>18/04/2026 04:49:29 PM</t>
  </si>
  <si>
    <t>34647</t>
  </si>
  <si>
    <t>18/04/2026 04:30:07 PM</t>
  </si>
  <si>
    <t>18/04/2026 05:54:17 PM</t>
  </si>
  <si>
    <t>34648</t>
  </si>
  <si>
    <t>18/04/2026 04:55:11 PM</t>
  </si>
  <si>
    <t>18/04/2026 05:59:05 PM</t>
  </si>
  <si>
    <t>34649</t>
  </si>
  <si>
    <t>18/04/2026 05:04:44 PM</t>
  </si>
  <si>
    <t>18/04/2026 05:27:06 PM</t>
  </si>
  <si>
    <t>34650</t>
  </si>
  <si>
    <t>18/04/2026 05:08:09 PM</t>
  </si>
  <si>
    <t>18/04/2026 05:56:39 PM</t>
  </si>
  <si>
    <t>34651</t>
  </si>
  <si>
    <t>18/04/2026 06:03:24 PM</t>
  </si>
  <si>
    <t>18/04/2026 06:08:08 PM</t>
  </si>
  <si>
    <t>34652</t>
  </si>
  <si>
    <t>18/04/2026 06:04:46 PM</t>
  </si>
  <si>
    <t>18/04/2026 06:09:25 PM</t>
  </si>
  <si>
    <t>34653</t>
  </si>
  <si>
    <t>18/04/2026 06:06:14 PM</t>
  </si>
  <si>
    <t>18/04/2026 06:11:41 PM</t>
  </si>
  <si>
    <t>34654</t>
  </si>
  <si>
    <t>18/04/2026 06:07:02 PM</t>
  </si>
  <si>
    <t>18/04/2026 06:15:21 PM</t>
  </si>
  <si>
    <t>34655</t>
  </si>
  <si>
    <t>18/04/2026 06:10:43 PM</t>
  </si>
  <si>
    <t>18/04/2026 06:16:21 PM</t>
  </si>
  <si>
    <t>34656</t>
  </si>
  <si>
    <t>18/04/2026 06:13:36 PM</t>
  </si>
  <si>
    <t>18/04/2026 06:18:08 PM</t>
  </si>
  <si>
    <t>34657</t>
  </si>
  <si>
    <t>18/04/2026 06:19:39 PM</t>
  </si>
  <si>
    <t>18/04/2026 06:24:00 PM</t>
  </si>
  <si>
    <t>34658</t>
  </si>
  <si>
    <t>18/04/2026 06:20:59 PM</t>
  </si>
  <si>
    <t>18/04/2026 06:26:43 PM</t>
  </si>
  <si>
    <t>34659</t>
  </si>
  <si>
    <t>18/04/2026 06:25:33 PM</t>
  </si>
  <si>
    <t>18/04/2026 06:29:37 PM</t>
  </si>
  <si>
    <t>32220</t>
  </si>
  <si>
    <t>18/04/2026 06:30:52 PM</t>
  </si>
  <si>
    <t>18/04/2026 06:35:35 PM</t>
  </si>
  <si>
    <t>34661</t>
  </si>
  <si>
    <t>18/04/2026 06:31:48 PM</t>
  </si>
  <si>
    <t>18/04/2026 06:36:30 PM</t>
  </si>
  <si>
    <t>34662</t>
  </si>
  <si>
    <t>18/04/2026 06:32:42 PM</t>
  </si>
  <si>
    <t>18/04/2026 06:37:19 PM</t>
  </si>
  <si>
    <t>34663</t>
  </si>
  <si>
    <t>18/04/2026 06:39:01 PM</t>
  </si>
  <si>
    <t>18/04/2026 06:43:08 PM</t>
  </si>
  <si>
    <t>34664</t>
  </si>
  <si>
    <t>18/04/2026 06:40:50 PM</t>
  </si>
  <si>
    <t>18/04/2026 06:44:54 PM</t>
  </si>
  <si>
    <t>34665</t>
  </si>
  <si>
    <t>18/04/2026 06:42:03 PM</t>
  </si>
  <si>
    <t>18/04/2026 06:47:12 PM</t>
  </si>
  <si>
    <t>34666</t>
  </si>
  <si>
    <t>18/04/2026 06:46:06 PM</t>
  </si>
  <si>
    <t>18/04/2026 06:53:12 PM</t>
  </si>
  <si>
    <t>34667</t>
  </si>
  <si>
    <t>18/04/2026 06:48:25 PM</t>
  </si>
  <si>
    <t>18/04/2026 06:56:09 PM</t>
  </si>
  <si>
    <t>34668</t>
  </si>
  <si>
    <t>18/04/2026 06:51:05 PM</t>
  </si>
  <si>
    <t>18/04/2026 06:57:03 PM</t>
  </si>
  <si>
    <t>34669</t>
  </si>
  <si>
    <t>18/04/2026 06:51:55 PM</t>
  </si>
  <si>
    <t>18/04/2026 07:11:17 PM</t>
  </si>
  <si>
    <t>34670</t>
  </si>
  <si>
    <t>18/04/2026 06:55:06 PM</t>
  </si>
  <si>
    <t>18/04/2026 07:07:59 PM</t>
  </si>
  <si>
    <t>34671</t>
  </si>
  <si>
    <t>18/04/2026 07:02:24 PM</t>
  </si>
  <si>
    <t>18/04/2026 07:14:23 PM</t>
  </si>
  <si>
    <t>34672</t>
  </si>
  <si>
    <t>18/04/2026 07:09:47 PM</t>
  </si>
  <si>
    <t>18/04/2026 07:15:41 PM</t>
  </si>
  <si>
    <t>34673</t>
  </si>
  <si>
    <t>18/04/2026 07:16:41 PM</t>
  </si>
  <si>
    <t>18/04/2026 07:30:12 PM</t>
  </si>
  <si>
    <t>34674</t>
  </si>
  <si>
    <t>18/04/2026 07:23:13 PM</t>
  </si>
  <si>
    <t>18/04/2026 07:33:30 PM</t>
  </si>
  <si>
    <t>34675</t>
  </si>
  <si>
    <t>18/04/2026 09:12:47 PM</t>
  </si>
  <si>
    <t>18/04/2026 09:30:41 PM</t>
  </si>
  <si>
    <t>34676</t>
  </si>
  <si>
    <t>18/04/2026 09:13:53 PM</t>
  </si>
  <si>
    <t>18/04/2026 09:31:47 PM</t>
  </si>
  <si>
    <t>34677</t>
  </si>
  <si>
    <t>18/04/2026 09:17:28 PM</t>
  </si>
  <si>
    <t>18/04/2026 09:36:37 PM</t>
  </si>
  <si>
    <t>34678</t>
  </si>
  <si>
    <t>18/04/2026 09:22:14 PM</t>
  </si>
  <si>
    <t>18/04/2026 09:47:31 PM</t>
  </si>
  <si>
    <t>34679</t>
  </si>
  <si>
    <t>18/04/2026 09:24:37 PM</t>
  </si>
  <si>
    <t>18/04/2026 09:48:46 PM</t>
  </si>
  <si>
    <t>18/04/2026 09:28:06 PM</t>
  </si>
  <si>
    <t>18/04/2026 09:44:21 PM</t>
  </si>
  <si>
    <t>34681</t>
  </si>
  <si>
    <t>18/04/2026 09:39:37 PM</t>
  </si>
  <si>
    <t>18/04/2026 09:53:28 PM</t>
  </si>
  <si>
    <t>34682</t>
  </si>
  <si>
    <t>18/04/2026 09:42:46 PM</t>
  </si>
  <si>
    <t>18/04/2026 09:56:45 PM</t>
  </si>
  <si>
    <t>34683</t>
  </si>
  <si>
    <t>18/04/2026 09:45:25 PM</t>
  </si>
  <si>
    <t>18/04/2026 09:55:02 PM</t>
  </si>
  <si>
    <t>29620</t>
  </si>
  <si>
    <t>13840</t>
  </si>
  <si>
    <t>34684</t>
  </si>
  <si>
    <t>18/04/2026 09:50:23 PM</t>
  </si>
  <si>
    <t>18/04/2026 10:05:11 PM</t>
  </si>
  <si>
    <t>34685</t>
  </si>
  <si>
    <t>18/04/2026 09:58:04 PM</t>
  </si>
  <si>
    <t>18/04/2026 10:07:34 PM</t>
  </si>
  <si>
    <t>34686</t>
  </si>
  <si>
    <t>18/04/2026 09:59:36 PM</t>
  </si>
  <si>
    <t>18/04/2026 10:15:31 PM</t>
  </si>
  <si>
    <t>34687</t>
  </si>
  <si>
    <t>18/04/2026 10:03:07 PM</t>
  </si>
  <si>
    <t>18/04/2026 10:18:57 PM</t>
  </si>
  <si>
    <t>34688</t>
  </si>
  <si>
    <t>18/04/2026 10:06:26 PM</t>
  </si>
  <si>
    <t>18/04/2026 10:13:23 PM</t>
  </si>
  <si>
    <t>34689</t>
  </si>
  <si>
    <t>18/04/2026 10:09:36 PM</t>
  </si>
  <si>
    <t>18/04/2026 10:26:32 PM</t>
  </si>
  <si>
    <t>34690</t>
  </si>
  <si>
    <t>18/04/2026 10:12:01 PM</t>
  </si>
  <si>
    <t>18/04/2026 10:24:49 PM</t>
  </si>
  <si>
    <t>34691</t>
  </si>
  <si>
    <t>18/04/2026 10:17:30 PM</t>
  </si>
  <si>
    <t>18/04/2026 10:28:08 PM</t>
  </si>
  <si>
    <t>34692</t>
  </si>
  <si>
    <t>18/04/2026 10:21:01 PM</t>
  </si>
  <si>
    <t>18/04/2026 10:34:10 PM</t>
  </si>
  <si>
    <t>34693</t>
  </si>
  <si>
    <t>18/04/2026 10:23:19 PM</t>
  </si>
  <si>
    <t>18/04/2026 10:31:33 PM</t>
  </si>
  <si>
    <t>34694</t>
  </si>
  <si>
    <t>18/04/2026 10:29:50 PM</t>
  </si>
  <si>
    <t>18/04/2026 10:41:58 PM</t>
  </si>
  <si>
    <t>34695</t>
  </si>
  <si>
    <t>18/04/2026 10:32:43 PM</t>
  </si>
  <si>
    <t>18/04/2026 10:48:00 PM</t>
  </si>
  <si>
    <t>34696</t>
  </si>
  <si>
    <t>18/04/2026 10:36:01 PM</t>
  </si>
  <si>
    <t>18/04/2026 10:46:30 PM</t>
  </si>
  <si>
    <t>34697</t>
  </si>
  <si>
    <t>18/04/2026 10:38:17 PM</t>
  </si>
  <si>
    <t>18/04/2026 10:52:47 PM</t>
  </si>
  <si>
    <t>34698</t>
  </si>
  <si>
    <t>18/04/2026 10:40:01 PM</t>
  </si>
  <si>
    <t>18/04/2026 10:49:01 PM</t>
  </si>
  <si>
    <t>34699</t>
  </si>
  <si>
    <t>18/04/2026 10:44:04 PM</t>
  </si>
  <si>
    <t>18/04/2026 10:54:43 PM</t>
  </si>
  <si>
    <t>18/04/2026 10:56:11 PM</t>
  </si>
  <si>
    <t>18/04/2026 11:06:49 PM</t>
  </si>
  <si>
    <t>34701</t>
  </si>
  <si>
    <t>18/04/2026 10:58:24 PM</t>
  </si>
  <si>
    <t>18/04/2026 11:12:18 PM</t>
  </si>
  <si>
    <t>34702</t>
  </si>
  <si>
    <t>18/04/2026 10:59:49 PM</t>
  </si>
  <si>
    <t>18/04/2026 11:13:22 PM</t>
  </si>
  <si>
    <t>34703</t>
  </si>
  <si>
    <t>18/04/2026 11:01:49 PM</t>
  </si>
  <si>
    <t>18/04/2026 11:11:12 PM</t>
  </si>
  <si>
    <t>34704</t>
  </si>
  <si>
    <t>18/04/2026 11:04:13 PM</t>
  </si>
  <si>
    <t>18/04/2026 11:16:27 PM</t>
  </si>
  <si>
    <t>34705</t>
  </si>
  <si>
    <t>18/04/2026 11:05:06 PM</t>
  </si>
  <si>
    <t>18/04/2026 11:22:15 PM</t>
  </si>
  <si>
    <t>34706</t>
  </si>
  <si>
    <t>18/04/2026 11:09:59 PM</t>
  </si>
  <si>
    <t>18/04/2026 11:17:40 PM</t>
  </si>
  <si>
    <t>34707</t>
  </si>
  <si>
    <t>18/04/2026 11:14:53 PM</t>
  </si>
  <si>
    <t>18/04/2026 11:23:49 PM</t>
  </si>
  <si>
    <t>34708</t>
  </si>
  <si>
    <t>18/04/2026 11:20:04 PM</t>
  </si>
  <si>
    <t>18/04/2026 11:31:52 PM</t>
  </si>
  <si>
    <t>34709</t>
  </si>
  <si>
    <t>18/04/2026 11:28:27 PM</t>
  </si>
  <si>
    <t>18/04/2026 11:42:49 PM</t>
  </si>
  <si>
    <t>34710</t>
  </si>
  <si>
    <t>18/04/2026 11:29:17 PM</t>
  </si>
  <si>
    <t>18/04/2026 11:43:39 PM</t>
  </si>
  <si>
    <t>34711</t>
  </si>
  <si>
    <t>18/04/2026 11:30:25 PM</t>
  </si>
  <si>
    <t>18/04/2026 11:37:22 PM</t>
  </si>
  <si>
    <t>34712</t>
  </si>
  <si>
    <t>18/04/2026 11:34:08 PM</t>
  </si>
  <si>
    <t>18/04/2026 11:46:52 PM</t>
  </si>
  <si>
    <t>34713</t>
  </si>
  <si>
    <t>18/04/2026 11:36:12 PM</t>
  </si>
  <si>
    <t>18/04/2026 11:44:54 PM</t>
  </si>
  <si>
    <t>34714</t>
  </si>
  <si>
    <t>18/04/2026 11:39:34 PM</t>
  </si>
  <si>
    <t>18/04/2026 11:51:15 PM</t>
  </si>
  <si>
    <t>34715</t>
  </si>
  <si>
    <t>18/04/2026 11:41:35 PM</t>
  </si>
  <si>
    <t>18/04/2026 11:50:13 PM</t>
  </si>
  <si>
    <t>34716</t>
  </si>
  <si>
    <t>18/04/2026 11:49:21 PM</t>
  </si>
  <si>
    <t>19/04/2026 12:28:40 AM</t>
  </si>
  <si>
    <t>46220</t>
  </si>
  <si>
    <t>30460</t>
  </si>
  <si>
    <t>34717</t>
  </si>
  <si>
    <t>18/04/2026 11:52:31 PM</t>
  </si>
  <si>
    <t>19/04/2026 12:02:50 AM</t>
  </si>
  <si>
    <t>34718</t>
  </si>
  <si>
    <t>18/04/2026 11:54:44 PM</t>
  </si>
  <si>
    <t>19/04/2026 12:06:11 AM</t>
  </si>
  <si>
    <t>34719</t>
  </si>
  <si>
    <t>18/04/2026 11:56:04 PM</t>
  </si>
  <si>
    <t>19/04/2026 12:29:42 AM</t>
  </si>
  <si>
    <t>53900</t>
  </si>
  <si>
    <t>18/04/2026 11:58:42 PM</t>
  </si>
  <si>
    <t>19/04/2026 12:11:43 AM</t>
  </si>
  <si>
    <t>34721</t>
  </si>
  <si>
    <t>19/04/2026 12:01:29 AM</t>
  </si>
  <si>
    <t>19/04/2026 12:12:32 AM</t>
  </si>
  <si>
    <t>34722</t>
  </si>
  <si>
    <t>19/04/2026 12:04:31 AM</t>
  </si>
  <si>
    <t>19/04/2026 12:30:28 AM</t>
  </si>
  <si>
    <t>49980</t>
  </si>
  <si>
    <t>34723</t>
  </si>
  <si>
    <t>19/04/2026 12:13:51 AM</t>
  </si>
  <si>
    <t>19/04/2026 12:25:41 AM</t>
  </si>
  <si>
    <t>34724</t>
  </si>
  <si>
    <t>19/04/2026 12:15:00 AM</t>
  </si>
  <si>
    <t>19/04/2026 12:27:52 AM</t>
  </si>
  <si>
    <t>34725</t>
  </si>
  <si>
    <t>19/04/2026 12:20:58 AM</t>
  </si>
  <si>
    <t>19/04/2026 12:32:27 AM</t>
  </si>
  <si>
    <t>34726</t>
  </si>
  <si>
    <t>19/04/2026 12:24:02 AM</t>
  </si>
  <si>
    <t>19/04/2026 12:35:31 AM</t>
  </si>
  <si>
    <t>34727</t>
  </si>
  <si>
    <t>19/04/2026 12:36:48 AM</t>
  </si>
  <si>
    <t>19/04/2026 12:50:01 AM</t>
  </si>
  <si>
    <t>34728</t>
  </si>
  <si>
    <t>19/04/2026 12:41:59 AM</t>
  </si>
  <si>
    <t>19/04/2026 12:51:03 AM</t>
  </si>
  <si>
    <t>34729</t>
  </si>
  <si>
    <t>19/04/2026 12:48:47 AM</t>
  </si>
  <si>
    <t>19/04/2026 01:00:29 AM</t>
  </si>
  <si>
    <t>34730</t>
  </si>
  <si>
    <t>19/04/2026 12:53:45 AM</t>
  </si>
  <si>
    <t>19/04/2026 01:01:20 AM</t>
  </si>
  <si>
    <t>34731</t>
  </si>
  <si>
    <t>19/04/2026 12:57:26 AM</t>
  </si>
  <si>
    <t>19/04/2026 01:02:35 AM</t>
  </si>
  <si>
    <t>34732</t>
  </si>
  <si>
    <t>19/04/2026 01:11:37 AM</t>
  </si>
  <si>
    <t>19/04/2026 01:18:55 AM</t>
  </si>
  <si>
    <t>34733</t>
  </si>
  <si>
    <t>19/04/2026 01:13:46 AM</t>
  </si>
  <si>
    <t>19/04/2026 01:28:41 AM</t>
  </si>
  <si>
    <t>34734</t>
  </si>
  <si>
    <t>19/04/2026 01:16:40 AM</t>
  </si>
  <si>
    <t>19/04/2026 01:23:53 AM</t>
  </si>
  <si>
    <t>34735</t>
  </si>
  <si>
    <t>19/04/2026 01:17:54 AM</t>
  </si>
  <si>
    <t>19/04/2026 01:33:36 AM</t>
  </si>
  <si>
    <t>34736</t>
  </si>
  <si>
    <t>19/04/2026 01:21:52 AM</t>
  </si>
  <si>
    <t>19/04/2026 01:27:27 AM</t>
  </si>
  <si>
    <t>34737</t>
  </si>
  <si>
    <t>19/04/2026 01:31:27 AM</t>
  </si>
  <si>
    <t>19/04/2026 01:38:23 AM</t>
  </si>
  <si>
    <t>34738</t>
  </si>
  <si>
    <t>19/04/2026 01:32:42 AM</t>
  </si>
  <si>
    <t>19/04/2026 01:44:25 AM</t>
  </si>
  <si>
    <t>34739</t>
  </si>
  <si>
    <t>19/04/2026 01:37:25 AM</t>
  </si>
  <si>
    <t>19/04/2026 01:51:11 AM</t>
  </si>
  <si>
    <t>19/04/2026 01:39:24 AM</t>
  </si>
  <si>
    <t>19/04/2026 01:48:45 AM</t>
  </si>
  <si>
    <t>34741</t>
  </si>
  <si>
    <t>19/04/2026 01:42:55 AM</t>
  </si>
  <si>
    <t>19/04/2026 01:57:31 AM</t>
  </si>
  <si>
    <t>34742</t>
  </si>
  <si>
    <t>19/04/2026 01:45:43 AM</t>
  </si>
  <si>
    <t>19/04/2026 01:52:22 AM</t>
  </si>
  <si>
    <t>34743</t>
  </si>
  <si>
    <t>19/04/2026 01:53:26 AM</t>
  </si>
  <si>
    <t>19/04/2026 02:07:44 AM</t>
  </si>
  <si>
    <t>34744</t>
  </si>
  <si>
    <t>19/04/2026 01:55:59 AM</t>
  </si>
  <si>
    <t>19/04/2026 02:03:39 AM</t>
  </si>
  <si>
    <t>34745</t>
  </si>
  <si>
    <t>19/04/2026 01:58:21 AM</t>
  </si>
  <si>
    <t>19/04/2026 02:10:36 AM</t>
  </si>
  <si>
    <t>34746</t>
  </si>
  <si>
    <t>19/04/2026 02:01:53 AM</t>
  </si>
  <si>
    <t>19/04/2026 02:09:04 AM</t>
  </si>
  <si>
    <t>34747</t>
  </si>
  <si>
    <t>19/04/2026 02:06:37 AM</t>
  </si>
  <si>
    <t>19/04/2026 02:23:33 AM</t>
  </si>
  <si>
    <t>34748</t>
  </si>
  <si>
    <t>19/04/2026 02:12:38 AM</t>
  </si>
  <si>
    <t>19/04/2026 02:25:27 AM</t>
  </si>
  <si>
    <t>34749</t>
  </si>
  <si>
    <t>19/04/2026 02:14:13 AM</t>
  </si>
  <si>
    <t>19/04/2026 02:26:32 AM</t>
  </si>
  <si>
    <t>34750</t>
  </si>
  <si>
    <t>19/04/2026 02:19:13 AM</t>
  </si>
  <si>
    <t>19/04/2026 02:36:15 AM</t>
  </si>
  <si>
    <t>34751</t>
  </si>
  <si>
    <t>19/04/2026 02:21:34 AM</t>
  </si>
  <si>
    <t>19/04/2026 02:29:46 AM</t>
  </si>
  <si>
    <t>34752</t>
  </si>
  <si>
    <t>19/04/2026 02:31:04 AM</t>
  </si>
  <si>
    <t>19/04/2026 02:45:07 AM</t>
  </si>
  <si>
    <t>34753</t>
  </si>
  <si>
    <t>19/04/2026 02:33:56 AM</t>
  </si>
  <si>
    <t>19/04/2026 03:03:28 AM</t>
  </si>
  <si>
    <t>34754</t>
  </si>
  <si>
    <t>19/04/2026 02:37:12 AM</t>
  </si>
  <si>
    <t>19/04/2026 02:47:30 AM</t>
  </si>
  <si>
    <t>34755</t>
  </si>
  <si>
    <t>19/04/2026 02:38:49 AM</t>
  </si>
  <si>
    <t>19/04/2026 03:22:37 AM</t>
  </si>
  <si>
    <t>34756</t>
  </si>
  <si>
    <t>19/04/2026 02:43:21 AM</t>
  </si>
  <si>
    <t>19/04/2026 02:58:12 AM</t>
  </si>
  <si>
    <t>34757</t>
  </si>
  <si>
    <t>19/04/2026 02:52:29 AM</t>
  </si>
  <si>
    <t>19/04/2026 03:06:23 AM</t>
  </si>
  <si>
    <t>34758</t>
  </si>
  <si>
    <t>19/04/2026 02:55:03 AM</t>
  </si>
  <si>
    <t>19/04/2026 04:05:39 AM</t>
  </si>
  <si>
    <t>34759</t>
  </si>
  <si>
    <t>19/04/2026 02:56:43 AM</t>
  </si>
  <si>
    <t>19/04/2026 03:09:37 AM</t>
  </si>
  <si>
    <t>19/04/2026 03:00:31 AM</t>
  </si>
  <si>
    <t>19/04/2026 04:23:24 AM</t>
  </si>
  <si>
    <t>34761</t>
  </si>
  <si>
    <t>19/04/2026 03:07:59 AM</t>
  </si>
  <si>
    <t>19/04/2026 03:18:42 AM</t>
  </si>
  <si>
    <t>34762</t>
  </si>
  <si>
    <t>19/04/2026 03:15:16 AM</t>
  </si>
  <si>
    <t>19/04/2026 03:28:46 AM</t>
  </si>
  <si>
    <t>34763</t>
  </si>
  <si>
    <t>19/04/2026 03:19:40 AM</t>
  </si>
  <si>
    <t>19/04/2026 03:31:19 AM</t>
  </si>
  <si>
    <t>34764</t>
  </si>
  <si>
    <t>19/04/2026 03:20:47 AM</t>
  </si>
  <si>
    <t>19/04/2026 04:28:52 AM</t>
  </si>
  <si>
    <t>34765</t>
  </si>
  <si>
    <t>19/04/2026 04:16:18 AM</t>
  </si>
  <si>
    <t>19/04/2026 04:34:37 AM</t>
  </si>
  <si>
    <t>34766</t>
  </si>
  <si>
    <t>19/04/2026 04:18:42 AM</t>
  </si>
  <si>
    <t>19/04/2026 04:36:31 AM</t>
  </si>
  <si>
    <t>34767</t>
  </si>
  <si>
    <t>19/04/2026 04:35:33 AM</t>
  </si>
  <si>
    <t>19/04/2026 04:57:34 AM</t>
  </si>
  <si>
    <t>34768</t>
  </si>
  <si>
    <t>19/04/2026 04:54:08 AM</t>
  </si>
  <si>
    <t>19/04/2026 05:09:48 AM</t>
  </si>
  <si>
    <t>34769</t>
  </si>
  <si>
    <t>19/04/2026 04:55:34 AM</t>
  </si>
  <si>
    <t>19/04/2026 05:04:44 AM</t>
  </si>
  <si>
    <t>34770</t>
  </si>
  <si>
    <t>19/04/2026 04:56:33 AM</t>
  </si>
  <si>
    <t>19/04/2026 05:16:55 AM</t>
  </si>
  <si>
    <t>31740</t>
  </si>
  <si>
    <t>34771</t>
  </si>
  <si>
    <t>19/04/2026 04:59:24 AM</t>
  </si>
  <si>
    <t>19/04/2026 05:14:05 AM</t>
  </si>
  <si>
    <t>34772</t>
  </si>
  <si>
    <t>19/04/2026 05:08:39 AM</t>
  </si>
  <si>
    <t>19/04/2026 05:24:05 AM</t>
  </si>
  <si>
    <t>29440</t>
  </si>
  <si>
    <t>13900</t>
  </si>
  <si>
    <t>34773</t>
  </si>
  <si>
    <t>19/04/2026 05:17:52 AM</t>
  </si>
  <si>
    <t>19/04/2026 05:31:12 AM</t>
  </si>
  <si>
    <t>34774</t>
  </si>
  <si>
    <t>19/04/2026 05:19:15 AM</t>
  </si>
  <si>
    <t>19/04/2026 06:25:16 AM</t>
  </si>
  <si>
    <t>34775</t>
  </si>
  <si>
    <t>19/04/2026 05:22:51 AM</t>
  </si>
  <si>
    <t>19/04/2026 06:28:51 AM</t>
  </si>
  <si>
    <t>41380</t>
  </si>
  <si>
    <t>34776</t>
  </si>
  <si>
    <t>19/04/2026 05:25:13 AM</t>
  </si>
  <si>
    <t>19/04/2026 06:30:40 AM</t>
  </si>
  <si>
    <t>34777</t>
  </si>
  <si>
    <t>19/04/2026 05:28:33 AM</t>
  </si>
  <si>
    <t>19/04/2026 05:42:07 AM</t>
  </si>
  <si>
    <t>34778</t>
  </si>
  <si>
    <t>19/04/2026 05:35:04 AM</t>
  </si>
  <si>
    <t>19/04/2026 06:31:45 AM</t>
  </si>
  <si>
    <t>34779</t>
  </si>
  <si>
    <t>19/04/2026 06:10:55 AM</t>
  </si>
  <si>
    <t>19/04/2026 06:52:12 AM</t>
  </si>
  <si>
    <t>160</t>
  </si>
  <si>
    <t>19/04/2026 06:21:26 AM</t>
  </si>
  <si>
    <t>19/04/2026 06:36:56 AM</t>
  </si>
  <si>
    <t>34781</t>
  </si>
  <si>
    <t>19/04/2026 06:41:54 AM</t>
  </si>
  <si>
    <t>19/04/2026 06:50:13 AM</t>
  </si>
  <si>
    <t>34782</t>
  </si>
  <si>
    <t>19/04/2026 06:46:55 AM</t>
  </si>
  <si>
    <t>19/04/2026 06:59:11 AM</t>
  </si>
  <si>
    <t>34783</t>
  </si>
  <si>
    <t>19/04/2026 06:58:00 AM</t>
  </si>
  <si>
    <t>19/04/2026 07:16:45 AM</t>
  </si>
  <si>
    <t>34784</t>
  </si>
  <si>
    <t>19/04/2026 07:06:00 AM</t>
  </si>
  <si>
    <t>19/04/2026 07:20:06 AM</t>
  </si>
  <si>
    <t>34785</t>
  </si>
  <si>
    <t>19/04/2026 07:18:34 AM</t>
  </si>
  <si>
    <t>19/04/2026 07:32:18 AM</t>
  </si>
  <si>
    <t>34786</t>
  </si>
  <si>
    <t>19/04/2026 09:15:38 AM</t>
  </si>
  <si>
    <t>19/04/2026 09:25:12 AM</t>
  </si>
  <si>
    <t>34787</t>
  </si>
  <si>
    <t>19/04/2026 09:17:14 AM</t>
  </si>
  <si>
    <t>19/04/2026 09:26:43 AM</t>
  </si>
  <si>
    <t>34788</t>
  </si>
  <si>
    <t>19/04/2026 09:20:14 AM</t>
  </si>
  <si>
    <t>19/04/2026 09:29:21 AM</t>
  </si>
  <si>
    <t>34789</t>
  </si>
  <si>
    <t>19/04/2026 09:23:45 AM</t>
  </si>
  <si>
    <t>19/04/2026 09:31:21 AM</t>
  </si>
  <si>
    <t>34790</t>
  </si>
  <si>
    <t>19/04/2026 09:28:09 AM</t>
  </si>
  <si>
    <t>19/04/2026 09:34:30 AM</t>
  </si>
  <si>
    <t>34791</t>
  </si>
  <si>
    <t>19/04/2026 09:36:04 AM</t>
  </si>
  <si>
    <t>19/04/2026 09:57:34 AM</t>
  </si>
  <si>
    <t>34792</t>
  </si>
  <si>
    <t>19/04/2026 09:40:49 AM</t>
  </si>
  <si>
    <t>19/04/2026 10:00:25 AM</t>
  </si>
  <si>
    <t>34793</t>
  </si>
  <si>
    <t>19/04/2026 09:42:15 AM</t>
  </si>
  <si>
    <t>19/04/2026 10:20:17 AM</t>
  </si>
  <si>
    <t>34794</t>
  </si>
  <si>
    <t>19/04/2026 09:45:23 AM</t>
  </si>
  <si>
    <t>19/04/2026 10:23:57 AM</t>
  </si>
  <si>
    <t>34795</t>
  </si>
  <si>
    <t>19/04/2026 10:07:13 AM</t>
  </si>
  <si>
    <t>19/04/2026 11:11:07 AM</t>
  </si>
  <si>
    <t>45500</t>
  </si>
  <si>
    <t>6420</t>
  </si>
  <si>
    <t>34796</t>
  </si>
  <si>
    <t>19/04/2026 10:11:16 AM</t>
  </si>
  <si>
    <t>19/04/2026 10:47:58 AM</t>
  </si>
  <si>
    <t>34797</t>
  </si>
  <si>
    <t>19/04/2026 10:33:12 AM</t>
  </si>
  <si>
    <t>19/04/2026 10:45:59 AM</t>
  </si>
  <si>
    <t>34798</t>
  </si>
  <si>
    <t>19/04/2026 10:37:27 AM</t>
  </si>
  <si>
    <t>19/04/2026 10:43:00 AM</t>
  </si>
  <si>
    <t>34799</t>
  </si>
  <si>
    <t>19/04/2026 10:40:37 AM</t>
  </si>
  <si>
    <t>19/04/2026 10:46:56 AM</t>
  </si>
  <si>
    <t>26440</t>
  </si>
  <si>
    <t>19/04/2026 10:51:01 AM</t>
  </si>
  <si>
    <t>19/04/2026 10:56:28 AM</t>
  </si>
  <si>
    <t>34801</t>
  </si>
  <si>
    <t>19/04/2026 10:55:10 AM</t>
  </si>
  <si>
    <t>19/04/2026 11:01:36 AM</t>
  </si>
  <si>
    <t>34802</t>
  </si>
  <si>
    <t>19/04/2026 10:58:44 AM</t>
  </si>
  <si>
    <t>19/04/2026 11:04:32 AM</t>
  </si>
  <si>
    <t>34803</t>
  </si>
  <si>
    <t>19/04/2026 11:02:57 AM</t>
  </si>
  <si>
    <t>19/04/2026 11:09:59 AM</t>
  </si>
  <si>
    <t>34804</t>
  </si>
  <si>
    <t>19/04/2026 11:06:02 AM</t>
  </si>
  <si>
    <t>19/04/2026 11:12:18 AM</t>
  </si>
  <si>
    <t>34805</t>
  </si>
  <si>
    <t>19/04/2026 11:08:47 AM</t>
  </si>
  <si>
    <t>19/04/2026 11:13:20 AM</t>
  </si>
  <si>
    <t>34806</t>
  </si>
  <si>
    <t>19/04/2026 11:14:22 AM</t>
  </si>
  <si>
    <t>19/04/2026 11:30:43 AM</t>
  </si>
  <si>
    <t>34807</t>
  </si>
  <si>
    <t>19/04/2026 11:15:48 AM</t>
  </si>
  <si>
    <t>19/04/2026 11:27:18 AM</t>
  </si>
  <si>
    <t>34808</t>
  </si>
  <si>
    <t>19/04/2026 11:17:39 AM</t>
  </si>
  <si>
    <t>19/04/2026 11:26:22 AM</t>
  </si>
  <si>
    <t>34809</t>
  </si>
  <si>
    <t>19/04/2026 11:20:13 AM</t>
  </si>
  <si>
    <t>19/04/2026 11:29:48 AM</t>
  </si>
  <si>
    <t>26860</t>
  </si>
  <si>
    <t>34810</t>
  </si>
  <si>
    <t>19/04/2026 11:24:46 AM</t>
  </si>
  <si>
    <t>19/04/2026 11:40:04 AM</t>
  </si>
  <si>
    <t>34811</t>
  </si>
  <si>
    <t>19/04/2026 11:28:32 AM</t>
  </si>
  <si>
    <t>19/04/2026 11:33:37 AM</t>
  </si>
  <si>
    <t>34812</t>
  </si>
  <si>
    <t>19/04/2026 11:34:57 AM</t>
  </si>
  <si>
    <t>19/04/2026 11:46:03 AM</t>
  </si>
  <si>
    <t>34813</t>
  </si>
  <si>
    <t>19/04/2026 11:41:32 AM</t>
  </si>
  <si>
    <t>19/04/2026 11:59:08 AM</t>
  </si>
  <si>
    <t>34814</t>
  </si>
  <si>
    <t>19/04/2026 11:47:08 AM</t>
  </si>
  <si>
    <t>19/04/2026 12:10:39 PM</t>
  </si>
  <si>
    <t>44500</t>
  </si>
  <si>
    <t>34815</t>
  </si>
  <si>
    <t>19/04/2026 11:51:58 AM</t>
  </si>
  <si>
    <t>19/04/2026 12:15:26 PM</t>
  </si>
  <si>
    <t>34816</t>
  </si>
  <si>
    <t>19/04/2026 11:54:25 AM</t>
  </si>
  <si>
    <t>19/04/2026 12:04:58 PM</t>
  </si>
  <si>
    <t>34817</t>
  </si>
  <si>
    <t>19/04/2026 11:57:18 AM</t>
  </si>
  <si>
    <t>19/04/2026 12:14:38 PM</t>
  </si>
  <si>
    <t>34818</t>
  </si>
  <si>
    <t>19/04/2026 12:01:49 PM</t>
  </si>
  <si>
    <t>19/04/2026 12:16:30 PM</t>
  </si>
  <si>
    <t>34819</t>
  </si>
  <si>
    <t>19/04/2026 12:03:24 PM</t>
  </si>
  <si>
    <t>19/04/2026 12:13:45 PM</t>
  </si>
  <si>
    <t>19/04/2026 12:17:29 PM</t>
  </si>
  <si>
    <t>19/04/2026 12:35:46 PM</t>
  </si>
  <si>
    <t>11140</t>
  </si>
  <si>
    <t>34821</t>
  </si>
  <si>
    <t>19/04/2026 12:19:25 PM</t>
  </si>
  <si>
    <t>19/04/2026 01:52:02 PM</t>
  </si>
  <si>
    <t>45060</t>
  </si>
  <si>
    <t>34822</t>
  </si>
  <si>
    <t>19/04/2026 12:23:35 PM</t>
  </si>
  <si>
    <t>19/04/2026 12:28:29 PM</t>
  </si>
  <si>
    <t>34823</t>
  </si>
  <si>
    <t>19/04/2026 12:25:45 PM</t>
  </si>
  <si>
    <t>19/04/2026 12:30:34 PM</t>
  </si>
  <si>
    <t>34824</t>
  </si>
  <si>
    <t>19/04/2026 12:32:00 PM</t>
  </si>
  <si>
    <t>19/04/2026 12:36:45 PM</t>
  </si>
  <si>
    <t>34825</t>
  </si>
  <si>
    <t>19/04/2026 12:38:07 PM</t>
  </si>
  <si>
    <t>19/04/2026 12:42:57 PM</t>
  </si>
  <si>
    <t>34826</t>
  </si>
  <si>
    <t>19/04/2026 12:55:56 PM</t>
  </si>
  <si>
    <t>19/04/2026 01:39:46 PM</t>
  </si>
  <si>
    <t>34827</t>
  </si>
  <si>
    <t>19/04/2026 12:57:15 PM</t>
  </si>
  <si>
    <t>19/04/2026 01:46:17 PM</t>
  </si>
  <si>
    <t>34828</t>
  </si>
  <si>
    <t>19/04/2026 01:15:35 PM</t>
  </si>
  <si>
    <t>19/04/2026 01:54:32 PM</t>
  </si>
  <si>
    <t>34829</t>
  </si>
  <si>
    <t>19/04/2026 01:19:32 PM</t>
  </si>
  <si>
    <t>19/04/2026 01:49:06 PM</t>
  </si>
  <si>
    <t>34830</t>
  </si>
  <si>
    <t>19/04/2026 01:20:45 PM</t>
  </si>
  <si>
    <t>19/04/2026 01:50:45 PM</t>
  </si>
  <si>
    <t>34831</t>
  </si>
  <si>
    <t>19/04/2026 01:22:02 PM</t>
  </si>
  <si>
    <t>19/04/2026 01:53:15 PM</t>
  </si>
  <si>
    <t>34832</t>
  </si>
  <si>
    <t>19/04/2026 01:55:48 PM</t>
  </si>
  <si>
    <t>19/04/2026 02:16:42 PM</t>
  </si>
  <si>
    <t>34833</t>
  </si>
  <si>
    <t>19/04/2026 01:57:14 PM</t>
  </si>
  <si>
    <t>19/04/2026 02:19:13 PM</t>
  </si>
  <si>
    <t>34834</t>
  </si>
  <si>
    <t>19/04/2026 01:58:22 PM</t>
  </si>
  <si>
    <t>19/04/2026 02:20:27 PM</t>
  </si>
  <si>
    <t>34835</t>
  </si>
  <si>
    <t>19/04/2026 02:03:59 PM</t>
  </si>
  <si>
    <t>19/04/2026 02:10:10 PM</t>
  </si>
  <si>
    <t>34836</t>
  </si>
  <si>
    <t>19/04/2026 02:08:58 PM</t>
  </si>
  <si>
    <t>19/04/2026 02:15:34 PM</t>
  </si>
  <si>
    <t>34837</t>
  </si>
  <si>
    <t>19/04/2026 02:13:03 PM</t>
  </si>
  <si>
    <t>19/04/2026 02:23:33 PM</t>
  </si>
  <si>
    <t>34838</t>
  </si>
  <si>
    <t>19/04/2026 02:17:56 PM</t>
  </si>
  <si>
    <t>19/04/2026 02:27:20 PM</t>
  </si>
  <si>
    <t>34839</t>
  </si>
  <si>
    <t>19/04/2026 02:21:43 PM</t>
  </si>
  <si>
    <t>19/04/2026 02:28:35 PM</t>
  </si>
  <si>
    <t>19/04/2026 02:26:04 PM</t>
  </si>
  <si>
    <t>19/04/2026 02:32:18 PM</t>
  </si>
  <si>
    <t>34841</t>
  </si>
  <si>
    <t>19/04/2026 02:29:43 PM</t>
  </si>
  <si>
    <t>19/04/2026 02:51:27 PM</t>
  </si>
  <si>
    <t>34842</t>
  </si>
  <si>
    <t>19/04/2026 02:31:01 PM</t>
  </si>
  <si>
    <t>19/04/2026 02:36:26 PM</t>
  </si>
  <si>
    <t>34843</t>
  </si>
  <si>
    <t>19/04/2026 02:33:37 PM</t>
  </si>
  <si>
    <t>19/04/2026 03:13:23 PM</t>
  </si>
  <si>
    <t>80</t>
  </si>
  <si>
    <t>34844</t>
  </si>
  <si>
    <t>19/04/2026 02:34:58 PM</t>
  </si>
  <si>
    <t>19/04/2026 03:01:34 PM</t>
  </si>
  <si>
    <t>34845</t>
  </si>
  <si>
    <t>19/04/2026 02:53:33 PM</t>
  </si>
  <si>
    <t>19/04/2026 03:17:15 PM</t>
  </si>
  <si>
    <t>34846</t>
  </si>
  <si>
    <t>19/04/2026 02:57:27 PM</t>
  </si>
  <si>
    <t>19/04/2026 03:18:29 PM</t>
  </si>
  <si>
    <t>34847</t>
  </si>
  <si>
    <t>19/04/2026 02:59:11 PM</t>
  </si>
  <si>
    <t>19/04/2026 03:14:40 PM</t>
  </si>
  <si>
    <t>34848</t>
  </si>
  <si>
    <t>19/04/2026 03:03:16 PM</t>
  </si>
  <si>
    <t>19/04/2026 03:09:03 PM</t>
  </si>
  <si>
    <t>34849</t>
  </si>
  <si>
    <t>19/04/2026 03:07:43 PM</t>
  </si>
  <si>
    <t>19/04/2026 03:19:37 PM</t>
  </si>
  <si>
    <t>34850</t>
  </si>
  <si>
    <t>19/04/2026 03:15:58 PM</t>
  </si>
  <si>
    <t>19/04/2026 03:25:52 PM</t>
  </si>
  <si>
    <t>18000</t>
  </si>
  <si>
    <t>34851</t>
  </si>
  <si>
    <t>19/04/2026 03:23:01 PM</t>
  </si>
  <si>
    <t>19/04/2026 03:59:36 PM</t>
  </si>
  <si>
    <t>34852</t>
  </si>
  <si>
    <t>19/04/2026 03:24:24 PM</t>
  </si>
  <si>
    <t>19/04/2026 03:37:21 PM</t>
  </si>
  <si>
    <t>34853</t>
  </si>
  <si>
    <t>19/04/2026 03:27:04 PM</t>
  </si>
  <si>
    <t>19/04/2026 04:01:37 PM</t>
  </si>
  <si>
    <t>34854</t>
  </si>
  <si>
    <t>19/04/2026 03:28:48 PM</t>
  </si>
  <si>
    <t>19/04/2026 03:38:57 PM</t>
  </si>
  <si>
    <t>34855</t>
  </si>
  <si>
    <t>19/04/2026 03:33:36 PM</t>
  </si>
  <si>
    <t>19/04/2026 04:09:10 PM</t>
  </si>
  <si>
    <t>34856</t>
  </si>
  <si>
    <t>19/04/2026 03:34:31 PM</t>
  </si>
  <si>
    <t>19/04/2026 03:54:48 PM</t>
  </si>
  <si>
    <t>34857</t>
  </si>
  <si>
    <t>19/04/2026 03:36:25 PM</t>
  </si>
  <si>
    <t>19/04/2026 04:13:22 PM</t>
  </si>
  <si>
    <t>34858</t>
  </si>
  <si>
    <t>19/04/2026 03:45:57 PM</t>
  </si>
  <si>
    <t>19/04/2026 04:04:00 PM</t>
  </si>
  <si>
    <t>34859</t>
  </si>
  <si>
    <t>19/04/2026 03:46:55 PM</t>
  </si>
  <si>
    <t>19/04/2026 03:56:52 PM</t>
  </si>
  <si>
    <t>19/04/2026 04:02:32 PM</t>
  </si>
  <si>
    <t>19/04/2026 04:15:18 PM</t>
  </si>
  <si>
    <t>34861</t>
  </si>
  <si>
    <t>19/04/2026 04:05:23 PM</t>
  </si>
  <si>
    <t>19/04/2026 04:10:41 PM</t>
  </si>
  <si>
    <t>34862</t>
  </si>
  <si>
    <t>19/04/2026 04:07:50 PM</t>
  </si>
  <si>
    <t>19/04/2026 04:20:58 PM</t>
  </si>
  <si>
    <t>34863</t>
  </si>
  <si>
    <t>19/04/2026 04:11:39 PM</t>
  </si>
  <si>
    <t>19/04/2026 04:19:59 PM</t>
  </si>
  <si>
    <t>34864</t>
  </si>
  <si>
    <t>19/04/2026 04:12:32 PM</t>
  </si>
  <si>
    <t>19/04/2026 04:30:20 PM</t>
  </si>
  <si>
    <t>34865</t>
  </si>
  <si>
    <t>19/04/2026 04:18:01 PM</t>
  </si>
  <si>
    <t>19/04/2026 04:31:22 PM</t>
  </si>
  <si>
    <t>34866</t>
  </si>
  <si>
    <t>19/04/2026 04:18:51 PM</t>
  </si>
  <si>
    <t>19/04/2026 04:27:47 PM</t>
  </si>
  <si>
    <t>34867</t>
  </si>
  <si>
    <t>19/04/2026 04:23:27 PM</t>
  </si>
  <si>
    <t>19/04/2026 04:32:08 PM</t>
  </si>
  <si>
    <t>34868</t>
  </si>
  <si>
    <t>19/04/2026 04:24:15 PM</t>
  </si>
  <si>
    <t>19/04/2026 04:47:38 PM</t>
  </si>
  <si>
    <t>34869</t>
  </si>
  <si>
    <t>19/04/2026 04:33:07 PM</t>
  </si>
  <si>
    <t>19/04/2026 04:48:39 PM</t>
  </si>
  <si>
    <t>34870</t>
  </si>
  <si>
    <t>19/04/2026 04:34:13 PM</t>
  </si>
  <si>
    <t>19/04/2026 04:49:27 PM</t>
  </si>
  <si>
    <t>34871</t>
  </si>
  <si>
    <t>19/04/2026 04:35:01 PM</t>
  </si>
  <si>
    <t>19/04/2026 04:38:12 PM</t>
  </si>
  <si>
    <t>34872</t>
  </si>
  <si>
    <t>19/04/2026 04:40:25 PM</t>
  </si>
  <si>
    <t>19/04/2026 05:04:34 PM</t>
  </si>
  <si>
    <t>34873</t>
  </si>
  <si>
    <t>19/04/2026 04:43:19 PM</t>
  </si>
  <si>
    <t>19/04/2026 04:57:33 PM</t>
  </si>
  <si>
    <t>34874</t>
  </si>
  <si>
    <t>19/04/2026 04:46:00 PM</t>
  </si>
  <si>
    <t>19/04/2026 05:05:27 PM</t>
  </si>
  <si>
    <t>34875</t>
  </si>
  <si>
    <t>19/04/2026 04:46:50 PM</t>
  </si>
  <si>
    <t>19/04/2026 04:58:23 PM</t>
  </si>
  <si>
    <t>34876</t>
  </si>
  <si>
    <t>19/04/2026 04:55:07 PM</t>
  </si>
  <si>
    <t>19/04/2026 05:01:58 PM</t>
  </si>
  <si>
    <t>34877</t>
  </si>
  <si>
    <t>19/04/2026 04:56:23 PM</t>
  </si>
  <si>
    <t>19/04/2026 05:03:34 PM</t>
  </si>
  <si>
    <t>34878</t>
  </si>
  <si>
    <t>19/04/2026 04:59:27 PM</t>
  </si>
  <si>
    <t>19/04/2026 05:11:19 PM</t>
  </si>
  <si>
    <t>34879</t>
  </si>
  <si>
    <t>19/04/2026 05:06:33 PM</t>
  </si>
  <si>
    <t>19/04/2026 05:27:13 PM</t>
  </si>
  <si>
    <t>19/04/2026 05:07:55 PM</t>
  </si>
  <si>
    <t>19/04/2026 05:28:05 PM</t>
  </si>
  <si>
    <t>34881</t>
  </si>
  <si>
    <t>19/04/2026 05:09:47 PM</t>
  </si>
  <si>
    <t>19/04/2026 05:14:38 PM</t>
  </si>
  <si>
    <t>34882</t>
  </si>
  <si>
    <t>19/04/2026 05:13:02 PM</t>
  </si>
  <si>
    <t>19/04/2026 05:31:24 PM</t>
  </si>
  <si>
    <t>34883</t>
  </si>
  <si>
    <t>19/04/2026 05:13:53 PM</t>
  </si>
  <si>
    <t>19/04/2026 05:26:01 PM</t>
  </si>
  <si>
    <t>25640</t>
  </si>
  <si>
    <t>34884</t>
  </si>
  <si>
    <t>19/04/2026 05:23:00 PM</t>
  </si>
  <si>
    <t>19/04/2026 05:28:46 PM</t>
  </si>
  <si>
    <t>34885</t>
  </si>
  <si>
    <t>19/04/2026 05:24:25 PM</t>
  </si>
  <si>
    <t>19/04/2026 05:39:17 PM</t>
  </si>
  <si>
    <t>34886</t>
  </si>
  <si>
    <t>19/04/2026 05:25:15 PM</t>
  </si>
  <si>
    <t>19/04/2026 05:30:41 PM</t>
  </si>
  <si>
    <t>34887</t>
  </si>
  <si>
    <t>19/04/2026 05:33:50 PM</t>
  </si>
  <si>
    <t>19/04/2026 05:53:37 PM</t>
  </si>
  <si>
    <t>34888</t>
  </si>
  <si>
    <t>19/04/2026 05:34:45 PM</t>
  </si>
  <si>
    <t>19/04/2026 05:48:10 PM</t>
  </si>
  <si>
    <t>34889</t>
  </si>
  <si>
    <t>19/04/2026 05:37:04 PM</t>
  </si>
  <si>
    <t>19/04/2026 05:50:48 PM</t>
  </si>
  <si>
    <t>34890</t>
  </si>
  <si>
    <t>19/04/2026 05:37:56 PM</t>
  </si>
  <si>
    <t>19/04/2026 05:49:15 PM</t>
  </si>
  <si>
    <t>34891</t>
  </si>
  <si>
    <t>19/04/2026 05:40:55 PM</t>
  </si>
  <si>
    <t>19/04/2026 05:50:03 PM</t>
  </si>
  <si>
    <t>34892</t>
  </si>
  <si>
    <t>19/04/2026 05:42:59 PM</t>
  </si>
  <si>
    <t>19/04/2026 05:55:19 PM</t>
  </si>
  <si>
    <t>34893</t>
  </si>
  <si>
    <t>19/04/2026 05:51:55 PM</t>
  </si>
  <si>
    <t>19/04/2026 06:05:44 PM</t>
  </si>
  <si>
    <t>34894</t>
  </si>
  <si>
    <t>19/04/2026 05:56:50 PM</t>
  </si>
  <si>
    <t>19/04/2026 06:11:20 PM</t>
  </si>
  <si>
    <t>34895</t>
  </si>
  <si>
    <t>19/04/2026 05:58:54 PM</t>
  </si>
  <si>
    <t>19/04/2026 06:04:49 PM</t>
  </si>
  <si>
    <t>34896</t>
  </si>
  <si>
    <t>19/04/2026 05:59:50 PM</t>
  </si>
  <si>
    <t>19/04/2026 06:12:15 PM</t>
  </si>
  <si>
    <t>34897</t>
  </si>
  <si>
    <t>19/04/2026 06:01:53 PM</t>
  </si>
  <si>
    <t>19/04/2026 06:08:26 PM</t>
  </si>
  <si>
    <t>34898</t>
  </si>
  <si>
    <t>19/04/2026 06:02:48 PM</t>
  </si>
  <si>
    <t>19/04/2026 06:09:14 PM</t>
  </si>
  <si>
    <t>34899</t>
  </si>
  <si>
    <t>19/04/2026 06:10:14 PM</t>
  </si>
  <si>
    <t>19/04/2026 06:25:32 PM</t>
  </si>
  <si>
    <t>19/04/2026 06:13:53 PM</t>
  </si>
  <si>
    <t>19/04/2026 06:23:03 PM</t>
  </si>
  <si>
    <t>34901</t>
  </si>
  <si>
    <t>19/04/2026 06:15:40 PM</t>
  </si>
  <si>
    <t>19/04/2026 06:31:09 PM</t>
  </si>
  <si>
    <t>34902</t>
  </si>
  <si>
    <t>19/04/2026 06:18:08 PM</t>
  </si>
  <si>
    <t>19/04/2026 06:24:21 PM</t>
  </si>
  <si>
    <t>34903</t>
  </si>
  <si>
    <t>19/04/2026 06:19:09 PM</t>
  </si>
  <si>
    <t>19/04/2026 06:27:30 PM</t>
  </si>
  <si>
    <t>25380</t>
  </si>
  <si>
    <t>34904</t>
  </si>
  <si>
    <t>19/04/2026 06:21:52 PM</t>
  </si>
  <si>
    <t>19/04/2026 06:35:21 PM</t>
  </si>
  <si>
    <t>34905</t>
  </si>
  <si>
    <t>19/04/2026 06:26:26 PM</t>
  </si>
  <si>
    <t>19/04/2026 06:36:38 PM</t>
  </si>
  <si>
    <t>34906</t>
  </si>
  <si>
    <t>19/04/2026 06:38:34 PM</t>
  </si>
  <si>
    <t>19/04/2026 06:45:49 PM</t>
  </si>
  <si>
    <t>34907</t>
  </si>
  <si>
    <t>19/04/2026 06:39:24 PM</t>
  </si>
  <si>
    <t>19/04/2026 06:48:42 PM</t>
  </si>
  <si>
    <t>34908</t>
  </si>
  <si>
    <t>19/04/2026 06:40:30 PM</t>
  </si>
  <si>
    <t>19/04/2026 06:49:44 PM</t>
  </si>
  <si>
    <t>34909</t>
  </si>
  <si>
    <t>19/04/2026 06:43:05 PM</t>
  </si>
  <si>
    <t>19/04/2026 06:52:58 PM</t>
  </si>
  <si>
    <t>34910</t>
  </si>
  <si>
    <t>19/04/2026 06:44:38 PM</t>
  </si>
  <si>
    <t>19/04/2026 07:00:14 PM</t>
  </si>
  <si>
    <t>34911</t>
  </si>
  <si>
    <t>19/04/2026 06:47:21 PM</t>
  </si>
  <si>
    <t>19/04/2026 07:03:55 PM</t>
  </si>
  <si>
    <t>34912</t>
  </si>
  <si>
    <t>19/04/2026 06:50:55 PM</t>
  </si>
  <si>
    <t>19/04/2026 07:04:48 PM</t>
  </si>
  <si>
    <t>37060</t>
  </si>
  <si>
    <t>34913</t>
  </si>
  <si>
    <t>19/04/2026 06:54:52 PM</t>
  </si>
  <si>
    <t>19/04/2026 07:01:05 PM</t>
  </si>
  <si>
    <t>34914</t>
  </si>
  <si>
    <t>19/04/2026 06:57:48 PM</t>
  </si>
  <si>
    <t>19/04/2026 07:05:38 PM</t>
  </si>
  <si>
    <t>34915</t>
  </si>
  <si>
    <t>19/04/2026 07:02:04 PM</t>
  </si>
  <si>
    <t>19/04/2026 07:08:09 PM</t>
  </si>
  <si>
    <t>34916</t>
  </si>
  <si>
    <t>19/04/2026 07:06:41 PM</t>
  </si>
  <si>
    <t>19/04/2026 07:13:22 PM</t>
  </si>
  <si>
    <t>34917</t>
  </si>
  <si>
    <t>19/04/2026 07:10:55 PM</t>
  </si>
  <si>
    <t>19/04/2026 07:25:08 PM</t>
  </si>
  <si>
    <t>34918</t>
  </si>
  <si>
    <t>19/04/2026 07:14:34 PM</t>
  </si>
  <si>
    <t>19/04/2026 07:29:01 PM</t>
  </si>
  <si>
    <t>34919</t>
  </si>
  <si>
    <t>19/04/2026 07:17:46 PM</t>
  </si>
  <si>
    <t>19/04/2026 07:23:27 PM</t>
  </si>
  <si>
    <t>19/04/2026 07:21:47 PM</t>
  </si>
  <si>
    <t>19/04/2026 07:31:30 PM</t>
  </si>
  <si>
    <t>34921</t>
  </si>
  <si>
    <t>19/04/2026 07:26:18 PM</t>
  </si>
  <si>
    <t>19/04/2026 07:34:53 PM</t>
  </si>
  <si>
    <t>42420</t>
  </si>
  <si>
    <t>34922</t>
  </si>
  <si>
    <t>19/04/2026 09:43:00 PM</t>
  </si>
  <si>
    <t>19/04/2026 09:50:38 PM</t>
  </si>
  <si>
    <t>34923</t>
  </si>
  <si>
    <t>19/04/2026 09:44:48 PM</t>
  </si>
  <si>
    <t>19/04/2026 10:03:38 PM</t>
  </si>
  <si>
    <t>34924</t>
  </si>
  <si>
    <t>19/04/2026 09:46:50 PM</t>
  </si>
  <si>
    <t>19/04/2026 09:58:12 PM</t>
  </si>
  <si>
    <t>34925</t>
  </si>
  <si>
    <t>19/04/2026 09:48:51 PM</t>
  </si>
  <si>
    <t>19/04/2026 10:01:32 PM</t>
  </si>
  <si>
    <t>34926</t>
  </si>
  <si>
    <t>19/04/2026 09:55:41 PM</t>
  </si>
  <si>
    <t>19/04/2026 10:22:34 PM</t>
  </si>
  <si>
    <t>34927</t>
  </si>
  <si>
    <t>19/04/2026 10:05:25 PM</t>
  </si>
  <si>
    <t>19/04/2026 10:15:22 PM</t>
  </si>
  <si>
    <t>34928</t>
  </si>
  <si>
    <t>19/04/2026 10:11:09 PM</t>
  </si>
  <si>
    <t>19/04/2026 10:19:44 PM</t>
  </si>
  <si>
    <t>34929</t>
  </si>
  <si>
    <t>19/04/2026 10:13:06 PM</t>
  </si>
  <si>
    <t>19/04/2026 10:25:00 PM</t>
  </si>
  <si>
    <t>34930</t>
  </si>
  <si>
    <t>19/04/2026 10:32:38 PM</t>
  </si>
  <si>
    <t>19/04/2026 10:40:59 PM</t>
  </si>
  <si>
    <t>34931</t>
  </si>
  <si>
    <t>19/04/2026 10:34:26 PM</t>
  </si>
  <si>
    <t>19/04/2026 10:53:54 PM</t>
  </si>
  <si>
    <t>34932</t>
  </si>
  <si>
    <t>19/04/2026 10:36:25 PM</t>
  </si>
  <si>
    <t>19/04/2026 11:01:15 PM</t>
  </si>
  <si>
    <t>34933</t>
  </si>
  <si>
    <t>19/04/2026 10:43:32 PM</t>
  </si>
  <si>
    <t>19/04/2026 10:58:09 PM</t>
  </si>
  <si>
    <t>34934</t>
  </si>
  <si>
    <t>19/04/2026 10:49:10 PM</t>
  </si>
  <si>
    <t>19/04/2026 10:59:21 PM</t>
  </si>
  <si>
    <t>34935</t>
  </si>
  <si>
    <t>19/04/2026 10:51:54 PM</t>
  </si>
  <si>
    <t>19/04/2026 11:05:29 PM</t>
  </si>
  <si>
    <t>34936</t>
  </si>
  <si>
    <t>19/04/2026 10:56:01 PM</t>
  </si>
  <si>
    <t>19/04/2026 11:07:25 PM</t>
  </si>
  <si>
    <t>34937</t>
  </si>
  <si>
    <t>19/04/2026 11:26:32 PM</t>
  </si>
  <si>
    <t>20/04/2026 12:05:25 AM</t>
  </si>
  <si>
    <t>34938</t>
  </si>
  <si>
    <t>19/04/2026 11:28:30 PM</t>
  </si>
  <si>
    <t>19/04/2026 11:45:33 PM</t>
  </si>
  <si>
    <t>34939</t>
  </si>
  <si>
    <t>19/04/2026 11:29:58 PM</t>
  </si>
  <si>
    <t>19/04/2026 11:55:52 PM</t>
  </si>
  <si>
    <t>19/04/2026 11:31:28 PM</t>
  </si>
  <si>
    <t>19/04/2026 11:47:13 PM</t>
  </si>
  <si>
    <t>34941</t>
  </si>
  <si>
    <t>19/04/2026 11:33:35 PM</t>
  </si>
  <si>
    <t>19/04/2026 11:51:50 PM</t>
  </si>
  <si>
    <t>34942</t>
  </si>
  <si>
    <t>19/04/2026 11:36:58 PM</t>
  </si>
  <si>
    <t>20/04/2026 12:13:21 AM</t>
  </si>
  <si>
    <t>14260</t>
  </si>
  <si>
    <t>34943</t>
  </si>
  <si>
    <t>19/04/2026 11:59:06 PM</t>
  </si>
  <si>
    <t>20/04/2026 12:27:47 AM</t>
  </si>
  <si>
    <t>34944</t>
  </si>
  <si>
    <t>20/04/2026 12:10:54 AM</t>
  </si>
  <si>
    <t>20/04/2026 12:29:25 AM</t>
  </si>
  <si>
    <t>34945</t>
  </si>
  <si>
    <t>20/04/2026 12:15:15 AM</t>
  </si>
  <si>
    <t>20/04/2026 12:30:40 AM</t>
  </si>
  <si>
    <t>34946</t>
  </si>
  <si>
    <t>20/04/2026 12:20:55 AM</t>
  </si>
  <si>
    <t>20/04/2026 12:39:16 AM</t>
  </si>
  <si>
    <t>34947</t>
  </si>
  <si>
    <t>20/04/2026 12:41:05 AM</t>
  </si>
  <si>
    <t>20/04/2026 12:47:50 AM</t>
  </si>
  <si>
    <t>44420</t>
  </si>
  <si>
    <t>34948</t>
  </si>
  <si>
    <t>20/04/2026 12:45:33 AM</t>
  </si>
  <si>
    <t>20/04/2026 12:55:24 AM</t>
  </si>
  <si>
    <t>34949</t>
  </si>
  <si>
    <t>20/04/2026 12:50:29 AM</t>
  </si>
  <si>
    <t>20/04/2026 12:57:29 AM</t>
  </si>
  <si>
    <t>34950</t>
  </si>
  <si>
    <t>20/04/2026 12:56:36 AM</t>
  </si>
  <si>
    <t>20/04/2026 01:24:24 AM</t>
  </si>
  <si>
    <t>34951</t>
  </si>
  <si>
    <t>20/04/2026 12:58:37 AM</t>
  </si>
  <si>
    <t>20/04/2026 01:03:31 AM</t>
  </si>
  <si>
    <t>34952</t>
  </si>
  <si>
    <t>20/04/2026 01:06:07 AM</t>
  </si>
  <si>
    <t>20/04/2026 01:12:49 AM</t>
  </si>
  <si>
    <t>34953</t>
  </si>
  <si>
    <t>20/04/2026 01:09:41 AM</t>
  </si>
  <si>
    <t>20/04/2026 01:22:05 AM</t>
  </si>
  <si>
    <t>34954</t>
  </si>
  <si>
    <t>20/04/2026 01:16:33 AM</t>
  </si>
  <si>
    <t>20/04/2026 01:25:25 AM</t>
  </si>
  <si>
    <t>34955</t>
  </si>
  <si>
    <t>20/04/2026 01:23:10 AM</t>
  </si>
  <si>
    <t>20/04/2026 01:29:26 AM</t>
  </si>
  <si>
    <t>34956</t>
  </si>
  <si>
    <t>20/04/2026 01:35:00 AM</t>
  </si>
  <si>
    <t>20/04/2026 01:38:04 AM</t>
  </si>
  <si>
    <t>34957</t>
  </si>
  <si>
    <t>20/04/2026 01:43:36 AM</t>
  </si>
  <si>
    <t>20/04/2026 01:47:20 AM</t>
  </si>
  <si>
    <t>34958</t>
  </si>
  <si>
    <t>20/04/2026 01:48:39 AM</t>
  </si>
  <si>
    <t>20/04/2026 01:56:10 AM</t>
  </si>
  <si>
    <t>34959</t>
  </si>
  <si>
    <t>20/04/2026 01:51:04 AM</t>
  </si>
  <si>
    <t>20/04/2026 01:55:21 AM</t>
  </si>
  <si>
    <t>40040</t>
  </si>
  <si>
    <t>34960</t>
  </si>
  <si>
    <t>20/04/2026 01:57:34 AM</t>
  </si>
  <si>
    <t>20/04/2026 02:01:28 AM</t>
  </si>
  <si>
    <t>34961</t>
  </si>
  <si>
    <t>20/04/2026 02:06:25 AM</t>
  </si>
  <si>
    <t>20/04/2026 02:12:48 AM</t>
  </si>
  <si>
    <t>45160</t>
  </si>
  <si>
    <t>34962</t>
  </si>
  <si>
    <t>20/04/2026 02:11:00 AM</t>
  </si>
  <si>
    <t>20/04/2026 02:16:36 AM</t>
  </si>
  <si>
    <t>34963</t>
  </si>
  <si>
    <t>20/04/2026 02:15:10 AM</t>
  </si>
  <si>
    <t>20/04/2026 02:22:03 AM</t>
  </si>
  <si>
    <t>34964</t>
  </si>
  <si>
    <t>20/04/2026 02:19:45 AM</t>
  </si>
  <si>
    <t>20/04/2026 02:25:37 AM</t>
  </si>
  <si>
    <t>34965</t>
  </si>
  <si>
    <t>20/04/2026 02:24:18 AM</t>
  </si>
  <si>
    <t>20/04/2026 02:32:08 AM</t>
  </si>
  <si>
    <t>34966</t>
  </si>
  <si>
    <t>20/04/2026 02:29:04 AM</t>
  </si>
  <si>
    <t>20/04/2026 02:34:30 AM</t>
  </si>
  <si>
    <t>34967</t>
  </si>
  <si>
    <t>20/04/2026 02:35:27 AM</t>
  </si>
  <si>
    <t>20/04/2026 02:42:32 AM</t>
  </si>
  <si>
    <t>34968</t>
  </si>
  <si>
    <t>20/04/2026 02:37:25 AM</t>
  </si>
  <si>
    <t>20/04/2026 02:44:55 AM</t>
  </si>
  <si>
    <t>34969</t>
  </si>
  <si>
    <t>20/04/2026 02:39:39 AM</t>
  </si>
  <si>
    <t>20/04/2026 02:47:39 AM</t>
  </si>
  <si>
    <t>34970</t>
  </si>
  <si>
    <t>20/04/2026 02:43:37 AM</t>
  </si>
  <si>
    <t>20/04/2026 02:49:02 AM</t>
  </si>
  <si>
    <t>43500</t>
  </si>
  <si>
    <t>34971</t>
  </si>
  <si>
    <t>20/04/2026 02:52:08 AM</t>
  </si>
  <si>
    <t>20/04/2026 03:00:30 AM</t>
  </si>
  <si>
    <t>26680</t>
  </si>
  <si>
    <t>34972</t>
  </si>
  <si>
    <t>20/04/2026 02:58:05 AM</t>
  </si>
  <si>
    <t>20/04/2026 03:04:42 AM</t>
  </si>
  <si>
    <t>34973</t>
  </si>
  <si>
    <t>20/04/2026 03:03:26 AM</t>
  </si>
  <si>
    <t>20/04/2026 03:07:43 AM</t>
  </si>
  <si>
    <t>34974</t>
  </si>
  <si>
    <t>20/04/2026 03:10:56 AM</t>
  </si>
  <si>
    <t>20/04/2026 04:17:38 AM</t>
  </si>
  <si>
    <t>43060</t>
  </si>
  <si>
    <t>34975</t>
  </si>
  <si>
    <t>20/04/2026 03:17:01 AM</t>
  </si>
  <si>
    <t>20/04/2026 03:22:15 AM</t>
  </si>
  <si>
    <t>43640</t>
  </si>
  <si>
    <t>34976</t>
  </si>
  <si>
    <t>20/04/2026 03:24:48 AM</t>
  </si>
  <si>
    <t>20/04/2026 03:30:39 AM</t>
  </si>
  <si>
    <t>43220</t>
  </si>
  <si>
    <t>34977</t>
  </si>
  <si>
    <t>20/04/2026 03:31:53 AM</t>
  </si>
  <si>
    <t>20/04/2026 03:36:50 AM</t>
  </si>
  <si>
    <t>34978</t>
  </si>
  <si>
    <t>20/04/2026 03:41:19 AM</t>
  </si>
  <si>
    <t>20/04/2026 03:47:11 AM</t>
  </si>
  <si>
    <t>41880</t>
  </si>
  <si>
    <t>34979</t>
  </si>
  <si>
    <t>20/04/2026 04:24:13 AM</t>
  </si>
  <si>
    <t>20/04/2026 04:30:20 AM</t>
  </si>
  <si>
    <t>20/04/2026 04:32:06 AM</t>
  </si>
  <si>
    <t>20/04/2026 04:37:41 AM</t>
  </si>
  <si>
    <t>34981</t>
  </si>
  <si>
    <t>20/04/2026 04:43:14 AM</t>
  </si>
  <si>
    <t>20/04/2026 04:51:51 AM</t>
  </si>
  <si>
    <t>34982</t>
  </si>
  <si>
    <t>20/04/2026 04:44:33 AM</t>
  </si>
  <si>
    <t>20/04/2026 05:37:14 AM</t>
  </si>
  <si>
    <t>34983</t>
  </si>
  <si>
    <t>20/04/2026 04:45:39 AM</t>
  </si>
  <si>
    <t>20/04/2026 06:06:59 AM</t>
  </si>
  <si>
    <t>34984</t>
  </si>
  <si>
    <t>20/04/2026 04:50:40 AM</t>
  </si>
  <si>
    <t>20/04/2026 06:14:04 AM</t>
  </si>
  <si>
    <t>34985</t>
  </si>
  <si>
    <t>20/04/2026 05:03:36 AM</t>
  </si>
  <si>
    <t>20/04/2026 06:18:10 AM</t>
  </si>
  <si>
    <t>34986</t>
  </si>
  <si>
    <t>20/04/2026 05:59:21 AM</t>
  </si>
  <si>
    <t>20/04/2026 06:32:57 AM</t>
  </si>
  <si>
    <t>34987</t>
  </si>
  <si>
    <t>20/04/2026 06:16:54 AM</t>
  </si>
  <si>
    <t>20/04/2026 07:03:55 AM</t>
  </si>
  <si>
    <t>43560</t>
  </si>
  <si>
    <t>34988</t>
  </si>
  <si>
    <t>20/04/2026 06:34:02 AM</t>
  </si>
  <si>
    <t>20/04/2026 07:07:29 AM</t>
  </si>
  <si>
    <t>34989</t>
  </si>
  <si>
    <t>20/04/2026 06:39:17 AM</t>
  </si>
  <si>
    <t>20/04/2026 07:12:59 AM</t>
  </si>
  <si>
    <t>44780</t>
  </si>
  <si>
    <t>34990</t>
  </si>
  <si>
    <t>20/04/2026 06:45:14 AM</t>
  </si>
  <si>
    <t>20/04/2026 07:15:57 AM</t>
  </si>
  <si>
    <t>34991</t>
  </si>
  <si>
    <t>20/04/2026 07:17:17 AM</t>
  </si>
  <si>
    <t>20/04/2026 07:23:43 AM</t>
  </si>
  <si>
    <t>34992</t>
  </si>
  <si>
    <t>20/04/2026 09:47:47 AM</t>
  </si>
  <si>
    <t>20/04/2026 09:55:03 AM</t>
  </si>
  <si>
    <t>34993</t>
  </si>
  <si>
    <t>20/04/2026 09:48:51 AM</t>
  </si>
  <si>
    <t>20/04/2026 09:56:36 AM</t>
  </si>
  <si>
    <t>34994</t>
  </si>
  <si>
    <t>20/04/2026 09:50:37 AM</t>
  </si>
  <si>
    <t>20/04/2026 09:58:57 AM</t>
  </si>
  <si>
    <t>34995</t>
  </si>
  <si>
    <t>20/04/2026 09:51:45 AM</t>
  </si>
  <si>
    <t>20/04/2026 10:03:44 AM</t>
  </si>
  <si>
    <t>34996</t>
  </si>
  <si>
    <t>20/04/2026 09:52:53 AM</t>
  </si>
  <si>
    <t>20/04/2026 10:01:21 AM</t>
  </si>
  <si>
    <t>34997</t>
  </si>
  <si>
    <t>20/04/2026 10:13:11 AM</t>
  </si>
  <si>
    <t>20/04/2026 10:30:56 AM</t>
  </si>
  <si>
    <t>34998</t>
  </si>
  <si>
    <t>20/04/2026 10:29:44 AM</t>
  </si>
  <si>
    <t>20/04/2026 10:37:12 AM</t>
  </si>
  <si>
    <t>34999</t>
  </si>
  <si>
    <t>20/04/2026 10:30:10 AM</t>
  </si>
  <si>
    <t>20/04/2026 10:36:16 AM</t>
  </si>
  <si>
    <t>20/04/2026 10:31:51 AM</t>
  </si>
  <si>
    <t>20/04/2026 10:38:19 AM</t>
  </si>
  <si>
    <t>35001</t>
  </si>
  <si>
    <t>20/04/2026 10:32:39 AM</t>
  </si>
  <si>
    <t>20/04/2026 10:39:53 AM</t>
  </si>
  <si>
    <t>35002</t>
  </si>
  <si>
    <t>20/04/2026 10:33:30 AM</t>
  </si>
  <si>
    <t>20/04/2026 10:47:39 AM</t>
  </si>
  <si>
    <t>35003</t>
  </si>
  <si>
    <t>20/04/2026 10:45:00 AM</t>
  </si>
  <si>
    <t>20/04/2026 10:49:53 AM</t>
  </si>
  <si>
    <t>35004</t>
  </si>
  <si>
    <t>20/04/2026 10:52:36 AM</t>
  </si>
  <si>
    <t>20/04/2026 11:16:57 AM</t>
  </si>
  <si>
    <t>35005</t>
  </si>
  <si>
    <t>20/04/2026 10:54:47 AM</t>
  </si>
  <si>
    <t>20/04/2026 11:17:54 AM</t>
  </si>
  <si>
    <t>35006</t>
  </si>
  <si>
    <t>20/04/2026 10:59:56 AM</t>
  </si>
  <si>
    <t>20/04/2026 11:21:32 AM</t>
  </si>
  <si>
    <t>35007</t>
  </si>
  <si>
    <t>20/04/2026 11:01:57 AM</t>
  </si>
  <si>
    <t>20/04/2026 11:22:25 AM</t>
  </si>
  <si>
    <t>35008</t>
  </si>
  <si>
    <t>20/04/2026 11:06:19 AM</t>
  </si>
  <si>
    <t>20/04/2026 11:23:18 AM</t>
  </si>
  <si>
    <t>35009</t>
  </si>
  <si>
    <t>20/04/2026 11:18:46 AM</t>
  </si>
  <si>
    <t>20/04/2026 11:26:12 AM</t>
  </si>
  <si>
    <t>35010</t>
  </si>
  <si>
    <t>20/04/2026 11:30:00 AM</t>
  </si>
  <si>
    <t>20/04/2026 11:37:43 AM</t>
  </si>
  <si>
    <t>35011</t>
  </si>
  <si>
    <t>20/04/2026 11:33:46 AM</t>
  </si>
  <si>
    <t>20/04/2026 11:40:29 AM</t>
  </si>
  <si>
    <t>35012</t>
  </si>
  <si>
    <t>20/04/2026 11:39:16 AM</t>
  </si>
  <si>
    <t>20/04/2026 12:07:37 PM</t>
  </si>
  <si>
    <t>35013</t>
  </si>
  <si>
    <t>20/04/2026 11:41:37 AM</t>
  </si>
  <si>
    <t>20/04/2026 12:01:51 PM</t>
  </si>
  <si>
    <t>35014</t>
  </si>
  <si>
    <t>20/04/2026 11:44:50 AM</t>
  </si>
  <si>
    <t>20/04/2026 12:08:33 PM</t>
  </si>
  <si>
    <t>35015</t>
  </si>
  <si>
    <t>20/04/2026 11:48:37 AM</t>
  </si>
  <si>
    <t>20/04/2026 12:15:50 PM</t>
  </si>
  <si>
    <t>32180</t>
  </si>
  <si>
    <t>35016</t>
  </si>
  <si>
    <t>20/04/2026 11:51:38 AM</t>
  </si>
  <si>
    <t>20/04/2026 12:09:44 PM</t>
  </si>
  <si>
    <t>35017</t>
  </si>
  <si>
    <t>20/04/2026 11:56:10 AM</t>
  </si>
  <si>
    <t>20/04/2026 12:28:17 PM</t>
  </si>
  <si>
    <t>35018</t>
  </si>
  <si>
    <t>20/04/2026 12:14:30 PM</t>
  </si>
  <si>
    <t>20/04/2026 12:29:58 PM</t>
  </si>
  <si>
    <t>35019</t>
  </si>
  <si>
    <t>20/04/2026 12:23:00 PM</t>
  </si>
  <si>
    <t>20/04/2026 12:32:37 PM</t>
  </si>
  <si>
    <t>20/04/2026 12:24:54 PM</t>
  </si>
  <si>
    <t>20/04/2026 12:36:49 PM</t>
  </si>
  <si>
    <t>35021</t>
  </si>
  <si>
    <t>20/04/2026 12:34:06 PM</t>
  </si>
  <si>
    <t>20/04/2026 12:41:00 PM</t>
  </si>
  <si>
    <t>35022</t>
  </si>
  <si>
    <t>20/04/2026 12:39:21 PM</t>
  </si>
  <si>
    <t>20/04/2026 07:01:31 PM</t>
  </si>
  <si>
    <t>35023</t>
  </si>
  <si>
    <t>20/04/2026 12:42:20 PM</t>
  </si>
  <si>
    <t>20/04/2026 07:02:23 PM</t>
  </si>
  <si>
    <t>35024</t>
  </si>
  <si>
    <t>20/04/2026 06:34:56 PM</t>
  </si>
  <si>
    <t>20/04/2026 06:39:01 PM</t>
  </si>
  <si>
    <t>35025</t>
  </si>
  <si>
    <t>20/04/2026 06:42:47 PM</t>
  </si>
  <si>
    <t>20/04/2026 06:48:00 PM</t>
  </si>
  <si>
    <t>35026</t>
  </si>
  <si>
    <t>20/04/2026 06:44:09 PM</t>
  </si>
  <si>
    <t>20/04/2026 06:49:04 PM</t>
  </si>
  <si>
    <t>35027</t>
  </si>
  <si>
    <t>20/04/2026 06:46:40 PM</t>
  </si>
  <si>
    <t>20/04/2026 07:19:46 PM</t>
  </si>
  <si>
    <t>3260</t>
  </si>
  <si>
    <t>35028</t>
  </si>
  <si>
    <t>20/04/2026 06:50:46 PM</t>
  </si>
  <si>
    <t>20/04/2026 06:54:14 PM</t>
  </si>
  <si>
    <t>35029</t>
  </si>
  <si>
    <t>20/04/2026 06:58:51 PM</t>
  </si>
  <si>
    <t>20/04/2026 07:04:57 PM</t>
  </si>
  <si>
    <t>42140</t>
  </si>
  <si>
    <t>26560</t>
  </si>
  <si>
    <t>35030</t>
  </si>
  <si>
    <t>20/04/2026 07:03:48 PM</t>
  </si>
  <si>
    <t>20/04/2026 07:09:28 PM</t>
  </si>
  <si>
    <t>35031</t>
  </si>
  <si>
    <t>20/04/2026 07:06:30 PM</t>
  </si>
  <si>
    <t>20/04/2026 07:13:35 PM</t>
  </si>
  <si>
    <t>35032</t>
  </si>
  <si>
    <t>20/04/2026 07:07:58 PM</t>
  </si>
  <si>
    <t>20/04/2026 07:25:09 PM</t>
  </si>
  <si>
    <t>35033</t>
  </si>
  <si>
    <t>20/04/2026 07:10:37 PM</t>
  </si>
  <si>
    <t>20/04/2026 07:18:45 PM</t>
  </si>
  <si>
    <t>35034</t>
  </si>
  <si>
    <t>20/04/2026 07:12:38 PM</t>
  </si>
  <si>
    <t>20/04/2026 07:33:58 PM</t>
  </si>
  <si>
    <t>35035</t>
  </si>
  <si>
    <t>20/04/2026 07:15:39 PM</t>
  </si>
  <si>
    <t>20/04/2026 07:32:10 PM</t>
  </si>
  <si>
    <t>35036</t>
  </si>
  <si>
    <t>20/04/2026 07:17:57 PM</t>
  </si>
  <si>
    <t>20/04/2026 07:33:05 PM</t>
  </si>
  <si>
    <t>41080</t>
  </si>
  <si>
    <t>35037</t>
  </si>
  <si>
    <t>20/04/2026 07:21:44 PM</t>
  </si>
  <si>
    <t>20/04/2026 07:26:11 PM</t>
  </si>
  <si>
    <t>35038</t>
  </si>
  <si>
    <t>20/04/2026 07:29:04 PM</t>
  </si>
  <si>
    <t>20/04/2026 09:08:44 PM</t>
  </si>
  <si>
    <t>35039</t>
  </si>
  <si>
    <t>20/04/2026 08:33:06 PM</t>
  </si>
  <si>
    <t>20/04/2026 09:11:32 PM</t>
  </si>
  <si>
    <t>20/04/2026 08:38:50 PM</t>
  </si>
  <si>
    <t>20/04/2026 09:09:48 PM</t>
  </si>
  <si>
    <t>35041</t>
  </si>
  <si>
    <t>20/04/2026 08:41:37 PM</t>
  </si>
  <si>
    <t>20/04/2026 09:13:35 PM</t>
  </si>
  <si>
    <t>35042</t>
  </si>
  <si>
    <t>20/04/2026 08:44:57 PM</t>
  </si>
  <si>
    <t>20/04/2026 09:15:54 PM</t>
  </si>
  <si>
    <t>35043</t>
  </si>
  <si>
    <t>20/04/2026 09:04:22 PM</t>
  </si>
  <si>
    <t>20/04/2026 09:17:06 PM</t>
  </si>
  <si>
    <t>35044</t>
  </si>
  <si>
    <t>20/04/2026 09:20:06 PM</t>
  </si>
  <si>
    <t>20/04/2026 09:54:11 PM</t>
  </si>
  <si>
    <t>35045</t>
  </si>
  <si>
    <t>20/04/2026 09:22:39 PM</t>
  </si>
  <si>
    <t>20/04/2026 09:29:39 PM</t>
  </si>
  <si>
    <t>35046</t>
  </si>
  <si>
    <t>20/04/2026 09:25:36 PM</t>
  </si>
  <si>
    <t>20/04/2026 09:32:05 PM</t>
  </si>
  <si>
    <t>35047</t>
  </si>
  <si>
    <t>20/04/2026 09:28:35 PM</t>
  </si>
  <si>
    <t>20/04/2026 09:35:37 PM</t>
  </si>
  <si>
    <t>35048</t>
  </si>
  <si>
    <t>20/04/2026 09:30:49 PM</t>
  </si>
  <si>
    <t>20/04/2026 09:36:40 PM</t>
  </si>
  <si>
    <t>43100</t>
  </si>
  <si>
    <t>27060</t>
  </si>
  <si>
    <t>35049</t>
  </si>
  <si>
    <t>20/04/2026 09:33:35 PM</t>
  </si>
  <si>
    <t>20/04/2026 09:42:31 PM</t>
  </si>
  <si>
    <t>35050</t>
  </si>
  <si>
    <t>20/04/2026 09:40:37 PM</t>
  </si>
  <si>
    <t>20/04/2026 09:46:03 PM</t>
  </si>
  <si>
    <t>35051</t>
  </si>
  <si>
    <t>20/04/2026 09:41:34 PM</t>
  </si>
  <si>
    <t>20/04/2026 09:47:25 PM</t>
  </si>
  <si>
    <t>42280</t>
  </si>
  <si>
    <t>26300</t>
  </si>
  <si>
    <t>35052</t>
  </si>
  <si>
    <t>20/04/2026 09:44:44 PM</t>
  </si>
  <si>
    <t>20/04/2026 09:52:12 PM</t>
  </si>
  <si>
    <t>35053</t>
  </si>
  <si>
    <t>20/04/2026 09:48:26 PM</t>
  </si>
  <si>
    <t>20/04/2026 09:56:36 PM</t>
  </si>
  <si>
    <t>35054</t>
  </si>
  <si>
    <t>20/04/2026 09:53:11 PM</t>
  </si>
  <si>
    <t>20/04/2026 10:00:11 PM</t>
  </si>
  <si>
    <t>35055</t>
  </si>
  <si>
    <t>20/04/2026 09:55:17 PM</t>
  </si>
  <si>
    <t>20/04/2026 10:02:15 PM</t>
  </si>
  <si>
    <t>35056</t>
  </si>
  <si>
    <t>20/04/2026 09:57:27 PM</t>
  </si>
  <si>
    <t>20/04/2026 10:06:12 PM</t>
  </si>
  <si>
    <t>35057</t>
  </si>
  <si>
    <t>20/04/2026 09:58:50 PM</t>
  </si>
  <si>
    <t>20/04/2026 10:29:20 PM</t>
  </si>
  <si>
    <t>45120</t>
  </si>
  <si>
    <t>29020</t>
  </si>
  <si>
    <t>35058</t>
  </si>
  <si>
    <t>20/04/2026 10:01:04 PM</t>
  </si>
  <si>
    <t>20/04/2026 10:18:13 PM</t>
  </si>
  <si>
    <t>35059</t>
  </si>
  <si>
    <t>20/04/2026 10:03:25 PM</t>
  </si>
  <si>
    <t>20/04/2026 10:31:36 PM</t>
  </si>
  <si>
    <t>29260</t>
  </si>
  <si>
    <t>20/04/2026 10:07:38 PM</t>
  </si>
  <si>
    <t>20/04/2026 10:36:16 PM</t>
  </si>
  <si>
    <t>28720</t>
  </si>
  <si>
    <t>35061</t>
  </si>
  <si>
    <t>20/04/2026 10:10:39 PM</t>
  </si>
  <si>
    <t>20/04/2026 10:45:27 PM</t>
  </si>
  <si>
    <t>35062</t>
  </si>
  <si>
    <t>20/04/2026 10:13:54 PM</t>
  </si>
  <si>
    <t>20/04/2026 10:20:57 PM</t>
  </si>
  <si>
    <t>35063</t>
  </si>
  <si>
    <t>20/04/2026 10:22:29 PM</t>
  </si>
  <si>
    <t>20/04/2026 10:28:16 PM</t>
  </si>
  <si>
    <t>35064</t>
  </si>
  <si>
    <t>20/04/2026 10:24:56 PM</t>
  </si>
  <si>
    <t>20/04/2026 11:02:31 PM</t>
  </si>
  <si>
    <t>220</t>
  </si>
  <si>
    <t>35065</t>
  </si>
  <si>
    <t>20/04/2026 10:34:37 PM</t>
  </si>
  <si>
    <t>20/04/2026 10:51:58 PM</t>
  </si>
  <si>
    <t>35066</t>
  </si>
  <si>
    <t>20/04/2026 10:39:04 PM</t>
  </si>
  <si>
    <t>20/04/2026 10:51:06 PM</t>
  </si>
  <si>
    <t>35067</t>
  </si>
  <si>
    <t>20/04/2026 10:49:12 PM</t>
  </si>
  <si>
    <t>20/04/2026 10:56:02 PM</t>
  </si>
  <si>
    <t>42780</t>
  </si>
  <si>
    <t>35068</t>
  </si>
  <si>
    <t>20/04/2026 10:50:09 PM</t>
  </si>
  <si>
    <t>20/04/2026 10:55:03 PM</t>
  </si>
  <si>
    <t>35069</t>
  </si>
  <si>
    <t>20/04/2026 10:53:36 PM</t>
  </si>
  <si>
    <t>20/04/2026 11:05:32 PM</t>
  </si>
  <si>
    <t>35070</t>
  </si>
  <si>
    <t>20/04/2026 11:01:36 PM</t>
  </si>
  <si>
    <t>20/04/2026 11:06:58 PM</t>
  </si>
  <si>
    <t>35071</t>
  </si>
  <si>
    <t>20/04/2026 11:03:31 PM</t>
  </si>
  <si>
    <t>20/04/2026 11:29:52 PM</t>
  </si>
  <si>
    <t>35072</t>
  </si>
  <si>
    <t>20/04/2026 11:07:49 PM</t>
  </si>
  <si>
    <t>20/04/2026 11:19:52 PM</t>
  </si>
  <si>
    <t>35073</t>
  </si>
  <si>
    <t>20/04/2026 11:17:51 PM</t>
  </si>
  <si>
    <t>20/04/2026 11:27:01 PM</t>
  </si>
  <si>
    <t>35074</t>
  </si>
  <si>
    <t>20/04/2026 11:21:49 PM</t>
  </si>
  <si>
    <t>20/04/2026 11:28:30 PM</t>
  </si>
  <si>
    <t>35075</t>
  </si>
  <si>
    <t>20/04/2026 11:24:02 PM</t>
  </si>
  <si>
    <t>20/04/2026 11:32:27 PM</t>
  </si>
  <si>
    <t>43820</t>
  </si>
  <si>
    <t>28180</t>
  </si>
  <si>
    <t>35076</t>
  </si>
  <si>
    <t>20/04/2026 11:25:09 PM</t>
  </si>
  <si>
    <t>20/04/2026 11:35:18 PM</t>
  </si>
  <si>
    <t>35077</t>
  </si>
  <si>
    <t>20/04/2026 11:26:05 PM</t>
  </si>
  <si>
    <t>20/04/2026 11:38:05 PM</t>
  </si>
  <si>
    <t>45660</t>
  </si>
  <si>
    <t>35078</t>
  </si>
  <si>
    <t>20/04/2026 11:31:10 PM</t>
  </si>
  <si>
    <t>20/04/2026 11:48:30 PM</t>
  </si>
  <si>
    <t>35079</t>
  </si>
  <si>
    <t>20/04/2026 11:33:34 PM</t>
  </si>
  <si>
    <t>20/04/2026 11:45:59 PM</t>
  </si>
  <si>
    <t>20/04/2026 11:43:43 PM</t>
  </si>
  <si>
    <t>20/04/2026 11:53:03 PM</t>
  </si>
  <si>
    <t>35081</t>
  </si>
  <si>
    <t>20/04/2026 11:47:02 PM</t>
  </si>
  <si>
    <t>20/04/2026 11:54:16 PM</t>
  </si>
  <si>
    <t>35082</t>
  </si>
  <si>
    <t>20/04/2026 11:50:00 PM</t>
  </si>
  <si>
    <t>20/04/2026 11:58:04 PM</t>
  </si>
  <si>
    <t>47180</t>
  </si>
  <si>
    <t>35083</t>
  </si>
  <si>
    <t>20/04/2026 11:51:08 PM</t>
  </si>
  <si>
    <t>21/04/2026 12:02:43 AM</t>
  </si>
  <si>
    <t>43540</t>
  </si>
  <si>
    <t>27200</t>
  </si>
  <si>
    <t>35084</t>
  </si>
  <si>
    <t>20/04/2026 11:52:01 PM</t>
  </si>
  <si>
    <t>21/04/2026 12:03:34 AM</t>
  </si>
  <si>
    <t>MN20042601</t>
  </si>
  <si>
    <t>MN20042602</t>
  </si>
  <si>
    <t>MN20042603</t>
  </si>
  <si>
    <t>MN20042604</t>
  </si>
  <si>
    <t>MN20042605</t>
  </si>
  <si>
    <t>MN20042606</t>
  </si>
  <si>
    <t>MN20042607</t>
  </si>
  <si>
    <t>MN20042608</t>
  </si>
  <si>
    <t>MN20042609</t>
  </si>
  <si>
    <t>MN20042610</t>
  </si>
  <si>
    <t>MN20042611</t>
  </si>
  <si>
    <t>MN20042612</t>
  </si>
  <si>
    <t>MN20042613</t>
  </si>
  <si>
    <t>MN20042614</t>
  </si>
  <si>
    <t>MN20042615</t>
  </si>
  <si>
    <t>MN20042616</t>
  </si>
  <si>
    <t>MN20042617</t>
  </si>
  <si>
    <t>MN20042618</t>
  </si>
  <si>
    <t>MN20042619</t>
  </si>
  <si>
    <t>MN20042620</t>
  </si>
  <si>
    <t>MN20042621</t>
  </si>
  <si>
    <t>MN20042622</t>
  </si>
  <si>
    <t>MN20042623</t>
  </si>
  <si>
    <t>MN20042624</t>
  </si>
  <si>
    <t>MN20042625</t>
  </si>
  <si>
    <t>MN20042626</t>
  </si>
  <si>
    <t>MN20042627</t>
  </si>
  <si>
    <t>MN20042628</t>
  </si>
  <si>
    <t>MN20042629</t>
  </si>
  <si>
    <t>MN20042630</t>
  </si>
  <si>
    <t>MN20042631</t>
  </si>
  <si>
    <t>MN20042632</t>
  </si>
  <si>
    <t>MN20042633</t>
  </si>
  <si>
    <t>MN20042634</t>
  </si>
  <si>
    <t>MN20042635</t>
  </si>
  <si>
    <t>MN20042636</t>
  </si>
  <si>
    <t>MN20042637</t>
  </si>
  <si>
    <t>MN20042638</t>
  </si>
  <si>
    <t>MN20042639</t>
  </si>
  <si>
    <t>MN20042640</t>
  </si>
  <si>
    <t>MN20042641</t>
  </si>
  <si>
    <t>MN20042642</t>
  </si>
  <si>
    <t>MN20042643</t>
  </si>
  <si>
    <t>MN20042644</t>
  </si>
  <si>
    <t>MN20042645</t>
  </si>
  <si>
    <t>MN20042646</t>
  </si>
  <si>
    <t>MN20042647</t>
  </si>
  <si>
    <t>MN20042648</t>
  </si>
  <si>
    <t>MN20042649</t>
  </si>
  <si>
    <t>MN20042650</t>
  </si>
  <si>
    <t>MN20042651</t>
  </si>
  <si>
    <t>MN20042652</t>
  </si>
  <si>
    <t>MN20042653</t>
  </si>
  <si>
    <t>MN20042654</t>
  </si>
  <si>
    <t>MN20042655</t>
  </si>
  <si>
    <t>MN20042656</t>
  </si>
  <si>
    <t>MN20042657</t>
  </si>
  <si>
    <t>MN20042658</t>
  </si>
  <si>
    <t>MN20042659</t>
  </si>
  <si>
    <t>MN20042660</t>
  </si>
  <si>
    <t>MN20042661</t>
  </si>
  <si>
    <t>MN20042662</t>
  </si>
  <si>
    <t>MN20042663</t>
  </si>
  <si>
    <t>MN20042664</t>
  </si>
  <si>
    <t>MN20042665</t>
  </si>
  <si>
    <t>MN20042666</t>
  </si>
  <si>
    <t>MN20042667</t>
  </si>
  <si>
    <t>MN20042668</t>
  </si>
  <si>
    <t>MN20042669</t>
  </si>
  <si>
    <t>MN20042670</t>
  </si>
  <si>
    <t>MN20042671</t>
  </si>
  <si>
    <t>MN20042672</t>
  </si>
  <si>
    <t>MN20042673</t>
  </si>
  <si>
    <t>MN20042674</t>
  </si>
  <si>
    <t>MN20042675</t>
  </si>
  <si>
    <t>MN20042676</t>
  </si>
  <si>
    <t>MN20042677</t>
  </si>
  <si>
    <t>MN20042678</t>
  </si>
  <si>
    <t>MN20042679</t>
  </si>
  <si>
    <t>MN20042680</t>
  </si>
  <si>
    <t>MN20042681</t>
  </si>
  <si>
    <t>MN20042682</t>
  </si>
  <si>
    <t>MN20042683</t>
  </si>
  <si>
    <t>MN20042684</t>
  </si>
  <si>
    <t>MN20042685</t>
  </si>
  <si>
    <t>MN20042686</t>
  </si>
  <si>
    <t>MN20042687</t>
  </si>
  <si>
    <t>MN20042688</t>
  </si>
  <si>
    <t>MN20042689</t>
  </si>
  <si>
    <t>MN20042690</t>
  </si>
  <si>
    <t>MN20042691</t>
  </si>
  <si>
    <t>MN20042692</t>
  </si>
  <si>
    <t>MN20042693</t>
  </si>
  <si>
    <t>MN20042694</t>
  </si>
  <si>
    <t>MN20042695</t>
  </si>
  <si>
    <t>MN20042696</t>
  </si>
  <si>
    <t>MN20042697</t>
  </si>
  <si>
    <t>MN20042698</t>
  </si>
  <si>
    <t>MN20042699</t>
  </si>
  <si>
    <t>MN200426100</t>
  </si>
  <si>
    <t>MN200426101</t>
  </si>
  <si>
    <t>MN200426102</t>
  </si>
  <si>
    <t>MN200426103</t>
  </si>
  <si>
    <t>MN200426104</t>
  </si>
  <si>
    <t>MN200426105</t>
  </si>
  <si>
    <t>MN200426106</t>
  </si>
  <si>
    <t>MN200426107</t>
  </si>
  <si>
    <t>MN200426108</t>
  </si>
  <si>
    <t>MN200426109</t>
  </si>
  <si>
    <t>35085</t>
  </si>
  <si>
    <t>21/04/2026 12:01:33 AM</t>
  </si>
  <si>
    <t>21/04/2026 12:09:10 AM</t>
  </si>
  <si>
    <t>45300</t>
  </si>
  <si>
    <t>29240</t>
  </si>
  <si>
    <t>35086</t>
  </si>
  <si>
    <t>21/04/2026 12:10:22 AM</t>
  </si>
  <si>
    <t>21/04/2026 12:18:28 AM</t>
  </si>
  <si>
    <t>28820</t>
  </si>
  <si>
    <t>13180</t>
  </si>
  <si>
    <t>35087</t>
  </si>
  <si>
    <t>21/04/2026 12:13:42 AM</t>
  </si>
  <si>
    <t>21/04/2026 12:41:48 AM</t>
  </si>
  <si>
    <t>35088</t>
  </si>
  <si>
    <t>21/04/2026 12:35:42 AM</t>
  </si>
  <si>
    <t>21/04/2026 12:42:53 AM</t>
  </si>
  <si>
    <t>35089</t>
  </si>
  <si>
    <t>21/04/2026 12:37:43 AM</t>
  </si>
  <si>
    <t>21/04/2026 12:49:58 AM</t>
  </si>
  <si>
    <t>35090</t>
  </si>
  <si>
    <t>21/04/2026 12:39:46 AM</t>
  </si>
  <si>
    <t>21/04/2026 12:52:40 AM</t>
  </si>
  <si>
    <t>42520</t>
  </si>
  <si>
    <t>35091</t>
  </si>
  <si>
    <t>21/04/2026 12:40:41 AM</t>
  </si>
  <si>
    <t>21/04/2026 12:53:38 AM</t>
  </si>
  <si>
    <t>35092</t>
  </si>
  <si>
    <t>21/04/2026 12:51:25 AM</t>
  </si>
  <si>
    <t>21/04/2026 01:04:08 AM</t>
  </si>
  <si>
    <t>35093</t>
  </si>
  <si>
    <t>21/04/2026 12:58:43 AM</t>
  </si>
  <si>
    <t>21/04/2026 01:06:55 AM</t>
  </si>
  <si>
    <t>35094</t>
  </si>
  <si>
    <t>21/04/2026 01:02:03 AM</t>
  </si>
  <si>
    <t>21/04/2026 01:22:44 AM</t>
  </si>
  <si>
    <t>35095</t>
  </si>
  <si>
    <t>21/04/2026 01:03:11 AM</t>
  </si>
  <si>
    <t>21/04/2026 01:23:32 AM</t>
  </si>
  <si>
    <t>35096</t>
  </si>
  <si>
    <t>21/04/2026 01:04:58 AM</t>
  </si>
  <si>
    <t>21/04/2026 02:49:30 AM</t>
  </si>
  <si>
    <t>35097</t>
  </si>
  <si>
    <t>21/04/2026 01:06:00 AM</t>
  </si>
  <si>
    <t>21/04/2026 01:18:11 AM</t>
  </si>
  <si>
    <t>35098</t>
  </si>
  <si>
    <t>21/04/2026 01:15:44 AM</t>
  </si>
  <si>
    <t>21/04/2026 01:24:21 AM</t>
  </si>
  <si>
    <t>35099</t>
  </si>
  <si>
    <t>21/04/2026 01:19:51 AM</t>
  </si>
  <si>
    <t>21/04/2026 01:27:13 AM</t>
  </si>
  <si>
    <t>21/04/2026 01:21:26 AM</t>
  </si>
  <si>
    <t>21/04/2026 01:28:40 AM</t>
  </si>
  <si>
    <t>35101</t>
  </si>
  <si>
    <t>21/04/2026 01:25:53 AM</t>
  </si>
  <si>
    <t>21/04/2026 01:32:25 AM</t>
  </si>
  <si>
    <t>35102</t>
  </si>
  <si>
    <t>21/04/2026 01:31:18 AM</t>
  </si>
  <si>
    <t>21/04/2026 01:36:51 AM</t>
  </si>
  <si>
    <t>35103</t>
  </si>
  <si>
    <t>21/04/2026 01:33:41 AM</t>
  </si>
  <si>
    <t>21/04/2026 01:39:14 AM</t>
  </si>
  <si>
    <t>35104</t>
  </si>
  <si>
    <t>21/04/2026 01:40:05 AM</t>
  </si>
  <si>
    <t>21/04/2026 01:47:20 AM</t>
  </si>
  <si>
    <t>31960</t>
  </si>
  <si>
    <t>35105</t>
  </si>
  <si>
    <t>21/04/2026 01:42:11 AM</t>
  </si>
  <si>
    <t>21/04/2026 01:46:32 AM</t>
  </si>
  <si>
    <t>35106</t>
  </si>
  <si>
    <t>21/04/2026 01:43:23 AM</t>
  </si>
  <si>
    <t>21/04/2026 01:50:19 AM</t>
  </si>
  <si>
    <t>35107</t>
  </si>
  <si>
    <t>21/04/2026 01:54:14 AM</t>
  </si>
  <si>
    <t>21/04/2026 02:02:37 AM</t>
  </si>
  <si>
    <t>35108</t>
  </si>
  <si>
    <t>21/04/2026 01:56:06 AM</t>
  </si>
  <si>
    <t>21/04/2026 02:03:28 AM</t>
  </si>
  <si>
    <t>35109</t>
  </si>
  <si>
    <t>21/04/2026 01:57:35 AM</t>
  </si>
  <si>
    <t>21/04/2026 02:04:38 AM</t>
  </si>
  <si>
    <t>35110</t>
  </si>
  <si>
    <t>21/04/2026 02:01:38 AM</t>
  </si>
  <si>
    <t>21/04/2026 02:08:15 AM</t>
  </si>
  <si>
    <t>35111</t>
  </si>
  <si>
    <t>21/04/2026 02:05:44 AM</t>
  </si>
  <si>
    <t>21/04/2026 02:13:18 AM</t>
  </si>
  <si>
    <t>35112</t>
  </si>
  <si>
    <t>21/04/2026 02:11:35 AM</t>
  </si>
  <si>
    <t>21/04/2026 02:30:45 AM</t>
  </si>
  <si>
    <t>35113</t>
  </si>
  <si>
    <t>21/04/2026 02:22:41 AM</t>
  </si>
  <si>
    <t>21/04/2026 02:33:46 AM</t>
  </si>
  <si>
    <t>32060</t>
  </si>
  <si>
    <t>35114</t>
  </si>
  <si>
    <t>21/04/2026 02:24:50 AM</t>
  </si>
  <si>
    <t>21/04/2026 02:37:35 AM</t>
  </si>
  <si>
    <t>35115</t>
  </si>
  <si>
    <t>21/04/2026 02:26:38 AM</t>
  </si>
  <si>
    <t>21/04/2026 02:36:41 AM</t>
  </si>
  <si>
    <t>35116</t>
  </si>
  <si>
    <t>21/04/2026 02:29:34 AM</t>
  </si>
  <si>
    <t>21/04/2026 02:42:41 AM</t>
  </si>
  <si>
    <t>35117</t>
  </si>
  <si>
    <t>21/04/2026 02:53:00 AM</t>
  </si>
  <si>
    <t>21/04/2026 02:57:58 AM</t>
  </si>
  <si>
    <t>35118</t>
  </si>
  <si>
    <t>21/04/2026 02:54:34 AM</t>
  </si>
  <si>
    <t>21/04/2026 03:00:43 AM</t>
  </si>
  <si>
    <t>35119</t>
  </si>
  <si>
    <t>21/04/2026 02:56:24 AM</t>
  </si>
  <si>
    <t>21/04/2026 03:01:35 AM</t>
  </si>
  <si>
    <t>21/04/2026 02:59:37 AM</t>
  </si>
  <si>
    <t>21/04/2026 03:04:27 AM</t>
  </si>
  <si>
    <t>35121</t>
  </si>
  <si>
    <t>21/04/2026 03:05:17 AM</t>
  </si>
  <si>
    <t>21/04/2026 03:11:30 AM</t>
  </si>
  <si>
    <t>35122</t>
  </si>
  <si>
    <t>21/04/2026 03:06:18 AM</t>
  </si>
  <si>
    <t>21/04/2026 03:15:02 AM</t>
  </si>
  <si>
    <t>35123</t>
  </si>
  <si>
    <t>21/04/2026 03:07:44 AM</t>
  </si>
  <si>
    <t>21/04/2026 03:24:27 AM</t>
  </si>
  <si>
    <t>35124</t>
  </si>
  <si>
    <t>21/04/2026 03:20:07 AM</t>
  </si>
  <si>
    <t>21/04/2026 03:30:46 AM</t>
  </si>
  <si>
    <t>35125</t>
  </si>
  <si>
    <t>21/04/2026 03:27:42 AM</t>
  </si>
  <si>
    <t>21/04/2026 03:33:05 AM</t>
  </si>
  <si>
    <t>35126</t>
  </si>
  <si>
    <t>21/04/2026 03:28:48 AM</t>
  </si>
  <si>
    <t>21/04/2026 03:35:28 AM</t>
  </si>
  <si>
    <t>35127</t>
  </si>
  <si>
    <t>21/04/2026 03:29:52 AM</t>
  </si>
  <si>
    <t>21/04/2026 03:34:43 AM</t>
  </si>
  <si>
    <t>35128</t>
  </si>
  <si>
    <t>21/04/2026 03:31:51 AM</t>
  </si>
  <si>
    <t>21/04/2026 03:38:01 AM</t>
  </si>
  <si>
    <t>35129</t>
  </si>
  <si>
    <t>21/04/2026 03:36:46 AM</t>
  </si>
  <si>
    <t>21/04/2026 03:41:46 AM</t>
  </si>
  <si>
    <t>35130</t>
  </si>
  <si>
    <t>21/04/2026 03:43:19 AM</t>
  </si>
  <si>
    <t>21/04/2026 03:47:27 AM</t>
  </si>
  <si>
    <t>35131</t>
  </si>
  <si>
    <t>21/04/2026 03:52:13 AM</t>
  </si>
  <si>
    <t>21/04/2026 03:55:40 AM</t>
  </si>
  <si>
    <t>35132</t>
  </si>
  <si>
    <t>21/04/2026 04:05:16 AM</t>
  </si>
  <si>
    <t>21/04/2026 04:08:32 AM</t>
  </si>
  <si>
    <t>35133</t>
  </si>
  <si>
    <t>21/04/2026 05:55:40 AM</t>
  </si>
  <si>
    <t>21/04/2026 06:02:41 AM</t>
  </si>
  <si>
    <t>35134</t>
  </si>
  <si>
    <t>21/04/2026 06:11:28 AM</t>
  </si>
  <si>
    <t>21/04/2026 06:20:14 AM</t>
  </si>
  <si>
    <t>35135</t>
  </si>
  <si>
    <t>21/04/2026 06:12:46 AM</t>
  </si>
  <si>
    <t>21/04/2026 06:21:27 AM</t>
  </si>
  <si>
    <t>35136</t>
  </si>
  <si>
    <t>21/04/2026 06:15:16 AM</t>
  </si>
  <si>
    <t>21/04/2026 06:27:11 AM</t>
  </si>
  <si>
    <t>35137</t>
  </si>
  <si>
    <t>21/04/2026 06:17:16 AM</t>
  </si>
  <si>
    <t>21/04/2026 06:25:27 AM</t>
  </si>
  <si>
    <t>35138</t>
  </si>
  <si>
    <t>21/04/2026 06:19:04 AM</t>
  </si>
  <si>
    <t>21/04/2026 06:29:26 AM</t>
  </si>
  <si>
    <t>35139</t>
  </si>
  <si>
    <t>21/04/2026 06:31:23 AM</t>
  </si>
  <si>
    <t>21/04/2026 06:45:47 AM</t>
  </si>
  <si>
    <t>21/04/2026 06:41:51 AM</t>
  </si>
  <si>
    <t>21/04/2026 06:48:17 AM</t>
  </si>
  <si>
    <t>35141</t>
  </si>
  <si>
    <t>21/04/2026 06:43:27 AM</t>
  </si>
  <si>
    <t>21/04/2026 06:51:38 AM</t>
  </si>
  <si>
    <t>35142</t>
  </si>
  <si>
    <t>21/04/2026 06:44:40 AM</t>
  </si>
  <si>
    <t>21/04/2026 06:52:45 AM</t>
  </si>
  <si>
    <t>35143</t>
  </si>
  <si>
    <t>21/04/2026 06:47:11 AM</t>
  </si>
  <si>
    <t>21/04/2026 06:53:46 AM</t>
  </si>
  <si>
    <t>35144</t>
  </si>
  <si>
    <t>21/04/2026 06:50:12 AM</t>
  </si>
  <si>
    <t>21/04/2026 06:57:14 AM</t>
  </si>
  <si>
    <t>35145</t>
  </si>
  <si>
    <t>21/04/2026 06:54:51 AM</t>
  </si>
  <si>
    <t>21/04/2026 07:00:41 AM</t>
  </si>
  <si>
    <t>35146</t>
  </si>
  <si>
    <t>21/04/2026 06:59:01 AM</t>
  </si>
  <si>
    <t>21/04/2026 07:08:36 AM</t>
  </si>
  <si>
    <t>35147</t>
  </si>
  <si>
    <t>21/04/2026 07:03:17 AM</t>
  </si>
  <si>
    <t>21/04/2026 07:11:24 AM</t>
  </si>
  <si>
    <t>35148</t>
  </si>
  <si>
    <t>21/04/2026 07:06:58 AM</t>
  </si>
  <si>
    <t>21/04/2026 07:15:22 AM</t>
  </si>
  <si>
    <t>35149</t>
  </si>
  <si>
    <t>21/04/2026 07:10:36 AM</t>
  </si>
  <si>
    <t>21/04/2026 07:16:26 AM</t>
  </si>
  <si>
    <t>35150</t>
  </si>
  <si>
    <t>21/04/2026 07:12:26 AM</t>
  </si>
  <si>
    <t>21/04/2026 07:19:59 AM</t>
  </si>
  <si>
    <t>35151</t>
  </si>
  <si>
    <t>21/04/2026 07:13:31 AM</t>
  </si>
  <si>
    <t>21/04/2026 07:26:05 AM</t>
  </si>
  <si>
    <t>35152</t>
  </si>
  <si>
    <t>21/04/2026 07:14:27 AM</t>
  </si>
  <si>
    <t>21/04/2026 07:24:34 AM</t>
  </si>
  <si>
    <t>35153</t>
  </si>
  <si>
    <t>21/04/2026 07:18:52 AM</t>
  </si>
  <si>
    <t>21/04/2026 07:29:42 AM</t>
  </si>
  <si>
    <t>27140</t>
  </si>
  <si>
    <t>35154</t>
  </si>
  <si>
    <t>21/04/2026 07:28:21 AM</t>
  </si>
  <si>
    <t>21/04/2026 07:34:20 AM</t>
  </si>
  <si>
    <t>35155</t>
  </si>
  <si>
    <t>21/04/2026 07:30:43 AM</t>
  </si>
  <si>
    <t>21/04/2026 07:37:24 AM</t>
  </si>
  <si>
    <t>35156</t>
  </si>
  <si>
    <t>21/04/2026 09:20:44 AM</t>
  </si>
  <si>
    <t>21/04/2026 09:27:19 AM</t>
  </si>
  <si>
    <t>48580</t>
  </si>
  <si>
    <t>32120</t>
  </si>
  <si>
    <t>35157</t>
  </si>
  <si>
    <t>21/04/2026 09:25:38 AM</t>
  </si>
  <si>
    <t>21/04/2026 09:35:14 AM</t>
  </si>
  <si>
    <t>46200</t>
  </si>
  <si>
    <t>29600</t>
  </si>
  <si>
    <t>35158</t>
  </si>
  <si>
    <t>21/04/2026 09:36:24 AM</t>
  </si>
  <si>
    <t>21/04/2026 09:43:54 AM</t>
  </si>
  <si>
    <t>35159</t>
  </si>
  <si>
    <t>21/04/2026 09:49:23 AM</t>
  </si>
  <si>
    <t>21/04/2026 10:31:44 AM</t>
  </si>
  <si>
    <t>21/04/2026 10:22:51 AM</t>
  </si>
  <si>
    <t>21/04/2026 11:08:01 AM</t>
  </si>
  <si>
    <t>35161</t>
  </si>
  <si>
    <t>21/04/2026 10:30:42 AM</t>
  </si>
  <si>
    <t>21/04/2026 11:10:15 AM</t>
  </si>
  <si>
    <t>35162</t>
  </si>
  <si>
    <t>21/04/2026 10:38:25 AM</t>
  </si>
  <si>
    <t>21/04/2026 12:02:37 PM</t>
  </si>
  <si>
    <t>35163</t>
  </si>
  <si>
    <t>21/04/2026 11:21:37 AM</t>
  </si>
  <si>
    <t>21/04/2026 11:30:37 AM</t>
  </si>
  <si>
    <t>35164</t>
  </si>
  <si>
    <t>21/04/2026 11:22:42 AM</t>
  </si>
  <si>
    <t>21/04/2026 11:31:24 AM</t>
  </si>
  <si>
    <t>35165</t>
  </si>
  <si>
    <t>21/04/2026 11:28:33 AM</t>
  </si>
  <si>
    <t>21/04/2026 12:03:38 PM</t>
  </si>
  <si>
    <t>35166</t>
  </si>
  <si>
    <t>21/04/2026 11:29:29 AM</t>
  </si>
  <si>
    <t>21/04/2026 11:36:16 AM</t>
  </si>
  <si>
    <t>35167</t>
  </si>
  <si>
    <t>21/04/2026 11:32:40 AM</t>
  </si>
  <si>
    <t>21/04/2026 11:37:47 AM</t>
  </si>
  <si>
    <t>35168</t>
  </si>
  <si>
    <t>21/04/2026 11:35:09 AM</t>
  </si>
  <si>
    <t>21/04/2026 11:41:54 AM</t>
  </si>
  <si>
    <t>35169</t>
  </si>
  <si>
    <t>21/04/2026 11:40:49 AM</t>
  </si>
  <si>
    <t>21/04/2026 11:45:28 AM</t>
  </si>
  <si>
    <t>35170</t>
  </si>
  <si>
    <t>21/04/2026 11:44:07 AM</t>
  </si>
  <si>
    <t>21/04/2026 11:49:01 AM</t>
  </si>
  <si>
    <t>35171</t>
  </si>
  <si>
    <t>21/04/2026 11:47:54 AM</t>
  </si>
  <si>
    <t>21/04/2026 11:53:02 AM</t>
  </si>
  <si>
    <t>35172</t>
  </si>
  <si>
    <t>21/04/2026 11:51:12 AM</t>
  </si>
  <si>
    <t>21/04/2026 11:56:56 AM</t>
  </si>
  <si>
    <t>35173</t>
  </si>
  <si>
    <t>21/04/2026 11:55:20 AM</t>
  </si>
  <si>
    <t>21/04/2026 12:01:50 PM</t>
  </si>
  <si>
    <t>35174</t>
  </si>
  <si>
    <t>21/04/2026 12:00:42 PM</t>
  </si>
  <si>
    <t>21/04/2026 12:07:11 PM</t>
  </si>
  <si>
    <t>35175</t>
  </si>
  <si>
    <t>21/04/2026 12:04:57 PM</t>
  </si>
  <si>
    <t>21/04/2026 12:09:08 PM</t>
  </si>
  <si>
    <t>35176</t>
  </si>
  <si>
    <t>21/04/2026 12:06:00 PM</t>
  </si>
  <si>
    <t>21/04/2026 12:10:23 PM</t>
  </si>
  <si>
    <t>35177</t>
  </si>
  <si>
    <t>21/04/2026 12:08:05 PM</t>
  </si>
  <si>
    <t>21/04/2026 12:13:07 PM</t>
  </si>
  <si>
    <t>35178</t>
  </si>
  <si>
    <t>21/04/2026 12:11:23 PM</t>
  </si>
  <si>
    <t>21/04/2026 12:16:02 PM</t>
  </si>
  <si>
    <t>35179</t>
  </si>
  <si>
    <t>21/04/2026 12:14:59 PM</t>
  </si>
  <si>
    <t>21/04/2026 12:18:39 PM</t>
  </si>
  <si>
    <t>21/04/2026 12:17:36 PM</t>
  </si>
  <si>
    <t>21/04/2026 12:21:53 PM</t>
  </si>
  <si>
    <t>35181</t>
  </si>
  <si>
    <t>21/04/2026 12:23:54 PM</t>
  </si>
  <si>
    <t>21/04/2026 12:30:48 PM</t>
  </si>
  <si>
    <t>35182</t>
  </si>
  <si>
    <t>21/04/2026 12:27:22 PM</t>
  </si>
  <si>
    <t>21/04/2026 12:35:28 PM</t>
  </si>
  <si>
    <t>35183</t>
  </si>
  <si>
    <t>21/04/2026 12:32:45 PM</t>
  </si>
  <si>
    <t>21/04/2026 12:38:59 PM</t>
  </si>
  <si>
    <t>35184</t>
  </si>
  <si>
    <t>21/04/2026 12:33:48 PM</t>
  </si>
  <si>
    <t>21/04/2026 12:40:12 PM</t>
  </si>
  <si>
    <t>35185</t>
  </si>
  <si>
    <t>21/04/2026 12:37:47 PM</t>
  </si>
  <si>
    <t>21/04/2026 12:42:32 PM</t>
  </si>
  <si>
    <t>35186</t>
  </si>
  <si>
    <t>21/04/2026 12:41:24 PM</t>
  </si>
  <si>
    <t>21/04/2026 12:46:44 PM</t>
  </si>
  <si>
    <t>35187</t>
  </si>
  <si>
    <t>21/04/2026 12:44:14 PM</t>
  </si>
  <si>
    <t>21/04/2026 12:49:20 PM</t>
  </si>
  <si>
    <t>35188</t>
  </si>
  <si>
    <t>21/04/2026 12:48:01 PM</t>
  </si>
  <si>
    <t>21/04/2026 12:53:25 PM</t>
  </si>
  <si>
    <t>35189</t>
  </si>
  <si>
    <t>21/04/2026 12:51:09 PM</t>
  </si>
  <si>
    <t>21/04/2026 12:56:58 PM</t>
  </si>
  <si>
    <t>35190</t>
  </si>
  <si>
    <t>21/04/2026 12:54:16 PM</t>
  </si>
  <si>
    <t>21/04/2026 12:57:50 PM</t>
  </si>
  <si>
    <t>35191</t>
  </si>
  <si>
    <t>21/04/2026 12:59:03 PM</t>
  </si>
  <si>
    <t>21/04/2026 01:04:36 PM</t>
  </si>
  <si>
    <t>35192</t>
  </si>
  <si>
    <t>21/04/2026 01:03:09 PM</t>
  </si>
  <si>
    <t>21/04/2026 01:07:48 PM</t>
  </si>
  <si>
    <t>35193</t>
  </si>
  <si>
    <t>21/04/2026 01:10:53 PM</t>
  </si>
  <si>
    <t>21/04/2026 01:16:01 PM</t>
  </si>
  <si>
    <t>35194</t>
  </si>
  <si>
    <t>21/04/2026 01:13:56 PM</t>
  </si>
  <si>
    <t>21/04/2026 01:18:50 PM</t>
  </si>
  <si>
    <t>35195</t>
  </si>
  <si>
    <t>21/04/2026 01:17:30 PM</t>
  </si>
  <si>
    <t>21/04/2026 01:22:48 PM</t>
  </si>
  <si>
    <t>35196</t>
  </si>
  <si>
    <t>21/04/2026 01:21:29 PM</t>
  </si>
  <si>
    <t>21/04/2026 01:27:50 PM</t>
  </si>
  <si>
    <t>35197</t>
  </si>
  <si>
    <t>21/04/2026 01:24:16 PM</t>
  </si>
  <si>
    <t>21/04/2026 01:48:56 PM</t>
  </si>
  <si>
    <t>35198</t>
  </si>
  <si>
    <t>21/04/2026 01:29:19 PM</t>
  </si>
  <si>
    <t>21/04/2026 01:49:59 PM</t>
  </si>
  <si>
    <t>35199</t>
  </si>
  <si>
    <t>21/04/2026 01:33:42 PM</t>
  </si>
  <si>
    <t>21/04/2026 02:10:53 PM</t>
  </si>
  <si>
    <t>21/04/2026 01:47:39 PM</t>
  </si>
  <si>
    <t>21/04/2026 01:55:21 PM</t>
  </si>
  <si>
    <t>35201</t>
  </si>
  <si>
    <t>21/04/2026 01:52:29 PM</t>
  </si>
  <si>
    <t>21/04/2026 01:57:38 PM</t>
  </si>
  <si>
    <t>35202</t>
  </si>
  <si>
    <t>21/04/2026 01:56:30 PM</t>
  </si>
  <si>
    <t>21/04/2026 02:08:39 PM</t>
  </si>
  <si>
    <t>35203</t>
  </si>
  <si>
    <t>21/04/2026 01:58:33 PM</t>
  </si>
  <si>
    <t>21/04/2026 02:07:12 PM</t>
  </si>
  <si>
    <t>35204</t>
  </si>
  <si>
    <t>21/04/2026 02:01:34 PM</t>
  </si>
  <si>
    <t>21/04/2026 02:12:06 PM</t>
  </si>
  <si>
    <t>35205</t>
  </si>
  <si>
    <t>21/04/2026 02:05:18 PM</t>
  </si>
  <si>
    <t>21/04/2026 02:14:01 PM</t>
  </si>
  <si>
    <t>35206</t>
  </si>
  <si>
    <t>21/04/2026 02:09:38 PM</t>
  </si>
  <si>
    <t>21/04/2026 02:24:11 PM</t>
  </si>
  <si>
    <t>35207</t>
  </si>
  <si>
    <t>21/04/2026 02:15:12 PM</t>
  </si>
  <si>
    <t>21/04/2026 02:22:19 PM</t>
  </si>
  <si>
    <t>35208</t>
  </si>
  <si>
    <t>21/04/2026 02:19:01 PM</t>
  </si>
  <si>
    <t>21/04/2026 02:25:10 PM</t>
  </si>
  <si>
    <t>35209</t>
  </si>
  <si>
    <t>21/04/2026 02:31:31 PM</t>
  </si>
  <si>
    <t>21/04/2026 02:43:04 PM</t>
  </si>
  <si>
    <t>35210</t>
  </si>
  <si>
    <t>21/04/2026 02:36:15 PM</t>
  </si>
  <si>
    <t>21/04/2026 02:45:12 PM</t>
  </si>
  <si>
    <t>35211</t>
  </si>
  <si>
    <t>21/04/2026 02:41:14 PM</t>
  </si>
  <si>
    <t>21/04/2026 03:03:32 PM</t>
  </si>
  <si>
    <t>1880</t>
  </si>
  <si>
    <t>35212</t>
  </si>
  <si>
    <t>21/04/2026 03:00:53 PM</t>
  </si>
  <si>
    <t>21/04/2026 03:06:37 PM</t>
  </si>
  <si>
    <t>35213</t>
  </si>
  <si>
    <t>21/04/2026 03:02:14 PM</t>
  </si>
  <si>
    <t>21/04/2026 03:11:35 PM</t>
  </si>
  <si>
    <t>35214</t>
  </si>
  <si>
    <t>21/04/2026 03:12:31 PM</t>
  </si>
  <si>
    <t>21/04/2026 03:18:51 PM</t>
  </si>
  <si>
    <t>35215</t>
  </si>
  <si>
    <t>21/04/2026 03:14:13 PM</t>
  </si>
  <si>
    <t>21/04/2026 03:20:00 PM</t>
  </si>
  <si>
    <t>35216</t>
  </si>
  <si>
    <t>21/04/2026 03:16:03 PM</t>
  </si>
  <si>
    <t>21/04/2026 03:22:17 PM</t>
  </si>
  <si>
    <t>35217</t>
  </si>
  <si>
    <t>21/04/2026 03:25:26 PM</t>
  </si>
  <si>
    <t>21/04/2026 03:32:03 PM</t>
  </si>
  <si>
    <t>35218</t>
  </si>
  <si>
    <t>21/04/2026 03:26:28 PM</t>
  </si>
  <si>
    <t>21/04/2026 03:31:15 PM</t>
  </si>
  <si>
    <t>35219</t>
  </si>
  <si>
    <t>21/04/2026 03:28:46 PM</t>
  </si>
  <si>
    <t>21/04/2026 03:33:16 PM</t>
  </si>
  <si>
    <t>21/04/2026 03:37:07 PM</t>
  </si>
  <si>
    <t>21/04/2026 03:42:39 PM</t>
  </si>
  <si>
    <t>35221</t>
  </si>
  <si>
    <t>21/04/2026 03:37:51 PM</t>
  </si>
  <si>
    <t>21/04/2026 03:43:28 PM</t>
  </si>
  <si>
    <t>35222</t>
  </si>
  <si>
    <t>21/04/2026 03:39:41 PM</t>
  </si>
  <si>
    <t>21/04/2026 03:44:37 PM</t>
  </si>
  <si>
    <t>35223</t>
  </si>
  <si>
    <t>21/04/2026 03:47:51 PM</t>
  </si>
  <si>
    <t>21/04/2026 04:26:11 PM</t>
  </si>
  <si>
    <t>20</t>
  </si>
  <si>
    <t>35224</t>
  </si>
  <si>
    <t>21/04/2026 03:48:35 PM</t>
  </si>
  <si>
    <t>21/04/2026 04:22:29 PM</t>
  </si>
  <si>
    <t>35225</t>
  </si>
  <si>
    <t>21/04/2026 03:51:00 PM</t>
  </si>
  <si>
    <t>21/04/2026 04:24:11 PM</t>
  </si>
  <si>
    <t>35226</t>
  </si>
  <si>
    <t>21/04/2026 04:16:35 PM</t>
  </si>
  <si>
    <t>21/04/2026 04:29:19 PM</t>
  </si>
  <si>
    <t>35227</t>
  </si>
  <si>
    <t>21/04/2026 04:17:44 PM</t>
  </si>
  <si>
    <t>21/04/2026 04:32:18 PM</t>
  </si>
  <si>
    <t>35228</t>
  </si>
  <si>
    <t>21/04/2026 04:30:57 PM</t>
  </si>
  <si>
    <t>21/04/2026 04:35:23 PM</t>
  </si>
  <si>
    <t>35229</t>
  </si>
  <si>
    <t>21/04/2026 04:37:53 PM</t>
  </si>
  <si>
    <t>21/04/2026 04:44:19 PM</t>
  </si>
  <si>
    <t>35230</t>
  </si>
  <si>
    <t>21/04/2026 04:41:24 PM</t>
  </si>
  <si>
    <t>21/04/2026 04:48:25 PM</t>
  </si>
  <si>
    <t>35231</t>
  </si>
  <si>
    <t>21/04/2026 04:45:56 PM</t>
  </si>
  <si>
    <t>21/04/2026 04:52:52 PM</t>
  </si>
  <si>
    <t>35232</t>
  </si>
  <si>
    <t>21/04/2026 04:47:17 PM</t>
  </si>
  <si>
    <t>21/04/2026 04:54:03 PM</t>
  </si>
  <si>
    <t>35233</t>
  </si>
  <si>
    <t>21/04/2026 04:51:07 PM</t>
  </si>
  <si>
    <t>21/04/2026 05:00:53 PM</t>
  </si>
  <si>
    <t>35234</t>
  </si>
  <si>
    <t>21/04/2026 04:59:21 PM</t>
  </si>
  <si>
    <t>21/04/2026 05:04:53 PM</t>
  </si>
  <si>
    <t>35235</t>
  </si>
  <si>
    <t>21/04/2026 05:03:31 PM</t>
  </si>
  <si>
    <t>21/04/2026 05:09:17 PM</t>
  </si>
  <si>
    <t>35236</t>
  </si>
  <si>
    <t>21/04/2026 05:05:54 PM</t>
  </si>
  <si>
    <t>21/04/2026 05:11:18 PM</t>
  </si>
  <si>
    <t>35237</t>
  </si>
  <si>
    <t>21/04/2026 05:10:14 PM</t>
  </si>
  <si>
    <t>21/04/2026 05:39:28 PM</t>
  </si>
  <si>
    <t>35238</t>
  </si>
  <si>
    <t>21/04/2026 05:13:20 PM</t>
  </si>
  <si>
    <t>21/04/2026 05:41:52 PM</t>
  </si>
  <si>
    <t>35239</t>
  </si>
  <si>
    <t>21/04/2026 05:17:15 PM</t>
  </si>
  <si>
    <t>21/04/2026 05:45:50 PM</t>
  </si>
  <si>
    <t>21/04/2026 05:20:36 PM</t>
  </si>
  <si>
    <t>21/04/2026 05:46:35 PM</t>
  </si>
  <si>
    <t>35241</t>
  </si>
  <si>
    <t>21/04/2026 05:23:15 PM</t>
  </si>
  <si>
    <t>21/04/2026 05:47:21 PM</t>
  </si>
  <si>
    <t>35242</t>
  </si>
  <si>
    <t>21/04/2026 05:26:11 PM</t>
  </si>
  <si>
    <t>21/04/2026 05:49:30 PM</t>
  </si>
  <si>
    <t>35243</t>
  </si>
  <si>
    <t>21/04/2026 05:48:31 PM</t>
  </si>
  <si>
    <t>21/04/2026 05:55:02 PM</t>
  </si>
  <si>
    <t>35244</t>
  </si>
  <si>
    <t>21/04/2026 05:50:34 PM</t>
  </si>
  <si>
    <t>21/04/2026 05:56:47 PM</t>
  </si>
  <si>
    <t>35245</t>
  </si>
  <si>
    <t>21/04/2026 05:53:49 PM</t>
  </si>
  <si>
    <t>21/04/2026 06:34:48 PM</t>
  </si>
  <si>
    <t>35246</t>
  </si>
  <si>
    <t>21/04/2026 05:58:05 PM</t>
  </si>
  <si>
    <t>21/04/2026 06:35:39 PM</t>
  </si>
  <si>
    <t>35247</t>
  </si>
  <si>
    <t>21/04/2026 05:59:48 PM</t>
  </si>
  <si>
    <t>21/04/2026 06:36:46 PM</t>
  </si>
  <si>
    <t>35248</t>
  </si>
  <si>
    <t>21/04/2026 06:03:39 PM</t>
  </si>
  <si>
    <t>21/04/2026 06:39:49 PM</t>
  </si>
  <si>
    <t>35249</t>
  </si>
  <si>
    <t>21/04/2026 06:06:22 PM</t>
  </si>
  <si>
    <t>21/04/2026 06:56:55 PM</t>
  </si>
  <si>
    <t>35250</t>
  </si>
  <si>
    <t>21/04/2026 06:42:29 PM</t>
  </si>
  <si>
    <t>21/04/2026 06:51:16 PM</t>
  </si>
  <si>
    <t>35251</t>
  </si>
  <si>
    <t>21/04/2026 06:43:21 PM</t>
  </si>
  <si>
    <t>21/04/2026 06:49:42 PM</t>
  </si>
  <si>
    <t>42020</t>
  </si>
  <si>
    <t>35252</t>
  </si>
  <si>
    <t>21/04/2026 06:46:07 PM</t>
  </si>
  <si>
    <t>21/04/2026 06:50:32 PM</t>
  </si>
  <si>
    <t>35253</t>
  </si>
  <si>
    <t>21/04/2026 06:48:00 PM</t>
  </si>
  <si>
    <t>21/04/2026 06:54:06 PM</t>
  </si>
  <si>
    <t>46740</t>
  </si>
  <si>
    <t>30060</t>
  </si>
  <si>
    <t>35254</t>
  </si>
  <si>
    <t>21/04/2026 06:55:46 PM</t>
  </si>
  <si>
    <t>21/04/2026 07:01:40 PM</t>
  </si>
  <si>
    <t>45700</t>
  </si>
  <si>
    <t>30200</t>
  </si>
  <si>
    <t>35255</t>
  </si>
  <si>
    <t>21/04/2026 06:58:04 PM</t>
  </si>
  <si>
    <t>21/04/2026 07:02:29 PM</t>
  </si>
  <si>
    <t>35256</t>
  </si>
  <si>
    <t>21/04/2026 07:03:39 PM</t>
  </si>
  <si>
    <t>21/04/2026 07:09:01 PM</t>
  </si>
  <si>
    <t>35257</t>
  </si>
  <si>
    <t>21/04/2026 07:05:04 PM</t>
  </si>
  <si>
    <t>21/04/2026 07:09:51 PM</t>
  </si>
  <si>
    <t>35258</t>
  </si>
  <si>
    <t>21/04/2026 07:07:49 PM</t>
  </si>
  <si>
    <t>21/04/2026 07:11:53 PM</t>
  </si>
  <si>
    <t>35259</t>
  </si>
  <si>
    <t>21/04/2026 07:13:33 PM</t>
  </si>
  <si>
    <t>21/04/2026 07:19:07 PM</t>
  </si>
  <si>
    <t>21/04/2026 07:15:00 PM</t>
  </si>
  <si>
    <t>21/04/2026 07:21:15 PM</t>
  </si>
  <si>
    <t>35261</t>
  </si>
  <si>
    <t>21/04/2026 07:22:44 PM</t>
  </si>
  <si>
    <t>21/04/2026 07:29:29 PM</t>
  </si>
  <si>
    <t>35262</t>
  </si>
  <si>
    <t>21/04/2026 07:23:45 PM</t>
  </si>
  <si>
    <t>21/04/2026 07:27:13 PM</t>
  </si>
  <si>
    <t>35263</t>
  </si>
  <si>
    <t>21/04/2026 09:18:17 PM</t>
  </si>
  <si>
    <t>21/04/2026 09:26:58 PM</t>
  </si>
  <si>
    <t>35264</t>
  </si>
  <si>
    <t>21/04/2026 09:21:03 PM</t>
  </si>
  <si>
    <t>21/04/2026 09:29:12 PM</t>
  </si>
  <si>
    <t>35265</t>
  </si>
  <si>
    <t>21/04/2026 09:22:00 PM</t>
  </si>
  <si>
    <t>21/04/2026 09:32:01 PM</t>
  </si>
  <si>
    <t>35266</t>
  </si>
  <si>
    <t>21/04/2026 09:22:59 PM</t>
  </si>
  <si>
    <t>21/04/2026 09:50:23 PM</t>
  </si>
  <si>
    <t>35267</t>
  </si>
  <si>
    <t>21/04/2026 09:23:59 PM</t>
  </si>
  <si>
    <t>21/04/2026 09:34:19 PM</t>
  </si>
  <si>
    <t>35268</t>
  </si>
  <si>
    <t>21/04/2026 09:25:15 PM</t>
  </si>
  <si>
    <t>21/04/2026 09:49:33 PM</t>
  </si>
  <si>
    <t>35269</t>
  </si>
  <si>
    <t>21/04/2026 09:30:33 PM</t>
  </si>
  <si>
    <t>21/04/2026 09:51:18 PM</t>
  </si>
  <si>
    <t>35270</t>
  </si>
  <si>
    <t>21/04/2026 09:46:20 PM</t>
  </si>
  <si>
    <t>21/04/2026 09:52:48 PM</t>
  </si>
  <si>
    <t>35271</t>
  </si>
  <si>
    <t>21/04/2026 09:47:13 PM</t>
  </si>
  <si>
    <t>21/04/2026 10:01:45 PM</t>
  </si>
  <si>
    <t>35272</t>
  </si>
  <si>
    <t>21/04/2026 09:48:08 PM</t>
  </si>
  <si>
    <t>21/04/2026 10:02:35 PM</t>
  </si>
  <si>
    <t>35273</t>
  </si>
  <si>
    <t>21/04/2026 09:59:10 PM</t>
  </si>
  <si>
    <t>21/04/2026 10:05:48 PM</t>
  </si>
  <si>
    <t>35274</t>
  </si>
  <si>
    <t>21/04/2026 10:00:28 PM</t>
  </si>
  <si>
    <t>21/04/2026 10:09:00 PM</t>
  </si>
  <si>
    <t>35275</t>
  </si>
  <si>
    <t>21/04/2026 10:03:55 PM</t>
  </si>
  <si>
    <t>21/04/2026 10:13:49 PM</t>
  </si>
  <si>
    <t>35276</t>
  </si>
  <si>
    <t>21/04/2026 10:07:25 PM</t>
  </si>
  <si>
    <t>21/04/2026 10:15:05 PM</t>
  </si>
  <si>
    <t>35277</t>
  </si>
  <si>
    <t>21/04/2026 10:10:14 PM</t>
  </si>
  <si>
    <t>21/04/2026 10:53:18 PM</t>
  </si>
  <si>
    <t>35278</t>
  </si>
  <si>
    <t>21/04/2026 10:12:15 PM</t>
  </si>
  <si>
    <t>21/04/2026 10:56:12 PM</t>
  </si>
  <si>
    <t>35279</t>
  </si>
  <si>
    <t>21/04/2026 10:19:23 PM</t>
  </si>
  <si>
    <t>21/04/2026 10:54:41 PM</t>
  </si>
  <si>
    <t>21/04/2026 10:20:42 PM</t>
  </si>
  <si>
    <t>21/04/2026 10:58:00 PM</t>
  </si>
  <si>
    <t>35281</t>
  </si>
  <si>
    <t>21/04/2026 10:22:24 PM</t>
  </si>
  <si>
    <t>21/04/2026 11:00:28 PM</t>
  </si>
  <si>
    <t>35282</t>
  </si>
  <si>
    <t>21/04/2026 10:26:29 PM</t>
  </si>
  <si>
    <t>21/04/2026 11:02:03 PM</t>
  </si>
  <si>
    <t>35283</t>
  </si>
  <si>
    <t>21/04/2026 10:27:34 PM</t>
  </si>
  <si>
    <t>21/04/2026 11:04:03 PM</t>
  </si>
  <si>
    <t>35284</t>
  </si>
  <si>
    <t>21/04/2026 11:06:44 PM</t>
  </si>
  <si>
    <t>21/04/2026 11:14:02 PM</t>
  </si>
  <si>
    <t>35285</t>
  </si>
  <si>
    <t>21/04/2026 11:07:46 PM</t>
  </si>
  <si>
    <t>21/04/2026 11:17:24 PM</t>
  </si>
  <si>
    <t>35286</t>
  </si>
  <si>
    <t>21/04/2026 11:10:58 PM</t>
  </si>
  <si>
    <t>21/04/2026 11:18:10 PM</t>
  </si>
  <si>
    <t>35287</t>
  </si>
  <si>
    <t>21/04/2026 11:12:47 PM</t>
  </si>
  <si>
    <t>21/04/2026 11:19:01 PM</t>
  </si>
  <si>
    <t>35288</t>
  </si>
  <si>
    <t>21/04/2026 11:15:13 PM</t>
  </si>
  <si>
    <t>21/04/2026 11:19:54 PM</t>
  </si>
  <si>
    <t>35289</t>
  </si>
  <si>
    <t>21/04/2026 11:16:15 PM</t>
  </si>
  <si>
    <t>21/04/2026 11:22:10 PM</t>
  </si>
  <si>
    <t>35290</t>
  </si>
  <si>
    <t>21/04/2026 11:20:56 PM</t>
  </si>
  <si>
    <t>21/04/2026 11:25:13 PM</t>
  </si>
  <si>
    <t>35291</t>
  </si>
  <si>
    <t>21/04/2026 11:23:16 PM</t>
  </si>
  <si>
    <t>21/04/2026 11:28:53 PM</t>
  </si>
  <si>
    <t>35292</t>
  </si>
  <si>
    <t>21/04/2026 11:26:51 PM</t>
  </si>
  <si>
    <t>21/04/2026 11:31:28 PM</t>
  </si>
  <si>
    <t>35293</t>
  </si>
  <si>
    <t>21/04/2026 11:27:42 PM</t>
  </si>
  <si>
    <t>21/04/2026 11:32:17 PM</t>
  </si>
  <si>
    <t>35294</t>
  </si>
  <si>
    <t>21/04/2026 11:30:16 PM</t>
  </si>
  <si>
    <t>21/04/2026 11:34:51 PM</t>
  </si>
  <si>
    <t>35295</t>
  </si>
  <si>
    <t>21/04/2026 11:33:23 PM</t>
  </si>
  <si>
    <t>21/04/2026 11:39:37 PM</t>
  </si>
  <si>
    <t>35296</t>
  </si>
  <si>
    <t>21/04/2026 11:36:16 PM</t>
  </si>
  <si>
    <t>21/04/2026 11:40:52 PM</t>
  </si>
  <si>
    <t>35297</t>
  </si>
  <si>
    <t>21/04/2026 11:37:08 PM</t>
  </si>
  <si>
    <t>21/04/2026 11:44:13 PM</t>
  </si>
  <si>
    <t>35298</t>
  </si>
  <si>
    <t>21/04/2026 11:38:24 PM</t>
  </si>
  <si>
    <t>21/04/2026 11:46:03 PM</t>
  </si>
  <si>
    <t>35299</t>
  </si>
  <si>
    <t>21/04/2026 11:42:03 PM</t>
  </si>
  <si>
    <t>21/04/2026 11:46:51 PM</t>
  </si>
  <si>
    <t>21/04/2026 11:43:06 PM</t>
  </si>
  <si>
    <t>21/04/2026 11:51:44 PM</t>
  </si>
  <si>
    <t>35301</t>
  </si>
  <si>
    <t>21/04/2026 11:48:55 PM</t>
  </si>
  <si>
    <t>21/04/2026 11:54:16 PM</t>
  </si>
  <si>
    <t>35302</t>
  </si>
  <si>
    <t>21/04/2026 11:50:24 PM</t>
  </si>
  <si>
    <t>21/04/2026 11:59:01 PM</t>
  </si>
  <si>
    <t>35303</t>
  </si>
  <si>
    <t>21/04/2026 11:55:31 PM</t>
  </si>
  <si>
    <t>21/04/2026 11:59:59 PM</t>
  </si>
  <si>
    <t>35304</t>
  </si>
  <si>
    <t>21/04/2026 11:56:24 PM</t>
  </si>
  <si>
    <t>22/04/2026 12:03:13 AM</t>
  </si>
  <si>
    <t>35305</t>
  </si>
  <si>
    <t>21/04/2026 11:57:38 PM</t>
  </si>
  <si>
    <t>22/04/2026 12:04:15 AM</t>
  </si>
  <si>
    <t>MN21042601</t>
  </si>
  <si>
    <t>MN21042602</t>
  </si>
  <si>
    <t>MN21042603</t>
  </si>
  <si>
    <t>MN21042604</t>
  </si>
  <si>
    <t>MN21042605</t>
  </si>
  <si>
    <t>MN21042606</t>
  </si>
  <si>
    <t>MN21042607</t>
  </si>
  <si>
    <t>MN21042608</t>
  </si>
  <si>
    <t>MN21042609</t>
  </si>
  <si>
    <t>MN21042610</t>
  </si>
  <si>
    <t>MN21042611</t>
  </si>
  <si>
    <t>MN21042612</t>
  </si>
  <si>
    <t>MN21042613</t>
  </si>
  <si>
    <t>MN21042614</t>
  </si>
  <si>
    <t>MN21042615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</si>
</sst>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\-yyyy;@"/>
    <numFmt numFmtId="167" formatCode="[$-409]mmm\-yy;@"/>
    <numFmt numFmtId="168" formatCode="dd/mm/yyyy"/>
  </numFmts>
  <fonts count="20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Droid Serif"/>
      <charset val="134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i/>
      <sz val="10"/>
      <color rgb="FF80808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71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6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6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6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6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6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6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7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4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65" fontId="3" fillId="3" borderId="2" xfId="1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/>
    </xf>
    <xf numFmtId="43" fontId="1" fillId="0" borderId="11" xfId="1" applyFont="1" applyBorder="1" applyAlignment="1">
      <alignment horizontal="center" vertical="center"/>
    </xf>
    <xf numFmtId="43" fontId="5" fillId="0" borderId="11" xfId="1" applyFont="1" applyBorder="1" applyAlignment="1">
      <alignment horizontal="center"/>
    </xf>
    <xf numFmtId="2" fontId="4" fillId="2" borderId="11" xfId="1" applyNumberFormat="1" applyFont="1" applyFill="1" applyBorder="1" applyAlignment="1">
      <alignment horizontal="center" vertical="center"/>
    </xf>
    <xf numFmtId="2" fontId="6" fillId="2" borderId="11" xfId="1" applyNumberFormat="1" applyFont="1" applyFill="1" applyBorder="1" applyAlignment="1">
      <alignment horizontal="right" vertical="center"/>
    </xf>
    <xf numFmtId="2" fontId="6" fillId="5" borderId="11" xfId="1" applyNumberFormat="1" applyFont="1" applyFill="1" applyBorder="1" applyAlignment="1">
      <alignment horizontal="right" vertical="center"/>
    </xf>
    <xf numFmtId="2" fontId="6" fillId="0" borderId="11" xfId="1" applyNumberFormat="1" applyFont="1" applyBorder="1" applyAlignment="1">
      <alignment horizontal="right" vertical="center"/>
    </xf>
    <xf numFmtId="43" fontId="1" fillId="0" borderId="12" xfId="1" applyFont="1" applyBorder="1" applyAlignment="1">
      <alignment horizontal="center" vertical="center" wrapText="1"/>
    </xf>
    <xf numFmtId="43" fontId="1" fillId="0" borderId="5" xfId="1" applyFont="1" applyBorder="1" applyAlignment="1">
      <alignment horizontal="center" vertical="center"/>
    </xf>
    <xf numFmtId="43" fontId="7" fillId="0" borderId="11" xfId="1" applyFont="1" applyBorder="1" applyAlignment="1">
      <alignment horizontal="center" vertical="center"/>
    </xf>
    <xf numFmtId="2" fontId="1" fillId="0" borderId="11" xfId="1" applyNumberFormat="1" applyFont="1" applyBorder="1" applyAlignment="1">
      <alignment horizontal="center" vertical="center"/>
    </xf>
    <xf numFmtId="43" fontId="1" fillId="6" borderId="1" xfId="1" applyFont="1" applyFill="1" applyBorder="1" applyAlignment="1">
      <alignment vertical="center"/>
    </xf>
    <xf numFmtId="43" fontId="1" fillId="6" borderId="2" xfId="1" applyFont="1" applyFill="1" applyBorder="1" applyAlignment="1">
      <alignment vertical="center"/>
    </xf>
    <xf numFmtId="43" fontId="1" fillId="2" borderId="11" xfId="1" applyFont="1" applyFill="1" applyBorder="1" applyAlignment="1">
      <alignment horizontal="center" vertical="center"/>
    </xf>
    <xf numFmtId="43" fontId="1" fillId="6" borderId="3" xfId="1" applyFont="1" applyFill="1" applyBorder="1" applyAlignment="1">
      <alignment vertical="center"/>
    </xf>
    <xf numFmtId="43" fontId="4" fillId="6" borderId="3" xfId="1" applyFont="1" applyFill="1" applyBorder="1" applyAlignment="1">
      <alignment vertical="center"/>
    </xf>
    <xf numFmtId="43" fontId="4" fillId="6" borderId="2" xfId="1" applyFont="1" applyFill="1" applyBorder="1" applyAlignment="1">
      <alignment vertical="center"/>
    </xf>
    <xf numFmtId="43" fontId="1" fillId="5" borderId="11" xfId="1" applyFont="1" applyFill="1" applyBorder="1" applyAlignment="1">
      <alignment horizontal="center" vertical="center"/>
    </xf>
    <xf numFmtId="43" fontId="1" fillId="0" borderId="13" xfId="1" applyFont="1" applyBorder="1" applyAlignment="1">
      <alignment horizontal="center" vertical="center" wrapText="1"/>
    </xf>
    <xf numFmtId="43" fontId="1" fillId="7" borderId="3" xfId="1" applyFont="1" applyFill="1" applyBorder="1" applyAlignment="1">
      <alignment vertical="center" wrapText="1"/>
    </xf>
    <xf numFmtId="43" fontId="1" fillId="7" borderId="2" xfId="1" applyFont="1" applyFill="1" applyBorder="1" applyAlignment="1">
      <alignment vertical="center" wrapText="1"/>
    </xf>
    <xf numFmtId="43" fontId="5" fillId="0" borderId="11" xfId="1" applyFont="1" applyBorder="1" applyAlignment="1">
      <alignment horizontal="center" vertical="center"/>
    </xf>
    <xf numFmtId="43" fontId="0" fillId="6" borderId="14" xfId="1" applyFont="1" applyFill="1" applyBorder="1" applyAlignment="1">
      <alignment vertical="center"/>
    </xf>
    <xf numFmtId="43" fontId="0" fillId="6" borderId="15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2" fontId="1" fillId="5" borderId="11" xfId="1" applyNumberFormat="1" applyFont="1" applyFill="1" applyBorder="1" applyAlignment="1">
      <alignment horizontal="center" vertical="center"/>
    </xf>
    <xf numFmtId="2" fontId="1" fillId="5" borderId="11" xfId="1" applyNumberFormat="1" applyFont="1" applyFill="1" applyBorder="1" applyAlignment="1">
      <alignment horizontal="right" vertical="center"/>
    </xf>
    <xf numFmtId="2" fontId="1" fillId="2" borderId="11" xfId="1" applyNumberFormat="1" applyFont="1" applyFill="1" applyBorder="1" applyAlignment="1">
      <alignment horizontal="right" vertical="center"/>
    </xf>
    <xf numFmtId="2" fontId="1" fillId="0" borderId="11" xfId="1" applyNumberFormat="1" applyFont="1" applyBorder="1" applyAlignment="1">
      <alignment horizontal="right" vertical="center"/>
    </xf>
    <xf numFmtId="2" fontId="1" fillId="2" borderId="11" xfId="1" applyNumberFormat="1" applyFont="1" applyFill="1" applyBorder="1" applyAlignment="1">
      <alignment horizontal="center" vertical="center"/>
    </xf>
    <xf numFmtId="43" fontId="1" fillId="2" borderId="11" xfId="1" applyFont="1" applyFill="1" applyBorder="1" applyAlignment="1">
      <alignment horizontal="right" vertical="center"/>
    </xf>
    <xf numFmtId="43" fontId="1" fillId="2" borderId="11" xfId="1" applyFont="1" applyFill="1" applyBorder="1" applyAlignment="1" applyProtection="1">
      <alignment horizontal="center" vertical="center"/>
      <protection hidden="1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43" fontId="1" fillId="3" borderId="11" xfId="1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/>
    </xf>
    <xf numFmtId="43" fontId="4" fillId="4" borderId="19" xfId="1" applyFont="1" applyFill="1" applyBorder="1" applyAlignment="1">
      <alignment vertical="center"/>
    </xf>
    <xf numFmtId="2" fontId="6" fillId="0" borderId="1" xfId="1" applyNumberFormat="1" applyFont="1" applyBorder="1" applyAlignment="1">
      <alignment horizontal="right" vertical="center"/>
    </xf>
    <xf numFmtId="43" fontId="1" fillId="0" borderId="19" xfId="1" applyFont="1" applyBorder="1" applyAlignment="1">
      <alignment horizontal="right" vertical="center"/>
    </xf>
    <xf numFmtId="43" fontId="1" fillId="0" borderId="11" xfId="1" applyFont="1" applyBorder="1" applyAlignment="1">
      <alignment horizontal="right" vertical="center"/>
    </xf>
    <xf numFmtId="43" fontId="1" fillId="6" borderId="9" xfId="1" applyFont="1" applyFill="1" applyBorder="1" applyAlignment="1">
      <alignment vertical="center"/>
    </xf>
    <xf numFmtId="2" fontId="1" fillId="0" borderId="1" xfId="1" applyNumberFormat="1" applyFont="1" applyBorder="1" applyAlignment="1">
      <alignment horizontal="center" vertical="center"/>
    </xf>
    <xf numFmtId="43" fontId="1" fillId="0" borderId="19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1" fillId="6" borderId="16" xfId="1" applyFont="1" applyFill="1" applyBorder="1" applyAlignment="1">
      <alignment vertical="center"/>
    </xf>
    <xf numFmtId="43" fontId="6" fillId="0" borderId="19" xfId="1" applyFont="1" applyBorder="1" applyAlignment="1">
      <alignment horizontal="center" vertical="center"/>
    </xf>
    <xf numFmtId="43" fontId="4" fillId="6" borderId="16" xfId="1" applyFont="1" applyFill="1" applyBorder="1" applyAlignment="1">
      <alignment vertical="center"/>
    </xf>
    <xf numFmtId="2" fontId="6" fillId="0" borderId="11" xfId="1" applyNumberFormat="1" applyFont="1" applyBorder="1" applyAlignment="1">
      <alignment horizontal="center" vertical="center"/>
    </xf>
    <xf numFmtId="43" fontId="1" fillId="7" borderId="16" xfId="1" applyFont="1" applyFill="1" applyBorder="1" applyAlignment="1">
      <alignment vertical="center" wrapText="1"/>
    </xf>
    <xf numFmtId="43" fontId="0" fillId="6" borderId="20" xfId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6" fillId="2" borderId="0" xfId="0" applyFont="1" applyFill="1" applyProtection="1">
      <protection hidden="1"/>
    </xf>
    <xf numFmtId="0" fontId="1" fillId="0" borderId="0" xfId="0" applyFont="1" applyProtection="1">
      <protection hidden="1"/>
    </xf>
    <xf numFmtId="1" fontId="1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" fontId="6" fillId="0" borderId="0" xfId="0" applyNumberFormat="1" applyFont="1" applyProtection="1">
      <protection hidden="1"/>
    </xf>
    <xf numFmtId="166" fontId="6" fillId="0" borderId="0" xfId="0" applyNumberFormat="1" applyFont="1" applyProtection="1">
      <protection hidden="1"/>
    </xf>
    <xf numFmtId="0" fontId="6" fillId="0" borderId="0" xfId="0" applyFont="1" applyProtection="1">
      <protection hidden="1"/>
    </xf>
    <xf numFmtId="2" fontId="6" fillId="0" borderId="0" xfId="0" applyNumberFormat="1" applyFont="1" applyProtection="1">
      <protection hidden="1"/>
    </xf>
    <xf numFmtId="43" fontId="6" fillId="0" borderId="0" xfId="0" applyNumberFormat="1" applyFont="1" applyProtection="1">
      <protection hidden="1"/>
    </xf>
    <xf numFmtId="0" fontId="1" fillId="9" borderId="5" xfId="0" applyFont="1" applyFill="1" applyBorder="1" applyAlignment="1" applyProtection="1">
      <alignment horizontal="center" vertical="center"/>
      <protection hidden="1"/>
    </xf>
    <xf numFmtId="0" fontId="1" fillId="10" borderId="5" xfId="0" applyFont="1" applyFill="1" applyBorder="1" applyAlignment="1" applyProtection="1">
      <alignment horizontal="center" vertical="center" wrapText="1"/>
      <protection hidden="1"/>
    </xf>
    <xf numFmtId="0" fontId="1" fillId="11" borderId="5" xfId="0" applyFont="1" applyFill="1" applyBorder="1" applyAlignment="1" applyProtection="1">
      <alignment horizontal="center" vertical="center"/>
      <protection hidden="1"/>
    </xf>
    <xf numFmtId="0" fontId="1" fillId="9" borderId="11" xfId="0" applyFont="1" applyFill="1" applyBorder="1" applyAlignment="1" applyProtection="1">
      <alignment horizontal="center" vertical="center"/>
      <protection hidden="1"/>
    </xf>
    <xf numFmtId="0" fontId="1" fillId="10" borderId="11" xfId="0" applyFont="1" applyFill="1" applyBorder="1" applyAlignment="1" applyProtection="1">
      <alignment horizontal="center" vertical="center"/>
      <protection hidden="1"/>
    </xf>
    <xf numFmtId="0" fontId="1" fillId="11" borderId="11" xfId="0" applyFont="1" applyFill="1" applyBorder="1" applyAlignment="1" applyProtection="1">
      <alignment horizontal="center" vertical="center"/>
      <protection hidden="1"/>
    </xf>
    <xf numFmtId="0" fontId="1" fillId="5" borderId="0" xfId="0" applyFont="1" applyFill="1" applyAlignment="1" applyProtection="1">
      <alignment horizontal="center" vertical="center"/>
      <protection hidden="1"/>
    </xf>
    <xf numFmtId="166" fontId="6" fillId="2" borderId="11" xfId="0" applyNumberFormat="1" applyFont="1" applyFill="1" applyBorder="1" applyProtection="1">
      <protection hidden="1"/>
    </xf>
    <xf numFmtId="0" fontId="0" fillId="0" borderId="11" xfId="0" applyBorder="1" applyProtection="1">
      <protection hidden="1"/>
    </xf>
    <xf numFmtId="166" fontId="6" fillId="0" borderId="11" xfId="0" applyNumberFormat="1" applyFont="1" applyBorder="1" applyProtection="1">
      <protection hidden="1"/>
    </xf>
    <xf numFmtId="43" fontId="1" fillId="0" borderId="11" xfId="0" applyNumberFormat="1" applyFont="1" applyBorder="1" applyProtection="1">
      <protection hidden="1"/>
    </xf>
    <xf numFmtId="166" fontId="8" fillId="0" borderId="0" xfId="0" applyNumberFormat="1" applyFont="1" applyProtection="1">
      <protection hidden="1"/>
    </xf>
    <xf numFmtId="43" fontId="8" fillId="0" borderId="0" xfId="0" applyNumberFormat="1" applyFont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43" fontId="8" fillId="0" borderId="0" xfId="0" applyNumberFormat="1" applyFont="1" applyAlignment="1" applyProtection="1">
      <alignment horizontal="center" vertical="center"/>
      <protection hidden="1"/>
    </xf>
    <xf numFmtId="43" fontId="9" fillId="0" borderId="0" xfId="1" applyFont="1" applyBorder="1" applyAlignment="1" applyProtection="1">
      <alignment horizontal="left"/>
      <protection hidden="1"/>
    </xf>
    <xf numFmtId="0" fontId="1" fillId="10" borderId="5" xfId="0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Protection="1">
      <protection hidden="1"/>
    </xf>
    <xf numFmtId="43" fontId="9" fillId="0" borderId="11" xfId="0" applyNumberFormat="1" applyFont="1" applyBorder="1" applyProtection="1">
      <protection hidden="1"/>
    </xf>
    <xf numFmtId="2" fontId="8" fillId="0" borderId="0" xfId="0" applyNumberFormat="1" applyFont="1" applyProtection="1">
      <protection hidden="1"/>
    </xf>
    <xf numFmtId="43" fontId="8" fillId="0" borderId="0" xfId="1" applyFont="1" applyProtection="1">
      <protection hidden="1"/>
    </xf>
    <xf numFmtId="164" fontId="11" fillId="0" borderId="11" xfId="0" applyNumberFormat="1" applyFont="1" applyBorder="1" applyAlignment="1" applyProtection="1">
      <alignment vertical="center"/>
      <protection hidden="1"/>
    </xf>
    <xf numFmtId="164" fontId="8" fillId="0" borderId="0" xfId="0" applyNumberFormat="1" applyFont="1" applyProtection="1">
      <protection hidden="1"/>
    </xf>
    <xf numFmtId="43" fontId="9" fillId="0" borderId="11" xfId="1" applyFont="1" applyBorder="1" applyAlignment="1" applyProtection="1">
      <alignment horizontal="center"/>
      <protection hidden="1"/>
    </xf>
    <xf numFmtId="43" fontId="9" fillId="0" borderId="0" xfId="1" applyFont="1" applyBorder="1" applyAlignment="1" applyProtection="1">
      <alignment horizontal="center"/>
      <protection hidden="1"/>
    </xf>
    <xf numFmtId="0" fontId="1" fillId="5" borderId="5" xfId="0" applyFont="1" applyFill="1" applyBorder="1" applyAlignment="1" applyProtection="1">
      <alignment horizontal="center" vertical="center" wrapText="1"/>
      <protection hidden="1"/>
    </xf>
    <xf numFmtId="0" fontId="1" fillId="11" borderId="23" xfId="0" applyFont="1" applyFill="1" applyBorder="1" applyAlignment="1" applyProtection="1">
      <alignment horizontal="center" vertical="center"/>
      <protection hidden="1"/>
    </xf>
    <xf numFmtId="0" fontId="1" fillId="5" borderId="5" xfId="0" applyFont="1" applyFill="1" applyBorder="1" applyAlignment="1" applyProtection="1">
      <alignment horizontal="center" vertical="center"/>
      <protection hidden="1"/>
    </xf>
    <xf numFmtId="0" fontId="1" fillId="8" borderId="5" xfId="0" applyFont="1" applyFill="1" applyBorder="1" applyAlignment="1" applyProtection="1">
      <alignment vertical="center" wrapText="1"/>
      <protection hidden="1"/>
    </xf>
    <xf numFmtId="0" fontId="1" fillId="8" borderId="8" xfId="0" applyFont="1" applyFill="1" applyBorder="1" applyAlignment="1" applyProtection="1">
      <alignment vertical="center" wrapText="1"/>
      <protection hidden="1"/>
    </xf>
    <xf numFmtId="2" fontId="6" fillId="2" borderId="11" xfId="1" applyNumberFormat="1" applyFont="1" applyFill="1" applyBorder="1" applyProtection="1">
      <protection hidden="1"/>
    </xf>
    <xf numFmtId="2" fontId="6" fillId="0" borderId="11" xfId="1" applyNumberFormat="1" applyFont="1" applyBorder="1" applyProtection="1">
      <protection hidden="1"/>
    </xf>
    <xf numFmtId="0" fontId="1" fillId="2" borderId="25" xfId="0" applyFont="1" applyFill="1" applyBorder="1" applyProtection="1">
      <protection hidden="1"/>
    </xf>
    <xf numFmtId="0" fontId="1" fillId="2" borderId="26" xfId="0" applyFont="1" applyFill="1" applyBorder="1" applyProtection="1">
      <protection hidden="1"/>
    </xf>
    <xf numFmtId="0" fontId="1" fillId="12" borderId="8" xfId="0" applyFont="1" applyFill="1" applyBorder="1" applyAlignment="1" applyProtection="1">
      <alignment vertical="center" wrapText="1"/>
      <protection hidden="1"/>
    </xf>
    <xf numFmtId="0" fontId="1" fillId="10" borderId="11" xfId="0" applyFont="1" applyFill="1" applyBorder="1" applyAlignment="1" applyProtection="1">
      <alignment horizontal="center" vertical="center" wrapText="1"/>
      <protection hidden="1"/>
    </xf>
    <xf numFmtId="43" fontId="6" fillId="2" borderId="0" xfId="1" applyFont="1" applyFill="1" applyProtection="1">
      <protection hidden="1"/>
    </xf>
    <xf numFmtId="2" fontId="6" fillId="2" borderId="11" xfId="0" applyNumberFormat="1" applyFont="1" applyFill="1" applyBorder="1" applyProtection="1">
      <protection hidden="1"/>
    </xf>
    <xf numFmtId="43" fontId="6" fillId="2" borderId="0" xfId="0" applyNumberFormat="1" applyFont="1" applyFill="1" applyProtection="1">
      <protection hidden="1"/>
    </xf>
    <xf numFmtId="2" fontId="4" fillId="0" borderId="0" xfId="0" applyNumberFormat="1" applyFont="1" applyAlignment="1" applyProtection="1">
      <alignment vertical="center"/>
      <protection hidden="1"/>
    </xf>
    <xf numFmtId="164" fontId="6" fillId="2" borderId="0" xfId="0" applyNumberFormat="1" applyFont="1" applyFill="1" applyProtection="1">
      <protection hidden="1"/>
    </xf>
    <xf numFmtId="2" fontId="6" fillId="2" borderId="0" xfId="0" applyNumberFormat="1" applyFont="1" applyFill="1" applyProtection="1">
      <protection hidden="1"/>
    </xf>
    <xf numFmtId="2" fontId="6" fillId="2" borderId="11" xfId="1" applyNumberFormat="1" applyFont="1" applyFill="1" applyBorder="1" applyAlignment="1" applyProtection="1">
      <alignment horizontal="right" vertical="center"/>
      <protection hidden="1"/>
    </xf>
    <xf numFmtId="1" fontId="1" fillId="0" borderId="0" xfId="1" applyNumberFormat="1" applyFont="1" applyBorder="1" applyProtection="1">
      <protection hidden="1"/>
    </xf>
    <xf numFmtId="43" fontId="9" fillId="0" borderId="0" xfId="0" applyNumberFormat="1" applyFont="1" applyProtection="1">
      <protection hidden="1"/>
    </xf>
    <xf numFmtId="43" fontId="0" fillId="0" borderId="11" xfId="1" applyFont="1" applyBorder="1" applyProtection="1">
      <protection hidden="1"/>
    </xf>
    <xf numFmtId="0" fontId="4" fillId="0" borderId="0" xfId="0" applyFont="1"/>
    <xf numFmtId="4" fontId="0" fillId="0" borderId="11" xfId="0" applyNumberForma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pivotButton="1"/>
    <xf numFmtId="0" fontId="19" fillId="0" borderId="0" xfId="0" applyFont="1"/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 wrapText="1"/>
      <protection hidden="1"/>
    </xf>
    <xf numFmtId="0" fontId="4" fillId="0" borderId="11" xfId="0" applyFont="1" applyBorder="1" applyAlignment="1" applyProtection="1">
      <alignment horizontal="center" wrapText="1"/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0" fillId="0" borderId="1" xfId="0" applyBorder="1" applyAlignment="1" applyProtection="1">
      <alignment horizontal="left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0" fillId="0" borderId="11" xfId="0" applyBorder="1" applyAlignment="1" applyProtection="1">
      <alignment horizontal="left"/>
      <protection hidden="1"/>
    </xf>
    <xf numFmtId="0" fontId="4" fillId="0" borderId="8" xfId="0" applyFont="1" applyBorder="1" applyAlignment="1" applyProtection="1">
      <alignment horizontal="center"/>
      <protection hidden="1"/>
    </xf>
    <xf numFmtId="14" fontId="0" fillId="0" borderId="11" xfId="0" applyNumberFormat="1" applyBorder="1" applyProtection="1">
      <protection hidden="1"/>
    </xf>
    <xf numFmtId="14" fontId="0" fillId="0" borderId="0" xfId="0" applyNumberFormat="1" applyAlignment="1" applyProtection="1">
      <alignment horizontal="center"/>
      <protection hidden="1"/>
    </xf>
    <xf numFmtId="14" fontId="0" fillId="0" borderId="0" xfId="0" applyNumberFormat="1" applyProtection="1">
      <protection hidden="1"/>
    </xf>
    <xf numFmtId="4" fontId="0" fillId="0" borderId="11" xfId="1" applyNumberFormat="1" applyFont="1" applyBorder="1" applyAlignment="1" applyProtection="1">
      <alignment horizontal="center" vertical="center"/>
      <protection hidden="1"/>
    </xf>
    <xf numFmtId="4" fontId="0" fillId="0" borderId="11" xfId="0" applyNumberFormat="1" applyBorder="1" applyAlignment="1" applyProtection="1">
      <alignment horizontal="center" vertical="center"/>
      <protection hidden="1"/>
    </xf>
    <xf numFmtId="4" fontId="0" fillId="13" borderId="11" xfId="0" applyNumberFormat="1" applyFill="1" applyBorder="1" applyAlignment="1" applyProtection="1">
      <alignment horizontal="center"/>
      <protection hidden="1"/>
    </xf>
    <xf numFmtId="4" fontId="12" fillId="0" borderId="0" xfId="0" applyNumberFormat="1" applyFont="1" applyAlignment="1" applyProtection="1">
      <alignment vertical="center"/>
      <protection hidden="1"/>
    </xf>
    <xf numFmtId="4" fontId="4" fillId="0" borderId="0" xfId="0" applyNumberFormat="1" applyFont="1" applyProtection="1">
      <protection hidden="1"/>
    </xf>
    <xf numFmtId="4" fontId="4" fillId="0" borderId="0" xfId="1" applyNumberFormat="1" applyFont="1" applyAlignment="1" applyProtection="1">
      <alignment vertical="center"/>
      <protection hidden="1"/>
    </xf>
    <xf numFmtId="4" fontId="0" fillId="2" borderId="11" xfId="0" applyNumberFormat="1" applyFill="1" applyBorder="1" applyAlignment="1" applyProtection="1">
      <alignment horizontal="center"/>
      <protection hidden="1"/>
    </xf>
    <xf numFmtId="4" fontId="0" fillId="0" borderId="11" xfId="0" applyNumberFormat="1" applyBorder="1" applyProtection="1">
      <protection hidden="1"/>
    </xf>
    <xf numFmtId="4" fontId="0" fillId="0" borderId="0" xfId="2" applyNumberFormat="1" applyFont="1" applyAlignment="1" applyProtection="1">
      <alignment horizontal="center"/>
      <protection hidden="1"/>
    </xf>
    <xf numFmtId="4" fontId="4" fillId="0" borderId="11" xfId="0" applyNumberFormat="1" applyFont="1" applyBorder="1" applyAlignment="1" applyProtection="1">
      <alignment horizontal="center"/>
      <protection hidden="1"/>
    </xf>
    <xf numFmtId="4" fontId="0" fillId="0" borderId="0" xfId="0" applyNumberFormat="1" applyProtection="1">
      <protection hidden="1"/>
    </xf>
    <xf numFmtId="168" fontId="0" fillId="0" borderId="11" xfId="0" applyNumberFormat="1" applyBorder="1" applyProtection="1">
      <protection hidden="1"/>
    </xf>
    <xf numFmtId="43" fontId="0" fillId="0" borderId="0" xfId="1" applyFont="1" applyProtection="1">
      <protection hidden="1"/>
    </xf>
    <xf numFmtId="167" fontId="0" fillId="0" borderId="0" xfId="1" applyNumberFormat="1" applyFont="1" applyProtection="1">
      <protection hidden="1"/>
    </xf>
    <xf numFmtId="167" fontId="4" fillId="0" borderId="11" xfId="1" applyNumberFormat="1" applyFont="1" applyBorder="1" applyProtection="1">
      <protection hidden="1"/>
    </xf>
    <xf numFmtId="167" fontId="4" fillId="0" borderId="11" xfId="1" applyNumberFormat="1" applyFont="1" applyBorder="1" applyAlignment="1" applyProtection="1">
      <alignment horizontal="center"/>
      <protection hidden="1"/>
    </xf>
    <xf numFmtId="43" fontId="0" fillId="0" borderId="1" xfId="1" applyFont="1" applyBorder="1" applyProtection="1">
      <protection hidden="1"/>
    </xf>
    <xf numFmtId="43" fontId="0" fillId="0" borderId="11" xfId="1" applyFont="1" applyBorder="1" applyAlignment="1" applyProtection="1">
      <alignment horizontal="center"/>
      <protection hidden="1"/>
    </xf>
    <xf numFmtId="43" fontId="0" fillId="0" borderId="1" xfId="1" applyFont="1" applyBorder="1" applyAlignment="1" applyProtection="1">
      <alignment horizontal="center"/>
      <protection hidden="1"/>
    </xf>
    <xf numFmtId="43" fontId="0" fillId="0" borderId="0" xfId="1" applyFont="1" applyAlignment="1" applyProtection="1">
      <alignment horizontal="center" vertical="center" wrapText="1"/>
      <protection hidden="1"/>
    </xf>
    <xf numFmtId="43" fontId="0" fillId="0" borderId="0" xfId="1" applyFont="1" applyAlignment="1" applyProtection="1">
      <alignment horizontal="center"/>
      <protection hidden="1"/>
    </xf>
    <xf numFmtId="43" fontId="0" fillId="0" borderId="11" xfId="1" applyFont="1" applyBorder="1" applyAlignment="1" applyProtection="1">
      <alignment horizontal="left" vertical="center"/>
      <protection hidden="1"/>
    </xf>
    <xf numFmtId="43" fontId="0" fillId="0" borderId="1" xfId="1" applyFont="1" applyBorder="1" applyAlignment="1" applyProtection="1">
      <alignment horizontal="left" vertical="center"/>
      <protection hidden="1"/>
    </xf>
    <xf numFmtId="43" fontId="4" fillId="0" borderId="11" xfId="1" applyFont="1" applyBorder="1" applyAlignment="1" applyProtection="1">
      <alignment vertical="center" wrapText="1"/>
      <protection hidden="1"/>
    </xf>
    <xf numFmtId="43" fontId="4" fillId="0" borderId="11" xfId="1" applyFont="1" applyBorder="1" applyAlignment="1" applyProtection="1">
      <alignment horizontal="center" vertical="center"/>
      <protection hidden="1"/>
    </xf>
    <xf numFmtId="43" fontId="0" fillId="0" borderId="0" xfId="1" applyFont="1" applyAlignment="1" applyProtection="1">
      <alignment vertical="center"/>
      <protection hidden="1"/>
    </xf>
    <xf numFmtId="43" fontId="4" fillId="0" borderId="0" xfId="1" applyFont="1" applyAlignment="1" applyProtection="1">
      <alignment vertical="center" wrapText="1"/>
      <protection hidden="1"/>
    </xf>
    <xf numFmtId="43" fontId="4" fillId="0" borderId="0" xfId="1" applyFont="1" applyAlignment="1" applyProtection="1">
      <alignment horizontal="center" vertical="center"/>
      <protection hidden="1"/>
    </xf>
    <xf numFmtId="43" fontId="4" fillId="2" borderId="0" xfId="1" applyFont="1" applyFill="1" applyAlignment="1" applyProtection="1">
      <alignment horizontal="center" vertical="center"/>
      <protection hidden="1"/>
    </xf>
    <xf numFmtId="0" fontId="0" fillId="0" borderId="0" xfId="0" applyNumberFormat="1"/>
    <xf numFmtId="0" fontId="4" fillId="0" borderId="1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0" borderId="2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4" fontId="4" fillId="0" borderId="1" xfId="0" applyNumberFormat="1" applyFont="1" applyBorder="1" applyAlignment="1" applyProtection="1">
      <alignment horizontal="center"/>
      <protection hidden="1"/>
    </xf>
    <xf numFmtId="4" fontId="4" fillId="0" borderId="2" xfId="0" applyNumberFormat="1" applyFont="1" applyBorder="1" applyAlignment="1" applyProtection="1">
      <alignment horizontal="center"/>
      <protection hidden="1"/>
    </xf>
    <xf numFmtId="4" fontId="4" fillId="0" borderId="9" xfId="0" applyNumberFormat="1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14" fontId="4" fillId="0" borderId="11" xfId="0" applyNumberFormat="1" applyFont="1" applyBorder="1" applyAlignment="1" applyProtection="1">
      <alignment horizontal="center" vertical="center"/>
      <protection hidden="1"/>
    </xf>
    <xf numFmtId="43" fontId="0" fillId="0" borderId="11" xfId="1" applyFont="1" applyBorder="1" applyAlignment="1" applyProtection="1">
      <alignment horizontal="center" vertical="center" wrapText="1"/>
      <protection hidden="1"/>
    </xf>
    <xf numFmtId="43" fontId="4" fillId="0" borderId="5" xfId="1" applyFont="1" applyBorder="1" applyAlignment="1" applyProtection="1">
      <alignment horizontal="center" vertical="center" wrapText="1"/>
      <protection hidden="1"/>
    </xf>
    <xf numFmtId="43" fontId="4" fillId="0" borderId="7" xfId="1" applyFont="1" applyBorder="1" applyAlignment="1" applyProtection="1">
      <alignment horizontal="center" vertical="center" wrapText="1"/>
      <protection hidden="1"/>
    </xf>
    <xf numFmtId="43" fontId="4" fillId="0" borderId="8" xfId="1" applyFont="1" applyBorder="1" applyAlignment="1" applyProtection="1">
      <alignment horizontal="center" vertical="center" wrapText="1"/>
      <protection hidden="1"/>
    </xf>
    <xf numFmtId="43" fontId="4" fillId="0" borderId="11" xfId="1" applyFont="1" applyBorder="1" applyAlignment="1" applyProtection="1">
      <alignment horizontal="center"/>
      <protection hidden="1"/>
    </xf>
    <xf numFmtId="43" fontId="0" fillId="0" borderId="25" xfId="1" applyFont="1" applyBorder="1" applyAlignment="1" applyProtection="1">
      <alignment horizontal="center" vertical="center" wrapText="1"/>
      <protection hidden="1"/>
    </xf>
    <xf numFmtId="43" fontId="0" fillId="0" borderId="27" xfId="1" applyFont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8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166" fontId="1" fillId="8" borderId="5" xfId="0" applyNumberFormat="1" applyFont="1" applyFill="1" applyBorder="1" applyAlignment="1" applyProtection="1">
      <alignment horizontal="center" vertical="center"/>
      <protection hidden="1"/>
    </xf>
    <xf numFmtId="166" fontId="1" fillId="8" borderId="7" xfId="0" applyNumberFormat="1" applyFont="1" applyFill="1" applyBorder="1" applyAlignment="1" applyProtection="1">
      <alignment horizontal="center" vertical="center"/>
      <protection hidden="1"/>
    </xf>
    <xf numFmtId="0" fontId="1" fillId="8" borderId="5" xfId="0" applyFont="1" applyFill="1" applyBorder="1" applyAlignment="1" applyProtection="1">
      <alignment horizontal="center" vertical="center" wrapText="1"/>
      <protection hidden="1"/>
    </xf>
    <xf numFmtId="0" fontId="1" fillId="8" borderId="7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8" borderId="1" xfId="0" applyFont="1" applyFill="1" applyBorder="1" applyAlignment="1" applyProtection="1">
      <alignment horizontal="center"/>
      <protection hidden="1"/>
    </xf>
    <xf numFmtId="0" fontId="1" fillId="8" borderId="2" xfId="0" applyFont="1" applyFill="1" applyBorder="1" applyAlignment="1" applyProtection="1">
      <alignment horizontal="center"/>
      <protection hidden="1"/>
    </xf>
    <xf numFmtId="0" fontId="1" fillId="8" borderId="9" xfId="0" applyFont="1" applyFill="1" applyBorder="1" applyAlignment="1" applyProtection="1">
      <alignment horizontal="center"/>
      <protection hidden="1"/>
    </xf>
    <xf numFmtId="0" fontId="1" fillId="12" borderId="23" xfId="0" applyFont="1" applyFill="1" applyBorder="1" applyAlignment="1" applyProtection="1">
      <alignment horizontal="center" vertical="center" wrapText="1"/>
      <protection hidden="1"/>
    </xf>
    <xf numFmtId="0" fontId="1" fillId="12" borderId="25" xfId="0" applyFont="1" applyFill="1" applyBorder="1" applyAlignment="1" applyProtection="1">
      <alignment horizontal="center" vertical="center" wrapText="1"/>
      <protection hidden="1"/>
    </xf>
    <xf numFmtId="0" fontId="1" fillId="8" borderId="1" xfId="0" applyFont="1" applyFill="1" applyBorder="1" applyAlignment="1" applyProtection="1">
      <alignment horizontal="center" wrapText="1"/>
      <protection hidden="1"/>
    </xf>
    <xf numFmtId="0" fontId="1" fillId="8" borderId="2" xfId="0" applyFont="1" applyFill="1" applyBorder="1" applyAlignment="1" applyProtection="1">
      <alignment horizontal="center" wrapText="1"/>
      <protection hidden="1"/>
    </xf>
    <xf numFmtId="0" fontId="1" fillId="8" borderId="9" xfId="0" applyFont="1" applyFill="1" applyBorder="1" applyAlignment="1" applyProtection="1">
      <alignment horizontal="center" wrapText="1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21" xfId="0" applyFont="1" applyBorder="1" applyAlignment="1" applyProtection="1">
      <alignment horizontal="center" vertical="center" wrapText="1"/>
      <protection hidden="1"/>
    </xf>
    <xf numFmtId="0" fontId="8" fillId="0" borderId="11" xfId="1" applyNumberFormat="1" applyFont="1" applyBorder="1" applyAlignment="1" applyProtection="1">
      <alignment horizontal="center" vertical="center"/>
      <protection hidden="1"/>
    </xf>
    <xf numFmtId="0" fontId="8" fillId="0" borderId="1" xfId="1" applyNumberFormat="1" applyFont="1" applyBorder="1" applyAlignment="1" applyProtection="1">
      <alignment horizontal="center" vertical="center"/>
      <protection hidden="1"/>
    </xf>
    <xf numFmtId="43" fontId="8" fillId="0" borderId="22" xfId="0" applyNumberFormat="1" applyFont="1" applyBorder="1" applyAlignment="1" applyProtection="1">
      <alignment horizontal="center" vertical="center" wrapText="1"/>
      <protection hidden="1"/>
    </xf>
    <xf numFmtId="43" fontId="8" fillId="0" borderId="0" xfId="0" applyNumberFormat="1" applyFont="1" applyAlignment="1" applyProtection="1">
      <alignment horizontal="center" vertical="center" wrapText="1"/>
      <protection hidden="1"/>
    </xf>
    <xf numFmtId="43" fontId="8" fillId="0" borderId="23" xfId="0" applyNumberFormat="1" applyFont="1" applyBorder="1" applyAlignment="1" applyProtection="1">
      <alignment horizontal="center" vertical="center" wrapText="1"/>
      <protection hidden="1"/>
    </xf>
    <xf numFmtId="43" fontId="8" fillId="0" borderId="24" xfId="0" applyNumberFormat="1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8" fillId="0" borderId="2" xfId="1" applyNumberFormat="1" applyFont="1" applyBorder="1" applyAlignment="1" applyProtection="1">
      <alignment horizontal="center" vertical="center"/>
      <protection hidden="1"/>
    </xf>
    <xf numFmtId="43" fontId="9" fillId="0" borderId="11" xfId="0" applyNumberFormat="1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/>
      <protection hidden="1"/>
    </xf>
    <xf numFmtId="43" fontId="1" fillId="0" borderId="4" xfId="1" applyFont="1" applyBorder="1" applyAlignment="1">
      <alignment horizontal="center" vertical="center" wrapText="1"/>
    </xf>
    <xf numFmtId="43" fontId="1" fillId="0" borderId="6" xfId="1" applyFont="1" applyBorder="1" applyAlignment="1">
      <alignment horizontal="center" vertical="center" wrapText="1"/>
    </xf>
    <xf numFmtId="43" fontId="1" fillId="0" borderId="10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3" fontId="4" fillId="4" borderId="17" xfId="1" applyFont="1" applyFill="1" applyBorder="1" applyAlignment="1">
      <alignment horizontal="center" vertical="center"/>
    </xf>
    <xf numFmtId="43" fontId="4" fillId="4" borderId="18" xfId="1" applyFont="1" applyFill="1" applyBorder="1" applyAlignment="1">
      <alignment horizontal="center" vertical="center"/>
    </xf>
  </cellXfs>
  <cellStyles count="171">
    <cellStyle name="60% - Accent1 10" xfId="3"/>
    <cellStyle name="60% - Accent1 11" xfId="4"/>
    <cellStyle name="60% - Accent1 12" xfId="5"/>
    <cellStyle name="60% - Accent1 13" xfId="6"/>
    <cellStyle name="60% - Accent1 14" xfId="7"/>
    <cellStyle name="60% - Accent1 15" xfId="8"/>
    <cellStyle name="60% - Accent1 2" xfId="9"/>
    <cellStyle name="60% - Accent1 3" xfId="10"/>
    <cellStyle name="60% - Accent1 4" xfId="11"/>
    <cellStyle name="60% - Accent1 5" xfId="12"/>
    <cellStyle name="60% - Accent1 6" xfId="13"/>
    <cellStyle name="60% - Accent1 7" xfId="14"/>
    <cellStyle name="60% - Accent1 8" xfId="15"/>
    <cellStyle name="60% - Accent1 9" xfId="16"/>
    <cellStyle name="60% - Accent2 10" xfId="17"/>
    <cellStyle name="60% - Accent2 11" xfId="18"/>
    <cellStyle name="60% - Accent2 12" xfId="19"/>
    <cellStyle name="60% - Accent2 13" xfId="20"/>
    <cellStyle name="60% - Accent2 14" xfId="21"/>
    <cellStyle name="60% - Accent2 15" xfId="22"/>
    <cellStyle name="60% - Accent2 2" xfId="23"/>
    <cellStyle name="60% - Accent2 3" xfId="24"/>
    <cellStyle name="60% - Accent2 4" xfId="25"/>
    <cellStyle name="60% - Accent2 5" xfId="26"/>
    <cellStyle name="60% - Accent2 6" xfId="27"/>
    <cellStyle name="60% - Accent2 7" xfId="28"/>
    <cellStyle name="60% - Accent2 8" xfId="29"/>
    <cellStyle name="60% - Accent2 9" xfId="30"/>
    <cellStyle name="60% - Accent3 10" xfId="31"/>
    <cellStyle name="60% - Accent3 11" xfId="32"/>
    <cellStyle name="60% - Accent3 12" xfId="33"/>
    <cellStyle name="60% - Accent3 13" xfId="34"/>
    <cellStyle name="60% - Accent3 14" xfId="35"/>
    <cellStyle name="60% - Accent3 15" xfId="36"/>
    <cellStyle name="60% - Accent3 2" xfId="37"/>
    <cellStyle name="60% - Accent3 3" xfId="38"/>
    <cellStyle name="60% - Accent3 4" xfId="39"/>
    <cellStyle name="60% - Accent3 5" xfId="40"/>
    <cellStyle name="60% - Accent3 6" xfId="41"/>
    <cellStyle name="60% - Accent3 7" xfId="42"/>
    <cellStyle name="60% - Accent3 8" xfId="43"/>
    <cellStyle name="60% - Accent3 9" xfId="44"/>
    <cellStyle name="60% - Accent4 10" xfId="45"/>
    <cellStyle name="60% - Accent4 11" xfId="46"/>
    <cellStyle name="60% - Accent4 12" xfId="47"/>
    <cellStyle name="60% - Accent4 13" xfId="48"/>
    <cellStyle name="60% - Accent4 14" xfId="49"/>
    <cellStyle name="60% - Accent4 15" xfId="50"/>
    <cellStyle name="60% - Accent4 2" xfId="51"/>
    <cellStyle name="60% - Accent4 3" xfId="52"/>
    <cellStyle name="60% - Accent4 4" xfId="53"/>
    <cellStyle name="60% - Accent4 5" xfId="54"/>
    <cellStyle name="60% - Accent4 6" xfId="55"/>
    <cellStyle name="60% - Accent4 7" xfId="56"/>
    <cellStyle name="60% - Accent4 8" xfId="57"/>
    <cellStyle name="60% - Accent4 9" xfId="58"/>
    <cellStyle name="60% - Accent5 10" xfId="59"/>
    <cellStyle name="60% - Accent5 11" xfId="60"/>
    <cellStyle name="60% - Accent5 12" xfId="61"/>
    <cellStyle name="60% - Accent5 13" xfId="62"/>
    <cellStyle name="60% - Accent5 14" xfId="63"/>
    <cellStyle name="60% - Accent5 15" xfId="64"/>
    <cellStyle name="60% - Accent5 2" xfId="65"/>
    <cellStyle name="60% - Accent5 3" xfId="66"/>
    <cellStyle name="60% - Accent5 4" xfId="67"/>
    <cellStyle name="60% - Accent5 5" xfId="68"/>
    <cellStyle name="60% - Accent5 6" xfId="69"/>
    <cellStyle name="60% - Accent5 7" xfId="70"/>
    <cellStyle name="60% - Accent5 8" xfId="71"/>
    <cellStyle name="60% - Accent5 9" xfId="72"/>
    <cellStyle name="60% - Accent6 10" xfId="73"/>
    <cellStyle name="60% - Accent6 11" xfId="74"/>
    <cellStyle name="60% - Accent6 12" xfId="75"/>
    <cellStyle name="60% - Accent6 13" xfId="76"/>
    <cellStyle name="60% - Accent6 14" xfId="77"/>
    <cellStyle name="60% - Accent6 15" xfId="78"/>
    <cellStyle name="60% - Accent6 2" xfId="79"/>
    <cellStyle name="60% - Accent6 3" xfId="80"/>
    <cellStyle name="60% - Accent6 4" xfId="81"/>
    <cellStyle name="60% - Accent6 5" xfId="82"/>
    <cellStyle name="60% - Accent6 6" xfId="83"/>
    <cellStyle name="60% - Accent6 7" xfId="84"/>
    <cellStyle name="60% - Accent6 8" xfId="85"/>
    <cellStyle name="60% - Accent6 9" xfId="86"/>
    <cellStyle name="Comma" xfId="1" builtinId="3"/>
    <cellStyle name="Comma 2" xfId="87"/>
    <cellStyle name="Comma 2 2" xfId="88"/>
    <cellStyle name="Comma 2 2 2" xfId="89"/>
    <cellStyle name="Comma 2 2 2 2" xfId="90"/>
    <cellStyle name="Comma 2 2 2 2 2" xfId="91"/>
    <cellStyle name="Comma 2 2 2 3" xfId="92"/>
    <cellStyle name="Comma 2 2 2 3 2" xfId="93"/>
    <cellStyle name="Comma 2 2 2 4" xfId="94"/>
    <cellStyle name="Comma 2 2 2 4 2" xfId="95"/>
    <cellStyle name="Comma 2 2 2 5" xfId="96"/>
    <cellStyle name="Comma 2 2 3" xfId="97"/>
    <cellStyle name="Comma 2 2 3 2" xfId="98"/>
    <cellStyle name="Comma 2 2 4" xfId="99"/>
    <cellStyle name="Comma 2 2 4 2" xfId="100"/>
    <cellStyle name="Comma 2 2 5" xfId="101"/>
    <cellStyle name="Comma 2 2 5 2" xfId="102"/>
    <cellStyle name="Comma 2 2 6" xfId="103"/>
    <cellStyle name="Comma 2 3" xfId="104"/>
    <cellStyle name="Comma 2 3 2" xfId="105"/>
    <cellStyle name="Comma 2 3 2 2" xfId="106"/>
    <cellStyle name="Comma 2 3 3" xfId="107"/>
    <cellStyle name="Comma 2 3 3 2" xfId="108"/>
    <cellStyle name="Comma 2 3 4" xfId="109"/>
    <cellStyle name="Comma 2 3 4 2" xfId="110"/>
    <cellStyle name="Comma 2 3 5" xfId="111"/>
    <cellStyle name="Comma 2 4" xfId="112"/>
    <cellStyle name="Comma 2 4 2" xfId="113"/>
    <cellStyle name="Comma 2 4 2 2" xfId="114"/>
    <cellStyle name="Comma 2 4 3" xfId="115"/>
    <cellStyle name="Comma 2 4 3 2" xfId="116"/>
    <cellStyle name="Comma 2 4 4" xfId="117"/>
    <cellStyle name="Comma 2 4 4 2" xfId="118"/>
    <cellStyle name="Comma 2 4 5" xfId="119"/>
    <cellStyle name="Comma 2 5" xfId="120"/>
    <cellStyle name="Comma 2 5 2" xfId="121"/>
    <cellStyle name="Comma 2 6" xfId="122"/>
    <cellStyle name="Comma 2 6 2" xfId="123"/>
    <cellStyle name="Comma 2 7" xfId="124"/>
    <cellStyle name="Comma 2 7 2" xfId="125"/>
    <cellStyle name="Comma 2 8" xfId="126"/>
    <cellStyle name="Comma 3" xfId="127"/>
    <cellStyle name="Comma 3 2" xfId="128"/>
    <cellStyle name="Comma 3 2 2" xfId="129"/>
    <cellStyle name="Comma 3 2 2 2" xfId="130"/>
    <cellStyle name="Comma 3 2 3" xfId="131"/>
    <cellStyle name="Comma 3 2 3 2" xfId="132"/>
    <cellStyle name="Comma 3 2 4" xfId="133"/>
    <cellStyle name="Comma 3 2 4 2" xfId="134"/>
    <cellStyle name="Comma 3 2 5" xfId="135"/>
    <cellStyle name="Comma 3 3" xfId="136"/>
    <cellStyle name="Comma 3 3 2" xfId="137"/>
    <cellStyle name="Comma 3 4" xfId="138"/>
    <cellStyle name="Comma 3 4 2" xfId="139"/>
    <cellStyle name="Comma 3 5" xfId="140"/>
    <cellStyle name="Comma 3 5 2" xfId="141"/>
    <cellStyle name="Comma 3 6" xfId="142"/>
    <cellStyle name="Neutral 10" xfId="143"/>
    <cellStyle name="Neutral 11" xfId="144"/>
    <cellStyle name="Neutral 12" xfId="145"/>
    <cellStyle name="Neutral 13" xfId="146"/>
    <cellStyle name="Neutral 14" xfId="147"/>
    <cellStyle name="Neutral 15" xfId="148"/>
    <cellStyle name="Neutral 2" xfId="149"/>
    <cellStyle name="Neutral 3" xfId="150"/>
    <cellStyle name="Neutral 4" xfId="151"/>
    <cellStyle name="Neutral 5" xfId="152"/>
    <cellStyle name="Neutral 6" xfId="153"/>
    <cellStyle name="Neutral 7" xfId="154"/>
    <cellStyle name="Neutral 8" xfId="155"/>
    <cellStyle name="Neutral 9" xfId="156"/>
    <cellStyle name="Normal" xfId="0" builtinId="0"/>
    <cellStyle name="Percent" xfId="2" builtinId="5"/>
    <cellStyle name="Title 10" xfId="157"/>
    <cellStyle name="Title 11" xfId="158"/>
    <cellStyle name="Title 12" xfId="159"/>
    <cellStyle name="Title 13" xfId="160"/>
    <cellStyle name="Title 14" xfId="161"/>
    <cellStyle name="Title 15" xfId="162"/>
    <cellStyle name="Title 2" xfId="163"/>
    <cellStyle name="Title 3" xfId="164"/>
    <cellStyle name="Title 4" xfId="165"/>
    <cellStyle name="Title 5" xfId="166"/>
    <cellStyle name="Title 6" xfId="167"/>
    <cellStyle name="Title 7" xfId="168"/>
    <cellStyle name="Title 8" xfId="169"/>
    <cellStyle name="Title 9" xfId="17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2" defaultTableStyle="TableStyleMedium2" defaultPivotStyle="PivotStyleLight16">
    <tableStyle name="Table Style 1" pivot="0" count="0"/>
    <tableStyle name="Table Style 2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sheetMetadata" Target="metadata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</a:t>
            </a:r>
            <a:r>
              <a:rPr lang="en-US" baseline="0"/>
              <a:t> to Pile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40-47C4-B406-64E75ACF23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40-47C4-B406-64E75ACF23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40-47C4-B406-64E75ACF23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40-47C4-B406-64E75ACF23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40-47C4-B406-64E75ACF23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640-47C4-B406-64E75ACF2335}"/>
              </c:ext>
            </c:extLst>
          </c:dPt>
          <c:dLbls>
            <c:dLbl>
              <c:idx val="2"/>
              <c:layout>
                <c:manualLayout>
                  <c:x val="-0.105555555555556"/>
                  <c:y val="-9.72222222222222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640-47C4-B406-64E75ACF2335}"/>
                </c:ext>
              </c:extLst>
            </c:dLbl>
            <c:dLbl>
              <c:idx val="3"/>
              <c:layout>
                <c:manualLayout>
                  <c:x val="-5.5555555555555601E-2"/>
                  <c:y val="-0.15740740740740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640-47C4-B406-64E75ACF2335}"/>
                </c:ext>
              </c:extLst>
            </c:dLbl>
            <c:dLbl>
              <c:idx val="4"/>
              <c:layout>
                <c:manualLayout>
                  <c:x val="-0.11111111111111099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640-47C4-B406-64E75ACF2335}"/>
                </c:ext>
              </c:extLst>
            </c:dLbl>
            <c:dLbl>
              <c:idx val="5"/>
              <c:layout>
                <c:manualLayout>
                  <c:x val="1.94444444444444E-2"/>
                  <c:y val="-0.1435185185185189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640-47C4-B406-64E75ACF233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'Supply to date 2026'!$B$13:$G$13</c:f>
              <c:strCache>
                <c:ptCount val="6"/>
                <c:pt idx="0">
                  <c:v>HG</c:v>
                </c:pt>
                <c:pt idx="1">
                  <c:v>LG1</c:v>
                </c:pt>
                <c:pt idx="2">
                  <c:v>OB </c:v>
                </c:pt>
                <c:pt idx="3">
                  <c:v>LIMESTONE SPG</c:v>
                </c:pt>
                <c:pt idx="4">
                  <c:v>HG-HMGO</c:v>
                </c:pt>
                <c:pt idx="5">
                  <c:v>GYPSUM</c:v>
                </c:pt>
              </c:strCache>
            </c:strRef>
          </c:cat>
          <c:val>
            <c:numRef>
              <c:f>'Supply to date 2026'!$B$47:$G$47</c:f>
              <c:numCache>
                <c:formatCode>#,##0.00</c:formatCode>
                <c:ptCount val="6"/>
                <c:pt idx="0">
                  <c:v>0.39389724094234208</c:v>
                </c:pt>
                <c:pt idx="1">
                  <c:v>0.59104643412574975</c:v>
                </c:pt>
                <c:pt idx="2">
                  <c:v>1.2222386794704061E-2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40-47C4-B406-64E75ACF233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1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9456c8-f813-4a5c-8621-0322d5ac44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10</xdr:row>
      <xdr:rowOff>38100</xdr:rowOff>
    </xdr:from>
    <xdr:to>
      <xdr:col>15</xdr:col>
      <xdr:colOff>257175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485775</xdr:colOff>
      <xdr:row>1</xdr:row>
      <xdr:rowOff>9534</xdr:rowOff>
    </xdr:from>
    <xdr:to>
      <xdr:col>23</xdr:col>
      <xdr:colOff>1000125</xdr:colOff>
      <xdr:row>2</xdr:row>
      <xdr:rowOff>296622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8869025" y="200025"/>
          <a:ext cx="514350" cy="56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</xdr:row>
      <xdr:rowOff>38100</xdr:rowOff>
    </xdr:from>
    <xdr:to>
      <xdr:col>7</xdr:col>
      <xdr:colOff>333375</xdr:colOff>
      <xdr:row>23</xdr:row>
      <xdr:rowOff>76200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Gross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Gross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3086100"/>
              <a:ext cx="93440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IN" refreshedDate="46134.478492592592" createdVersion="8" refreshedVersion="6" minRefreshableVersion="3" recordCount="9974">
  <cacheSource type="worksheet">
    <worksheetSource ref="A1:O9975" sheet="Uploaded_Data"/>
  </cacheSource>
  <cacheFields count="15">
    <cacheField name="Ticket_No" numFmtId="0">
      <sharedItems containsBlank="1"/>
    </cacheField>
    <cacheField name="Vendor" numFmtId="0">
      <sharedItems containsBlank="1" count="90" longText="1">
        <s v="[CMLT2022] Remieli Rentals Limited"/>
        <s v="[CMLT1008] Lake Cement Ltd - Logistics"/>
        <m/>
        <s v="" u="1"/>
        <s v="_x000e_aŸŸ_x0001_v““Î3“WY7¼˜›œZ‰/ÞRX“¬;%BÜ_x0007_|6ykg4&lt;_x0014_([D)P»?Ø:é_x0008_­t?ö3_eÎäËX·-ëÐ$ÂÝ_x0000_¶Í'D­“ƒ¿r‹_x0003_ö\½Ê»ñµ-s£R6!'l_x0013_rÂ6Ž÷äZ_x0014_'ú„|žw‹_x0017_îü¤-JZ±&lt;BR±L_x001d_gÌ½[Fºu?¿œjªÅ_x0017_7€ÍÜ_x0014_VsSÖÌ-Mk_x0007_gÛš¨_x0013_Us‹R:_x0019__x0017_X'ã_x0002_‹Z÷_x0001_÷1ÝØ³‡_x0002_e1½@í.jãhÖ§_x0011_Zé’å3_eÎâË8·_x001d_¨+­Þ¿_x0001_ì_x0016_§°_x0004_¿W_x0014_v“SZ97J_x001b__x0001_Ã_x0017_7›³míâ¢µvqµ‹_x0007_|žŽo}YbÏ‘%n_x0003_t²-ÄO#´’_x0017_}æ›Ì™|_x0019_å¶c…™Rn€ÝäÕÒ6ÊºÅùd³xrã{›ÅÙ¶õrÂÖË_x0009_[//”ÛÖ)·x«’ª_x001b__x0001_3@I)ë_x0008_y)+Õœ3ù2Êm‡&quot;597€Ýä" u="1"/>
        <s v="ÊL_x0012__x001f__x0018__x0008_Âµª_x0014_&gt;0’‡k=î…úÌ¦_x0003_íBö°ûý%%´" u="1"/>
        <s v="À_x0012_ÞQ˜¿Ýø_x0006_…eN'ižÓQZæt”f«½Püâ_x0011_êÍ‰_x001c_u_x000b_'r_x0006_OÙ»~Õ*B~_x0011_é&amp;B½sËÈ_x000c_é-#ø*9«·Qr;`|v|Š_x0009_`µ:ÒfLÄ¢°Z½ÌÉ¡´Z_x001d_¤Åê5NŽôæLŽ`Îä_x000c_ŽD¬”ÁF¨_x001b_´ö9B6©ËÁ–_x0019_Z_x0019_¶økåð½r.ÐFÐí€%ÛqM" u="1"/>
        <s v="_x0001_|_x001a_¡ÕQ_x000f__x0012_¤šs}|_x0019_/w_x0004_Cµ×£I_x0000_»ÍÁ_x0013_Y_x001f_¯_x0017_Ð±i7y½€_x000e_Ònrje™_x001c_aËä_x0008_[&amp;7Ðr¶Èú_x0010_oULîÃú°Õi¹Aêt-Æ" u="1"/>
        <s v="_x0000_Ô‰:6m'Í_x0010_vûWKèD+Ëó¨´åy„-Ï_x001b_Jèœ¨‹çö_x0001_À‹k_x0006_(9_x0002_t„ü_x0008_P(2_x001b_ó—1u‡))µ±_x0013_û_x0001_»ÉëL_x001d_…½Ï“È_x0013_yMi·yµ†NÔ²DZ[¢‡7Ó»_x0003_ï£ñ~" u="1"/>
        <s v="ác_x0010_–¡_x000e_°_x001a_½HÀ…×.ß¾‚jS„»¢^¡W¿6xŠïkÙT‹P¸ELâ{äæŽ²º»MRÇ_x0015___x0003_t_x0007_¯’3ú¶„_x000b_?¿p{^™#ÌFG”Ž¨Œtjšºè-ÀR_x001a_ƒ(_x000f_ô±_x000f_ŠW²à)YæàèÕ˜ƒ3xbcôf‡_x0008_ysz„ìÐ™pp3´bBì_x000e__x0015_Í_x000c_ôm_x001b__x0007__x0017_~¾8#Ì_x001c__x001c_Át?_x001a_ B¼¢¬Ú_x001c_Ÿ" u="1"/>
        <s v="+µ2_x0013_GMË /ÖÃák‹ÁkD_x001c_iÍ«s‚yunpLàä_x0010_C„Ü¬=_x0012_qÃ »¨Qª_x001f_V¼¥y‡¯’³y_x001b__x0011_·_x0005_&gt;‹+úO_x0000_«ÍQ˜ò 7(¬£_x001c_¥™ˆCiádðÅÅê5&quot;Žô–aŽï&amp;Ã&lt;ÕÄéñ4kxšÏ¥Ôñ&amp;AG9…|;C+z“;|ÑœÑÛx¸-_x0016_£É@_x0007_¾J¦s@e —y8z²Ø¼ÌÃ¡´Ø¼ÆÃÑÃe¤c¯ÈH&lt;ÜVy8k8¦íB¹'È©|!­|Å7Í_x0018_}hãáÂÏgNFnÿ&lt;_x0001_¬wæbI_x0019_¯ÏQXF:&gt;ºc«£´Œt”f«½P¼=_x0017_õæÅ_x001a_u_x000b_/Ö_x000c_Ž_x001b_-²@ÕEñ+ßDÈnY•’‰_x0019_²/7Ð±%|•œÕÛ˜¸_x0001__x0009_/^­_x0001_¬V_x0007_a_x001e_ê(«F_x0007_a5z¹_x0018__x000e_ß[Œ^£âHm^®_x0011_ÌË5ƒG£{÷&amp;O{qr„¼›“_x0013_ä\_x000c_Ý”3z_x001b__x0015_7 áE~v_x0002_XŽÂbuàÚÔê ­VGžK ñÅÅê5.ŽÄ©õ+‚¹tÂài£E‚ã9BÝ W%È™ÔgH&amp;u|“œÑÛ¨¸_x0001_9-ê¼_x0013_Àjô¥°_x001c_9GYµ9&lt;YmŽµvbó&quot;_x0017__x0017__x001e_]¾_x001c__x001d_Å¹x‚z…‹'_x000c__x001e_Ó÷µœ&amp;&gt;GÈNK±s„Œ‹“5ú_x000c_Ùá_x0006__x000e_ïð¦9£·‘q_x0003_p^_x001b_&amp;Ý_x0001_V£cU_x001b_§ï(¬VGi™Ô_x0011_ÓI_x001d__œ&gt;K_x0013__x001e_]¶:Š3ëNÝÂ¬»ÁÓ¤®ÌL„ì_x001e_0a`#Ô;'ÏgHNžã›äŒÞÆÆ" u="1"/>
        <s v="\_x0000_ÚÎºÀB¶p_x0007_&gt;ÌïÎ_x0004_žL_x0012_ÁÖù±5_x0014_OF‚+l!å_x0013__x0017_¨³…¢_x0004_ÔÞG_x0002_â&gt;_x0012__x0014_ºð0Æñì²hŒ_x0004_C5aryf‘k×qy¦–_x001a_BŸùäp!]¸›2P{¿/_x0013_xâ_x0003_äó$Ö¾Š³›¦TSâ_x0003_Ä" u="1"/>
        <s v="Vendor" u="1"/>
        <s v="¤|â_x0003_u²P´³RCÁ­Ô¸/%_x0007_Þû€m2Š8PØÂ8¼Rxîˆ_x0003_C9aRQ2bIE_x0009_?÷Ü¤`·-ì~‰_x0003_º77|_x0000_|žû_x0000_`Ÿ_x0014_P&lt;ñ+t!å_x0013__x001f_¨Ó…¢M" u="1"/>
        <s v="ã_x0007_›õ”tÚÚM$Ä“ _x0000_ÎÊÇƒ:G(­'.Pg_x0009_)Ÿ¸_x0000_•ÓÕ U^—ƒˆë‘a÷_x001d_Üg_x0004_~ºÂ€åÓÆB_x0008__x001e_ãìzÙv5Ê_x001d_WzSk_x000c__x000b__C_x0010_6ëe_x000c_áù÷—ŒÀ6â_x0010_O&lt;`ÊÅµ_x0009_uP§_x0009_¥ùÄ_x0005_êD!å_x0013__x0017__x0000_U¨×®DJ@Ü‡…)~ðiãXÓggŸvM÷£B6m_x001c_éÂdT_x0018_o¬°z_x000f_Ñv6_x0008_" u="1"/>
        <s v="^élë­1Ÿ_x0005_jwNpŽ3œÔqÎÖËx°fJ¿_x001c_" u="1"/>
        <s v="W#l¹_x001a_aËÕ" u="1"/>
        <s v="'ˆ·š›‹_x0017_(*_x001c_lÙ{„¼š…jÎÙ|_x0019_Õ¶_x0001_/µUî…°Ù_x001c_„˜…ô*Õ†–-]'jù_x001b_Z¶&gt;_x000e_•´Rþ–*íl&lt;ŸJë÷¸_x000f_á&gt;}ÛZ±q²¢Ä_x0001_:_x001d_I_x001f_¡•Ö_x001c_&lt;ó_x001b_Ì™{_x0019_Õ¶_x0001_³¤Uõ7„ÍÜ_x0010_ÞZ_x0017_¯rmhÚí]åÚ(kö¦N_x0002_ßŠÊZé_x0000_ØªZ_x0002_íCúÎí=Pm±—“™üc‘j×{ïÞeËæzµ×é_x0019_µœ³÷2¶m_x0003_rigÓ³*Û_x0006_aŸžUÙ6ÊZº^eÛ(kæ¦J_x0016_Î_x0009_[8'lá¼_x0014_¬_x001d_½`-Þª_x000f_ç^°V Ø}mÔê_x0008_YÁ_x001a_µœ3÷2²m_x0003_nigÑ¼J¶AØÍ]%Û(kæ®’m”5sãµ_x0017_ÞRã½EsJÛì¬mI!S4&lt;kîB¶mÖž£_x000f_P’¤MÑÚf_x0019_ÙÖýüÂ¾ì•L'lá¼J¶AÖgã ÓÌÞU²-›½©’MÈ_x0008_Û„Œ°MÈ†­žN¶Å[õö¶å‘Ç_x0002_e_x000b_á#ä_x000b_áTs¦o—±mÝÏ'öÖI_x0019_aµ7QÍÖˆZ‚.°&amp;è„mR_x0006_Ø_x0012_tÑJÞûV`åÓ_x0009_kñý}Àsk£_x0005_" u="1"/>
        <s v="¾iÆèû6¾.ü|^´mÖœÉ_x0001_" u="1"/>
        <s v="bþD_x0010_éÅµ\¢h_x0013_AÂVl" u="1"/>
        <s v="­ÊŸQØúv•?ƒ¬÷í*FY36U²4°åi„-Qëy²í:1ö|YY¼ðyB½;Úòæ_x0008_­Žº”M5çì½ŒCkÁ’5–©UI4_x0008_{ç®’h”µÎ]%Ñ(kö¦J–ª_x0011_¶\" u="1"/>
        <s v=".¾Û_x0013__x000c_Á¨ŠF_x0005_xŒbAÏHÀ¸½¿ü*âŒˆ³0çiPªcBSyö.zµž" u="1"/>
        <s v="ÞF«õPóµ¦øuBX" u="1"/>
        <s v="Yã" u="1"/>
        <s v="ôÐ}¹²† ®_x001b_&gt;ÐcíÚ2Š§_x000b_¶Ò2øgZcÞ_x0007__x0016_’‡[‡vã\_x0003_&lt;ñ_x0001_ÐY^TBñÄ_x0007_®°‡”Oâ@=_x0014_í¬ì\p+;_x0007_®Û³î»Ó»€]ü_x001d_.PHÀ™9\ ÇÚuB_x001c_XB_x001c_áuæ]`!y¸_x0005_}¶“`yÓ_x0000_O\_x0000_äŸÍ_x000f_(xÀ_x0015_îò‰_x0007_Ô¹C*§Ãð-•Ûé.Ì;ÅmŠ_x0018_í÷#ßLÕÉÎÎ_x000f__x0006_ì”ì?_x001a_±dÿ_x0011_ô™w…Üá_x0016_ì˜VÓ…_x000b_Ô¹CÀI_x0010_¸RjÈÖ=;$ž¸_x0000_*_x001d_=_x0019_ rVt.Ê[Ñ9ð$_x0008__x000c_ÌaB_x0012_„h_x0019__x0007_|~0`§£×”ŒØêh_x0007__x0014_ðcÏ‘_x0004_Û…da÷ûK. •3á_x0001_u²_x0010_p2A x_x0012__x0005_®…”O\ ^\(Úù8@í}_x001c_Àëi¶_x001c__x0003_Á¸_x001b_Y_-_x0006_‚áTÃäàš‚¥§_x001a_ŽØµS" u="1"/>
        <s v="œ_x0002_\_x0000_ÄWA7£[‰èn_x0006__x0002_hS4Åÿ_x0017_._x0000_ÂìáE¢a_x0014_–gñ„ZÊˆ_x0016_®õ&quot;hÀ^&quot;_x0000_Ä¨¥" u="1"/>
        <s v="kzhžÜÀp’¬sÖyUs^ÕøÿûªfÓ^&gt;¯eÎk™óZÆõöõAj™¼|Ê&amp;ïòèžO¼±å3!”îË_x0005_Å»Bw}_x0004_¼ÑŒ_x0007_0¨ÛQº'¹j_x0001_Î&quot;øš5˜" u="1"/>
        <s v="7_x0003_j¹_x0019_PËÍ" u="1"/>
        <s v="û!Þjn9¤@mk¬ÌÓ_x0008_­”6¥–3æÞ" u="1"/>
        <s v="@_x0017_¨]ïtÄ~_x001a_¡•fÍTqÎÔ_x000b_gnÓ©ÛN¢éM3E­'_x0003_µ0MTã4Q3õô¹_x001a_Í~¤¬™_x001a__x001a_IË·Ý‰_x0013_Ý_x0011_•–ï_x0003_íM}Ðtø¡@Y¼.P»n4_x0010_&lt;Ðª‘ÐòL_x001d_çl½lRÝLgÕ;yâ" u="1"/>
        <s v="æ/Òn «ëòb_x0001__x001b_ÊÊº¼XÂ6ö@‘‡A%‹CX²¸™]Ó_x0003_&gt;3¤Iû_x0004__x0009_ëf/_x001b_&lt;f½Z3é†]_x0019_ì›6Ò-ü|amfÝ_x0010_fk_x0003_*áš&amp;áŸ_x0009_¦Pñ_x0016_aNtÁGóx_x001f_;¡xÚ_x0007_ÔÞr_x0001__x0004_=œ+ _x000c_ž–åJÄDÈ¶ÄÙ°7_x0011_ê»^Òö_x0019_Zõœ¶£¢9£·Qo_x001b_ ¡¶\_x0002_°_x0018__x001d_…i0¼Aa.×ú™`±:6Nóç/ Ý‹Õkô_x001b_éÍó:Á&lt;¯_x001b__x001c_ùu©W·6_x0015_BÈÖø_x000c_iÝ_x000b_*š³z_x001b_ý¶_x0001_*jËl_x000c_Âbu Ðx^_x0007_Y_x0009_ìˆr&amp;‡(_x0007_vDÅâ5ú" u="1"/>
        <s v="©8ÆûÌÇ…tá_x000e_ŒÚI¢eø@._x0004_œT_x0015_Q&lt;ñ+¥†”O| Î_x0017_ŠvVR&quot;¸•”_x0000_×&quot;ðûîãœ]`“ì;(X³369Â@á_x0012__x0003_²z‚_x0011_»v”!?ýlLXH_x001e_î¦ô˜½^øC&lt;$l3_x0004_Â‰;\á_x000e_)Ÿ¸C;_x0014_å|X ò&gt;" u="1"/>
        <s v="ýÌ_x0009_bMâN_x0012__x0006_s‚ˆ_x001d_äëÙ·_x0017_lÅ_x0017_Ü¡9òNÐÈ!nCãÏo›_x0013__x0000_É'¼_x0001_ÀÞj¡R”ˆÍ;ó_x0001_r”š_x0015_”9ÄÐ|Å_x000b_P_x000f__x0010_×ù _x001d_lvê“íéÓ| Ì’yA*&lt;ôÖŒsQ¢³f_x0004_…³YA#‡¸_x0005__x000e_ñHÝl^Pæ_x0010__x0001_ö_x0016__x0008__x0015__x000e__x0011_›w¼ Â!âó•9¨rˆ¤¿T%_x0012_.U‰†O±@Î&amp;Y" u="1"/>
        <s v="„Kæ:‡õ_x001a_A¿" u="1"/>
        <s v="·£Ö–Û_x0001_¶_x0003_ú£ñs_x0000_ØØ••_x000f__x0005_ÊÖc_x0006_èà7gPÜœU" u="1"/>
        <s v="M_x0008_‹\“\ë7ÊE½©QÆTwÖ_x0007__x0016_ò…›)á¶³›½_x001a_à‰_x000f_Ôw+S:q+t!å_x0013__x0017_¨Ó…¢œqE‚[U_x0009__x001f_ïCAà=W”¤_x0003__x0005_Ë_x000e_©è&gt;ê9D_x001c_Íuž.ØJ÷_x0000_&lt;Ó_x0018_³“‚ÍB¾°ûý%_x000c_èt÷¦_x0001_ž¸@½ÖÒ‰_x000b_\©5¤|â_x0002_uºP”³" u="1"/>
        <s v="Y4c:ø®_x000b_À_x001d_/_x0000__x0016_P—_x000b_(îxA…EDyÇ_x000b_Ê" u="1"/>
        <s v="hÞ—jÇõLXh_x0019__x001f_Aµègex_x0004_5_x000c_Ê±“L65‘­rzöu‰£‹_x0005_Ã" u="1"/>
        <s v="ù6_x0004_ÀjsàÏ4¾—Ëë°m5:H«Ñ‹Ü]h»&lt;ÒQoÎä¨[8“3x4ú cö_x001c_!ï_x0000_t‚œ_x0005_Ü_x000c_U_x0016_pð^Y_x0017_hãî_x000e_Àa" u="1"/>
        <s v="â;+„È_x0013__x001e_¤DÅœ a«­æ†ßÅ!ö_x001c_bøý%+èù_x0006_Ú_x000e_p'_x0012__x0000_Åæ¬_x0010_#ÔPPá_x0010_ññN((sˆco”é#Ô_ç_x0003_Äu&gt;ˆ_x001c_âÆ9ÎhOÏ¯_x0010_æï_x0002_ëÎb’;xó_x0001_(œË" u="1"/>
        <s v="¨3‚&quot;ž8_x0004_šO_x001c_¢N" u="1"/>
        <s v="©”´_x0006__x0015_ª‘_x0016_ä_x0007_tGzõ(Õ7™»OÎÙGe‰ùŽž_x0008__x0007_Oˆý" u="1"/>
        <s v="¸_x0011_È‚ëÎ²îõŠ_x000f_8sT°tV0`ÉF“¡Íæh;Mø5æ]`!wØ‚;´ýe" u="1"/>
        <s v="€çër¡J&quot;’þRwB¸Ô_x0018_&gt;-_x0017_ä”²Å‚ùöAÝ`N˜óq¸YÎ¾î" u="1"/>
        <s v="=úöñ·ßÓßŸ_x001f_¿Žÿ¯­5~}|~~üœþõûÃýû‡oá_Fž|x||NÿxõúÇW&gt;~ûÇøœ×ÿ%_x0000__x0000__x0000__x0000_ÿÿ_x0003__x0000_PK_x0003__x0004__x0014__x0000__x0006__x0000__x0008__x0000__x0000__x0000_!_x0000_Á_x0017__x0010_¾N_x0007__x0000__x0000_Æ _x0000__x0000__x0013__x0000__x0000__x0000_xl/theme/theme1.xmlìYÍ‹_x001b_7_x0014_¿_x0017_ú?_x000c_swü5ã%ÞàÏl“Ý$d”_x001c_µ¶ìQV32’¼_x001b__x0013__x0002_%9õR(¤¥—Bo=”Ò@_x0003_" u="1"/>
        <s v="ðÝíáéÅÍ8Þ÷——‡«›án}ørw?lñÉ»ýÝzÄÿî?]_x001e_î÷Ãúúp3_x000c_ãÝíeU–‹Ë»õf{Q\í_x001e_¶ãÓ‹º­ê‹âa»ùÏÃðüø§å¬ºxöä°yöd|ööëo__x0016_Ï_¾{ù~U¼]½xr9&gt;{rÉŽ_x001f_¼ÝÜ_x0017_ß" u="1"/>
        <s v="9½’_x001f_{v_x0014_XÈ" u="1"/>
        <s v="\;ò_x000c_Q»ŸžI&quot;Jº_x001c_¸ÍÌ{zùe&lt;êr»ñY_x000b__x0009_]_x000c_…˜Nr‘A°±ta]ˆÇÕÝéo‘!™P_x001a__x001f__x0003__x0014_b_x0007_(.õÑ/µH±D_x000e_0ãˆ€…¨‰š¹”hkØ_x0018_œ°_x001c_X©bÚ_x0018_â6­e¬*gá&amp;Ú·" u="1"/>
        <s v="_x0006__x0000_vªÒ‰_x0007_°u÷_x0000_PÒ‰äËy_x001e_ ºÙ(@\‰Û;6¿×ÝŠá_x0001_=ã·_x000b__x0017_-_x0015_" u="1"/>
        <s v="È" u="1"/>
        <s v="¨_x0013_¶ NX¢Þ}&lt;º³êÖ—B_x001e_" u="1"/>
        <s v="FÑry‰Z«_x001e_°6¯œM_x0005_3Ó†;_x0006_&amp;ƒ_x0016_X;Î«%¸Ny_x001e_ïL0 µ‹_x0005_'ãÒ‚Y%ÈA;s¹U*ýÂ^£3F_x0016_e" u="1"/>
        <s v="¸‘É÷©Qn1._x000c_•‡vÚÙã€µk[w_x000e_‡èåºù‚N_x0017_ð:ó.°;Üƒ_x001e_óÝ‰À_x0013__x0017_`ežM_x0017_(ž¸À_x0015_òò‰_x000b_ÔÉCÑÎX_x0003_Á5_x0000_¾ó»S_x0003_ï§_x000b_Éæ´‚EŠàSÆ_x0001_;%_x0007__x0019_Xr˜_x0015_ÞgÞ_x0007__x0016_’‡{‡ú‘#5¨“‡€³_x0019_Â_x0015_öÍ;{H&lt;ñ:{(Ú_x0019_m ¸Ñ_x0006_‚_x001b_m_x0010_øÙ_x0007_¢ÈÈg_x0008_Ã5(Ù_x000c_¡Ô_x001a_¶Ù_x000c_aÀ²_x0019_ÂW±‡û…ìa÷ûKnà;_x0014_'q_x0000_|–§‡WÈC¶ž¸À•ZCÈ;k Ê_x0019_k ¸±_x0006_‚_x001b_k_x0010_xI" u="1"/>
        <s v="è·Í_x0013_f_x0015_'r5ëŒ_x001d_·Ê.Æ6Í%8}3/_x0000_…séB×H(†ß_â‚|d¥_x0003_Üñ_x0002__x0010_w_x0002_C¹šš×|_x0001__x001f_ïxA± pl¾â_x0005_¨?×_x0016_á_x000b_nw_x0014_7¯_x0003_&gt;_x0005__x0006_±æ9až_x0013_½™±£\á}{ÁV|©y_x0001_(œõ‚FB±_x0003_BQŽ_x0006_u€;^P®'$q'_x0016_”+" u="1"/>
        <s v="_x0008__x000c_OÔ6ømuF8=ñ®'?ÈÌZu@" u="1"/>
        <s v="_x0016_¯qp¤³„uì_x0012__x0009_ë±¾í õmÖð˜¼{ƒ&lt;rp½Ö·E)»kÂä_x001d_ê™3x_x001b__x0005_·_x0001_¾‰ëòO_x0008_‹Á(“¨^¤à e_x001d_âE" u="1"/>
        <s v="üKÛŸ~r_x0011_mÉ_x0008_ÇØ_x0003_ùDl¡–_x001f_I9Û*_x0016_Å_x0008_†‘¸Àf8ß&amp;ŒÇHÂ#Ÿ_x0016_Ç_x001c__x001d_ƒÞ˜_x0016_+¥R­_x0018_#’ø^‚bP{}2!#ì" u="1"/>
        <s v="‚á1EP^9bîMº_x0011_s¸Î˜_x001e_q…×Éû@#¡¸_x0003_ÂLÏ3_x0002_îø_x0000__x0010_‚ê_x0003_È_x0017_Jšˆ­kšˆ¸ã_x0003_e&gt;1ˆW|_x0000_Õ_x0017_Ú_x0000_»G3_x001a_&gt;_x0005__x0002_ùF³å_x0004_é³)Îé•ˆÙ—zØwn“\¿uêÑà}òNÐÈ'î€/_x001b_(_x001c_Út_x0000_„Ÿ”&quot;!¬N€t¡:_x0001_¶N_x0001_õ-&gt;×O¿_x0010_¬ya•M$íå¨;árÔÝðÑ_x0007_ŽÎÇV&quot;f_x000b_F]*D¬ßJº`&gt;0µi&gt;@Æ¸#}³ya#¸_x0003_þl_x0010_Ò_x0000_p'_x000e__x0000_?èä…_x0015_þšW_x001f__x0000_ºŒLd&gt;P¦_x000f__x0003_\‰_x0003_¨¾_x0006_Ô=B_x001a__x0018__x001e_|ÀVÊÎ\J_x0012_o­D¹~pŠÑfÌ9À„" u="1"/>
        <s v="„_x0017_flc“ò§P¤ó˜ri/{¦Ž3ýº]Æšu?¿ØZS3 –†_x0003_µ_x0010_NTÓp¢_x001a_Â‰j_x001a_NTmM45#ª©_x0019_Ð_x000e_×öÓkï×_x0005_jv_x001b_uƒÇ_x0002_µ_x001b_gÍFÈX3ª8gêe¬Y;å˜Ž_x0012_ðn€º©§²_x0016_Â!k³k¢fê*kFY3õTö¤+“=ÉsïˆŠ‹Ý_x0007_Ú›Úr¬‡_x0002_…©UÓÇ_x0002_µ›½-OŽÐj¯ë“ÔqÎÖ_x000b_KQ¦ìÌI¾ÛM‹J_x0015_%Ã‰j_x0016__x000e_Ôm]eÍ(kÝºÊšAö¤+•Du©’¨®U_x0006_z¶õÁCx2&amp;¥@m{p[_x0017_Ö¬]_x001d_ÌÖ_ÃšµËX³îçc_x0008_?IÀ»_x0001_êý_x001a_ì•ÙºÊš¡e_x001b_®‰š­«¬_x0019_5Ò•K¢ºtI}5_x001a_ß_x0007_ÜS)[£Ã_x000b_ÔìÌ¢_x0005_j×_x0007_›^Ðê _x000b_˜ü_x0004_s_x001d_{_x0019_mÖ‚_x0018_[ë&quot;&amp;aëÙSaâUÞ_x000c_-»µ«¼_x0019_e-ŠS%ùŠ·¢±Hß_x0009_" u="1"/>
        <s v="ä_x000b_7`Ä4_x0001_" u="1"/>
        <s v="¾ŒnÛ‚šÒbý_x001b_Â_x0016_Õ)" u="1"/>
        <s v=";Í–ûYÆº™‡Ô2O¹b¹_x001b_r3ê_x000f__x0011_kE&quot;'¸&amp;&amp;SÐÄ;nùµj_x0008_·*#4kù_x0013_è_x0018_Ã×x_x0006_¹#Ô[_x0017_¢S¸v_x0019_Ižnøwa–_x0019__x0017_²‡D”:\“NÊ_x0006_1‘˜{”Ä-_-•" u="1"/>
        <s v="K_x0017_Í0å#_x001c__x0004_âë" u="1"/>
        <s v="ÜŽo_2'(“ˆ_x0000_ër_x0001_¥_x001d_'¨pˆ(ï8A™C_x000c_âåÉÔ—*_x0014_Â¥" u="1"/>
        <s v="5_x0003_j©_x0019_PKÍ_x0006_ÊËÈ‡x¥Î" u="1"/>
        <s v="+áØÛ&lt;Ñq¶³–ÕôH0³;–õ’_x0019_¨³_x000c_šÉ_x0018_lÄ÷_x0015_Î_x0010_í§ÖŽ_x0015_]mso?Ý1ó3±õÂW¡æn_x001a_‘TuÐLF—_x001d_ï_x0018_™~8_x0003_S°r_x0006_yNvºcxT¸¿èŒÁ¦Që²_x0004_kã" u="1"/>
        <s v="d" u="1"/>
        <s v="c_x001c_d5]GXÒu€u‘_x0006_$_x0018_½FÃ‘ÚÌ´_x0013_ÌL»Á¹½Ó_x0008_ÙÞ©_x001a_=ž_x0001_íô€Y”" u="1"/>
        <s v="~k_x0005_³D_x0001__x0006_" u="1"/>
        <s v="ÍÐit_x000f_²„Ž_x001b_Ì'©¾_x0013_'¹R}·¢þ»C-sÖn#ÁÂ&amp;Õœ‹í%S+Ò` «±¼H„¬Z»H…¡¬X»F†¡Ê’©-_x001f_Í3íµÉNÖV6;Bn" u="1"/>
        <s v="á´²@T³ýÁ­VÕð»SÖBÑ²¤dd¯$á.•_x001e_äd@:_x0005_å|ë:ökõ_x000c_»­lD.ì-H_x0008_½ïD_x0018_MHd0{¼~ãð§h=ö_x0004_Ö‰õï°¨­NøÏN‡³×°:_x001d_G¤®ùñ¾_x0011_;ªóîé¹_x000e__x001a_I_x0003_Í‰_x0016_Ï”8å„\_x0013_¥øÞ_x001d_æÐ_x0003_/´k_x0018_·LþF_x0005_À" u="1"/>
        <s v="@\É‚ôE_x000f_=f_x001a_ún" u="1"/>
        <s v="_x0018_H/wL_x0001__x001e_BA_x0000_Ä#_x0004_" u="1"/>
        <s v="`óºdDÜq_x0002_`Ô4M¬Rˆ¤¿Î_x0006_Ø?:_x001b_¤;_x000f_õ_x001b_t¡ï²‹…„_x001d_½4q¦_x0010_kiâwñ‰›F&gt;1üþ’ ðªÕÂ_x0002__x0010_~:5_x0000_Ÿ§5((îÄ…" u="1"/>
        <s v="5Ô’ay|â_x0010_ÕjBŠoõ˜êp_x0008_j¯ådŠk=Y‡÷!Á¯¡_x001f_°(&lt;²}Ÿ#vÚúŒ±´ÙÄ® Ý!À÷™_x0009__x000b_©Ã_x0006_äšÝ“Ó_x0000_O|_x0000_âÉt¡^M(Í'Aá" u="1"/>
        <s v="w_x0003__x0007_ØŸy'hä_x0013_;à_x0013_å¨Q_x0007_¸ã_x0004_XÐ¨¡ B(bóÎ_x0002_¡\—ˆ¯ç8A•P$ý•9ÀþQæ _x0012_Š_x001b_)&amp;±ù`þ‚‡_x0013_" u="1"/>
        <s v="_x001d__x0003_" u="1"/>
        <s v="+„_x000b__x0014_ºpë·_x0007__x000e_X&gt;A_x0018_·&amp;ûfƒÒfl6¸–_x001c_~_x0015_w¸]È_x001d_v¿¿_x0006_v¹\_x001c_àXu_x0008_ÀÉlâ_x001e__x0013__x0004_·Ù_x0002_q_x0009_|¾Å_x0004_ÑÎÖ_x0010_ˆÛ-sÔ~gg›vxŸ_x001c_úá¦_x0003_Öìm¡ùqÄŽ~¡ä_x0005_ó_x001b_%ù&gt;³Aa»;ì~ñ_x0001_»n®_x0001_îÃ_x0002_aŸ _x0010_O|à" u="1"/>
        <s v="_x0017_PÜñ‚" u="1"/>
        <s v="a»¾-þZ‡ÌfÆÝÕOÅ?×ûëbÜ_x0015__x001f_6·CñÅx³ß=|º)žï_x001f_`ªûL+¯_eç½:ÿKÙ\–sXxµ(fU_Îûª+¾ÎŽv:jVöÕL*û²é›*Sé7o²;@…¶™zêÙL©çl‘]Õ†‹¬ûº5_x0016_9ïgÙ&quot;¹ Î×ÎlÑ—rß_x0013__x001d_VÐÂÒ_x0014_\.Îe@p]ú‚1e#§œ" u="1"/>
        <s v="á_x001e_XBýä&amp;àN_x0018_À&quot;@aˆPÜI_x0006_*4!È;_x000b_Ã2M_x0018_¤+s_x0001_ª¯_x0019_á_x0012_—’ Ë_x0008_#¥wt_x0018_¢ˆù_x000b_Ãx»áÆ)4rýÆ)4ÅþÈ:A#M¸_òdûµl_x001b__x0002_î8_x0001_ðt_x001a__x0007_*%†ÔºÆ2K_x0008_âN_x001c_¨²„¤½l_x001b__x0012_.Û††OqÀÙ:Ž˜Ë_x0012_F¬ß9åd3¦åd¨oÎ_x0005__x000e_$aøýL_x0010_íõƒ›€«_x000b_ " u="1"/>
        <s v="=÷Î™;#'Ó]U:_ tQ‹_x0014__x0005_ž_x001c__x0010_¬æ…Ø¤è%Ÿ¹×ÈÑ†" u="1"/>
        <s v="¥É_x0019_0_x0008_´4÷¼¡r*_x0018_œ_x001c_µ&lt;×K°ÎhyÏ_x0014_2¨¤F[»µ&lt;L_x0009_DŠw_x000c_Ò)GÑ_x001a_]_x0004_a„n á_x0009_fbTzÁ`‘+UÍoÝ†y(‹ù€NrTzÁ`_x0009_ž+:é6ÌsÊÔŸ_x001d_%_x001c_2Z_x0015_óQTiÐuE7_x0014_ƒ2 _x001b_eP‹DI•úñl»c¦'Ü_x0019_ÒU–`]_x0018_jýÆøÔ|÷_x0008_+e" u="1"/>
        <s v="_x0009_W’¦øH" u="1"/>
        <s v="_x0013_ª®aÕ6ËÌ]" u="1"/>
        <s v="P»ñK_x0016_FÈÏ–àGš³ù2nî0%±6vè&gt;`·ùTØrvÊz7¯Ss”v“W©9ÑJ_x0013_85_x0013_X_x0013_¸€ûnîw#_x0015_((x+š_x0019_ ßÆú4B+½ôù_x0019_¯2·éü°Œë~&gt;&amp;p_x001b_;x_x001f_°›œ„š&amp;í_x0014_v›×é8J»Í«t_x001c_Õ²Ã÷_x0005_¶_x000c__x000e__x001f_Å_x000e__x001a__x0008_éÞæ^AQ foiÚã_x0000__x001d_|_x0013_ò_x0008_Å&amp;ä_x001a__x001d_‹×žu€etÜaJ=mì0~Àî_x0000_ Ü" u="1"/>
        <s v="_x0010_÷a¡0‡_x0007_?_x0009_¿“íƒ‚M_x001e_&quot;3è±È_x000c_œ4_x0018_1?ÌŠ_{6&amp;" u="1"/>
        <s v=";nc±YÄm~W6¦L•ÓpÇ©_x000b_VŸ¥‹ ¼dq_x0014_Ã‚°_x0011_Ý¥_x000b_.Ã'¿Û_x001a_SÒë_x0005_ ŒQHf(ß_x0000_Ô÷»­iÝ1‚_x0000_·S9S«ÎÍƒà«©§2:_x001b__x0004__x0013_º(p" u="1"/>
        <s v="ÞÆ¿m€_x001b_¸_x001a__x0002_a±8_x0008_oeœ_x0017__x0009_8hZR9DÅäÐ²˜¼FÀ‘Ò$E0_x0017_D_x0018_&lt;…öAMžŽsÚî9æõ7Qª_ïtG_x0002_n½Úñr" u="1"/>
        <s v="$_x0006__x000f_ _x0006_õÆÈ_x0004_êÄ a_x000f__x0002_WxAiÝ=_x0000_D˜{@_x0016__x0014_Ý|6@Ý}6_x0000_¼µ%Ãh¿_x001f__x0006_’ù`ÁòL PN_x001b_G&amp;0`&gt;_x001f_„:ó_x000e_°_x0015_&lt;€_x0015_&lt;ˆ’á_x0000_õšBÀÉdà" u="1"/>
      </sharedItems>
    </cacheField>
    <cacheField name="Vehicle_No" numFmtId="0">
      <sharedItems containsBlank="1"/>
    </cacheField>
    <cacheField name="Transfer Type" numFmtId="0">
      <sharedItems containsBlank="1" count="15">
        <s v="Production Transfers"/>
        <s v="Internal Transfers"/>
        <m/>
        <s v="" u="1"/>
        <s v="ü|6÷A2µ&quot;-_x0006_²_x000c_î&quot;1_x0006_²jî&quot;5†²bî_x001a_9†*K¦_x0006__x001d_&quot;™ZäÇ_x000e_{å‘ óbyäÁ6²0¿µ—_x0019_7{7+_x001e_kw¨fnt·‘dÝ’™9H¦V¤É@V_x0013_ó&quot;Q†²2u_x0017_©2”_x0015_s×È2TY25è_x0010_ÉÔ&quot;_æìUY³ÁpÝ°aO¸‰P¿QÆl†„2C-sÖn#Íº%Qs _x0001_z_x0002_Tgî¥¬Æò&quot;q_x0006_-ëà.Rg(+Ö®‘g ~ä}IDycÒÐ1–_x001f_$å:GÈ¬­‰ZäÉ6;Ù›ŒRýfÅ‹&quot;«pZn_x0015_çÌÝF¢uKâæH]w_x0002_TÍ" u="1"/>
        <s v="_x0007_õå&amp;‡°›¼^áÆ÷¶nN­t‚&amp;Jë_x0004_M` _x0005_Ü_x0007_v?ú¸@Y¶&gt;@ÉáÇ#ä'äòUæL¾ŒuÛ‘Û_x0012_/»_x0001_ì&amp;§°Ù_x001c_ä–Û_x001c_ÒnsRzZÕÈ_x0017_7›£m«Z_x0017_a­‹_x0010_XWS_x0002_îWSìxã‡_x0002_5;¯Z_x001f_ l0/l]œ³(_x0019_;ßdÎäËh·_x001d_Ø-«S_x0007_ì&amp;Ÿ" u="1"/>
        <s v="_x0003_t² ð4B+ç&gt;SÍ9{/ãÓ6¨3S›Ý_x0010_6{CX»7dd!jö®_x0012_j”5{ã­¬ÖŸ*m4W_x0013_Xsµ€ÏöN" u="1"/>
        <s v="Transfer Type" u="1"/>
        <s v="_x0001_É-Õ2‡" u="1"/>
        <s v="VGi_x0019_ê(-_x0001__x001e_¥Ùêc/_x0014_?azs*GÝÂ©œÁc€?Ê­qç_x0008_Yþ.%t_x0011_ê7zAÅ_x000c_é_x0005__x0015_¨hÎêm|Ý~I{mäf€ÕêKaÉßQV^¦ëPZ^¤ë‚pù»å¨6§rÔ+œÊ_x0019_&lt;‘5ú©µ_x0008_Y‰…_x0014_Ö$HÏÀÞÎÐjàÂ_x001a_x•ÜÁÆ}_x001b_C_x0017_~¾_x0018_êÌÐ_x0001_¬FG’_x0013_x_x0014_V«—):”V«_x0017_)º±_x0017_ŠC_x001d_ô–_x001b_þ±[xÓáÚàÉêZc_x0011_¡n'_x0009_ÛM‚öz†y†ì_x000c_s‰¤…÷Êº@_x001b_E·_rU_x001b_¹ñ_x001f_`u_x0001_ á8›GYõ€2E‡Òê_x0001_EŠ._x0008_—Ç=ªÍy_x001d_õ" u="1"/>
        <s v="P{_x001f__x0016_¨½­" u="1"/>
        <s v="c†_x0000_ug]`!]¸›_x0012_bûµ" u="1"/>
        <s v="J_x001d_'ë–k‰l7„ÍÞ_x0010_¶Þ]åÎÐ²Û»ÊQÖìM•$DÞŠÆ_x0012_Ïî_x0004__x0016_•ï_x0003_.T©M³_x000b_”_x0006_óBŸ5­l_x0016_©¶YI_{¦–sæ^ÆžµàÇÖ–¤Ué3_x0008_{&gt;^¥Ï(kIZ•&gt;£¬™_x001b_ï¬ež·Ô¸±4Ò–§" u="1"/>
        <s v="lÓõ_x0018_" u="1"/>
        <s v="×Ó_x0005_óÒ?ê3ï_x0003__x000b_IÃ_x0006_´šncºi€'&gt;_x0000_ÒÐòAJ'.P/_x0000_”§'.P-_x0001_¤øVWþn_x0015_7_x0012_Y&gt;Že_x0003__x0017_ŠÈ³‚e»5»çöÑÞöõ†_x000b__x000c_Øj}˜Î_x0011_Å?Ÿùòóþ°3lÀªé¡_á_x000f_ í" u="1"/>
      </sharedItems>
    </cacheField>
    <cacheField name="Movement Type" numFmtId="0">
      <sharedItems containsBlank="1" count="14">
        <s v="North Mine to Stock Yard"/>
        <s v="Stock Yard to Direct Pile (Bypass Crusher)"/>
        <s v="North Mine to Pile (through Crusher)"/>
        <s v="Stock Yard to Pile (through Crusher)"/>
        <s v="South Mine to Direct Pile (Bypass Crusher)"/>
        <s v="South Mine to Pile (through Crusher)"/>
        <s v="North Mine to Direct Pile (Bypass Crusher)"/>
        <s v="South Mine to Stock Yard"/>
        <s v="North Mine to Golani Waste dump"/>
        <m/>
        <s v="" u="1"/>
        <s v="Movement Type" u="1"/>
        <s v="5_x0000_œd‡_x0014_O_x001c_¢^_x001f_(O_x001c__x0002_$š-" u="1"/>
        <s v="Gû}rhI^Ä„agr²²\°vœP0bÉ_x0009__x0005_Ðg&gt;_x000c_" u="1"/>
      </sharedItems>
    </cacheField>
    <cacheField name="Input Product" numFmtId="0">
      <sharedItems containsBlank="1" count="10">
        <s v="LG1"/>
        <s v="HG"/>
        <s v="OB/CLAY"/>
        <s v="ID Clay"/>
        <s v="WASTE"/>
        <m/>
        <s v="" u="1"/>
        <s v="¤_x000e_·`Ï|[*ð$9_x0004_w—¤_x0006_ä_x0006_Ý_x0007_®p‡||â_x0003_uîP´óqÚû¸0Å“Ô` _x000e_““-ãÑç(°KÎ²*XZn:bI¹)Ô™w…Üá_x0016_ì˜ïJ_x0005_ž¸_x0000_¸=Ÿ_x001f_\¡_x000e_Ùz_x0012__x0005_®P‡OX_x0002_(ç»R©¼ïJ_x0005_n=62ƒB_x001d_¶v¡QDB_x000f_níŠÓ_x0018__x0008_" u="1"/>
        <s v="Input Product" u="1"/>
        <s v="‰vF&quot;_x000b_n$2_m¤Aà}L°" u="1"/>
      </sharedItems>
    </cacheField>
    <cacheField name="UOM" numFmtId="0">
      <sharedItems containsBlank="1"/>
    </cacheField>
    <cacheField name="GrossDate" numFmtId="14">
      <sharedItems containsNonDate="0" containsDate="1" containsString="0" containsBlank="1" minDate="2026-03-29T00:00:00" maxDate="2026-04-22T00:00:00" count="24">
        <d v="2026-04-01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02T00:00:00"/>
        <d v="2026-04-20T00:00:00"/>
        <d v="2026-04-21T00:00:00"/>
        <d v="2026-04-03T00:00:00"/>
        <d v="2026-03-31T00:00:00"/>
        <d v="2026-04-04T00:00:00"/>
        <d v="2026-04-05T00:00:00"/>
        <d v="2026-04-06T00:00:00"/>
        <d v="2026-04-07T00:00:00"/>
        <d v="2026-04-08T00:00:00"/>
        <d v="2026-04-09T00:00:00"/>
        <d v="2026-03-29T00:00:00"/>
        <m/>
      </sharedItems>
    </cacheField>
    <cacheField name="GrossDate &amp; Time" numFmtId="0">
      <sharedItems containsBlank="1"/>
    </cacheField>
    <cacheField name="TareDate &amp; Time" numFmtId="0">
      <sharedItems containsBlank="1"/>
    </cacheField>
    <cacheField name="Gross Wt(Kg)" numFmtId="0">
      <sharedItems containsBlank="1"/>
    </cacheField>
    <cacheField name="Tare Wt(Kg)" numFmtId="0">
      <sharedItems containsBlank="1"/>
    </cacheField>
    <cacheField name="NetWt(Kg)" numFmtId="0">
      <sharedItems containsBlank="1"/>
    </cacheField>
    <cacheField name="Net_Qty" numFmtId="0">
      <sharedItems containsString="0" containsBlank="1" containsNumber="1" minValue="0.02" maxValue="2300"/>
    </cacheField>
    <cacheField name="Reader" numFmtId="0">
      <sharedItems containsBlank="1"/>
    </cacheField>
  </cacheFields>
  <extLst>
    <ext xmlns:x14="http://schemas.microsoft.com/office/spreadsheetml/2009/9/main" uri="{725AE2AE-9491-48be-B2B4-4EB974FC3084}">
      <x14:pivotCacheDefinition pivotCacheId="10358353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4">
  <r>
    <s v="32394"/>
    <x v="0"/>
    <s v="T293 EHH"/>
    <x v="0"/>
    <x v="0"/>
    <x v="0"/>
    <s v="MT"/>
    <x v="0"/>
    <s v="01/04/2026 09:37:08 AM"/>
    <s v="01/04/2026 09:41:56 AM"/>
    <s v="42300"/>
    <s v="15080"/>
    <s v="27220"/>
    <n v="27.22"/>
    <s v="RFID"/>
  </r>
  <r>
    <s v="32395"/>
    <x v="0"/>
    <s v="T312 EHH"/>
    <x v="0"/>
    <x v="0"/>
    <x v="0"/>
    <s v="MT"/>
    <x v="0"/>
    <s v="01/04/2026 09:44:25 AM"/>
    <s v="01/04/2026 09:50:18 AM"/>
    <s v="39220"/>
    <s v="15000"/>
    <s v="24220"/>
    <n v="24.22"/>
    <s v="RFID"/>
  </r>
  <r>
    <s v="32396"/>
    <x v="0"/>
    <s v="T293 EHH"/>
    <x v="0"/>
    <x v="0"/>
    <x v="0"/>
    <s v="MT"/>
    <x v="0"/>
    <s v="01/04/2026 09:53:01 AM"/>
    <s v="01/04/2026 09:57:52 AM"/>
    <s v="39540"/>
    <s v="15020"/>
    <s v="24520"/>
    <n v="24.52"/>
    <s v="RFID"/>
  </r>
  <r>
    <s v="32397"/>
    <x v="0"/>
    <s v="T312 EHH"/>
    <x v="0"/>
    <x v="0"/>
    <x v="0"/>
    <s v="MT"/>
    <x v="0"/>
    <s v="01/04/2026 09:59:50 AM"/>
    <s v="01/04/2026 10:03:31 AM"/>
    <s v="42640"/>
    <s v="14880"/>
    <s v="27760"/>
    <n v="27.76"/>
    <s v="RFID"/>
  </r>
  <r>
    <s v="32398"/>
    <x v="0"/>
    <s v="T312 EHH"/>
    <x v="0"/>
    <x v="0"/>
    <x v="0"/>
    <s v="MT"/>
    <x v="0"/>
    <s v="01/04/2026 10:13:43 AM"/>
    <s v="01/04/2026 10:17:31 AM"/>
    <s v="42560"/>
    <s v="14920"/>
    <s v="27640"/>
    <n v="27.64"/>
    <s v="RFID"/>
  </r>
  <r>
    <s v="32399"/>
    <x v="0"/>
    <s v="T293 EHH"/>
    <x v="0"/>
    <x v="0"/>
    <x v="0"/>
    <s v="MT"/>
    <x v="0"/>
    <s v="01/04/2026 10:14:45 AM"/>
    <s v="01/04/2026 10:20:16 AM"/>
    <s v="40240"/>
    <s v="14980"/>
    <s v="25260"/>
    <n v="25.26"/>
    <s v="RFID"/>
  </r>
  <r>
    <s v="32400"/>
    <x v="0"/>
    <s v="T312 EHH"/>
    <x v="0"/>
    <x v="0"/>
    <x v="0"/>
    <s v="MT"/>
    <x v="0"/>
    <s v="01/04/2026 10:27:58 AM"/>
    <s v="01/04/2026 10:32:50 AM"/>
    <s v="38320"/>
    <s v="14920"/>
    <s v="23400"/>
    <n v="23.4"/>
    <s v="RFID"/>
  </r>
  <r>
    <s v="32401"/>
    <x v="0"/>
    <s v="T293 EHH"/>
    <x v="0"/>
    <x v="0"/>
    <x v="0"/>
    <s v="MT"/>
    <x v="0"/>
    <s v="01/04/2026 10:37:43 AM"/>
    <s v="01/04/2026 10:41:53 AM"/>
    <s v="43280"/>
    <s v="15000"/>
    <s v="28280"/>
    <n v="28.28"/>
    <s v="RFID"/>
  </r>
  <r>
    <s v="32402"/>
    <x v="0"/>
    <s v="T312 EHH"/>
    <x v="0"/>
    <x v="0"/>
    <x v="0"/>
    <s v="MT"/>
    <x v="0"/>
    <s v="01/04/2026 10:43:01 AM"/>
    <s v="01/04/2026 10:46:30 AM"/>
    <s v="41960"/>
    <s v="14940"/>
    <s v="27020"/>
    <n v="27.02"/>
    <s v="RFID"/>
  </r>
  <r>
    <s v="32403"/>
    <x v="0"/>
    <s v="T293 EHH"/>
    <x v="0"/>
    <x v="0"/>
    <x v="0"/>
    <s v="MT"/>
    <x v="0"/>
    <s v="01/04/2026 10:51:09 AM"/>
    <s v="01/04/2026 10:54:59 AM"/>
    <s v="40760"/>
    <s v="15040"/>
    <s v="25720"/>
    <n v="25.72"/>
    <s v="RFID"/>
  </r>
  <r>
    <s v="32404"/>
    <x v="0"/>
    <s v="T312 EHH"/>
    <x v="0"/>
    <x v="0"/>
    <x v="0"/>
    <s v="MT"/>
    <x v="0"/>
    <s v="01/04/2026 10:56:04 AM"/>
    <s v="01/04/2026 11:00:16 AM"/>
    <s v="38920"/>
    <s v="14920"/>
    <s v="24000"/>
    <n v="24"/>
    <s v="RFID"/>
  </r>
  <r>
    <s v="32405"/>
    <x v="0"/>
    <s v="T293 EHH"/>
    <x v="0"/>
    <x v="0"/>
    <x v="0"/>
    <s v="MT"/>
    <x v="0"/>
    <s v="01/04/2026 11:03:44 AM"/>
    <s v="01/04/2026 11:07:09 AM"/>
    <s v="39500"/>
    <s v="15060"/>
    <s v="24440"/>
    <n v="24.44"/>
    <s v="RFID"/>
  </r>
  <r>
    <s v="32406"/>
    <x v="0"/>
    <s v="T312 EHH"/>
    <x v="0"/>
    <x v="0"/>
    <x v="0"/>
    <s v="MT"/>
    <x v="0"/>
    <s v="01/04/2026 11:09:43 AM"/>
    <s v="01/04/2026 11:13:12 AM"/>
    <s v="38880"/>
    <s v="14920"/>
    <s v="23960"/>
    <n v="23.96"/>
    <s v="RFID"/>
  </r>
  <r>
    <s v="32407"/>
    <x v="0"/>
    <s v="T293 EHH"/>
    <x v="0"/>
    <x v="0"/>
    <x v="0"/>
    <s v="MT"/>
    <x v="0"/>
    <s v="01/04/2026 11:17:44 AM"/>
    <s v="01/04/2026 11:21:20 AM"/>
    <s v="35420"/>
    <s v="15020"/>
    <s v="20400"/>
    <n v="20.399999999999999"/>
    <s v="RFID"/>
  </r>
  <r>
    <s v="32408"/>
    <x v="0"/>
    <s v="T312 EHH"/>
    <x v="0"/>
    <x v="0"/>
    <x v="0"/>
    <s v="MT"/>
    <x v="0"/>
    <s v="01/04/2026 11:24:48 AM"/>
    <s v="01/04/2026 11:28:37 AM"/>
    <s v="38120"/>
    <s v="14920"/>
    <s v="23200"/>
    <n v="23.2"/>
    <s v="RFID"/>
  </r>
  <r>
    <s v="32409"/>
    <x v="0"/>
    <s v="T309 EHH"/>
    <x v="0"/>
    <x v="0"/>
    <x v="0"/>
    <s v="MT"/>
    <x v="0"/>
    <s v="01/04/2026 11:31:51 AM"/>
    <s v="01/04/2026 11:35:39 AM"/>
    <s v="37200"/>
    <s v="15560"/>
    <s v="21640"/>
    <n v="21.64"/>
    <s v="RFID"/>
  </r>
  <r>
    <s v="32410"/>
    <x v="0"/>
    <s v="T293 EHH"/>
    <x v="0"/>
    <x v="0"/>
    <x v="0"/>
    <s v="MT"/>
    <x v="0"/>
    <s v="01/04/2026 11:39:19 AM"/>
    <s v="01/04/2026 11:43:05 AM"/>
    <s v="36100"/>
    <s v="15000"/>
    <s v="21100"/>
    <n v="21.1"/>
    <s v="RFID"/>
  </r>
  <r>
    <s v="32411"/>
    <x v="0"/>
    <s v="T312 EHH"/>
    <x v="0"/>
    <x v="0"/>
    <x v="0"/>
    <s v="MT"/>
    <x v="0"/>
    <s v="01/04/2026 11:50:15 AM"/>
    <s v="01/04/2026 11:53:56 AM"/>
    <s v="35100"/>
    <s v="14900"/>
    <s v="20200"/>
    <n v="20.2"/>
    <s v="RFID"/>
  </r>
  <r>
    <s v="32412"/>
    <x v="0"/>
    <s v="T309 EHH"/>
    <x v="0"/>
    <x v="0"/>
    <x v="0"/>
    <s v="MT"/>
    <x v="0"/>
    <s v="01/04/2026 11:55:12 AM"/>
    <s v="01/04/2026 11:59:48 AM"/>
    <s v="38580"/>
    <s v="15600"/>
    <s v="22980"/>
    <n v="22.98"/>
    <s v="RFID"/>
  </r>
  <r>
    <s v="32413"/>
    <x v="0"/>
    <s v="T293 EHH"/>
    <x v="0"/>
    <x v="0"/>
    <x v="0"/>
    <s v="MT"/>
    <x v="0"/>
    <s v="01/04/2026 12:01:38 PM"/>
    <s v="01/04/2026 12:06:27 PM"/>
    <s v="39460"/>
    <s v="14980"/>
    <s v="24480"/>
    <n v="24.48"/>
    <s v="RFID"/>
  </r>
  <r>
    <s v="32414"/>
    <x v="0"/>
    <s v="T312 EHH"/>
    <x v="0"/>
    <x v="0"/>
    <x v="0"/>
    <s v="MT"/>
    <x v="0"/>
    <s v="01/04/2026 12:05:11 PM"/>
    <s v="01/04/2026 12:09:17 PM"/>
    <s v="39460"/>
    <s v="14900"/>
    <s v="24560"/>
    <n v="24.56"/>
    <s v="RFID"/>
  </r>
  <r>
    <s v="32415"/>
    <x v="0"/>
    <s v="T309 EHH"/>
    <x v="0"/>
    <x v="0"/>
    <x v="0"/>
    <s v="MT"/>
    <x v="0"/>
    <s v="01/04/2026 12:12:53 PM"/>
    <s v="01/04/2026 12:19:52 PM"/>
    <s v="41220"/>
    <s v="15640"/>
    <s v="25580"/>
    <n v="25.58"/>
    <s v="RFID"/>
  </r>
  <r>
    <s v="32416"/>
    <x v="0"/>
    <s v="T293 EHH"/>
    <x v="0"/>
    <x v="0"/>
    <x v="0"/>
    <s v="MT"/>
    <x v="0"/>
    <s v="01/04/2026 12:17:59 PM"/>
    <s v="01/04/2026 12:21:50 PM"/>
    <s v="40000"/>
    <s v="14960"/>
    <s v="25040"/>
    <n v="25.04"/>
    <s v="RFID"/>
  </r>
  <r>
    <s v="32417"/>
    <x v="0"/>
    <s v="T312 EHH"/>
    <x v="0"/>
    <x v="0"/>
    <x v="0"/>
    <s v="MT"/>
    <x v="0"/>
    <s v="01/04/2026 12:23:00 PM"/>
    <s v="01/04/2026 12:27:30 PM"/>
    <s v="39820"/>
    <s v="14880"/>
    <s v="24940"/>
    <n v="24.94"/>
    <s v="RFID"/>
  </r>
  <r>
    <s v="32418"/>
    <x v="0"/>
    <s v="T309 EHH"/>
    <x v="0"/>
    <x v="0"/>
    <x v="0"/>
    <s v="MT"/>
    <x v="0"/>
    <s v="01/04/2026 12:31:16 PM"/>
    <s v="01/04/2026 12:35:49 PM"/>
    <s v="42740"/>
    <s v="15580"/>
    <s v="27160"/>
    <n v="27.16"/>
    <s v="RFID"/>
  </r>
  <r>
    <s v="32419"/>
    <x v="0"/>
    <s v="T309 EHH"/>
    <x v="1"/>
    <x v="1"/>
    <x v="0"/>
    <s v="MT"/>
    <x v="0"/>
    <s v="01/04/2026 02:15:30 PM"/>
    <s v="01/04/2026 02:29:13 PM"/>
    <s v="38960"/>
    <s v="15500"/>
    <s v="23460"/>
    <n v="23.46"/>
    <s v="RFID"/>
  </r>
  <r>
    <s v="32420"/>
    <x v="0"/>
    <s v="T293 EHH"/>
    <x v="1"/>
    <x v="1"/>
    <x v="0"/>
    <s v="MT"/>
    <x v="0"/>
    <s v="01/04/2026 02:21:27 PM"/>
    <s v="01/04/2026 02:34:28 PM"/>
    <s v="39360"/>
    <s v="14820"/>
    <s v="24540"/>
    <n v="24.54"/>
    <s v="RFID"/>
  </r>
  <r>
    <s v="32421"/>
    <x v="0"/>
    <s v="T312 EHH"/>
    <x v="1"/>
    <x v="1"/>
    <x v="0"/>
    <s v="MT"/>
    <x v="0"/>
    <s v="01/04/2026 02:27:52 PM"/>
    <s v="01/04/2026 02:48:43 PM"/>
    <s v="38080"/>
    <s v="14960"/>
    <s v="23120"/>
    <n v="23.12"/>
    <s v="RFID"/>
  </r>
  <r>
    <s v="32422"/>
    <x v="0"/>
    <s v="T293 EHH"/>
    <x v="1"/>
    <x v="1"/>
    <x v="0"/>
    <s v="MT"/>
    <x v="0"/>
    <s v="01/04/2026 02:43:31 PM"/>
    <s v="01/04/2026 02:58:38 PM"/>
    <s v="38680"/>
    <s v="14940"/>
    <s v="23740"/>
    <n v="23.74"/>
    <s v="RFID"/>
  </r>
  <r>
    <s v="32423"/>
    <x v="0"/>
    <s v="T312 EHH"/>
    <x v="1"/>
    <x v="1"/>
    <x v="0"/>
    <s v="MT"/>
    <x v="0"/>
    <s v="01/04/2026 02:57:24 PM"/>
    <s v="01/04/2026 03:14:05 PM"/>
    <s v="38060"/>
    <s v="14960"/>
    <s v="23100"/>
    <n v="23.1"/>
    <s v="RFID"/>
  </r>
  <r>
    <s v="32424"/>
    <x v="0"/>
    <s v="T299 EHH"/>
    <x v="1"/>
    <x v="1"/>
    <x v="0"/>
    <s v="MT"/>
    <x v="0"/>
    <s v="01/04/2026 03:09:16 PM"/>
    <s v="01/04/2026 03:22:28 PM"/>
    <s v="39820"/>
    <s v="16800"/>
    <s v="23020"/>
    <n v="23.02"/>
    <s v="RFID"/>
  </r>
  <r>
    <s v="32425"/>
    <x v="0"/>
    <s v="T293 EHH"/>
    <x v="1"/>
    <x v="1"/>
    <x v="0"/>
    <s v="MT"/>
    <x v="0"/>
    <s v="01/04/2026 03:16:06 PM"/>
    <s v="01/04/2026 03:30:02 PM"/>
    <s v="41540"/>
    <s v="14840"/>
    <s v="26700"/>
    <n v="26.7"/>
    <s v="RFID"/>
  </r>
  <r>
    <s v="32426"/>
    <x v="0"/>
    <s v="T312 EHH"/>
    <x v="1"/>
    <x v="1"/>
    <x v="0"/>
    <s v="MT"/>
    <x v="0"/>
    <s v="01/04/2026 03:25:39 PM"/>
    <s v="01/04/2026 03:45:45 PM"/>
    <s v="36280"/>
    <s v="14980"/>
    <s v="21300"/>
    <n v="21.3"/>
    <s v="RFID"/>
  </r>
  <r>
    <s v="32427"/>
    <x v="0"/>
    <s v="T299 EHH"/>
    <x v="1"/>
    <x v="1"/>
    <x v="0"/>
    <s v="MT"/>
    <x v="0"/>
    <s v="01/04/2026 03:31:56 PM"/>
    <s v="01/04/2026 03:50:05 PM"/>
    <s v="39540"/>
    <s v="16800"/>
    <s v="22740"/>
    <n v="22.74"/>
    <s v="RFID"/>
  </r>
  <r>
    <s v="32428"/>
    <x v="0"/>
    <s v="T293 EHH"/>
    <x v="1"/>
    <x v="1"/>
    <x v="0"/>
    <s v="MT"/>
    <x v="0"/>
    <s v="01/04/2026 03:42:06 PM"/>
    <s v="01/04/2026 04:07:12 PM"/>
    <s v="39720"/>
    <s v="14960"/>
    <s v="24760"/>
    <n v="24.76"/>
    <s v="RFID"/>
  </r>
  <r>
    <s v="32429"/>
    <x v="0"/>
    <s v="T299 EHH"/>
    <x v="1"/>
    <x v="1"/>
    <x v="0"/>
    <s v="MT"/>
    <x v="0"/>
    <s v="01/04/2026 03:57:19 PM"/>
    <s v="01/04/2026 04:23:48 PM"/>
    <s v="40420"/>
    <s v="16840"/>
    <s v="23580"/>
    <n v="23.58"/>
    <s v="RFID"/>
  </r>
  <r>
    <s v="32431"/>
    <x v="0"/>
    <s v="T312 EHH"/>
    <x v="1"/>
    <x v="1"/>
    <x v="0"/>
    <s v="MT"/>
    <x v="0"/>
    <s v="01/04/2026 04:22:17 PM"/>
    <s v="01/04/2026 04:59:25 PM"/>
    <s v="40780"/>
    <s v="14980"/>
    <s v="25800"/>
    <n v="25.8"/>
    <s v="RFID"/>
  </r>
  <r>
    <s v="32432"/>
    <x v="0"/>
    <s v="T293 EHH"/>
    <x v="1"/>
    <x v="1"/>
    <x v="0"/>
    <s v="MT"/>
    <x v="0"/>
    <s v="01/04/2026 04:33:26 PM"/>
    <s v="01/04/2026 05:00:22 PM"/>
    <s v="43800"/>
    <s v="14840"/>
    <s v="28960"/>
    <n v="28.96"/>
    <s v="RFID"/>
  </r>
  <r>
    <s v="32433"/>
    <x v="0"/>
    <s v="T299 EHH"/>
    <x v="1"/>
    <x v="1"/>
    <x v="0"/>
    <s v="MT"/>
    <x v="0"/>
    <s v="01/04/2026 05:07:49 PM"/>
    <s v="01/04/2026 05:19:02 PM"/>
    <s v="37700"/>
    <s v="16780"/>
    <s v="20920"/>
    <n v="20.92"/>
    <s v="RFID"/>
  </r>
  <r>
    <s v="32434"/>
    <x v="0"/>
    <s v="T312 EHH"/>
    <x v="1"/>
    <x v="1"/>
    <x v="0"/>
    <s v="MT"/>
    <x v="0"/>
    <s v="01/04/2026 05:13:50 PM"/>
    <s v="01/04/2026 05:36:30 PM"/>
    <s v="39380"/>
    <s v="15060"/>
    <s v="24320"/>
    <n v="24.32"/>
    <s v="RFID"/>
  </r>
  <r>
    <s v="32436"/>
    <x v="0"/>
    <s v="T293 EHH"/>
    <x v="1"/>
    <x v="1"/>
    <x v="0"/>
    <s v="MT"/>
    <x v="0"/>
    <s v="01/04/2026 05:20:20 PM"/>
    <s v="01/04/2026 05:38:00 PM"/>
    <s v="35860"/>
    <s v="14880"/>
    <s v="20980"/>
    <n v="20.98"/>
    <s v="RFID"/>
  </r>
  <r>
    <s v="32437"/>
    <x v="0"/>
    <s v="T299 EHH"/>
    <x v="1"/>
    <x v="1"/>
    <x v="0"/>
    <s v="MT"/>
    <x v="0"/>
    <s v="01/04/2026 05:27:23 PM"/>
    <s v="01/04/2026 05:45:54 PM"/>
    <s v="36800"/>
    <s v="16700"/>
    <s v="20100"/>
    <n v="20.100000000000001"/>
    <s v="RFID"/>
  </r>
  <r>
    <s v="33386"/>
    <x v="0"/>
    <s v="T312 EHH"/>
    <x v="0"/>
    <x v="2"/>
    <x v="0"/>
    <s v="MT"/>
    <x v="1"/>
    <s v="10/04/2026 12:23:53 AM"/>
    <s v="10/04/2026 12:33:39 AM"/>
    <s v="41220"/>
    <s v="16700"/>
    <s v="24520"/>
    <n v="24.52"/>
    <s v="RFID"/>
  </r>
  <r>
    <s v="33387"/>
    <x v="0"/>
    <s v="T304 EHH"/>
    <x v="0"/>
    <x v="2"/>
    <x v="0"/>
    <s v="MT"/>
    <x v="1"/>
    <s v="10/04/2026 12:28:40 AM"/>
    <s v="10/04/2026 12:38:07 AM"/>
    <s v="41740"/>
    <s v="16440"/>
    <s v="25300"/>
    <n v="25.3"/>
    <s v="RFID"/>
  </r>
  <r>
    <s v="33388"/>
    <x v="0"/>
    <s v="T311 EHH"/>
    <x v="0"/>
    <x v="2"/>
    <x v="0"/>
    <s v="MT"/>
    <x v="1"/>
    <s v="10/04/2026 12:36:28 AM"/>
    <s v="10/04/2026 12:47:58 AM"/>
    <s v="41300"/>
    <s v="16340"/>
    <s v="24960"/>
    <n v="24.96"/>
    <s v="RFID"/>
  </r>
  <r>
    <s v="33389"/>
    <x v="0"/>
    <s v="T312 EHH"/>
    <x v="0"/>
    <x v="2"/>
    <x v="0"/>
    <s v="MT"/>
    <x v="1"/>
    <s v="10/04/2026 12:44:23 AM"/>
    <s v="10/04/2026 02:41:51 AM"/>
    <s v="38380"/>
    <s v="17660"/>
    <s v="20720"/>
    <n v="20.72"/>
    <s v="RFID"/>
  </r>
  <r>
    <s v="33390"/>
    <x v="0"/>
    <s v="T304 EHH"/>
    <x v="0"/>
    <x v="2"/>
    <x v="0"/>
    <s v="MT"/>
    <x v="1"/>
    <s v="10/04/2026 12:49:11 AM"/>
    <s v="10/04/2026 02:37:23 AM"/>
    <s v="41420"/>
    <s v="16680"/>
    <s v="24740"/>
    <n v="24.74"/>
    <s v="RFID"/>
  </r>
  <r>
    <s v="33391"/>
    <x v="0"/>
    <s v="T311 EHH"/>
    <x v="1"/>
    <x v="3"/>
    <x v="0"/>
    <s v="MT"/>
    <x v="1"/>
    <s v="10/04/2026 01:11:14 AM"/>
    <s v="10/04/2026 02:44:39 AM"/>
    <s v="34000"/>
    <s v="16320"/>
    <s v="17680"/>
    <n v="17.68"/>
    <s v="RFID"/>
  </r>
  <r>
    <s v="33392"/>
    <x v="0"/>
    <s v="T312 EHH"/>
    <x v="1"/>
    <x v="3"/>
    <x v="0"/>
    <s v="MT"/>
    <x v="1"/>
    <s v="10/04/2026 02:53:38 AM"/>
    <s v="10/04/2026 03:37:58 AM"/>
    <s v="34560"/>
    <s v="20380"/>
    <s v="14180"/>
    <n v="14.18"/>
    <s v="RFID"/>
  </r>
  <r>
    <s v="33393"/>
    <x v="0"/>
    <s v="T311 EHH"/>
    <x v="1"/>
    <x v="3"/>
    <x v="0"/>
    <s v="MT"/>
    <x v="1"/>
    <s v="10/04/2026 02:57:40 AM"/>
    <s v="10/04/2026 03:41:33 AM"/>
    <s v="37500"/>
    <s v="16380"/>
    <s v="21120"/>
    <n v="21.12"/>
    <s v="RFID"/>
  </r>
  <r>
    <s v="33394"/>
    <x v="0"/>
    <s v="T304 EHH"/>
    <x v="1"/>
    <x v="3"/>
    <x v="0"/>
    <s v="MT"/>
    <x v="1"/>
    <s v="10/04/2026 03:08:24 AM"/>
    <s v="10/04/2026 03:48:10 AM"/>
    <s v="36780"/>
    <s v="16940"/>
    <s v="19840"/>
    <n v="19.84"/>
    <s v="RFID"/>
  </r>
  <r>
    <s v="33395"/>
    <x v="0"/>
    <s v="T312 EHH"/>
    <x v="1"/>
    <x v="3"/>
    <x v="0"/>
    <s v="MT"/>
    <x v="1"/>
    <s v="10/04/2026 03:51:08 AM"/>
    <s v="10/04/2026 03:58:21 AM"/>
    <s v="36180"/>
    <s v="15620"/>
    <s v="20560"/>
    <n v="20.56"/>
    <s v="RFID"/>
  </r>
  <r>
    <s v="33396"/>
    <x v="0"/>
    <s v="T311 EHH"/>
    <x v="1"/>
    <x v="3"/>
    <x v="0"/>
    <s v="MT"/>
    <x v="1"/>
    <s v="10/04/2026 03:56:28 AM"/>
    <s v="10/04/2026 04:02:37 AM"/>
    <s v="34040"/>
    <s v="16500"/>
    <s v="17540"/>
    <n v="17.54"/>
    <s v="RFID"/>
  </r>
  <r>
    <s v="33397"/>
    <x v="0"/>
    <s v="T311 EHH"/>
    <x v="1"/>
    <x v="3"/>
    <x v="0"/>
    <s v="MT"/>
    <x v="1"/>
    <s v="10/04/2026 04:10:54 AM"/>
    <s v="10/04/2026 04:17:03 AM"/>
    <s v="38740"/>
    <s v="16500"/>
    <s v="22240"/>
    <n v="22.24"/>
    <s v="RFID"/>
  </r>
  <r>
    <s v="33398"/>
    <x v="0"/>
    <s v="T304 EHH"/>
    <x v="1"/>
    <x v="3"/>
    <x v="0"/>
    <s v="MT"/>
    <x v="1"/>
    <s v="10/04/2026 04:14:55 AM"/>
    <s v="10/04/2026 04:19:49 AM"/>
    <s v="36860"/>
    <s v="15780"/>
    <s v="21080"/>
    <n v="21.08"/>
    <s v="RFID"/>
  </r>
  <r>
    <s v="33399"/>
    <x v="0"/>
    <s v="T312 EHH"/>
    <x v="1"/>
    <x v="3"/>
    <x v="0"/>
    <s v="MT"/>
    <x v="1"/>
    <s v="10/04/2026 04:15:52 AM"/>
    <s v="10/04/2026 05:28:34 AM"/>
    <s v="39500"/>
    <s v="15720"/>
    <s v="23780"/>
    <n v="23.78"/>
    <s v="RFID"/>
  </r>
  <r>
    <s v="33400"/>
    <x v="0"/>
    <s v="T311 EHH"/>
    <x v="1"/>
    <x v="3"/>
    <x v="0"/>
    <s v="MT"/>
    <x v="1"/>
    <s v="10/04/2026 04:25:36 AM"/>
    <s v="10/04/2026 05:39:30 AM"/>
    <s v="35180"/>
    <s v="16700"/>
    <s v="18480"/>
    <n v="18.48"/>
    <s v="RFID"/>
  </r>
  <r>
    <s v="33401"/>
    <x v="0"/>
    <s v="T304 EHH"/>
    <x v="1"/>
    <x v="3"/>
    <x v="0"/>
    <s v="MT"/>
    <x v="1"/>
    <s v="10/04/2026 04:31:24 AM"/>
    <s v="10/04/2026 05:42:55 AM"/>
    <s v="35140"/>
    <s v="16000"/>
    <s v="19140"/>
    <n v="19.14"/>
    <s v="RFID"/>
  </r>
  <r>
    <s v="33402"/>
    <x v="0"/>
    <s v="T312 EHH"/>
    <x v="1"/>
    <x v="3"/>
    <x v="0"/>
    <s v="MT"/>
    <x v="1"/>
    <s v="10/04/2026 05:37:09 AM"/>
    <s v="10/04/2026 06:19:13 AM"/>
    <s v="33800"/>
    <s v="15900"/>
    <s v="17900"/>
    <n v="17.899999999999999"/>
    <s v="RFID"/>
  </r>
  <r>
    <s v="33403"/>
    <x v="0"/>
    <s v="T311 EHH"/>
    <x v="1"/>
    <x v="3"/>
    <x v="0"/>
    <s v="MT"/>
    <x v="1"/>
    <s v="10/04/2026 05:45:46 AM"/>
    <s v="10/04/2026 06:23:07 AM"/>
    <s v="35400"/>
    <s v="16520"/>
    <s v="18880"/>
    <n v="18.88"/>
    <s v="RFID"/>
  </r>
  <r>
    <s v="33404"/>
    <x v="0"/>
    <s v="T304 EHH"/>
    <x v="1"/>
    <x v="3"/>
    <x v="0"/>
    <s v="MT"/>
    <x v="1"/>
    <s v="10/04/2026 05:49:40 AM"/>
    <s v="10/04/2026 06:28:04 AM"/>
    <s v="35480"/>
    <s v="16400"/>
    <s v="19080"/>
    <n v="19.079999999999998"/>
    <s v="RFID"/>
  </r>
  <r>
    <s v="33405"/>
    <x v="0"/>
    <s v="T312 EHH"/>
    <x v="1"/>
    <x v="3"/>
    <x v="0"/>
    <s v="MT"/>
    <x v="1"/>
    <s v="10/04/2026 06:27:12 AM"/>
    <s v="10/04/2026 06:33:38 AM"/>
    <s v="36200"/>
    <s v="16000"/>
    <s v="20200"/>
    <n v="20.2"/>
    <s v="RFID"/>
  </r>
  <r>
    <s v="33406"/>
    <x v="0"/>
    <s v="T311 EHH"/>
    <x v="1"/>
    <x v="3"/>
    <x v="0"/>
    <s v="MT"/>
    <x v="1"/>
    <s v="10/04/2026 06:31:03 AM"/>
    <s v="10/04/2026 06:36:31 AM"/>
    <s v="35220"/>
    <s v="16640"/>
    <s v="18580"/>
    <n v="18.579999999999998"/>
    <s v="RFID"/>
  </r>
  <r>
    <s v="33407"/>
    <x v="0"/>
    <s v="T304 EHH"/>
    <x v="1"/>
    <x v="3"/>
    <x v="0"/>
    <s v="MT"/>
    <x v="1"/>
    <s v="10/04/2026 06:34:43 AM"/>
    <s v="10/04/2026 06:39:21 AM"/>
    <s v="35380"/>
    <s v="16700"/>
    <s v="18680"/>
    <n v="18.68"/>
    <s v="RFID"/>
  </r>
  <r>
    <s v="33408"/>
    <x v="0"/>
    <s v="T312 EHH"/>
    <x v="1"/>
    <x v="3"/>
    <x v="0"/>
    <s v="MT"/>
    <x v="1"/>
    <s v="10/04/2026 06:42:12 AM"/>
    <s v="10/04/2026 06:48:43 AM"/>
    <s v="37280"/>
    <s v="16100"/>
    <s v="21180"/>
    <n v="21.18"/>
    <s v="RFID"/>
  </r>
  <r>
    <s v="33409"/>
    <x v="0"/>
    <s v="T311 EHH"/>
    <x v="1"/>
    <x v="3"/>
    <x v="0"/>
    <s v="MT"/>
    <x v="1"/>
    <s v="10/04/2026 06:46:28 AM"/>
    <s v="10/04/2026 06:52:29 AM"/>
    <s v="35420"/>
    <s v="16600"/>
    <s v="18820"/>
    <n v="18.82"/>
    <s v="RFID"/>
  </r>
  <r>
    <s v="33410"/>
    <x v="0"/>
    <s v="T304 EHH"/>
    <x v="1"/>
    <x v="3"/>
    <x v="0"/>
    <s v="MT"/>
    <x v="1"/>
    <s v="10/04/2026 06:53:44 AM"/>
    <s v="10/04/2026 06:58:08 AM"/>
    <s v="35340"/>
    <s v="16800"/>
    <s v="18540"/>
    <n v="18.54"/>
    <s v="RFID"/>
  </r>
  <r>
    <s v="33411"/>
    <x v="0"/>
    <s v="T312 EHH"/>
    <x v="1"/>
    <x v="3"/>
    <x v="0"/>
    <s v="MT"/>
    <x v="1"/>
    <s v="10/04/2026 06:59:31 AM"/>
    <s v="10/04/2026 07:05:17 AM"/>
    <s v="37480"/>
    <s v="16260"/>
    <s v="21220"/>
    <n v="21.22"/>
    <s v="RFID"/>
  </r>
  <r>
    <s v="33412"/>
    <x v="0"/>
    <s v="T311 EHH"/>
    <x v="1"/>
    <x v="3"/>
    <x v="0"/>
    <s v="MT"/>
    <x v="1"/>
    <s v="10/04/2026 07:06:50 AM"/>
    <s v="10/04/2026 07:32:40 AM"/>
    <s v="34780"/>
    <s v="16760"/>
    <s v="18020"/>
    <n v="18.02"/>
    <s v="RFID"/>
  </r>
  <r>
    <s v="33413"/>
    <x v="0"/>
    <s v="T304 EHH"/>
    <x v="1"/>
    <x v="3"/>
    <x v="0"/>
    <s v="MT"/>
    <x v="1"/>
    <s v="10/04/2026 07:10:48 AM"/>
    <s v="10/04/2026 09:03:32 AM"/>
    <s v="34800"/>
    <s v="33120"/>
    <s v="1680"/>
    <n v="1.68"/>
    <s v="RFID"/>
  </r>
  <r>
    <s v="33414"/>
    <x v="0"/>
    <s v="T312 EHH"/>
    <x v="1"/>
    <x v="3"/>
    <x v="0"/>
    <s v="MT"/>
    <x v="1"/>
    <s v="10/04/2026 07:31:09 AM"/>
    <s v="10/04/2026 08:57:40 AM"/>
    <s v="37040"/>
    <s v="33820"/>
    <s v="3220"/>
    <n v="3.22"/>
    <s v="RFID"/>
  </r>
  <r>
    <s v="33415"/>
    <x v="0"/>
    <s v="T311 EHH"/>
    <x v="1"/>
    <x v="3"/>
    <x v="0"/>
    <s v="MT"/>
    <x v="1"/>
    <s v="10/04/2026 09:07:07 AM"/>
    <s v="10/04/2026 09:28:45 AM"/>
    <s v="34400"/>
    <s v="17060"/>
    <s v="17340"/>
    <n v="17.34"/>
    <s v="RFID"/>
  </r>
  <r>
    <s v="33416"/>
    <x v="0"/>
    <s v="T312 EHH"/>
    <x v="1"/>
    <x v="3"/>
    <x v="0"/>
    <s v="MT"/>
    <x v="1"/>
    <s v="10/04/2026 09:33:26 AM"/>
    <s v="10/04/2026 09:38:29 AM"/>
    <s v="34920"/>
    <s v="18860"/>
    <s v="16060"/>
    <n v="16.059999999999999"/>
    <s v="RFID"/>
  </r>
  <r>
    <s v="33417"/>
    <x v="0"/>
    <s v="T311 EHH"/>
    <x v="1"/>
    <x v="3"/>
    <x v="0"/>
    <s v="MT"/>
    <x v="1"/>
    <s v="10/04/2026 09:37:09 AM"/>
    <s v="10/04/2026 09:53:16 AM"/>
    <s v="33740"/>
    <s v="17600"/>
    <s v="16140"/>
    <n v="16.14"/>
    <s v="RFID"/>
  </r>
  <r>
    <s v="33418"/>
    <x v="0"/>
    <s v="T304 EHH"/>
    <x v="1"/>
    <x v="3"/>
    <x v="0"/>
    <s v="MT"/>
    <x v="1"/>
    <s v="10/04/2026 09:50:39 AM"/>
    <s v="10/04/2026 09:54:58 AM"/>
    <s v="33600"/>
    <s v="17500"/>
    <s v="16100"/>
    <n v="16.100000000000001"/>
    <s v="RFID"/>
  </r>
  <r>
    <s v="33419"/>
    <x v="0"/>
    <s v="T312 EHH"/>
    <x v="1"/>
    <x v="3"/>
    <x v="0"/>
    <s v="MT"/>
    <x v="1"/>
    <s v="10/04/2026 09:51:47 AM"/>
    <s v="10/04/2026 09:57:23 AM"/>
    <s v="36660"/>
    <s v="17120"/>
    <s v="19540"/>
    <n v="19.54"/>
    <s v="RFID"/>
  </r>
  <r>
    <s v="33420"/>
    <x v="0"/>
    <s v="T312 EHH"/>
    <x v="1"/>
    <x v="3"/>
    <x v="0"/>
    <s v="MT"/>
    <x v="1"/>
    <s v="10/04/2026 09:59:43 AM"/>
    <s v="10/04/2026 10:08:16 AM"/>
    <s v="17120"/>
    <s v="33080"/>
    <s v="15960"/>
    <n v="15.96"/>
    <s v="RFID"/>
  </r>
  <r>
    <s v="33421"/>
    <x v="0"/>
    <s v="T311 EHH"/>
    <x v="1"/>
    <x v="3"/>
    <x v="0"/>
    <s v="MT"/>
    <x v="1"/>
    <s v="10/04/2026 10:01:22 AM"/>
    <s v="10/04/2026 10:06:22 AM"/>
    <s v="36080"/>
    <s v="18240"/>
    <s v="17840"/>
    <n v="17.84"/>
    <s v="RFID"/>
  </r>
  <r>
    <s v="33422"/>
    <x v="0"/>
    <s v="T304 EHH"/>
    <x v="1"/>
    <x v="3"/>
    <x v="0"/>
    <s v="MT"/>
    <x v="1"/>
    <s v="10/04/2026 10:04:33 AM"/>
    <s v="10/04/2026 10:09:36 AM"/>
    <s v="32840"/>
    <s v="17360"/>
    <s v="15480"/>
    <n v="15.48"/>
    <s v="RFID"/>
  </r>
  <r>
    <s v="33423"/>
    <x v="0"/>
    <s v="T311 EHH"/>
    <x v="1"/>
    <x v="3"/>
    <x v="0"/>
    <s v="MT"/>
    <x v="1"/>
    <s v="10/04/2026 10:12:26 AM"/>
    <s v="10/04/2026 10:38:25 AM"/>
    <s v="34480"/>
    <s v="15140"/>
    <s v="19340"/>
    <n v="19.34"/>
    <s v="RFID"/>
  </r>
  <r>
    <s v="33424"/>
    <x v="0"/>
    <s v="T304 EHH"/>
    <x v="1"/>
    <x v="3"/>
    <x v="0"/>
    <s v="MT"/>
    <x v="1"/>
    <s v="10/04/2026 10:35:20 AM"/>
    <s v="10/04/2026 10:40:08 AM"/>
    <s v="37340"/>
    <s v="16280"/>
    <s v="21060"/>
    <n v="21.06"/>
    <s v="RFID"/>
  </r>
  <r>
    <s v="33425"/>
    <x v="0"/>
    <s v="T312 EHH"/>
    <x v="1"/>
    <x v="3"/>
    <x v="0"/>
    <s v="MT"/>
    <x v="1"/>
    <s v="10/04/2026 10:37:26 AM"/>
    <s v="10/04/2026 10:49:42 AM"/>
    <s v="17240"/>
    <s v="16980"/>
    <s v="260"/>
    <n v="0.26"/>
    <s v="RFID"/>
  </r>
  <r>
    <s v="33426"/>
    <x v="0"/>
    <s v="T311 EHH"/>
    <x v="1"/>
    <x v="3"/>
    <x v="0"/>
    <s v="MT"/>
    <x v="1"/>
    <s v="10/04/2026 10:48:33 AM"/>
    <s v="10/04/2026 10:53:19 AM"/>
    <s v="35120"/>
    <s v="15400"/>
    <s v="19720"/>
    <n v="19.72"/>
    <s v="RFID"/>
  </r>
  <r>
    <s v="33427"/>
    <x v="0"/>
    <s v="T304 EHH"/>
    <x v="1"/>
    <x v="3"/>
    <x v="0"/>
    <s v="MT"/>
    <x v="1"/>
    <s v="10/04/2026 10:52:18 AM"/>
    <s v="10/04/2026 10:56:46 AM"/>
    <s v="31980"/>
    <s v="16000"/>
    <s v="15980"/>
    <n v="15.98"/>
    <s v="RFID"/>
  </r>
  <r>
    <s v="33428"/>
    <x v="0"/>
    <s v="T312 EHH"/>
    <x v="1"/>
    <x v="3"/>
    <x v="0"/>
    <s v="MT"/>
    <x v="1"/>
    <s v="10/04/2026 10:55:30 AM"/>
    <s v="10/04/2026 11:00:54 AM"/>
    <s v="34340"/>
    <s v="17260"/>
    <s v="17080"/>
    <n v="17.079999999999998"/>
    <s v="RFID"/>
  </r>
  <r>
    <s v="33429"/>
    <x v="0"/>
    <s v="T311 EHH"/>
    <x v="1"/>
    <x v="3"/>
    <x v="0"/>
    <s v="MT"/>
    <x v="1"/>
    <s v="10/04/2026 11:00:05 AM"/>
    <s v="10/04/2026 11:05:54 AM"/>
    <s v="35420"/>
    <s v="15480"/>
    <s v="19940"/>
    <n v="19.940000000000001"/>
    <s v="RFID"/>
  </r>
  <r>
    <s v="33430"/>
    <x v="0"/>
    <s v="T304 EHH"/>
    <x v="1"/>
    <x v="3"/>
    <x v="0"/>
    <s v="MT"/>
    <x v="1"/>
    <s v="10/04/2026 11:04:55 AM"/>
    <s v="10/04/2026 11:11:27 AM"/>
    <s v="35480"/>
    <s v="16060"/>
    <s v="19420"/>
    <n v="19.420000000000002"/>
    <s v="RFID"/>
  </r>
  <r>
    <s v="33431"/>
    <x v="0"/>
    <s v="T312 EHH"/>
    <x v="1"/>
    <x v="3"/>
    <x v="0"/>
    <s v="MT"/>
    <x v="1"/>
    <s v="10/04/2026 11:08:53 AM"/>
    <s v="10/04/2026 11:14:48 AM"/>
    <s v="35060"/>
    <s v="17240"/>
    <s v="17820"/>
    <n v="17.82"/>
    <s v="RFID"/>
  </r>
  <r>
    <s v="33432"/>
    <x v="0"/>
    <s v="T311 EHH"/>
    <x v="1"/>
    <x v="3"/>
    <x v="0"/>
    <s v="MT"/>
    <x v="1"/>
    <s v="10/04/2026 11:13:54 AM"/>
    <s v="10/04/2026 11:18:34 AM"/>
    <s v="33320"/>
    <s v="15600"/>
    <s v="17720"/>
    <n v="17.72"/>
    <s v="RFID"/>
  </r>
  <r>
    <s v="33433"/>
    <x v="0"/>
    <s v="T304 EHH"/>
    <x v="1"/>
    <x v="3"/>
    <x v="0"/>
    <s v="MT"/>
    <x v="1"/>
    <s v="10/04/2026 11:17:20 AM"/>
    <s v="10/04/2026 11:38:45 AM"/>
    <s v="31720"/>
    <s v="15880"/>
    <s v="15840"/>
    <n v="15.84"/>
    <s v="RFID"/>
  </r>
  <r>
    <s v="33434"/>
    <x v="0"/>
    <s v="T312 EHH"/>
    <x v="1"/>
    <x v="3"/>
    <x v="0"/>
    <s v="MT"/>
    <x v="1"/>
    <s v="10/04/2026 11:21:56 AM"/>
    <s v="10/04/2026 11:39:59 AM"/>
    <s v="35340"/>
    <s v="17560"/>
    <s v="17780"/>
    <n v="17.78"/>
    <s v="RFID"/>
  </r>
  <r>
    <s v="33435"/>
    <x v="0"/>
    <s v="T311 EHH"/>
    <x v="1"/>
    <x v="3"/>
    <x v="0"/>
    <s v="MT"/>
    <x v="1"/>
    <s v="10/04/2026 11:36:43 AM"/>
    <s v="10/04/2026 12:02:04 PM"/>
    <s v="36760"/>
    <s v="15720"/>
    <s v="21040"/>
    <n v="21.04"/>
    <s v="RFID"/>
  </r>
  <r>
    <s v="33436"/>
    <x v="0"/>
    <s v="T304 EHH"/>
    <x v="1"/>
    <x v="3"/>
    <x v="0"/>
    <s v="MT"/>
    <x v="1"/>
    <s v="10/04/2026 12:11:05 PM"/>
    <s v="10/04/2026 12:21:47 PM"/>
    <s v="34480"/>
    <s v="15880"/>
    <s v="18600"/>
    <n v="18.600000000000001"/>
    <s v="RFID"/>
  </r>
  <r>
    <s v="33437"/>
    <x v="0"/>
    <s v="T312 EHH"/>
    <x v="1"/>
    <x v="3"/>
    <x v="0"/>
    <s v="MT"/>
    <x v="1"/>
    <s v="10/04/2026 12:20:15 PM"/>
    <s v="10/04/2026 12:24:17 PM"/>
    <s v="35140"/>
    <s v="21340"/>
    <s v="13800"/>
    <n v="13.8"/>
    <s v="RFID"/>
  </r>
  <r>
    <s v="33438"/>
    <x v="0"/>
    <s v="T311 EHH"/>
    <x v="1"/>
    <x v="3"/>
    <x v="0"/>
    <s v="MT"/>
    <x v="1"/>
    <s v="10/04/2026 12:22:56 PM"/>
    <s v="10/04/2026 12:27:56 PM"/>
    <s v="33920"/>
    <s v="15820"/>
    <s v="18100"/>
    <n v="18.100000000000001"/>
    <s v="RFID"/>
  </r>
  <r>
    <s v="33439"/>
    <x v="0"/>
    <s v="T304 EHH"/>
    <x v="1"/>
    <x v="3"/>
    <x v="0"/>
    <s v="MT"/>
    <x v="1"/>
    <s v="10/04/2026 12:28:44 PM"/>
    <s v="10/04/2026 12:32:33 PM"/>
    <s v="35360"/>
    <s v="16020"/>
    <s v="19340"/>
    <n v="19.34"/>
    <s v="RFID"/>
  </r>
  <r>
    <s v="33440"/>
    <x v="0"/>
    <s v="T312 EHH"/>
    <x v="1"/>
    <x v="3"/>
    <x v="0"/>
    <s v="MT"/>
    <x v="1"/>
    <s v="10/04/2026 12:35:50 PM"/>
    <s v="10/04/2026 12:39:54 PM"/>
    <s v="35260"/>
    <s v="15660"/>
    <s v="19600"/>
    <n v="19.600000000000001"/>
    <s v="RFID"/>
  </r>
  <r>
    <s v="33441"/>
    <x v="0"/>
    <s v="T311 EHH"/>
    <x v="1"/>
    <x v="3"/>
    <x v="0"/>
    <s v="MT"/>
    <x v="1"/>
    <s v="10/04/2026 12:41:31 PM"/>
    <s v="10/04/2026 12:46:59 PM"/>
    <s v="35620"/>
    <s v="15880"/>
    <s v="19740"/>
    <n v="19.739999999999998"/>
    <s v="RFID"/>
  </r>
  <r>
    <s v="33442"/>
    <x v="0"/>
    <s v="T304 EHH"/>
    <x v="1"/>
    <x v="3"/>
    <x v="0"/>
    <s v="MT"/>
    <x v="1"/>
    <s v="10/04/2026 12:46:03 PM"/>
    <s v="10/04/2026 12:51:08 PM"/>
    <s v="33580"/>
    <s v="16300"/>
    <s v="17280"/>
    <n v="17.28"/>
    <s v="RFID"/>
  </r>
  <r>
    <s v="33443"/>
    <x v="0"/>
    <s v="T312 EHH"/>
    <x v="1"/>
    <x v="3"/>
    <x v="0"/>
    <s v="MT"/>
    <x v="1"/>
    <s v="10/04/2026 12:50:08 PM"/>
    <s v="10/04/2026 12:54:34 PM"/>
    <s v="33320"/>
    <s v="15340"/>
    <s v="17980"/>
    <n v="17.98"/>
    <s v="RFID"/>
  </r>
  <r>
    <s v="33444"/>
    <x v="0"/>
    <s v="T311 EHH"/>
    <x v="1"/>
    <x v="3"/>
    <x v="0"/>
    <s v="MT"/>
    <x v="1"/>
    <s v="10/04/2026 12:56:06 PM"/>
    <s v="10/04/2026 01:03:35 PM"/>
    <s v="35880"/>
    <s v="15920"/>
    <s v="19960"/>
    <n v="19.96"/>
    <s v="RFID"/>
  </r>
  <r>
    <s v="33445"/>
    <x v="0"/>
    <s v="T304 EHH"/>
    <x v="1"/>
    <x v="3"/>
    <x v="0"/>
    <s v="MT"/>
    <x v="1"/>
    <s v="10/04/2026 01:01:33 PM"/>
    <s v="10/04/2026 01:13:01 PM"/>
    <s v="31220"/>
    <s v="16580"/>
    <s v="14640"/>
    <n v="14.64"/>
    <s v="RFID"/>
  </r>
  <r>
    <s v="33446"/>
    <x v="0"/>
    <s v="T312 EHH"/>
    <x v="1"/>
    <x v="3"/>
    <x v="0"/>
    <s v="MT"/>
    <x v="1"/>
    <s v="10/04/2026 01:06:06 PM"/>
    <s v="10/04/2026 01:14:06 PM"/>
    <s v="34840"/>
    <s v="15380"/>
    <s v="19460"/>
    <n v="19.46"/>
    <s v="RFID"/>
  </r>
  <r>
    <s v="33447"/>
    <x v="0"/>
    <s v="T304 EHH"/>
    <x v="1"/>
    <x v="3"/>
    <x v="1"/>
    <s v="MT"/>
    <x v="1"/>
    <s v="10/04/2026 02:57:36 PM"/>
    <s v="10/04/2026 03:02:21 PM"/>
    <s v="35220"/>
    <s v="17060"/>
    <s v="18160"/>
    <n v="18.16"/>
    <s v="RFID"/>
  </r>
  <r>
    <s v="33448"/>
    <x v="0"/>
    <s v="T312 EHH"/>
    <x v="1"/>
    <x v="3"/>
    <x v="1"/>
    <s v="MT"/>
    <x v="1"/>
    <s v="10/04/2026 03:00:48 PM"/>
    <s v="10/04/2026 03:05:00 PM"/>
    <s v="38040"/>
    <s v="15460"/>
    <s v="22580"/>
    <n v="22.58"/>
    <s v="RFID"/>
  </r>
  <r>
    <s v="33449"/>
    <x v="0"/>
    <s v="T304 EHH"/>
    <x v="1"/>
    <x v="3"/>
    <x v="1"/>
    <s v="MT"/>
    <x v="1"/>
    <s v="10/04/2026 03:08:33 PM"/>
    <s v="10/04/2026 03:13:26 PM"/>
    <s v="36040"/>
    <s v="17080"/>
    <s v="18960"/>
    <n v="18.96"/>
    <s v="RFID"/>
  </r>
  <r>
    <s v="33450"/>
    <x v="0"/>
    <s v="T311 EHH"/>
    <x v="1"/>
    <x v="3"/>
    <x v="1"/>
    <s v="MT"/>
    <x v="1"/>
    <s v="10/04/2026 03:12:10 PM"/>
    <s v="10/04/2026 03:18:07 PM"/>
    <s v="35140"/>
    <s v="15920"/>
    <s v="19220"/>
    <n v="19.22"/>
    <s v="RFID"/>
  </r>
  <r>
    <s v="33451"/>
    <x v="0"/>
    <s v="T312 EHH"/>
    <x v="1"/>
    <x v="3"/>
    <x v="1"/>
    <s v="MT"/>
    <x v="1"/>
    <s v="10/04/2026 03:16:47 PM"/>
    <s v="10/04/2026 03:21:09 PM"/>
    <s v="36620"/>
    <s v="15440"/>
    <s v="21180"/>
    <n v="21.18"/>
    <s v="RFID"/>
  </r>
  <r>
    <s v="33452"/>
    <x v="0"/>
    <s v="T304 EHH"/>
    <x v="1"/>
    <x v="3"/>
    <x v="1"/>
    <s v="MT"/>
    <x v="1"/>
    <s v="10/04/2026 03:23:28 PM"/>
    <s v="10/04/2026 03:28:16 PM"/>
    <s v="35300"/>
    <s v="15980"/>
    <s v="19320"/>
    <n v="19.32"/>
    <s v="RFID"/>
  </r>
  <r>
    <s v="33453"/>
    <x v="0"/>
    <s v="T311 EHH"/>
    <x v="1"/>
    <x v="3"/>
    <x v="1"/>
    <s v="MT"/>
    <x v="1"/>
    <s v="10/04/2026 03:27:18 PM"/>
    <s v="10/04/2026 03:31:36 PM"/>
    <s v="36720"/>
    <s v="15920"/>
    <s v="20800"/>
    <n v="20.8"/>
    <s v="RFID"/>
  </r>
  <r>
    <s v="33454"/>
    <x v="0"/>
    <s v="T312 EHH"/>
    <x v="1"/>
    <x v="3"/>
    <x v="1"/>
    <s v="MT"/>
    <x v="1"/>
    <s v="10/04/2026 03:32:46 PM"/>
    <s v="10/04/2026 03:37:44 PM"/>
    <s v="38260"/>
    <s v="15460"/>
    <s v="22800"/>
    <n v="22.8"/>
    <s v="RFID"/>
  </r>
  <r>
    <s v="33455"/>
    <x v="0"/>
    <s v="T304 EHH"/>
    <x v="1"/>
    <x v="3"/>
    <x v="1"/>
    <s v="MT"/>
    <x v="1"/>
    <s v="10/04/2026 03:36:50 PM"/>
    <s v="10/04/2026 03:41:44 PM"/>
    <s v="34980"/>
    <s v="16140"/>
    <s v="18840"/>
    <n v="18.84"/>
    <s v="RFID"/>
  </r>
  <r>
    <s v="33456"/>
    <x v="0"/>
    <s v="T311 EHH"/>
    <x v="1"/>
    <x v="3"/>
    <x v="1"/>
    <s v="MT"/>
    <x v="1"/>
    <s v="10/04/2026 03:40:48 PM"/>
    <s v="10/04/2026 03:46:33 PM"/>
    <s v="35680"/>
    <s v="15920"/>
    <s v="19760"/>
    <n v="19.760000000000002"/>
    <s v="RFID"/>
  </r>
  <r>
    <s v="33457"/>
    <x v="0"/>
    <s v="T312 EHH"/>
    <x v="1"/>
    <x v="3"/>
    <x v="1"/>
    <s v="MT"/>
    <x v="1"/>
    <s v="10/04/2026 03:45:37 PM"/>
    <s v="10/04/2026 03:49:52 PM"/>
    <s v="38560"/>
    <s v="15460"/>
    <s v="23100"/>
    <n v="23.1"/>
    <s v="RFID"/>
  </r>
  <r>
    <s v="33458"/>
    <x v="0"/>
    <s v="T304 EHH"/>
    <x v="1"/>
    <x v="3"/>
    <x v="1"/>
    <s v="MT"/>
    <x v="1"/>
    <s v="10/04/2026 03:51:58 PM"/>
    <s v="10/04/2026 03:56:43 PM"/>
    <s v="36660"/>
    <s v="16080"/>
    <s v="20580"/>
    <n v="20.58"/>
    <s v="RFID"/>
  </r>
  <r>
    <s v="33459"/>
    <x v="0"/>
    <s v="T312 EHH"/>
    <x v="1"/>
    <x v="3"/>
    <x v="1"/>
    <s v="MT"/>
    <x v="1"/>
    <s v="10/04/2026 03:58:18 PM"/>
    <s v="10/04/2026 04:04:47 PM"/>
    <s v="38600"/>
    <s v="15460"/>
    <s v="23140"/>
    <n v="23.14"/>
    <s v="RFID"/>
  </r>
  <r>
    <s v="33460"/>
    <x v="0"/>
    <s v="T311 EHH"/>
    <x v="1"/>
    <x v="3"/>
    <x v="1"/>
    <s v="MT"/>
    <x v="1"/>
    <s v="10/04/2026 04:03:16 PM"/>
    <s v="10/04/2026 04:08:24 PM"/>
    <s v="35880"/>
    <s v="16000"/>
    <s v="19880"/>
    <n v="19.88"/>
    <s v="RFID"/>
  </r>
  <r>
    <s v="33461"/>
    <x v="0"/>
    <s v="T304 EHH"/>
    <x v="1"/>
    <x v="3"/>
    <x v="1"/>
    <s v="MT"/>
    <x v="1"/>
    <s v="10/04/2026 04:07:05 PM"/>
    <s v="10/04/2026 04:12:18 PM"/>
    <s v="35860"/>
    <s v="16040"/>
    <s v="19820"/>
    <n v="19.82"/>
    <s v="RFID"/>
  </r>
  <r>
    <s v="33462"/>
    <x v="0"/>
    <s v="T312 EHH"/>
    <x v="1"/>
    <x v="3"/>
    <x v="1"/>
    <s v="MT"/>
    <x v="1"/>
    <s v="10/04/2026 04:11:25 PM"/>
    <s v="10/04/2026 04:15:39 PM"/>
    <s v="38420"/>
    <s v="15440"/>
    <s v="22980"/>
    <n v="22.98"/>
    <s v="RFID"/>
  </r>
  <r>
    <s v="33463"/>
    <x v="0"/>
    <s v="T311 EHH"/>
    <x v="1"/>
    <x v="3"/>
    <x v="1"/>
    <s v="MT"/>
    <x v="1"/>
    <s v="10/04/2026 04:23:10 PM"/>
    <s v="10/04/2026 04:28:25 PM"/>
    <s v="37160"/>
    <s v="16000"/>
    <s v="21160"/>
    <n v="21.16"/>
    <s v="RFID"/>
  </r>
  <r>
    <s v="33464"/>
    <x v="0"/>
    <s v="T304 EHH"/>
    <x v="1"/>
    <x v="3"/>
    <x v="1"/>
    <s v="MT"/>
    <x v="1"/>
    <s v="10/04/2026 04:27:14 PM"/>
    <s v="10/04/2026 04:31:42 PM"/>
    <s v="36120"/>
    <s v="16080"/>
    <s v="20040"/>
    <n v="20.04"/>
    <s v="RFID"/>
  </r>
  <r>
    <s v="33465"/>
    <x v="0"/>
    <s v="T312 EHH"/>
    <x v="1"/>
    <x v="3"/>
    <x v="1"/>
    <s v="MT"/>
    <x v="1"/>
    <s v="10/04/2026 04:32:39 PM"/>
    <s v="10/04/2026 04:37:36 PM"/>
    <s v="35960"/>
    <s v="15460"/>
    <s v="20500"/>
    <n v="20.5"/>
    <s v="RFID"/>
  </r>
  <r>
    <s v="33466"/>
    <x v="0"/>
    <s v="T311 EHH"/>
    <x v="1"/>
    <x v="3"/>
    <x v="1"/>
    <s v="MT"/>
    <x v="1"/>
    <s v="10/04/2026 04:36:34 PM"/>
    <s v="10/04/2026 04:42:11 PM"/>
    <s v="36460"/>
    <s v="16000"/>
    <s v="20460"/>
    <n v="20.46"/>
    <s v="RFID"/>
  </r>
  <r>
    <s v="33467"/>
    <x v="0"/>
    <s v="T304 EHH"/>
    <x v="1"/>
    <x v="3"/>
    <x v="1"/>
    <s v="MT"/>
    <x v="1"/>
    <s v="10/04/2026 04:41:15 PM"/>
    <s v="10/04/2026 04:45:18 PM"/>
    <s v="37160"/>
    <s v="16080"/>
    <s v="21080"/>
    <n v="21.08"/>
    <s v="RFID"/>
  </r>
  <r>
    <s v="33468"/>
    <x v="0"/>
    <s v="T311 EHH"/>
    <x v="1"/>
    <x v="3"/>
    <x v="1"/>
    <s v="MT"/>
    <x v="1"/>
    <s v="10/04/2026 04:51:48 PM"/>
    <s v="10/04/2026 04:55:55 PM"/>
    <s v="38960"/>
    <s v="16000"/>
    <s v="22960"/>
    <n v="22.96"/>
    <s v="RFID"/>
  </r>
  <r>
    <s v="33469"/>
    <x v="0"/>
    <s v="T304 EHH"/>
    <x v="1"/>
    <x v="3"/>
    <x v="1"/>
    <s v="MT"/>
    <x v="1"/>
    <s v="10/04/2026 04:57:46 PM"/>
    <s v="10/04/2026 05:02:33 PM"/>
    <s v="41580"/>
    <s v="16100"/>
    <s v="25480"/>
    <n v="25.48"/>
    <s v="RFID"/>
  </r>
  <r>
    <s v="33470"/>
    <x v="0"/>
    <s v="T311 EHH"/>
    <x v="1"/>
    <x v="3"/>
    <x v="1"/>
    <s v="MT"/>
    <x v="1"/>
    <s v="10/04/2026 05:03:58 PM"/>
    <s v="10/04/2026 05:08:55 PM"/>
    <s v="39620"/>
    <s v="16040"/>
    <s v="23580"/>
    <n v="23.58"/>
    <s v="RFID"/>
  </r>
  <r>
    <s v="33471"/>
    <x v="0"/>
    <s v="T312 EHH"/>
    <x v="1"/>
    <x v="3"/>
    <x v="1"/>
    <s v="MT"/>
    <x v="1"/>
    <s v="10/04/2026 05:07:39 PM"/>
    <s v="10/04/2026 05:13:11 PM"/>
    <s v="38240"/>
    <s v="15480"/>
    <s v="22760"/>
    <n v="22.76"/>
    <s v="RFID"/>
  </r>
  <r>
    <s v="33472"/>
    <x v="0"/>
    <s v="T304 EHH"/>
    <x v="1"/>
    <x v="3"/>
    <x v="1"/>
    <s v="MT"/>
    <x v="1"/>
    <s v="10/04/2026 05:12:11 PM"/>
    <s v="10/04/2026 05:18:02 PM"/>
    <s v="38080"/>
    <s v="16100"/>
    <s v="21980"/>
    <n v="21.98"/>
    <s v="RFID"/>
  </r>
  <r>
    <s v="33473"/>
    <x v="0"/>
    <s v="T311 EHH"/>
    <x v="1"/>
    <x v="3"/>
    <x v="1"/>
    <s v="MT"/>
    <x v="1"/>
    <s v="10/04/2026 05:16:54 PM"/>
    <s v="10/04/2026 05:20:51 PM"/>
    <s v="38560"/>
    <s v="16020"/>
    <s v="22540"/>
    <n v="22.54"/>
    <s v="RFID"/>
  </r>
  <r>
    <s v="33474"/>
    <x v="0"/>
    <s v="T312 EHH"/>
    <x v="1"/>
    <x v="3"/>
    <x v="1"/>
    <s v="MT"/>
    <x v="1"/>
    <s v="10/04/2026 05:22:22 PM"/>
    <s v="10/04/2026 05:26:42 PM"/>
    <s v="39800"/>
    <s v="15500"/>
    <s v="24300"/>
    <n v="24.3"/>
    <s v="RFID"/>
  </r>
  <r>
    <s v="33475"/>
    <x v="0"/>
    <s v="T304 EHH"/>
    <x v="1"/>
    <x v="3"/>
    <x v="1"/>
    <s v="MT"/>
    <x v="1"/>
    <s v="10/04/2026 05:28:23 PM"/>
    <s v="10/04/2026 05:33:00 PM"/>
    <s v="38620"/>
    <s v="16120"/>
    <s v="22500"/>
    <n v="22.5"/>
    <s v="RFID"/>
  </r>
  <r>
    <s v="33476"/>
    <x v="0"/>
    <s v="T311 EHH"/>
    <x v="1"/>
    <x v="3"/>
    <x v="1"/>
    <s v="MT"/>
    <x v="1"/>
    <s v="10/04/2026 05:34:52 PM"/>
    <s v="10/04/2026 05:40:54 PM"/>
    <s v="37320"/>
    <s v="16060"/>
    <s v="21260"/>
    <n v="21.26"/>
    <s v="RFID"/>
  </r>
  <r>
    <s v="33477"/>
    <x v="0"/>
    <s v="T312 EHH"/>
    <x v="1"/>
    <x v="3"/>
    <x v="1"/>
    <s v="MT"/>
    <x v="1"/>
    <s v="10/04/2026 05:39:41 PM"/>
    <s v="10/04/2026 05:51:25 PM"/>
    <s v="38140"/>
    <s v="15500"/>
    <s v="22640"/>
    <n v="22.64"/>
    <s v="RFID"/>
  </r>
  <r>
    <s v="33478"/>
    <x v="0"/>
    <s v="T304 EHH"/>
    <x v="1"/>
    <x v="3"/>
    <x v="1"/>
    <s v="MT"/>
    <x v="1"/>
    <s v="10/04/2026 05:50:12 PM"/>
    <s v="10/04/2026 05:58:26 PM"/>
    <s v="37960"/>
    <s v="16140"/>
    <s v="21820"/>
    <n v="21.82"/>
    <s v="RFID"/>
  </r>
  <r>
    <s v="33479"/>
    <x v="0"/>
    <s v="T311 EHH"/>
    <x v="1"/>
    <x v="3"/>
    <x v="1"/>
    <s v="MT"/>
    <x v="1"/>
    <s v="10/04/2026 05:52:31 PM"/>
    <s v="10/04/2026 06:00:37 PM"/>
    <s v="38340"/>
    <s v="16060"/>
    <s v="22280"/>
    <n v="22.28"/>
    <s v="RFID"/>
  </r>
  <r>
    <s v="33480"/>
    <x v="0"/>
    <s v="T312 EHH"/>
    <x v="1"/>
    <x v="3"/>
    <x v="1"/>
    <s v="MT"/>
    <x v="1"/>
    <s v="10/04/2026 05:59:42 PM"/>
    <s v="10/04/2026 06:04:21 PM"/>
    <s v="39860"/>
    <s v="15520"/>
    <s v="24340"/>
    <n v="24.34"/>
    <s v="RFID"/>
  </r>
  <r>
    <s v="33481"/>
    <x v="0"/>
    <s v="T304 EHH"/>
    <x v="1"/>
    <x v="3"/>
    <x v="1"/>
    <s v="MT"/>
    <x v="1"/>
    <s v="10/04/2026 06:06:43 PM"/>
    <s v="10/04/2026 06:11:47 PM"/>
    <s v="40140"/>
    <s v="16160"/>
    <s v="23980"/>
    <n v="23.98"/>
    <s v="RFID"/>
  </r>
  <r>
    <s v="33482"/>
    <x v="0"/>
    <s v="T311 EHH"/>
    <x v="1"/>
    <x v="3"/>
    <x v="1"/>
    <s v="MT"/>
    <x v="1"/>
    <s v="10/04/2026 06:10:24 PM"/>
    <s v="10/04/2026 06:14:52 PM"/>
    <s v="39280"/>
    <s v="16020"/>
    <s v="23260"/>
    <n v="23.26"/>
    <s v="RFID"/>
  </r>
  <r>
    <s v="33483"/>
    <x v="0"/>
    <s v="T312 EHH"/>
    <x v="1"/>
    <x v="3"/>
    <x v="1"/>
    <s v="MT"/>
    <x v="1"/>
    <s v="10/04/2026 06:16:05 PM"/>
    <s v="10/04/2026 06:21:12 PM"/>
    <s v="39420"/>
    <s v="15520"/>
    <s v="23900"/>
    <n v="23.9"/>
    <s v="RFID"/>
  </r>
  <r>
    <s v="33484"/>
    <x v="0"/>
    <s v="T304 EHH"/>
    <x v="1"/>
    <x v="3"/>
    <x v="1"/>
    <s v="MT"/>
    <x v="1"/>
    <s v="10/04/2026 06:20:17 PM"/>
    <s v="10/04/2026 06:27:37 PM"/>
    <s v="37620"/>
    <s v="16160"/>
    <s v="21460"/>
    <n v="21.46"/>
    <s v="RFID"/>
  </r>
  <r>
    <s v="33485"/>
    <x v="0"/>
    <s v="T311 EHH"/>
    <x v="1"/>
    <x v="3"/>
    <x v="1"/>
    <s v="MT"/>
    <x v="1"/>
    <s v="10/04/2026 06:26:36 PM"/>
    <s v="10/04/2026 06:31:36 PM"/>
    <s v="36760"/>
    <s v="15980"/>
    <s v="20780"/>
    <n v="20.78"/>
    <s v="RFID"/>
  </r>
  <r>
    <s v="33486"/>
    <x v="0"/>
    <s v="T312 EHH"/>
    <x v="1"/>
    <x v="3"/>
    <x v="0"/>
    <s v="MT"/>
    <x v="1"/>
    <s v="10/04/2026 06:30:20 PM"/>
    <s v="10/04/2026 06:35:43 PM"/>
    <s v="39060"/>
    <s v="15520"/>
    <s v="23540"/>
    <n v="23.54"/>
    <s v="RFID"/>
  </r>
  <r>
    <s v="33487"/>
    <x v="0"/>
    <s v="T304 EHH"/>
    <x v="1"/>
    <x v="3"/>
    <x v="0"/>
    <s v="MT"/>
    <x v="1"/>
    <s v="10/04/2026 06:37:39 PM"/>
    <s v="10/04/2026 06:42:34 PM"/>
    <s v="38600"/>
    <s v="16160"/>
    <s v="22440"/>
    <n v="22.44"/>
    <s v="RFID"/>
  </r>
  <r>
    <s v="33488"/>
    <x v="0"/>
    <s v="T311 EHH"/>
    <x v="1"/>
    <x v="3"/>
    <x v="0"/>
    <s v="MT"/>
    <x v="1"/>
    <s v="10/04/2026 06:45:43 PM"/>
    <s v="10/04/2026 06:49:33 PM"/>
    <s v="35700"/>
    <s v="16020"/>
    <s v="19680"/>
    <n v="19.68"/>
    <s v="RFID"/>
  </r>
  <r>
    <s v="33489"/>
    <x v="0"/>
    <s v="T312 EHH"/>
    <x v="1"/>
    <x v="3"/>
    <x v="0"/>
    <s v="MT"/>
    <x v="1"/>
    <s v="10/04/2026 06:51:12 PM"/>
    <s v="10/04/2026 06:57:02 PM"/>
    <s v="34020"/>
    <s v="15500"/>
    <s v="18520"/>
    <n v="18.52"/>
    <s v="RFID"/>
  </r>
  <r>
    <s v="33490"/>
    <x v="0"/>
    <s v="T304 EHH"/>
    <x v="1"/>
    <x v="3"/>
    <x v="0"/>
    <s v="MT"/>
    <x v="1"/>
    <s v="10/04/2026 06:55:51 PM"/>
    <s v="10/04/2026 07:00:59 PM"/>
    <s v="31200"/>
    <s v="16120"/>
    <s v="15080"/>
    <n v="15.08"/>
    <s v="RFID"/>
  </r>
  <r>
    <s v="33491"/>
    <x v="0"/>
    <s v="T311 EHH"/>
    <x v="1"/>
    <x v="3"/>
    <x v="0"/>
    <s v="MT"/>
    <x v="1"/>
    <s v="10/04/2026 06:59:26 PM"/>
    <s v="10/04/2026 07:05:32 PM"/>
    <s v="33880"/>
    <s v="16040"/>
    <s v="17840"/>
    <n v="17.84"/>
    <s v="RFID"/>
  </r>
  <r>
    <s v="33492"/>
    <x v="0"/>
    <s v="T312 EHH"/>
    <x v="1"/>
    <x v="3"/>
    <x v="0"/>
    <s v="MT"/>
    <x v="1"/>
    <s v="10/04/2026 07:03:51 PM"/>
    <s v="10/04/2026 07:15:39 PM"/>
    <s v="34020"/>
    <s v="15520"/>
    <s v="18500"/>
    <n v="18.5"/>
    <s v="RFID"/>
  </r>
  <r>
    <s v="33493"/>
    <x v="0"/>
    <s v="T304 EHH"/>
    <x v="1"/>
    <x v="3"/>
    <x v="0"/>
    <s v="MT"/>
    <x v="1"/>
    <s v="10/04/2026 07:09:20 PM"/>
    <s v="10/04/2026 07:17:54 PM"/>
    <s v="36400"/>
    <s v="16140"/>
    <s v="20260"/>
    <n v="20.260000000000002"/>
    <s v="RFID"/>
  </r>
  <r>
    <s v="33494"/>
    <x v="0"/>
    <s v="T311 EHH"/>
    <x v="1"/>
    <x v="3"/>
    <x v="0"/>
    <s v="MT"/>
    <x v="1"/>
    <s v="10/04/2026 07:16:56 PM"/>
    <s v="10/04/2026 07:21:03 PM"/>
    <s v="34160"/>
    <s v="15960"/>
    <s v="18200"/>
    <n v="18.2"/>
    <s v="RFID"/>
  </r>
  <r>
    <s v="33495"/>
    <x v="0"/>
    <s v="T312 EHH"/>
    <x v="1"/>
    <x v="3"/>
    <x v="0"/>
    <s v="MT"/>
    <x v="1"/>
    <s v="10/04/2026 07:22:44 PM"/>
    <s v="10/04/2026 07:26:28 PM"/>
    <s v="36080"/>
    <s v="15520"/>
    <s v="20560"/>
    <n v="20.56"/>
    <s v="RFID"/>
  </r>
  <r>
    <s v="33496"/>
    <x v="0"/>
    <s v="T311 EHH"/>
    <x v="1"/>
    <x v="3"/>
    <x v="1"/>
    <s v="MT"/>
    <x v="1"/>
    <s v="10/04/2026 09:07:06 PM"/>
    <s v="10/04/2026 09:23:05 PM"/>
    <s v="36520"/>
    <s v="15360"/>
    <s v="21160"/>
    <n v="21.16"/>
    <s v="RFID"/>
  </r>
  <r>
    <s v="33497"/>
    <x v="0"/>
    <s v="T293 EHH"/>
    <x v="1"/>
    <x v="3"/>
    <x v="1"/>
    <s v="MT"/>
    <x v="1"/>
    <s v="10/04/2026 09:11:51 PM"/>
    <s v="10/04/2026 09:25:55 PM"/>
    <s v="33300"/>
    <s v="17500"/>
    <s v="15800"/>
    <n v="15.8"/>
    <s v="RFID"/>
  </r>
  <r>
    <s v="33498"/>
    <x v="0"/>
    <s v="T299 EHH"/>
    <x v="1"/>
    <x v="3"/>
    <x v="1"/>
    <s v="MT"/>
    <x v="1"/>
    <s v="10/04/2026 09:17:24 PM"/>
    <s v="10/04/2026 09:28:29 PM"/>
    <s v="36940"/>
    <s v="16080"/>
    <s v="20860"/>
    <n v="20.86"/>
    <s v="RFID"/>
  </r>
  <r>
    <s v="33499"/>
    <x v="0"/>
    <s v="T293 EHH"/>
    <x v="1"/>
    <x v="3"/>
    <x v="1"/>
    <s v="MT"/>
    <x v="1"/>
    <s v="10/04/2026 09:33:56 PM"/>
    <s v="10/04/2026 09:40:48 PM"/>
    <s v="31640"/>
    <s v="17580"/>
    <s v="14060"/>
    <n v="14.06"/>
    <s v="RFID"/>
  </r>
  <r>
    <s v="33500"/>
    <x v="0"/>
    <s v="T299 EHH"/>
    <x v="1"/>
    <x v="3"/>
    <x v="1"/>
    <s v="MT"/>
    <x v="1"/>
    <s v="10/04/2026 09:38:40 PM"/>
    <s v="10/04/2026 09:45:51 PM"/>
    <s v="38420"/>
    <s v="16380"/>
    <s v="22040"/>
    <n v="22.04"/>
    <s v="RFID"/>
  </r>
  <r>
    <s v="33501"/>
    <x v="0"/>
    <s v="T311 EHH"/>
    <x v="1"/>
    <x v="3"/>
    <x v="1"/>
    <s v="MT"/>
    <x v="1"/>
    <s v="10/04/2026 09:42:21 PM"/>
    <s v="10/04/2026 09:48:00 PM"/>
    <s v="36920"/>
    <s v="15700"/>
    <s v="21220"/>
    <n v="21.22"/>
    <s v="RFID"/>
  </r>
  <r>
    <s v="33502"/>
    <x v="0"/>
    <s v="T293 EHH"/>
    <x v="1"/>
    <x v="3"/>
    <x v="1"/>
    <s v="MT"/>
    <x v="1"/>
    <s v="10/04/2026 09:46:59 PM"/>
    <s v="10/04/2026 09:53:24 PM"/>
    <s v="38320"/>
    <s v="17760"/>
    <s v="20560"/>
    <n v="20.56"/>
    <s v="RFID"/>
  </r>
  <r>
    <s v="33503"/>
    <x v="0"/>
    <s v="T311 EHH"/>
    <x v="1"/>
    <x v="3"/>
    <x v="1"/>
    <s v="MT"/>
    <x v="1"/>
    <s v="10/04/2026 09:54:49 PM"/>
    <s v="10/04/2026 10:00:23 PM"/>
    <s v="37560"/>
    <s v="17500"/>
    <s v="20060"/>
    <n v="20.059999999999999"/>
    <s v="RFID"/>
  </r>
  <r>
    <s v="33504"/>
    <x v="0"/>
    <s v="T299 EHH"/>
    <x v="1"/>
    <x v="3"/>
    <x v="1"/>
    <s v="MT"/>
    <x v="1"/>
    <s v="10/04/2026 09:59:22 PM"/>
    <s v="10/04/2026 10:09:03 PM"/>
    <s v="39340"/>
    <s v="16600"/>
    <s v="22740"/>
    <n v="22.74"/>
    <s v="RFID"/>
  </r>
  <r>
    <s v="33505"/>
    <x v="0"/>
    <s v="T293 EHH"/>
    <x v="1"/>
    <x v="3"/>
    <x v="1"/>
    <s v="MT"/>
    <x v="1"/>
    <s v="10/04/2026 10:03:31 PM"/>
    <s v="10/04/2026 10:09:55 PM"/>
    <s v="38740"/>
    <s v="18220"/>
    <s v="20520"/>
    <n v="20.52"/>
    <s v="RFID"/>
  </r>
  <r>
    <s v="33506"/>
    <x v="0"/>
    <s v="T311 EHH"/>
    <x v="1"/>
    <x v="3"/>
    <x v="1"/>
    <s v="MT"/>
    <x v="1"/>
    <s v="10/04/2026 10:07:57 PM"/>
    <s v="10/04/2026 10:13:42 PM"/>
    <s v="37820"/>
    <s v="16300"/>
    <s v="21520"/>
    <n v="21.52"/>
    <s v="RFID"/>
  </r>
  <r>
    <s v="33507"/>
    <x v="0"/>
    <s v="T299 EHH"/>
    <x v="1"/>
    <x v="3"/>
    <x v="1"/>
    <s v="MT"/>
    <x v="1"/>
    <s v="10/04/2026 10:15:47 PM"/>
    <s v="10/04/2026 10:21:03 PM"/>
    <s v="37740"/>
    <s v="17600"/>
    <s v="20140"/>
    <n v="20.14"/>
    <s v="RFID"/>
  </r>
  <r>
    <s v="33508"/>
    <x v="0"/>
    <s v="T293 EHH"/>
    <x v="1"/>
    <x v="3"/>
    <x v="1"/>
    <s v="MT"/>
    <x v="1"/>
    <s v="10/04/2026 10:23:02 PM"/>
    <s v="10/04/2026 10:28:44 PM"/>
    <s v="34840"/>
    <s v="14660"/>
    <s v="20180"/>
    <n v="20.18"/>
    <s v="RFID"/>
  </r>
  <r>
    <s v="33509"/>
    <x v="0"/>
    <s v="T311 EHH"/>
    <x v="1"/>
    <x v="3"/>
    <x v="1"/>
    <s v="MT"/>
    <x v="1"/>
    <s v="10/04/2026 10:26:56 PM"/>
    <s v="10/04/2026 10:32:55 PM"/>
    <s v="38220"/>
    <s v="16940"/>
    <s v="21280"/>
    <n v="21.28"/>
    <s v="RFID"/>
  </r>
  <r>
    <s v="33510"/>
    <x v="0"/>
    <s v="T299 EHH"/>
    <x v="1"/>
    <x v="3"/>
    <x v="1"/>
    <s v="MT"/>
    <x v="1"/>
    <s v="10/04/2026 10:31:58 PM"/>
    <s v="10/04/2026 10:38:07 PM"/>
    <s v="38140"/>
    <s v="18140"/>
    <s v="20000"/>
    <n v="20"/>
    <s v="RFID"/>
  </r>
  <r>
    <s v="33511"/>
    <x v="0"/>
    <s v="T293 EHH"/>
    <x v="1"/>
    <x v="3"/>
    <x v="1"/>
    <s v="MT"/>
    <x v="1"/>
    <s v="10/04/2026 10:36:13 PM"/>
    <s v="10/04/2026 10:42:14 PM"/>
    <s v="37160"/>
    <s v="14880"/>
    <s v="22280"/>
    <n v="22.28"/>
    <s v="RFID"/>
  </r>
  <r>
    <s v="33512"/>
    <x v="0"/>
    <s v="T311 EHH"/>
    <x v="1"/>
    <x v="3"/>
    <x v="1"/>
    <s v="MT"/>
    <x v="1"/>
    <s v="10/04/2026 10:40:18 PM"/>
    <s v="10/04/2026 10:45:48 PM"/>
    <s v="39180"/>
    <s v="17640"/>
    <s v="21540"/>
    <n v="21.54"/>
    <s v="RFID"/>
  </r>
  <r>
    <s v="33513"/>
    <x v="0"/>
    <s v="T299 EHH"/>
    <x v="1"/>
    <x v="3"/>
    <x v="1"/>
    <s v="MT"/>
    <x v="1"/>
    <s v="10/04/2026 10:50:28 PM"/>
    <s v="10/04/2026 10:55:33 PM"/>
    <s v="38380"/>
    <s v="17160"/>
    <s v="21220"/>
    <n v="21.22"/>
    <s v="RFID"/>
  </r>
  <r>
    <s v="33514"/>
    <x v="0"/>
    <s v="T293 EHH"/>
    <x v="1"/>
    <x v="3"/>
    <x v="1"/>
    <s v="MT"/>
    <x v="1"/>
    <s v="10/04/2026 10:54:07 PM"/>
    <s v="10/04/2026 11:00:00 PM"/>
    <s v="37140"/>
    <s v="15120"/>
    <s v="22020"/>
    <n v="22.02"/>
    <s v="RFID"/>
  </r>
  <r>
    <s v="33515"/>
    <x v="0"/>
    <s v="T311 EHH"/>
    <x v="1"/>
    <x v="3"/>
    <x v="1"/>
    <s v="MT"/>
    <x v="1"/>
    <s v="10/04/2026 10:58:25 PM"/>
    <s v="10/04/2026 11:04:55 PM"/>
    <s v="38140"/>
    <s v="17820"/>
    <s v="20320"/>
    <n v="20.32"/>
    <s v="RFID"/>
  </r>
  <r>
    <s v="33516"/>
    <x v="0"/>
    <s v="T299 EHH"/>
    <x v="1"/>
    <x v="3"/>
    <x v="1"/>
    <s v="MT"/>
    <x v="1"/>
    <s v="10/04/2026 11:03:57 PM"/>
    <s v="10/04/2026 11:10:55 PM"/>
    <s v="38240"/>
    <s v="18180"/>
    <s v="20060"/>
    <n v="20.059999999999999"/>
    <s v="RFID"/>
  </r>
  <r>
    <s v="33517"/>
    <x v="0"/>
    <s v="T293 EHH"/>
    <x v="1"/>
    <x v="3"/>
    <x v="1"/>
    <s v="MT"/>
    <x v="1"/>
    <s v="10/04/2026 11:08:56 PM"/>
    <s v="10/04/2026 11:15:00 PM"/>
    <s v="39220"/>
    <s v="15680"/>
    <s v="23540"/>
    <n v="23.54"/>
    <s v="RFID"/>
  </r>
  <r>
    <s v="33518"/>
    <x v="0"/>
    <s v="T311 EHH"/>
    <x v="1"/>
    <x v="3"/>
    <x v="1"/>
    <s v="MT"/>
    <x v="1"/>
    <s v="10/04/2026 11:12:35 PM"/>
    <s v="10/04/2026 11:19:31 PM"/>
    <s v="37200"/>
    <s v="18740"/>
    <s v="18460"/>
    <n v="18.46"/>
    <s v="RFID"/>
  </r>
  <r>
    <s v="33519"/>
    <x v="0"/>
    <s v="T299 EHH"/>
    <x v="1"/>
    <x v="3"/>
    <x v="1"/>
    <s v="MT"/>
    <x v="1"/>
    <s v="10/04/2026 11:18:22 PM"/>
    <s v="10/04/2026 11:24:33 PM"/>
    <s v="36160"/>
    <s v="18520"/>
    <s v="17640"/>
    <n v="17.64"/>
    <s v="RFID"/>
  </r>
  <r>
    <s v="33520"/>
    <x v="0"/>
    <s v="T293 EHH"/>
    <x v="1"/>
    <x v="3"/>
    <x v="1"/>
    <s v="MT"/>
    <x v="1"/>
    <s v="10/04/2026 11:23:37 PM"/>
    <s v="10/04/2026 11:29:37 PM"/>
    <s v="36420"/>
    <s v="15940"/>
    <s v="20480"/>
    <n v="20.48"/>
    <s v="RFID"/>
  </r>
  <r>
    <s v="33521"/>
    <x v="0"/>
    <s v="T311 EHH"/>
    <x v="1"/>
    <x v="3"/>
    <x v="1"/>
    <s v="MT"/>
    <x v="1"/>
    <s v="10/04/2026 11:31:03 PM"/>
    <s v="10/04/2026 11:36:36 PM"/>
    <s v="41040"/>
    <s v="15900"/>
    <s v="25140"/>
    <n v="25.14"/>
    <s v="RFID"/>
  </r>
  <r>
    <s v="33522"/>
    <x v="0"/>
    <s v="T299 EHH"/>
    <x v="1"/>
    <x v="3"/>
    <x v="1"/>
    <s v="MT"/>
    <x v="1"/>
    <s v="10/04/2026 11:35:36 PM"/>
    <s v="10/04/2026 11:41:37 PM"/>
    <s v="34500"/>
    <s v="18780"/>
    <s v="15720"/>
    <n v="15.72"/>
    <s v="RFID"/>
  </r>
  <r>
    <s v="33523"/>
    <x v="0"/>
    <s v="T293 EHH"/>
    <x v="1"/>
    <x v="3"/>
    <x v="1"/>
    <s v="MT"/>
    <x v="1"/>
    <s v="10/04/2026 11:40:25 PM"/>
    <s v="10/04/2026 11:49:56 PM"/>
    <s v="39760"/>
    <s v="16000"/>
    <s v="23760"/>
    <n v="23.76"/>
    <s v="RFID"/>
  </r>
  <r>
    <s v="33524"/>
    <x v="0"/>
    <s v="T311 EHH"/>
    <x v="1"/>
    <x v="3"/>
    <x v="1"/>
    <s v="MT"/>
    <x v="1"/>
    <s v="10/04/2026 11:44:18 PM"/>
    <s v="10/04/2026 11:51:15 PM"/>
    <s v="35420"/>
    <s v="17400"/>
    <s v="18020"/>
    <n v="18.02"/>
    <s v="RFID"/>
  </r>
  <r>
    <s v="33525"/>
    <x v="0"/>
    <s v="T299 EHH"/>
    <x v="1"/>
    <x v="3"/>
    <x v="1"/>
    <s v="MT"/>
    <x v="1"/>
    <s v="10/04/2026 11:49:01 PM"/>
    <s v="10/04/2026 11:55:19 PM"/>
    <s v="38680"/>
    <s v="19060"/>
    <s v="19620"/>
    <n v="19.62"/>
    <s v="RFID"/>
  </r>
  <r>
    <s v="33526"/>
    <x v="0"/>
    <s v="T293 EHH"/>
    <x v="1"/>
    <x v="3"/>
    <x v="1"/>
    <s v="MT"/>
    <x v="2"/>
    <s v="11/04/2026 12:02:24 AM"/>
    <s v="11/04/2026 12:07:43 AM"/>
    <s v="39640"/>
    <s v="16620"/>
    <s v="23020"/>
    <n v="23.02"/>
    <s v="RFID"/>
  </r>
  <r>
    <s v="33527"/>
    <x v="0"/>
    <s v="T299 EHH"/>
    <x v="1"/>
    <x v="3"/>
    <x v="1"/>
    <s v="MT"/>
    <x v="2"/>
    <s v="11/04/2026 12:08:48 AM"/>
    <s v="11/04/2026 12:15:07 AM"/>
    <s v="38120"/>
    <s v="19220"/>
    <s v="18900"/>
    <n v="18.899999999999999"/>
    <s v="RFID"/>
  </r>
  <r>
    <s v="33528"/>
    <x v="0"/>
    <s v="T311 EHH"/>
    <x v="1"/>
    <x v="3"/>
    <x v="1"/>
    <s v="MT"/>
    <x v="2"/>
    <s v="11/04/2026 12:12:10 AM"/>
    <s v="11/04/2026 12:18:49 AM"/>
    <s v="36840"/>
    <s v="16180"/>
    <s v="20660"/>
    <n v="20.66"/>
    <s v="RFID"/>
  </r>
  <r>
    <s v="33529"/>
    <x v="0"/>
    <s v="T293 EHH"/>
    <x v="1"/>
    <x v="3"/>
    <x v="1"/>
    <s v="MT"/>
    <x v="2"/>
    <s v="11/04/2026 12:16:00 AM"/>
    <s v="11/04/2026 12:21:33 AM"/>
    <s v="40760"/>
    <s v="16860"/>
    <s v="23900"/>
    <n v="23.9"/>
    <s v="RFID"/>
  </r>
  <r>
    <s v="33530"/>
    <x v="0"/>
    <s v="T299 EHH"/>
    <x v="1"/>
    <x v="3"/>
    <x v="1"/>
    <s v="MT"/>
    <x v="2"/>
    <s v="11/04/2026 12:19:50 AM"/>
    <s v="11/04/2026 12:25:25 AM"/>
    <s v="41200"/>
    <s v="19280"/>
    <s v="21920"/>
    <n v="21.92"/>
    <s v="RFID"/>
  </r>
  <r>
    <s v="33531"/>
    <x v="0"/>
    <s v="T311 EHH"/>
    <x v="1"/>
    <x v="3"/>
    <x v="1"/>
    <s v="MT"/>
    <x v="2"/>
    <s v="11/04/2026 12:24:34 AM"/>
    <s v="11/04/2026 12:30:02 AM"/>
    <s v="41820"/>
    <s v="16280"/>
    <s v="25540"/>
    <n v="25.54"/>
    <s v="RFID"/>
  </r>
  <r>
    <s v="33532"/>
    <x v="0"/>
    <s v="T293 EHH"/>
    <x v="1"/>
    <x v="3"/>
    <x v="1"/>
    <s v="MT"/>
    <x v="2"/>
    <s v="11/04/2026 12:28:26 AM"/>
    <s v="11/04/2026 12:33:46 AM"/>
    <s v="42480"/>
    <s v="17000"/>
    <s v="25480"/>
    <n v="25.48"/>
    <s v="RFID"/>
  </r>
  <r>
    <s v="33533"/>
    <x v="0"/>
    <s v="T299 EHH"/>
    <x v="1"/>
    <x v="3"/>
    <x v="1"/>
    <s v="MT"/>
    <x v="2"/>
    <s v="11/04/2026 12:31:46 AM"/>
    <s v="11/04/2026 12:37:04 AM"/>
    <s v="42360"/>
    <s v="19380"/>
    <s v="22980"/>
    <n v="22.98"/>
    <s v="RFID"/>
  </r>
  <r>
    <s v="33534"/>
    <x v="0"/>
    <s v="T311 EHH"/>
    <x v="1"/>
    <x v="3"/>
    <x v="1"/>
    <s v="MT"/>
    <x v="2"/>
    <s v="11/04/2026 12:36:05 AM"/>
    <s v="11/04/2026 12:41:53 AM"/>
    <s v="44760"/>
    <s v="16380"/>
    <s v="28380"/>
    <n v="28.38"/>
    <s v="RFID"/>
  </r>
  <r>
    <s v="33535"/>
    <x v="0"/>
    <s v="T293 EHH"/>
    <x v="1"/>
    <x v="3"/>
    <x v="1"/>
    <s v="MT"/>
    <x v="2"/>
    <s v="11/04/2026 12:40:07 AM"/>
    <s v="11/04/2026 12:45:12 AM"/>
    <s v="45320"/>
    <s v="17480"/>
    <s v="27840"/>
    <n v="27.84"/>
    <s v="RFID"/>
  </r>
  <r>
    <s v="33536"/>
    <x v="0"/>
    <s v="T299 EHH"/>
    <x v="1"/>
    <x v="3"/>
    <x v="1"/>
    <s v="MT"/>
    <x v="2"/>
    <s v="11/04/2026 12:42:47 AM"/>
    <s v="11/04/2026 12:48:45 AM"/>
    <s v="41680"/>
    <s v="19600"/>
    <s v="22080"/>
    <n v="22.08"/>
    <s v="RFID"/>
  </r>
  <r>
    <s v="33537"/>
    <x v="0"/>
    <s v="T311 EHH"/>
    <x v="1"/>
    <x v="3"/>
    <x v="1"/>
    <s v="MT"/>
    <x v="2"/>
    <s v="11/04/2026 12:47:34 AM"/>
    <s v="11/04/2026 12:54:10 AM"/>
    <s v="41120"/>
    <s v="16440"/>
    <s v="24680"/>
    <n v="24.68"/>
    <s v="RFID"/>
  </r>
  <r>
    <s v="33538"/>
    <x v="0"/>
    <s v="T293 EHH"/>
    <x v="1"/>
    <x v="3"/>
    <x v="1"/>
    <s v="MT"/>
    <x v="2"/>
    <s v="11/04/2026 12:53:06 AM"/>
    <s v="11/04/2026 12:59:07 AM"/>
    <s v="39580"/>
    <s v="16720"/>
    <s v="22860"/>
    <n v="22.86"/>
    <s v="RFID"/>
  </r>
  <r>
    <s v="33539"/>
    <x v="0"/>
    <s v="T299 EHH"/>
    <x v="1"/>
    <x v="3"/>
    <x v="1"/>
    <s v="MT"/>
    <x v="2"/>
    <s v="11/04/2026 12:56:19 AM"/>
    <s v="11/04/2026 01:03:44 AM"/>
    <s v="44740"/>
    <s v="20700"/>
    <s v="24040"/>
    <n v="24.04"/>
    <s v="RFID"/>
  </r>
  <r>
    <s v="33540"/>
    <x v="0"/>
    <s v="T311 EHH"/>
    <x v="1"/>
    <x v="3"/>
    <x v="1"/>
    <s v="MT"/>
    <x v="2"/>
    <s v="11/04/2026 01:00:44 AM"/>
    <s v="11/04/2026 01:42:09 AM"/>
    <s v="40180"/>
    <s v="16440"/>
    <s v="23740"/>
    <n v="23.74"/>
    <s v="RFID"/>
  </r>
  <r>
    <s v="33541"/>
    <x v="0"/>
    <s v="T293 EHH"/>
    <x v="1"/>
    <x v="3"/>
    <x v="1"/>
    <s v="MT"/>
    <x v="2"/>
    <s v="11/04/2026 01:05:36 AM"/>
    <s v="11/04/2026 03:45:25 AM"/>
    <s v="40980"/>
    <s v="15500"/>
    <s v="25480"/>
    <n v="25.48"/>
    <s v="RFID"/>
  </r>
  <r>
    <s v="33542"/>
    <x v="0"/>
    <s v="T299 EHH"/>
    <x v="1"/>
    <x v="3"/>
    <x v="1"/>
    <s v="MT"/>
    <x v="2"/>
    <s v="11/04/2026 01:13:35 AM"/>
    <s v="11/04/2026 01:47:32 AM"/>
    <s v="39400"/>
    <s v="15560"/>
    <s v="23840"/>
    <n v="23.84"/>
    <s v="RFID"/>
  </r>
  <r>
    <s v="33543"/>
    <x v="0"/>
    <s v="T311 EHH"/>
    <x v="1"/>
    <x v="3"/>
    <x v="1"/>
    <s v="MT"/>
    <x v="2"/>
    <s v="11/04/2026 03:38:33 AM"/>
    <s v="11/04/2026 03:46:58 AM"/>
    <s v="39580"/>
    <s v="16480"/>
    <s v="23100"/>
    <n v="23.1"/>
    <s v="RFID"/>
  </r>
  <r>
    <s v="33544"/>
    <x v="0"/>
    <s v="T299 EHH"/>
    <x v="1"/>
    <x v="3"/>
    <x v="1"/>
    <s v="MT"/>
    <x v="2"/>
    <s v="11/04/2026 03:44:05 AM"/>
    <s v="11/04/2026 03:52:48 AM"/>
    <s v="40100"/>
    <s v="16220"/>
    <s v="23880"/>
    <n v="23.88"/>
    <s v="RFID"/>
  </r>
  <r>
    <s v="33545"/>
    <x v="0"/>
    <s v="T293 EHH"/>
    <x v="1"/>
    <x v="3"/>
    <x v="1"/>
    <s v="MT"/>
    <x v="2"/>
    <s v="11/04/2026 03:51:40 AM"/>
    <s v="11/04/2026 03:57:15 AM"/>
    <s v="44060"/>
    <s v="16400"/>
    <s v="27660"/>
    <n v="27.66"/>
    <s v="RFID"/>
  </r>
  <r>
    <s v="33546"/>
    <x v="0"/>
    <s v="T311 EHH"/>
    <x v="1"/>
    <x v="3"/>
    <x v="1"/>
    <s v="MT"/>
    <x v="2"/>
    <s v="11/04/2026 03:55:37 AM"/>
    <s v="11/04/2026 04:01:38 AM"/>
    <s v="41740"/>
    <s v="16540"/>
    <s v="25200"/>
    <n v="25.2"/>
    <s v="RFID"/>
  </r>
  <r>
    <s v="33547"/>
    <x v="0"/>
    <s v="T299 EHH"/>
    <x v="1"/>
    <x v="3"/>
    <x v="1"/>
    <s v="MT"/>
    <x v="2"/>
    <s v="11/04/2026 04:00:34 AM"/>
    <s v="11/04/2026 04:07:10 AM"/>
    <s v="42860"/>
    <s v="16680"/>
    <s v="26180"/>
    <n v="26.18"/>
    <s v="RFID"/>
  </r>
  <r>
    <s v="33548"/>
    <x v="0"/>
    <s v="T293 EHH"/>
    <x v="1"/>
    <x v="3"/>
    <x v="1"/>
    <s v="MT"/>
    <x v="2"/>
    <s v="11/04/2026 04:04:29 AM"/>
    <s v="11/04/2026 04:09:26 AM"/>
    <s v="41640"/>
    <s v="16700"/>
    <s v="24940"/>
    <n v="24.94"/>
    <s v="RFID"/>
  </r>
  <r>
    <s v="33549"/>
    <x v="0"/>
    <s v="T311 EHH"/>
    <x v="1"/>
    <x v="3"/>
    <x v="1"/>
    <s v="MT"/>
    <x v="2"/>
    <s v="11/04/2026 04:08:11 AM"/>
    <s v="11/04/2026 04:14:17 AM"/>
    <s v="41900"/>
    <s v="16560"/>
    <s v="25340"/>
    <n v="25.34"/>
    <s v="RFID"/>
  </r>
  <r>
    <s v="33550"/>
    <x v="0"/>
    <s v="T299 EHH"/>
    <x v="1"/>
    <x v="3"/>
    <x v="1"/>
    <s v="MT"/>
    <x v="2"/>
    <s v="11/04/2026 04:13:09 AM"/>
    <s v="11/04/2026 04:18:29 AM"/>
    <s v="37920"/>
    <s v="17380"/>
    <s v="20540"/>
    <n v="20.54"/>
    <s v="RFID"/>
  </r>
  <r>
    <s v="33551"/>
    <x v="0"/>
    <s v="T293 EHH"/>
    <x v="1"/>
    <x v="3"/>
    <x v="1"/>
    <s v="MT"/>
    <x v="2"/>
    <s v="11/04/2026 04:19:47 AM"/>
    <s v="11/04/2026 04:23:38 AM"/>
    <s v="39500"/>
    <s v="16960"/>
    <s v="22540"/>
    <n v="22.54"/>
    <s v="RFID"/>
  </r>
  <r>
    <s v="33552"/>
    <x v="0"/>
    <s v="T311 EHH"/>
    <x v="1"/>
    <x v="3"/>
    <x v="1"/>
    <s v="MT"/>
    <x v="2"/>
    <s v="11/04/2026 04:24:52 AM"/>
    <s v="11/04/2026 04:30:34 AM"/>
    <s v="39200"/>
    <s v="16700"/>
    <s v="22500"/>
    <n v="22.5"/>
    <s v="RFID"/>
  </r>
  <r>
    <s v="33553"/>
    <x v="0"/>
    <s v="T299 EHH"/>
    <x v="1"/>
    <x v="3"/>
    <x v="1"/>
    <s v="MT"/>
    <x v="2"/>
    <s v="11/04/2026 04:29:38 AM"/>
    <s v="11/04/2026 04:35:41 AM"/>
    <s v="39500"/>
    <s v="19020"/>
    <s v="20480"/>
    <n v="20.48"/>
    <s v="RFID"/>
  </r>
  <r>
    <s v="33554"/>
    <x v="0"/>
    <s v="T293 EHH"/>
    <x v="1"/>
    <x v="3"/>
    <x v="1"/>
    <s v="MT"/>
    <x v="2"/>
    <s v="11/04/2026 04:34:02 AM"/>
    <s v="11/04/2026 04:40:21 AM"/>
    <s v="37120"/>
    <s v="17120"/>
    <s v="20000"/>
    <n v="20"/>
    <s v="RFID"/>
  </r>
  <r>
    <s v="33555"/>
    <x v="0"/>
    <s v="T311 EHH"/>
    <x v="1"/>
    <x v="3"/>
    <x v="1"/>
    <s v="MT"/>
    <x v="2"/>
    <s v="11/04/2026 04:38:46 AM"/>
    <s v="11/04/2026 04:44:15 AM"/>
    <s v="38440"/>
    <s v="16760"/>
    <s v="21680"/>
    <n v="21.68"/>
    <s v="RFID"/>
  </r>
  <r>
    <s v="33556"/>
    <x v="0"/>
    <s v="T299 EHH"/>
    <x v="1"/>
    <x v="3"/>
    <x v="1"/>
    <s v="MT"/>
    <x v="2"/>
    <s v="11/04/2026 04:43:08 AM"/>
    <s v="11/04/2026 04:48:39 AM"/>
    <s v="38340"/>
    <s v="19620"/>
    <s v="18720"/>
    <n v="18.72"/>
    <s v="RFID"/>
  </r>
  <r>
    <s v="33557"/>
    <x v="0"/>
    <s v="T293 EHH"/>
    <x v="1"/>
    <x v="3"/>
    <x v="1"/>
    <s v="MT"/>
    <x v="2"/>
    <s v="11/04/2026 04:47:43 AM"/>
    <s v="11/04/2026 04:53:51 AM"/>
    <s v="37800"/>
    <s v="17120"/>
    <s v="20680"/>
    <n v="20.68"/>
    <s v="RFID"/>
  </r>
  <r>
    <s v="33558"/>
    <x v="0"/>
    <s v="T311 EHH"/>
    <x v="1"/>
    <x v="3"/>
    <x v="1"/>
    <s v="MT"/>
    <x v="2"/>
    <s v="11/04/2026 04:53:02 AM"/>
    <s v="11/04/2026 04:57:58 AM"/>
    <s v="37920"/>
    <s v="16840"/>
    <s v="21080"/>
    <n v="21.08"/>
    <s v="RFID"/>
  </r>
  <r>
    <s v="33559"/>
    <x v="0"/>
    <s v="T299 EHH"/>
    <x v="1"/>
    <x v="3"/>
    <x v="1"/>
    <s v="MT"/>
    <x v="2"/>
    <s v="11/04/2026 05:01:16 AM"/>
    <s v="11/04/2026 05:08:14 AM"/>
    <s v="36140"/>
    <s v="17220"/>
    <s v="18920"/>
    <n v="18.920000000000002"/>
    <s v="RFID"/>
  </r>
  <r>
    <s v="33560"/>
    <x v="0"/>
    <s v="T293 EHH"/>
    <x v="1"/>
    <x v="3"/>
    <x v="1"/>
    <s v="MT"/>
    <x v="2"/>
    <s v="11/04/2026 05:05:57 AM"/>
    <s v="11/04/2026 05:12:33 AM"/>
    <s v="38460"/>
    <s v="17260"/>
    <s v="21200"/>
    <n v="21.2"/>
    <s v="RFID"/>
  </r>
  <r>
    <s v="33561"/>
    <x v="0"/>
    <s v="T311 EHH"/>
    <x v="1"/>
    <x v="3"/>
    <x v="1"/>
    <s v="MT"/>
    <x v="2"/>
    <s v="11/04/2026 05:10:38 AM"/>
    <s v="11/04/2026 05:16:10 AM"/>
    <s v="35000"/>
    <s v="17020"/>
    <s v="17980"/>
    <n v="17.98"/>
    <s v="RFID"/>
  </r>
  <r>
    <s v="33562"/>
    <x v="0"/>
    <s v="T299 EHH"/>
    <x v="1"/>
    <x v="3"/>
    <x v="0"/>
    <s v="MT"/>
    <x v="2"/>
    <s v="11/04/2026 05:21:05 AM"/>
    <s v="11/04/2026 05:28:51 AM"/>
    <s v="35820"/>
    <s v="18340"/>
    <s v="17480"/>
    <n v="17.48"/>
    <s v="RFID"/>
  </r>
  <r>
    <s v="33563"/>
    <x v="0"/>
    <s v="T293 EHH"/>
    <x v="1"/>
    <x v="3"/>
    <x v="0"/>
    <s v="MT"/>
    <x v="2"/>
    <s v="11/04/2026 05:27:24 AM"/>
    <s v="11/04/2026 05:33:12 AM"/>
    <s v="35900"/>
    <s v="17260"/>
    <s v="18640"/>
    <n v="18.64"/>
    <s v="RFID"/>
  </r>
  <r>
    <s v="33564"/>
    <x v="0"/>
    <s v="T311 EHH"/>
    <x v="1"/>
    <x v="3"/>
    <x v="0"/>
    <s v="MT"/>
    <x v="2"/>
    <s v="11/04/2026 05:34:03 AM"/>
    <s v="11/04/2026 05:39:16 AM"/>
    <s v="33680"/>
    <s v="19060"/>
    <s v="14620"/>
    <n v="14.62"/>
    <s v="RFID"/>
  </r>
  <r>
    <s v="33565"/>
    <x v="0"/>
    <s v="T299 EHH"/>
    <x v="1"/>
    <x v="3"/>
    <x v="0"/>
    <s v="MT"/>
    <x v="2"/>
    <s v="11/04/2026 05:40:12 AM"/>
    <s v="11/04/2026 05:46:58 AM"/>
    <s v="35780"/>
    <s v="19380"/>
    <s v="16400"/>
    <n v="16.399999999999999"/>
    <s v="RFID"/>
  </r>
  <r>
    <s v="33566"/>
    <x v="0"/>
    <s v="T293 EHH"/>
    <x v="1"/>
    <x v="3"/>
    <x v="0"/>
    <s v="MT"/>
    <x v="2"/>
    <s v="11/04/2026 05:45:19 AM"/>
    <s v="11/04/2026 05:51:36 AM"/>
    <s v="35860"/>
    <s v="17580"/>
    <s v="18280"/>
    <n v="18.28"/>
    <s v="RFID"/>
  </r>
  <r>
    <s v="33567"/>
    <x v="0"/>
    <s v="T311 EHH"/>
    <x v="1"/>
    <x v="3"/>
    <x v="0"/>
    <s v="MT"/>
    <x v="2"/>
    <s v="11/04/2026 05:50:49 AM"/>
    <s v="11/04/2026 05:56:27 AM"/>
    <s v="38320"/>
    <s v="17120"/>
    <s v="21200"/>
    <n v="21.2"/>
    <s v="RFID"/>
  </r>
  <r>
    <s v="33568"/>
    <x v="0"/>
    <s v="T299 EHH"/>
    <x v="1"/>
    <x v="3"/>
    <x v="0"/>
    <s v="MT"/>
    <x v="2"/>
    <s v="11/04/2026 05:57:48 AM"/>
    <s v="11/04/2026 06:04:01 AM"/>
    <s v="35940"/>
    <s v="20040"/>
    <s v="15900"/>
    <n v="15.9"/>
    <s v="RFID"/>
  </r>
  <r>
    <s v="33569"/>
    <x v="0"/>
    <s v="T293 EHH"/>
    <x v="1"/>
    <x v="3"/>
    <x v="0"/>
    <s v="MT"/>
    <x v="2"/>
    <s v="11/04/2026 06:04:51 AM"/>
    <s v="11/04/2026 06:15:42 AM"/>
    <s v="35840"/>
    <s v="20760"/>
    <s v="15080"/>
    <n v="15.08"/>
    <s v="RFID"/>
  </r>
  <r>
    <s v="33570"/>
    <x v="0"/>
    <s v="T311 EHH"/>
    <x v="1"/>
    <x v="3"/>
    <x v="0"/>
    <s v="MT"/>
    <x v="2"/>
    <s v="11/04/2026 06:12:23 AM"/>
    <s v="11/04/2026 06:30:08 AM"/>
    <s v="39280"/>
    <s v="17680"/>
    <s v="21600"/>
    <n v="21.6"/>
    <s v="RFID"/>
  </r>
  <r>
    <s v="33571"/>
    <x v="0"/>
    <s v="T293 EHH"/>
    <x v="1"/>
    <x v="3"/>
    <x v="0"/>
    <s v="MT"/>
    <x v="2"/>
    <s v="11/04/2026 06:24:39 AM"/>
    <s v="11/04/2026 06:31:17 AM"/>
    <s v="39600"/>
    <s v="19480"/>
    <s v="20120"/>
    <n v="20.12"/>
    <s v="RFID"/>
  </r>
  <r>
    <s v="33572"/>
    <x v="0"/>
    <s v="T299 EHH"/>
    <x v="1"/>
    <x v="3"/>
    <x v="0"/>
    <s v="MT"/>
    <x v="2"/>
    <s v="11/04/2026 07:01:58 AM"/>
    <s v="11/04/2026 07:08:05 AM"/>
    <s v="37780"/>
    <s v="16320"/>
    <s v="21460"/>
    <n v="21.46"/>
    <s v="RFID"/>
  </r>
  <r>
    <s v="33573"/>
    <x v="0"/>
    <s v="T311 EHH"/>
    <x v="1"/>
    <x v="3"/>
    <x v="0"/>
    <s v="MT"/>
    <x v="2"/>
    <s v="11/04/2026 07:07:07 AM"/>
    <s v="11/04/2026 07:12:07 AM"/>
    <s v="36860"/>
    <s v="20180"/>
    <s v="16680"/>
    <n v="16.68"/>
    <s v="RFID"/>
  </r>
  <r>
    <s v="33574"/>
    <x v="0"/>
    <s v="T293 EHH"/>
    <x v="1"/>
    <x v="3"/>
    <x v="0"/>
    <s v="MT"/>
    <x v="2"/>
    <s v="11/04/2026 07:13:02 AM"/>
    <s v="11/04/2026 07:21:47 AM"/>
    <s v="36320"/>
    <s v="18300"/>
    <s v="18020"/>
    <n v="18.02"/>
    <s v="RFID"/>
  </r>
  <r>
    <s v="33575"/>
    <x v="0"/>
    <s v="T299 EHH"/>
    <x v="1"/>
    <x v="3"/>
    <x v="0"/>
    <s v="MT"/>
    <x v="2"/>
    <s v="11/04/2026 07:19:37 AM"/>
    <s v="11/04/2026 07:25:40 AM"/>
    <s v="36960"/>
    <s v="16600"/>
    <s v="20360"/>
    <n v="20.36"/>
    <s v="RFID"/>
  </r>
  <r>
    <s v="33576"/>
    <x v="0"/>
    <s v="T311 EHH"/>
    <x v="1"/>
    <x v="3"/>
    <x v="0"/>
    <s v="MT"/>
    <x v="2"/>
    <s v="11/04/2026 07:28:19 AM"/>
    <s v="11/04/2026 07:33:24 AM"/>
    <s v="36920"/>
    <s v="16280"/>
    <s v="20640"/>
    <n v="20.64"/>
    <s v="RFID"/>
  </r>
  <r>
    <s v="33577"/>
    <x v="0"/>
    <s v="T311 EHH"/>
    <x v="1"/>
    <x v="3"/>
    <x v="0"/>
    <s v="MT"/>
    <x v="2"/>
    <s v="11/04/2026 09:38:25 AM"/>
    <s v="11/04/2026 09:45:13 AM"/>
    <s v="38200"/>
    <s v="16520"/>
    <s v="21680"/>
    <n v="21.68"/>
    <s v="RFID"/>
  </r>
  <r>
    <s v="33578"/>
    <x v="0"/>
    <s v="T299 EHH"/>
    <x v="1"/>
    <x v="3"/>
    <x v="0"/>
    <s v="MT"/>
    <x v="2"/>
    <s v="11/04/2026 09:40:39 AM"/>
    <s v="11/04/2026 09:48:09 AM"/>
    <s v="38580"/>
    <s v="16220"/>
    <s v="22360"/>
    <n v="22.36"/>
    <s v="RFID"/>
  </r>
  <r>
    <s v="33579"/>
    <x v="0"/>
    <s v="T293 EHH"/>
    <x v="1"/>
    <x v="3"/>
    <x v="0"/>
    <s v="MT"/>
    <x v="2"/>
    <s v="11/04/2026 09:46:35 AM"/>
    <s v="11/04/2026 09:52:25 AM"/>
    <s v="40980"/>
    <s v="18660"/>
    <s v="22320"/>
    <n v="22.32"/>
    <s v="RFID"/>
  </r>
  <r>
    <s v="33580"/>
    <x v="0"/>
    <s v="T311 EHH"/>
    <x v="1"/>
    <x v="3"/>
    <x v="0"/>
    <s v="MT"/>
    <x v="2"/>
    <s v="11/04/2026 09:54:44 AM"/>
    <s v="11/04/2026 10:02:09 AM"/>
    <s v="40300"/>
    <s v="16720"/>
    <s v="23580"/>
    <n v="23.58"/>
    <s v="RFID"/>
  </r>
  <r>
    <s v="33581"/>
    <x v="0"/>
    <s v="T299 EHH"/>
    <x v="1"/>
    <x v="3"/>
    <x v="0"/>
    <s v="MT"/>
    <x v="2"/>
    <s v="11/04/2026 09:57:33 AM"/>
    <s v="11/04/2026 10:03:48 AM"/>
    <s v="39060"/>
    <s v="16940"/>
    <s v="22120"/>
    <n v="22.12"/>
    <s v="RFID"/>
  </r>
  <r>
    <s v="33582"/>
    <x v="0"/>
    <s v="T293 EHH"/>
    <x v="1"/>
    <x v="3"/>
    <x v="0"/>
    <s v="MT"/>
    <x v="2"/>
    <s v="11/04/2026 10:05:16 AM"/>
    <s v="11/04/2026 10:11:34 AM"/>
    <s v="40540"/>
    <s v="15420"/>
    <s v="25120"/>
    <n v="25.12"/>
    <s v="RFID"/>
  </r>
  <r>
    <s v="33583"/>
    <x v="0"/>
    <s v="T311 EHH"/>
    <x v="1"/>
    <x v="3"/>
    <x v="0"/>
    <s v="MT"/>
    <x v="2"/>
    <s v="11/04/2026 10:09:56 AM"/>
    <s v="11/04/2026 10:14:57 AM"/>
    <s v="40720"/>
    <s v="16880"/>
    <s v="23840"/>
    <n v="23.84"/>
    <s v="RFID"/>
  </r>
  <r>
    <s v="33584"/>
    <x v="0"/>
    <s v="T299 EHH"/>
    <x v="1"/>
    <x v="3"/>
    <x v="0"/>
    <s v="MT"/>
    <x v="2"/>
    <s v="11/04/2026 10:13:20 AM"/>
    <s v="11/04/2026 10:20:18 AM"/>
    <s v="42620"/>
    <s v="16340"/>
    <s v="26280"/>
    <n v="26.28"/>
    <s v="RFID"/>
  </r>
  <r>
    <s v="33585"/>
    <x v="0"/>
    <s v="T311 EHH"/>
    <x v="1"/>
    <x v="3"/>
    <x v="0"/>
    <s v="MT"/>
    <x v="2"/>
    <s v="11/04/2026 10:21:58 AM"/>
    <s v="11/04/2026 10:29:00 AM"/>
    <s v="40380"/>
    <s v="17080"/>
    <s v="23300"/>
    <n v="23.3"/>
    <s v="RFID"/>
  </r>
  <r>
    <s v="33586"/>
    <x v="0"/>
    <s v="T293 EHH"/>
    <x v="1"/>
    <x v="3"/>
    <x v="0"/>
    <s v="MT"/>
    <x v="2"/>
    <s v="11/04/2026 10:24:46 AM"/>
    <s v="11/04/2026 10:30:15 AM"/>
    <s v="38780"/>
    <s v="15540"/>
    <s v="23240"/>
    <n v="23.24"/>
    <s v="RFID"/>
  </r>
  <r>
    <s v="33587"/>
    <x v="0"/>
    <s v="T299 EHH"/>
    <x v="1"/>
    <x v="3"/>
    <x v="0"/>
    <s v="MT"/>
    <x v="2"/>
    <s v="11/04/2026 10:26:51 AM"/>
    <s v="11/04/2026 10:32:04 AM"/>
    <s v="41400"/>
    <s v="16400"/>
    <s v="25000"/>
    <n v="25"/>
    <s v="RFID"/>
  </r>
  <r>
    <s v="33588"/>
    <x v="0"/>
    <s v="T311 EHH"/>
    <x v="1"/>
    <x v="3"/>
    <x v="0"/>
    <s v="MT"/>
    <x v="2"/>
    <s v="11/04/2026 10:35:59 AM"/>
    <s v="11/04/2026 10:41:29 AM"/>
    <s v="36260"/>
    <s v="17520"/>
    <s v="18740"/>
    <n v="18.739999999999998"/>
    <s v="RFID"/>
  </r>
  <r>
    <s v="33589"/>
    <x v="0"/>
    <s v="T293 EHH"/>
    <x v="1"/>
    <x v="3"/>
    <x v="0"/>
    <s v="MT"/>
    <x v="2"/>
    <s v="11/04/2026 10:38:41 AM"/>
    <s v="11/04/2026 10:44:31 AM"/>
    <s v="38460"/>
    <s v="15720"/>
    <s v="22740"/>
    <n v="22.74"/>
    <s v="RFID"/>
  </r>
  <r>
    <s v="33590"/>
    <x v="0"/>
    <s v="T299 EHH"/>
    <x v="1"/>
    <x v="3"/>
    <x v="0"/>
    <s v="MT"/>
    <x v="2"/>
    <s v="11/04/2026 10:42:25 AM"/>
    <s v="11/04/2026 10:47:58 AM"/>
    <s v="39560"/>
    <s v="16480"/>
    <s v="23080"/>
    <n v="23.08"/>
    <s v="RFID"/>
  </r>
  <r>
    <s v="33591"/>
    <x v="0"/>
    <s v="T311 EHH"/>
    <x v="1"/>
    <x v="3"/>
    <x v="0"/>
    <s v="MT"/>
    <x v="2"/>
    <s v="11/04/2026 11:17:58 AM"/>
    <s v="11/04/2026 11:24:45 AM"/>
    <s v="38160"/>
    <s v="16560"/>
    <s v="21600"/>
    <n v="21.6"/>
    <s v="RFID"/>
  </r>
  <r>
    <s v="33592"/>
    <x v="0"/>
    <s v="T299 EHH"/>
    <x v="1"/>
    <x v="3"/>
    <x v="0"/>
    <s v="MT"/>
    <x v="2"/>
    <s v="11/04/2026 11:23:38 AM"/>
    <s v="11/04/2026 11:28:55 AM"/>
    <s v="40520"/>
    <s v="17100"/>
    <s v="23420"/>
    <n v="23.42"/>
    <s v="RFID"/>
  </r>
  <r>
    <s v="33593"/>
    <x v="0"/>
    <s v="T293 EHH"/>
    <x v="1"/>
    <x v="3"/>
    <x v="0"/>
    <s v="MT"/>
    <x v="2"/>
    <s v="11/04/2026 11:26:53 AM"/>
    <s v="11/04/2026 11:33:48 AM"/>
    <s v="41140"/>
    <s v="15980"/>
    <s v="25160"/>
    <n v="25.16"/>
    <s v="RFID"/>
  </r>
  <r>
    <s v="33594"/>
    <x v="0"/>
    <s v="T311 EHH"/>
    <x v="1"/>
    <x v="3"/>
    <x v="0"/>
    <s v="MT"/>
    <x v="2"/>
    <s v="11/04/2026 11:32:02 AM"/>
    <s v="11/04/2026 11:39:09 AM"/>
    <s v="38080"/>
    <s v="16640"/>
    <s v="21440"/>
    <n v="21.44"/>
    <s v="RFID"/>
  </r>
  <r>
    <s v="33595"/>
    <x v="0"/>
    <s v="T299 EHH"/>
    <x v="1"/>
    <x v="3"/>
    <x v="0"/>
    <s v="MT"/>
    <x v="2"/>
    <s v="11/04/2026 11:36:52 AM"/>
    <s v="11/04/2026 11:42:38 AM"/>
    <s v="38700"/>
    <s v="17780"/>
    <s v="20920"/>
    <n v="20.92"/>
    <s v="RFID"/>
  </r>
  <r>
    <s v="33596"/>
    <x v="0"/>
    <s v="T293 EHH"/>
    <x v="1"/>
    <x v="3"/>
    <x v="0"/>
    <s v="MT"/>
    <x v="2"/>
    <s v="11/04/2026 11:40:32 AM"/>
    <s v="11/04/2026 11:47:57 AM"/>
    <s v="40660"/>
    <s v="16700"/>
    <s v="23960"/>
    <n v="23.96"/>
    <s v="RFID"/>
  </r>
  <r>
    <s v="33597"/>
    <x v="0"/>
    <s v="T311 EHH"/>
    <x v="1"/>
    <x v="3"/>
    <x v="0"/>
    <s v="MT"/>
    <x v="2"/>
    <s v="11/04/2026 11:45:33 AM"/>
    <s v="11/04/2026 11:53:14 AM"/>
    <s v="38700"/>
    <s v="18160"/>
    <s v="20540"/>
    <n v="20.54"/>
    <s v="RFID"/>
  </r>
  <r>
    <s v="33598"/>
    <x v="0"/>
    <s v="T299 EHH"/>
    <x v="1"/>
    <x v="3"/>
    <x v="0"/>
    <s v="MT"/>
    <x v="2"/>
    <s v="11/04/2026 11:49:03 AM"/>
    <s v="11/04/2026 12:02:32 PM"/>
    <s v="40120"/>
    <s v="15220"/>
    <s v="24900"/>
    <n v="24.9"/>
    <s v="RFID"/>
  </r>
  <r>
    <s v="33599"/>
    <x v="0"/>
    <s v="T293 EHH"/>
    <x v="1"/>
    <x v="3"/>
    <x v="0"/>
    <s v="MT"/>
    <x v="2"/>
    <s v="11/04/2026 11:54:16 AM"/>
    <s v="11/04/2026 12:00:50 PM"/>
    <s v="39140"/>
    <s v="17200"/>
    <s v="21940"/>
    <n v="21.94"/>
    <s v="RFID"/>
  </r>
  <r>
    <s v="33600"/>
    <x v="0"/>
    <s v="T311 EHH"/>
    <x v="1"/>
    <x v="3"/>
    <x v="0"/>
    <s v="MT"/>
    <x v="2"/>
    <s v="11/04/2026 11:59:55 AM"/>
    <s v="11/04/2026 12:08:51 PM"/>
    <s v="40020"/>
    <s v="15420"/>
    <s v="24600"/>
    <n v="24.6"/>
    <s v="RFID"/>
  </r>
  <r>
    <s v="33601"/>
    <x v="0"/>
    <s v="T293 EHH"/>
    <x v="1"/>
    <x v="3"/>
    <x v="0"/>
    <s v="MT"/>
    <x v="2"/>
    <s v="11/04/2026 12:07:59 PM"/>
    <s v="11/04/2026 12:17:47 PM"/>
    <s v="40980"/>
    <s v="14840"/>
    <s v="26140"/>
    <n v="26.14"/>
    <s v="RFID"/>
  </r>
  <r>
    <s v="33602"/>
    <x v="0"/>
    <s v="T299 EHH"/>
    <x v="1"/>
    <x v="3"/>
    <x v="0"/>
    <s v="MT"/>
    <x v="2"/>
    <s v="11/04/2026 12:11:16 PM"/>
    <s v="11/04/2026 12:18:51 PM"/>
    <s v="36880"/>
    <s v="16060"/>
    <s v="20820"/>
    <n v="20.82"/>
    <s v="RFID"/>
  </r>
  <r>
    <s v="33603"/>
    <x v="0"/>
    <s v="T311 EHH"/>
    <x v="1"/>
    <x v="3"/>
    <x v="0"/>
    <s v="MT"/>
    <x v="2"/>
    <s v="11/04/2026 12:16:49 PM"/>
    <s v="11/04/2026 12:26:49 PM"/>
    <s v="38600"/>
    <s v="15740"/>
    <s v="22860"/>
    <n v="22.86"/>
    <s v="RFID"/>
  </r>
  <r>
    <s v="33604"/>
    <x v="0"/>
    <s v="T293 EHH"/>
    <x v="1"/>
    <x v="3"/>
    <x v="0"/>
    <s v="MT"/>
    <x v="2"/>
    <s v="11/04/2026 12:24:20 PM"/>
    <s v="11/04/2026 12:33:03 PM"/>
    <s v="38120"/>
    <s v="15100"/>
    <s v="23020"/>
    <n v="23.02"/>
    <s v="RFID"/>
  </r>
  <r>
    <s v="33605"/>
    <x v="0"/>
    <s v="T299 EHH"/>
    <x v="1"/>
    <x v="3"/>
    <x v="0"/>
    <s v="MT"/>
    <x v="2"/>
    <s v="11/04/2026 12:28:10 PM"/>
    <s v="11/04/2026 12:35:10 PM"/>
    <s v="38520"/>
    <s v="16520"/>
    <s v="22000"/>
    <n v="22"/>
    <s v="RFID"/>
  </r>
  <r>
    <s v="33606"/>
    <x v="0"/>
    <s v="T311 EHH"/>
    <x v="1"/>
    <x v="3"/>
    <x v="0"/>
    <s v="MT"/>
    <x v="2"/>
    <s v="11/04/2026 12:34:13 PM"/>
    <s v="11/04/2026 12:46:15 PM"/>
    <s v="37380"/>
    <s v="16040"/>
    <s v="21340"/>
    <n v="21.34"/>
    <s v="RFID"/>
  </r>
  <r>
    <s v="33607"/>
    <x v="0"/>
    <s v="T293 EHH"/>
    <x v="1"/>
    <x v="3"/>
    <x v="0"/>
    <s v="MT"/>
    <x v="2"/>
    <s v="11/04/2026 12:39:03 PM"/>
    <s v="11/04/2026 12:48:11 PM"/>
    <s v="38120"/>
    <s v="15460"/>
    <s v="22660"/>
    <n v="22.66"/>
    <s v="RFID"/>
  </r>
  <r>
    <s v="33608"/>
    <x v="0"/>
    <s v="T299 EHH"/>
    <x v="1"/>
    <x v="3"/>
    <x v="0"/>
    <s v="MT"/>
    <x v="2"/>
    <s v="11/04/2026 12:43:09 PM"/>
    <s v="11/04/2026 12:53:12 PM"/>
    <s v="39600"/>
    <s v="16740"/>
    <s v="22860"/>
    <n v="22.86"/>
    <s v="RFID"/>
  </r>
  <r>
    <s v="33609"/>
    <x v="0"/>
    <s v="T311 EHH"/>
    <x v="1"/>
    <x v="3"/>
    <x v="0"/>
    <s v="MT"/>
    <x v="2"/>
    <s v="11/04/2026 12:52:00 PM"/>
    <s v="11/04/2026 12:58:20 PM"/>
    <s v="38060"/>
    <s v="16600"/>
    <s v="21460"/>
    <n v="21.46"/>
    <s v="RFID"/>
  </r>
  <r>
    <s v="33610"/>
    <x v="0"/>
    <s v="T293 EHH"/>
    <x v="1"/>
    <x v="3"/>
    <x v="0"/>
    <s v="MT"/>
    <x v="2"/>
    <s v="11/04/2026 12:54:42 PM"/>
    <s v="11/04/2026 12:59:33 PM"/>
    <s v="38620"/>
    <s v="16200"/>
    <s v="22420"/>
    <n v="22.42"/>
    <s v="RFID"/>
  </r>
  <r>
    <s v="33611"/>
    <x v="0"/>
    <s v="T311 EHH"/>
    <x v="1"/>
    <x v="3"/>
    <x v="0"/>
    <s v="MT"/>
    <x v="2"/>
    <s v="11/04/2026 02:17:26 PM"/>
    <s v="11/04/2026 02:26:01 PM"/>
    <s v="37700"/>
    <s v="16340"/>
    <s v="21360"/>
    <n v="21.36"/>
    <s v="RFID"/>
  </r>
  <r>
    <s v="33612"/>
    <x v="0"/>
    <s v="T293 EHH"/>
    <x v="1"/>
    <x v="3"/>
    <x v="0"/>
    <s v="MT"/>
    <x v="2"/>
    <s v="11/04/2026 02:20:00 PM"/>
    <s v="11/04/2026 02:29:11 PM"/>
    <s v="38400"/>
    <s v="17340"/>
    <s v="21060"/>
    <n v="21.06"/>
    <s v="RFID"/>
  </r>
  <r>
    <s v="33613"/>
    <x v="0"/>
    <s v="T299 EHH"/>
    <x v="1"/>
    <x v="3"/>
    <x v="0"/>
    <s v="MT"/>
    <x v="2"/>
    <s v="11/04/2026 02:27:10 PM"/>
    <s v="11/04/2026 02:32:50 PM"/>
    <s v="39180"/>
    <s v="16940"/>
    <s v="22240"/>
    <n v="22.24"/>
    <s v="RFID"/>
  </r>
  <r>
    <s v="33614"/>
    <x v="0"/>
    <s v="T311 EHH"/>
    <x v="1"/>
    <x v="3"/>
    <x v="0"/>
    <s v="MT"/>
    <x v="2"/>
    <s v="11/04/2026 02:33:52 PM"/>
    <s v="11/04/2026 02:39:39 PM"/>
    <s v="37300"/>
    <s v="16860"/>
    <s v="20440"/>
    <n v="20.440000000000001"/>
    <s v="RFID"/>
  </r>
  <r>
    <s v="33615"/>
    <x v="0"/>
    <s v="T293 EHH"/>
    <x v="1"/>
    <x v="3"/>
    <x v="0"/>
    <s v="MT"/>
    <x v="2"/>
    <s v="11/04/2026 02:37:02 PM"/>
    <s v="11/04/2026 02:43:26 PM"/>
    <s v="37140"/>
    <s v="17680"/>
    <s v="19460"/>
    <n v="19.46"/>
    <s v="RFID"/>
  </r>
  <r>
    <s v="33616"/>
    <x v="0"/>
    <s v="T299 EHH"/>
    <x v="1"/>
    <x v="3"/>
    <x v="1"/>
    <s v="MT"/>
    <x v="2"/>
    <s v="11/04/2026 02:47:09 PM"/>
    <s v="11/04/2026 02:53:10 PM"/>
    <s v="41180"/>
    <s v="18220"/>
    <s v="22960"/>
    <n v="22.96"/>
    <s v="RFID"/>
  </r>
  <r>
    <s v="33617"/>
    <x v="0"/>
    <s v="T311 EHH"/>
    <x v="1"/>
    <x v="3"/>
    <x v="1"/>
    <s v="MT"/>
    <x v="2"/>
    <s v="11/04/2026 02:50:16 PM"/>
    <s v="11/04/2026 02:57:03 PM"/>
    <s v="40440"/>
    <s v="17260"/>
    <s v="23180"/>
    <n v="23.18"/>
    <s v="RFID"/>
  </r>
  <r>
    <s v="33618"/>
    <x v="0"/>
    <s v="T293 EHH"/>
    <x v="1"/>
    <x v="3"/>
    <x v="1"/>
    <s v="MT"/>
    <x v="2"/>
    <s v="11/04/2026 02:54:29 PM"/>
    <s v="11/04/2026 03:00:08 PM"/>
    <s v="43440"/>
    <s v="18100"/>
    <s v="25340"/>
    <n v="25.34"/>
    <s v="RFID"/>
  </r>
  <r>
    <s v="33619"/>
    <x v="0"/>
    <s v="T299 EHH"/>
    <x v="1"/>
    <x v="3"/>
    <x v="1"/>
    <s v="MT"/>
    <x v="2"/>
    <s v="11/04/2026 02:58:03 PM"/>
    <s v="11/04/2026 03:05:04 PM"/>
    <s v="43260"/>
    <s v="18460"/>
    <s v="24800"/>
    <n v="24.8"/>
    <s v="RFID"/>
  </r>
  <r>
    <s v="33620"/>
    <x v="0"/>
    <s v="T311 EHH"/>
    <x v="1"/>
    <x v="3"/>
    <x v="1"/>
    <s v="MT"/>
    <x v="2"/>
    <s v="11/04/2026 03:03:35 PM"/>
    <s v="11/04/2026 03:10:14 PM"/>
    <s v="39980"/>
    <s v="17640"/>
    <s v="22340"/>
    <n v="22.34"/>
    <s v="RFID"/>
  </r>
  <r>
    <s v="33621"/>
    <x v="0"/>
    <s v="T293 EHH"/>
    <x v="1"/>
    <x v="3"/>
    <x v="1"/>
    <s v="MT"/>
    <x v="2"/>
    <s v="11/04/2026 03:06:20 PM"/>
    <s v="11/04/2026 03:12:18 PM"/>
    <s v="41160"/>
    <s v="18560"/>
    <s v="22600"/>
    <n v="22.6"/>
    <s v="RFID"/>
  </r>
  <r>
    <s v="33622"/>
    <x v="0"/>
    <s v="T299 EHH"/>
    <x v="1"/>
    <x v="3"/>
    <x v="1"/>
    <s v="MT"/>
    <x v="2"/>
    <s v="11/04/2026 03:11:10 PM"/>
    <s v="11/04/2026 03:18:14 PM"/>
    <s v="41320"/>
    <s v="18580"/>
    <s v="22740"/>
    <n v="22.74"/>
    <s v="RFID"/>
  </r>
  <r>
    <s v="33623"/>
    <x v="0"/>
    <s v="T311 EHH"/>
    <x v="1"/>
    <x v="3"/>
    <x v="1"/>
    <s v="MT"/>
    <x v="2"/>
    <s v="11/04/2026 03:15:53 PM"/>
    <s v="11/04/2026 03:36:17 PM"/>
    <s v="37880"/>
    <s v="17740"/>
    <s v="20140"/>
    <n v="20.14"/>
    <s v="RFID"/>
  </r>
  <r>
    <s v="33624"/>
    <x v="0"/>
    <s v="T293 EHH"/>
    <x v="1"/>
    <x v="3"/>
    <x v="1"/>
    <s v="MT"/>
    <x v="2"/>
    <s v="11/04/2026 03:19:40 PM"/>
    <s v="11/04/2026 03:43:38 PM"/>
    <s v="39260"/>
    <s v="18480"/>
    <s v="20780"/>
    <n v="20.78"/>
    <s v="RFID"/>
  </r>
  <r>
    <s v="33625"/>
    <x v="0"/>
    <s v="T299 EHH"/>
    <x v="1"/>
    <x v="3"/>
    <x v="0"/>
    <s v="MT"/>
    <x v="2"/>
    <s v="11/04/2026 04:53:37 PM"/>
    <s v="11/04/2026 04:59:33 PM"/>
    <s v="35940"/>
    <s v="15540"/>
    <s v="20400"/>
    <n v="20.399999999999999"/>
    <s v="RFID"/>
  </r>
  <r>
    <s v="33626"/>
    <x v="0"/>
    <s v="T311 EHH"/>
    <x v="1"/>
    <x v="3"/>
    <x v="0"/>
    <s v="MT"/>
    <x v="2"/>
    <s v="11/04/2026 04:54:41 PM"/>
    <s v="11/04/2026 05:01:45 PM"/>
    <s v="37200"/>
    <s v="17680"/>
    <s v="19520"/>
    <n v="19.52"/>
    <s v="RFID"/>
  </r>
  <r>
    <s v="33627"/>
    <x v="0"/>
    <s v="T293 EHH"/>
    <x v="1"/>
    <x v="3"/>
    <x v="0"/>
    <s v="MT"/>
    <x v="2"/>
    <s v="11/04/2026 04:57:30 PM"/>
    <s v="11/04/2026 05:02:33 PM"/>
    <s v="36640"/>
    <s v="15640"/>
    <s v="21000"/>
    <n v="21"/>
    <s v="RFID"/>
  </r>
  <r>
    <s v="33628"/>
    <x v="0"/>
    <s v="T299 EHH"/>
    <x v="1"/>
    <x v="3"/>
    <x v="0"/>
    <s v="MT"/>
    <x v="2"/>
    <s v="11/04/2026 05:06:08 PM"/>
    <s v="11/04/2026 05:11:56 PM"/>
    <s v="35820"/>
    <s v="15680"/>
    <s v="20140"/>
    <n v="20.14"/>
    <s v="RFID"/>
  </r>
  <r>
    <s v="33629"/>
    <x v="0"/>
    <s v="T293 EHH"/>
    <x v="1"/>
    <x v="3"/>
    <x v="0"/>
    <s v="MT"/>
    <x v="2"/>
    <s v="11/04/2026 05:10:12 PM"/>
    <s v="11/04/2026 05:16:30 PM"/>
    <s v="37020"/>
    <s v="16100"/>
    <s v="20920"/>
    <n v="20.92"/>
    <s v="RFID"/>
  </r>
  <r>
    <s v="33630"/>
    <x v="0"/>
    <s v="T311 EHH"/>
    <x v="1"/>
    <x v="3"/>
    <x v="0"/>
    <s v="MT"/>
    <x v="2"/>
    <s v="11/04/2026 05:15:35 PM"/>
    <s v="11/04/2026 05:20:40 PM"/>
    <s v="36660"/>
    <s v="17740"/>
    <s v="18920"/>
    <n v="18.920000000000002"/>
    <s v="RFID"/>
  </r>
  <r>
    <s v="33631"/>
    <x v="0"/>
    <s v="T299 EHH"/>
    <x v="1"/>
    <x v="3"/>
    <x v="0"/>
    <s v="MT"/>
    <x v="2"/>
    <s v="11/04/2026 05:22:17 PM"/>
    <s v="11/04/2026 05:28:50 PM"/>
    <s v="36920"/>
    <s v="15940"/>
    <s v="20980"/>
    <n v="20.98"/>
    <s v="RFID"/>
  </r>
  <r>
    <s v="33632"/>
    <x v="0"/>
    <s v="T293 EHH"/>
    <x v="1"/>
    <x v="3"/>
    <x v="0"/>
    <s v="MT"/>
    <x v="2"/>
    <s v="11/04/2026 05:35:46 PM"/>
    <s v="11/04/2026 05:41:05 PM"/>
    <s v="36160"/>
    <s v="16400"/>
    <s v="19760"/>
    <n v="19.760000000000002"/>
    <s v="RFID"/>
  </r>
  <r>
    <s v="33633"/>
    <x v="0"/>
    <s v="T311 EHH"/>
    <x v="1"/>
    <x v="3"/>
    <x v="0"/>
    <s v="MT"/>
    <x v="2"/>
    <s v="11/04/2026 05:36:52 PM"/>
    <s v="11/04/2026 05:43:40 PM"/>
    <s v="35720"/>
    <s v="18100"/>
    <s v="17620"/>
    <n v="17.62"/>
    <s v="RFID"/>
  </r>
  <r>
    <s v="33634"/>
    <x v="0"/>
    <s v="T299 EHH"/>
    <x v="1"/>
    <x v="3"/>
    <x v="0"/>
    <s v="MT"/>
    <x v="2"/>
    <s v="11/04/2026 05:40:18 PM"/>
    <s v="11/04/2026 05:46:00 PM"/>
    <s v="38120"/>
    <s v="15960"/>
    <s v="22160"/>
    <n v="22.16"/>
    <s v="RFID"/>
  </r>
  <r>
    <s v="33635"/>
    <x v="0"/>
    <s v="T293 EHH"/>
    <x v="1"/>
    <x v="3"/>
    <x v="0"/>
    <s v="MT"/>
    <x v="2"/>
    <s v="11/04/2026 05:47:55 PM"/>
    <s v="11/04/2026 06:25:12 PM"/>
    <s v="38040"/>
    <s v="16680"/>
    <s v="21360"/>
    <n v="21.36"/>
    <s v="RFID"/>
  </r>
  <r>
    <s v="33636"/>
    <x v="0"/>
    <s v="T311 EHH"/>
    <x v="1"/>
    <x v="3"/>
    <x v="0"/>
    <s v="MT"/>
    <x v="2"/>
    <s v="11/04/2026 06:28:43 PM"/>
    <s v="11/04/2026 06:35:06 PM"/>
    <s v="37020"/>
    <s v="18580"/>
    <s v="18440"/>
    <n v="18.440000000000001"/>
    <s v="RFID"/>
  </r>
  <r>
    <s v="33637"/>
    <x v="0"/>
    <s v="T299 EHH"/>
    <x v="1"/>
    <x v="3"/>
    <x v="0"/>
    <s v="MT"/>
    <x v="2"/>
    <s v="11/04/2026 06:30:25 PM"/>
    <s v="11/04/2026 06:36:53 PM"/>
    <s v="36420"/>
    <s v="16040"/>
    <s v="20380"/>
    <n v="20.38"/>
    <s v="RFID"/>
  </r>
  <r>
    <s v="33638"/>
    <x v="0"/>
    <s v="T293 EHH"/>
    <x v="1"/>
    <x v="3"/>
    <x v="0"/>
    <s v="MT"/>
    <x v="2"/>
    <s v="11/04/2026 06:34:05 PM"/>
    <s v="11/04/2026 06:43:41 PM"/>
    <s v="36960"/>
    <s v="17180"/>
    <s v="19780"/>
    <n v="19.78"/>
    <s v="RFID"/>
  </r>
  <r>
    <s v="33639"/>
    <x v="0"/>
    <s v="T311 EHH"/>
    <x v="1"/>
    <x v="3"/>
    <x v="0"/>
    <s v="MT"/>
    <x v="2"/>
    <s v="11/04/2026 06:44:49 PM"/>
    <s v="11/04/2026 06:50:39 PM"/>
    <s v="36620"/>
    <s v="18820"/>
    <s v="17800"/>
    <n v="17.8"/>
    <s v="RFID"/>
  </r>
  <r>
    <s v="33640"/>
    <x v="0"/>
    <s v="T299 EHH"/>
    <x v="1"/>
    <x v="3"/>
    <x v="0"/>
    <s v="MT"/>
    <x v="2"/>
    <s v="11/04/2026 06:46:56 PM"/>
    <s v="11/04/2026 06:52:52 PM"/>
    <s v="34220"/>
    <s v="16180"/>
    <s v="18040"/>
    <n v="18.04"/>
    <s v="RFID"/>
  </r>
  <r>
    <s v="33642"/>
    <x v="0"/>
    <s v="T311 EHH"/>
    <x v="1"/>
    <x v="3"/>
    <x v="0"/>
    <s v="MT"/>
    <x v="2"/>
    <s v="11/04/2026 07:01:46 PM"/>
    <s v="11/04/2026 07:07:38 PM"/>
    <s v="34980"/>
    <s v="18900"/>
    <s v="16080"/>
    <n v="16.079999999999998"/>
    <s v="RFID"/>
  </r>
  <r>
    <s v="33643"/>
    <x v="0"/>
    <s v="T299 EHH"/>
    <x v="1"/>
    <x v="3"/>
    <x v="0"/>
    <s v="MT"/>
    <x v="2"/>
    <s v="11/04/2026 07:04:02 PM"/>
    <s v="11/04/2026 07:09:54 PM"/>
    <s v="36320"/>
    <s v="16160"/>
    <s v="20160"/>
    <n v="20.16"/>
    <s v="RFID"/>
  </r>
  <r>
    <s v="33644"/>
    <x v="0"/>
    <s v="T311 EHH"/>
    <x v="1"/>
    <x v="3"/>
    <x v="0"/>
    <s v="MT"/>
    <x v="2"/>
    <s v="11/04/2026 07:15:45 PM"/>
    <s v="11/04/2026 07:23:08 PM"/>
    <s v="36660"/>
    <s v="19000"/>
    <s v="17660"/>
    <n v="17.66"/>
    <s v="RFID"/>
  </r>
  <r>
    <s v="33645"/>
    <x v="0"/>
    <s v="T299 EHH"/>
    <x v="1"/>
    <x v="3"/>
    <x v="0"/>
    <s v="MT"/>
    <x v="2"/>
    <s v="11/04/2026 07:19:06 PM"/>
    <s v="11/04/2026 07:25:07 PM"/>
    <s v="36120"/>
    <s v="16200"/>
    <s v="19920"/>
    <n v="19.920000000000002"/>
    <s v="RFID"/>
  </r>
  <r>
    <s v="33646"/>
    <x v="0"/>
    <s v="T293 EHH"/>
    <x v="1"/>
    <x v="3"/>
    <x v="0"/>
    <s v="MT"/>
    <x v="2"/>
    <s v="11/04/2026 07:24:13 PM"/>
    <s v="12/04/2026 03:07:36 PM"/>
    <s v="17920"/>
    <s v="15200"/>
    <s v="2720"/>
    <n v="2.72"/>
    <s v="RFID"/>
  </r>
  <r>
    <s v="33647"/>
    <x v="0"/>
    <s v="T299 EHH"/>
    <x v="1"/>
    <x v="3"/>
    <x v="0"/>
    <s v="MT"/>
    <x v="2"/>
    <s v="11/04/2026 09:08:40 PM"/>
    <s v="11/04/2026 09:15:17 PM"/>
    <s v="34820"/>
    <s v="16280"/>
    <s v="18540"/>
    <n v="18.54"/>
    <s v="RFID"/>
  </r>
  <r>
    <s v="33648"/>
    <x v="0"/>
    <s v="T311 EHH"/>
    <x v="1"/>
    <x v="3"/>
    <x v="0"/>
    <s v="MT"/>
    <x v="2"/>
    <s v="11/04/2026 09:14:01 PM"/>
    <s v="11/04/2026 09:19:28 PM"/>
    <s v="40900"/>
    <s v="16860"/>
    <s v="24040"/>
    <n v="24.04"/>
    <s v="RFID"/>
  </r>
  <r>
    <s v="33649"/>
    <x v="0"/>
    <s v="T312 EHH"/>
    <x v="1"/>
    <x v="3"/>
    <x v="0"/>
    <s v="MT"/>
    <x v="2"/>
    <s v="11/04/2026 09:21:19 PM"/>
    <s v="11/04/2026 09:29:21 PM"/>
    <s v="41720"/>
    <s v="15300"/>
    <s v="26420"/>
    <n v="26.42"/>
    <s v="RFID"/>
  </r>
  <r>
    <s v="33650"/>
    <x v="0"/>
    <s v="T299 EHH"/>
    <x v="1"/>
    <x v="3"/>
    <x v="0"/>
    <s v="MT"/>
    <x v="2"/>
    <s v="11/04/2026 09:23:13 PM"/>
    <s v="11/04/2026 09:30:45 PM"/>
    <s v="41860"/>
    <s v="16720"/>
    <s v="25140"/>
    <n v="25.14"/>
    <s v="RFID"/>
  </r>
  <r>
    <s v="33651"/>
    <x v="0"/>
    <s v="T311 EHH"/>
    <x v="1"/>
    <x v="3"/>
    <x v="0"/>
    <s v="MT"/>
    <x v="2"/>
    <s v="11/04/2026 09:26:25 PM"/>
    <s v="11/04/2026 09:34:15 PM"/>
    <s v="38780"/>
    <s v="17140"/>
    <s v="21640"/>
    <n v="21.64"/>
    <s v="RFID"/>
  </r>
  <r>
    <s v="33652"/>
    <x v="0"/>
    <s v="T312 EHH"/>
    <x v="1"/>
    <x v="3"/>
    <x v="0"/>
    <s v="MT"/>
    <x v="2"/>
    <s v="11/04/2026 09:41:02 PM"/>
    <s v="11/04/2026 09:49:01 PM"/>
    <s v="43080"/>
    <s v="15660"/>
    <s v="27420"/>
    <n v="27.42"/>
    <s v="RFID"/>
  </r>
  <r>
    <s v="33653"/>
    <x v="0"/>
    <s v="T299 EHH"/>
    <x v="1"/>
    <x v="3"/>
    <x v="0"/>
    <s v="MT"/>
    <x v="2"/>
    <s v="11/04/2026 09:44:53 PM"/>
    <s v="11/04/2026 09:53:59 PM"/>
    <s v="40140"/>
    <s v="16980"/>
    <s v="23160"/>
    <n v="23.16"/>
    <s v="RFID"/>
  </r>
  <r>
    <s v="33654"/>
    <x v="0"/>
    <s v="T311 EHH"/>
    <x v="1"/>
    <x v="3"/>
    <x v="0"/>
    <s v="MT"/>
    <x v="2"/>
    <s v="11/04/2026 09:47:52 PM"/>
    <s v="11/04/2026 09:55:07 PM"/>
    <s v="39340"/>
    <s v="17420"/>
    <s v="21920"/>
    <n v="21.92"/>
    <s v="RFID"/>
  </r>
  <r>
    <s v="33655"/>
    <x v="0"/>
    <s v="T312 EHH"/>
    <x v="1"/>
    <x v="3"/>
    <x v="0"/>
    <s v="MT"/>
    <x v="2"/>
    <s v="11/04/2026 09:56:44 PM"/>
    <s v="11/04/2026 10:07:03 PM"/>
    <s v="41340"/>
    <s v="15800"/>
    <s v="25540"/>
    <n v="25.54"/>
    <s v="RFID"/>
  </r>
  <r>
    <s v="33656"/>
    <x v="0"/>
    <s v="T299 EHH"/>
    <x v="1"/>
    <x v="3"/>
    <x v="0"/>
    <s v="MT"/>
    <x v="2"/>
    <s v="11/04/2026 10:03:27 PM"/>
    <s v="11/04/2026 10:11:02 PM"/>
    <s v="42760"/>
    <s v="17440"/>
    <s v="25320"/>
    <n v="25.32"/>
    <s v="RFID"/>
  </r>
  <r>
    <s v="33657"/>
    <x v="0"/>
    <s v="T311 EHH"/>
    <x v="1"/>
    <x v="3"/>
    <x v="0"/>
    <s v="MT"/>
    <x v="2"/>
    <s v="11/04/2026 10:08:50 PM"/>
    <s v="11/04/2026 10:14:12 PM"/>
    <s v="39980"/>
    <s v="17500"/>
    <s v="22480"/>
    <n v="22.48"/>
    <s v="RFID"/>
  </r>
  <r>
    <s v="33658"/>
    <x v="0"/>
    <s v="T299 EHH"/>
    <x v="1"/>
    <x v="3"/>
    <x v="0"/>
    <s v="MT"/>
    <x v="2"/>
    <s v="11/04/2026 10:21:45 PM"/>
    <s v="11/04/2026 10:26:50 PM"/>
    <s v="38900"/>
    <s v="17020"/>
    <s v="21880"/>
    <n v="21.88"/>
    <s v="RFID"/>
  </r>
  <r>
    <s v="33659"/>
    <x v="0"/>
    <s v="T312 EHH"/>
    <x v="1"/>
    <x v="3"/>
    <x v="0"/>
    <s v="MT"/>
    <x v="2"/>
    <s v="11/04/2026 10:28:18 PM"/>
    <s v="11/04/2026 10:36:38 PM"/>
    <s v="38260"/>
    <s v="15840"/>
    <s v="22420"/>
    <n v="22.42"/>
    <s v="RFID"/>
  </r>
  <r>
    <s v="33660"/>
    <x v="0"/>
    <s v="T311 EHH"/>
    <x v="1"/>
    <x v="3"/>
    <x v="0"/>
    <s v="MT"/>
    <x v="2"/>
    <s v="11/04/2026 10:30:53 PM"/>
    <s v="11/04/2026 10:37:30 PM"/>
    <s v="41160"/>
    <s v="17480"/>
    <s v="23680"/>
    <n v="23.68"/>
    <s v="RFID"/>
  </r>
  <r>
    <s v="33661"/>
    <x v="0"/>
    <s v="T299 EHH"/>
    <x v="1"/>
    <x v="3"/>
    <x v="0"/>
    <s v="MT"/>
    <x v="2"/>
    <s v="11/04/2026 10:35:42 PM"/>
    <s v="11/04/2026 10:41:15 PM"/>
    <s v="41480"/>
    <s v="17260"/>
    <s v="24220"/>
    <n v="24.22"/>
    <s v="RFID"/>
  </r>
  <r>
    <s v="33662"/>
    <x v="0"/>
    <s v="T312 EHH"/>
    <x v="1"/>
    <x v="3"/>
    <x v="0"/>
    <s v="MT"/>
    <x v="2"/>
    <s v="11/04/2026 10:43:19 PM"/>
    <s v="11/04/2026 10:49:30 PM"/>
    <s v="39620"/>
    <s v="15800"/>
    <s v="23820"/>
    <n v="23.82"/>
    <s v="RFID"/>
  </r>
  <r>
    <s v="33663"/>
    <x v="0"/>
    <s v="T311 EHH"/>
    <x v="1"/>
    <x v="3"/>
    <x v="0"/>
    <s v="MT"/>
    <x v="2"/>
    <s v="11/04/2026 10:46:39 PM"/>
    <s v="11/04/2026 10:51:34 PM"/>
    <s v="41240"/>
    <s v="17540"/>
    <s v="23700"/>
    <n v="23.7"/>
    <s v="RFID"/>
  </r>
  <r>
    <s v="33664"/>
    <x v="0"/>
    <s v="T299 EHH"/>
    <x v="1"/>
    <x v="3"/>
    <x v="0"/>
    <s v="MT"/>
    <x v="2"/>
    <s v="11/04/2026 10:50:29 PM"/>
    <s v="11/04/2026 10:57:19 PM"/>
    <s v="41840"/>
    <s v="16920"/>
    <s v="24920"/>
    <n v="24.92"/>
    <s v="RFID"/>
  </r>
  <r>
    <s v="33665"/>
    <x v="0"/>
    <s v="T312 EHH"/>
    <x v="1"/>
    <x v="3"/>
    <x v="0"/>
    <s v="MT"/>
    <x v="2"/>
    <s v="11/04/2026 10:56:15 PM"/>
    <s v="11/04/2026 11:01:03 PM"/>
    <s v="40260"/>
    <s v="15900"/>
    <s v="24360"/>
    <n v="24.36"/>
    <s v="RFID"/>
  </r>
  <r>
    <s v="33666"/>
    <x v="0"/>
    <s v="T311 EHH"/>
    <x v="1"/>
    <x v="3"/>
    <x v="0"/>
    <s v="MT"/>
    <x v="2"/>
    <s v="11/04/2026 10:59:00 PM"/>
    <s v="11/04/2026 11:04:08 PM"/>
    <s v="41940"/>
    <s v="17620"/>
    <s v="24320"/>
    <n v="24.32"/>
    <s v="RFID"/>
  </r>
  <r>
    <s v="33667"/>
    <x v="0"/>
    <s v="T299 EHH"/>
    <x v="1"/>
    <x v="3"/>
    <x v="0"/>
    <s v="MT"/>
    <x v="2"/>
    <s v="11/04/2026 11:05:00 PM"/>
    <s v="11/04/2026 11:16:21 PM"/>
    <s v="40860"/>
    <s v="17160"/>
    <s v="23700"/>
    <n v="23.7"/>
    <s v="RFID"/>
  </r>
  <r>
    <s v="33668"/>
    <x v="0"/>
    <s v="T312 EHH"/>
    <x v="1"/>
    <x v="3"/>
    <x v="0"/>
    <s v="MT"/>
    <x v="2"/>
    <s v="11/04/2026 11:09:43 PM"/>
    <s v="11/04/2026 11:18:51 PM"/>
    <s v="43020"/>
    <s v="16000"/>
    <s v="27020"/>
    <n v="27.02"/>
    <s v="RFID"/>
  </r>
  <r>
    <s v="33669"/>
    <x v="0"/>
    <s v="T311 EHH"/>
    <x v="1"/>
    <x v="3"/>
    <x v="0"/>
    <s v="MT"/>
    <x v="2"/>
    <s v="11/04/2026 11:17:28 PM"/>
    <s v="11/04/2026 11:22:46 PM"/>
    <s v="41620"/>
    <s v="17600"/>
    <s v="24020"/>
    <n v="24.02"/>
    <s v="RFID"/>
  </r>
  <r>
    <s v="33670"/>
    <x v="0"/>
    <s v="T312 EHH"/>
    <x v="1"/>
    <x v="3"/>
    <x v="0"/>
    <s v="MT"/>
    <x v="2"/>
    <s v="11/04/2026 11:27:40 PM"/>
    <s v="11/04/2026 11:32:25 PM"/>
    <s v="44060"/>
    <s v="15980"/>
    <s v="28080"/>
    <n v="28.08"/>
    <s v="RFID"/>
  </r>
  <r>
    <s v="33671"/>
    <x v="0"/>
    <s v="T311 EHH"/>
    <x v="1"/>
    <x v="3"/>
    <x v="0"/>
    <s v="MT"/>
    <x v="2"/>
    <s v="11/04/2026 11:29:54 PM"/>
    <s v="11/04/2026 11:35:06 PM"/>
    <s v="42540"/>
    <s v="17740"/>
    <s v="24800"/>
    <n v="24.8"/>
    <s v="RFID"/>
  </r>
  <r>
    <s v="33672"/>
    <x v="0"/>
    <s v="T312 EHH"/>
    <x v="1"/>
    <x v="3"/>
    <x v="0"/>
    <s v="MT"/>
    <x v="2"/>
    <s v="11/04/2026 11:38:20 PM"/>
    <s v="11/04/2026 11:43:16 PM"/>
    <s v="40300"/>
    <s v="15920"/>
    <s v="24380"/>
    <n v="24.38"/>
    <s v="RFID"/>
  </r>
  <r>
    <s v="33673"/>
    <x v="0"/>
    <s v="T299 EHH"/>
    <x v="1"/>
    <x v="3"/>
    <x v="0"/>
    <s v="MT"/>
    <x v="2"/>
    <s v="11/04/2026 11:42:06 PM"/>
    <s v="11/04/2026 11:48:28 PM"/>
    <s v="41700"/>
    <s v="17540"/>
    <s v="24160"/>
    <n v="24.16"/>
    <s v="RFID"/>
  </r>
  <r>
    <s v="33674"/>
    <x v="0"/>
    <s v="T311 EHH"/>
    <x v="1"/>
    <x v="3"/>
    <x v="0"/>
    <s v="MT"/>
    <x v="2"/>
    <s v="11/04/2026 11:45:08 PM"/>
    <s v="11/04/2026 11:50:32 PM"/>
    <s v="39780"/>
    <s v="17480"/>
    <s v="22300"/>
    <n v="22.3"/>
    <s v="RFID"/>
  </r>
  <r>
    <s v="33675"/>
    <x v="0"/>
    <s v="T299 EHH"/>
    <x v="1"/>
    <x v="3"/>
    <x v="0"/>
    <s v="MT"/>
    <x v="2"/>
    <s v="11/04/2026 11:55:42 PM"/>
    <s v="12/04/2026 12:02:59 AM"/>
    <s v="41660"/>
    <s v="17860"/>
    <s v="23800"/>
    <n v="23.8"/>
    <s v="RFID"/>
  </r>
  <r>
    <s v="33677"/>
    <x v="0"/>
    <s v="T311 EHH"/>
    <x v="1"/>
    <x v="3"/>
    <x v="0"/>
    <s v="MT"/>
    <x v="3"/>
    <s v="12/04/2026 12:00:16 AM"/>
    <s v="12/04/2026 12:05:26 AM"/>
    <s v="41960"/>
    <s v="18820"/>
    <s v="23140"/>
    <n v="23.14"/>
    <s v="RFID"/>
  </r>
  <r>
    <s v="33678"/>
    <x v="0"/>
    <s v="T299 EHH"/>
    <x v="1"/>
    <x v="3"/>
    <x v="0"/>
    <s v="MT"/>
    <x v="3"/>
    <s v="12/04/2026 12:11:08 AM"/>
    <s v="12/04/2026 12:18:38 AM"/>
    <s v="40560"/>
    <s v="18900"/>
    <s v="21660"/>
    <n v="21.66"/>
    <s v="RFID"/>
  </r>
  <r>
    <s v="33679"/>
    <x v="0"/>
    <s v="T311 EHH"/>
    <x v="1"/>
    <x v="3"/>
    <x v="0"/>
    <s v="MT"/>
    <x v="3"/>
    <s v="12/04/2026 12:14:13 AM"/>
    <s v="12/04/2026 12:21:25 AM"/>
    <s v="40620"/>
    <s v="17660"/>
    <s v="22960"/>
    <n v="22.96"/>
    <s v="RFID"/>
  </r>
  <r>
    <s v="33680"/>
    <x v="0"/>
    <s v="T312 EHH"/>
    <x v="1"/>
    <x v="3"/>
    <x v="0"/>
    <s v="MT"/>
    <x v="3"/>
    <s v="12/04/2026 12:20:21 AM"/>
    <s v="12/04/2026 12:25:04 AM"/>
    <s v="42940"/>
    <s v="15980"/>
    <s v="26960"/>
    <n v="26.96"/>
    <s v="RFID"/>
  </r>
  <r>
    <s v="33681"/>
    <x v="0"/>
    <s v="T299 EHH"/>
    <x v="1"/>
    <x v="3"/>
    <x v="0"/>
    <s v="MT"/>
    <x v="3"/>
    <s v="12/04/2026 12:26:00 AM"/>
    <s v="12/04/2026 12:40:55 AM"/>
    <s v="43420"/>
    <s v="19000"/>
    <s v="24420"/>
    <n v="24.42"/>
    <s v="RFID"/>
  </r>
  <r>
    <s v="33682"/>
    <x v="0"/>
    <s v="T311 EHH"/>
    <x v="1"/>
    <x v="3"/>
    <x v="0"/>
    <s v="MT"/>
    <x v="3"/>
    <s v="12/04/2026 12:28:47 AM"/>
    <s v="12/04/2026 01:31:27 AM"/>
    <s v="39520"/>
    <s v="17480"/>
    <s v="22040"/>
    <n v="22.04"/>
    <s v="RFID"/>
  </r>
  <r>
    <s v="33683"/>
    <x v="0"/>
    <s v="T312 EHH"/>
    <x v="1"/>
    <x v="3"/>
    <x v="0"/>
    <s v="MT"/>
    <x v="3"/>
    <s v="12/04/2026 12:36:52 AM"/>
    <s v="12/04/2026 01:33:40 AM"/>
    <s v="40540"/>
    <s v="16000"/>
    <s v="24540"/>
    <n v="24.54"/>
    <s v="RFID"/>
  </r>
  <r>
    <s v="33684"/>
    <x v="0"/>
    <s v="T299 EHH"/>
    <x v="1"/>
    <x v="3"/>
    <x v="0"/>
    <s v="MT"/>
    <x v="3"/>
    <s v="12/04/2026 12:48:29 AM"/>
    <s v="12/04/2026 01:38:23 AM"/>
    <s v="44560"/>
    <s v="19220"/>
    <s v="25340"/>
    <n v="25.34"/>
    <s v="RFID"/>
  </r>
  <r>
    <s v="33685"/>
    <x v="0"/>
    <s v="T311 EHH"/>
    <x v="1"/>
    <x v="3"/>
    <x v="0"/>
    <s v="MT"/>
    <x v="3"/>
    <s v="12/04/2026 01:39:36 AM"/>
    <s v="12/04/2026 01:45:42 AM"/>
    <s v="38780"/>
    <s v="17460"/>
    <s v="21320"/>
    <n v="21.32"/>
    <s v="RFID"/>
  </r>
  <r>
    <s v="33686"/>
    <x v="0"/>
    <s v="T312 EHH"/>
    <x v="1"/>
    <x v="3"/>
    <x v="0"/>
    <s v="MT"/>
    <x v="3"/>
    <s v="12/04/2026 01:44:39 AM"/>
    <s v="12/04/2026 01:49:11 AM"/>
    <s v="40220"/>
    <s v="16040"/>
    <s v="24180"/>
    <n v="24.18"/>
    <s v="RFID"/>
  </r>
  <r>
    <s v="33687"/>
    <x v="0"/>
    <s v="T299 EHH"/>
    <x v="1"/>
    <x v="3"/>
    <x v="0"/>
    <s v="MT"/>
    <x v="3"/>
    <s v="12/04/2026 01:50:10 AM"/>
    <s v="12/04/2026 01:57:26 AM"/>
    <s v="40600"/>
    <s v="19460"/>
    <s v="21140"/>
    <n v="21.14"/>
    <s v="RFID"/>
  </r>
  <r>
    <s v="33688"/>
    <x v="0"/>
    <s v="T311 EHH"/>
    <x v="1"/>
    <x v="3"/>
    <x v="0"/>
    <s v="MT"/>
    <x v="3"/>
    <s v="12/04/2026 01:53:57 AM"/>
    <s v="12/04/2026 02:00:50 AM"/>
    <s v="41520"/>
    <s v="17520"/>
    <s v="24000"/>
    <n v="24"/>
    <s v="RFID"/>
  </r>
  <r>
    <s v="33689"/>
    <x v="0"/>
    <s v="T312 EHH"/>
    <x v="1"/>
    <x v="3"/>
    <x v="0"/>
    <s v="MT"/>
    <x v="3"/>
    <s v="12/04/2026 02:02:13 AM"/>
    <s v="12/04/2026 02:08:07 AM"/>
    <s v="41160"/>
    <s v="16060"/>
    <s v="25100"/>
    <n v="25.1"/>
    <s v="RFID"/>
  </r>
  <r>
    <s v="33690"/>
    <x v="0"/>
    <s v="T299 EHH"/>
    <x v="1"/>
    <x v="3"/>
    <x v="0"/>
    <s v="MT"/>
    <x v="3"/>
    <s v="12/04/2026 02:06:54 AM"/>
    <s v="12/04/2026 02:12:35 AM"/>
    <s v="42660"/>
    <s v="19360"/>
    <s v="23300"/>
    <n v="23.3"/>
    <s v="RFID"/>
  </r>
  <r>
    <s v="33691"/>
    <x v="0"/>
    <s v="T311 EHH"/>
    <x v="1"/>
    <x v="3"/>
    <x v="0"/>
    <s v="MT"/>
    <x v="3"/>
    <s v="12/04/2026 02:11:29 AM"/>
    <s v="12/04/2026 02:20:27 AM"/>
    <s v="40480"/>
    <s v="17520"/>
    <s v="22960"/>
    <n v="22.96"/>
    <s v="RFID"/>
  </r>
  <r>
    <s v="33692"/>
    <x v="0"/>
    <s v="T312 EHH"/>
    <x v="1"/>
    <x v="3"/>
    <x v="0"/>
    <s v="MT"/>
    <x v="3"/>
    <s v="12/04/2026 02:16:32 AM"/>
    <s v="12/04/2026 02:21:43 AM"/>
    <s v="39340"/>
    <s v="16080"/>
    <s v="23260"/>
    <n v="23.26"/>
    <s v="RFID"/>
  </r>
  <r>
    <s v="33693"/>
    <x v="0"/>
    <s v="T299 EHH"/>
    <x v="1"/>
    <x v="3"/>
    <x v="0"/>
    <s v="MT"/>
    <x v="3"/>
    <s v="12/04/2026 02:19:29 AM"/>
    <s v="12/04/2026 02:25:08 AM"/>
    <s v="42220"/>
    <s v="19600"/>
    <s v="22620"/>
    <n v="22.62"/>
    <s v="RFID"/>
  </r>
  <r>
    <s v="33694"/>
    <x v="0"/>
    <s v="T311 EHH"/>
    <x v="1"/>
    <x v="3"/>
    <x v="0"/>
    <s v="MT"/>
    <x v="3"/>
    <s v="12/04/2026 02:28:54 AM"/>
    <s v="12/04/2026 02:37:08 AM"/>
    <s v="41660"/>
    <s v="17580"/>
    <s v="24080"/>
    <n v="24.08"/>
    <s v="RFID"/>
  </r>
  <r>
    <s v="33695"/>
    <x v="0"/>
    <s v="T312 EHH"/>
    <x v="1"/>
    <x v="3"/>
    <x v="0"/>
    <s v="MT"/>
    <x v="3"/>
    <s v="12/04/2026 02:33:28 AM"/>
    <s v="12/04/2026 02:38:17 AM"/>
    <s v="38100"/>
    <s v="16020"/>
    <s v="22080"/>
    <n v="22.08"/>
    <s v="RFID"/>
  </r>
  <r>
    <s v="33697"/>
    <x v="0"/>
    <s v="T311 EHH"/>
    <x v="1"/>
    <x v="3"/>
    <x v="0"/>
    <s v="MT"/>
    <x v="3"/>
    <s v="12/04/2026 02:52:21 AM"/>
    <s v="12/04/2026 02:58:16 AM"/>
    <s v="41780"/>
    <s v="17560"/>
    <s v="24220"/>
    <n v="24.22"/>
    <s v="RFID"/>
  </r>
  <r>
    <s v="33698"/>
    <x v="0"/>
    <s v="T312 EHH"/>
    <x v="1"/>
    <x v="3"/>
    <x v="0"/>
    <s v="MT"/>
    <x v="3"/>
    <s v="12/04/2026 02:54:24 AM"/>
    <s v="12/04/2026 02:59:19 AM"/>
    <s v="40160"/>
    <s v="16060"/>
    <s v="24100"/>
    <n v="24.1"/>
    <s v="RFID"/>
  </r>
  <r>
    <s v="33699"/>
    <x v="0"/>
    <s v="T299 EHH"/>
    <x v="1"/>
    <x v="3"/>
    <x v="0"/>
    <s v="MT"/>
    <x v="3"/>
    <s v="12/04/2026 03:03:45 AM"/>
    <s v="12/04/2026 03:09:44 AM"/>
    <s v="40280"/>
    <s v="19840"/>
    <s v="20440"/>
    <n v="20.440000000000001"/>
    <s v="RFID"/>
  </r>
  <r>
    <s v="33700"/>
    <x v="0"/>
    <s v="T311 EHH"/>
    <x v="1"/>
    <x v="3"/>
    <x v="0"/>
    <s v="MT"/>
    <x v="3"/>
    <s v="12/04/2026 03:08:51 AM"/>
    <s v="12/04/2026 03:16:17 AM"/>
    <s v="40480"/>
    <s v="17620"/>
    <s v="22860"/>
    <n v="22.86"/>
    <s v="RFID"/>
  </r>
  <r>
    <s v="33701"/>
    <x v="0"/>
    <s v="T312 EHH"/>
    <x v="1"/>
    <x v="3"/>
    <x v="0"/>
    <s v="MT"/>
    <x v="3"/>
    <s v="12/04/2026 03:15:29 AM"/>
    <s v="12/04/2026 03:20:30 AM"/>
    <s v="25340"/>
    <s v="16100"/>
    <s v="9240"/>
    <n v="9.24"/>
    <s v="RFID"/>
  </r>
  <r>
    <s v="33702"/>
    <x v="0"/>
    <s v="T299 EHH"/>
    <x v="1"/>
    <x v="3"/>
    <x v="0"/>
    <s v="MT"/>
    <x v="3"/>
    <s v="12/04/2026 03:19:32 AM"/>
    <s v="12/04/2026 03:25:32 AM"/>
    <s v="41660"/>
    <s v="19900"/>
    <s v="21760"/>
    <n v="21.76"/>
    <s v="RFID"/>
  </r>
  <r>
    <s v="33703"/>
    <x v="0"/>
    <s v="T311 EHH"/>
    <x v="1"/>
    <x v="3"/>
    <x v="0"/>
    <s v="MT"/>
    <x v="3"/>
    <s v="12/04/2026 03:24:28 AM"/>
    <s v="12/04/2026 03:32:38 AM"/>
    <s v="40000"/>
    <s v="17660"/>
    <s v="22340"/>
    <n v="22.34"/>
    <s v="RFID"/>
  </r>
  <r>
    <s v="33704"/>
    <x v="0"/>
    <s v="T312 EHH"/>
    <x v="1"/>
    <x v="3"/>
    <x v="0"/>
    <s v="MT"/>
    <x v="3"/>
    <s v="12/04/2026 03:31:26 AM"/>
    <s v="12/04/2026 03:40:08 AM"/>
    <s v="41480"/>
    <s v="16080"/>
    <s v="25400"/>
    <n v="25.4"/>
    <s v="RFID"/>
  </r>
  <r>
    <s v="33705"/>
    <x v="0"/>
    <s v="T311 EHH"/>
    <x v="1"/>
    <x v="3"/>
    <x v="0"/>
    <s v="MT"/>
    <x v="3"/>
    <s v="12/04/2026 03:41:52 AM"/>
    <s v="12/04/2026 03:47:33 AM"/>
    <s v="41340"/>
    <s v="17600"/>
    <s v="23740"/>
    <n v="23.74"/>
    <s v="RFID"/>
  </r>
  <r>
    <s v="33706"/>
    <x v="0"/>
    <s v="T312 EHH"/>
    <x v="1"/>
    <x v="3"/>
    <x v="0"/>
    <s v="MT"/>
    <x v="3"/>
    <s v="12/04/2026 03:48:40 AM"/>
    <s v="12/04/2026 03:55:32 AM"/>
    <s v="38060"/>
    <s v="16100"/>
    <s v="21960"/>
    <n v="21.96"/>
    <s v="RFID"/>
  </r>
  <r>
    <s v="33707"/>
    <x v="0"/>
    <s v="T311 EHH"/>
    <x v="1"/>
    <x v="3"/>
    <x v="0"/>
    <s v="MT"/>
    <x v="3"/>
    <s v="12/04/2026 03:56:56 AM"/>
    <s v="12/04/2026 04:02:32 AM"/>
    <s v="40480"/>
    <s v="17600"/>
    <s v="22880"/>
    <n v="22.88"/>
    <s v="RFID"/>
  </r>
  <r>
    <s v="33709"/>
    <x v="0"/>
    <s v="T311 EHH"/>
    <x v="1"/>
    <x v="3"/>
    <x v="0"/>
    <s v="MT"/>
    <x v="3"/>
    <s v="12/04/2026 04:14:41 AM"/>
    <s v="12/04/2026 04:24:24 AM"/>
    <s v="41580"/>
    <s v="18420"/>
    <s v="23160"/>
    <n v="23.16"/>
    <s v="RFID"/>
  </r>
  <r>
    <s v="33710"/>
    <x v="0"/>
    <s v="T311 EHH"/>
    <x v="1"/>
    <x v="3"/>
    <x v="0"/>
    <s v="MT"/>
    <x v="3"/>
    <s v="12/04/2026 05:10:46 AM"/>
    <s v="12/04/2026 05:43:31 AM"/>
    <s v="40300"/>
    <s v="18520"/>
    <s v="21780"/>
    <n v="21.78"/>
    <s v="RFID"/>
  </r>
  <r>
    <s v="33711"/>
    <x v="0"/>
    <s v="T311 EHH"/>
    <x v="1"/>
    <x v="3"/>
    <x v="0"/>
    <s v="MT"/>
    <x v="3"/>
    <s v="12/04/2026 05:54:05 AM"/>
    <s v="12/04/2026 05:59:44 AM"/>
    <s v="35800"/>
    <s v="17780"/>
    <s v="18020"/>
    <n v="18.02"/>
    <s v="RFID"/>
  </r>
  <r>
    <s v="33712"/>
    <x v="0"/>
    <s v="T299 EHH"/>
    <x v="1"/>
    <x v="3"/>
    <x v="0"/>
    <s v="MT"/>
    <x v="3"/>
    <s v="12/04/2026 05:58:38 AM"/>
    <s v="12/04/2026 06:05:57 AM"/>
    <s v="39300"/>
    <s v="19900"/>
    <s v="19400"/>
    <n v="19.399999999999999"/>
    <s v="RFID"/>
  </r>
  <r>
    <s v="33713"/>
    <x v="0"/>
    <s v="T311 EHH"/>
    <x v="1"/>
    <x v="3"/>
    <x v="0"/>
    <s v="MT"/>
    <x v="3"/>
    <s v="12/04/2026 06:06:53 AM"/>
    <s v="12/04/2026 06:11:28 AM"/>
    <s v="34380"/>
    <s v="17760"/>
    <s v="16620"/>
    <n v="16.62"/>
    <s v="RFID"/>
  </r>
  <r>
    <s v="33714"/>
    <x v="0"/>
    <s v="T299 EHH"/>
    <x v="1"/>
    <x v="3"/>
    <x v="0"/>
    <s v="MT"/>
    <x v="3"/>
    <s v="12/04/2026 06:17:16 AM"/>
    <s v="12/04/2026 06:23:55 AM"/>
    <s v="39120"/>
    <s v="15840"/>
    <s v="23280"/>
    <n v="23.28"/>
    <s v="RFID"/>
  </r>
  <r>
    <s v="33715"/>
    <x v="0"/>
    <s v="T311 EHH"/>
    <x v="1"/>
    <x v="3"/>
    <x v="0"/>
    <s v="MT"/>
    <x v="3"/>
    <s v="12/04/2026 06:22:57 AM"/>
    <s v="12/04/2026 06:28:55 AM"/>
    <s v="39520"/>
    <s v="16520"/>
    <s v="23000"/>
    <n v="23"/>
    <s v="RFID"/>
  </r>
  <r>
    <s v="33716"/>
    <x v="0"/>
    <s v="T312 EHH"/>
    <x v="1"/>
    <x v="3"/>
    <x v="0"/>
    <s v="MT"/>
    <x v="3"/>
    <s v="12/04/2026 06:30:41 AM"/>
    <s v="12/04/2026 06:35:21 AM"/>
    <s v="40060"/>
    <s v="16040"/>
    <s v="24020"/>
    <n v="24.02"/>
    <s v="RFID"/>
  </r>
  <r>
    <s v="33717"/>
    <x v="0"/>
    <s v="T299 EHH"/>
    <x v="1"/>
    <x v="3"/>
    <x v="0"/>
    <s v="MT"/>
    <x v="3"/>
    <s v="12/04/2026 06:37:03 AM"/>
    <s v="12/04/2026 06:42:17 AM"/>
    <s v="40940"/>
    <s v="16260"/>
    <s v="24680"/>
    <n v="24.68"/>
    <s v="RFID"/>
  </r>
  <r>
    <s v="33718"/>
    <x v="0"/>
    <s v="T311 EHH"/>
    <x v="1"/>
    <x v="3"/>
    <x v="0"/>
    <s v="MT"/>
    <x v="3"/>
    <s v="12/04/2026 06:38:10 AM"/>
    <s v="12/04/2026 06:44:35 AM"/>
    <s v="40180"/>
    <s v="16780"/>
    <s v="23400"/>
    <n v="23.4"/>
    <s v="RFID"/>
  </r>
  <r>
    <s v="33719"/>
    <x v="0"/>
    <s v="T312 EHH"/>
    <x v="1"/>
    <x v="3"/>
    <x v="0"/>
    <s v="MT"/>
    <x v="3"/>
    <s v="12/04/2026 06:43:32 AM"/>
    <s v="12/04/2026 06:48:14 AM"/>
    <s v="37620"/>
    <s v="16060"/>
    <s v="21560"/>
    <n v="21.56"/>
    <s v="RFID"/>
  </r>
  <r>
    <s v="33720"/>
    <x v="0"/>
    <s v="T299 EHH"/>
    <x v="1"/>
    <x v="3"/>
    <x v="0"/>
    <s v="MT"/>
    <x v="3"/>
    <s v="12/04/2026 06:54:02 AM"/>
    <s v="12/04/2026 06:59:52 AM"/>
    <s v="36960"/>
    <s v="15940"/>
    <s v="21020"/>
    <n v="21.02"/>
    <s v="RFID"/>
  </r>
  <r>
    <s v="33721"/>
    <x v="0"/>
    <s v="T311 EHH"/>
    <x v="1"/>
    <x v="3"/>
    <x v="0"/>
    <s v="MT"/>
    <x v="3"/>
    <s v="12/04/2026 06:57:51 AM"/>
    <s v="12/04/2026 07:03:42 AM"/>
    <s v="38900"/>
    <s v="17140"/>
    <s v="21760"/>
    <n v="21.76"/>
    <s v="RFID"/>
  </r>
  <r>
    <s v="33722"/>
    <x v="0"/>
    <s v="T312 EHH"/>
    <x v="1"/>
    <x v="3"/>
    <x v="0"/>
    <s v="MT"/>
    <x v="3"/>
    <s v="12/04/2026 07:06:16 AM"/>
    <s v="12/04/2026 07:10:58 AM"/>
    <s v="35680"/>
    <s v="16060"/>
    <s v="19620"/>
    <n v="19.62"/>
    <s v="RFID"/>
  </r>
  <r>
    <s v="33723"/>
    <x v="0"/>
    <s v="T299 EHH"/>
    <x v="1"/>
    <x v="3"/>
    <x v="0"/>
    <s v="MT"/>
    <x v="3"/>
    <s v="12/04/2026 07:11:54 AM"/>
    <s v="12/04/2026 07:21:21 AM"/>
    <s v="36780"/>
    <s v="15960"/>
    <s v="20820"/>
    <n v="20.82"/>
    <s v="RFID"/>
  </r>
  <r>
    <s v="33724"/>
    <x v="0"/>
    <s v="T311 EHH"/>
    <x v="1"/>
    <x v="3"/>
    <x v="0"/>
    <s v="MT"/>
    <x v="3"/>
    <s v="12/04/2026 07:19:38 AM"/>
    <s v="12/04/2026 07:25:55 AM"/>
    <s v="37160"/>
    <s v="17120"/>
    <s v="20040"/>
    <n v="20.04"/>
    <s v="RFID"/>
  </r>
  <r>
    <s v="33725"/>
    <x v="0"/>
    <s v="T312 EHH"/>
    <x v="1"/>
    <x v="3"/>
    <x v="0"/>
    <s v="MT"/>
    <x v="3"/>
    <s v="12/04/2026 07:24:16 AM"/>
    <s v="12/04/2026 07:29:42 AM"/>
    <s v="37280"/>
    <s v="16080"/>
    <s v="21200"/>
    <n v="21.2"/>
    <s v="RFID"/>
  </r>
  <r>
    <s v="33726"/>
    <x v="0"/>
    <s v="T312 EHH"/>
    <x v="1"/>
    <x v="3"/>
    <x v="1"/>
    <s v="MT"/>
    <x v="3"/>
    <s v="12/04/2026 08:59:36 AM"/>
    <s v="12/04/2026 09:07:17 AM"/>
    <s v="38980"/>
    <s v="16040"/>
    <s v="22940"/>
    <n v="22.94"/>
    <s v="RFID"/>
  </r>
  <r>
    <s v="33727"/>
    <x v="0"/>
    <s v="T290 EHH"/>
    <x v="1"/>
    <x v="3"/>
    <x v="1"/>
    <s v="MT"/>
    <x v="3"/>
    <s v="12/04/2026 09:03:09 AM"/>
    <s v="12/04/2026 09:08:53 AM"/>
    <s v="37800"/>
    <s v="15200"/>
    <s v="22600"/>
    <n v="22.6"/>
    <s v="RFID"/>
  </r>
  <r>
    <s v="33728"/>
    <x v="0"/>
    <s v="T299 EHH"/>
    <x v="1"/>
    <x v="3"/>
    <x v="1"/>
    <s v="MT"/>
    <x v="3"/>
    <s v="12/04/2026 09:06:04 AM"/>
    <s v="12/04/2026 09:09:42 AM"/>
    <s v="36760"/>
    <s v="16080"/>
    <s v="20680"/>
    <n v="20.68"/>
    <s v="RFID"/>
  </r>
  <r>
    <s v="33729"/>
    <x v="0"/>
    <s v="T299 EHH"/>
    <x v="1"/>
    <x v="3"/>
    <x v="1"/>
    <s v="MT"/>
    <x v="3"/>
    <s v="12/04/2026 09:28:41 AM"/>
    <s v="12/04/2026 09:33:13 AM"/>
    <s v="36820"/>
    <s v="16320"/>
    <s v="20500"/>
    <n v="20.5"/>
    <s v="RFID"/>
  </r>
  <r>
    <s v="33730"/>
    <x v="0"/>
    <s v="T312 EHH"/>
    <x v="1"/>
    <x v="3"/>
    <x v="1"/>
    <s v="MT"/>
    <x v="3"/>
    <s v="12/04/2026 09:30:34 AM"/>
    <s v="12/04/2026 09:36:21 AM"/>
    <s v="36000"/>
    <s v="16000"/>
    <s v="20000"/>
    <n v="20"/>
    <s v="RFID"/>
  </r>
  <r>
    <s v="33731"/>
    <x v="0"/>
    <s v="T290 EHH"/>
    <x v="1"/>
    <x v="3"/>
    <x v="1"/>
    <s v="MT"/>
    <x v="3"/>
    <s v="12/04/2026 09:34:58 AM"/>
    <s v="12/04/2026 09:40:11 AM"/>
    <s v="36820"/>
    <s v="15320"/>
    <s v="21500"/>
    <n v="21.5"/>
    <s v="RFID"/>
  </r>
  <r>
    <s v="33732"/>
    <x v="0"/>
    <s v="T299 EHH"/>
    <x v="1"/>
    <x v="3"/>
    <x v="1"/>
    <s v="MT"/>
    <x v="3"/>
    <s v="12/04/2026 09:41:12 AM"/>
    <s v="12/04/2026 09:45:43 AM"/>
    <s v="37200"/>
    <s v="16540"/>
    <s v="20660"/>
    <n v="20.66"/>
    <s v="RFID"/>
  </r>
  <r>
    <s v="33733"/>
    <x v="0"/>
    <s v="T312 EHH"/>
    <x v="1"/>
    <x v="3"/>
    <x v="1"/>
    <s v="MT"/>
    <x v="3"/>
    <s v="12/04/2026 09:46:44 AM"/>
    <s v="12/04/2026 09:55:42 AM"/>
    <s v="36520"/>
    <s v="16100"/>
    <s v="20420"/>
    <n v="20.420000000000002"/>
    <s v="RFID"/>
  </r>
  <r>
    <s v="33734"/>
    <x v="0"/>
    <s v="T290 EHH"/>
    <x v="1"/>
    <x v="3"/>
    <x v="1"/>
    <s v="MT"/>
    <x v="3"/>
    <s v="12/04/2026 09:50:32 AM"/>
    <s v="12/04/2026 10:00:10 AM"/>
    <s v="39260"/>
    <s v="15340"/>
    <s v="23920"/>
    <n v="23.92"/>
    <s v="RFID"/>
  </r>
  <r>
    <s v="33735"/>
    <x v="0"/>
    <s v="T299 EHH"/>
    <x v="1"/>
    <x v="3"/>
    <x v="1"/>
    <s v="MT"/>
    <x v="3"/>
    <s v="12/04/2026 09:52:54 AM"/>
    <s v="12/04/2026 09:59:19 AM"/>
    <s v="34860"/>
    <s v="16540"/>
    <s v="18320"/>
    <n v="18.32"/>
    <s v="RFID"/>
  </r>
  <r>
    <s v="33736"/>
    <x v="0"/>
    <s v="T312 EHH"/>
    <x v="1"/>
    <x v="3"/>
    <x v="1"/>
    <s v="MT"/>
    <x v="3"/>
    <s v="12/04/2026 10:02:00 AM"/>
    <s v="12/04/2026 10:07:44 AM"/>
    <s v="37180"/>
    <s v="16040"/>
    <s v="21140"/>
    <n v="21.14"/>
    <s v="RFID"/>
  </r>
  <r>
    <s v="33737"/>
    <x v="0"/>
    <s v="T299 EHH"/>
    <x v="1"/>
    <x v="3"/>
    <x v="1"/>
    <s v="MT"/>
    <x v="3"/>
    <s v="12/04/2026 10:04:30 AM"/>
    <s v="12/04/2026 10:09:36 AM"/>
    <s v="36920"/>
    <s v="16560"/>
    <s v="20360"/>
    <n v="20.36"/>
    <s v="RFID"/>
  </r>
  <r>
    <s v="33738"/>
    <x v="0"/>
    <s v="T290 EHH"/>
    <x v="1"/>
    <x v="3"/>
    <x v="1"/>
    <s v="MT"/>
    <x v="3"/>
    <s v="12/04/2026 10:08:53 AM"/>
    <s v="12/04/2026 10:13:51 AM"/>
    <s v="36640"/>
    <s v="15340"/>
    <s v="21300"/>
    <n v="21.3"/>
    <s v="RFID"/>
  </r>
  <r>
    <s v="33739"/>
    <x v="0"/>
    <s v="T312 EHH"/>
    <x v="1"/>
    <x v="3"/>
    <x v="1"/>
    <s v="MT"/>
    <x v="3"/>
    <s v="12/04/2026 10:12:48 AM"/>
    <s v="12/04/2026 10:17:19 AM"/>
    <s v="37980"/>
    <s v="16040"/>
    <s v="21940"/>
    <n v="21.94"/>
    <s v="RFID"/>
  </r>
  <r>
    <s v="33740"/>
    <x v="0"/>
    <s v="T299 EHH"/>
    <x v="1"/>
    <x v="3"/>
    <x v="1"/>
    <s v="MT"/>
    <x v="3"/>
    <s v="12/04/2026 10:16:14 AM"/>
    <s v="12/04/2026 10:21:20 AM"/>
    <s v="37620"/>
    <s v="16840"/>
    <s v="20780"/>
    <n v="20.78"/>
    <s v="RFID"/>
  </r>
  <r>
    <s v="33741"/>
    <x v="0"/>
    <s v="T290 EHH"/>
    <x v="1"/>
    <x v="3"/>
    <x v="1"/>
    <s v="MT"/>
    <x v="3"/>
    <s v="12/04/2026 10:20:11 AM"/>
    <s v="12/04/2026 10:25:15 AM"/>
    <s v="38120"/>
    <s v="15440"/>
    <s v="22680"/>
    <n v="22.68"/>
    <s v="RFID"/>
  </r>
  <r>
    <s v="33742"/>
    <x v="0"/>
    <s v="T312 EHH"/>
    <x v="1"/>
    <x v="3"/>
    <x v="1"/>
    <s v="MT"/>
    <x v="3"/>
    <s v="12/04/2026 10:23:54 AM"/>
    <s v="12/04/2026 10:28:31 AM"/>
    <s v="37120"/>
    <s v="16160"/>
    <s v="20960"/>
    <n v="20.96"/>
    <s v="RFID"/>
  </r>
  <r>
    <s v="33743"/>
    <x v="0"/>
    <s v="T299 EHH"/>
    <x v="1"/>
    <x v="3"/>
    <x v="1"/>
    <s v="MT"/>
    <x v="3"/>
    <s v="12/04/2026 10:27:00 AM"/>
    <s v="12/04/2026 10:32:25 AM"/>
    <s v="36780"/>
    <s v="16940"/>
    <s v="19840"/>
    <n v="19.84"/>
    <s v="RFID"/>
  </r>
  <r>
    <s v="33744"/>
    <x v="0"/>
    <s v="T290 EHH"/>
    <x v="1"/>
    <x v="3"/>
    <x v="1"/>
    <s v="MT"/>
    <x v="3"/>
    <s v="12/04/2026 10:33:34 AM"/>
    <s v="12/04/2026 10:38:56 AM"/>
    <s v="38140"/>
    <s v="15520"/>
    <s v="22620"/>
    <n v="22.62"/>
    <s v="RFID"/>
  </r>
  <r>
    <s v="33745"/>
    <x v="0"/>
    <s v="T312 EHH"/>
    <x v="1"/>
    <x v="3"/>
    <x v="1"/>
    <s v="MT"/>
    <x v="3"/>
    <s v="12/04/2026 10:34:49 AM"/>
    <s v="12/04/2026 10:39:59 AM"/>
    <s v="38900"/>
    <s v="16100"/>
    <s v="22800"/>
    <n v="22.8"/>
    <s v="RFID"/>
  </r>
  <r>
    <s v="33746"/>
    <x v="0"/>
    <s v="T299 EHH"/>
    <x v="1"/>
    <x v="3"/>
    <x v="1"/>
    <s v="MT"/>
    <x v="3"/>
    <s v="12/04/2026 10:37:49 AM"/>
    <s v="12/04/2026 10:43:18 AM"/>
    <s v="38100"/>
    <s v="17100"/>
    <s v="21000"/>
    <n v="21"/>
    <s v="RFID"/>
  </r>
  <r>
    <s v="33747"/>
    <x v="0"/>
    <s v="T290 EHH"/>
    <x v="1"/>
    <x v="3"/>
    <x v="1"/>
    <s v="MT"/>
    <x v="3"/>
    <s v="12/04/2026 10:44:15 AM"/>
    <s v="12/04/2026 10:49:44 AM"/>
    <s v="36340"/>
    <s v="15580"/>
    <s v="20760"/>
    <n v="20.76"/>
    <s v="RFID"/>
  </r>
  <r>
    <s v="33748"/>
    <x v="0"/>
    <s v="T312 EHH"/>
    <x v="1"/>
    <x v="3"/>
    <x v="1"/>
    <s v="MT"/>
    <x v="3"/>
    <s v="12/04/2026 10:48:22 AM"/>
    <s v="12/04/2026 10:53:01 AM"/>
    <s v="36080"/>
    <s v="16120"/>
    <s v="19960"/>
    <n v="19.96"/>
    <s v="RFID"/>
  </r>
  <r>
    <s v="33749"/>
    <x v="0"/>
    <s v="T299 EHH"/>
    <x v="1"/>
    <x v="3"/>
    <x v="1"/>
    <s v="MT"/>
    <x v="3"/>
    <s v="12/04/2026 10:51:48 AM"/>
    <s v="12/04/2026 10:55:16 AM"/>
    <s v="36280"/>
    <s v="17140"/>
    <s v="19140"/>
    <n v="19.14"/>
    <s v="RFID"/>
  </r>
  <r>
    <s v="33750"/>
    <x v="0"/>
    <s v="T290 EHH"/>
    <x v="1"/>
    <x v="3"/>
    <x v="1"/>
    <s v="MT"/>
    <x v="3"/>
    <s v="12/04/2026 11:20:48 AM"/>
    <s v="12/04/2026 11:30:46 AM"/>
    <s v="36200"/>
    <s v="15640"/>
    <s v="20560"/>
    <n v="20.56"/>
    <s v="RFID"/>
  </r>
  <r>
    <s v="33751"/>
    <x v="0"/>
    <s v="T299 EHH"/>
    <x v="1"/>
    <x v="3"/>
    <x v="1"/>
    <s v="MT"/>
    <x v="3"/>
    <s v="12/04/2026 11:24:15 AM"/>
    <s v="12/04/2026 11:33:15 AM"/>
    <s v="36300"/>
    <s v="17260"/>
    <s v="19040"/>
    <n v="19.04"/>
    <s v="RFID"/>
  </r>
  <r>
    <s v="33752"/>
    <x v="0"/>
    <s v="T312 EHH"/>
    <x v="1"/>
    <x v="3"/>
    <x v="1"/>
    <s v="MT"/>
    <x v="3"/>
    <s v="12/04/2026 11:34:22 AM"/>
    <s v="12/04/2026 11:39:34 AM"/>
    <s v="39180"/>
    <s v="16220"/>
    <s v="22960"/>
    <n v="22.96"/>
    <s v="RFID"/>
  </r>
  <r>
    <s v="33753"/>
    <x v="0"/>
    <s v="T290 EHH"/>
    <x v="1"/>
    <x v="3"/>
    <x v="1"/>
    <s v="MT"/>
    <x v="3"/>
    <s v="12/04/2026 11:35:41 AM"/>
    <s v="12/04/2026 11:40:59 AM"/>
    <s v="35220"/>
    <s v="15560"/>
    <s v="19660"/>
    <n v="19.66"/>
    <s v="RFID"/>
  </r>
  <r>
    <s v="33754"/>
    <x v="0"/>
    <s v="T299 EHH"/>
    <x v="1"/>
    <x v="3"/>
    <x v="1"/>
    <s v="MT"/>
    <x v="3"/>
    <s v="12/04/2026 11:42:00 AM"/>
    <s v="12/04/2026 11:46:51 AM"/>
    <s v="35300"/>
    <s v="15340"/>
    <s v="19960"/>
    <n v="19.96"/>
    <s v="RFID"/>
  </r>
  <r>
    <s v="33755"/>
    <x v="0"/>
    <s v="T312 EHH"/>
    <x v="1"/>
    <x v="3"/>
    <x v="1"/>
    <s v="MT"/>
    <x v="3"/>
    <s v="12/04/2026 11:46:03 AM"/>
    <s v="12/04/2026 11:51:50 AM"/>
    <s v="38000"/>
    <s v="16120"/>
    <s v="21880"/>
    <n v="21.88"/>
    <s v="RFID"/>
  </r>
  <r>
    <s v="33756"/>
    <x v="0"/>
    <s v="T290 EHH"/>
    <x v="1"/>
    <x v="3"/>
    <x v="1"/>
    <s v="MT"/>
    <x v="3"/>
    <s v="12/04/2026 11:50:02 AM"/>
    <s v="12/04/2026 11:55:13 AM"/>
    <s v="38500"/>
    <s v="15440"/>
    <s v="23060"/>
    <n v="23.06"/>
    <s v="RFID"/>
  </r>
  <r>
    <s v="33757"/>
    <x v="0"/>
    <s v="T299 EHH"/>
    <x v="1"/>
    <x v="3"/>
    <x v="0"/>
    <s v="MT"/>
    <x v="3"/>
    <s v="12/04/2026 12:21:31 PM"/>
    <s v="12/04/2026 12:27:16 PM"/>
    <s v="35720"/>
    <s v="15360"/>
    <s v="20360"/>
    <n v="20.36"/>
    <s v="RFID"/>
  </r>
  <r>
    <s v="33758"/>
    <x v="0"/>
    <s v="T312 EHH"/>
    <x v="1"/>
    <x v="3"/>
    <x v="0"/>
    <s v="MT"/>
    <x v="3"/>
    <s v="12/04/2026 12:23:47 PM"/>
    <s v="12/04/2026 12:31:17 PM"/>
    <s v="36160"/>
    <s v="16300"/>
    <s v="19860"/>
    <n v="19.86"/>
    <s v="RFID"/>
  </r>
  <r>
    <s v="33759"/>
    <x v="0"/>
    <s v="T290 EHH"/>
    <x v="1"/>
    <x v="3"/>
    <x v="0"/>
    <s v="MT"/>
    <x v="3"/>
    <s v="12/04/2026 12:28:50 PM"/>
    <s v="12/04/2026 12:43:10 PM"/>
    <s v="35780"/>
    <s v="15640"/>
    <s v="20140"/>
    <n v="20.14"/>
    <s v="RFID"/>
  </r>
  <r>
    <s v="33760"/>
    <x v="0"/>
    <s v="T299 EHH"/>
    <x v="1"/>
    <x v="3"/>
    <x v="0"/>
    <s v="MT"/>
    <x v="3"/>
    <s v="12/04/2026 12:36:15 PM"/>
    <s v="12/04/2026 12:40:32 PM"/>
    <s v="36720"/>
    <s v="15460"/>
    <s v="21260"/>
    <n v="21.26"/>
    <s v="RFID"/>
  </r>
  <r>
    <s v="33761"/>
    <x v="0"/>
    <s v="T312 EHH"/>
    <x v="1"/>
    <x v="3"/>
    <x v="0"/>
    <s v="MT"/>
    <x v="3"/>
    <s v="12/04/2026 12:41:43 PM"/>
    <s v="12/04/2026 12:48:30 PM"/>
    <s v="36120"/>
    <s v="16200"/>
    <s v="19920"/>
    <n v="19.920000000000002"/>
    <s v="RFID"/>
  </r>
  <r>
    <s v="33762"/>
    <x v="0"/>
    <s v="T299 EHH"/>
    <x v="1"/>
    <x v="3"/>
    <x v="0"/>
    <s v="MT"/>
    <x v="3"/>
    <s v="12/04/2026 12:46:25 PM"/>
    <s v="12/04/2026 12:50:14 PM"/>
    <s v="36760"/>
    <s v="15400"/>
    <s v="21360"/>
    <n v="21.36"/>
    <s v="RFID"/>
  </r>
  <r>
    <s v="33763"/>
    <x v="0"/>
    <s v="T299 EHH"/>
    <x v="1"/>
    <x v="3"/>
    <x v="0"/>
    <s v="MT"/>
    <x v="3"/>
    <s v="12/04/2026 02:16:41 PM"/>
    <s v="12/04/2026 02:28:09 PM"/>
    <s v="34720"/>
    <s v="15420"/>
    <s v="19300"/>
    <n v="19.3"/>
    <s v="RFID"/>
  </r>
  <r>
    <s v="33764"/>
    <x v="0"/>
    <s v="T312 EHH"/>
    <x v="1"/>
    <x v="3"/>
    <x v="0"/>
    <s v="MT"/>
    <x v="3"/>
    <s v="12/04/2026 02:21:12 PM"/>
    <s v="12/04/2026 02:30:48 PM"/>
    <s v="37420"/>
    <s v="16300"/>
    <s v="21120"/>
    <n v="21.12"/>
    <s v="RFID"/>
  </r>
  <r>
    <s v="33765"/>
    <x v="0"/>
    <s v="T290 EHH"/>
    <x v="1"/>
    <x v="3"/>
    <x v="0"/>
    <s v="MT"/>
    <x v="3"/>
    <s v="12/04/2026 02:24:29 PM"/>
    <s v="12/04/2026 03:01:28 PM"/>
    <s v="33420"/>
    <s v="15600"/>
    <s v="17820"/>
    <n v="17.82"/>
    <s v="RFID"/>
  </r>
  <r>
    <s v="33766"/>
    <x v="0"/>
    <s v="T311 EHH"/>
    <x v="1"/>
    <x v="3"/>
    <x v="0"/>
    <s v="MT"/>
    <x v="3"/>
    <s v="12/04/2026 03:00:04 PM"/>
    <s v="12/04/2026 03:08:18 PM"/>
    <s v="38420"/>
    <s v="17200"/>
    <s v="21220"/>
    <n v="21.22"/>
    <s v="RFID"/>
  </r>
  <r>
    <s v="33767"/>
    <x v="0"/>
    <s v="T312 EHH"/>
    <x v="0"/>
    <x v="2"/>
    <x v="0"/>
    <s v="MT"/>
    <x v="3"/>
    <s v="12/04/2026 03:03:49 PM"/>
    <s v="12/04/2026 03:09:44 PM"/>
    <s v="37420"/>
    <s v="16380"/>
    <s v="21040"/>
    <n v="21.04"/>
    <s v="RFID"/>
  </r>
  <r>
    <s v="33768"/>
    <x v="0"/>
    <s v="T290 EHH"/>
    <x v="0"/>
    <x v="2"/>
    <x v="0"/>
    <s v="MT"/>
    <x v="3"/>
    <s v="12/04/2026 03:37:29 PM"/>
    <s v="12/04/2026 03:43:20 PM"/>
    <s v="36820"/>
    <s v="15600"/>
    <s v="21220"/>
    <n v="21.22"/>
    <s v="RFID"/>
  </r>
  <r>
    <s v="33769"/>
    <x v="0"/>
    <s v="T299 EHH"/>
    <x v="0"/>
    <x v="2"/>
    <x v="0"/>
    <s v="MT"/>
    <x v="3"/>
    <s v="12/04/2026 03:47:04 PM"/>
    <s v="12/04/2026 03:50:49 PM"/>
    <s v="37800"/>
    <s v="15420"/>
    <s v="22380"/>
    <n v="22.38"/>
    <s v="RFID"/>
  </r>
  <r>
    <s v="33770"/>
    <x v="0"/>
    <s v="T312 EHH"/>
    <x v="0"/>
    <x v="2"/>
    <x v="0"/>
    <s v="MT"/>
    <x v="3"/>
    <s v="12/04/2026 03:52:27 PM"/>
    <s v="12/04/2026 03:57:27 PM"/>
    <s v="37940"/>
    <s v="16660"/>
    <s v="21280"/>
    <n v="21.28"/>
    <s v="RFID"/>
  </r>
  <r>
    <s v="33771"/>
    <x v="0"/>
    <s v="T311 EHH"/>
    <x v="0"/>
    <x v="2"/>
    <x v="0"/>
    <s v="MT"/>
    <x v="3"/>
    <s v="12/04/2026 03:58:33 PM"/>
    <s v="12/04/2026 04:03:11 PM"/>
    <s v="41100"/>
    <s v="17460"/>
    <s v="23640"/>
    <n v="23.64"/>
    <s v="RFID"/>
  </r>
  <r>
    <s v="33772"/>
    <x v="0"/>
    <s v="T290 EHH"/>
    <x v="0"/>
    <x v="2"/>
    <x v="0"/>
    <s v="MT"/>
    <x v="3"/>
    <s v="12/04/2026 04:04:15 PM"/>
    <s v="12/04/2026 04:17:03 PM"/>
    <s v="38240"/>
    <s v="15740"/>
    <s v="22500"/>
    <n v="22.5"/>
    <s v="RFID"/>
  </r>
  <r>
    <s v="33773"/>
    <x v="0"/>
    <s v="T299 EHH"/>
    <x v="0"/>
    <x v="0"/>
    <x v="1"/>
    <s v="MT"/>
    <x v="3"/>
    <s v="12/04/2026 04:45:01 PM"/>
    <s v="12/04/2026 04:52:22 PM"/>
    <s v="40140"/>
    <s v="15640"/>
    <s v="24500"/>
    <n v="24.5"/>
    <s v="RFID"/>
  </r>
  <r>
    <s v="33774"/>
    <x v="0"/>
    <s v="T312 EHH"/>
    <x v="0"/>
    <x v="0"/>
    <x v="1"/>
    <s v="MT"/>
    <x v="3"/>
    <s v="12/04/2026 04:50:11 PM"/>
    <s v="12/04/2026 04:54:51 PM"/>
    <s v="39660"/>
    <s v="16360"/>
    <s v="23300"/>
    <n v="23.3"/>
    <s v="RFID"/>
  </r>
  <r>
    <s v="33775"/>
    <x v="0"/>
    <s v="T290 EHH"/>
    <x v="0"/>
    <x v="0"/>
    <x v="1"/>
    <s v="MT"/>
    <x v="3"/>
    <s v="12/04/2026 04:56:38 PM"/>
    <s v="12/04/2026 05:01:03 PM"/>
    <s v="38980"/>
    <s v="15600"/>
    <s v="23380"/>
    <n v="23.38"/>
    <s v="RFID"/>
  </r>
  <r>
    <s v="33776"/>
    <x v="0"/>
    <s v="T311 EHH"/>
    <x v="0"/>
    <x v="0"/>
    <x v="1"/>
    <s v="MT"/>
    <x v="3"/>
    <s v="12/04/2026 05:02:24 PM"/>
    <s v="12/04/2026 05:06:08 PM"/>
    <s v="40980"/>
    <s v="17600"/>
    <s v="23380"/>
    <n v="23.38"/>
    <s v="RFID"/>
  </r>
  <r>
    <s v="33777"/>
    <x v="0"/>
    <s v="T299 EHH"/>
    <x v="0"/>
    <x v="0"/>
    <x v="1"/>
    <s v="MT"/>
    <x v="3"/>
    <s v="12/04/2026 05:07:30 PM"/>
    <s v="12/04/2026 05:12:11 PM"/>
    <s v="38880"/>
    <s v="15700"/>
    <s v="23180"/>
    <n v="23.18"/>
    <s v="RFID"/>
  </r>
  <r>
    <s v="33778"/>
    <x v="0"/>
    <s v="T312 EHH"/>
    <x v="0"/>
    <x v="2"/>
    <x v="1"/>
    <s v="MT"/>
    <x v="3"/>
    <s v="12/04/2026 05:14:34 PM"/>
    <s v="12/04/2026 05:40:46 PM"/>
    <s v="39620"/>
    <s v="16380"/>
    <s v="23240"/>
    <n v="23.24"/>
    <s v="RFID"/>
  </r>
  <r>
    <s v="33779"/>
    <x v="0"/>
    <s v="T290 EHH"/>
    <x v="0"/>
    <x v="2"/>
    <x v="1"/>
    <s v="MT"/>
    <x v="3"/>
    <s v="12/04/2026 05:18:14 PM"/>
    <s v="12/04/2026 05:44:17 PM"/>
    <s v="40260"/>
    <s v="15720"/>
    <s v="24540"/>
    <n v="24.54"/>
    <s v="RFID"/>
  </r>
  <r>
    <s v="33780"/>
    <x v="0"/>
    <s v="T311 EHH"/>
    <x v="0"/>
    <x v="2"/>
    <x v="1"/>
    <s v="MT"/>
    <x v="3"/>
    <s v="12/04/2026 05:20:05 PM"/>
    <s v="12/04/2026 05:42:50 PM"/>
    <s v="41980"/>
    <s v="18800"/>
    <s v="23180"/>
    <n v="23.18"/>
    <s v="RFID"/>
  </r>
  <r>
    <s v="33781"/>
    <x v="0"/>
    <s v="T299 EHH"/>
    <x v="0"/>
    <x v="0"/>
    <x v="1"/>
    <s v="MT"/>
    <x v="3"/>
    <s v="12/04/2026 05:28:35 PM"/>
    <s v="12/04/2026 05:32:52 PM"/>
    <s v="38500"/>
    <s v="16100"/>
    <s v="22400"/>
    <n v="22.4"/>
    <s v="RFID"/>
  </r>
  <r>
    <s v="33782"/>
    <x v="0"/>
    <s v="T299 EHH"/>
    <x v="0"/>
    <x v="0"/>
    <x v="1"/>
    <s v="MT"/>
    <x v="3"/>
    <s v="12/04/2026 05:46:13 PM"/>
    <s v="12/04/2026 05:50:39 PM"/>
    <s v="38980"/>
    <s v="16040"/>
    <s v="22940"/>
    <n v="22.94"/>
    <s v="RFID"/>
  </r>
  <r>
    <s v="33783"/>
    <x v="0"/>
    <s v="T312 EHH"/>
    <x v="0"/>
    <x v="2"/>
    <x v="1"/>
    <s v="MT"/>
    <x v="3"/>
    <s v="12/04/2026 05:53:27 PM"/>
    <s v="12/04/2026 05:59:58 PM"/>
    <s v="39800"/>
    <s v="16380"/>
    <s v="23420"/>
    <n v="23.42"/>
    <s v="RFID"/>
  </r>
  <r>
    <s v="33784"/>
    <x v="0"/>
    <s v="T311 EHH"/>
    <x v="0"/>
    <x v="2"/>
    <x v="1"/>
    <s v="MT"/>
    <x v="3"/>
    <s v="12/04/2026 05:58:38 PM"/>
    <s v="12/04/2026 06:03:43 PM"/>
    <s v="37920"/>
    <s v="18660"/>
    <s v="19260"/>
    <n v="19.260000000000002"/>
    <s v="RFID"/>
  </r>
  <r>
    <s v="33785"/>
    <x v="0"/>
    <s v="T290 EHH"/>
    <x v="0"/>
    <x v="2"/>
    <x v="1"/>
    <s v="MT"/>
    <x v="3"/>
    <s v="12/04/2026 06:04:54 PM"/>
    <s v="12/04/2026 06:32:35 PM"/>
    <s v="35080"/>
    <s v="15940"/>
    <s v="19140"/>
    <n v="19.14"/>
    <s v="RFID"/>
  </r>
  <r>
    <s v="33786"/>
    <x v="0"/>
    <s v="T299 EHH"/>
    <x v="0"/>
    <x v="2"/>
    <x v="1"/>
    <s v="MT"/>
    <x v="3"/>
    <s v="12/04/2026 06:18:37 PM"/>
    <s v="12/04/2026 06:33:58 PM"/>
    <s v="36540"/>
    <s v="16220"/>
    <s v="20320"/>
    <n v="20.32"/>
    <s v="RFID"/>
  </r>
  <r>
    <s v="33787"/>
    <x v="0"/>
    <s v="T312 EHH"/>
    <x v="0"/>
    <x v="2"/>
    <x v="1"/>
    <s v="MT"/>
    <x v="3"/>
    <s v="12/04/2026 06:30:20 PM"/>
    <s v="12/04/2026 06:35:10 PM"/>
    <s v="34980"/>
    <s v="16380"/>
    <s v="18600"/>
    <n v="18.600000000000001"/>
    <s v="RFID"/>
  </r>
  <r>
    <s v="33788"/>
    <x v="0"/>
    <s v="T311 EHH"/>
    <x v="0"/>
    <x v="2"/>
    <x v="1"/>
    <s v="MT"/>
    <x v="3"/>
    <s v="12/04/2026 06:31:15 PM"/>
    <s v="12/04/2026 06:37:19 PM"/>
    <s v="40740"/>
    <s v="19600"/>
    <s v="21140"/>
    <n v="21.14"/>
    <s v="RFID"/>
  </r>
  <r>
    <s v="33789"/>
    <x v="0"/>
    <s v="T290 EHH"/>
    <x v="0"/>
    <x v="2"/>
    <x v="1"/>
    <s v="MT"/>
    <x v="3"/>
    <s v="12/04/2026 06:44:01 PM"/>
    <s v="12/04/2026 06:50:14 PM"/>
    <s v="36700"/>
    <s v="16820"/>
    <s v="19880"/>
    <n v="19.88"/>
    <s v="RFID"/>
  </r>
  <r>
    <s v="33790"/>
    <x v="0"/>
    <s v="T299 EHH"/>
    <x v="0"/>
    <x v="2"/>
    <x v="1"/>
    <s v="MT"/>
    <x v="3"/>
    <s v="12/04/2026 06:58:03 PM"/>
    <s v="12/04/2026 07:04:37 PM"/>
    <s v="36280"/>
    <s v="16580"/>
    <s v="19700"/>
    <n v="19.7"/>
    <s v="RFID"/>
  </r>
  <r>
    <s v="33791"/>
    <x v="0"/>
    <s v="T312 EHH"/>
    <x v="0"/>
    <x v="2"/>
    <x v="1"/>
    <s v="MT"/>
    <x v="3"/>
    <s v="12/04/2026 07:03:28 PM"/>
    <s v="12/04/2026 07:10:10 PM"/>
    <s v="36780"/>
    <s v="16440"/>
    <s v="20340"/>
    <n v="20.34"/>
    <s v="RFID"/>
  </r>
  <r>
    <s v="33792"/>
    <x v="0"/>
    <s v="T311 EHH"/>
    <x v="0"/>
    <x v="2"/>
    <x v="1"/>
    <s v="MT"/>
    <x v="3"/>
    <s v="12/04/2026 07:08:45 PM"/>
    <s v="12/04/2026 07:14:15 PM"/>
    <s v="36760"/>
    <s v="20140"/>
    <s v="16620"/>
    <n v="16.62"/>
    <s v="RFID"/>
  </r>
  <r>
    <s v="33793"/>
    <x v="0"/>
    <s v="T290 EHH"/>
    <x v="0"/>
    <x v="2"/>
    <x v="1"/>
    <s v="MT"/>
    <x v="3"/>
    <s v="12/04/2026 07:15:24 PM"/>
    <s v="12/04/2026 07:22:12 PM"/>
    <s v="39480"/>
    <s v="17620"/>
    <s v="21860"/>
    <n v="21.86"/>
    <s v="RFID"/>
  </r>
  <r>
    <s v="33794"/>
    <x v="0"/>
    <s v="T299 EHH"/>
    <x v="0"/>
    <x v="2"/>
    <x v="1"/>
    <s v="MT"/>
    <x v="3"/>
    <s v="12/04/2026 07:16:51 PM"/>
    <s v="12/04/2026 07:32:11 PM"/>
    <s v="38340"/>
    <s v="16460"/>
    <s v="21880"/>
    <n v="21.88"/>
    <s v="RFID"/>
  </r>
  <r>
    <s v="33795"/>
    <x v="0"/>
    <s v="T312 EHH"/>
    <x v="0"/>
    <x v="2"/>
    <x v="1"/>
    <s v="MT"/>
    <x v="3"/>
    <s v="12/04/2026 07:20:58 PM"/>
    <s v="12/04/2026 07:25:26 PM"/>
    <s v="35860"/>
    <s v="17500"/>
    <s v="18360"/>
    <n v="18.36"/>
    <s v="RFID"/>
  </r>
  <r>
    <s v="33796"/>
    <x v="0"/>
    <s v="T293 EHH"/>
    <x v="0"/>
    <x v="2"/>
    <x v="1"/>
    <s v="MT"/>
    <x v="3"/>
    <s v="12/04/2026 09:06:34 PM"/>
    <s v="12/04/2026 09:14:30 PM"/>
    <s v="37960"/>
    <s v="15520"/>
    <s v="22440"/>
    <n v="22.44"/>
    <s v="RFID"/>
  </r>
  <r>
    <s v="33797"/>
    <x v="0"/>
    <s v="T312 EHH"/>
    <x v="0"/>
    <x v="2"/>
    <x v="1"/>
    <s v="MT"/>
    <x v="3"/>
    <s v="12/04/2026 09:08:46 PM"/>
    <s v="12/04/2026 09:18:00 PM"/>
    <s v="37540"/>
    <s v="16620"/>
    <s v="20920"/>
    <n v="20.92"/>
    <s v="RFID"/>
  </r>
  <r>
    <s v="33798"/>
    <x v="0"/>
    <s v="T311 EHH"/>
    <x v="0"/>
    <x v="2"/>
    <x v="1"/>
    <s v="MT"/>
    <x v="3"/>
    <s v="12/04/2026 09:12:07 PM"/>
    <s v="12/04/2026 09:19:46 PM"/>
    <s v="36100"/>
    <s v="15420"/>
    <s v="20680"/>
    <n v="20.68"/>
    <s v="RFID"/>
  </r>
  <r>
    <s v="33799"/>
    <x v="0"/>
    <s v="T299 EHH"/>
    <x v="0"/>
    <x v="2"/>
    <x v="1"/>
    <s v="MT"/>
    <x v="3"/>
    <s v="12/04/2026 09:21:21 PM"/>
    <s v="12/04/2026 09:29:28 PM"/>
    <s v="38760"/>
    <s v="16520"/>
    <s v="22240"/>
    <n v="22.24"/>
    <s v="RFID"/>
  </r>
  <r>
    <s v="33800"/>
    <x v="0"/>
    <s v="T312 EHH"/>
    <x v="1"/>
    <x v="3"/>
    <x v="0"/>
    <s v="MT"/>
    <x v="3"/>
    <s v="12/04/2026 09:56:26 PM"/>
    <s v="12/04/2026 10:04:09 PM"/>
    <s v="37500"/>
    <s v="16580"/>
    <s v="20920"/>
    <n v="20.92"/>
    <s v="RFID"/>
  </r>
  <r>
    <s v="33801"/>
    <x v="0"/>
    <s v="T311 EHH"/>
    <x v="1"/>
    <x v="3"/>
    <x v="0"/>
    <s v="MT"/>
    <x v="3"/>
    <s v="12/04/2026 10:01:47 PM"/>
    <s v="12/04/2026 10:06:10 PM"/>
    <s v="40080"/>
    <s v="15800"/>
    <s v="24280"/>
    <n v="24.28"/>
    <s v="RFID"/>
  </r>
  <r>
    <s v="33802"/>
    <x v="0"/>
    <s v="T299 EHH"/>
    <x v="1"/>
    <x v="3"/>
    <x v="0"/>
    <s v="MT"/>
    <x v="3"/>
    <s v="12/04/2026 10:09:07 PM"/>
    <s v="12/04/2026 10:17:11 PM"/>
    <s v="37920"/>
    <s v="16720"/>
    <s v="21200"/>
    <n v="21.2"/>
    <s v="RFID"/>
  </r>
  <r>
    <s v="33803"/>
    <x v="0"/>
    <s v="T312 EHH"/>
    <x v="1"/>
    <x v="3"/>
    <x v="0"/>
    <s v="MT"/>
    <x v="3"/>
    <s v="12/04/2026 10:12:31 PM"/>
    <s v="12/04/2026 10:20:08 PM"/>
    <s v="37520"/>
    <s v="16600"/>
    <s v="20920"/>
    <n v="20.92"/>
    <s v="RFID"/>
  </r>
  <r>
    <s v="33804"/>
    <x v="0"/>
    <s v="T311 EHH"/>
    <x v="1"/>
    <x v="3"/>
    <x v="0"/>
    <s v="MT"/>
    <x v="3"/>
    <s v="12/04/2026 10:18:18 PM"/>
    <s v="12/04/2026 10:23:25 PM"/>
    <s v="39320"/>
    <s v="16000"/>
    <s v="23320"/>
    <n v="23.32"/>
    <s v="RFID"/>
  </r>
  <r>
    <s v="33805"/>
    <x v="0"/>
    <s v="T299 EHH"/>
    <x v="1"/>
    <x v="3"/>
    <x v="0"/>
    <s v="MT"/>
    <x v="3"/>
    <s v="12/04/2026 10:27:28 PM"/>
    <s v="12/04/2026 10:31:48 PM"/>
    <s v="39480"/>
    <s v="16720"/>
    <s v="22760"/>
    <n v="22.76"/>
    <s v="RFID"/>
  </r>
  <r>
    <s v="33806"/>
    <x v="0"/>
    <s v="T312 EHH"/>
    <x v="1"/>
    <x v="3"/>
    <x v="0"/>
    <s v="MT"/>
    <x v="3"/>
    <s v="12/04/2026 10:33:47 PM"/>
    <s v="12/04/2026 10:39:22 PM"/>
    <s v="36640"/>
    <s v="16580"/>
    <s v="20060"/>
    <n v="20.059999999999999"/>
    <s v="RFID"/>
  </r>
  <r>
    <s v="33807"/>
    <x v="0"/>
    <s v="T311 EHH"/>
    <x v="1"/>
    <x v="3"/>
    <x v="0"/>
    <s v="MT"/>
    <x v="3"/>
    <s v="12/04/2026 10:38:14 PM"/>
    <s v="12/04/2026 10:42:36 PM"/>
    <s v="37960"/>
    <s v="16080"/>
    <s v="21880"/>
    <n v="21.88"/>
    <s v="RFID"/>
  </r>
  <r>
    <s v="33808"/>
    <x v="0"/>
    <s v="T299 EHH"/>
    <x v="1"/>
    <x v="3"/>
    <x v="0"/>
    <s v="MT"/>
    <x v="3"/>
    <s v="12/04/2026 10:44:46 PM"/>
    <s v="12/04/2026 10:55:21 PM"/>
    <s v="36040"/>
    <s v="16880"/>
    <s v="19160"/>
    <n v="19.16"/>
    <s v="RFID"/>
  </r>
  <r>
    <s v="33809"/>
    <x v="0"/>
    <s v="T312 EHH"/>
    <x v="1"/>
    <x v="3"/>
    <x v="0"/>
    <s v="MT"/>
    <x v="3"/>
    <s v="12/04/2026 10:51:57 PM"/>
    <s v="12/04/2026 10:57:17 PM"/>
    <s v="41620"/>
    <s v="16600"/>
    <s v="25020"/>
    <n v="25.02"/>
    <s v="RFID"/>
  </r>
  <r>
    <s v="33810"/>
    <x v="0"/>
    <s v="T311 EHH"/>
    <x v="1"/>
    <x v="3"/>
    <x v="0"/>
    <s v="MT"/>
    <x v="3"/>
    <s v="12/04/2026 11:02:22 PM"/>
    <s v="12/04/2026 11:06:35 PM"/>
    <s v="37340"/>
    <s v="16100"/>
    <s v="21240"/>
    <n v="21.24"/>
    <s v="RFID"/>
  </r>
  <r>
    <s v="33811"/>
    <x v="0"/>
    <s v="T312 EHH"/>
    <x v="1"/>
    <x v="3"/>
    <x v="0"/>
    <s v="MT"/>
    <x v="3"/>
    <s v="12/04/2026 11:08:16 PM"/>
    <s v="12/04/2026 11:12:36 PM"/>
    <s v="41480"/>
    <s v="16600"/>
    <s v="24880"/>
    <n v="24.88"/>
    <s v="RFID"/>
  </r>
  <r>
    <s v="33812"/>
    <x v="0"/>
    <s v="T299 EHH"/>
    <x v="1"/>
    <x v="3"/>
    <x v="0"/>
    <s v="MT"/>
    <x v="3"/>
    <s v="12/04/2026 11:13:29 PM"/>
    <s v="12/04/2026 11:18:32 PM"/>
    <s v="39220"/>
    <s v="16920"/>
    <s v="22300"/>
    <n v="22.3"/>
    <s v="RFID"/>
  </r>
  <r>
    <s v="33813"/>
    <x v="0"/>
    <s v="T312 EHH"/>
    <x v="1"/>
    <x v="3"/>
    <x v="0"/>
    <s v="MT"/>
    <x v="3"/>
    <s v="12/04/2026 11:26:41 PM"/>
    <s v="12/04/2026 11:30:47 PM"/>
    <s v="41440"/>
    <s v="16660"/>
    <s v="24780"/>
    <n v="24.78"/>
    <s v="RFID"/>
  </r>
  <r>
    <s v="33814"/>
    <x v="0"/>
    <s v="T311 EHH"/>
    <x v="1"/>
    <x v="3"/>
    <x v="0"/>
    <s v="MT"/>
    <x v="3"/>
    <s v="12/04/2026 11:27:37 PM"/>
    <s v="12/04/2026 11:33:14 PM"/>
    <s v="36420"/>
    <s v="16180"/>
    <s v="20240"/>
    <n v="20.239999999999998"/>
    <s v="RFID"/>
  </r>
  <r>
    <s v="33815"/>
    <x v="0"/>
    <s v="T299 EHH"/>
    <x v="1"/>
    <x v="3"/>
    <x v="0"/>
    <s v="MT"/>
    <x v="3"/>
    <s v="12/04/2026 11:29:49 PM"/>
    <s v="12/04/2026 11:35:41 PM"/>
    <s v="38420"/>
    <s v="17000"/>
    <s v="21420"/>
    <n v="21.42"/>
    <s v="RFID"/>
  </r>
  <r>
    <s v="33816"/>
    <x v="0"/>
    <s v="T312 EHH"/>
    <x v="1"/>
    <x v="3"/>
    <x v="0"/>
    <s v="MT"/>
    <x v="3"/>
    <s v="12/04/2026 11:40:18 PM"/>
    <s v="12/04/2026 11:44:30 PM"/>
    <s v="38920"/>
    <s v="16660"/>
    <s v="22260"/>
    <n v="22.26"/>
    <s v="RFID"/>
  </r>
  <r>
    <s v="33817"/>
    <x v="0"/>
    <s v="T311 EHH"/>
    <x v="1"/>
    <x v="3"/>
    <x v="0"/>
    <s v="MT"/>
    <x v="3"/>
    <s v="12/04/2026 11:43:37 PM"/>
    <s v="12/04/2026 11:47:32 PM"/>
    <s v="38640"/>
    <s v="16220"/>
    <s v="22420"/>
    <n v="22.42"/>
    <s v="RFID"/>
  </r>
  <r>
    <s v="33818"/>
    <x v="0"/>
    <s v="T299 EHH"/>
    <x v="1"/>
    <x v="3"/>
    <x v="0"/>
    <s v="MT"/>
    <x v="3"/>
    <s v="12/04/2026 11:48:48 PM"/>
    <s v="12/04/2026 11:53:23 PM"/>
    <s v="40400"/>
    <s v="17060"/>
    <s v="23340"/>
    <n v="23.34"/>
    <s v="RFID"/>
  </r>
  <r>
    <s v="33819"/>
    <x v="0"/>
    <s v="T312 EHH"/>
    <x v="1"/>
    <x v="3"/>
    <x v="0"/>
    <s v="MT"/>
    <x v="3"/>
    <s v="12/04/2026 11:54:48 PM"/>
    <s v="12/04/2026 11:58:37 PM"/>
    <s v="39620"/>
    <s v="16620"/>
    <s v="23000"/>
    <n v="23"/>
    <s v="RFID"/>
  </r>
  <r>
    <s v="33820"/>
    <x v="0"/>
    <s v="T311 EHH"/>
    <x v="1"/>
    <x v="3"/>
    <x v="0"/>
    <s v="MT"/>
    <x v="4"/>
    <s v="13/04/2026 12:00:26 AM"/>
    <s v="13/04/2026 12:05:49 AM"/>
    <s v="39380"/>
    <s v="16240"/>
    <s v="23140"/>
    <n v="23.14"/>
    <s v="RFID"/>
  </r>
  <r>
    <s v="33821"/>
    <x v="0"/>
    <s v="T299 EHH"/>
    <x v="1"/>
    <x v="3"/>
    <x v="0"/>
    <s v="MT"/>
    <x v="4"/>
    <s v="13/04/2026 12:04:25 AM"/>
    <s v="13/04/2026 12:09:54 AM"/>
    <s v="39200"/>
    <s v="17140"/>
    <s v="22060"/>
    <n v="22.06"/>
    <s v="RFID"/>
  </r>
  <r>
    <s v="33822"/>
    <x v="0"/>
    <s v="T312 EHH"/>
    <x v="1"/>
    <x v="3"/>
    <x v="0"/>
    <s v="MT"/>
    <x v="4"/>
    <s v="13/04/2026 12:11:45 AM"/>
    <s v="13/04/2026 12:16:27 AM"/>
    <s v="41340"/>
    <s v="16680"/>
    <s v="24660"/>
    <n v="24.66"/>
    <s v="RFID"/>
  </r>
  <r>
    <s v="33823"/>
    <x v="0"/>
    <s v="T311 EHH"/>
    <x v="1"/>
    <x v="3"/>
    <x v="0"/>
    <s v="MT"/>
    <x v="4"/>
    <s v="13/04/2026 12:19:14 AM"/>
    <s v="13/04/2026 12:25:25 AM"/>
    <s v="38040"/>
    <s v="16340"/>
    <s v="21700"/>
    <n v="21.7"/>
    <s v="RFID"/>
  </r>
  <r>
    <s v="33824"/>
    <x v="0"/>
    <s v="T299 EHH"/>
    <x v="1"/>
    <x v="3"/>
    <x v="0"/>
    <s v="MT"/>
    <x v="4"/>
    <s v="13/04/2026 12:24:09 AM"/>
    <s v="13/04/2026 12:28:36 AM"/>
    <s v="42800"/>
    <s v="17260"/>
    <s v="25540"/>
    <n v="25.54"/>
    <s v="RFID"/>
  </r>
  <r>
    <s v="33825"/>
    <x v="0"/>
    <s v="T312 EHH"/>
    <x v="1"/>
    <x v="3"/>
    <x v="0"/>
    <s v="MT"/>
    <x v="4"/>
    <s v="13/04/2026 12:34:25 AM"/>
    <s v="13/04/2026 12:39:13 AM"/>
    <s v="40420"/>
    <s v="16720"/>
    <s v="23700"/>
    <n v="23.7"/>
    <s v="RFID"/>
  </r>
  <r>
    <s v="33826"/>
    <x v="0"/>
    <s v="T299 EHH"/>
    <x v="1"/>
    <x v="3"/>
    <x v="0"/>
    <s v="MT"/>
    <x v="4"/>
    <s v="13/04/2026 12:35:44 AM"/>
    <s v="13/04/2026 12:41:55 AM"/>
    <s v="39160"/>
    <s v="17220"/>
    <s v="21940"/>
    <n v="21.94"/>
    <s v="RFID"/>
  </r>
  <r>
    <s v="33827"/>
    <x v="0"/>
    <s v="T311 EHH"/>
    <x v="1"/>
    <x v="3"/>
    <x v="0"/>
    <s v="MT"/>
    <x v="4"/>
    <s v="13/04/2026 12:44:50 AM"/>
    <s v="13/04/2026 01:04:10 AM"/>
    <s v="38680"/>
    <s v="16440"/>
    <s v="22240"/>
    <n v="22.24"/>
    <s v="RFID"/>
  </r>
  <r>
    <s v="33828"/>
    <x v="0"/>
    <s v="T312 EHH"/>
    <x v="1"/>
    <x v="3"/>
    <x v="0"/>
    <s v="MT"/>
    <x v="4"/>
    <s v="13/04/2026 12:53:09 AM"/>
    <s v="13/04/2026 01:03:15 AM"/>
    <s v="38280"/>
    <s v="16780"/>
    <s v="21500"/>
    <n v="21.5"/>
    <s v="RFID"/>
  </r>
  <r>
    <s v="33829"/>
    <x v="0"/>
    <s v="T299 EHH"/>
    <x v="1"/>
    <x v="3"/>
    <x v="0"/>
    <s v="MT"/>
    <x v="4"/>
    <s v="13/04/2026 01:02:07 AM"/>
    <s v="13/04/2026 01:06:19 AM"/>
    <s v="38560"/>
    <s v="17420"/>
    <s v="21140"/>
    <n v="21.14"/>
    <s v="RFID"/>
  </r>
  <r>
    <s v="33830"/>
    <x v="0"/>
    <s v="T312 EHH"/>
    <x v="1"/>
    <x v="3"/>
    <x v="0"/>
    <s v="MT"/>
    <x v="4"/>
    <s v="13/04/2026 01:10:39 AM"/>
    <s v="13/04/2026 01:14:25 AM"/>
    <s v="40680"/>
    <s v="17040"/>
    <s v="23640"/>
    <n v="23.64"/>
    <s v="RFID"/>
  </r>
  <r>
    <s v="33831"/>
    <x v="0"/>
    <s v="T311 EHH"/>
    <x v="1"/>
    <x v="3"/>
    <x v="0"/>
    <s v="MT"/>
    <x v="4"/>
    <s v="13/04/2026 01:17:45 AM"/>
    <s v="13/04/2026 01:34:35 AM"/>
    <s v="40820"/>
    <s v="16380"/>
    <s v="24440"/>
    <n v="24.44"/>
    <s v="RFID"/>
  </r>
  <r>
    <s v="33832"/>
    <x v="0"/>
    <s v="T299 EHH"/>
    <x v="1"/>
    <x v="3"/>
    <x v="0"/>
    <s v="MT"/>
    <x v="4"/>
    <s v="13/04/2026 01:23:05 AM"/>
    <s v="13/04/2026 01:27:03 AM"/>
    <s v="36920"/>
    <s v="17560"/>
    <s v="19360"/>
    <n v="19.36"/>
    <s v="RFID"/>
  </r>
  <r>
    <s v="33833"/>
    <x v="0"/>
    <s v="T312 EHH"/>
    <x v="1"/>
    <x v="3"/>
    <x v="0"/>
    <s v="MT"/>
    <x v="4"/>
    <s v="13/04/2026 01:31:27 AM"/>
    <s v="13/04/2026 01:35:40 AM"/>
    <s v="40160"/>
    <s v="17580"/>
    <s v="22580"/>
    <n v="22.58"/>
    <s v="RFID"/>
  </r>
  <r>
    <s v="33834"/>
    <x v="0"/>
    <s v="T299 EHH"/>
    <x v="1"/>
    <x v="3"/>
    <x v="0"/>
    <s v="MT"/>
    <x v="4"/>
    <s v="13/04/2026 01:33:24 AM"/>
    <s v="13/04/2026 01:38:39 AM"/>
    <s v="41240"/>
    <s v="17620"/>
    <s v="23620"/>
    <n v="23.62"/>
    <s v="RFID"/>
  </r>
  <r>
    <s v="33835"/>
    <x v="0"/>
    <s v="T311 EHH"/>
    <x v="1"/>
    <x v="3"/>
    <x v="0"/>
    <s v="MT"/>
    <x v="4"/>
    <s v="13/04/2026 01:41:54 AM"/>
    <s v="13/04/2026 01:46:02 AM"/>
    <s v="42060"/>
    <s v="16380"/>
    <s v="25680"/>
    <n v="25.68"/>
    <s v="RFID"/>
  </r>
  <r>
    <s v="33836"/>
    <x v="0"/>
    <s v="T312 EHH"/>
    <x v="1"/>
    <x v="3"/>
    <x v="0"/>
    <s v="MT"/>
    <x v="4"/>
    <s v="13/04/2026 01:47:16 AM"/>
    <s v="13/04/2026 01:54:04 AM"/>
    <s v="40520"/>
    <s v="17620"/>
    <s v="22900"/>
    <n v="22.9"/>
    <s v="RFID"/>
  </r>
  <r>
    <s v="33837"/>
    <x v="0"/>
    <s v="T299 EHH"/>
    <x v="1"/>
    <x v="3"/>
    <x v="0"/>
    <s v="MT"/>
    <x v="4"/>
    <s v="13/04/2026 01:51:48 AM"/>
    <s v="13/04/2026 01:56:40 AM"/>
    <s v="41020"/>
    <s v="17660"/>
    <s v="23360"/>
    <n v="23.36"/>
    <s v="RFID"/>
  </r>
  <r>
    <s v="33838"/>
    <x v="0"/>
    <s v="T311 EHH"/>
    <x v="1"/>
    <x v="3"/>
    <x v="0"/>
    <s v="MT"/>
    <x v="4"/>
    <s v="13/04/2026 01:58:02 AM"/>
    <s v="13/04/2026 02:02:21 AM"/>
    <s v="40440"/>
    <s v="16940"/>
    <s v="23500"/>
    <n v="23.5"/>
    <s v="RFID"/>
  </r>
  <r>
    <s v="33839"/>
    <x v="0"/>
    <s v="T312 EHH"/>
    <x v="1"/>
    <x v="3"/>
    <x v="0"/>
    <s v="MT"/>
    <x v="4"/>
    <s v="13/04/2026 02:05:28 AM"/>
    <s v="13/04/2026 02:09:32 AM"/>
    <s v="41160"/>
    <s v="15340"/>
    <s v="25820"/>
    <n v="25.82"/>
    <s v="RFID"/>
  </r>
  <r>
    <s v="33840"/>
    <x v="0"/>
    <s v="T299 EHH"/>
    <x v="1"/>
    <x v="3"/>
    <x v="0"/>
    <s v="MT"/>
    <x v="4"/>
    <s v="13/04/2026 02:10:24 AM"/>
    <s v="13/04/2026 02:15:16 AM"/>
    <s v="37420"/>
    <s v="17960"/>
    <s v="19460"/>
    <n v="19.46"/>
    <s v="RFID"/>
  </r>
  <r>
    <s v="33841"/>
    <x v="0"/>
    <s v="T311 EHH"/>
    <x v="1"/>
    <x v="3"/>
    <x v="0"/>
    <s v="MT"/>
    <x v="4"/>
    <s v="13/04/2026 02:16:38 AM"/>
    <s v="13/04/2026 02:21:03 AM"/>
    <s v="39320"/>
    <s v="18160"/>
    <s v="21160"/>
    <n v="21.16"/>
    <s v="RFID"/>
  </r>
  <r>
    <s v="33842"/>
    <x v="0"/>
    <s v="T312 EHH"/>
    <x v="1"/>
    <x v="3"/>
    <x v="0"/>
    <s v="MT"/>
    <x v="4"/>
    <s v="13/04/2026 02:22:16 AM"/>
    <s v="13/04/2026 02:26:05 AM"/>
    <s v="40060"/>
    <s v="15360"/>
    <s v="24700"/>
    <n v="24.7"/>
    <s v="RFID"/>
  </r>
  <r>
    <s v="33843"/>
    <x v="0"/>
    <s v="T311 EHH"/>
    <x v="1"/>
    <x v="3"/>
    <x v="0"/>
    <s v="MT"/>
    <x v="4"/>
    <s v="13/04/2026 02:28:14 AM"/>
    <s v="13/04/2026 02:33:07 AM"/>
    <s v="40520"/>
    <s v="19160"/>
    <s v="21360"/>
    <n v="21.36"/>
    <s v="RFID"/>
  </r>
  <r>
    <s v="33844"/>
    <x v="0"/>
    <s v="T299 EHH"/>
    <x v="1"/>
    <x v="3"/>
    <x v="0"/>
    <s v="MT"/>
    <x v="4"/>
    <s v="13/04/2026 02:31:54 AM"/>
    <s v="13/04/2026 02:38:32 AM"/>
    <s v="38340"/>
    <s v="18040"/>
    <s v="20300"/>
    <n v="20.3"/>
    <s v="RFID"/>
  </r>
  <r>
    <s v="33845"/>
    <x v="0"/>
    <s v="T312 EHH"/>
    <x v="1"/>
    <x v="3"/>
    <x v="0"/>
    <s v="MT"/>
    <x v="4"/>
    <s v="13/04/2026 02:37:14 AM"/>
    <s v="13/04/2026 02:41:49 AM"/>
    <s v="39800"/>
    <s v="15340"/>
    <s v="24460"/>
    <n v="24.46"/>
    <s v="RFID"/>
  </r>
  <r>
    <s v="33846"/>
    <x v="0"/>
    <s v="T311 EHH"/>
    <x v="1"/>
    <x v="3"/>
    <x v="0"/>
    <s v="MT"/>
    <x v="4"/>
    <s v="13/04/2026 02:45:56 AM"/>
    <s v="13/04/2026 02:53:56 AM"/>
    <s v="39180"/>
    <s v="15180"/>
    <s v="24000"/>
    <n v="24"/>
    <s v="RFID"/>
  </r>
  <r>
    <s v="33847"/>
    <x v="0"/>
    <s v="T299 EHH"/>
    <x v="1"/>
    <x v="3"/>
    <x v="0"/>
    <s v="MT"/>
    <x v="4"/>
    <s v="13/04/2026 02:50:12 AM"/>
    <s v="13/04/2026 02:59:50 AM"/>
    <s v="39520"/>
    <s v="18200"/>
    <s v="21320"/>
    <n v="21.32"/>
    <s v="RFID"/>
  </r>
  <r>
    <s v="33848"/>
    <x v="0"/>
    <s v="T312 EHH"/>
    <x v="1"/>
    <x v="3"/>
    <x v="0"/>
    <s v="MT"/>
    <x v="4"/>
    <s v="13/04/2026 02:58:59 AM"/>
    <s v="13/04/2026 03:03:34 AM"/>
    <s v="40520"/>
    <s v="15360"/>
    <s v="25160"/>
    <n v="25.16"/>
    <s v="RFID"/>
  </r>
  <r>
    <s v="33849"/>
    <x v="0"/>
    <s v="T311 EHH"/>
    <x v="1"/>
    <x v="3"/>
    <x v="0"/>
    <s v="MT"/>
    <x v="4"/>
    <s v="13/04/2026 03:04:50 AM"/>
    <s v="13/04/2026 03:10:47 AM"/>
    <s v="37200"/>
    <s v="15360"/>
    <s v="21840"/>
    <n v="21.84"/>
    <s v="RFID"/>
  </r>
  <r>
    <s v="33850"/>
    <x v="0"/>
    <s v="T299 EHH"/>
    <x v="1"/>
    <x v="3"/>
    <x v="0"/>
    <s v="MT"/>
    <x v="4"/>
    <s v="13/04/2026 03:09:38 AM"/>
    <s v="13/04/2026 03:16:07 AM"/>
    <s v="39500"/>
    <s v="18720"/>
    <s v="20780"/>
    <n v="20.78"/>
    <s v="RFID"/>
  </r>
  <r>
    <s v="33851"/>
    <x v="0"/>
    <s v="T312 EHH"/>
    <x v="1"/>
    <x v="3"/>
    <x v="0"/>
    <s v="MT"/>
    <x v="4"/>
    <s v="13/04/2026 03:15:19 AM"/>
    <s v="13/04/2026 05:38:58 AM"/>
    <s v="39260"/>
    <s v="15420"/>
    <s v="23840"/>
    <n v="23.84"/>
    <s v="RFID"/>
  </r>
  <r>
    <s v="33852"/>
    <x v="0"/>
    <s v="T311 EHH"/>
    <x v="1"/>
    <x v="3"/>
    <x v="0"/>
    <s v="MT"/>
    <x v="4"/>
    <s v="13/04/2026 03:21:53 AM"/>
    <s v="13/04/2026 05:29:20 AM"/>
    <s v="37140"/>
    <s v="15240"/>
    <s v="21900"/>
    <n v="21.9"/>
    <s v="RFID"/>
  </r>
  <r>
    <s v="33853"/>
    <x v="0"/>
    <s v="T299 EHH"/>
    <x v="1"/>
    <x v="3"/>
    <x v="0"/>
    <s v="MT"/>
    <x v="4"/>
    <s v="13/04/2026 03:26:03 AM"/>
    <s v="13/04/2026 05:30:21 AM"/>
    <s v="37480"/>
    <s v="19680"/>
    <s v="17800"/>
    <n v="17.8"/>
    <s v="RFID"/>
  </r>
  <r>
    <s v="33854"/>
    <x v="0"/>
    <s v="T311 EHH"/>
    <x v="1"/>
    <x v="3"/>
    <x v="0"/>
    <s v="MT"/>
    <x v="4"/>
    <s v="13/04/2026 05:37:50 AM"/>
    <s v="13/04/2026 05:42:07 AM"/>
    <s v="33120"/>
    <s v="15220"/>
    <s v="17900"/>
    <n v="17.899999999999999"/>
    <s v="RFID"/>
  </r>
  <r>
    <s v="33855"/>
    <x v="0"/>
    <s v="T299 EHH"/>
    <x v="1"/>
    <x v="3"/>
    <x v="0"/>
    <s v="MT"/>
    <x v="4"/>
    <s v="13/04/2026 05:46:02 AM"/>
    <s v="13/04/2026 05:50:55 AM"/>
    <s v="39220"/>
    <s v="18480"/>
    <s v="20740"/>
    <n v="20.74"/>
    <s v="RFID"/>
  </r>
  <r>
    <s v="33856"/>
    <x v="0"/>
    <s v="T312 EHH"/>
    <x v="1"/>
    <x v="3"/>
    <x v="0"/>
    <s v="MT"/>
    <x v="4"/>
    <s v="13/04/2026 05:52:09 AM"/>
    <s v="13/04/2026 05:56:23 AM"/>
    <s v="37080"/>
    <s v="15400"/>
    <s v="21680"/>
    <n v="21.68"/>
    <s v="RFID"/>
  </r>
  <r>
    <s v="33857"/>
    <x v="0"/>
    <s v="T311 EHH"/>
    <x v="1"/>
    <x v="3"/>
    <x v="0"/>
    <s v="MT"/>
    <x v="4"/>
    <s v="13/04/2026 06:00:35 AM"/>
    <s v="13/04/2026 06:04:53 AM"/>
    <s v="38120"/>
    <s v="15240"/>
    <s v="22880"/>
    <n v="22.88"/>
    <s v="RFID"/>
  </r>
  <r>
    <s v="33858"/>
    <x v="0"/>
    <s v="T299 EHH"/>
    <x v="1"/>
    <x v="3"/>
    <x v="0"/>
    <s v="MT"/>
    <x v="4"/>
    <s v="13/04/2026 06:06:06 AM"/>
    <s v="13/04/2026 06:12:17 AM"/>
    <s v="35680"/>
    <s v="18880"/>
    <s v="16800"/>
    <n v="16.8"/>
    <s v="RFID"/>
  </r>
  <r>
    <s v="33859"/>
    <x v="0"/>
    <s v="T312 EHH"/>
    <x v="1"/>
    <x v="3"/>
    <x v="0"/>
    <s v="MT"/>
    <x v="4"/>
    <s v="13/04/2026 06:13:30 AM"/>
    <s v="13/04/2026 06:17:44 AM"/>
    <s v="37740"/>
    <s v="15420"/>
    <s v="22320"/>
    <n v="22.32"/>
    <s v="RFID"/>
  </r>
  <r>
    <s v="33860"/>
    <x v="0"/>
    <s v="T312 EHH"/>
    <x v="1"/>
    <x v="3"/>
    <x v="0"/>
    <s v="MT"/>
    <x v="4"/>
    <s v="13/04/2026 06:20:16 AM"/>
    <s v="13/04/2026 06:46:58 AM"/>
    <s v="37480"/>
    <s v="15440"/>
    <s v="22040"/>
    <n v="22.04"/>
    <s v="RFID"/>
  </r>
  <r>
    <s v="33861"/>
    <x v="0"/>
    <s v="T311 EHH"/>
    <x v="1"/>
    <x v="3"/>
    <x v="0"/>
    <s v="MT"/>
    <x v="4"/>
    <s v="13/04/2026 06:21:30 AM"/>
    <s v="13/04/2026 06:26:18 AM"/>
    <s v="37500"/>
    <s v="15420"/>
    <s v="22080"/>
    <n v="22.08"/>
    <s v="RFID"/>
  </r>
  <r>
    <s v="33862"/>
    <x v="0"/>
    <s v="T299 EHH"/>
    <x v="1"/>
    <x v="3"/>
    <x v="0"/>
    <s v="MT"/>
    <x v="4"/>
    <s v="13/04/2026 06:25:25 AM"/>
    <s v="13/04/2026 06:31:08 AM"/>
    <s v="36740"/>
    <s v="19240"/>
    <s v="17500"/>
    <n v="17.5"/>
    <s v="RFID"/>
  </r>
  <r>
    <s v="33863"/>
    <x v="0"/>
    <s v="T311 EHH"/>
    <x v="1"/>
    <x v="3"/>
    <x v="0"/>
    <s v="MT"/>
    <x v="4"/>
    <s v="13/04/2026 06:41:04 AM"/>
    <s v="13/04/2026 06:49:17 AM"/>
    <s v="38120"/>
    <s v="15420"/>
    <s v="22700"/>
    <n v="22.7"/>
    <s v="RFID"/>
  </r>
  <r>
    <s v="33864"/>
    <x v="0"/>
    <s v="T299 EHH"/>
    <x v="1"/>
    <x v="3"/>
    <x v="0"/>
    <s v="MT"/>
    <x v="4"/>
    <s v="13/04/2026 06:43:51 AM"/>
    <s v="13/04/2026 06:53:29 AM"/>
    <s v="35740"/>
    <s v="19460"/>
    <s v="16280"/>
    <n v="16.28"/>
    <s v="RFID"/>
  </r>
  <r>
    <s v="33865"/>
    <x v="0"/>
    <s v="T312 EHH"/>
    <x v="1"/>
    <x v="3"/>
    <x v="0"/>
    <s v="MT"/>
    <x v="4"/>
    <s v="13/04/2026 06:54:42 AM"/>
    <s v="13/04/2026 07:03:24 AM"/>
    <s v="37080"/>
    <s v="15460"/>
    <s v="21620"/>
    <n v="21.62"/>
    <s v="RFID"/>
  </r>
  <r>
    <s v="33866"/>
    <x v="0"/>
    <s v="T311 EHH"/>
    <x v="1"/>
    <x v="3"/>
    <x v="0"/>
    <s v="MT"/>
    <x v="4"/>
    <s v="13/04/2026 07:00:38 AM"/>
    <s v="13/04/2026 07:04:58 AM"/>
    <s v="36440"/>
    <s v="15460"/>
    <s v="20980"/>
    <n v="20.98"/>
    <s v="RFID"/>
  </r>
  <r>
    <s v="33867"/>
    <x v="0"/>
    <s v="T299 EHH"/>
    <x v="1"/>
    <x v="3"/>
    <x v="0"/>
    <s v="MT"/>
    <x v="4"/>
    <s v="13/04/2026 07:07:48 AM"/>
    <s v="13/04/2026 07:14:20 AM"/>
    <s v="39420"/>
    <s v="19500"/>
    <s v="19920"/>
    <n v="19.920000000000002"/>
    <s v="RFID"/>
  </r>
  <r>
    <s v="33868"/>
    <x v="0"/>
    <s v="T312 EHH"/>
    <x v="1"/>
    <x v="3"/>
    <x v="0"/>
    <s v="MT"/>
    <x v="4"/>
    <s v="13/04/2026 07:15:43 AM"/>
    <s v="13/04/2026 07:23:54 AM"/>
    <s v="38980"/>
    <s v="15500"/>
    <s v="23480"/>
    <n v="23.48"/>
    <s v="RFID"/>
  </r>
  <r>
    <s v="33869"/>
    <x v="0"/>
    <s v="T311 EHH"/>
    <x v="1"/>
    <x v="3"/>
    <x v="0"/>
    <s v="MT"/>
    <x v="4"/>
    <s v="13/04/2026 07:22:37 AM"/>
    <s v="13/04/2026 07:29:14 AM"/>
    <s v="35400"/>
    <s v="15480"/>
    <s v="19920"/>
    <n v="19.920000000000002"/>
    <s v="RFID"/>
  </r>
  <r>
    <s v="33870"/>
    <x v="0"/>
    <s v="T299 EHH"/>
    <x v="0"/>
    <x v="0"/>
    <x v="0"/>
    <s v="MT"/>
    <x v="4"/>
    <s v="13/04/2026 09:30:01 AM"/>
    <s v="13/04/2026 09:36:49 AM"/>
    <s v="33940"/>
    <s v="15560"/>
    <s v="18380"/>
    <n v="18.38"/>
    <s v="RFID"/>
  </r>
  <r>
    <s v="33871"/>
    <x v="0"/>
    <s v="T293 EHH"/>
    <x v="0"/>
    <x v="0"/>
    <x v="0"/>
    <s v="MT"/>
    <x v="4"/>
    <s v="13/04/2026 09:31:26 AM"/>
    <s v="13/04/2026 09:38:08 AM"/>
    <s v="36240"/>
    <s v="15300"/>
    <s v="20940"/>
    <n v="20.94"/>
    <s v="RFID"/>
  </r>
  <r>
    <s v="33872"/>
    <x v="0"/>
    <s v="T311 EHH"/>
    <x v="0"/>
    <x v="0"/>
    <x v="0"/>
    <s v="MT"/>
    <x v="4"/>
    <s v="13/04/2026 09:35:22 AM"/>
    <s v="13/04/2026 09:42:25 AM"/>
    <s v="37560"/>
    <s v="15300"/>
    <s v="22260"/>
    <n v="22.26"/>
    <s v="RFID"/>
  </r>
  <r>
    <s v="33873"/>
    <x v="0"/>
    <s v="T312 EHH"/>
    <x v="0"/>
    <x v="0"/>
    <x v="0"/>
    <s v="MT"/>
    <x v="4"/>
    <s v="13/04/2026 09:41:01 AM"/>
    <s v="13/04/2026 09:47:08 AM"/>
    <s v="37120"/>
    <s v="18680"/>
    <s v="18440"/>
    <n v="18.440000000000001"/>
    <s v="RFID"/>
  </r>
  <r>
    <s v="33874"/>
    <x v="0"/>
    <s v="T299 EHH"/>
    <x v="0"/>
    <x v="0"/>
    <x v="0"/>
    <s v="MT"/>
    <x v="4"/>
    <s v="13/04/2026 09:45:44 AM"/>
    <s v="13/04/2026 10:29:17 AM"/>
    <s v="37420"/>
    <s v="15340"/>
    <s v="22080"/>
    <n v="22.08"/>
    <s v="RFID"/>
  </r>
  <r>
    <s v="33875"/>
    <x v="0"/>
    <s v="T293 EHH"/>
    <x v="0"/>
    <x v="0"/>
    <x v="0"/>
    <s v="MT"/>
    <x v="4"/>
    <s v="13/04/2026 09:48:58 AM"/>
    <s v="13/04/2026 10:37:19 AM"/>
    <s v="30780"/>
    <s v="15020"/>
    <s v="15760"/>
    <n v="15.76"/>
    <s v="RFID"/>
  </r>
  <r>
    <s v="33876"/>
    <x v="0"/>
    <s v="T311 EHH"/>
    <x v="1"/>
    <x v="3"/>
    <x v="0"/>
    <s v="MT"/>
    <x v="4"/>
    <s v="13/04/2026 10:20:37 AM"/>
    <s v="13/04/2026 10:31:38 AM"/>
    <s v="38040"/>
    <s v="15300"/>
    <s v="22740"/>
    <n v="22.74"/>
    <s v="RFID"/>
  </r>
  <r>
    <s v="33877"/>
    <x v="0"/>
    <s v="T299 EHH"/>
    <x v="1"/>
    <x v="3"/>
    <x v="0"/>
    <s v="MT"/>
    <x v="4"/>
    <s v="13/04/2026 10:35:44 AM"/>
    <s v="13/04/2026 10:41:42 AM"/>
    <s v="35480"/>
    <s v="15500"/>
    <s v="19980"/>
    <n v="19.98"/>
    <s v="RFID"/>
  </r>
  <r>
    <s v="33878"/>
    <x v="0"/>
    <s v="T293 EHH"/>
    <x v="1"/>
    <x v="3"/>
    <x v="0"/>
    <s v="MT"/>
    <x v="4"/>
    <s v="13/04/2026 10:42:39 AM"/>
    <s v="13/04/2026 10:49:17 AM"/>
    <s v="31220"/>
    <s v="15180"/>
    <s v="16040"/>
    <n v="16.04"/>
    <s v="RFID"/>
  </r>
  <r>
    <s v="33879"/>
    <x v="0"/>
    <s v="T311 EHH"/>
    <x v="1"/>
    <x v="3"/>
    <x v="0"/>
    <s v="MT"/>
    <x v="4"/>
    <s v="13/04/2026 10:51:51 AM"/>
    <s v="13/04/2026 10:57:24 AM"/>
    <s v="33280"/>
    <s v="16160"/>
    <s v="17120"/>
    <n v="17.12"/>
    <s v="RFID"/>
  </r>
  <r>
    <s v="33880"/>
    <x v="0"/>
    <s v="T293 EHH"/>
    <x v="1"/>
    <x v="3"/>
    <x v="0"/>
    <s v="MT"/>
    <x v="4"/>
    <s v="13/04/2026 10:56:08 AM"/>
    <s v="13/04/2026 11:03:56 AM"/>
    <s v="33500"/>
    <s v="15360"/>
    <s v="18140"/>
    <n v="18.14"/>
    <s v="RFID"/>
  </r>
  <r>
    <s v="33881"/>
    <x v="0"/>
    <s v="T299 EHH"/>
    <x v="1"/>
    <x v="3"/>
    <x v="0"/>
    <s v="MT"/>
    <x v="4"/>
    <s v="13/04/2026 11:01:56 AM"/>
    <s v="13/04/2026 11:06:40 AM"/>
    <s v="33980"/>
    <s v="15560"/>
    <s v="18420"/>
    <n v="18.420000000000002"/>
    <s v="RFID"/>
  </r>
  <r>
    <s v="33882"/>
    <x v="0"/>
    <s v="T311 EHH"/>
    <x v="1"/>
    <x v="3"/>
    <x v="0"/>
    <s v="MT"/>
    <x v="4"/>
    <s v="13/04/2026 11:07:32 AM"/>
    <s v="13/04/2026 11:12:44 AM"/>
    <s v="32200"/>
    <s v="17340"/>
    <s v="14860"/>
    <n v="14.86"/>
    <s v="RFID"/>
  </r>
  <r>
    <s v="33883"/>
    <x v="0"/>
    <s v="T293 EHH"/>
    <x v="1"/>
    <x v="3"/>
    <x v="0"/>
    <s v="MT"/>
    <x v="4"/>
    <s v="13/04/2026 11:13:44 AM"/>
    <s v="13/04/2026 11:21:00 AM"/>
    <s v="32580"/>
    <s v="15380"/>
    <s v="17200"/>
    <n v="17.2"/>
    <s v="RFID"/>
  </r>
  <r>
    <s v="33884"/>
    <x v="0"/>
    <s v="T299 EHH"/>
    <x v="1"/>
    <x v="3"/>
    <x v="0"/>
    <s v="MT"/>
    <x v="4"/>
    <s v="13/04/2026 11:19:30 AM"/>
    <s v="13/04/2026 11:24:24 AM"/>
    <s v="35520"/>
    <s v="15600"/>
    <s v="19920"/>
    <n v="19.920000000000002"/>
    <s v="RFID"/>
  </r>
  <r>
    <s v="33885"/>
    <x v="0"/>
    <s v="T311 EHH"/>
    <x v="1"/>
    <x v="3"/>
    <x v="0"/>
    <s v="MT"/>
    <x v="4"/>
    <s v="13/04/2026 11:26:36 AM"/>
    <s v="13/04/2026 11:31:53 AM"/>
    <s v="34460"/>
    <s v="19620"/>
    <s v="14840"/>
    <n v="14.84"/>
    <s v="RFID"/>
  </r>
  <r>
    <s v="33886"/>
    <x v="0"/>
    <s v="T293 EHH"/>
    <x v="1"/>
    <x v="3"/>
    <x v="0"/>
    <s v="MT"/>
    <x v="4"/>
    <s v="13/04/2026 11:33:00 AM"/>
    <s v="13/04/2026 11:38:39 AM"/>
    <s v="34560"/>
    <s v="15400"/>
    <s v="19160"/>
    <n v="19.16"/>
    <s v="RFID"/>
  </r>
  <r>
    <s v="33887"/>
    <x v="0"/>
    <s v="T299 EHH"/>
    <x v="1"/>
    <x v="3"/>
    <x v="0"/>
    <s v="MT"/>
    <x v="4"/>
    <s v="13/04/2026 11:39:48 AM"/>
    <s v="13/04/2026 11:45:32 AM"/>
    <s v="32460"/>
    <s v="15620"/>
    <s v="16840"/>
    <n v="16.84"/>
    <s v="RFID"/>
  </r>
  <r>
    <s v="33888"/>
    <x v="0"/>
    <s v="T311 EHH"/>
    <x v="1"/>
    <x v="3"/>
    <x v="0"/>
    <s v="MT"/>
    <x v="4"/>
    <s v="13/04/2026 11:46:29 AM"/>
    <s v="13/04/2026 11:52:51 AM"/>
    <s v="35420"/>
    <s v="15500"/>
    <s v="19920"/>
    <n v="19.920000000000002"/>
    <s v="RFID"/>
  </r>
  <r>
    <s v="33889"/>
    <x v="0"/>
    <s v="T293 EHH"/>
    <x v="1"/>
    <x v="3"/>
    <x v="0"/>
    <s v="MT"/>
    <x v="4"/>
    <s v="13/04/2026 11:53:46 AM"/>
    <s v="13/04/2026 11:58:44 AM"/>
    <s v="31400"/>
    <s v="15420"/>
    <s v="15980"/>
    <n v="15.98"/>
    <s v="RFID"/>
  </r>
  <r>
    <s v="33890"/>
    <x v="0"/>
    <s v="T299 EHH"/>
    <x v="1"/>
    <x v="3"/>
    <x v="0"/>
    <s v="MT"/>
    <x v="4"/>
    <s v="13/04/2026 12:13:13 PM"/>
    <s v="13/04/2026 12:17:16 PM"/>
    <s v="34840"/>
    <s v="15600"/>
    <s v="19240"/>
    <n v="19.239999999999998"/>
    <s v="RFID"/>
  </r>
  <r>
    <s v="33891"/>
    <x v="0"/>
    <s v="T311 EHH"/>
    <x v="1"/>
    <x v="3"/>
    <x v="0"/>
    <s v="MT"/>
    <x v="4"/>
    <s v="13/04/2026 12:14:15 PM"/>
    <s v="13/04/2026 12:19:43 PM"/>
    <s v="34680"/>
    <s v="15720"/>
    <s v="18960"/>
    <n v="18.96"/>
    <s v="RFID"/>
  </r>
  <r>
    <s v="33892"/>
    <x v="0"/>
    <s v="T293 EHH"/>
    <x v="1"/>
    <x v="3"/>
    <x v="0"/>
    <s v="MT"/>
    <x v="4"/>
    <s v="13/04/2026 12:16:04 PM"/>
    <s v="13/04/2026 12:21:20 PM"/>
    <s v="35480"/>
    <s v="15400"/>
    <s v="20080"/>
    <n v="20.079999999999998"/>
    <s v="RFID"/>
  </r>
  <r>
    <s v="33893"/>
    <x v="0"/>
    <s v="T299 EHH"/>
    <x v="1"/>
    <x v="3"/>
    <x v="0"/>
    <s v="MT"/>
    <x v="4"/>
    <s v="13/04/2026 12:24:17 PM"/>
    <s v="13/04/2026 12:29:45 PM"/>
    <s v="37100"/>
    <s v="15640"/>
    <s v="21460"/>
    <n v="21.46"/>
    <s v="RFID"/>
  </r>
  <r>
    <s v="33894"/>
    <x v="0"/>
    <s v="T311 EHH"/>
    <x v="1"/>
    <x v="3"/>
    <x v="0"/>
    <s v="MT"/>
    <x v="4"/>
    <s v="13/04/2026 12:30:41 PM"/>
    <s v="13/04/2026 12:36:08 PM"/>
    <s v="34180"/>
    <s v="15760"/>
    <s v="18420"/>
    <n v="18.420000000000002"/>
    <s v="RFID"/>
  </r>
  <r>
    <s v="33895"/>
    <x v="0"/>
    <s v="T293 EHH"/>
    <x v="1"/>
    <x v="3"/>
    <x v="0"/>
    <s v="MT"/>
    <x v="4"/>
    <s v="13/04/2026 12:37:08 PM"/>
    <s v="13/04/2026 12:43:36 PM"/>
    <s v="36000"/>
    <s v="15400"/>
    <s v="20600"/>
    <n v="20.6"/>
    <s v="RFID"/>
  </r>
  <r>
    <s v="33896"/>
    <x v="0"/>
    <s v="T299 EHH"/>
    <x v="1"/>
    <x v="3"/>
    <x v="0"/>
    <s v="MT"/>
    <x v="4"/>
    <s v="13/04/2026 12:41:15 PM"/>
    <s v="13/04/2026 12:50:42 PM"/>
    <s v="35480"/>
    <s v="15620"/>
    <s v="19860"/>
    <n v="19.86"/>
    <s v="RFID"/>
  </r>
  <r>
    <s v="33897"/>
    <x v="0"/>
    <s v="T311 EHH"/>
    <x v="1"/>
    <x v="3"/>
    <x v="0"/>
    <s v="MT"/>
    <x v="4"/>
    <s v="13/04/2026 12:47:46 PM"/>
    <s v="13/04/2026 12:53:38 PM"/>
    <s v="36200"/>
    <s v="15780"/>
    <s v="20420"/>
    <n v="20.420000000000002"/>
    <s v="RFID"/>
  </r>
  <r>
    <s v="33898"/>
    <x v="0"/>
    <s v="T293 EHH"/>
    <x v="1"/>
    <x v="3"/>
    <x v="0"/>
    <s v="MT"/>
    <x v="4"/>
    <s v="13/04/2026 12:55:17 PM"/>
    <s v="13/04/2026 02:23:34 PM"/>
    <s v="35600"/>
    <s v="15540"/>
    <s v="20060"/>
    <n v="20.059999999999999"/>
    <s v="RFID"/>
  </r>
  <r>
    <s v="33899"/>
    <x v="0"/>
    <s v="T299 EHH"/>
    <x v="0"/>
    <x v="0"/>
    <x v="0"/>
    <s v="MT"/>
    <x v="4"/>
    <s v="13/04/2026 03:42:26 PM"/>
    <s v="13/04/2026 03:57:51 PM"/>
    <s v="35380"/>
    <s v="15720"/>
    <s v="19660"/>
    <n v="19.66"/>
    <s v="RFID"/>
  </r>
  <r>
    <s v="33900"/>
    <x v="0"/>
    <s v="T293 EHH"/>
    <x v="0"/>
    <x v="0"/>
    <x v="0"/>
    <s v="MT"/>
    <x v="4"/>
    <s v="13/04/2026 03:43:41 PM"/>
    <s v="13/04/2026 03:59:21 PM"/>
    <s v="36220"/>
    <s v="15520"/>
    <s v="20700"/>
    <n v="20.7"/>
    <s v="RFID"/>
  </r>
  <r>
    <s v="33901"/>
    <x v="0"/>
    <s v="T311 EHH"/>
    <x v="0"/>
    <x v="0"/>
    <x v="0"/>
    <s v="MT"/>
    <x v="4"/>
    <s v="13/04/2026 03:44:34 PM"/>
    <s v="13/04/2026 04:00:19 PM"/>
    <s v="33960"/>
    <s v="16320"/>
    <s v="17640"/>
    <n v="17.64"/>
    <s v="RFID"/>
  </r>
  <r>
    <s v="33902"/>
    <x v="0"/>
    <s v="T299 EHH"/>
    <x v="1"/>
    <x v="3"/>
    <x v="0"/>
    <s v="MT"/>
    <x v="4"/>
    <s v="13/04/2026 04:06:54 PM"/>
    <s v="13/04/2026 04:12:25 PM"/>
    <s v="37640"/>
    <s v="15840"/>
    <s v="21800"/>
    <n v="21.8"/>
    <s v="RFID"/>
  </r>
  <r>
    <s v="33903"/>
    <x v="0"/>
    <s v="T312 EHH"/>
    <x v="0"/>
    <x v="0"/>
    <x v="0"/>
    <s v="MT"/>
    <x v="4"/>
    <s v="13/04/2026 04:08:25 PM"/>
    <s v="13/04/2026 04:14:13 PM"/>
    <s v="38380"/>
    <s v="14900"/>
    <s v="23480"/>
    <n v="23.48"/>
    <s v="RFID"/>
  </r>
  <r>
    <s v="33904"/>
    <x v="0"/>
    <s v="T311 EHH"/>
    <x v="1"/>
    <x v="3"/>
    <x v="0"/>
    <s v="MT"/>
    <x v="4"/>
    <s v="13/04/2026 04:11:27 PM"/>
    <s v="13/04/2026 04:19:15 PM"/>
    <s v="35560"/>
    <s v="15960"/>
    <s v="19600"/>
    <n v="19.600000000000001"/>
    <s v="RFID"/>
  </r>
  <r>
    <s v="33905"/>
    <x v="0"/>
    <s v="T293 EHH"/>
    <x v="1"/>
    <x v="3"/>
    <x v="0"/>
    <s v="MT"/>
    <x v="4"/>
    <s v="13/04/2026 04:16:14 PM"/>
    <s v="13/04/2026 04:22:09 PM"/>
    <s v="37120"/>
    <s v="15660"/>
    <s v="21460"/>
    <n v="21.46"/>
    <s v="RFID"/>
  </r>
  <r>
    <s v="33906"/>
    <x v="0"/>
    <s v="T299 EHH"/>
    <x v="1"/>
    <x v="3"/>
    <x v="0"/>
    <s v="MT"/>
    <x v="4"/>
    <s v="13/04/2026 04:20:11 PM"/>
    <s v="13/04/2026 04:27:16 PM"/>
    <s v="41000"/>
    <s v="15700"/>
    <s v="25300"/>
    <n v="25.3"/>
    <s v="RFID"/>
  </r>
  <r>
    <s v="33907"/>
    <x v="0"/>
    <s v="T312 EHH"/>
    <x v="0"/>
    <x v="0"/>
    <x v="0"/>
    <s v="MT"/>
    <x v="4"/>
    <s v="13/04/2026 04:24:01 PM"/>
    <s v="13/04/2026 04:30:17 PM"/>
    <s v="36160"/>
    <s v="14940"/>
    <s v="21220"/>
    <n v="21.22"/>
    <s v="RFID"/>
  </r>
  <r>
    <s v="33908"/>
    <x v="0"/>
    <s v="T299 EHH"/>
    <x v="1"/>
    <x v="3"/>
    <x v="0"/>
    <s v="MT"/>
    <x v="4"/>
    <s v="13/04/2026 04:38:00 PM"/>
    <s v="13/04/2026 04:44:28 PM"/>
    <s v="37240"/>
    <s v="15660"/>
    <s v="21580"/>
    <n v="21.58"/>
    <s v="RFID"/>
  </r>
  <r>
    <s v="33909"/>
    <x v="0"/>
    <s v="T312 EHH"/>
    <x v="0"/>
    <x v="0"/>
    <x v="0"/>
    <s v="MT"/>
    <x v="4"/>
    <s v="13/04/2026 04:39:39 PM"/>
    <s v="13/04/2026 04:46:29 PM"/>
    <s v="36240"/>
    <s v="14920"/>
    <s v="21320"/>
    <n v="21.32"/>
    <s v="RFID"/>
  </r>
  <r>
    <s v="33910"/>
    <x v="0"/>
    <s v="T311 EHH"/>
    <x v="1"/>
    <x v="3"/>
    <x v="0"/>
    <s v="MT"/>
    <x v="4"/>
    <s v="13/04/2026 04:43:04 PM"/>
    <s v="13/04/2026 04:49:57 PM"/>
    <s v="41900"/>
    <s v="16000"/>
    <s v="25900"/>
    <n v="25.9"/>
    <s v="RFID"/>
  </r>
  <r>
    <s v="33911"/>
    <x v="0"/>
    <s v="T293 EHH"/>
    <x v="1"/>
    <x v="3"/>
    <x v="0"/>
    <s v="MT"/>
    <x v="4"/>
    <s v="13/04/2026 04:48:48 PM"/>
    <s v="13/04/2026 04:57:03 PM"/>
    <s v="39880"/>
    <s v="15760"/>
    <s v="24120"/>
    <n v="24.12"/>
    <s v="RFID"/>
  </r>
  <r>
    <s v="33912"/>
    <x v="0"/>
    <s v="T299 EHH"/>
    <x v="1"/>
    <x v="3"/>
    <x v="0"/>
    <s v="MT"/>
    <x v="4"/>
    <s v="13/04/2026 04:51:54 PM"/>
    <s v="13/04/2026 04:58:17 PM"/>
    <s v="41100"/>
    <s v="15680"/>
    <s v="25420"/>
    <n v="25.42"/>
    <s v="RFID"/>
  </r>
  <r>
    <s v="33913"/>
    <x v="0"/>
    <s v="T295 EHH"/>
    <x v="0"/>
    <x v="0"/>
    <x v="0"/>
    <s v="MT"/>
    <x v="4"/>
    <s v="13/04/2026 04:53:06 PM"/>
    <s v="13/04/2026 05:01:38 PM"/>
    <s v="36440"/>
    <s v="15500"/>
    <s v="20940"/>
    <n v="20.94"/>
    <s v="RFID"/>
  </r>
  <r>
    <s v="33914"/>
    <x v="0"/>
    <s v="T312 EHH"/>
    <x v="0"/>
    <x v="0"/>
    <x v="0"/>
    <s v="MT"/>
    <x v="4"/>
    <s v="13/04/2026 04:55:58 PM"/>
    <s v="13/04/2026 05:03:35 PM"/>
    <s v="37440"/>
    <s v="14940"/>
    <s v="22500"/>
    <n v="22.5"/>
    <s v="RFID"/>
  </r>
  <r>
    <s v="33915"/>
    <x v="0"/>
    <s v="T311 EHH"/>
    <x v="1"/>
    <x v="3"/>
    <x v="0"/>
    <s v="MT"/>
    <x v="4"/>
    <s v="13/04/2026 04:59:28 PM"/>
    <s v="13/04/2026 05:05:23 PM"/>
    <s v="37660"/>
    <s v="16000"/>
    <s v="21660"/>
    <n v="21.66"/>
    <s v="RFID"/>
  </r>
  <r>
    <s v="33916"/>
    <x v="0"/>
    <s v="T295 EHH"/>
    <x v="0"/>
    <x v="0"/>
    <x v="0"/>
    <s v="MT"/>
    <x v="4"/>
    <s v="13/04/2026 05:12:01 PM"/>
    <s v="13/04/2026 05:17:50 PM"/>
    <s v="36200"/>
    <s v="14960"/>
    <s v="21240"/>
    <n v="21.24"/>
    <s v="RFID"/>
  </r>
  <r>
    <s v="33917"/>
    <x v="0"/>
    <s v="T312 EHH"/>
    <x v="0"/>
    <x v="0"/>
    <x v="0"/>
    <s v="MT"/>
    <x v="4"/>
    <s v="13/04/2026 05:16:11 PM"/>
    <s v="13/04/2026 05:21:53 PM"/>
    <s v="32560"/>
    <s v="14880"/>
    <s v="17680"/>
    <n v="17.68"/>
    <s v="RFID"/>
  </r>
  <r>
    <s v="33918"/>
    <x v="0"/>
    <s v="T311 EHH"/>
    <x v="0"/>
    <x v="0"/>
    <x v="0"/>
    <s v="MT"/>
    <x v="4"/>
    <s v="13/04/2026 05:19:49 PM"/>
    <s v="13/04/2026 05:26:10 PM"/>
    <s v="36680"/>
    <s v="16060"/>
    <s v="20620"/>
    <n v="20.62"/>
    <s v="RFID"/>
  </r>
  <r>
    <s v="33919"/>
    <x v="0"/>
    <s v="T293 EHH"/>
    <x v="0"/>
    <x v="0"/>
    <x v="0"/>
    <s v="MT"/>
    <x v="4"/>
    <s v="13/04/2026 05:23:51 PM"/>
    <s v="13/04/2026 05:31:30 PM"/>
    <s v="31620"/>
    <s v="15740"/>
    <s v="15880"/>
    <n v="15.88"/>
    <s v="RFID"/>
  </r>
  <r>
    <s v="33920"/>
    <x v="0"/>
    <s v="T299 EHH"/>
    <x v="0"/>
    <x v="0"/>
    <x v="0"/>
    <s v="MT"/>
    <x v="4"/>
    <s v="13/04/2026 05:30:20 PM"/>
    <s v="13/04/2026 05:36:36 PM"/>
    <s v="35320"/>
    <s v="15860"/>
    <s v="19460"/>
    <n v="19.46"/>
    <s v="RFID"/>
  </r>
  <r>
    <s v="33921"/>
    <x v="0"/>
    <s v="T295 EHH"/>
    <x v="0"/>
    <x v="0"/>
    <x v="0"/>
    <s v="MT"/>
    <x v="4"/>
    <s v="13/04/2026 05:34:57 PM"/>
    <s v="13/04/2026 05:45:17 PM"/>
    <s v="36480"/>
    <s v="14760"/>
    <s v="21720"/>
    <n v="21.72"/>
    <s v="RFID"/>
  </r>
  <r>
    <s v="33922"/>
    <x v="0"/>
    <s v="T312 EHH"/>
    <x v="0"/>
    <x v="0"/>
    <x v="0"/>
    <s v="MT"/>
    <x v="4"/>
    <s v="13/04/2026 05:38:25 PM"/>
    <s v="13/04/2026 05:44:15 PM"/>
    <s v="36800"/>
    <s v="14920"/>
    <s v="21880"/>
    <n v="21.88"/>
    <s v="RFID"/>
  </r>
  <r>
    <s v="33923"/>
    <x v="0"/>
    <s v="T311 EHH"/>
    <x v="0"/>
    <x v="0"/>
    <x v="0"/>
    <s v="MT"/>
    <x v="4"/>
    <s v="13/04/2026 05:41:44 PM"/>
    <s v="13/04/2026 05:47:56 PM"/>
    <s v="38180"/>
    <s v="16040"/>
    <s v="22140"/>
    <n v="22.14"/>
    <s v="RFID"/>
  </r>
  <r>
    <s v="33924"/>
    <x v="0"/>
    <s v="T293 EHH"/>
    <x v="0"/>
    <x v="0"/>
    <x v="0"/>
    <s v="MT"/>
    <x v="4"/>
    <s v="13/04/2026 05:46:35 PM"/>
    <s v="13/04/2026 05:51:48 PM"/>
    <s v="36660"/>
    <s v="15740"/>
    <s v="20920"/>
    <n v="20.92"/>
    <s v="RFID"/>
  </r>
  <r>
    <s v="33925"/>
    <x v="0"/>
    <s v="T299 EHH"/>
    <x v="0"/>
    <x v="0"/>
    <x v="0"/>
    <s v="MT"/>
    <x v="4"/>
    <s v="13/04/2026 05:49:10 PM"/>
    <s v="13/04/2026 05:54:17 PM"/>
    <s v="36540"/>
    <s v="15780"/>
    <s v="20760"/>
    <n v="20.76"/>
    <s v="RFID"/>
  </r>
  <r>
    <s v="33926"/>
    <x v="0"/>
    <s v="T312 EHH"/>
    <x v="0"/>
    <x v="0"/>
    <x v="0"/>
    <s v="MT"/>
    <x v="4"/>
    <s v="13/04/2026 05:55:35 PM"/>
    <s v="13/04/2026 06:03:25 PM"/>
    <s v="37160"/>
    <s v="14920"/>
    <s v="22240"/>
    <n v="22.24"/>
    <s v="RFID"/>
  </r>
  <r>
    <s v="33927"/>
    <x v="0"/>
    <s v="T311 EHH"/>
    <x v="0"/>
    <x v="0"/>
    <x v="0"/>
    <s v="MT"/>
    <x v="4"/>
    <s v="13/04/2026 05:59:14 PM"/>
    <s v="13/04/2026 06:04:49 PM"/>
    <s v="37880"/>
    <s v="16060"/>
    <s v="21820"/>
    <n v="21.82"/>
    <s v="RFID"/>
  </r>
  <r>
    <s v="33928"/>
    <x v="0"/>
    <s v="T293 EHH"/>
    <x v="0"/>
    <x v="0"/>
    <x v="0"/>
    <s v="MT"/>
    <x v="4"/>
    <s v="13/04/2026 06:02:10 PM"/>
    <s v="13/04/2026 06:07:43 PM"/>
    <s v="36240"/>
    <s v="15760"/>
    <s v="20480"/>
    <n v="20.48"/>
    <s v="RFID"/>
  </r>
  <r>
    <s v="33929"/>
    <x v="0"/>
    <s v="T299 EHH"/>
    <x v="0"/>
    <x v="0"/>
    <x v="0"/>
    <s v="MT"/>
    <x v="4"/>
    <s v="13/04/2026 06:06:26 PM"/>
    <s v="13/04/2026 06:11:05 PM"/>
    <s v="37280"/>
    <s v="15780"/>
    <s v="21500"/>
    <n v="21.5"/>
    <s v="RFID"/>
  </r>
  <r>
    <s v="33930"/>
    <x v="0"/>
    <s v="T312 EHH"/>
    <x v="0"/>
    <x v="0"/>
    <x v="0"/>
    <s v="MT"/>
    <x v="4"/>
    <s v="13/04/2026 06:12:26 PM"/>
    <s v="13/04/2026 06:18:19 PM"/>
    <s v="36120"/>
    <s v="14900"/>
    <s v="21220"/>
    <n v="21.22"/>
    <s v="RFID"/>
  </r>
  <r>
    <s v="33931"/>
    <x v="0"/>
    <s v="T311 EHH"/>
    <x v="0"/>
    <x v="0"/>
    <x v="0"/>
    <s v="MT"/>
    <x v="4"/>
    <s v="13/04/2026 06:16:52 PM"/>
    <s v="13/04/2026 06:21:50 PM"/>
    <s v="35820"/>
    <s v="16060"/>
    <s v="19760"/>
    <n v="19.760000000000002"/>
    <s v="RFID"/>
  </r>
  <r>
    <s v="33932"/>
    <x v="0"/>
    <s v="T293 EHH"/>
    <x v="0"/>
    <x v="0"/>
    <x v="0"/>
    <s v="MT"/>
    <x v="4"/>
    <s v="13/04/2026 06:20:45 PM"/>
    <s v="13/04/2026 06:25:45 PM"/>
    <s v="36360"/>
    <s v="15800"/>
    <s v="20560"/>
    <n v="20.56"/>
    <s v="RFID"/>
  </r>
  <r>
    <s v="33933"/>
    <x v="0"/>
    <s v="T299 EHH"/>
    <x v="0"/>
    <x v="0"/>
    <x v="0"/>
    <s v="MT"/>
    <x v="4"/>
    <s v="13/04/2026 06:24:23 PM"/>
    <s v="13/04/2026 06:30:24 PM"/>
    <s v="37440"/>
    <s v="15780"/>
    <s v="21660"/>
    <n v="21.66"/>
    <s v="RFID"/>
  </r>
  <r>
    <s v="33934"/>
    <x v="0"/>
    <s v="T312 EHH"/>
    <x v="0"/>
    <x v="0"/>
    <x v="0"/>
    <s v="MT"/>
    <x v="4"/>
    <s v="13/04/2026 06:27:21 PM"/>
    <s v="13/04/2026 06:32:50 PM"/>
    <s v="36900"/>
    <s v="14900"/>
    <s v="22000"/>
    <n v="22"/>
    <s v="RFID"/>
  </r>
  <r>
    <s v="33935"/>
    <x v="0"/>
    <s v="T311 EHH"/>
    <x v="0"/>
    <x v="0"/>
    <x v="0"/>
    <s v="MT"/>
    <x v="4"/>
    <s v="13/04/2026 06:31:29 PM"/>
    <s v="13/04/2026 06:36:42 PM"/>
    <s v="37780"/>
    <s v="16060"/>
    <s v="21720"/>
    <n v="21.72"/>
    <s v="RFID"/>
  </r>
  <r>
    <s v="33936"/>
    <x v="0"/>
    <s v="T293 EHH"/>
    <x v="0"/>
    <x v="2"/>
    <x v="0"/>
    <s v="MT"/>
    <x v="4"/>
    <s v="13/04/2026 06:35:49 PM"/>
    <s v="13/04/2026 06:41:34 PM"/>
    <s v="35540"/>
    <s v="15820"/>
    <s v="19720"/>
    <n v="19.72"/>
    <s v="RFID"/>
  </r>
  <r>
    <s v="33937"/>
    <x v="0"/>
    <s v="T299 EHH"/>
    <x v="0"/>
    <x v="2"/>
    <x v="0"/>
    <s v="MT"/>
    <x v="4"/>
    <s v="13/04/2026 06:40:12 PM"/>
    <s v="13/04/2026 06:45:44 PM"/>
    <s v="36520"/>
    <s v="15800"/>
    <s v="20720"/>
    <n v="20.72"/>
    <s v="RFID"/>
  </r>
  <r>
    <s v="33938"/>
    <x v="0"/>
    <s v="T312 EHH"/>
    <x v="0"/>
    <x v="2"/>
    <x v="0"/>
    <s v="MT"/>
    <x v="4"/>
    <s v="13/04/2026 06:43:33 PM"/>
    <s v="13/04/2026 06:48:56 PM"/>
    <s v="35220"/>
    <s v="14920"/>
    <s v="20300"/>
    <n v="20.3"/>
    <s v="RFID"/>
  </r>
  <r>
    <s v="33939"/>
    <x v="0"/>
    <s v="T311 EHH"/>
    <x v="0"/>
    <x v="2"/>
    <x v="0"/>
    <s v="MT"/>
    <x v="4"/>
    <s v="13/04/2026 06:47:28 PM"/>
    <s v="13/04/2026 06:52:50 PM"/>
    <s v="38160"/>
    <s v="16120"/>
    <s v="22040"/>
    <n v="22.04"/>
    <s v="RFID"/>
  </r>
  <r>
    <s v="33940"/>
    <x v="0"/>
    <s v="T293 EHH"/>
    <x v="0"/>
    <x v="2"/>
    <x v="0"/>
    <s v="MT"/>
    <x v="4"/>
    <s v="13/04/2026 06:52:02 PM"/>
    <s v="13/04/2026 06:56:59 PM"/>
    <s v="36660"/>
    <s v="15840"/>
    <s v="20820"/>
    <n v="20.82"/>
    <s v="RFID"/>
  </r>
  <r>
    <s v="33941"/>
    <x v="0"/>
    <s v="T299 EHH"/>
    <x v="0"/>
    <x v="2"/>
    <x v="0"/>
    <s v="MT"/>
    <x v="4"/>
    <s v="13/04/2026 06:55:50 PM"/>
    <s v="13/04/2026 07:00:36 PM"/>
    <s v="35960"/>
    <s v="15820"/>
    <s v="20140"/>
    <n v="20.14"/>
    <s v="RFID"/>
  </r>
  <r>
    <s v="33942"/>
    <x v="0"/>
    <s v="T312 EHH"/>
    <x v="0"/>
    <x v="2"/>
    <x v="0"/>
    <s v="MT"/>
    <x v="4"/>
    <s v="13/04/2026 06:59:30 PM"/>
    <s v="13/04/2026 07:05:44 PM"/>
    <s v="34680"/>
    <s v="14960"/>
    <s v="19720"/>
    <n v="19.72"/>
    <s v="RFID"/>
  </r>
  <r>
    <s v="33943"/>
    <x v="0"/>
    <s v="T311 EHH"/>
    <x v="0"/>
    <x v="2"/>
    <x v="0"/>
    <s v="MT"/>
    <x v="4"/>
    <s v="13/04/2026 07:04:08 PM"/>
    <s v="13/04/2026 07:09:20 PM"/>
    <s v="34020"/>
    <s v="16120"/>
    <s v="17900"/>
    <n v="17.899999999999999"/>
    <s v="RFID"/>
  </r>
  <r>
    <s v="33944"/>
    <x v="0"/>
    <s v="T293 EHH"/>
    <x v="0"/>
    <x v="2"/>
    <x v="0"/>
    <s v="MT"/>
    <x v="4"/>
    <s v="13/04/2026 07:08:12 PM"/>
    <s v="13/04/2026 07:14:33 PM"/>
    <s v="33300"/>
    <s v="15900"/>
    <s v="17400"/>
    <n v="17.399999999999999"/>
    <s v="RFID"/>
  </r>
  <r>
    <s v="33945"/>
    <x v="0"/>
    <s v="T299 EHH"/>
    <x v="0"/>
    <x v="2"/>
    <x v="0"/>
    <s v="MT"/>
    <x v="4"/>
    <s v="13/04/2026 07:11:17 PM"/>
    <s v="13/04/2026 07:16:12 PM"/>
    <s v="38100"/>
    <s v="15840"/>
    <s v="22260"/>
    <n v="22.26"/>
    <s v="RFID"/>
  </r>
  <r>
    <s v="33946"/>
    <x v="0"/>
    <s v="T312 EHH"/>
    <x v="0"/>
    <x v="2"/>
    <x v="0"/>
    <s v="MT"/>
    <x v="4"/>
    <s v="13/04/2026 07:17:50 PM"/>
    <s v="13/04/2026 07:39:41 PM"/>
    <s v="35720"/>
    <s v="14980"/>
    <s v="20740"/>
    <n v="20.74"/>
    <s v="RFID"/>
  </r>
  <r>
    <s v="33947"/>
    <x v="0"/>
    <s v="T311 EHH"/>
    <x v="0"/>
    <x v="2"/>
    <x v="0"/>
    <s v="MT"/>
    <x v="4"/>
    <s v="13/04/2026 07:22:48 PM"/>
    <s v="13/04/2026 07:40:32 PM"/>
    <s v="35800"/>
    <s v="16120"/>
    <s v="19680"/>
    <n v="19.68"/>
    <s v="RFID"/>
  </r>
  <r>
    <s v="33948"/>
    <x v="0"/>
    <s v="T312 EHH"/>
    <x v="0"/>
    <x v="2"/>
    <x v="0"/>
    <s v="MT"/>
    <x v="4"/>
    <s v="13/04/2026 09:31:07 PM"/>
    <s v="13/04/2026 09:34:57 PM"/>
    <s v="37120"/>
    <s v="15180"/>
    <s v="21940"/>
    <n v="21.94"/>
    <s v="RFID"/>
  </r>
  <r>
    <s v="33949"/>
    <x v="0"/>
    <s v="T299 EHH"/>
    <x v="0"/>
    <x v="2"/>
    <x v="0"/>
    <s v="MT"/>
    <x v="4"/>
    <s v="13/04/2026 09:36:15 PM"/>
    <s v="13/04/2026 09:42:00 PM"/>
    <s v="35800"/>
    <s v="15860"/>
    <s v="19940"/>
    <n v="19.940000000000001"/>
    <s v="RFID"/>
  </r>
  <r>
    <s v="33950"/>
    <x v="0"/>
    <s v="T311 EHH"/>
    <x v="0"/>
    <x v="2"/>
    <x v="0"/>
    <s v="MT"/>
    <x v="4"/>
    <s v="13/04/2026 09:40:36 PM"/>
    <s v="13/04/2026 09:44:32 PM"/>
    <s v="38100"/>
    <s v="16220"/>
    <s v="21880"/>
    <n v="21.88"/>
    <s v="RFID"/>
  </r>
  <r>
    <s v="33951"/>
    <x v="0"/>
    <s v="T312 EHH"/>
    <x v="0"/>
    <x v="2"/>
    <x v="0"/>
    <s v="MT"/>
    <x v="4"/>
    <s v="13/04/2026 09:45:44 PM"/>
    <s v="13/04/2026 09:50:43 PM"/>
    <s v="35640"/>
    <s v="15240"/>
    <s v="20400"/>
    <n v="20.399999999999999"/>
    <s v="RFID"/>
  </r>
  <r>
    <s v="33952"/>
    <x v="0"/>
    <s v="T299 EHH"/>
    <x v="0"/>
    <x v="2"/>
    <x v="0"/>
    <s v="MT"/>
    <x v="4"/>
    <s v="13/04/2026 09:52:59 PM"/>
    <s v="13/04/2026 10:00:01 PM"/>
    <s v="40140"/>
    <s v="15880"/>
    <s v="24260"/>
    <n v="24.26"/>
    <s v="RFID"/>
  </r>
  <r>
    <s v="33953"/>
    <x v="0"/>
    <s v="T311 EHH"/>
    <x v="0"/>
    <x v="2"/>
    <x v="0"/>
    <s v="MT"/>
    <x v="4"/>
    <s v="13/04/2026 09:57:39 PM"/>
    <s v="13/04/2026 10:06:03 PM"/>
    <s v="39240"/>
    <s v="16340"/>
    <s v="22900"/>
    <n v="22.9"/>
    <s v="RFID"/>
  </r>
  <r>
    <s v="33954"/>
    <x v="0"/>
    <s v="T312 EHH"/>
    <x v="0"/>
    <x v="2"/>
    <x v="0"/>
    <s v="MT"/>
    <x v="4"/>
    <s v="13/04/2026 10:04:47 PM"/>
    <s v="13/04/2026 10:08:59 PM"/>
    <s v="34120"/>
    <s v="15240"/>
    <s v="18880"/>
    <n v="18.88"/>
    <s v="RFID"/>
  </r>
  <r>
    <s v="33955"/>
    <x v="0"/>
    <s v="T299 EHH"/>
    <x v="0"/>
    <x v="2"/>
    <x v="0"/>
    <s v="MT"/>
    <x v="4"/>
    <s v="13/04/2026 10:10:46 PM"/>
    <s v="13/04/2026 10:16:20 PM"/>
    <s v="35100"/>
    <s v="15880"/>
    <s v="19220"/>
    <n v="19.22"/>
    <s v="RFID"/>
  </r>
  <r>
    <s v="33956"/>
    <x v="0"/>
    <s v="T311 EHH"/>
    <x v="0"/>
    <x v="2"/>
    <x v="0"/>
    <s v="MT"/>
    <x v="4"/>
    <s v="13/04/2026 10:14:48 PM"/>
    <s v="13/04/2026 10:19:21 PM"/>
    <s v="36120"/>
    <s v="16380"/>
    <s v="19740"/>
    <n v="19.739999999999998"/>
    <s v="RFID"/>
  </r>
  <r>
    <s v="33957"/>
    <x v="0"/>
    <s v="T312 EHH"/>
    <x v="0"/>
    <x v="2"/>
    <x v="0"/>
    <s v="MT"/>
    <x v="4"/>
    <s v="13/04/2026 10:20:45 PM"/>
    <s v="13/04/2026 10:26:48 PM"/>
    <s v="36940"/>
    <s v="15260"/>
    <s v="21680"/>
    <n v="21.68"/>
    <s v="RFID"/>
  </r>
  <r>
    <s v="33958"/>
    <x v="0"/>
    <s v="T299 EHH"/>
    <x v="0"/>
    <x v="2"/>
    <x v="0"/>
    <s v="MT"/>
    <x v="4"/>
    <s v="13/04/2026 10:25:35 PM"/>
    <s v="13/04/2026 10:39:45 PM"/>
    <s v="33600"/>
    <s v="15880"/>
    <s v="17720"/>
    <n v="17.72"/>
    <s v="RFID"/>
  </r>
  <r>
    <s v="33959"/>
    <x v="0"/>
    <s v="T311 EHH"/>
    <x v="0"/>
    <x v="2"/>
    <x v="0"/>
    <s v="MT"/>
    <x v="4"/>
    <s v="13/04/2026 10:29:35 PM"/>
    <s v="13/04/2026 10:41:31 PM"/>
    <s v="33340"/>
    <s v="16400"/>
    <s v="16940"/>
    <n v="16.940000000000001"/>
    <s v="RFID"/>
  </r>
  <r>
    <s v="33960"/>
    <x v="0"/>
    <s v="T312 EHH"/>
    <x v="0"/>
    <x v="2"/>
    <x v="0"/>
    <s v="MT"/>
    <x v="4"/>
    <s v="13/04/2026 10:37:01 PM"/>
    <s v="13/04/2026 10:42:47 PM"/>
    <s v="35740"/>
    <s v="15280"/>
    <s v="20460"/>
    <n v="20.46"/>
    <s v="RFID"/>
  </r>
  <r>
    <s v="33961"/>
    <x v="0"/>
    <s v="T299 EHH"/>
    <x v="1"/>
    <x v="3"/>
    <x v="0"/>
    <s v="MT"/>
    <x v="4"/>
    <s v="13/04/2026 10:59:38 PM"/>
    <s v="13/04/2026 11:06:42 PM"/>
    <s v="38260"/>
    <s v="15920"/>
    <s v="22340"/>
    <n v="22.34"/>
    <s v="RFID"/>
  </r>
  <r>
    <s v="33962"/>
    <x v="0"/>
    <s v="T311 EHH"/>
    <x v="1"/>
    <x v="3"/>
    <x v="0"/>
    <s v="MT"/>
    <x v="4"/>
    <s v="13/04/2026 11:05:52 PM"/>
    <s v="13/04/2026 11:11:56 PM"/>
    <s v="41320"/>
    <s v="16440"/>
    <s v="24880"/>
    <n v="24.88"/>
    <s v="RFID"/>
  </r>
  <r>
    <s v="33963"/>
    <x v="0"/>
    <s v="T312 EHH"/>
    <x v="1"/>
    <x v="3"/>
    <x v="0"/>
    <s v="MT"/>
    <x v="4"/>
    <s v="13/04/2026 11:11:08 PM"/>
    <s v="13/04/2026 11:29:10 PM"/>
    <s v="42400"/>
    <s v="15280"/>
    <s v="27120"/>
    <n v="27.12"/>
    <s v="RFID"/>
  </r>
  <r>
    <s v="33964"/>
    <x v="0"/>
    <s v="T299 EHH"/>
    <x v="1"/>
    <x v="3"/>
    <x v="0"/>
    <s v="MT"/>
    <x v="4"/>
    <s v="13/04/2026 11:15:15 PM"/>
    <s v="13/04/2026 11:50:31 PM"/>
    <s v="40280"/>
    <s v="15940"/>
    <s v="24340"/>
    <n v="24.34"/>
    <s v="RFID"/>
  </r>
  <r>
    <s v="33965"/>
    <x v="0"/>
    <s v="T311 EHH"/>
    <x v="1"/>
    <x v="3"/>
    <x v="0"/>
    <s v="MT"/>
    <x v="4"/>
    <s v="13/04/2026 11:20:38 PM"/>
    <s v="13/04/2026 11:52:07 PM"/>
    <s v="39980"/>
    <s v="16460"/>
    <s v="23520"/>
    <n v="23.52"/>
    <s v="RFID"/>
  </r>
  <r>
    <s v="33966"/>
    <x v="0"/>
    <s v="T311 EHH"/>
    <x v="1"/>
    <x v="3"/>
    <x v="0"/>
    <s v="MT"/>
    <x v="4"/>
    <s v="13/04/2026 11:58:26 PM"/>
    <s v="14/04/2026 12:04:12 AM"/>
    <s v="40620"/>
    <s v="16500"/>
    <s v="24120"/>
    <n v="24.12"/>
    <s v="RFID"/>
  </r>
  <r>
    <s v="33967"/>
    <x v="0"/>
    <s v="T312 EHH"/>
    <x v="1"/>
    <x v="3"/>
    <x v="0"/>
    <s v="MT"/>
    <x v="5"/>
    <s v="14/04/2026 12:03:21 AM"/>
    <s v="14/04/2026 12:08:52 AM"/>
    <s v="40640"/>
    <s v="15340"/>
    <s v="25300"/>
    <n v="25.3"/>
    <s v="RFID"/>
  </r>
  <r>
    <s v="33968"/>
    <x v="0"/>
    <s v="T299 EHH"/>
    <x v="1"/>
    <x v="3"/>
    <x v="0"/>
    <s v="MT"/>
    <x v="5"/>
    <s v="14/04/2026 12:07:49 AM"/>
    <s v="14/04/2026 12:12:30 AM"/>
    <s v="42640"/>
    <s v="15980"/>
    <s v="26660"/>
    <n v="26.66"/>
    <s v="RFID"/>
  </r>
  <r>
    <s v="33969"/>
    <x v="0"/>
    <s v="T311 EHH"/>
    <x v="1"/>
    <x v="3"/>
    <x v="0"/>
    <s v="MT"/>
    <x v="5"/>
    <s v="14/04/2026 12:11:36 AM"/>
    <s v="14/04/2026 12:17:18 AM"/>
    <s v="37660"/>
    <s v="16540"/>
    <s v="21120"/>
    <n v="21.12"/>
    <s v="RFID"/>
  </r>
  <r>
    <s v="33970"/>
    <x v="0"/>
    <s v="T312 EHH"/>
    <x v="1"/>
    <x v="3"/>
    <x v="0"/>
    <s v="MT"/>
    <x v="5"/>
    <s v="14/04/2026 12:16:15 AM"/>
    <s v="14/04/2026 12:20:59 AM"/>
    <s v="39520"/>
    <s v="15340"/>
    <s v="24180"/>
    <n v="24.18"/>
    <s v="RFID"/>
  </r>
  <r>
    <s v="33971"/>
    <x v="0"/>
    <s v="T299 EHH"/>
    <x v="1"/>
    <x v="3"/>
    <x v="0"/>
    <s v="MT"/>
    <x v="5"/>
    <s v="14/04/2026 12:19:58 AM"/>
    <s v="14/04/2026 12:24:59 AM"/>
    <s v="41580"/>
    <s v="16020"/>
    <s v="25560"/>
    <n v="25.56"/>
    <s v="RFID"/>
  </r>
  <r>
    <s v="33972"/>
    <x v="0"/>
    <s v="T293 EHH"/>
    <x v="1"/>
    <x v="3"/>
    <x v="0"/>
    <s v="MT"/>
    <x v="5"/>
    <s v="14/04/2026 12:23:55 AM"/>
    <s v="14/04/2026 12:29:07 AM"/>
    <s v="38700"/>
    <s v="15940"/>
    <s v="22760"/>
    <n v="22.76"/>
    <s v="RFID"/>
  </r>
  <r>
    <s v="33973"/>
    <x v="0"/>
    <s v="T311 EHH"/>
    <x v="1"/>
    <x v="3"/>
    <x v="0"/>
    <s v="MT"/>
    <x v="5"/>
    <s v="14/04/2026 12:28:10 AM"/>
    <s v="14/04/2026 12:43:15 AM"/>
    <s v="38440"/>
    <s v="16820"/>
    <s v="21620"/>
    <n v="21.62"/>
    <s v="RFID"/>
  </r>
  <r>
    <s v="33974"/>
    <x v="0"/>
    <s v="T299 EHH"/>
    <x v="1"/>
    <x v="3"/>
    <x v="0"/>
    <s v="MT"/>
    <x v="5"/>
    <s v="14/04/2026 12:32:25 AM"/>
    <s v="14/04/2026 12:52:45 AM"/>
    <s v="39780"/>
    <s v="16000"/>
    <s v="23780"/>
    <n v="23.78"/>
    <s v="RFID"/>
  </r>
  <r>
    <s v="33975"/>
    <x v="0"/>
    <s v="T293 EHH"/>
    <x v="1"/>
    <x v="3"/>
    <x v="0"/>
    <s v="MT"/>
    <x v="5"/>
    <s v="14/04/2026 12:36:25 AM"/>
    <s v="14/04/2026 12:53:45 AM"/>
    <s v="39300"/>
    <s v="15980"/>
    <s v="23320"/>
    <n v="23.32"/>
    <s v="RFID"/>
  </r>
  <r>
    <s v="33976"/>
    <x v="0"/>
    <s v="T311 EHH"/>
    <x v="1"/>
    <x v="3"/>
    <x v="0"/>
    <s v="MT"/>
    <x v="5"/>
    <s v="14/04/2026 12:54:49 AM"/>
    <s v="14/04/2026 01:02:14 AM"/>
    <s v="39140"/>
    <s v="16440"/>
    <s v="22700"/>
    <n v="22.7"/>
    <s v="RFID"/>
  </r>
  <r>
    <s v="33977"/>
    <x v="0"/>
    <s v="T299 EHH"/>
    <x v="1"/>
    <x v="3"/>
    <x v="0"/>
    <s v="MT"/>
    <x v="5"/>
    <s v="14/04/2026 01:01:19 AM"/>
    <s v="14/04/2026 01:06:32 AM"/>
    <s v="39020"/>
    <s v="16080"/>
    <s v="22940"/>
    <n v="22.94"/>
    <s v="RFID"/>
  </r>
  <r>
    <s v="33978"/>
    <x v="0"/>
    <s v="T293 EHH"/>
    <x v="1"/>
    <x v="3"/>
    <x v="0"/>
    <s v="MT"/>
    <x v="5"/>
    <s v="14/04/2026 01:03:07 AM"/>
    <s v="14/04/2026 01:10:57 AM"/>
    <s v="41620"/>
    <s v="16060"/>
    <s v="25560"/>
    <n v="25.56"/>
    <s v="RFID"/>
  </r>
  <r>
    <s v="33979"/>
    <x v="0"/>
    <s v="T311 EHH"/>
    <x v="1"/>
    <x v="3"/>
    <x v="0"/>
    <s v="MT"/>
    <x v="5"/>
    <s v="14/04/2026 01:10:03 AM"/>
    <s v="14/04/2026 01:17:18 AM"/>
    <s v="38880"/>
    <s v="16560"/>
    <s v="22320"/>
    <n v="22.32"/>
    <s v="RFID"/>
  </r>
  <r>
    <s v="33980"/>
    <x v="0"/>
    <s v="T299 EHH"/>
    <x v="1"/>
    <x v="3"/>
    <x v="0"/>
    <s v="MT"/>
    <x v="5"/>
    <s v="14/04/2026 01:12:29 AM"/>
    <s v="14/04/2026 01:19:06 AM"/>
    <s v="39600"/>
    <s v="16140"/>
    <s v="23460"/>
    <n v="23.46"/>
    <s v="RFID"/>
  </r>
  <r>
    <s v="33981"/>
    <x v="0"/>
    <s v="T293 EHH"/>
    <x v="1"/>
    <x v="3"/>
    <x v="0"/>
    <s v="MT"/>
    <x v="5"/>
    <s v="14/04/2026 01:18:07 AM"/>
    <s v="14/04/2026 01:24:29 AM"/>
    <s v="39180"/>
    <s v="16220"/>
    <s v="22960"/>
    <n v="22.96"/>
    <s v="RFID"/>
  </r>
  <r>
    <s v="33982"/>
    <x v="0"/>
    <s v="T311 EHH"/>
    <x v="1"/>
    <x v="3"/>
    <x v="0"/>
    <s v="MT"/>
    <x v="5"/>
    <s v="14/04/2026 01:23:45 AM"/>
    <s v="14/04/2026 01:35:06 AM"/>
    <s v="39460"/>
    <s v="17880"/>
    <s v="21580"/>
    <n v="21.58"/>
    <s v="RFID"/>
  </r>
  <r>
    <s v="33983"/>
    <x v="0"/>
    <s v="T299 EHH"/>
    <x v="1"/>
    <x v="3"/>
    <x v="0"/>
    <s v="MT"/>
    <x v="5"/>
    <s v="14/04/2026 01:26:03 AM"/>
    <s v="14/04/2026 01:37:11 AM"/>
    <s v="41580"/>
    <s v="16140"/>
    <s v="25440"/>
    <n v="25.44"/>
    <s v="RFID"/>
  </r>
  <r>
    <s v="33984"/>
    <x v="0"/>
    <s v="T293 EHH"/>
    <x v="1"/>
    <x v="3"/>
    <x v="0"/>
    <s v="MT"/>
    <x v="5"/>
    <s v="14/04/2026 01:34:08 AM"/>
    <s v="14/04/2026 01:47:54 AM"/>
    <s v="38520"/>
    <s v="16160"/>
    <s v="22360"/>
    <n v="22.36"/>
    <s v="RFID"/>
  </r>
  <r>
    <s v="33985"/>
    <x v="0"/>
    <s v="T311 EHH"/>
    <x v="1"/>
    <x v="3"/>
    <x v="0"/>
    <s v="MT"/>
    <x v="5"/>
    <s v="14/04/2026 01:40:21 AM"/>
    <s v="14/04/2026 02:14:35 AM"/>
    <s v="40060"/>
    <s v="16680"/>
    <s v="23380"/>
    <n v="23.38"/>
    <s v="RFID"/>
  </r>
  <r>
    <s v="33986"/>
    <x v="0"/>
    <s v="T299 EHH"/>
    <x v="1"/>
    <x v="3"/>
    <x v="0"/>
    <s v="MT"/>
    <x v="5"/>
    <s v="14/04/2026 01:46:14 AM"/>
    <s v="14/04/2026 02:17:24 AM"/>
    <s v="41020"/>
    <s v="16100"/>
    <s v="24920"/>
    <n v="24.92"/>
    <s v="RFID"/>
  </r>
  <r>
    <s v="33987"/>
    <x v="0"/>
    <s v="T293 EHH"/>
    <x v="1"/>
    <x v="3"/>
    <x v="0"/>
    <s v="MT"/>
    <x v="5"/>
    <s v="14/04/2026 02:21:44 AM"/>
    <s v="14/04/2026 02:26:44 AM"/>
    <s v="39200"/>
    <s v="16160"/>
    <s v="23040"/>
    <n v="23.04"/>
    <s v="RFID"/>
  </r>
  <r>
    <s v="33988"/>
    <x v="0"/>
    <s v="T311 EHH"/>
    <x v="1"/>
    <x v="3"/>
    <x v="0"/>
    <s v="MT"/>
    <x v="5"/>
    <s v="14/04/2026 02:25:49 AM"/>
    <s v="14/04/2026 02:30:08 AM"/>
    <s v="39660"/>
    <s v="16500"/>
    <s v="23160"/>
    <n v="23.16"/>
    <s v="RFID"/>
  </r>
  <r>
    <s v="33989"/>
    <x v="0"/>
    <s v="T299 EHH"/>
    <x v="1"/>
    <x v="3"/>
    <x v="0"/>
    <s v="MT"/>
    <x v="5"/>
    <s v="14/04/2026 02:31:15 AM"/>
    <s v="14/04/2026 02:36:18 AM"/>
    <s v="41400"/>
    <s v="15920"/>
    <s v="25480"/>
    <n v="25.48"/>
    <s v="RFID"/>
  </r>
  <r>
    <s v="33990"/>
    <x v="0"/>
    <s v="T293 EHH"/>
    <x v="1"/>
    <x v="3"/>
    <x v="0"/>
    <s v="MT"/>
    <x v="5"/>
    <s v="14/04/2026 02:35:17 AM"/>
    <s v="14/04/2026 02:40:35 AM"/>
    <s v="41920"/>
    <s v="16220"/>
    <s v="25700"/>
    <n v="25.7"/>
    <s v="RFID"/>
  </r>
  <r>
    <s v="33991"/>
    <x v="0"/>
    <s v="T311 EHH"/>
    <x v="1"/>
    <x v="3"/>
    <x v="0"/>
    <s v="MT"/>
    <x v="5"/>
    <s v="14/04/2026 02:39:23 AM"/>
    <s v="14/04/2026 02:44:15 AM"/>
    <s v="41040"/>
    <s v="16660"/>
    <s v="24380"/>
    <n v="24.38"/>
    <s v="RFID"/>
  </r>
  <r>
    <s v="33992"/>
    <x v="0"/>
    <s v="T299 EHH"/>
    <x v="1"/>
    <x v="3"/>
    <x v="0"/>
    <s v="MT"/>
    <x v="5"/>
    <s v="14/04/2026 02:42:47 AM"/>
    <s v="14/04/2026 02:58:41 AM"/>
    <s v="40080"/>
    <s v="17200"/>
    <s v="22880"/>
    <n v="22.88"/>
    <s v="RFID"/>
  </r>
  <r>
    <s v="33993"/>
    <x v="0"/>
    <s v="T293 EHH"/>
    <x v="1"/>
    <x v="3"/>
    <x v="0"/>
    <s v="MT"/>
    <x v="5"/>
    <s v="14/04/2026 02:47:03 AM"/>
    <s v="14/04/2026 03:02:07 AM"/>
    <s v="39560"/>
    <s v="16200"/>
    <s v="23360"/>
    <n v="23.36"/>
    <s v="RFID"/>
  </r>
  <r>
    <s v="33994"/>
    <x v="0"/>
    <s v="T311 EHH"/>
    <x v="1"/>
    <x v="3"/>
    <x v="0"/>
    <s v="MT"/>
    <x v="5"/>
    <s v="14/04/2026 02:51:19 AM"/>
    <s v="14/04/2026 03:33:44 AM"/>
    <s v="40700"/>
    <s v="16640"/>
    <s v="24060"/>
    <n v="24.06"/>
    <s v="RFID"/>
  </r>
  <r>
    <s v="33995"/>
    <x v="0"/>
    <s v="T299 EHH"/>
    <x v="1"/>
    <x v="3"/>
    <x v="0"/>
    <s v="MT"/>
    <x v="5"/>
    <s v="14/04/2026 03:42:23 AM"/>
    <s v="14/04/2026 03:48:43 AM"/>
    <s v="37640"/>
    <s v="16280"/>
    <s v="21360"/>
    <n v="21.36"/>
    <s v="RFID"/>
  </r>
  <r>
    <s v="33996"/>
    <x v="0"/>
    <s v="T293 EHH"/>
    <x v="1"/>
    <x v="3"/>
    <x v="0"/>
    <s v="MT"/>
    <x v="5"/>
    <s v="14/04/2026 03:47:29 AM"/>
    <s v="14/04/2026 03:52:37 AM"/>
    <s v="39260"/>
    <s v="16800"/>
    <s v="22460"/>
    <n v="22.46"/>
    <s v="RFID"/>
  </r>
  <r>
    <s v="33997"/>
    <x v="0"/>
    <s v="T311 EHH"/>
    <x v="1"/>
    <x v="3"/>
    <x v="0"/>
    <s v="MT"/>
    <x v="5"/>
    <s v="14/04/2026 03:51:30 AM"/>
    <s v="14/04/2026 03:56:41 AM"/>
    <s v="39880"/>
    <s v="16640"/>
    <s v="23240"/>
    <n v="23.24"/>
    <s v="RFID"/>
  </r>
  <r>
    <s v="33998"/>
    <x v="0"/>
    <s v="T299 EHH"/>
    <x v="1"/>
    <x v="3"/>
    <x v="0"/>
    <s v="MT"/>
    <x v="5"/>
    <s v="14/04/2026 03:55:46 AM"/>
    <s v="14/04/2026 04:00:50 AM"/>
    <s v="39540"/>
    <s v="16320"/>
    <s v="23220"/>
    <n v="23.22"/>
    <s v="RFID"/>
  </r>
  <r>
    <s v="33999"/>
    <x v="0"/>
    <s v="T293 EHH"/>
    <x v="1"/>
    <x v="3"/>
    <x v="0"/>
    <s v="MT"/>
    <x v="5"/>
    <s v="14/04/2026 03:59:47 AM"/>
    <s v="14/04/2026 04:05:29 AM"/>
    <s v="38280"/>
    <s v="17500"/>
    <s v="20780"/>
    <n v="20.78"/>
    <s v="RFID"/>
  </r>
  <r>
    <s v="34000"/>
    <x v="0"/>
    <s v="T311 EHH"/>
    <x v="1"/>
    <x v="3"/>
    <x v="0"/>
    <s v="MT"/>
    <x v="5"/>
    <s v="14/04/2026 04:03:42 AM"/>
    <s v="14/04/2026 04:08:21 AM"/>
    <s v="39080"/>
    <s v="16620"/>
    <s v="22460"/>
    <n v="22.46"/>
    <s v="RFID"/>
  </r>
  <r>
    <s v="34001"/>
    <x v="0"/>
    <s v="T299 EHH"/>
    <x v="1"/>
    <x v="3"/>
    <x v="0"/>
    <s v="MT"/>
    <x v="5"/>
    <s v="14/04/2026 04:09:15 AM"/>
    <s v="14/04/2026 04:14:19 AM"/>
    <s v="36260"/>
    <s v="16380"/>
    <s v="19880"/>
    <n v="19.88"/>
    <s v="RFID"/>
  </r>
  <r>
    <s v="34002"/>
    <x v="0"/>
    <s v="T293 EHH"/>
    <x v="1"/>
    <x v="3"/>
    <x v="0"/>
    <s v="MT"/>
    <x v="5"/>
    <s v="14/04/2026 04:13:20 AM"/>
    <s v="14/04/2026 04:19:32 AM"/>
    <s v="41660"/>
    <s v="17660"/>
    <s v="24000"/>
    <n v="24"/>
    <s v="RFID"/>
  </r>
  <r>
    <s v="34003"/>
    <x v="0"/>
    <s v="T311 EHH"/>
    <x v="1"/>
    <x v="3"/>
    <x v="0"/>
    <s v="MT"/>
    <x v="5"/>
    <s v="14/04/2026 04:17:16 AM"/>
    <s v="14/04/2026 04:22:16 AM"/>
    <s v="38720"/>
    <s v="16620"/>
    <s v="22100"/>
    <n v="22.1"/>
    <s v="RFID"/>
  </r>
  <r>
    <s v="34004"/>
    <x v="0"/>
    <s v="T299 EHH"/>
    <x v="1"/>
    <x v="3"/>
    <x v="0"/>
    <s v="MT"/>
    <x v="5"/>
    <s v="14/04/2026 04:21:18 AM"/>
    <s v="14/04/2026 04:26:43 AM"/>
    <s v="39980"/>
    <s v="16380"/>
    <s v="23600"/>
    <n v="23.6"/>
    <s v="RFID"/>
  </r>
  <r>
    <s v="34005"/>
    <x v="0"/>
    <s v="T293 EHH"/>
    <x v="1"/>
    <x v="3"/>
    <x v="0"/>
    <s v="MT"/>
    <x v="5"/>
    <s v="14/04/2026 04:25:17 AM"/>
    <s v="14/04/2026 04:31:27 AM"/>
    <s v="38900"/>
    <s v="17840"/>
    <s v="21060"/>
    <n v="21.06"/>
    <s v="RFID"/>
  </r>
  <r>
    <s v="34006"/>
    <x v="0"/>
    <s v="T311 EHH"/>
    <x v="1"/>
    <x v="3"/>
    <x v="0"/>
    <s v="MT"/>
    <x v="5"/>
    <s v="14/04/2026 04:28:55 AM"/>
    <s v="14/04/2026 04:34:02 AM"/>
    <s v="40320"/>
    <s v="16640"/>
    <s v="23680"/>
    <n v="23.68"/>
    <s v="RFID"/>
  </r>
  <r>
    <s v="34007"/>
    <x v="0"/>
    <s v="T299 EHH"/>
    <x v="1"/>
    <x v="3"/>
    <x v="0"/>
    <s v="MT"/>
    <x v="5"/>
    <s v="14/04/2026 04:32:29 AM"/>
    <s v="14/04/2026 04:37:19 AM"/>
    <s v="40840"/>
    <s v="16460"/>
    <s v="24380"/>
    <n v="24.38"/>
    <s v="RFID"/>
  </r>
  <r>
    <s v="34008"/>
    <x v="0"/>
    <s v="T293 EHH"/>
    <x v="1"/>
    <x v="3"/>
    <x v="0"/>
    <s v="MT"/>
    <x v="5"/>
    <s v="14/04/2026 04:40:12 AM"/>
    <s v="14/04/2026 04:44:51 AM"/>
    <s v="39760"/>
    <s v="15020"/>
    <s v="24740"/>
    <n v="24.74"/>
    <s v="RFID"/>
  </r>
  <r>
    <s v="34009"/>
    <x v="0"/>
    <s v="T311 EHH"/>
    <x v="1"/>
    <x v="3"/>
    <x v="0"/>
    <s v="MT"/>
    <x v="5"/>
    <s v="14/04/2026 04:43:44 AM"/>
    <s v="14/04/2026 04:48:14 AM"/>
    <s v="40620"/>
    <s v="16660"/>
    <s v="23960"/>
    <n v="23.96"/>
    <s v="RFID"/>
  </r>
  <r>
    <s v="34010"/>
    <x v="0"/>
    <s v="T299 EHH"/>
    <x v="1"/>
    <x v="3"/>
    <x v="0"/>
    <s v="MT"/>
    <x v="5"/>
    <s v="14/04/2026 04:47:13 AM"/>
    <s v="14/04/2026 04:51:50 AM"/>
    <s v="40100"/>
    <s v="16500"/>
    <s v="23600"/>
    <n v="23.6"/>
    <s v="RFID"/>
  </r>
  <r>
    <s v="34011"/>
    <x v="0"/>
    <s v="T293 EHH"/>
    <x v="1"/>
    <x v="3"/>
    <x v="0"/>
    <s v="MT"/>
    <x v="5"/>
    <s v="14/04/2026 04:50:57 AM"/>
    <s v="14/04/2026 04:55:46 AM"/>
    <s v="39260"/>
    <s v="15100"/>
    <s v="24160"/>
    <n v="24.16"/>
    <s v="RFID"/>
  </r>
  <r>
    <s v="34012"/>
    <x v="0"/>
    <s v="T311 EHH"/>
    <x v="1"/>
    <x v="3"/>
    <x v="0"/>
    <s v="MT"/>
    <x v="5"/>
    <s v="14/04/2026 04:55:05 AM"/>
    <s v="14/04/2026 04:59:54 AM"/>
    <s v="41040"/>
    <s v="16680"/>
    <s v="24360"/>
    <n v="24.36"/>
    <s v="RFID"/>
  </r>
  <r>
    <s v="34013"/>
    <x v="0"/>
    <s v="T299 EHH"/>
    <x v="1"/>
    <x v="3"/>
    <x v="0"/>
    <s v="MT"/>
    <x v="5"/>
    <s v="14/04/2026 04:58:23 AM"/>
    <s v="14/04/2026 05:11:31 AM"/>
    <s v="41860"/>
    <s v="16560"/>
    <s v="25300"/>
    <n v="25.3"/>
    <s v="RFID"/>
  </r>
  <r>
    <s v="34014"/>
    <x v="0"/>
    <s v="T293 EHH"/>
    <x v="1"/>
    <x v="3"/>
    <x v="0"/>
    <s v="MT"/>
    <x v="5"/>
    <s v="14/04/2026 05:02:12 AM"/>
    <s v="14/04/2026 05:14:09 AM"/>
    <s v="41920"/>
    <s v="15280"/>
    <s v="26640"/>
    <n v="26.64"/>
    <s v="RFID"/>
  </r>
  <r>
    <s v="34015"/>
    <x v="0"/>
    <s v="T311 EHH"/>
    <x v="1"/>
    <x v="3"/>
    <x v="0"/>
    <s v="MT"/>
    <x v="5"/>
    <s v="14/04/2026 05:06:36 AM"/>
    <s v="14/04/2026 05:16:41 AM"/>
    <s v="41360"/>
    <s v="16820"/>
    <s v="24540"/>
    <n v="24.54"/>
    <s v="RFID"/>
  </r>
  <r>
    <s v="34016"/>
    <x v="0"/>
    <s v="T293 EHH"/>
    <x v="1"/>
    <x v="3"/>
    <x v="0"/>
    <s v="MT"/>
    <x v="5"/>
    <s v="14/04/2026 05:20:49 AM"/>
    <s v="14/04/2026 05:27:47 AM"/>
    <s v="41940"/>
    <s v="15320"/>
    <s v="26620"/>
    <n v="26.62"/>
    <s v="RFID"/>
  </r>
  <r>
    <s v="34017"/>
    <x v="0"/>
    <s v="T311 EHH"/>
    <x v="1"/>
    <x v="3"/>
    <x v="0"/>
    <s v="MT"/>
    <x v="5"/>
    <s v="14/04/2026 05:24:27 AM"/>
    <s v="14/04/2026 05:29:13 AM"/>
    <s v="41000"/>
    <s v="16800"/>
    <s v="24200"/>
    <n v="24.2"/>
    <s v="RFID"/>
  </r>
  <r>
    <s v="34018"/>
    <x v="0"/>
    <s v="T311 EHH"/>
    <x v="1"/>
    <x v="3"/>
    <x v="0"/>
    <s v="MT"/>
    <x v="5"/>
    <s v="14/04/2026 05:38:54 AM"/>
    <s v="14/04/2026 05:47:54 AM"/>
    <s v="39180"/>
    <s v="16740"/>
    <s v="22440"/>
    <n v="22.44"/>
    <s v="RFID"/>
  </r>
  <r>
    <s v="34019"/>
    <x v="0"/>
    <s v="T312 EHH"/>
    <x v="1"/>
    <x v="3"/>
    <x v="0"/>
    <s v="MT"/>
    <x v="5"/>
    <s v="14/04/2026 05:48:56 AM"/>
    <s v="14/04/2026 05:53:28 AM"/>
    <s v="39800"/>
    <s v="15320"/>
    <s v="24480"/>
    <n v="24.48"/>
    <s v="RFID"/>
  </r>
  <r>
    <s v="34020"/>
    <x v="0"/>
    <s v="T293 EHH"/>
    <x v="1"/>
    <x v="3"/>
    <x v="0"/>
    <s v="MT"/>
    <x v="5"/>
    <s v="14/04/2026 05:50:04 AM"/>
    <s v="14/04/2026 05:58:46 AM"/>
    <s v="40580"/>
    <s v="15840"/>
    <s v="24740"/>
    <n v="24.74"/>
    <s v="RFID"/>
  </r>
  <r>
    <s v="34021"/>
    <x v="0"/>
    <s v="T311 EHH"/>
    <x v="1"/>
    <x v="3"/>
    <x v="0"/>
    <s v="MT"/>
    <x v="5"/>
    <s v="14/04/2026 05:54:40 AM"/>
    <s v="14/04/2026 06:50:39 AM"/>
    <s v="42900"/>
    <s v="17140"/>
    <s v="25760"/>
    <n v="25.76"/>
    <s v="RFID"/>
  </r>
  <r>
    <s v="34022"/>
    <x v="0"/>
    <s v="T312 EHH"/>
    <x v="1"/>
    <x v="3"/>
    <x v="0"/>
    <s v="MT"/>
    <x v="5"/>
    <s v="14/04/2026 06:00:01 AM"/>
    <s v="14/04/2026 06:45:58 AM"/>
    <s v="42400"/>
    <s v="15480"/>
    <s v="26920"/>
    <n v="26.92"/>
    <s v="RFID"/>
  </r>
  <r>
    <s v="34023"/>
    <x v="0"/>
    <s v="T293 EHH"/>
    <x v="1"/>
    <x v="3"/>
    <x v="0"/>
    <s v="MT"/>
    <x v="5"/>
    <s v="14/04/2026 06:06:37 AM"/>
    <s v="14/04/2026 06:48:44 AM"/>
    <s v="39620"/>
    <s v="15680"/>
    <s v="23940"/>
    <n v="23.94"/>
    <s v="RFID"/>
  </r>
  <r>
    <s v="34024"/>
    <x v="0"/>
    <s v="T312 EHH"/>
    <x v="1"/>
    <x v="3"/>
    <x v="0"/>
    <s v="MT"/>
    <x v="5"/>
    <s v="14/04/2026 06:54:23 AM"/>
    <s v="14/04/2026 07:00:30 AM"/>
    <s v="38300"/>
    <s v="15580"/>
    <s v="22720"/>
    <n v="22.72"/>
    <s v="RFID"/>
  </r>
  <r>
    <s v="34025"/>
    <x v="0"/>
    <s v="T293 EHH"/>
    <x v="1"/>
    <x v="3"/>
    <x v="0"/>
    <s v="MT"/>
    <x v="5"/>
    <s v="14/04/2026 06:57:51 AM"/>
    <s v="14/04/2026 07:03:30 AM"/>
    <s v="39040"/>
    <s v="15700"/>
    <s v="23340"/>
    <n v="23.34"/>
    <s v="RFID"/>
  </r>
  <r>
    <s v="34026"/>
    <x v="0"/>
    <s v="T311 EHH"/>
    <x v="1"/>
    <x v="3"/>
    <x v="0"/>
    <s v="MT"/>
    <x v="5"/>
    <s v="14/04/2026 07:01:35 AM"/>
    <s v="14/04/2026 07:05:39 AM"/>
    <s v="39100"/>
    <s v="17100"/>
    <s v="22000"/>
    <n v="22"/>
    <s v="RFID"/>
  </r>
  <r>
    <s v="34027"/>
    <x v="0"/>
    <s v="T312 EHH"/>
    <x v="1"/>
    <x v="3"/>
    <x v="0"/>
    <s v="MT"/>
    <x v="5"/>
    <s v="14/04/2026 07:07:07 AM"/>
    <s v="14/04/2026 07:10:44 AM"/>
    <s v="41120"/>
    <s v="15700"/>
    <s v="25420"/>
    <n v="25.42"/>
    <s v="RFID"/>
  </r>
  <r>
    <s v="34028"/>
    <x v="0"/>
    <s v="T293 EHH"/>
    <x v="1"/>
    <x v="3"/>
    <x v="0"/>
    <s v="MT"/>
    <x v="5"/>
    <s v="14/04/2026 07:12:06 AM"/>
    <s v="14/04/2026 07:18:36 AM"/>
    <s v="40280"/>
    <s v="15640"/>
    <s v="24640"/>
    <n v="24.64"/>
    <s v="RFID"/>
  </r>
  <r>
    <s v="34029"/>
    <x v="0"/>
    <s v="T311 EHH"/>
    <x v="1"/>
    <x v="3"/>
    <x v="0"/>
    <s v="MT"/>
    <x v="5"/>
    <s v="14/04/2026 07:16:00 AM"/>
    <s v="14/04/2026 07:21:15 AM"/>
    <s v="39200"/>
    <s v="17180"/>
    <s v="22020"/>
    <n v="22.02"/>
    <s v="RFID"/>
  </r>
  <r>
    <s v="34030"/>
    <x v="0"/>
    <s v="T312 EHH"/>
    <x v="1"/>
    <x v="3"/>
    <x v="0"/>
    <s v="MT"/>
    <x v="5"/>
    <s v="14/04/2026 07:20:06 AM"/>
    <s v="14/04/2026 09:08:16 AM"/>
    <s v="39220"/>
    <s v="33980"/>
    <s v="5240"/>
    <n v="5.24"/>
    <s v="RFID"/>
  </r>
  <r>
    <s v="34031"/>
    <x v="0"/>
    <s v="T311 EHH"/>
    <x v="1"/>
    <x v="3"/>
    <x v="0"/>
    <s v="MT"/>
    <x v="5"/>
    <s v="14/04/2026 09:09:44 AM"/>
    <s v="14/04/2026 09:19:33 AM"/>
    <s v="35740"/>
    <s v="15020"/>
    <s v="20720"/>
    <n v="20.72"/>
    <s v="RFID"/>
  </r>
  <r>
    <s v="34032"/>
    <x v="0"/>
    <s v="T295 EHH"/>
    <x v="1"/>
    <x v="3"/>
    <x v="0"/>
    <s v="MT"/>
    <x v="5"/>
    <s v="14/04/2026 09:18:20 AM"/>
    <s v="14/04/2026 09:24:17 AM"/>
    <s v="32480"/>
    <s v="14040"/>
    <s v="18440"/>
    <n v="18.440000000000001"/>
    <s v="RFID"/>
  </r>
  <r>
    <s v="34033"/>
    <x v="0"/>
    <s v="T290 EHH"/>
    <x v="1"/>
    <x v="3"/>
    <x v="0"/>
    <s v="MT"/>
    <x v="5"/>
    <s v="14/04/2026 09:26:03 AM"/>
    <s v="14/04/2026 09:32:19 AM"/>
    <s v="35840"/>
    <s v="15580"/>
    <s v="20260"/>
    <n v="20.260000000000002"/>
    <s v="RFID"/>
  </r>
  <r>
    <s v="34034"/>
    <x v="0"/>
    <s v="T311 EHH"/>
    <x v="1"/>
    <x v="3"/>
    <x v="0"/>
    <s v="MT"/>
    <x v="5"/>
    <s v="14/04/2026 09:33:18 AM"/>
    <s v="14/04/2026 09:38:44 AM"/>
    <s v="33460"/>
    <s v="15780"/>
    <s v="17680"/>
    <n v="17.68"/>
    <s v="RFID"/>
  </r>
  <r>
    <s v="34035"/>
    <x v="0"/>
    <s v="T295 EHH"/>
    <x v="1"/>
    <x v="3"/>
    <x v="0"/>
    <s v="MT"/>
    <x v="5"/>
    <s v="14/04/2026 09:37:42 AM"/>
    <s v="14/04/2026 09:46:36 AM"/>
    <s v="33680"/>
    <s v="14880"/>
    <s v="18800"/>
    <n v="18.8"/>
    <s v="RFID"/>
  </r>
  <r>
    <s v="34036"/>
    <x v="0"/>
    <s v="T290 EHH"/>
    <x v="1"/>
    <x v="3"/>
    <x v="0"/>
    <s v="MT"/>
    <x v="5"/>
    <s v="14/04/2026 09:42:29 AM"/>
    <s v="14/04/2026 09:48:47 AM"/>
    <s v="35360"/>
    <s v="16520"/>
    <s v="18840"/>
    <n v="18.84"/>
    <s v="RFID"/>
  </r>
  <r>
    <s v="34037"/>
    <x v="0"/>
    <s v="T311 EHH"/>
    <x v="1"/>
    <x v="3"/>
    <x v="0"/>
    <s v="MT"/>
    <x v="5"/>
    <s v="14/04/2026 09:47:53 AM"/>
    <s v="14/04/2026 09:53:13 AM"/>
    <s v="36480"/>
    <s v="15780"/>
    <s v="20700"/>
    <n v="20.7"/>
    <s v="RFID"/>
  </r>
  <r>
    <s v="34038"/>
    <x v="0"/>
    <s v="T295 EHH"/>
    <x v="1"/>
    <x v="3"/>
    <x v="0"/>
    <s v="MT"/>
    <x v="5"/>
    <s v="14/04/2026 09:57:45 AM"/>
    <s v="14/04/2026 10:03:14 AM"/>
    <s v="33640"/>
    <s v="14960"/>
    <s v="18680"/>
    <n v="18.68"/>
    <s v="RFID"/>
  </r>
  <r>
    <s v="34039"/>
    <x v="0"/>
    <s v="T290 EHH"/>
    <x v="1"/>
    <x v="3"/>
    <x v="0"/>
    <s v="MT"/>
    <x v="5"/>
    <s v="14/04/2026 10:04:53 AM"/>
    <s v="14/04/2026 10:11:01 AM"/>
    <s v="35220"/>
    <s v="17060"/>
    <s v="18160"/>
    <n v="18.16"/>
    <s v="RFID"/>
  </r>
  <r>
    <s v="34040"/>
    <x v="0"/>
    <s v="T311 EHH"/>
    <x v="1"/>
    <x v="3"/>
    <x v="0"/>
    <s v="MT"/>
    <x v="5"/>
    <s v="14/04/2026 10:09:01 AM"/>
    <s v="14/04/2026 10:15:22 AM"/>
    <s v="35700"/>
    <s v="15800"/>
    <s v="19900"/>
    <n v="19.899999999999999"/>
    <s v="RFID"/>
  </r>
  <r>
    <s v="34041"/>
    <x v="0"/>
    <s v="T295 EHH"/>
    <x v="1"/>
    <x v="3"/>
    <x v="0"/>
    <s v="MT"/>
    <x v="5"/>
    <s v="14/04/2026 10:14:17 AM"/>
    <s v="14/04/2026 10:19:21 AM"/>
    <s v="33160"/>
    <s v="15040"/>
    <s v="18120"/>
    <n v="18.12"/>
    <s v="RFID"/>
  </r>
  <r>
    <s v="34042"/>
    <x v="0"/>
    <s v="T290 EHH"/>
    <x v="1"/>
    <x v="3"/>
    <x v="0"/>
    <s v="MT"/>
    <x v="5"/>
    <s v="14/04/2026 10:20:41 AM"/>
    <s v="14/04/2026 10:26:36 AM"/>
    <s v="34440"/>
    <s v="17120"/>
    <s v="17320"/>
    <n v="17.32"/>
    <s v="RFID"/>
  </r>
  <r>
    <s v="34043"/>
    <x v="0"/>
    <s v="T311 EHH"/>
    <x v="1"/>
    <x v="3"/>
    <x v="0"/>
    <s v="MT"/>
    <x v="5"/>
    <s v="14/04/2026 10:25:34 AM"/>
    <s v="14/04/2026 10:35:32 AM"/>
    <s v="34680"/>
    <s v="15680"/>
    <s v="19000"/>
    <n v="19"/>
    <s v="RFID"/>
  </r>
  <r>
    <s v="34044"/>
    <x v="0"/>
    <s v="T290 EHH"/>
    <x v="0"/>
    <x v="0"/>
    <x v="0"/>
    <s v="MT"/>
    <x v="5"/>
    <s v="14/04/2026 02:23:26 PM"/>
    <s v="14/04/2026 02:28:44 PM"/>
    <s v="37380"/>
    <s v="17140"/>
    <s v="20240"/>
    <n v="20.239999999999998"/>
    <s v="RFID"/>
  </r>
  <r>
    <s v="34045"/>
    <x v="0"/>
    <s v="T295 EHH"/>
    <x v="0"/>
    <x v="0"/>
    <x v="0"/>
    <s v="MT"/>
    <x v="5"/>
    <s v="14/04/2026 02:24:34 PM"/>
    <s v="14/04/2026 02:31:32 PM"/>
    <s v="34140"/>
    <s v="14980"/>
    <s v="19160"/>
    <n v="19.16"/>
    <s v="RFID"/>
  </r>
  <r>
    <s v="34046"/>
    <x v="0"/>
    <s v="T311 EHH"/>
    <x v="0"/>
    <x v="0"/>
    <x v="0"/>
    <s v="MT"/>
    <x v="5"/>
    <s v="14/04/2026 02:30:03 PM"/>
    <s v="14/04/2026 02:38:29 PM"/>
    <s v="35700"/>
    <s v="15600"/>
    <s v="20100"/>
    <n v="20.100000000000001"/>
    <s v="RFID"/>
  </r>
  <r>
    <s v="34047"/>
    <x v="0"/>
    <s v="T290 EHH"/>
    <x v="0"/>
    <x v="0"/>
    <x v="0"/>
    <s v="MT"/>
    <x v="5"/>
    <s v="14/04/2026 02:40:18 PM"/>
    <s v="14/04/2026 02:45:02 PM"/>
    <s v="35000"/>
    <s v="17220"/>
    <s v="17780"/>
    <n v="17.78"/>
    <s v="RFID"/>
  </r>
  <r>
    <s v="34048"/>
    <x v="0"/>
    <s v="T295 EHH"/>
    <x v="0"/>
    <x v="0"/>
    <x v="0"/>
    <s v="MT"/>
    <x v="5"/>
    <s v="14/04/2026 02:46:27 PM"/>
    <s v="14/04/2026 02:51:51 PM"/>
    <s v="35140"/>
    <s v="15020"/>
    <s v="20120"/>
    <n v="20.12"/>
    <s v="RFID"/>
  </r>
  <r>
    <s v="34049"/>
    <x v="0"/>
    <s v="T311 EHH"/>
    <x v="0"/>
    <x v="0"/>
    <x v="0"/>
    <s v="MT"/>
    <x v="5"/>
    <s v="14/04/2026 02:50:32 PM"/>
    <s v="14/04/2026 02:54:57 PM"/>
    <s v="36440"/>
    <s v="15620"/>
    <s v="20820"/>
    <n v="20.82"/>
    <s v="RFID"/>
  </r>
  <r>
    <s v="34050"/>
    <x v="0"/>
    <s v="T290 EHH"/>
    <x v="0"/>
    <x v="0"/>
    <x v="0"/>
    <s v="MT"/>
    <x v="5"/>
    <s v="14/04/2026 02:57:04 PM"/>
    <s v="14/04/2026 03:01:47 PM"/>
    <s v="35740"/>
    <s v="17260"/>
    <s v="18480"/>
    <n v="18.48"/>
    <s v="RFID"/>
  </r>
  <r>
    <s v="34051"/>
    <x v="0"/>
    <s v="T295 EHH"/>
    <x v="0"/>
    <x v="0"/>
    <x v="0"/>
    <s v="MT"/>
    <x v="5"/>
    <s v="14/04/2026 03:03:16 PM"/>
    <s v="14/04/2026 03:08:34 PM"/>
    <s v="35340"/>
    <s v="15080"/>
    <s v="20260"/>
    <n v="20.260000000000002"/>
    <s v="RFID"/>
  </r>
  <r>
    <s v="34052"/>
    <x v="0"/>
    <s v="T311 EHH"/>
    <x v="0"/>
    <x v="0"/>
    <x v="0"/>
    <s v="MT"/>
    <x v="5"/>
    <s v="14/04/2026 03:07:11 PM"/>
    <s v="14/04/2026 03:12:21 PM"/>
    <s v="35280"/>
    <s v="15900"/>
    <s v="19380"/>
    <n v="19.38"/>
    <s v="RFID"/>
  </r>
  <r>
    <s v="34053"/>
    <x v="0"/>
    <s v="T290 EHH"/>
    <x v="0"/>
    <x v="0"/>
    <x v="0"/>
    <s v="MT"/>
    <x v="5"/>
    <s v="14/04/2026 03:15:41 PM"/>
    <s v="14/04/2026 03:21:38 PM"/>
    <s v="34180"/>
    <s v="18220"/>
    <s v="15960"/>
    <n v="15.96"/>
    <s v="RFID"/>
  </r>
  <r>
    <s v="34054"/>
    <x v="0"/>
    <s v="T295 EHH"/>
    <x v="0"/>
    <x v="0"/>
    <x v="0"/>
    <s v="MT"/>
    <x v="5"/>
    <s v="14/04/2026 03:20:22 PM"/>
    <s v="14/04/2026 03:26:10 PM"/>
    <s v="33480"/>
    <s v="15240"/>
    <s v="18240"/>
    <n v="18.239999999999998"/>
    <s v="RFID"/>
  </r>
  <r>
    <s v="34055"/>
    <x v="0"/>
    <s v="T311 EHH"/>
    <x v="0"/>
    <x v="0"/>
    <x v="0"/>
    <s v="MT"/>
    <x v="5"/>
    <s v="14/04/2026 03:23:57 PM"/>
    <s v="14/04/2026 03:29:14 PM"/>
    <s v="35640"/>
    <s v="15860"/>
    <s v="19780"/>
    <n v="19.78"/>
    <s v="RFID"/>
  </r>
  <r>
    <s v="34056"/>
    <x v="0"/>
    <s v="T290 EHH"/>
    <x v="0"/>
    <x v="0"/>
    <x v="0"/>
    <s v="MT"/>
    <x v="5"/>
    <s v="14/04/2026 03:31:28 PM"/>
    <s v="14/04/2026 03:35:42 PM"/>
    <s v="35520"/>
    <s v="27040"/>
    <s v="8480"/>
    <n v="8.48"/>
    <s v="RFID"/>
  </r>
  <r>
    <s v="34057"/>
    <x v="0"/>
    <s v="T295 EHH"/>
    <x v="0"/>
    <x v="0"/>
    <x v="0"/>
    <s v="MT"/>
    <x v="5"/>
    <s v="14/04/2026 03:37:04 PM"/>
    <s v="14/04/2026 03:42:23 PM"/>
    <s v="35040"/>
    <s v="15600"/>
    <s v="19440"/>
    <n v="19.440000000000001"/>
    <s v="RFID"/>
  </r>
  <r>
    <s v="34058"/>
    <x v="0"/>
    <s v="T311 EHH"/>
    <x v="0"/>
    <x v="0"/>
    <x v="0"/>
    <s v="MT"/>
    <x v="5"/>
    <s v="14/04/2026 03:40:05 PM"/>
    <s v="14/04/2026 03:46:50 PM"/>
    <s v="33720"/>
    <s v="16100"/>
    <s v="17620"/>
    <n v="17.62"/>
    <s v="RFID"/>
  </r>
  <r>
    <s v="34059"/>
    <x v="0"/>
    <s v="T290 EHH"/>
    <x v="0"/>
    <x v="0"/>
    <x v="0"/>
    <s v="MT"/>
    <x v="5"/>
    <s v="14/04/2026 03:44:56 PM"/>
    <s v="14/04/2026 04:18:57 PM"/>
    <s v="37300"/>
    <s v="22340"/>
    <s v="14960"/>
    <n v="14.96"/>
    <s v="RFID"/>
  </r>
  <r>
    <s v="34060"/>
    <x v="0"/>
    <s v="T295 EHH"/>
    <x v="0"/>
    <x v="0"/>
    <x v="0"/>
    <s v="MT"/>
    <x v="5"/>
    <s v="14/04/2026 03:50:43 PM"/>
    <s v="14/04/2026 04:13:13 PM"/>
    <s v="33560"/>
    <s v="15680"/>
    <s v="17880"/>
    <n v="17.88"/>
    <s v="RFID"/>
  </r>
  <r>
    <s v="34061"/>
    <x v="0"/>
    <s v="T311 EHH"/>
    <x v="0"/>
    <x v="0"/>
    <x v="0"/>
    <s v="MT"/>
    <x v="5"/>
    <s v="14/04/2026 03:55:59 PM"/>
    <s v="14/04/2026 04:19:48 PM"/>
    <s v="35580"/>
    <s v="16580"/>
    <s v="19000"/>
    <n v="19"/>
    <s v="RFID"/>
  </r>
  <r>
    <s v="34062"/>
    <x v="0"/>
    <s v="T295 EHH"/>
    <x v="0"/>
    <x v="0"/>
    <x v="0"/>
    <s v="MT"/>
    <x v="5"/>
    <s v="14/04/2026 04:22:19 PM"/>
    <s v="14/04/2026 04:29:15 PM"/>
    <s v="36280"/>
    <s v="16160"/>
    <s v="20120"/>
    <n v="20.12"/>
    <s v="RFID"/>
  </r>
  <r>
    <s v="34063"/>
    <x v="0"/>
    <s v="T290 EHH"/>
    <x v="0"/>
    <x v="0"/>
    <x v="0"/>
    <s v="MT"/>
    <x v="5"/>
    <s v="14/04/2026 04:26:23 PM"/>
    <s v="14/04/2026 04:32:40 PM"/>
    <s v="35860"/>
    <s v="23280"/>
    <s v="12580"/>
    <n v="12.58"/>
    <s v="RFID"/>
  </r>
  <r>
    <s v="34064"/>
    <x v="0"/>
    <s v="T311 EHH"/>
    <x v="0"/>
    <x v="0"/>
    <x v="0"/>
    <s v="MT"/>
    <x v="5"/>
    <s v="14/04/2026 04:31:31 PM"/>
    <s v="14/04/2026 04:39:05 PM"/>
    <s v="38180"/>
    <s v="16140"/>
    <s v="22040"/>
    <n v="22.04"/>
    <s v="RFID"/>
  </r>
  <r>
    <s v="34065"/>
    <x v="0"/>
    <s v="T295 EHH"/>
    <x v="0"/>
    <x v="0"/>
    <x v="0"/>
    <s v="MT"/>
    <x v="5"/>
    <s v="14/04/2026 04:37:51 PM"/>
    <s v="14/04/2026 04:43:02 PM"/>
    <s v="30740"/>
    <s v="15520"/>
    <s v="15220"/>
    <n v="15.22"/>
    <s v="RFID"/>
  </r>
  <r>
    <s v="34066"/>
    <x v="0"/>
    <s v="T290 EHH"/>
    <x v="0"/>
    <x v="0"/>
    <x v="0"/>
    <s v="MT"/>
    <x v="5"/>
    <s v="14/04/2026 04:40:24 PM"/>
    <s v="14/04/2026 04:45:11 PM"/>
    <s v="34800"/>
    <s v="26640"/>
    <s v="8160"/>
    <n v="8.16"/>
    <s v="RFID"/>
  </r>
  <r>
    <s v="34067"/>
    <x v="0"/>
    <s v="T295 EHH"/>
    <x v="0"/>
    <x v="0"/>
    <x v="0"/>
    <s v="MT"/>
    <x v="5"/>
    <s v="14/04/2026 04:53:48 PM"/>
    <s v="14/04/2026 04:59:27 PM"/>
    <s v="33440"/>
    <s v="16000"/>
    <s v="17440"/>
    <n v="17.440000000000001"/>
    <s v="RFID"/>
  </r>
  <r>
    <s v="34068"/>
    <x v="0"/>
    <s v="T290 EHH"/>
    <x v="0"/>
    <x v="0"/>
    <x v="0"/>
    <s v="MT"/>
    <x v="5"/>
    <s v="14/04/2026 04:58:11 PM"/>
    <s v="14/04/2026 05:02:47 PM"/>
    <s v="39340"/>
    <s v="28640"/>
    <s v="10700"/>
    <n v="10.7"/>
    <s v="RFID"/>
  </r>
  <r>
    <s v="34069"/>
    <x v="0"/>
    <s v="T311 EHH"/>
    <x v="0"/>
    <x v="0"/>
    <x v="0"/>
    <s v="MT"/>
    <x v="5"/>
    <s v="14/04/2026 05:05:57 PM"/>
    <s v="14/04/2026 05:15:33 PM"/>
    <s v="36900"/>
    <s v="17900"/>
    <s v="19000"/>
    <n v="19"/>
    <s v="RFID"/>
  </r>
  <r>
    <s v="34070"/>
    <x v="0"/>
    <s v="T295 EHH"/>
    <x v="0"/>
    <x v="0"/>
    <x v="0"/>
    <s v="MT"/>
    <x v="5"/>
    <s v="14/04/2026 05:11:53 PM"/>
    <s v="14/04/2026 05:17:43 PM"/>
    <s v="33200"/>
    <s v="16040"/>
    <s v="17160"/>
    <n v="17.16"/>
    <s v="RFID"/>
  </r>
  <r>
    <s v="34071"/>
    <x v="0"/>
    <s v="T290 EHH"/>
    <x v="0"/>
    <x v="0"/>
    <x v="0"/>
    <s v="MT"/>
    <x v="5"/>
    <s v="14/04/2026 05:14:27 PM"/>
    <s v="14/04/2026 05:19:44 PM"/>
    <s v="37520"/>
    <s v="29400"/>
    <s v="8120"/>
    <n v="8.1199999999999992"/>
    <s v="RFID"/>
  </r>
  <r>
    <s v="34072"/>
    <x v="0"/>
    <s v="T311 EHH"/>
    <x v="0"/>
    <x v="0"/>
    <x v="0"/>
    <s v="MT"/>
    <x v="5"/>
    <s v="14/04/2026 05:24:54 PM"/>
    <s v="14/04/2026 05:31:34 PM"/>
    <s v="35980"/>
    <s v="16940"/>
    <s v="19040"/>
    <n v="19.04"/>
    <s v="RFID"/>
  </r>
  <r>
    <s v="34073"/>
    <x v="0"/>
    <s v="T295 EHH"/>
    <x v="0"/>
    <x v="0"/>
    <x v="0"/>
    <s v="MT"/>
    <x v="5"/>
    <s v="14/04/2026 05:30:06 PM"/>
    <s v="14/04/2026 05:35:35 PM"/>
    <s v="33340"/>
    <s v="16760"/>
    <s v="16580"/>
    <n v="16.579999999999998"/>
    <s v="RFID"/>
  </r>
  <r>
    <s v="34074"/>
    <x v="0"/>
    <s v="T290 EHH"/>
    <x v="0"/>
    <x v="0"/>
    <x v="0"/>
    <s v="MT"/>
    <x v="5"/>
    <s v="14/04/2026 05:33:26 PM"/>
    <s v="14/04/2026 05:38:53 PM"/>
    <s v="39000"/>
    <s v="25660"/>
    <s v="13340"/>
    <n v="13.34"/>
    <s v="RFID"/>
  </r>
  <r>
    <s v="34075"/>
    <x v="0"/>
    <s v="T311 EHH"/>
    <x v="0"/>
    <x v="0"/>
    <x v="0"/>
    <s v="MT"/>
    <x v="5"/>
    <s v="14/04/2026 05:39:58 PM"/>
    <s v="14/04/2026 05:46:53 PM"/>
    <s v="36860"/>
    <s v="17100"/>
    <s v="19760"/>
    <n v="19.760000000000002"/>
    <s v="RFID"/>
  </r>
  <r>
    <s v="34076"/>
    <x v="0"/>
    <s v="T295 EHH"/>
    <x v="0"/>
    <x v="0"/>
    <x v="0"/>
    <s v="MT"/>
    <x v="5"/>
    <s v="14/04/2026 05:45:35 PM"/>
    <s v="14/04/2026 05:53:18 PM"/>
    <s v="33560"/>
    <s v="17220"/>
    <s v="16340"/>
    <n v="16.34"/>
    <s v="RFID"/>
  </r>
  <r>
    <s v="34077"/>
    <x v="0"/>
    <s v="T290 EHH"/>
    <x v="0"/>
    <x v="0"/>
    <x v="0"/>
    <s v="MT"/>
    <x v="5"/>
    <s v="14/04/2026 05:50:20 PM"/>
    <s v="14/04/2026 05:57:18 PM"/>
    <s v="40360"/>
    <s v="26200"/>
    <s v="14160"/>
    <n v="14.16"/>
    <s v="RFID"/>
  </r>
  <r>
    <s v="34078"/>
    <x v="0"/>
    <s v="T311 EHH"/>
    <x v="0"/>
    <x v="0"/>
    <x v="0"/>
    <s v="MT"/>
    <x v="5"/>
    <s v="14/04/2026 05:58:29 PM"/>
    <s v="14/04/2026 06:03:27 PM"/>
    <s v="36980"/>
    <s v="17500"/>
    <s v="19480"/>
    <n v="19.48"/>
    <s v="RFID"/>
  </r>
  <r>
    <s v="34079"/>
    <x v="0"/>
    <s v="T295 EHH"/>
    <x v="0"/>
    <x v="4"/>
    <x v="0"/>
    <s v="MT"/>
    <x v="5"/>
    <s v="14/04/2026 06:23:16 PM"/>
    <s v="14/04/2026 06:38:40 PM"/>
    <s v="41780"/>
    <s v="15000"/>
    <s v="26780"/>
    <n v="26.78"/>
    <s v="RFID"/>
  </r>
  <r>
    <s v="34080"/>
    <x v="0"/>
    <s v="T299 EHH"/>
    <x v="0"/>
    <x v="4"/>
    <x v="0"/>
    <s v="MT"/>
    <x v="5"/>
    <s v="14/04/2026 06:26:47 PM"/>
    <s v="14/04/2026 06:40:30 PM"/>
    <s v="38580"/>
    <s v="16320"/>
    <s v="22260"/>
    <n v="22.26"/>
    <s v="RFID"/>
  </r>
  <r>
    <s v="34081"/>
    <x v="0"/>
    <s v="T290 EHH"/>
    <x v="0"/>
    <x v="4"/>
    <x v="0"/>
    <s v="MT"/>
    <x v="5"/>
    <s v="14/04/2026 06:28:09 PM"/>
    <s v="14/04/2026 06:43:02 PM"/>
    <s v="36860"/>
    <s v="15940"/>
    <s v="20920"/>
    <n v="20.92"/>
    <s v="RFID"/>
  </r>
  <r>
    <s v="34082"/>
    <x v="0"/>
    <s v="T311 EHH"/>
    <x v="0"/>
    <x v="4"/>
    <x v="0"/>
    <s v="MT"/>
    <x v="5"/>
    <s v="14/04/2026 06:30:28 PM"/>
    <s v="14/04/2026 06:47:37 PM"/>
    <s v="37100"/>
    <s v="16520"/>
    <s v="20580"/>
    <n v="20.58"/>
    <s v="RFID"/>
  </r>
  <r>
    <s v="34083"/>
    <x v="0"/>
    <s v="T295 EHH"/>
    <x v="0"/>
    <x v="4"/>
    <x v="0"/>
    <s v="MT"/>
    <x v="5"/>
    <s v="14/04/2026 06:59:27 PM"/>
    <s v="14/04/2026 07:15:41 PM"/>
    <s v="36520"/>
    <s v="15040"/>
    <s v="21480"/>
    <n v="21.48"/>
    <s v="RFID"/>
  </r>
  <r>
    <s v="34084"/>
    <x v="0"/>
    <s v="T299 EHH"/>
    <x v="0"/>
    <x v="4"/>
    <x v="0"/>
    <s v="MT"/>
    <x v="5"/>
    <s v="14/04/2026 07:01:49 PM"/>
    <s v="14/04/2026 07:24:56 PM"/>
    <s v="36840"/>
    <s v="16360"/>
    <s v="20480"/>
    <n v="20.48"/>
    <s v="RFID"/>
  </r>
  <r>
    <s v="34085"/>
    <x v="0"/>
    <s v="T290 EHH"/>
    <x v="0"/>
    <x v="4"/>
    <x v="0"/>
    <s v="MT"/>
    <x v="5"/>
    <s v="14/04/2026 07:03:39 PM"/>
    <s v="14/04/2026 07:19:29 PM"/>
    <s v="36840"/>
    <s v="16120"/>
    <s v="20720"/>
    <n v="20.72"/>
    <s v="RFID"/>
  </r>
  <r>
    <s v="34086"/>
    <x v="0"/>
    <s v="T311 EHH"/>
    <x v="0"/>
    <x v="4"/>
    <x v="0"/>
    <s v="MT"/>
    <x v="5"/>
    <s v="14/04/2026 07:06:58 PM"/>
    <s v="14/04/2026 07:20:24 PM"/>
    <s v="38720"/>
    <s v="17280"/>
    <s v="21440"/>
    <n v="21.44"/>
    <s v="RFID"/>
  </r>
  <r>
    <s v="34087"/>
    <x v="0"/>
    <s v="T312 EHH"/>
    <x v="0"/>
    <x v="5"/>
    <x v="0"/>
    <s v="MT"/>
    <x v="5"/>
    <s v="14/04/2026 09:08:06 PM"/>
    <s v="14/04/2026 09:16:43 PM"/>
    <s v="37760"/>
    <s v="15860"/>
    <s v="21900"/>
    <n v="21.9"/>
    <s v="RFID"/>
  </r>
  <r>
    <s v="34088"/>
    <x v="0"/>
    <s v="T299 EHH"/>
    <x v="0"/>
    <x v="5"/>
    <x v="0"/>
    <s v="MT"/>
    <x v="5"/>
    <s v="14/04/2026 09:11:06 PM"/>
    <s v="14/04/2026 09:18:29 PM"/>
    <s v="37100"/>
    <s v="16560"/>
    <s v="20540"/>
    <n v="20.54"/>
    <s v="RFID"/>
  </r>
  <r>
    <s v="34089"/>
    <x v="0"/>
    <s v="T311 EHH"/>
    <x v="0"/>
    <x v="5"/>
    <x v="0"/>
    <s v="MT"/>
    <x v="5"/>
    <s v="14/04/2026 09:12:27 PM"/>
    <s v="14/04/2026 09:19:53 PM"/>
    <s v="37580"/>
    <s v="17240"/>
    <s v="20340"/>
    <n v="20.34"/>
    <s v="RFID"/>
  </r>
  <r>
    <s v="34090"/>
    <x v="0"/>
    <s v="T290 EHH"/>
    <x v="0"/>
    <x v="5"/>
    <x v="0"/>
    <s v="MT"/>
    <x v="5"/>
    <s v="14/04/2026 09:15:37 PM"/>
    <s v="14/04/2026 09:25:36 PM"/>
    <s v="37200"/>
    <s v="16500"/>
    <s v="20700"/>
    <n v="20.7"/>
    <s v="RFID"/>
  </r>
  <r>
    <s v="34091"/>
    <x v="0"/>
    <s v="T299 EHH"/>
    <x v="0"/>
    <x v="5"/>
    <x v="0"/>
    <s v="MT"/>
    <x v="5"/>
    <s v="14/04/2026 09:40:13 PM"/>
    <s v="14/04/2026 09:46:28 PM"/>
    <s v="40400"/>
    <s v="16680"/>
    <s v="23720"/>
    <n v="23.72"/>
    <s v="RFID"/>
  </r>
  <r>
    <s v="34092"/>
    <x v="0"/>
    <s v="T311 EHH"/>
    <x v="0"/>
    <x v="5"/>
    <x v="0"/>
    <s v="MT"/>
    <x v="5"/>
    <s v="14/04/2026 09:49:05 PM"/>
    <s v="14/04/2026 09:54:09 PM"/>
    <s v="37680"/>
    <s v="17360"/>
    <s v="20320"/>
    <n v="20.32"/>
    <s v="RFID"/>
  </r>
  <r>
    <s v="34093"/>
    <x v="0"/>
    <s v="T290 EHH"/>
    <x v="0"/>
    <x v="5"/>
    <x v="0"/>
    <s v="MT"/>
    <x v="5"/>
    <s v="14/04/2026 09:50:05 PM"/>
    <s v="14/04/2026 09:55:58 PM"/>
    <s v="36380"/>
    <s v="16860"/>
    <s v="19520"/>
    <n v="19.52"/>
    <s v="RFID"/>
  </r>
  <r>
    <s v="34094"/>
    <x v="0"/>
    <s v="T312 EHH"/>
    <x v="0"/>
    <x v="5"/>
    <x v="0"/>
    <s v="MT"/>
    <x v="5"/>
    <s v="14/04/2026 09:52:49 PM"/>
    <s v="14/04/2026 09:58:19 PM"/>
    <s v="40220"/>
    <s v="16080"/>
    <s v="24140"/>
    <n v="24.14"/>
    <s v="RFID"/>
  </r>
  <r>
    <s v="34095"/>
    <x v="0"/>
    <s v="T295 EHH"/>
    <x v="0"/>
    <x v="5"/>
    <x v="0"/>
    <s v="MT"/>
    <x v="5"/>
    <s v="14/04/2026 10:09:12 PM"/>
    <s v="14/04/2026 10:14:23 PM"/>
    <s v="35600"/>
    <s v="15120"/>
    <s v="20480"/>
    <n v="20.48"/>
    <s v="RFID"/>
  </r>
  <r>
    <s v="34096"/>
    <x v="0"/>
    <s v="T299 EHH"/>
    <x v="0"/>
    <x v="5"/>
    <x v="0"/>
    <s v="MT"/>
    <x v="5"/>
    <s v="14/04/2026 10:36:32 PM"/>
    <s v="14/04/2026 10:43:29 PM"/>
    <s v="40340"/>
    <s v="16620"/>
    <s v="23720"/>
    <n v="23.72"/>
    <s v="RFID"/>
  </r>
  <r>
    <s v="34097"/>
    <x v="0"/>
    <s v="T290 EHH"/>
    <x v="0"/>
    <x v="5"/>
    <x v="0"/>
    <s v="MT"/>
    <x v="5"/>
    <s v="14/04/2026 10:37:29 PM"/>
    <s v="14/04/2026 10:44:21 PM"/>
    <s v="34800"/>
    <s v="17060"/>
    <s v="17740"/>
    <n v="17.739999999999998"/>
    <s v="RFID"/>
  </r>
  <r>
    <s v="34098"/>
    <x v="0"/>
    <s v="T293 EHH"/>
    <x v="0"/>
    <x v="5"/>
    <x v="0"/>
    <s v="MT"/>
    <x v="5"/>
    <s v="14/04/2026 10:38:31 PM"/>
    <s v="14/04/2026 10:46:59 PM"/>
    <s v="39300"/>
    <s v="15740"/>
    <s v="23560"/>
    <n v="23.56"/>
    <s v="RFID"/>
  </r>
  <r>
    <s v="34099"/>
    <x v="0"/>
    <s v="T311 EHH"/>
    <x v="0"/>
    <x v="5"/>
    <x v="0"/>
    <s v="MT"/>
    <x v="5"/>
    <s v="14/04/2026 10:39:37 PM"/>
    <s v="14/04/2026 10:48:15 PM"/>
    <s v="36600"/>
    <s v="17300"/>
    <s v="19300"/>
    <n v="19.3"/>
    <s v="RFID"/>
  </r>
  <r>
    <s v="34100"/>
    <x v="0"/>
    <s v="T312 EHH"/>
    <x v="0"/>
    <x v="5"/>
    <x v="0"/>
    <s v="MT"/>
    <x v="5"/>
    <s v="14/04/2026 10:40:35 PM"/>
    <s v="14/04/2026 10:49:59 PM"/>
    <s v="36980"/>
    <s v="16000"/>
    <s v="20980"/>
    <n v="20.98"/>
    <s v="RFID"/>
  </r>
  <r>
    <s v="34101"/>
    <x v="0"/>
    <s v="T299 EHH"/>
    <x v="1"/>
    <x v="3"/>
    <x v="0"/>
    <s v="MT"/>
    <x v="5"/>
    <s v="14/04/2026 11:05:25 PM"/>
    <s v="14/04/2026 11:15:16 PM"/>
    <s v="35220"/>
    <s v="16740"/>
    <s v="18480"/>
    <n v="18.48"/>
    <s v="RFID"/>
  </r>
  <r>
    <s v="34102"/>
    <x v="0"/>
    <s v="T290 EHH"/>
    <x v="1"/>
    <x v="3"/>
    <x v="0"/>
    <s v="MT"/>
    <x v="5"/>
    <s v="14/04/2026 11:10:38 PM"/>
    <s v="14/04/2026 11:17:07 PM"/>
    <s v="34860"/>
    <s v="16620"/>
    <s v="18240"/>
    <n v="18.239999999999998"/>
    <s v="RFID"/>
  </r>
  <r>
    <s v="34103"/>
    <x v="0"/>
    <s v="T311 EHH"/>
    <x v="1"/>
    <x v="3"/>
    <x v="0"/>
    <s v="MT"/>
    <x v="5"/>
    <s v="14/04/2026 11:16:13 PM"/>
    <s v="14/04/2026 11:22:41 PM"/>
    <s v="33100"/>
    <s v="16540"/>
    <s v="16560"/>
    <n v="16.559999999999999"/>
    <s v="RFID"/>
  </r>
  <r>
    <s v="34104"/>
    <x v="0"/>
    <s v="T312 EHH"/>
    <x v="0"/>
    <x v="2"/>
    <x v="0"/>
    <s v="MT"/>
    <x v="5"/>
    <s v="14/04/2026 11:21:02 PM"/>
    <s v="14/04/2026 11:28:14 PM"/>
    <s v="40900"/>
    <s v="16080"/>
    <s v="24820"/>
    <n v="24.82"/>
    <s v="RFID"/>
  </r>
  <r>
    <s v="34105"/>
    <x v="0"/>
    <s v="T299 EHH"/>
    <x v="0"/>
    <x v="2"/>
    <x v="0"/>
    <s v="MT"/>
    <x v="5"/>
    <s v="14/04/2026 11:25:48 PM"/>
    <s v="15/04/2026 12:57:35 AM"/>
    <s v="41420"/>
    <s v="16740"/>
    <s v="24680"/>
    <n v="24.68"/>
    <s v="RFID"/>
  </r>
  <r>
    <s v="34106"/>
    <x v="0"/>
    <s v="T290 EHH"/>
    <x v="0"/>
    <x v="2"/>
    <x v="0"/>
    <s v="MT"/>
    <x v="5"/>
    <s v="14/04/2026 11:36:11 PM"/>
    <s v="15/04/2026 01:02:21 AM"/>
    <s v="38520"/>
    <s v="16220"/>
    <s v="22300"/>
    <n v="22.3"/>
    <s v="RFID"/>
  </r>
  <r>
    <s v="34107"/>
    <x v="0"/>
    <s v="T311 EHH"/>
    <x v="0"/>
    <x v="2"/>
    <x v="0"/>
    <s v="MT"/>
    <x v="5"/>
    <s v="14/04/2026 11:40:49 PM"/>
    <s v="15/04/2026 12:59:16 AM"/>
    <s v="39460"/>
    <s v="16740"/>
    <s v="22720"/>
    <n v="22.72"/>
    <s v="RFID"/>
  </r>
  <r>
    <s v="34108"/>
    <x v="0"/>
    <s v="T312 EHH"/>
    <x v="0"/>
    <x v="2"/>
    <x v="0"/>
    <s v="MT"/>
    <x v="5"/>
    <s v="14/04/2026 11:46:39 PM"/>
    <s v="15/04/2026 01:03:52 AM"/>
    <s v="41400"/>
    <s v="16160"/>
    <s v="25240"/>
    <n v="25.24"/>
    <s v="RFID"/>
  </r>
  <r>
    <s v="34109"/>
    <x v="0"/>
    <s v="T299 EHH"/>
    <x v="0"/>
    <x v="2"/>
    <x v="0"/>
    <s v="MT"/>
    <x v="6"/>
    <s v="15/04/2026 01:11:19 AM"/>
    <s v="15/04/2026 01:16:41 AM"/>
    <s v="38900"/>
    <s v="16760"/>
    <s v="22140"/>
    <n v="22.14"/>
    <s v="RFID"/>
  </r>
  <r>
    <s v="34110"/>
    <x v="0"/>
    <s v="T311 EHH"/>
    <x v="0"/>
    <x v="2"/>
    <x v="0"/>
    <s v="MT"/>
    <x v="6"/>
    <s v="15/04/2026 01:18:11 AM"/>
    <s v="15/04/2026 01:23:46 AM"/>
    <s v="37320"/>
    <s v="16940"/>
    <s v="20380"/>
    <n v="20.38"/>
    <s v="RFID"/>
  </r>
  <r>
    <s v="34111"/>
    <x v="0"/>
    <s v="T290 EHH"/>
    <x v="0"/>
    <x v="2"/>
    <x v="0"/>
    <s v="MT"/>
    <x v="6"/>
    <s v="15/04/2026 01:22:33 AM"/>
    <s v="15/04/2026 01:29:18 AM"/>
    <s v="35640"/>
    <s v="17160"/>
    <s v="18480"/>
    <n v="18.48"/>
    <s v="RFID"/>
  </r>
  <r>
    <s v="34112"/>
    <x v="0"/>
    <s v="T312 EHH"/>
    <x v="0"/>
    <x v="2"/>
    <x v="0"/>
    <s v="MT"/>
    <x v="6"/>
    <s v="15/04/2026 01:26:05 AM"/>
    <s v="15/04/2026 01:31:57 AM"/>
    <s v="36900"/>
    <s v="16200"/>
    <s v="20700"/>
    <n v="20.7"/>
    <s v="RFID"/>
  </r>
  <r>
    <s v="34113"/>
    <x v="0"/>
    <s v="T299 EHH"/>
    <x v="0"/>
    <x v="2"/>
    <x v="0"/>
    <s v="MT"/>
    <x v="6"/>
    <s v="15/04/2026 01:30:44 AM"/>
    <s v="15/04/2026 01:36:38 AM"/>
    <s v="35480"/>
    <s v="16740"/>
    <s v="18740"/>
    <n v="18.739999999999998"/>
    <s v="RFID"/>
  </r>
  <r>
    <s v="34114"/>
    <x v="0"/>
    <s v="T311 EHH"/>
    <x v="0"/>
    <x v="2"/>
    <x v="0"/>
    <s v="MT"/>
    <x v="6"/>
    <s v="15/04/2026 01:34:04 AM"/>
    <s v="15/04/2026 02:01:06 AM"/>
    <s v="37480"/>
    <s v="17860"/>
    <s v="19620"/>
    <n v="19.62"/>
    <s v="RFID"/>
  </r>
  <r>
    <s v="34115"/>
    <x v="0"/>
    <s v="T290 EHH"/>
    <x v="0"/>
    <x v="2"/>
    <x v="0"/>
    <s v="MT"/>
    <x v="6"/>
    <s v="15/04/2026 01:39:30 AM"/>
    <s v="15/04/2026 02:05:03 AM"/>
    <s v="38720"/>
    <s v="16640"/>
    <s v="22080"/>
    <n v="22.08"/>
    <s v="RFID"/>
  </r>
  <r>
    <s v="34116"/>
    <x v="0"/>
    <s v="T312 EHH"/>
    <x v="0"/>
    <x v="2"/>
    <x v="0"/>
    <s v="MT"/>
    <x v="6"/>
    <s v="15/04/2026 01:44:32 AM"/>
    <s v="15/04/2026 02:07:04 AM"/>
    <s v="39520"/>
    <s v="16580"/>
    <s v="22940"/>
    <n v="22.94"/>
    <s v="RFID"/>
  </r>
  <r>
    <s v="34117"/>
    <x v="0"/>
    <s v="T299 EHH"/>
    <x v="0"/>
    <x v="2"/>
    <x v="0"/>
    <s v="MT"/>
    <x v="6"/>
    <s v="15/04/2026 01:49:35 AM"/>
    <s v="15/04/2026 02:09:35 AM"/>
    <s v="37280"/>
    <s v="16800"/>
    <s v="20480"/>
    <n v="20.48"/>
    <s v="RFID"/>
  </r>
  <r>
    <s v="34118"/>
    <x v="0"/>
    <s v="T311 EHH"/>
    <x v="0"/>
    <x v="2"/>
    <x v="0"/>
    <s v="MT"/>
    <x v="6"/>
    <s v="15/04/2026 02:11:07 AM"/>
    <s v="15/04/2026 02:16:05 AM"/>
    <s v="37860"/>
    <s v="18680"/>
    <s v="19180"/>
    <n v="19.18"/>
    <s v="RFID"/>
  </r>
  <r>
    <s v="34119"/>
    <x v="0"/>
    <s v="T312 EHH"/>
    <x v="0"/>
    <x v="2"/>
    <x v="0"/>
    <s v="MT"/>
    <x v="6"/>
    <s v="15/04/2026 02:14:57 AM"/>
    <s v="15/04/2026 02:20:01 AM"/>
    <s v="35140"/>
    <s v="17240"/>
    <s v="17900"/>
    <n v="17.899999999999999"/>
    <s v="RFID"/>
  </r>
  <r>
    <s v="34120"/>
    <x v="0"/>
    <s v="T299 EHH"/>
    <x v="0"/>
    <x v="2"/>
    <x v="0"/>
    <s v="MT"/>
    <x v="6"/>
    <s v="15/04/2026 02:21:45 AM"/>
    <s v="15/04/2026 02:26:48 AM"/>
    <s v="36340"/>
    <s v="16800"/>
    <s v="19540"/>
    <n v="19.54"/>
    <s v="RFID"/>
  </r>
  <r>
    <s v="34121"/>
    <x v="0"/>
    <s v="T311 EHH"/>
    <x v="0"/>
    <x v="2"/>
    <x v="0"/>
    <s v="MT"/>
    <x v="6"/>
    <s v="15/04/2026 02:25:24 AM"/>
    <s v="15/04/2026 02:31:21 AM"/>
    <s v="37920"/>
    <s v="17160"/>
    <s v="20760"/>
    <n v="20.76"/>
    <s v="RFID"/>
  </r>
  <r>
    <s v="34122"/>
    <x v="0"/>
    <s v="T290 EHH"/>
    <x v="0"/>
    <x v="2"/>
    <x v="0"/>
    <s v="MT"/>
    <x v="6"/>
    <s v="15/04/2026 02:30:02 AM"/>
    <s v="15/04/2026 02:36:44 AM"/>
    <s v="36160"/>
    <s v="17040"/>
    <s v="19120"/>
    <n v="19.12"/>
    <s v="RFID"/>
  </r>
  <r>
    <s v="34123"/>
    <x v="0"/>
    <s v="T312 EHH"/>
    <x v="0"/>
    <x v="2"/>
    <x v="0"/>
    <s v="MT"/>
    <x v="6"/>
    <s v="15/04/2026 02:38:04 AM"/>
    <s v="15/04/2026 02:42:46 AM"/>
    <s v="36200"/>
    <s v="17440"/>
    <s v="18760"/>
    <n v="18.760000000000002"/>
    <s v="RFID"/>
  </r>
  <r>
    <s v="34124"/>
    <x v="0"/>
    <s v="T311 EHH"/>
    <x v="1"/>
    <x v="3"/>
    <x v="0"/>
    <s v="MT"/>
    <x v="6"/>
    <s v="15/04/2026 03:01:23 AM"/>
    <s v="15/04/2026 03:07:15 AM"/>
    <s v="36060"/>
    <s v="17340"/>
    <s v="18720"/>
    <n v="18.72"/>
    <s v="RFID"/>
  </r>
  <r>
    <s v="34125"/>
    <x v="0"/>
    <s v="T312 EHH"/>
    <x v="1"/>
    <x v="3"/>
    <x v="0"/>
    <s v="MT"/>
    <x v="6"/>
    <s v="15/04/2026 03:05:51 AM"/>
    <s v="15/04/2026 03:13:03 AM"/>
    <s v="37960"/>
    <s v="18040"/>
    <s v="19920"/>
    <n v="19.920000000000002"/>
    <s v="RFID"/>
  </r>
  <r>
    <s v="34126"/>
    <x v="0"/>
    <s v="T299 EHH"/>
    <x v="1"/>
    <x v="3"/>
    <x v="0"/>
    <s v="MT"/>
    <x v="6"/>
    <s v="15/04/2026 03:09:47 AM"/>
    <s v="15/04/2026 03:14:42 AM"/>
    <s v="38740"/>
    <s v="16920"/>
    <s v="21820"/>
    <n v="21.82"/>
    <s v="RFID"/>
  </r>
  <r>
    <s v="34127"/>
    <x v="0"/>
    <s v="T290 EHH"/>
    <x v="1"/>
    <x v="3"/>
    <x v="0"/>
    <s v="MT"/>
    <x v="6"/>
    <s v="15/04/2026 03:16:01 AM"/>
    <s v="15/04/2026 03:22:44 AM"/>
    <s v="38380"/>
    <s v="17940"/>
    <s v="20440"/>
    <n v="20.440000000000001"/>
    <s v="RFID"/>
  </r>
  <r>
    <s v="34128"/>
    <x v="0"/>
    <s v="T311 EHH"/>
    <x v="1"/>
    <x v="3"/>
    <x v="0"/>
    <s v="MT"/>
    <x v="6"/>
    <s v="15/04/2026 03:18:40 AM"/>
    <s v="15/04/2026 04:41:51 AM"/>
    <s v="35420"/>
    <s v="17660"/>
    <s v="17760"/>
    <n v="17.760000000000002"/>
    <s v="RFID"/>
  </r>
  <r>
    <s v="34129"/>
    <x v="0"/>
    <s v="T312 EHH"/>
    <x v="1"/>
    <x v="3"/>
    <x v="0"/>
    <s v="MT"/>
    <x v="6"/>
    <s v="15/04/2026 03:21:36 AM"/>
    <s v="15/04/2026 04:59:10 AM"/>
    <s v="36040"/>
    <s v="18520"/>
    <s v="17520"/>
    <n v="17.52"/>
    <s v="RFID"/>
  </r>
  <r>
    <s v="34130"/>
    <x v="0"/>
    <s v="T299 EHH"/>
    <x v="1"/>
    <x v="3"/>
    <x v="0"/>
    <s v="MT"/>
    <x v="6"/>
    <s v="15/04/2026 03:26:58 AM"/>
    <s v="15/04/2026 04:50:43 AM"/>
    <s v="37800"/>
    <s v="17120"/>
    <s v="20680"/>
    <n v="20.68"/>
    <s v="RFID"/>
  </r>
  <r>
    <s v="34131"/>
    <x v="0"/>
    <s v="T290 EHH"/>
    <x v="1"/>
    <x v="3"/>
    <x v="0"/>
    <s v="MT"/>
    <x v="6"/>
    <s v="15/04/2026 03:31:35 AM"/>
    <s v="15/04/2026 04:48:01 AM"/>
    <s v="37520"/>
    <s v="20280"/>
    <s v="17240"/>
    <n v="17.239999999999998"/>
    <s v="RFID"/>
  </r>
  <r>
    <s v="34132"/>
    <x v="0"/>
    <s v="T311 EHH"/>
    <x v="1"/>
    <x v="3"/>
    <x v="0"/>
    <s v="MT"/>
    <x v="6"/>
    <s v="15/04/2026 04:52:17 AM"/>
    <s v="15/04/2026 04:56:47 AM"/>
    <s v="33520"/>
    <s v="19140"/>
    <s v="14380"/>
    <n v="14.38"/>
    <s v="RFID"/>
  </r>
  <r>
    <s v="34133"/>
    <x v="0"/>
    <s v="T290 EHH"/>
    <x v="1"/>
    <x v="3"/>
    <x v="0"/>
    <s v="MT"/>
    <x v="6"/>
    <s v="15/04/2026 05:00:15 AM"/>
    <s v="15/04/2026 05:07:14 AM"/>
    <s v="35340"/>
    <s v="18720"/>
    <s v="16620"/>
    <n v="16.62"/>
    <s v="RFID"/>
  </r>
  <r>
    <s v="34134"/>
    <x v="0"/>
    <s v="T299 EHH"/>
    <x v="1"/>
    <x v="3"/>
    <x v="0"/>
    <s v="MT"/>
    <x v="6"/>
    <s v="15/04/2026 05:03:52 AM"/>
    <s v="15/04/2026 05:11:49 AM"/>
    <s v="34920"/>
    <s v="18440"/>
    <s v="16480"/>
    <n v="16.48"/>
    <s v="RFID"/>
  </r>
  <r>
    <s v="34135"/>
    <x v="0"/>
    <s v="T311 EHH"/>
    <x v="1"/>
    <x v="3"/>
    <x v="0"/>
    <s v="MT"/>
    <x v="6"/>
    <s v="15/04/2026 05:13:02 AM"/>
    <s v="15/04/2026 05:17:35 AM"/>
    <s v="34740"/>
    <s v="16680"/>
    <s v="18060"/>
    <n v="18.059999999999999"/>
    <s v="RFID"/>
  </r>
  <r>
    <s v="34136"/>
    <x v="0"/>
    <s v="T312 EHH"/>
    <x v="1"/>
    <x v="3"/>
    <x v="0"/>
    <s v="MT"/>
    <x v="6"/>
    <s v="15/04/2026 05:14:30 AM"/>
    <s v="15/04/2026 05:52:10 AM"/>
    <s v="38000"/>
    <s v="22040"/>
    <s v="15960"/>
    <n v="15.96"/>
    <s v="RFID"/>
  </r>
  <r>
    <s v="34137"/>
    <x v="0"/>
    <s v="T290 EHH"/>
    <x v="1"/>
    <x v="3"/>
    <x v="0"/>
    <s v="MT"/>
    <x v="6"/>
    <s v="15/04/2026 05:20:49 AM"/>
    <s v="15/04/2026 07:25:45 AM"/>
    <s v="36660"/>
    <s v="19580"/>
    <s v="17080"/>
    <n v="17.079999999999998"/>
    <s v="RFID"/>
  </r>
  <r>
    <s v="34138"/>
    <x v="0"/>
    <s v="T299 EHH"/>
    <x v="1"/>
    <x v="3"/>
    <x v="0"/>
    <s v="MT"/>
    <x v="6"/>
    <s v="15/04/2026 05:29:09 AM"/>
    <s v="15/04/2026 05:34:55 AM"/>
    <s v="38420"/>
    <s v="18320"/>
    <s v="20100"/>
    <n v="20.100000000000001"/>
    <s v="RFID"/>
  </r>
  <r>
    <s v="34139"/>
    <x v="0"/>
    <s v="T311 EHH"/>
    <x v="1"/>
    <x v="3"/>
    <x v="0"/>
    <s v="MT"/>
    <x v="6"/>
    <s v="15/04/2026 05:32:01 AM"/>
    <s v="15/04/2026 07:24:39 AM"/>
    <s v="33120"/>
    <s v="17040"/>
    <s v="16080"/>
    <n v="16.079999999999998"/>
    <s v="RFID"/>
  </r>
  <r>
    <s v="34140"/>
    <x v="0"/>
    <s v="T293 EHH"/>
    <x v="1"/>
    <x v="3"/>
    <x v="0"/>
    <s v="MT"/>
    <x v="6"/>
    <s v="15/04/2026 05:36:48 AM"/>
    <s v="15/04/2026 07:27:58 AM"/>
    <s v="34560"/>
    <s v="15540"/>
    <s v="19020"/>
    <n v="19.02"/>
    <s v="RFID"/>
  </r>
  <r>
    <s v="34141"/>
    <x v="0"/>
    <s v="T295 EHH"/>
    <x v="1"/>
    <x v="3"/>
    <x v="0"/>
    <s v="MT"/>
    <x v="6"/>
    <s v="15/04/2026 05:42:32 AM"/>
    <s v="15/04/2026 07:32:33 AM"/>
    <s v="31620"/>
    <s v="15260"/>
    <s v="16360"/>
    <n v="16.36"/>
    <s v="RFID"/>
  </r>
  <r>
    <s v="34142"/>
    <x v="0"/>
    <s v="T293 EHH"/>
    <x v="0"/>
    <x v="0"/>
    <x v="0"/>
    <s v="MT"/>
    <x v="6"/>
    <s v="15/04/2026 09:08:53 AM"/>
    <s v="15/04/2026 09:15:47 AM"/>
    <s v="40880"/>
    <s v="15780"/>
    <s v="25100"/>
    <n v="25.1"/>
    <s v="RFID"/>
  </r>
  <r>
    <s v="34143"/>
    <x v="0"/>
    <s v="T299 EHH"/>
    <x v="0"/>
    <x v="0"/>
    <x v="0"/>
    <s v="MT"/>
    <x v="6"/>
    <s v="15/04/2026 09:12:09 AM"/>
    <s v="15/04/2026 09:18:14 AM"/>
    <s v="42240"/>
    <s v="20100"/>
    <s v="22140"/>
    <n v="22.14"/>
    <s v="RFID"/>
  </r>
  <r>
    <s v="34144"/>
    <x v="0"/>
    <s v="T295 EHH"/>
    <x v="1"/>
    <x v="3"/>
    <x v="1"/>
    <s v="MT"/>
    <x v="6"/>
    <s v="15/04/2026 09:50:23 AM"/>
    <s v="15/04/2026 10:00:17 AM"/>
    <s v="35880"/>
    <s v="14820"/>
    <s v="21060"/>
    <n v="21.06"/>
    <s v="RFID"/>
  </r>
  <r>
    <s v="34145"/>
    <x v="0"/>
    <s v="T293 EHH"/>
    <x v="1"/>
    <x v="3"/>
    <x v="1"/>
    <s v="MT"/>
    <x v="6"/>
    <s v="15/04/2026 09:53:59 AM"/>
    <s v="15/04/2026 10:02:20 AM"/>
    <s v="38160"/>
    <s v="15860"/>
    <s v="22300"/>
    <n v="22.3"/>
    <s v="RFID"/>
  </r>
  <r>
    <s v="34146"/>
    <x v="0"/>
    <s v="T299 EHH"/>
    <x v="1"/>
    <x v="3"/>
    <x v="1"/>
    <s v="MT"/>
    <x v="6"/>
    <s v="15/04/2026 09:56:42 AM"/>
    <s v="15/04/2026 10:06:56 AM"/>
    <s v="37540"/>
    <s v="20400"/>
    <s v="17140"/>
    <n v="17.14"/>
    <s v="RFID"/>
  </r>
  <r>
    <s v="34147"/>
    <x v="0"/>
    <s v="T295 EHH"/>
    <x v="1"/>
    <x v="3"/>
    <x v="1"/>
    <s v="MT"/>
    <x v="6"/>
    <s v="15/04/2026 10:05:53 AM"/>
    <s v="15/04/2026 10:11:59 AM"/>
    <s v="37560"/>
    <s v="15040"/>
    <s v="22520"/>
    <n v="22.52"/>
    <s v="RFID"/>
  </r>
  <r>
    <s v="34148"/>
    <x v="0"/>
    <s v="T293 EHH"/>
    <x v="1"/>
    <x v="3"/>
    <x v="1"/>
    <s v="MT"/>
    <x v="6"/>
    <s v="15/04/2026 10:09:39 AM"/>
    <s v="15/04/2026 10:39:31 AM"/>
    <s v="38540"/>
    <s v="16000"/>
    <s v="22540"/>
    <n v="22.54"/>
    <s v="RFID"/>
  </r>
  <r>
    <s v="34149"/>
    <x v="0"/>
    <s v="T299 EHH"/>
    <x v="1"/>
    <x v="3"/>
    <x v="1"/>
    <s v="MT"/>
    <x v="6"/>
    <s v="15/04/2026 10:15:40 AM"/>
    <s v="15/04/2026 10:40:35 AM"/>
    <s v="38740"/>
    <s v="16700"/>
    <s v="22040"/>
    <n v="22.04"/>
    <s v="RFID"/>
  </r>
  <r>
    <s v="34150"/>
    <x v="0"/>
    <s v="T295 EHH"/>
    <x v="1"/>
    <x v="3"/>
    <x v="1"/>
    <s v="MT"/>
    <x v="6"/>
    <s v="15/04/2026 10:19:38 AM"/>
    <s v="15/04/2026 10:50:14 AM"/>
    <s v="39700"/>
    <s v="14960"/>
    <s v="24740"/>
    <n v="24.74"/>
    <s v="RFID"/>
  </r>
  <r>
    <s v="34151"/>
    <x v="0"/>
    <s v="T293 EHH"/>
    <x v="1"/>
    <x v="3"/>
    <x v="1"/>
    <s v="MT"/>
    <x v="6"/>
    <s v="15/04/2026 10:51:15 AM"/>
    <s v="15/04/2026 10:58:35 AM"/>
    <s v="37520"/>
    <s v="17100"/>
    <s v="20420"/>
    <n v="20.420000000000002"/>
    <s v="RFID"/>
  </r>
  <r>
    <s v="34152"/>
    <x v="0"/>
    <s v="T299 EHH"/>
    <x v="1"/>
    <x v="3"/>
    <x v="1"/>
    <s v="MT"/>
    <x v="6"/>
    <s v="15/04/2026 10:53:00 AM"/>
    <s v="15/04/2026 10:59:55 AM"/>
    <s v="39260"/>
    <s v="16680"/>
    <s v="22580"/>
    <n v="22.58"/>
    <s v="RFID"/>
  </r>
  <r>
    <s v="34153"/>
    <x v="0"/>
    <s v="T295 EHH"/>
    <x v="1"/>
    <x v="3"/>
    <x v="1"/>
    <s v="MT"/>
    <x v="6"/>
    <s v="15/04/2026 10:56:30 AM"/>
    <s v="15/04/2026 11:02:44 AM"/>
    <s v="36000"/>
    <s v="14940"/>
    <s v="21060"/>
    <n v="21.06"/>
    <s v="RFID"/>
  </r>
  <r>
    <s v="34154"/>
    <x v="0"/>
    <s v="T293 EHH"/>
    <x v="1"/>
    <x v="3"/>
    <x v="1"/>
    <s v="MT"/>
    <x v="6"/>
    <s v="15/04/2026 11:03:55 AM"/>
    <s v="15/04/2026 11:09:19 AM"/>
    <s v="37400"/>
    <s v="15900"/>
    <s v="21500"/>
    <n v="21.5"/>
    <s v="RFID"/>
  </r>
  <r>
    <s v="34155"/>
    <x v="0"/>
    <s v="T299 EHH"/>
    <x v="1"/>
    <x v="3"/>
    <x v="1"/>
    <s v="MT"/>
    <x v="6"/>
    <s v="15/04/2026 11:07:42 AM"/>
    <s v="15/04/2026 11:14:11 AM"/>
    <s v="36460"/>
    <s v="16780"/>
    <s v="19680"/>
    <n v="19.68"/>
    <s v="RFID"/>
  </r>
  <r>
    <s v="34156"/>
    <x v="0"/>
    <s v="T295 EHH"/>
    <x v="1"/>
    <x v="3"/>
    <x v="1"/>
    <s v="MT"/>
    <x v="6"/>
    <s v="15/04/2026 11:10:41 AM"/>
    <s v="15/04/2026 11:16:25 AM"/>
    <s v="35940"/>
    <s v="15000"/>
    <s v="20940"/>
    <n v="20.94"/>
    <s v="RFID"/>
  </r>
  <r>
    <s v="34157"/>
    <x v="0"/>
    <s v="T293 EHH"/>
    <x v="1"/>
    <x v="3"/>
    <x v="1"/>
    <s v="MT"/>
    <x v="6"/>
    <s v="15/04/2026 11:15:08 AM"/>
    <s v="15/04/2026 11:37:19 AM"/>
    <s v="39260"/>
    <s v="15980"/>
    <s v="23280"/>
    <n v="23.28"/>
    <s v="RFID"/>
  </r>
  <r>
    <s v="34158"/>
    <x v="0"/>
    <s v="T299 EHH"/>
    <x v="1"/>
    <x v="3"/>
    <x v="1"/>
    <s v="MT"/>
    <x v="6"/>
    <s v="15/04/2026 11:30:14 AM"/>
    <s v="15/04/2026 11:38:58 AM"/>
    <s v="37220"/>
    <s v="17080"/>
    <s v="20140"/>
    <n v="20.14"/>
    <s v="RFID"/>
  </r>
  <r>
    <s v="34159"/>
    <x v="0"/>
    <s v="T295 EHH"/>
    <x v="1"/>
    <x v="3"/>
    <x v="1"/>
    <s v="MT"/>
    <x v="6"/>
    <s v="15/04/2026 11:31:27 AM"/>
    <s v="15/04/2026 11:40:28 AM"/>
    <s v="36100"/>
    <s v="15040"/>
    <s v="21060"/>
    <n v="21.06"/>
    <s v="RFID"/>
  </r>
  <r>
    <s v="34160"/>
    <x v="0"/>
    <s v="T293 EHH"/>
    <x v="1"/>
    <x v="3"/>
    <x v="1"/>
    <s v="MT"/>
    <x v="6"/>
    <s v="15/04/2026 11:42:43 AM"/>
    <s v="15/04/2026 12:03:27 PM"/>
    <s v="38300"/>
    <s v="16200"/>
    <s v="22100"/>
    <n v="22.1"/>
    <s v="RFID"/>
  </r>
  <r>
    <s v="34161"/>
    <x v="0"/>
    <s v="T299 EHH"/>
    <x v="1"/>
    <x v="3"/>
    <x v="1"/>
    <s v="MT"/>
    <x v="6"/>
    <s v="15/04/2026 11:45:58 AM"/>
    <s v="15/04/2026 12:07:27 PM"/>
    <s v="36440"/>
    <s v="17020"/>
    <s v="19420"/>
    <n v="19.420000000000002"/>
    <s v="RFID"/>
  </r>
  <r>
    <s v="34162"/>
    <x v="0"/>
    <s v="T295 EHH"/>
    <x v="1"/>
    <x v="3"/>
    <x v="1"/>
    <s v="MT"/>
    <x v="6"/>
    <s v="15/04/2026 11:49:54 AM"/>
    <s v="15/04/2026 12:05:34 PM"/>
    <s v="36160"/>
    <s v="15020"/>
    <s v="21140"/>
    <n v="21.14"/>
    <s v="RFID"/>
  </r>
  <r>
    <s v="34163"/>
    <x v="0"/>
    <s v="T293 EHH"/>
    <x v="1"/>
    <x v="3"/>
    <x v="1"/>
    <s v="MT"/>
    <x v="6"/>
    <s v="15/04/2026 12:10:12 PM"/>
    <s v="15/04/2026 12:28:27 PM"/>
    <s v="38340"/>
    <s v="16100"/>
    <s v="22240"/>
    <n v="22.24"/>
    <s v="RFID"/>
  </r>
  <r>
    <s v="34164"/>
    <x v="0"/>
    <s v="T295 EHH"/>
    <x v="1"/>
    <x v="3"/>
    <x v="1"/>
    <s v="MT"/>
    <x v="6"/>
    <s v="15/04/2026 12:13:34 PM"/>
    <s v="15/04/2026 12:31:13 PM"/>
    <s v="37280"/>
    <s v="15000"/>
    <s v="22280"/>
    <n v="22.28"/>
    <s v="RFID"/>
  </r>
  <r>
    <s v="34165"/>
    <x v="0"/>
    <s v="T299 EHH"/>
    <x v="1"/>
    <x v="3"/>
    <x v="1"/>
    <s v="MT"/>
    <x v="6"/>
    <s v="15/04/2026 12:25:18 PM"/>
    <s v="15/04/2026 12:32:05 PM"/>
    <s v="38180"/>
    <s v="16740"/>
    <s v="21440"/>
    <n v="21.44"/>
    <s v="RFID"/>
  </r>
  <r>
    <s v="34166"/>
    <x v="0"/>
    <s v="T293 EHH"/>
    <x v="1"/>
    <x v="3"/>
    <x v="1"/>
    <s v="MT"/>
    <x v="6"/>
    <s v="15/04/2026 12:33:42 PM"/>
    <s v="15/04/2026 12:38:40 PM"/>
    <s v="39700"/>
    <s v="16040"/>
    <s v="23660"/>
    <n v="23.66"/>
    <s v="RFID"/>
  </r>
  <r>
    <s v="34167"/>
    <x v="0"/>
    <s v="T295 EHH"/>
    <x v="1"/>
    <x v="3"/>
    <x v="1"/>
    <s v="MT"/>
    <x v="6"/>
    <s v="15/04/2026 12:36:38 PM"/>
    <s v="15/04/2026 12:44:33 PM"/>
    <s v="36440"/>
    <s v="15020"/>
    <s v="21420"/>
    <n v="21.42"/>
    <s v="RFID"/>
  </r>
  <r>
    <s v="34168"/>
    <x v="0"/>
    <s v="T299 EHH"/>
    <x v="1"/>
    <x v="3"/>
    <x v="1"/>
    <s v="MT"/>
    <x v="6"/>
    <s v="15/04/2026 12:43:23 PM"/>
    <s v="15/04/2026 12:48:42 PM"/>
    <s v="40220"/>
    <s v="16920"/>
    <s v="23300"/>
    <n v="23.3"/>
    <s v="RFID"/>
  </r>
  <r>
    <s v="34169"/>
    <x v="0"/>
    <s v="T293 EHH"/>
    <x v="1"/>
    <x v="3"/>
    <x v="1"/>
    <s v="MT"/>
    <x v="6"/>
    <s v="15/04/2026 12:45:38 PM"/>
    <s v="15/04/2026 12:50:21 PM"/>
    <s v="42200"/>
    <s v="16120"/>
    <s v="26080"/>
    <n v="26.08"/>
    <s v="RFID"/>
  </r>
  <r>
    <s v="34170"/>
    <x v="0"/>
    <s v="T295 EHH"/>
    <x v="1"/>
    <x v="3"/>
    <x v="1"/>
    <s v="MT"/>
    <x v="6"/>
    <s v="15/04/2026 12:49:28 PM"/>
    <s v="15/04/2026 12:56:45 PM"/>
    <s v="35820"/>
    <s v="15060"/>
    <s v="20760"/>
    <n v="20.76"/>
    <s v="RFID"/>
  </r>
  <r>
    <s v="34171"/>
    <x v="0"/>
    <s v="T299 EHH"/>
    <x v="1"/>
    <x v="3"/>
    <x v="1"/>
    <s v="MT"/>
    <x v="6"/>
    <s v="15/04/2026 12:55:59 PM"/>
    <s v="15/04/2026 01:00:47 PM"/>
    <s v="39820"/>
    <s v="17120"/>
    <s v="22700"/>
    <n v="22.7"/>
    <s v="RFID"/>
  </r>
  <r>
    <s v="34172"/>
    <x v="0"/>
    <s v="T293 EHH"/>
    <x v="1"/>
    <x v="3"/>
    <x v="1"/>
    <s v="MT"/>
    <x v="6"/>
    <s v="15/04/2026 12:57:37 PM"/>
    <s v="15/04/2026 01:02:17 PM"/>
    <s v="40100"/>
    <s v="16140"/>
    <s v="23960"/>
    <n v="23.96"/>
    <s v="RFID"/>
  </r>
  <r>
    <s v="34173"/>
    <x v="0"/>
    <s v="T299 EHH"/>
    <x v="1"/>
    <x v="3"/>
    <x v="1"/>
    <s v="MT"/>
    <x v="6"/>
    <s v="15/04/2026 01:15:13 PM"/>
    <s v="15/04/2026 01:20:09 PM"/>
    <s v="38700"/>
    <s v="16860"/>
    <s v="21840"/>
    <n v="21.84"/>
    <s v="RFID"/>
  </r>
  <r>
    <s v="34174"/>
    <x v="0"/>
    <s v="T295 EHH"/>
    <x v="1"/>
    <x v="3"/>
    <x v="1"/>
    <s v="MT"/>
    <x v="6"/>
    <s v="15/04/2026 01:24:33 PM"/>
    <s v="15/04/2026 01:32:55 PM"/>
    <s v="34780"/>
    <s v="15100"/>
    <s v="19680"/>
    <n v="19.68"/>
    <s v="RFID"/>
  </r>
  <r>
    <s v="34175"/>
    <x v="0"/>
    <s v="T299 EHH"/>
    <x v="1"/>
    <x v="3"/>
    <x v="1"/>
    <s v="MT"/>
    <x v="6"/>
    <s v="15/04/2026 01:28:14 PM"/>
    <s v="15/04/2026 01:34:16 PM"/>
    <s v="37320"/>
    <s v="16780"/>
    <s v="20540"/>
    <n v="20.54"/>
    <s v="RFID"/>
  </r>
  <r>
    <s v="34176"/>
    <x v="0"/>
    <s v="T312 EHH"/>
    <x v="1"/>
    <x v="3"/>
    <x v="1"/>
    <s v="MT"/>
    <x v="6"/>
    <s v="15/04/2026 01:37:53 PM"/>
    <s v="15/04/2026 01:48:55 PM"/>
    <s v="39880"/>
    <s v="21020"/>
    <s v="18860"/>
    <n v="18.86"/>
    <s v="RFID"/>
  </r>
  <r>
    <s v="34177"/>
    <x v="0"/>
    <s v="T295 EHH"/>
    <x v="1"/>
    <x v="3"/>
    <x v="1"/>
    <s v="MT"/>
    <x v="6"/>
    <s v="15/04/2026 01:40:59 PM"/>
    <s v="15/04/2026 01:49:59 PM"/>
    <s v="37000"/>
    <s v="15140"/>
    <s v="21860"/>
    <n v="21.86"/>
    <s v="RFID"/>
  </r>
  <r>
    <s v="34178"/>
    <x v="0"/>
    <s v="T299 EHH"/>
    <x v="1"/>
    <x v="3"/>
    <x v="1"/>
    <s v="MT"/>
    <x v="6"/>
    <s v="15/04/2026 01:50:54 PM"/>
    <s v="15/04/2026 01:59:34 PM"/>
    <s v="38620"/>
    <s v="16780"/>
    <s v="21840"/>
    <n v="21.84"/>
    <s v="RFID"/>
  </r>
  <r>
    <s v="34179"/>
    <x v="0"/>
    <s v="T312 EHH"/>
    <x v="1"/>
    <x v="3"/>
    <x v="1"/>
    <s v="MT"/>
    <x v="6"/>
    <s v="15/04/2026 01:54:09 PM"/>
    <s v="15/04/2026 02:02:23 PM"/>
    <s v="38040"/>
    <s v="21260"/>
    <s v="16780"/>
    <n v="16.78"/>
    <s v="RFID"/>
  </r>
  <r>
    <s v="34180"/>
    <x v="0"/>
    <s v="T295 EHH"/>
    <x v="1"/>
    <x v="3"/>
    <x v="1"/>
    <s v="MT"/>
    <x v="6"/>
    <s v="15/04/2026 01:57:45 PM"/>
    <s v="15/04/2026 02:04:51 PM"/>
    <s v="36700"/>
    <s v="15080"/>
    <s v="21620"/>
    <n v="21.62"/>
    <s v="RFID"/>
  </r>
  <r>
    <s v="34181"/>
    <x v="0"/>
    <s v="T299 EHH"/>
    <x v="1"/>
    <x v="3"/>
    <x v="1"/>
    <s v="MT"/>
    <x v="6"/>
    <s v="15/04/2026 02:24:24 PM"/>
    <s v="15/04/2026 02:29:20 PM"/>
    <s v="36560"/>
    <s v="16860"/>
    <s v="19700"/>
    <n v="19.7"/>
    <s v="RFID"/>
  </r>
  <r>
    <s v="34182"/>
    <x v="0"/>
    <s v="T312 EHH"/>
    <x v="1"/>
    <x v="3"/>
    <x v="1"/>
    <s v="MT"/>
    <x v="6"/>
    <s v="15/04/2026 02:28:26 PM"/>
    <s v="15/04/2026 02:33:35 PM"/>
    <s v="38360"/>
    <s v="15540"/>
    <s v="22820"/>
    <n v="22.82"/>
    <s v="RFID"/>
  </r>
  <r>
    <s v="34183"/>
    <x v="0"/>
    <s v="T295 EHH"/>
    <x v="1"/>
    <x v="3"/>
    <x v="1"/>
    <s v="MT"/>
    <x v="6"/>
    <s v="15/04/2026 02:31:19 PM"/>
    <s v="15/04/2026 02:36:46 PM"/>
    <s v="38780"/>
    <s v="15140"/>
    <s v="23640"/>
    <n v="23.64"/>
    <s v="RFID"/>
  </r>
  <r>
    <s v="34184"/>
    <x v="0"/>
    <s v="T299 EHH"/>
    <x v="1"/>
    <x v="3"/>
    <x v="1"/>
    <s v="MT"/>
    <x v="6"/>
    <s v="15/04/2026 02:34:56 PM"/>
    <s v="15/04/2026 02:40:19 PM"/>
    <s v="38200"/>
    <s v="17020"/>
    <s v="21180"/>
    <n v="21.18"/>
    <s v="RFID"/>
  </r>
  <r>
    <s v="34185"/>
    <x v="0"/>
    <s v="T312 EHH"/>
    <x v="1"/>
    <x v="3"/>
    <x v="1"/>
    <s v="MT"/>
    <x v="6"/>
    <s v="15/04/2026 02:39:15 PM"/>
    <s v="15/04/2026 02:47:13 PM"/>
    <s v="37460"/>
    <s v="16160"/>
    <s v="21300"/>
    <n v="21.3"/>
    <s v="RFID"/>
  </r>
  <r>
    <s v="34186"/>
    <x v="0"/>
    <s v="T295 EHH"/>
    <x v="1"/>
    <x v="3"/>
    <x v="1"/>
    <s v="MT"/>
    <x v="6"/>
    <s v="15/04/2026 02:44:20 PM"/>
    <s v="15/04/2026 02:53:02 PM"/>
    <s v="36160"/>
    <s v="15160"/>
    <s v="21000"/>
    <n v="21"/>
    <s v="RFID"/>
  </r>
  <r>
    <s v="34187"/>
    <x v="0"/>
    <s v="T299 EHH"/>
    <x v="1"/>
    <x v="3"/>
    <x v="0"/>
    <s v="MT"/>
    <x v="6"/>
    <s v="15/04/2026 02:51:38 PM"/>
    <s v="15/04/2026 02:56:27 PM"/>
    <s v="41320"/>
    <s v="16880"/>
    <s v="24440"/>
    <n v="24.44"/>
    <s v="RFID"/>
  </r>
  <r>
    <s v="34188"/>
    <x v="0"/>
    <s v="T293 EHH"/>
    <x v="1"/>
    <x v="3"/>
    <x v="0"/>
    <s v="MT"/>
    <x v="6"/>
    <s v="15/04/2026 02:55:08 PM"/>
    <s v="15/04/2026 03:00:51 PM"/>
    <s v="39040"/>
    <s v="16160"/>
    <s v="22880"/>
    <n v="22.88"/>
    <s v="RFID"/>
  </r>
  <r>
    <s v="34189"/>
    <x v="0"/>
    <s v="T312 EHH"/>
    <x v="1"/>
    <x v="3"/>
    <x v="0"/>
    <s v="MT"/>
    <x v="6"/>
    <s v="15/04/2026 02:58:33 PM"/>
    <s v="15/04/2026 03:04:57 PM"/>
    <s v="39460"/>
    <s v="16860"/>
    <s v="22600"/>
    <n v="22.6"/>
    <s v="RFID"/>
  </r>
  <r>
    <s v="34190"/>
    <x v="0"/>
    <s v="T295 EHH"/>
    <x v="1"/>
    <x v="3"/>
    <x v="0"/>
    <s v="MT"/>
    <x v="6"/>
    <s v="15/04/2026 03:01:47 PM"/>
    <s v="15/04/2026 03:10:02 PM"/>
    <s v="36640"/>
    <s v="15220"/>
    <s v="21420"/>
    <n v="21.42"/>
    <s v="RFID"/>
  </r>
  <r>
    <s v="34191"/>
    <x v="0"/>
    <s v="T299 EHH"/>
    <x v="1"/>
    <x v="3"/>
    <x v="0"/>
    <s v="MT"/>
    <x v="6"/>
    <s v="15/04/2026 03:06:08 PM"/>
    <s v="15/04/2026 03:11:06 PM"/>
    <s v="38280"/>
    <s v="16940"/>
    <s v="21340"/>
    <n v="21.34"/>
    <s v="RFID"/>
  </r>
  <r>
    <s v="34192"/>
    <x v="0"/>
    <s v="T293 EHH"/>
    <x v="1"/>
    <x v="3"/>
    <x v="0"/>
    <s v="MT"/>
    <x v="6"/>
    <s v="15/04/2026 03:08:55 PM"/>
    <s v="15/04/2026 03:21:01 PM"/>
    <s v="37280"/>
    <s v="16120"/>
    <s v="21160"/>
    <n v="21.16"/>
    <s v="RFID"/>
  </r>
  <r>
    <s v="34193"/>
    <x v="0"/>
    <s v="T312 EHH"/>
    <x v="1"/>
    <x v="3"/>
    <x v="0"/>
    <s v="MT"/>
    <x v="6"/>
    <s v="15/04/2026 03:13:18 PM"/>
    <s v="15/04/2026 03:22:52 PM"/>
    <s v="35700"/>
    <s v="16400"/>
    <s v="19300"/>
    <n v="19.3"/>
    <s v="RFID"/>
  </r>
  <r>
    <s v="34194"/>
    <x v="0"/>
    <s v="T295 EHH"/>
    <x v="1"/>
    <x v="3"/>
    <x v="0"/>
    <s v="MT"/>
    <x v="6"/>
    <s v="15/04/2026 03:19:51 PM"/>
    <s v="15/04/2026 03:25:12 PM"/>
    <s v="36200"/>
    <s v="15900"/>
    <s v="20300"/>
    <n v="20.3"/>
    <s v="RFID"/>
  </r>
  <r>
    <s v="34195"/>
    <x v="0"/>
    <s v="T299 EHH"/>
    <x v="1"/>
    <x v="3"/>
    <x v="0"/>
    <s v="MT"/>
    <x v="6"/>
    <s v="15/04/2026 03:21:49 PM"/>
    <s v="15/04/2026 03:45:08 PM"/>
    <s v="37600"/>
    <s v="16920"/>
    <s v="20680"/>
    <n v="20.68"/>
    <s v="RFID"/>
  </r>
  <r>
    <s v="34196"/>
    <x v="0"/>
    <s v="T293 EHH"/>
    <x v="1"/>
    <x v="3"/>
    <x v="0"/>
    <s v="MT"/>
    <x v="6"/>
    <s v="15/04/2026 03:26:34 PM"/>
    <s v="15/04/2026 03:57:55 PM"/>
    <s v="37400"/>
    <s v="16640"/>
    <s v="20760"/>
    <n v="20.76"/>
    <s v="RFID"/>
  </r>
  <r>
    <s v="34197"/>
    <x v="0"/>
    <s v="T312 EHH"/>
    <x v="1"/>
    <x v="3"/>
    <x v="0"/>
    <s v="MT"/>
    <x v="6"/>
    <s v="15/04/2026 03:30:32 PM"/>
    <s v="15/04/2026 04:00:37 PM"/>
    <s v="36820"/>
    <s v="16440"/>
    <s v="20380"/>
    <n v="20.38"/>
    <s v="RFID"/>
  </r>
  <r>
    <s v="34198"/>
    <x v="0"/>
    <s v="T295 EHH"/>
    <x v="1"/>
    <x v="3"/>
    <x v="0"/>
    <s v="MT"/>
    <x v="6"/>
    <s v="15/04/2026 03:33:13 PM"/>
    <s v="15/04/2026 03:59:43 PM"/>
    <s v="37520"/>
    <s v="15220"/>
    <s v="22300"/>
    <n v="22.3"/>
    <s v="RFID"/>
  </r>
  <r>
    <s v="34199"/>
    <x v="0"/>
    <s v="T299 EHH"/>
    <x v="0"/>
    <x v="0"/>
    <x v="0"/>
    <s v="MT"/>
    <x v="6"/>
    <s v="15/04/2026 04:04:34 PM"/>
    <s v="15/04/2026 04:09:37 PM"/>
    <s v="37900"/>
    <s v="16900"/>
    <s v="21000"/>
    <n v="21"/>
    <s v="RFID"/>
  </r>
  <r>
    <s v="34200"/>
    <x v="0"/>
    <s v="T293 EHH"/>
    <x v="0"/>
    <x v="0"/>
    <x v="0"/>
    <s v="MT"/>
    <x v="6"/>
    <s v="15/04/2026 04:06:02 PM"/>
    <s v="15/04/2026 04:10:21 PM"/>
    <s v="36060"/>
    <s v="16160"/>
    <s v="19900"/>
    <n v="19.899999999999999"/>
    <s v="RFID"/>
  </r>
  <r>
    <s v="34201"/>
    <x v="0"/>
    <s v="T295 EHH"/>
    <x v="0"/>
    <x v="0"/>
    <x v="0"/>
    <s v="MT"/>
    <x v="6"/>
    <s v="15/04/2026 04:11:25 PM"/>
    <s v="15/04/2026 04:16:18 PM"/>
    <s v="38480"/>
    <s v="15260"/>
    <s v="23220"/>
    <n v="23.22"/>
    <s v="RFID"/>
  </r>
  <r>
    <s v="34202"/>
    <x v="0"/>
    <s v="T312 EHH"/>
    <x v="0"/>
    <x v="0"/>
    <x v="0"/>
    <s v="MT"/>
    <x v="6"/>
    <s v="15/04/2026 04:14:31 PM"/>
    <s v="15/04/2026 04:19:05 PM"/>
    <s v="39820"/>
    <s v="16660"/>
    <s v="23160"/>
    <n v="23.16"/>
    <s v="RFID"/>
  </r>
  <r>
    <s v="34203"/>
    <x v="0"/>
    <s v="T299 EHH"/>
    <x v="0"/>
    <x v="0"/>
    <x v="0"/>
    <s v="MT"/>
    <x v="6"/>
    <s v="15/04/2026 04:17:17 PM"/>
    <s v="15/04/2026 04:23:01 PM"/>
    <s v="37880"/>
    <s v="17020"/>
    <s v="20860"/>
    <n v="20.86"/>
    <s v="RFID"/>
  </r>
  <r>
    <s v="34204"/>
    <x v="0"/>
    <s v="T293 EHH"/>
    <x v="0"/>
    <x v="0"/>
    <x v="0"/>
    <s v="MT"/>
    <x v="6"/>
    <s v="15/04/2026 04:21:48 PM"/>
    <s v="15/04/2026 04:26:55 PM"/>
    <s v="38380"/>
    <s v="16300"/>
    <s v="22080"/>
    <n v="22.08"/>
    <s v="RFID"/>
  </r>
  <r>
    <s v="34205"/>
    <x v="0"/>
    <s v="T295 EHH"/>
    <x v="0"/>
    <x v="0"/>
    <x v="0"/>
    <s v="MT"/>
    <x v="6"/>
    <s v="15/04/2026 04:28:34 PM"/>
    <s v="15/04/2026 04:32:52 PM"/>
    <s v="37760"/>
    <s v="15220"/>
    <s v="22540"/>
    <n v="22.54"/>
    <s v="RFID"/>
  </r>
  <r>
    <s v="34206"/>
    <x v="0"/>
    <s v="T293 EHH"/>
    <x v="0"/>
    <x v="0"/>
    <x v="0"/>
    <s v="MT"/>
    <x v="6"/>
    <s v="15/04/2026 04:56:24 PM"/>
    <s v="15/04/2026 05:01:21 PM"/>
    <s v="36580"/>
    <s v="16320"/>
    <s v="20260"/>
    <n v="20.260000000000002"/>
    <s v="RFID"/>
  </r>
  <r>
    <s v="34207"/>
    <x v="0"/>
    <s v="T312 EHH"/>
    <x v="0"/>
    <x v="0"/>
    <x v="0"/>
    <s v="MT"/>
    <x v="6"/>
    <s v="15/04/2026 05:02:36 PM"/>
    <s v="15/04/2026 05:07:27 PM"/>
    <s v="38700"/>
    <s v="16580"/>
    <s v="22120"/>
    <n v="22.12"/>
    <s v="RFID"/>
  </r>
  <r>
    <s v="34208"/>
    <x v="0"/>
    <s v="T299 EHH"/>
    <x v="0"/>
    <x v="0"/>
    <x v="0"/>
    <s v="MT"/>
    <x v="6"/>
    <s v="15/04/2026 05:06:21 PM"/>
    <s v="15/04/2026 05:10:13 PM"/>
    <s v="38200"/>
    <s v="17020"/>
    <s v="21180"/>
    <n v="21.18"/>
    <s v="RFID"/>
  </r>
  <r>
    <s v="34209"/>
    <x v="0"/>
    <s v="T295 EHH"/>
    <x v="0"/>
    <x v="0"/>
    <x v="0"/>
    <s v="MT"/>
    <x v="6"/>
    <s v="15/04/2026 05:13:06 PM"/>
    <s v="15/04/2026 05:19:26 PM"/>
    <s v="39960"/>
    <s v="15300"/>
    <s v="24660"/>
    <n v="24.66"/>
    <s v="RFID"/>
  </r>
  <r>
    <s v="34210"/>
    <x v="0"/>
    <s v="T312 EHH"/>
    <x v="0"/>
    <x v="0"/>
    <x v="1"/>
    <s v="MT"/>
    <x v="6"/>
    <s v="15/04/2026 06:41:21 PM"/>
    <s v="15/04/2026 06:45:51 PM"/>
    <s v="40900"/>
    <s v="16760"/>
    <s v="24140"/>
    <n v="24.14"/>
    <s v="RFID"/>
  </r>
  <r>
    <s v="34211"/>
    <x v="0"/>
    <s v="T295 EHH"/>
    <x v="0"/>
    <x v="0"/>
    <x v="1"/>
    <s v="MT"/>
    <x v="6"/>
    <s v="15/04/2026 06:52:48 PM"/>
    <s v="15/04/2026 07:05:12 PM"/>
    <s v="35180"/>
    <s v="15080"/>
    <s v="20100"/>
    <n v="20.100000000000001"/>
    <s v="RFID"/>
  </r>
  <r>
    <s v="34212"/>
    <x v="0"/>
    <s v="T299 EHH"/>
    <x v="0"/>
    <x v="0"/>
    <x v="1"/>
    <s v="MT"/>
    <x v="6"/>
    <s v="15/04/2026 06:55:15 PM"/>
    <s v="15/04/2026 07:08:02 PM"/>
    <s v="37640"/>
    <s v="17020"/>
    <s v="20620"/>
    <n v="20.62"/>
    <s v="RFID"/>
  </r>
  <r>
    <s v="34213"/>
    <x v="0"/>
    <s v="T312 EHH"/>
    <x v="0"/>
    <x v="0"/>
    <x v="1"/>
    <s v="MT"/>
    <x v="6"/>
    <s v="15/04/2026 06:58:53 PM"/>
    <s v="15/04/2026 07:11:06 PM"/>
    <s v="39640"/>
    <s v="16720"/>
    <s v="22920"/>
    <n v="22.92"/>
    <s v="RFID"/>
  </r>
  <r>
    <s v="34214"/>
    <x v="0"/>
    <s v="T295 EHH"/>
    <x v="0"/>
    <x v="0"/>
    <x v="1"/>
    <s v="MT"/>
    <x v="6"/>
    <s v="15/04/2026 07:13:55 PM"/>
    <s v="15/04/2026 07:31:03 PM"/>
    <s v="36260"/>
    <s v="15100"/>
    <s v="21160"/>
    <n v="21.16"/>
    <s v="RFID"/>
  </r>
  <r>
    <s v="34215"/>
    <x v="0"/>
    <s v="T299 EHH"/>
    <x v="0"/>
    <x v="0"/>
    <x v="1"/>
    <s v="MT"/>
    <x v="6"/>
    <s v="15/04/2026 07:17:39 PM"/>
    <s v="15/04/2026 07:31:57 PM"/>
    <s v="37200"/>
    <s v="17100"/>
    <s v="20100"/>
    <n v="20.100000000000001"/>
    <s v="RFID"/>
  </r>
  <r>
    <s v="34216"/>
    <x v="0"/>
    <s v="T312 EHH"/>
    <x v="0"/>
    <x v="6"/>
    <x v="0"/>
    <s v="MT"/>
    <x v="6"/>
    <s v="15/04/2026 09:13:01 PM"/>
    <s v="15/04/2026 09:34:42 PM"/>
    <s v="37140"/>
    <s v="17080"/>
    <s v="20060"/>
    <n v="20.059999999999999"/>
    <s v="RFID"/>
  </r>
  <r>
    <s v="34217"/>
    <x v="0"/>
    <s v="T311 EHH"/>
    <x v="0"/>
    <x v="6"/>
    <x v="0"/>
    <s v="MT"/>
    <x v="6"/>
    <s v="15/04/2026 09:16:46 PM"/>
    <s v="15/04/2026 09:45:30 PM"/>
    <s v="39100"/>
    <s v="16420"/>
    <s v="22680"/>
    <n v="22.68"/>
    <s v="RFID"/>
  </r>
  <r>
    <s v="34218"/>
    <x v="0"/>
    <s v="T295 EHH"/>
    <x v="0"/>
    <x v="6"/>
    <x v="0"/>
    <s v="MT"/>
    <x v="6"/>
    <s v="15/04/2026 09:22:54 PM"/>
    <s v="15/04/2026 09:50:53 PM"/>
    <s v="33320"/>
    <s v="15040"/>
    <s v="18280"/>
    <n v="18.28"/>
    <s v="RFID"/>
  </r>
  <r>
    <s v="34219"/>
    <x v="0"/>
    <s v="T290 EHH"/>
    <x v="0"/>
    <x v="6"/>
    <x v="0"/>
    <s v="MT"/>
    <x v="6"/>
    <s v="15/04/2026 09:27:03 PM"/>
    <s v="15/04/2026 09:59:12 PM"/>
    <s v="36480"/>
    <s v="15600"/>
    <s v="20880"/>
    <n v="20.88"/>
    <s v="RFID"/>
  </r>
  <r>
    <s v="34220"/>
    <x v="0"/>
    <s v="T299 EHH"/>
    <x v="0"/>
    <x v="6"/>
    <x v="0"/>
    <s v="MT"/>
    <x v="6"/>
    <s v="15/04/2026 09:36:27 PM"/>
    <s v="15/04/2026 09:54:37 PM"/>
    <s v="40480"/>
    <s v="17160"/>
    <s v="23320"/>
    <n v="23.32"/>
    <s v="RFID"/>
  </r>
  <r>
    <s v="34221"/>
    <x v="0"/>
    <s v="T312 EHH"/>
    <x v="0"/>
    <x v="6"/>
    <x v="0"/>
    <s v="MT"/>
    <x v="6"/>
    <s v="15/04/2026 09:49:19 PM"/>
    <s v="15/04/2026 10:00:30 PM"/>
    <s v="39660"/>
    <s v="16760"/>
    <s v="22900"/>
    <n v="22.9"/>
    <s v="RFID"/>
  </r>
  <r>
    <s v="34222"/>
    <x v="0"/>
    <s v="T311 EHH"/>
    <x v="0"/>
    <x v="6"/>
    <x v="0"/>
    <s v="MT"/>
    <x v="6"/>
    <s v="15/04/2026 10:02:17 PM"/>
    <s v="15/04/2026 10:15:40 PM"/>
    <s v="35020"/>
    <s v="16520"/>
    <s v="18500"/>
    <n v="18.5"/>
    <s v="RFID"/>
  </r>
  <r>
    <s v="34223"/>
    <x v="0"/>
    <s v="T295 EHH"/>
    <x v="0"/>
    <x v="6"/>
    <x v="0"/>
    <s v="MT"/>
    <x v="6"/>
    <s v="15/04/2026 10:08:07 PM"/>
    <s v="15/04/2026 10:21:39 PM"/>
    <s v="34840"/>
    <s v="15180"/>
    <s v="19660"/>
    <n v="19.66"/>
    <s v="RFID"/>
  </r>
  <r>
    <s v="34224"/>
    <x v="0"/>
    <s v="T290 EHH"/>
    <x v="1"/>
    <x v="3"/>
    <x v="0"/>
    <s v="MT"/>
    <x v="6"/>
    <s v="15/04/2026 10:37:18 PM"/>
    <s v="15/04/2026 10:57:48 PM"/>
    <s v="34420"/>
    <s v="16440"/>
    <s v="17980"/>
    <n v="17.98"/>
    <s v="RFID"/>
  </r>
  <r>
    <s v="34225"/>
    <x v="0"/>
    <s v="T311 EHH"/>
    <x v="1"/>
    <x v="3"/>
    <x v="0"/>
    <s v="MT"/>
    <x v="6"/>
    <s v="15/04/2026 10:38:55 PM"/>
    <s v="15/04/2026 11:00:29 PM"/>
    <s v="35280"/>
    <s v="15700"/>
    <s v="19580"/>
    <n v="19.579999999999998"/>
    <s v="RFID"/>
  </r>
  <r>
    <s v="34226"/>
    <x v="0"/>
    <s v="T299 EHH"/>
    <x v="1"/>
    <x v="3"/>
    <x v="0"/>
    <s v="MT"/>
    <x v="6"/>
    <s v="15/04/2026 10:45:32 PM"/>
    <s v="15/04/2026 11:10:56 PM"/>
    <s v="35560"/>
    <s v="17220"/>
    <s v="18340"/>
    <n v="18.34"/>
    <s v="RFID"/>
  </r>
  <r>
    <s v="34227"/>
    <x v="0"/>
    <s v="T290 EHH"/>
    <x v="1"/>
    <x v="3"/>
    <x v="0"/>
    <s v="MT"/>
    <x v="6"/>
    <s v="15/04/2026 11:03:23 PM"/>
    <s v="15/04/2026 11:09:04 PM"/>
    <s v="34460"/>
    <s v="16520"/>
    <s v="17940"/>
    <n v="17.940000000000001"/>
    <s v="RFID"/>
  </r>
  <r>
    <s v="34228"/>
    <x v="0"/>
    <s v="T311 EHH"/>
    <x v="1"/>
    <x v="3"/>
    <x v="0"/>
    <s v="MT"/>
    <x v="6"/>
    <s v="15/04/2026 11:07:06 PM"/>
    <s v="15/04/2026 11:27:22 PM"/>
    <s v="34480"/>
    <s v="15840"/>
    <s v="18640"/>
    <n v="18.64"/>
    <s v="RFID"/>
  </r>
  <r>
    <s v="34229"/>
    <x v="0"/>
    <s v="T290 EHH"/>
    <x v="1"/>
    <x v="3"/>
    <x v="0"/>
    <s v="MT"/>
    <x v="6"/>
    <s v="15/04/2026 11:25:07 PM"/>
    <s v="15/04/2026 11:42:42 PM"/>
    <s v="34440"/>
    <s v="17280"/>
    <s v="17160"/>
    <n v="17.16"/>
    <s v="RFID"/>
  </r>
  <r>
    <s v="34230"/>
    <x v="0"/>
    <s v="T299 EHH"/>
    <x v="1"/>
    <x v="3"/>
    <x v="0"/>
    <s v="MT"/>
    <x v="6"/>
    <s v="15/04/2026 11:26:14 PM"/>
    <s v="15/04/2026 11:45:39 PM"/>
    <s v="38100"/>
    <s v="17220"/>
    <s v="20880"/>
    <n v="20.88"/>
    <s v="RFID"/>
  </r>
  <r>
    <s v="34231"/>
    <x v="0"/>
    <s v="T311 EHH"/>
    <x v="1"/>
    <x v="3"/>
    <x v="0"/>
    <s v="MT"/>
    <x v="6"/>
    <s v="15/04/2026 11:33:37 PM"/>
    <s v="15/04/2026 11:47:27 PM"/>
    <s v="34240"/>
    <s v="15920"/>
    <s v="18320"/>
    <n v="18.32"/>
    <s v="RFID"/>
  </r>
  <r>
    <s v="34232"/>
    <x v="0"/>
    <s v="T290 EHH"/>
    <x v="1"/>
    <x v="3"/>
    <x v="0"/>
    <s v="MT"/>
    <x v="6"/>
    <s v="15/04/2026 11:49:13 PM"/>
    <s v="15/04/2026 11:58:44 PM"/>
    <s v="36520"/>
    <s v="18580"/>
    <s v="17940"/>
    <n v="17.940000000000001"/>
    <s v="RFID"/>
  </r>
  <r>
    <s v="34233"/>
    <x v="0"/>
    <s v="T299 EHH"/>
    <x v="1"/>
    <x v="3"/>
    <x v="0"/>
    <s v="MT"/>
    <x v="6"/>
    <s v="15/04/2026 11:53:33 PM"/>
    <s v="16/04/2026 12:00:25 AM"/>
    <s v="35480"/>
    <s v="19040"/>
    <s v="16440"/>
    <n v="16.440000000000001"/>
    <s v="RFID"/>
  </r>
  <r>
    <s v="34234"/>
    <x v="0"/>
    <s v="T311 EHH"/>
    <x v="1"/>
    <x v="3"/>
    <x v="0"/>
    <s v="MT"/>
    <x v="6"/>
    <s v="15/04/2026 11:57:15 PM"/>
    <s v="16/04/2026 12:07:09 AM"/>
    <s v="36600"/>
    <s v="16300"/>
    <s v="20300"/>
    <n v="20.3"/>
    <s v="RFID"/>
  </r>
  <r>
    <s v="34235"/>
    <x v="0"/>
    <s v="T290 EHH"/>
    <x v="1"/>
    <x v="3"/>
    <x v="0"/>
    <s v="MT"/>
    <x v="7"/>
    <s v="16/04/2026 12:05:55 AM"/>
    <s v="16/04/2026 12:12:07 AM"/>
    <s v="36420"/>
    <s v="20640"/>
    <s v="15780"/>
    <n v="15.78"/>
    <s v="RFID"/>
  </r>
  <r>
    <s v="34236"/>
    <x v="0"/>
    <s v="T299 EHH"/>
    <x v="1"/>
    <x v="3"/>
    <x v="0"/>
    <s v="MT"/>
    <x v="7"/>
    <s v="16/04/2026 12:10:51 AM"/>
    <s v="16/04/2026 12:38:33 AM"/>
    <s v="35320"/>
    <s v="17380"/>
    <s v="17940"/>
    <n v="17.940000000000001"/>
    <s v="RFID"/>
  </r>
  <r>
    <s v="34237"/>
    <x v="0"/>
    <s v="T311 EHH"/>
    <x v="1"/>
    <x v="3"/>
    <x v="0"/>
    <s v="MT"/>
    <x v="7"/>
    <s v="16/04/2026 12:14:31 AM"/>
    <s v="16/04/2026 12:41:07 AM"/>
    <s v="37980"/>
    <s v="16640"/>
    <s v="21340"/>
    <n v="21.34"/>
    <s v="RFID"/>
  </r>
  <r>
    <s v="34238"/>
    <x v="0"/>
    <s v="T290 EHH"/>
    <x v="1"/>
    <x v="3"/>
    <x v="0"/>
    <s v="MT"/>
    <x v="7"/>
    <s v="16/04/2026 12:21:59 AM"/>
    <s v="16/04/2026 12:46:56 AM"/>
    <s v="36160"/>
    <s v="22240"/>
    <s v="13920"/>
    <n v="13.92"/>
    <s v="RFID"/>
  </r>
  <r>
    <s v="34239"/>
    <x v="0"/>
    <s v="T299 EHH"/>
    <x v="1"/>
    <x v="3"/>
    <x v="0"/>
    <s v="MT"/>
    <x v="7"/>
    <s v="16/04/2026 12:49:09 AM"/>
    <s v="16/04/2026 12:55:48 AM"/>
    <s v="32800"/>
    <s v="17640"/>
    <s v="15160"/>
    <n v="15.16"/>
    <s v="RFID"/>
  </r>
  <r>
    <s v="34240"/>
    <x v="0"/>
    <s v="T311 EHH"/>
    <x v="1"/>
    <x v="3"/>
    <x v="0"/>
    <s v="MT"/>
    <x v="7"/>
    <s v="16/04/2026 12:54:14 AM"/>
    <s v="16/04/2026 12:59:34 AM"/>
    <s v="32460"/>
    <s v="16780"/>
    <s v="15680"/>
    <n v="15.68"/>
    <s v="RFID"/>
  </r>
  <r>
    <s v="34241"/>
    <x v="0"/>
    <s v="T290 EHH"/>
    <x v="1"/>
    <x v="3"/>
    <x v="0"/>
    <s v="MT"/>
    <x v="7"/>
    <s v="16/04/2026 01:04:25 AM"/>
    <s v="16/04/2026 01:09:06 AM"/>
    <s v="34800"/>
    <s v="22360"/>
    <s v="12440"/>
    <n v="12.44"/>
    <s v="RFID"/>
  </r>
  <r>
    <s v="34242"/>
    <x v="0"/>
    <s v="T299 EHH"/>
    <x v="1"/>
    <x v="3"/>
    <x v="0"/>
    <s v="MT"/>
    <x v="7"/>
    <s v="16/04/2026 01:16:41 AM"/>
    <s v="16/04/2026 01:23:21 AM"/>
    <s v="36020"/>
    <s v="17520"/>
    <s v="18500"/>
    <n v="18.5"/>
    <s v="RFID"/>
  </r>
  <r>
    <s v="34243"/>
    <x v="0"/>
    <s v="T299 EHH"/>
    <x v="1"/>
    <x v="3"/>
    <x v="0"/>
    <s v="MT"/>
    <x v="7"/>
    <s v="16/04/2026 02:50:35 AM"/>
    <s v="16/04/2026 02:57:03 AM"/>
    <s v="40520"/>
    <s v="18600"/>
    <s v="21920"/>
    <n v="21.92"/>
    <s v="RFID"/>
  </r>
  <r>
    <s v="34244"/>
    <x v="0"/>
    <s v="T290 EHH"/>
    <x v="1"/>
    <x v="3"/>
    <x v="0"/>
    <s v="MT"/>
    <x v="7"/>
    <s v="16/04/2026 02:53:35 AM"/>
    <s v="16/04/2026 03:03:46 AM"/>
    <s v="42060"/>
    <s v="23080"/>
    <s v="18980"/>
    <n v="18.98"/>
    <s v="RFID"/>
  </r>
  <r>
    <s v="34245"/>
    <x v="0"/>
    <s v="T299 EHH"/>
    <x v="1"/>
    <x v="3"/>
    <x v="0"/>
    <s v="MT"/>
    <x v="7"/>
    <s v="16/04/2026 03:08:24 AM"/>
    <s v="16/04/2026 03:16:04 AM"/>
    <s v="41420"/>
    <s v="17640"/>
    <s v="23780"/>
    <n v="23.78"/>
    <s v="RFID"/>
  </r>
  <r>
    <s v="34246"/>
    <x v="0"/>
    <s v="T295 EHH"/>
    <x v="1"/>
    <x v="3"/>
    <x v="0"/>
    <s v="MT"/>
    <x v="7"/>
    <s v="16/04/2026 03:13:32 AM"/>
    <s v="16/04/2026 03:21:08 AM"/>
    <s v="39380"/>
    <s v="15280"/>
    <s v="24100"/>
    <n v="24.1"/>
    <s v="RFID"/>
  </r>
  <r>
    <s v="34247"/>
    <x v="0"/>
    <s v="T312 EHH"/>
    <x v="1"/>
    <x v="3"/>
    <x v="0"/>
    <s v="MT"/>
    <x v="7"/>
    <s v="16/04/2026 03:17:33 AM"/>
    <s v="16/04/2026 03:23:32 AM"/>
    <s v="40200"/>
    <s v="16900"/>
    <s v="23300"/>
    <n v="23.3"/>
    <s v="RFID"/>
  </r>
  <r>
    <s v="34248"/>
    <x v="0"/>
    <s v="T299 EHH"/>
    <x v="1"/>
    <x v="3"/>
    <x v="0"/>
    <s v="MT"/>
    <x v="7"/>
    <s v="16/04/2026 03:25:40 AM"/>
    <s v="16/04/2026 03:33:31 AM"/>
    <s v="37200"/>
    <s v="18060"/>
    <s v="19140"/>
    <n v="19.14"/>
    <s v="RFID"/>
  </r>
  <r>
    <s v="34249"/>
    <x v="0"/>
    <s v="T295 EHH"/>
    <x v="1"/>
    <x v="3"/>
    <x v="0"/>
    <s v="MT"/>
    <x v="7"/>
    <s v="16/04/2026 03:29:52 AM"/>
    <s v="16/04/2026 03:37:18 AM"/>
    <s v="37100"/>
    <s v="15360"/>
    <s v="21740"/>
    <n v="21.74"/>
    <s v="RFID"/>
  </r>
  <r>
    <s v="34250"/>
    <x v="0"/>
    <s v="T312 EHH"/>
    <x v="1"/>
    <x v="3"/>
    <x v="0"/>
    <s v="MT"/>
    <x v="7"/>
    <s v="16/04/2026 03:34:50 AM"/>
    <s v="16/04/2026 04:20:22 AM"/>
    <s v="41520"/>
    <s v="16900"/>
    <s v="24620"/>
    <n v="24.62"/>
    <s v="RFID"/>
  </r>
  <r>
    <s v="34251"/>
    <x v="0"/>
    <s v="T299 EHH"/>
    <x v="1"/>
    <x v="3"/>
    <x v="0"/>
    <s v="MT"/>
    <x v="7"/>
    <s v="16/04/2026 03:42:53 AM"/>
    <s v="16/04/2026 04:22:11 AM"/>
    <s v="38280"/>
    <s v="18400"/>
    <s v="19880"/>
    <n v="19.88"/>
    <s v="RFID"/>
  </r>
  <r>
    <s v="34252"/>
    <x v="0"/>
    <s v="T295 EHH"/>
    <x v="1"/>
    <x v="3"/>
    <x v="0"/>
    <s v="MT"/>
    <x v="7"/>
    <s v="16/04/2026 03:46:31 AM"/>
    <s v="16/04/2026 04:27:53 AM"/>
    <s v="36760"/>
    <s v="15760"/>
    <s v="21000"/>
    <n v="21"/>
    <s v="RFID"/>
  </r>
  <r>
    <s v="34253"/>
    <x v="0"/>
    <s v="T311 EHH"/>
    <x v="1"/>
    <x v="3"/>
    <x v="0"/>
    <s v="MT"/>
    <x v="7"/>
    <s v="16/04/2026 04:17:32 AM"/>
    <s v="16/04/2026 04:33:38 AM"/>
    <s v="40500"/>
    <s v="17120"/>
    <s v="23380"/>
    <n v="23.38"/>
    <s v="RFID"/>
  </r>
  <r>
    <s v="34254"/>
    <x v="0"/>
    <s v="T312 EHH"/>
    <x v="1"/>
    <x v="3"/>
    <x v="0"/>
    <s v="MT"/>
    <x v="7"/>
    <s v="16/04/2026 04:28:43 AM"/>
    <s v="16/04/2026 04:37:39 AM"/>
    <s v="38700"/>
    <s v="17000"/>
    <s v="21700"/>
    <n v="21.7"/>
    <s v="RFID"/>
  </r>
  <r>
    <s v="34255"/>
    <x v="0"/>
    <s v="T295 EHH"/>
    <x v="1"/>
    <x v="3"/>
    <x v="0"/>
    <s v="MT"/>
    <x v="7"/>
    <s v="16/04/2026 04:36:46 AM"/>
    <s v="16/04/2026 04:43:57 AM"/>
    <s v="36240"/>
    <s v="15420"/>
    <s v="20820"/>
    <n v="20.82"/>
    <s v="RFID"/>
  </r>
  <r>
    <s v="34256"/>
    <x v="0"/>
    <s v="T311 EHH"/>
    <x v="1"/>
    <x v="3"/>
    <x v="0"/>
    <s v="MT"/>
    <x v="7"/>
    <s v="16/04/2026 04:41:44 AM"/>
    <s v="16/04/2026 04:53:30 AM"/>
    <s v="39860"/>
    <s v="20400"/>
    <s v="19460"/>
    <n v="19.46"/>
    <s v="RFID"/>
  </r>
  <r>
    <s v="34257"/>
    <x v="0"/>
    <s v="T312 EHH"/>
    <x v="1"/>
    <x v="3"/>
    <x v="0"/>
    <s v="MT"/>
    <x v="7"/>
    <s v="16/04/2026 04:46:56 AM"/>
    <s v="16/04/2026 06:18:15 AM"/>
    <s v="37360"/>
    <s v="15740"/>
    <s v="21620"/>
    <n v="21.62"/>
    <s v="RFID"/>
  </r>
  <r>
    <s v="34258"/>
    <x v="0"/>
    <s v="T295 EHH"/>
    <x v="1"/>
    <x v="3"/>
    <x v="0"/>
    <s v="MT"/>
    <x v="7"/>
    <s v="16/04/2026 04:52:29 AM"/>
    <s v="16/04/2026 06:31:08 AM"/>
    <s v="34980"/>
    <s v="15440"/>
    <s v="19540"/>
    <n v="19.54"/>
    <s v="RFID"/>
  </r>
  <r>
    <s v="34259"/>
    <x v="0"/>
    <s v="T290 EHH"/>
    <x v="1"/>
    <x v="3"/>
    <x v="0"/>
    <s v="MT"/>
    <x v="7"/>
    <s v="16/04/2026 06:29:26 AM"/>
    <s v="16/04/2026 06:35:53 AM"/>
    <s v="41700"/>
    <s v="23680"/>
    <s v="18020"/>
    <n v="18.02"/>
    <s v="RFID"/>
  </r>
  <r>
    <s v="34260"/>
    <x v="0"/>
    <s v="T311 EHH"/>
    <x v="1"/>
    <x v="3"/>
    <x v="0"/>
    <s v="MT"/>
    <x v="7"/>
    <s v="16/04/2026 06:32:44 AM"/>
    <s v="16/04/2026 06:38:27 AM"/>
    <s v="40380"/>
    <s v="17000"/>
    <s v="23380"/>
    <n v="23.38"/>
    <s v="RFID"/>
  </r>
  <r>
    <s v="34261"/>
    <x v="0"/>
    <s v="T312 EHH"/>
    <x v="1"/>
    <x v="3"/>
    <x v="0"/>
    <s v="MT"/>
    <x v="7"/>
    <s v="16/04/2026 06:37:04 AM"/>
    <s v="16/04/2026 06:44:46 AM"/>
    <s v="36700"/>
    <s v="15680"/>
    <s v="21020"/>
    <n v="21.02"/>
    <s v="RFID"/>
  </r>
  <r>
    <s v="34262"/>
    <x v="0"/>
    <s v="T295 EHH"/>
    <x v="1"/>
    <x v="3"/>
    <x v="0"/>
    <s v="MT"/>
    <x v="7"/>
    <s v="16/04/2026 06:42:58 AM"/>
    <s v="16/04/2026 07:28:15 AM"/>
    <s v="38220"/>
    <s v="15520"/>
    <s v="22700"/>
    <n v="22.7"/>
    <s v="RFID"/>
  </r>
  <r>
    <s v="34263"/>
    <x v="0"/>
    <s v="T312 EHH"/>
    <x v="0"/>
    <x v="0"/>
    <x v="0"/>
    <s v="MT"/>
    <x v="7"/>
    <s v="16/04/2026 06:58:28 AM"/>
    <s v="16/04/2026 07:05:28 AM"/>
    <s v="38880"/>
    <s v="18060"/>
    <s v="20820"/>
    <n v="20.82"/>
    <s v="RFID"/>
  </r>
  <r>
    <s v="34264"/>
    <x v="0"/>
    <s v="T290 EHH"/>
    <x v="0"/>
    <x v="0"/>
    <x v="0"/>
    <s v="MT"/>
    <x v="7"/>
    <s v="16/04/2026 07:01:21 AM"/>
    <s v="16/04/2026 07:07:47 AM"/>
    <s v="40620"/>
    <s v="23900"/>
    <s v="16720"/>
    <n v="16.72"/>
    <s v="RFID"/>
  </r>
  <r>
    <s v="34265"/>
    <x v="0"/>
    <s v="T312 EHH"/>
    <x v="0"/>
    <x v="0"/>
    <x v="0"/>
    <s v="MT"/>
    <x v="7"/>
    <s v="16/04/2026 07:11:46 AM"/>
    <s v="16/04/2026 07:16:11 AM"/>
    <s v="36780"/>
    <s v="18220"/>
    <s v="18560"/>
    <n v="18.559999999999999"/>
    <s v="RFID"/>
  </r>
  <r>
    <s v="34266"/>
    <x v="0"/>
    <s v="T290 EHH"/>
    <x v="0"/>
    <x v="2"/>
    <x v="0"/>
    <s v="MT"/>
    <x v="7"/>
    <s v="16/04/2026 07:15:01 AM"/>
    <s v="16/04/2026 07:40:25 AM"/>
    <s v="42460"/>
    <s v="25120"/>
    <s v="17340"/>
    <n v="17.34"/>
    <s v="RFID"/>
  </r>
  <r>
    <s v="34267"/>
    <x v="0"/>
    <s v="T312 EHH"/>
    <x v="0"/>
    <x v="0"/>
    <x v="0"/>
    <s v="MT"/>
    <x v="7"/>
    <s v="16/04/2026 07:23:04 AM"/>
    <s v="16/04/2026 07:26:48 AM"/>
    <s v="39360"/>
    <s v="18200"/>
    <s v="21160"/>
    <n v="21.16"/>
    <s v="RFID"/>
  </r>
  <r>
    <s v="34268"/>
    <x v="0"/>
    <s v="T311 EHH"/>
    <x v="1"/>
    <x v="3"/>
    <x v="1"/>
    <s v="MT"/>
    <x v="7"/>
    <s v="16/04/2026 09:11:38 AM"/>
    <s v="16/04/2026 09:25:33 AM"/>
    <s v="38780"/>
    <s v="17700"/>
    <s v="21080"/>
    <n v="21.08"/>
    <s v="RFID"/>
  </r>
  <r>
    <s v="34269"/>
    <x v="0"/>
    <s v="T312 EHH"/>
    <x v="1"/>
    <x v="3"/>
    <x v="1"/>
    <s v="MT"/>
    <x v="7"/>
    <s v="16/04/2026 09:16:32 AM"/>
    <s v="16/04/2026 09:27:50 AM"/>
    <s v="37340"/>
    <s v="15320"/>
    <s v="22020"/>
    <n v="22.02"/>
    <s v="RFID"/>
  </r>
  <r>
    <s v="34270"/>
    <x v="0"/>
    <s v="T295 EHH"/>
    <x v="1"/>
    <x v="3"/>
    <x v="1"/>
    <s v="MT"/>
    <x v="7"/>
    <s v="16/04/2026 09:19:26 AM"/>
    <s v="16/04/2026 09:30:52 AM"/>
    <s v="38080"/>
    <s v="15520"/>
    <s v="22560"/>
    <n v="22.56"/>
    <s v="RFID"/>
  </r>
  <r>
    <s v="34271"/>
    <x v="0"/>
    <s v="T299 EHH"/>
    <x v="1"/>
    <x v="3"/>
    <x v="1"/>
    <s v="MT"/>
    <x v="7"/>
    <s v="16/04/2026 09:26:40 AM"/>
    <s v="16/04/2026 09:34:03 AM"/>
    <s v="38160"/>
    <s v="16260"/>
    <s v="21900"/>
    <n v="21.9"/>
    <s v="RFID"/>
  </r>
  <r>
    <s v="34272"/>
    <x v="0"/>
    <s v="T311 EHH"/>
    <x v="1"/>
    <x v="3"/>
    <x v="1"/>
    <s v="MT"/>
    <x v="7"/>
    <s v="16/04/2026 09:33:12 AM"/>
    <s v="16/04/2026 09:38:32 AM"/>
    <s v="39000"/>
    <s v="17880"/>
    <s v="21120"/>
    <n v="21.12"/>
    <s v="RFID"/>
  </r>
  <r>
    <s v="34273"/>
    <x v="0"/>
    <s v="T312 EHH"/>
    <x v="1"/>
    <x v="3"/>
    <x v="1"/>
    <s v="MT"/>
    <x v="7"/>
    <s v="16/04/2026 09:36:50 AM"/>
    <s v="16/04/2026 09:41:57 AM"/>
    <s v="38480"/>
    <s v="15300"/>
    <s v="23180"/>
    <n v="23.18"/>
    <s v="RFID"/>
  </r>
  <r>
    <s v="34274"/>
    <x v="0"/>
    <s v="T295 EHH"/>
    <x v="1"/>
    <x v="3"/>
    <x v="1"/>
    <s v="MT"/>
    <x v="7"/>
    <s v="16/04/2026 09:39:51 AM"/>
    <s v="16/04/2026 09:45:50 AM"/>
    <s v="38300"/>
    <s v="15540"/>
    <s v="22760"/>
    <n v="22.76"/>
    <s v="RFID"/>
  </r>
  <r>
    <s v="34275"/>
    <x v="0"/>
    <s v="T299 EHH"/>
    <x v="1"/>
    <x v="3"/>
    <x v="1"/>
    <s v="MT"/>
    <x v="7"/>
    <s v="16/04/2026 09:43:45 AM"/>
    <s v="16/04/2026 09:49:01 AM"/>
    <s v="37900"/>
    <s v="16980"/>
    <s v="20920"/>
    <n v="20.92"/>
    <s v="RFID"/>
  </r>
  <r>
    <s v="34276"/>
    <x v="0"/>
    <s v="T311 EHH"/>
    <x v="1"/>
    <x v="3"/>
    <x v="1"/>
    <s v="MT"/>
    <x v="7"/>
    <s v="16/04/2026 09:58:40 AM"/>
    <s v="16/04/2026 10:05:12 AM"/>
    <s v="37040"/>
    <s v="16160"/>
    <s v="20880"/>
    <n v="20.88"/>
    <s v="RFID"/>
  </r>
  <r>
    <s v="34277"/>
    <x v="0"/>
    <s v="T295 EHH"/>
    <x v="1"/>
    <x v="3"/>
    <x v="1"/>
    <s v="MT"/>
    <x v="7"/>
    <s v="16/04/2026 09:59:57 AM"/>
    <s v="16/04/2026 10:06:02 AM"/>
    <s v="37400"/>
    <s v="15700"/>
    <s v="21700"/>
    <n v="21.7"/>
    <s v="RFID"/>
  </r>
  <r>
    <s v="34278"/>
    <x v="0"/>
    <s v="T312 EHH"/>
    <x v="1"/>
    <x v="3"/>
    <x v="1"/>
    <s v="MT"/>
    <x v="7"/>
    <s v="16/04/2026 10:04:14 AM"/>
    <s v="16/04/2026 10:09:30 AM"/>
    <s v="38840"/>
    <s v="15260"/>
    <s v="23580"/>
    <n v="23.58"/>
    <s v="RFID"/>
  </r>
  <r>
    <s v="34279"/>
    <x v="0"/>
    <s v="T299 EHH"/>
    <x v="1"/>
    <x v="3"/>
    <x v="1"/>
    <s v="MT"/>
    <x v="7"/>
    <s v="16/04/2026 10:08:20 AM"/>
    <s v="16/04/2026 10:13:30 AM"/>
    <s v="38920"/>
    <s v="18440"/>
    <s v="20480"/>
    <n v="20.48"/>
    <s v="RFID"/>
  </r>
  <r>
    <s v="34280"/>
    <x v="0"/>
    <s v="T311 EHH"/>
    <x v="1"/>
    <x v="3"/>
    <x v="1"/>
    <s v="MT"/>
    <x v="7"/>
    <s v="16/04/2026 10:12:32 AM"/>
    <s v="16/04/2026 10:17:15 AM"/>
    <s v="37820"/>
    <s v="16220"/>
    <s v="21600"/>
    <n v="21.6"/>
    <s v="RFID"/>
  </r>
  <r>
    <s v="34281"/>
    <x v="0"/>
    <s v="T295 EHH"/>
    <x v="1"/>
    <x v="3"/>
    <x v="1"/>
    <s v="MT"/>
    <x v="7"/>
    <s v="16/04/2026 10:14:34 AM"/>
    <s v="16/04/2026 10:19:11 AM"/>
    <s v="36040"/>
    <s v="15900"/>
    <s v="20140"/>
    <n v="20.14"/>
    <s v="RFID"/>
  </r>
  <r>
    <s v="34282"/>
    <x v="0"/>
    <s v="T312 EHH"/>
    <x v="1"/>
    <x v="3"/>
    <x v="1"/>
    <s v="MT"/>
    <x v="7"/>
    <s v="16/04/2026 10:18:17 AM"/>
    <s v="16/04/2026 10:23:31 AM"/>
    <s v="37540"/>
    <s v="15340"/>
    <s v="22200"/>
    <n v="22.2"/>
    <s v="RFID"/>
  </r>
  <r>
    <s v="34283"/>
    <x v="0"/>
    <s v="T299 EHH"/>
    <x v="1"/>
    <x v="3"/>
    <x v="1"/>
    <s v="MT"/>
    <x v="7"/>
    <s v="16/04/2026 10:20:15 AM"/>
    <s v="16/04/2026 10:27:01 AM"/>
    <s v="38260"/>
    <s v="21400"/>
    <s v="16860"/>
    <n v="16.86"/>
    <s v="RFID"/>
  </r>
  <r>
    <s v="34284"/>
    <x v="0"/>
    <s v="T311 EHH"/>
    <x v="1"/>
    <x v="3"/>
    <x v="1"/>
    <s v="MT"/>
    <x v="7"/>
    <s v="16/04/2026 10:26:07 AM"/>
    <s v="16/04/2026 10:32:48 AM"/>
    <s v="37100"/>
    <s v="16340"/>
    <s v="20760"/>
    <n v="20.76"/>
    <s v="RFID"/>
  </r>
  <r>
    <s v="34285"/>
    <x v="0"/>
    <s v="T295 EHH"/>
    <x v="1"/>
    <x v="3"/>
    <x v="1"/>
    <s v="MT"/>
    <x v="7"/>
    <s v="16/04/2026 10:34:07 AM"/>
    <s v="16/04/2026 10:38:20 AM"/>
    <s v="34580"/>
    <s v="15160"/>
    <s v="19420"/>
    <n v="19.420000000000002"/>
    <s v="RFID"/>
  </r>
  <r>
    <s v="34286"/>
    <x v="0"/>
    <s v="T312 EHH"/>
    <x v="1"/>
    <x v="3"/>
    <x v="1"/>
    <s v="MT"/>
    <x v="7"/>
    <s v="16/04/2026 10:35:17 AM"/>
    <s v="16/04/2026 10:41:31 AM"/>
    <s v="37800"/>
    <s v="15340"/>
    <s v="22460"/>
    <n v="22.46"/>
    <s v="RFID"/>
  </r>
  <r>
    <s v="34287"/>
    <x v="0"/>
    <s v="T299 EHH"/>
    <x v="1"/>
    <x v="3"/>
    <x v="1"/>
    <s v="MT"/>
    <x v="7"/>
    <s v="16/04/2026 10:39:33 AM"/>
    <s v="16/04/2026 10:47:41 AM"/>
    <s v="37660"/>
    <s v="16100"/>
    <s v="21560"/>
    <n v="21.56"/>
    <s v="RFID"/>
  </r>
  <r>
    <s v="34288"/>
    <x v="0"/>
    <s v="T311 EHH"/>
    <x v="1"/>
    <x v="3"/>
    <x v="1"/>
    <s v="MT"/>
    <x v="7"/>
    <s v="16/04/2026 10:43:53 AM"/>
    <s v="16/04/2026 10:48:47 AM"/>
    <s v="39440"/>
    <s v="16320"/>
    <s v="23120"/>
    <n v="23.12"/>
    <s v="RFID"/>
  </r>
  <r>
    <s v="34289"/>
    <x v="0"/>
    <s v="T295 EHH"/>
    <x v="1"/>
    <x v="3"/>
    <x v="1"/>
    <s v="MT"/>
    <x v="7"/>
    <s v="16/04/2026 10:46:51 AM"/>
    <s v="16/04/2026 10:51:47 AM"/>
    <s v="37820"/>
    <s v="15200"/>
    <s v="22620"/>
    <n v="22.62"/>
    <s v="RFID"/>
  </r>
  <r>
    <s v="34290"/>
    <x v="0"/>
    <s v="T312 EHH"/>
    <x v="1"/>
    <x v="3"/>
    <x v="1"/>
    <s v="MT"/>
    <x v="7"/>
    <s v="16/04/2026 10:49:37 AM"/>
    <s v="16/04/2026 10:54:31 AM"/>
    <s v="38880"/>
    <s v="15400"/>
    <s v="23480"/>
    <n v="23.48"/>
    <s v="RFID"/>
  </r>
  <r>
    <s v="34291"/>
    <x v="0"/>
    <s v="T299 EHH"/>
    <x v="1"/>
    <x v="3"/>
    <x v="1"/>
    <s v="MT"/>
    <x v="7"/>
    <s v="16/04/2026 10:53:38 AM"/>
    <s v="16/04/2026 10:59:22 AM"/>
    <s v="38620"/>
    <s v="16620"/>
    <s v="22000"/>
    <n v="22"/>
    <s v="RFID"/>
  </r>
  <r>
    <s v="34292"/>
    <x v="0"/>
    <s v="T311 EHH"/>
    <x v="1"/>
    <x v="3"/>
    <x v="1"/>
    <s v="MT"/>
    <x v="7"/>
    <s v="16/04/2026 10:58:26 AM"/>
    <s v="16/04/2026 11:03:25 AM"/>
    <s v="38900"/>
    <s v="16400"/>
    <s v="22500"/>
    <n v="22.5"/>
    <s v="RFID"/>
  </r>
  <r>
    <s v="34293"/>
    <x v="0"/>
    <s v="T295 EHH"/>
    <x v="1"/>
    <x v="3"/>
    <x v="1"/>
    <s v="MT"/>
    <x v="7"/>
    <s v="16/04/2026 11:00:34 AM"/>
    <s v="16/04/2026 11:05:38 AM"/>
    <s v="37080"/>
    <s v="15380"/>
    <s v="21700"/>
    <n v="21.7"/>
    <s v="RFID"/>
  </r>
  <r>
    <s v="34294"/>
    <x v="0"/>
    <s v="T312 EHH"/>
    <x v="1"/>
    <x v="3"/>
    <x v="1"/>
    <s v="MT"/>
    <x v="7"/>
    <s v="16/04/2026 11:04:21 AM"/>
    <s v="16/04/2026 11:09:32 AM"/>
    <s v="37700"/>
    <s v="15480"/>
    <s v="22220"/>
    <n v="22.22"/>
    <s v="RFID"/>
  </r>
  <r>
    <s v="34295"/>
    <x v="0"/>
    <s v="T299 EHH"/>
    <x v="1"/>
    <x v="3"/>
    <x v="1"/>
    <s v="MT"/>
    <x v="7"/>
    <s v="16/04/2026 11:07:24 AM"/>
    <s v="16/04/2026 11:31:07 AM"/>
    <s v="38000"/>
    <s v="16920"/>
    <s v="21080"/>
    <n v="21.08"/>
    <s v="RFID"/>
  </r>
  <r>
    <s v="34296"/>
    <x v="0"/>
    <s v="T311 EHH"/>
    <x v="1"/>
    <x v="3"/>
    <x v="1"/>
    <s v="MT"/>
    <x v="7"/>
    <s v="16/04/2026 11:11:28 AM"/>
    <s v="16/04/2026 11:34:51 AM"/>
    <s v="35600"/>
    <s v="16400"/>
    <s v="19200"/>
    <n v="19.2"/>
    <s v="RFID"/>
  </r>
  <r>
    <s v="34297"/>
    <x v="0"/>
    <s v="T295 EHH"/>
    <x v="1"/>
    <x v="3"/>
    <x v="1"/>
    <s v="MT"/>
    <x v="7"/>
    <s v="16/04/2026 11:15:48 AM"/>
    <s v="16/04/2026 11:33:33 AM"/>
    <s v="37940"/>
    <s v="15200"/>
    <s v="22740"/>
    <n v="22.74"/>
    <s v="RFID"/>
  </r>
  <r>
    <s v="34298"/>
    <x v="0"/>
    <s v="T312 EHH"/>
    <x v="1"/>
    <x v="3"/>
    <x v="1"/>
    <s v="MT"/>
    <x v="7"/>
    <s v="16/04/2026 11:19:53 AM"/>
    <s v="16/04/2026 11:36:19 AM"/>
    <s v="37960"/>
    <s v="15440"/>
    <s v="22520"/>
    <n v="22.52"/>
    <s v="RFID"/>
  </r>
  <r>
    <s v="34299"/>
    <x v="0"/>
    <s v="T299 EHH"/>
    <x v="1"/>
    <x v="3"/>
    <x v="1"/>
    <s v="MT"/>
    <x v="7"/>
    <s v="16/04/2026 11:37:22 AM"/>
    <s v="16/04/2026 11:43:06 AM"/>
    <s v="36660"/>
    <s v="17120"/>
    <s v="19540"/>
    <n v="19.54"/>
    <s v="RFID"/>
  </r>
  <r>
    <s v="34300"/>
    <x v="0"/>
    <s v="T295 EHH"/>
    <x v="1"/>
    <x v="3"/>
    <x v="1"/>
    <s v="MT"/>
    <x v="7"/>
    <s v="16/04/2026 11:38:46 AM"/>
    <s v="16/04/2026 11:46:50 AM"/>
    <s v="37860"/>
    <s v="15240"/>
    <s v="22620"/>
    <n v="22.62"/>
    <s v="RFID"/>
  </r>
  <r>
    <s v="34301"/>
    <x v="0"/>
    <s v="T311 EHH"/>
    <x v="1"/>
    <x v="3"/>
    <x v="1"/>
    <s v="MT"/>
    <x v="7"/>
    <s v="16/04/2026 11:44:30 AM"/>
    <s v="16/04/2026 11:50:15 AM"/>
    <s v="39060"/>
    <s v="16440"/>
    <s v="22620"/>
    <n v="22.62"/>
    <s v="RFID"/>
  </r>
  <r>
    <s v="34302"/>
    <x v="0"/>
    <s v="T312 EHH"/>
    <x v="1"/>
    <x v="3"/>
    <x v="1"/>
    <s v="MT"/>
    <x v="7"/>
    <s v="16/04/2026 11:47:59 AM"/>
    <s v="16/04/2026 11:53:47 AM"/>
    <s v="36480"/>
    <s v="15440"/>
    <s v="21040"/>
    <n v="21.04"/>
    <s v="RFID"/>
  </r>
  <r>
    <s v="34303"/>
    <x v="0"/>
    <s v="T299 EHH"/>
    <x v="1"/>
    <x v="3"/>
    <x v="1"/>
    <s v="MT"/>
    <x v="7"/>
    <s v="16/04/2026 11:48:55 AM"/>
    <s v="16/04/2026 11:55:37 AM"/>
    <s v="38300"/>
    <s v="16800"/>
    <s v="21500"/>
    <n v="21.5"/>
    <s v="RFID"/>
  </r>
  <r>
    <s v="34304"/>
    <x v="0"/>
    <s v="T295 EHH"/>
    <x v="1"/>
    <x v="3"/>
    <x v="1"/>
    <s v="MT"/>
    <x v="7"/>
    <s v="16/04/2026 11:53:00 AM"/>
    <s v="16/04/2026 11:58:35 AM"/>
    <s v="38040"/>
    <s v="15240"/>
    <s v="22800"/>
    <n v="22.8"/>
    <s v="RFID"/>
  </r>
  <r>
    <s v="34305"/>
    <x v="0"/>
    <s v="T311 EHH"/>
    <x v="1"/>
    <x v="3"/>
    <x v="1"/>
    <s v="MT"/>
    <x v="7"/>
    <s v="16/04/2026 11:57:23 AM"/>
    <s v="16/04/2026 12:02:46 PM"/>
    <s v="37900"/>
    <s v="16480"/>
    <s v="21420"/>
    <n v="21.42"/>
    <s v="RFID"/>
  </r>
  <r>
    <s v="34306"/>
    <x v="0"/>
    <s v="T312 EHH"/>
    <x v="1"/>
    <x v="3"/>
    <x v="1"/>
    <s v="MT"/>
    <x v="7"/>
    <s v="16/04/2026 12:00:37 PM"/>
    <s v="16/04/2026 12:08:06 PM"/>
    <s v="38040"/>
    <s v="15460"/>
    <s v="22580"/>
    <n v="22.58"/>
    <s v="RFID"/>
  </r>
  <r>
    <s v="34307"/>
    <x v="0"/>
    <s v="T299 EHH"/>
    <x v="1"/>
    <x v="3"/>
    <x v="1"/>
    <s v="MT"/>
    <x v="7"/>
    <s v="16/04/2026 12:05:34 PM"/>
    <s v="16/04/2026 12:11:24 PM"/>
    <s v="39360"/>
    <s v="16860"/>
    <s v="22500"/>
    <n v="22.5"/>
    <s v="RFID"/>
  </r>
  <r>
    <s v="34308"/>
    <x v="0"/>
    <s v="T295 EHH"/>
    <x v="1"/>
    <x v="3"/>
    <x v="1"/>
    <s v="MT"/>
    <x v="7"/>
    <s v="16/04/2026 12:10:26 PM"/>
    <s v="16/04/2026 12:15:10 PM"/>
    <s v="38460"/>
    <s v="15300"/>
    <s v="23160"/>
    <n v="23.16"/>
    <s v="RFID"/>
  </r>
  <r>
    <s v="34309"/>
    <x v="0"/>
    <s v="T312 EHH"/>
    <x v="1"/>
    <x v="3"/>
    <x v="1"/>
    <s v="MT"/>
    <x v="7"/>
    <s v="16/04/2026 12:13:43 PM"/>
    <s v="16/04/2026 12:18:52 PM"/>
    <s v="38340"/>
    <s v="15500"/>
    <s v="22840"/>
    <n v="22.84"/>
    <s v="RFID"/>
  </r>
  <r>
    <s v="34310"/>
    <x v="0"/>
    <s v="T299 EHH"/>
    <x v="1"/>
    <x v="3"/>
    <x v="1"/>
    <s v="MT"/>
    <x v="7"/>
    <s v="16/04/2026 12:22:54 PM"/>
    <s v="16/04/2026 12:28:12 PM"/>
    <s v="40640"/>
    <s v="16880"/>
    <s v="23760"/>
    <n v="23.76"/>
    <s v="RFID"/>
  </r>
  <r>
    <s v="34311"/>
    <x v="0"/>
    <s v="T293 EHH"/>
    <x v="1"/>
    <x v="3"/>
    <x v="1"/>
    <s v="MT"/>
    <x v="7"/>
    <s v="16/04/2026 12:26:09 PM"/>
    <s v="16/04/2026 12:34:29 PM"/>
    <s v="37500"/>
    <s v="15900"/>
    <s v="21600"/>
    <n v="21.6"/>
    <s v="RFID"/>
  </r>
  <r>
    <s v="34312"/>
    <x v="0"/>
    <s v="T295 EHH"/>
    <x v="1"/>
    <x v="3"/>
    <x v="1"/>
    <s v="MT"/>
    <x v="7"/>
    <s v="16/04/2026 12:31:39 PM"/>
    <s v="16/04/2026 12:39:24 PM"/>
    <s v="34260"/>
    <s v="15280"/>
    <s v="18980"/>
    <n v="18.98"/>
    <s v="RFID"/>
  </r>
  <r>
    <s v="34313"/>
    <x v="0"/>
    <s v="T311 EHH"/>
    <x v="0"/>
    <x v="0"/>
    <x v="1"/>
    <s v="MT"/>
    <x v="7"/>
    <s v="16/04/2026 12:33:00 PM"/>
    <s v="16/04/2026 12:40:34 PM"/>
    <s v="37520"/>
    <s v="16460"/>
    <s v="21060"/>
    <n v="21.06"/>
    <s v="RFID"/>
  </r>
  <r>
    <s v="34314"/>
    <x v="0"/>
    <s v="T312 EHH"/>
    <x v="1"/>
    <x v="3"/>
    <x v="1"/>
    <s v="MT"/>
    <x v="7"/>
    <s v="16/04/2026 12:36:37 PM"/>
    <s v="16/04/2026 01:06:34 PM"/>
    <s v="37820"/>
    <s v="16020"/>
    <s v="21800"/>
    <n v="21.8"/>
    <s v="RFID"/>
  </r>
  <r>
    <s v="34315"/>
    <x v="0"/>
    <s v="T290 EHH"/>
    <x v="0"/>
    <x v="0"/>
    <x v="1"/>
    <s v="MT"/>
    <x v="7"/>
    <s v="16/04/2026 12:38:02 PM"/>
    <s v="16/04/2026 12:42:45 PM"/>
    <s v="38680"/>
    <s v="15220"/>
    <s v="23460"/>
    <n v="23.46"/>
    <s v="RFID"/>
  </r>
  <r>
    <s v="34316"/>
    <x v="0"/>
    <s v="T299 EHH"/>
    <x v="1"/>
    <x v="3"/>
    <x v="0"/>
    <s v="MT"/>
    <x v="7"/>
    <s v="16/04/2026 12:44:16 PM"/>
    <s v="16/04/2026 01:09:03 PM"/>
    <s v="37320"/>
    <s v="17240"/>
    <s v="20080"/>
    <n v="20.079999999999998"/>
    <s v="RFID"/>
  </r>
  <r>
    <s v="34317"/>
    <x v="0"/>
    <s v="T295 EHH"/>
    <x v="1"/>
    <x v="3"/>
    <x v="0"/>
    <s v="MT"/>
    <x v="7"/>
    <s v="16/04/2026 12:47:50 PM"/>
    <s v="16/04/2026 01:14:34 PM"/>
    <s v="35440"/>
    <s v="16460"/>
    <s v="18980"/>
    <n v="18.98"/>
    <s v="RFID"/>
  </r>
  <r>
    <s v="34318"/>
    <x v="0"/>
    <s v="T293 EHH"/>
    <x v="0"/>
    <x v="0"/>
    <x v="1"/>
    <s v="MT"/>
    <x v="7"/>
    <s v="16/04/2026 12:49:03 PM"/>
    <s v="16/04/2026 12:54:30 PM"/>
    <s v="35720"/>
    <s v="15500"/>
    <s v="20220"/>
    <n v="20.22"/>
    <s v="RFID"/>
  </r>
  <r>
    <s v="34319"/>
    <x v="0"/>
    <s v="T311 EHH"/>
    <x v="0"/>
    <x v="0"/>
    <x v="1"/>
    <s v="MT"/>
    <x v="7"/>
    <s v="16/04/2026 12:53:09 PM"/>
    <s v="16/04/2026 01:00:13 PM"/>
    <s v="36020"/>
    <s v="16560"/>
    <s v="19460"/>
    <n v="19.46"/>
    <s v="RFID"/>
  </r>
  <r>
    <s v="34320"/>
    <x v="0"/>
    <s v="T290 EHH"/>
    <x v="0"/>
    <x v="0"/>
    <x v="1"/>
    <s v="MT"/>
    <x v="7"/>
    <s v="16/04/2026 01:10:32 PM"/>
    <s v="16/04/2026 01:21:53 PM"/>
    <s v="34580"/>
    <s v="15640"/>
    <s v="18940"/>
    <n v="18.940000000000001"/>
    <s v="RFID"/>
  </r>
  <r>
    <s v="34321"/>
    <x v="0"/>
    <s v="T312 EHH"/>
    <x v="1"/>
    <x v="3"/>
    <x v="0"/>
    <s v="MT"/>
    <x v="7"/>
    <s v="16/04/2026 01:15:32 PM"/>
    <s v="16/04/2026 01:24:19 PM"/>
    <s v="37160"/>
    <s v="15480"/>
    <s v="21680"/>
    <n v="21.68"/>
    <s v="RFID"/>
  </r>
  <r>
    <s v="34322"/>
    <x v="0"/>
    <s v="T293 EHH"/>
    <x v="0"/>
    <x v="0"/>
    <x v="1"/>
    <s v="MT"/>
    <x v="7"/>
    <s v="16/04/2026 01:16:24 PM"/>
    <s v="16/04/2026 01:22:45 PM"/>
    <s v="34840"/>
    <s v="15400"/>
    <s v="19440"/>
    <n v="19.440000000000001"/>
    <s v="RFID"/>
  </r>
  <r>
    <s v="34323"/>
    <x v="0"/>
    <s v="T299 EHH"/>
    <x v="1"/>
    <x v="3"/>
    <x v="0"/>
    <s v="MT"/>
    <x v="7"/>
    <s v="16/04/2026 01:17:27 PM"/>
    <s v="16/04/2026 01:27:54 PM"/>
    <s v="38320"/>
    <s v="17540"/>
    <s v="20780"/>
    <n v="20.78"/>
    <s v="RFID"/>
  </r>
  <r>
    <s v="34324"/>
    <x v="0"/>
    <s v="T311 EHH"/>
    <x v="0"/>
    <x v="0"/>
    <x v="1"/>
    <s v="MT"/>
    <x v="7"/>
    <s v="16/04/2026 01:20:39 PM"/>
    <s v="16/04/2026 01:26:43 PM"/>
    <s v="38220"/>
    <s v="16660"/>
    <s v="21560"/>
    <n v="21.56"/>
    <s v="RFID"/>
  </r>
  <r>
    <s v="34325"/>
    <x v="0"/>
    <s v="T295 EHH"/>
    <x v="1"/>
    <x v="3"/>
    <x v="0"/>
    <s v="MT"/>
    <x v="7"/>
    <s v="16/04/2026 01:23:31 PM"/>
    <s v="16/04/2026 01:43:37 PM"/>
    <s v="38020"/>
    <s v="15360"/>
    <s v="22660"/>
    <n v="22.66"/>
    <s v="RFID"/>
  </r>
  <r>
    <s v="34326"/>
    <x v="0"/>
    <s v="T312 EHH"/>
    <x v="1"/>
    <x v="3"/>
    <x v="0"/>
    <s v="MT"/>
    <x v="7"/>
    <s v="16/04/2026 01:30:01 PM"/>
    <s v="16/04/2026 01:47:23 PM"/>
    <s v="34260"/>
    <s v="15480"/>
    <s v="18780"/>
    <n v="18.78"/>
    <s v="RFID"/>
  </r>
  <r>
    <s v="34327"/>
    <x v="0"/>
    <s v="T290 EHH"/>
    <x v="0"/>
    <x v="0"/>
    <x v="1"/>
    <s v="MT"/>
    <x v="7"/>
    <s v="16/04/2026 01:31:19 PM"/>
    <s v="16/04/2026 01:36:29 PM"/>
    <s v="38120"/>
    <s v="15760"/>
    <s v="22360"/>
    <n v="22.36"/>
    <s v="RFID"/>
  </r>
  <r>
    <s v="34328"/>
    <x v="0"/>
    <s v="T299 EHH"/>
    <x v="1"/>
    <x v="3"/>
    <x v="0"/>
    <s v="MT"/>
    <x v="7"/>
    <s v="16/04/2026 01:33:40 PM"/>
    <s v="16/04/2026 01:48:52 PM"/>
    <s v="40340"/>
    <s v="17760"/>
    <s v="22580"/>
    <n v="22.58"/>
    <s v="RFID"/>
  </r>
  <r>
    <s v="34329"/>
    <x v="0"/>
    <s v="T293 EHH"/>
    <x v="0"/>
    <x v="0"/>
    <x v="1"/>
    <s v="MT"/>
    <x v="7"/>
    <s v="16/04/2026 01:37:39 PM"/>
    <s v="16/04/2026 01:41:54 PM"/>
    <s v="38080"/>
    <s v="15420"/>
    <s v="22660"/>
    <n v="22.66"/>
    <s v="RFID"/>
  </r>
  <r>
    <s v="34330"/>
    <x v="0"/>
    <s v="T311 EHH"/>
    <x v="0"/>
    <x v="0"/>
    <x v="1"/>
    <s v="MT"/>
    <x v="7"/>
    <s v="16/04/2026 01:45:15 PM"/>
    <s v="16/04/2026 01:51:06 PM"/>
    <s v="37020"/>
    <s v="16640"/>
    <s v="20380"/>
    <n v="20.38"/>
    <s v="RFID"/>
  </r>
  <r>
    <s v="34331"/>
    <x v="0"/>
    <s v="T295 EHH"/>
    <x v="1"/>
    <x v="3"/>
    <x v="0"/>
    <s v="MT"/>
    <x v="7"/>
    <s v="16/04/2026 01:50:01 PM"/>
    <s v="16/04/2026 01:53:38 PM"/>
    <s v="37580"/>
    <s v="15360"/>
    <s v="22220"/>
    <n v="22.22"/>
    <s v="RFID"/>
  </r>
  <r>
    <s v="34332"/>
    <x v="0"/>
    <s v="T312 EHH"/>
    <x v="1"/>
    <x v="3"/>
    <x v="0"/>
    <s v="MT"/>
    <x v="7"/>
    <s v="16/04/2026 02:00:29 PM"/>
    <s v="16/04/2026 02:14:46 PM"/>
    <s v="36600"/>
    <s v="15400"/>
    <s v="21200"/>
    <n v="21.2"/>
    <s v="RFID"/>
  </r>
  <r>
    <s v="34333"/>
    <x v="0"/>
    <s v="T312 EHH"/>
    <x v="1"/>
    <x v="3"/>
    <x v="0"/>
    <s v="MT"/>
    <x v="7"/>
    <s v="16/04/2026 02:41:41 PM"/>
    <s v="16/04/2026 02:47:32 PM"/>
    <s v="38920"/>
    <s v="15500"/>
    <s v="23420"/>
    <n v="23.42"/>
    <s v="RFID"/>
  </r>
  <r>
    <s v="34334"/>
    <x v="0"/>
    <s v="T299 EHH"/>
    <x v="1"/>
    <x v="3"/>
    <x v="0"/>
    <s v="MT"/>
    <x v="7"/>
    <s v="16/04/2026 02:52:18 PM"/>
    <s v="16/04/2026 02:58:16 PM"/>
    <s v="40760"/>
    <s v="18100"/>
    <s v="22660"/>
    <n v="22.66"/>
    <s v="RFID"/>
  </r>
  <r>
    <s v="34335"/>
    <x v="0"/>
    <s v="T312 EHH"/>
    <x v="1"/>
    <x v="3"/>
    <x v="0"/>
    <s v="MT"/>
    <x v="7"/>
    <s v="16/04/2026 02:59:21 PM"/>
    <s v="16/04/2026 03:04:26 PM"/>
    <s v="38740"/>
    <s v="15500"/>
    <s v="23240"/>
    <n v="23.24"/>
    <s v="RFID"/>
  </r>
  <r>
    <s v="34336"/>
    <x v="0"/>
    <s v="T311 EHH"/>
    <x v="1"/>
    <x v="3"/>
    <x v="0"/>
    <s v="MT"/>
    <x v="7"/>
    <s v="16/04/2026 03:08:15 PM"/>
    <s v="16/04/2026 03:14:46 PM"/>
    <s v="39360"/>
    <s v="16520"/>
    <s v="22840"/>
    <n v="22.84"/>
    <s v="RFID"/>
  </r>
  <r>
    <s v="34337"/>
    <x v="0"/>
    <s v="T295 EHH"/>
    <x v="1"/>
    <x v="3"/>
    <x v="0"/>
    <s v="MT"/>
    <x v="7"/>
    <s v="16/04/2026 03:13:23 PM"/>
    <s v="16/04/2026 03:18:02 PM"/>
    <s v="36480"/>
    <s v="15400"/>
    <s v="21080"/>
    <n v="21.08"/>
    <s v="RFID"/>
  </r>
  <r>
    <s v="34338"/>
    <x v="0"/>
    <s v="T299 EHH"/>
    <x v="1"/>
    <x v="3"/>
    <x v="0"/>
    <s v="MT"/>
    <x v="7"/>
    <s v="16/04/2026 03:16:55 PM"/>
    <s v="16/04/2026 03:23:07 PM"/>
    <s v="39160"/>
    <s v="18140"/>
    <s v="21020"/>
    <n v="21.02"/>
    <s v="RFID"/>
  </r>
  <r>
    <s v="34339"/>
    <x v="0"/>
    <s v="T312 EHH"/>
    <x v="1"/>
    <x v="3"/>
    <x v="0"/>
    <s v="MT"/>
    <x v="7"/>
    <s v="16/04/2026 03:20:56 PM"/>
    <s v="16/04/2026 03:27:10 PM"/>
    <s v="37820"/>
    <s v="15580"/>
    <s v="22240"/>
    <n v="22.24"/>
    <s v="RFID"/>
  </r>
  <r>
    <s v="34340"/>
    <x v="0"/>
    <s v="T299 EHH"/>
    <x v="1"/>
    <x v="3"/>
    <x v="0"/>
    <s v="MT"/>
    <x v="7"/>
    <s v="16/04/2026 03:30:15 PM"/>
    <s v="16/04/2026 03:35:53 PM"/>
    <s v="40180"/>
    <s v="18320"/>
    <s v="21860"/>
    <n v="21.86"/>
    <s v="RFID"/>
  </r>
  <r>
    <s v="34341"/>
    <x v="0"/>
    <s v="T312 EHH"/>
    <x v="1"/>
    <x v="3"/>
    <x v="0"/>
    <s v="MT"/>
    <x v="7"/>
    <s v="16/04/2026 03:34:39 PM"/>
    <s v="16/04/2026 03:41:27 PM"/>
    <s v="38480"/>
    <s v="15600"/>
    <s v="22880"/>
    <n v="22.88"/>
    <s v="RFID"/>
  </r>
  <r>
    <s v="34342"/>
    <x v="0"/>
    <s v="T299 EHH"/>
    <x v="1"/>
    <x v="3"/>
    <x v="0"/>
    <s v="MT"/>
    <x v="7"/>
    <s v="16/04/2026 03:44:12 PM"/>
    <s v="16/04/2026 03:49:40 PM"/>
    <s v="40160"/>
    <s v="18300"/>
    <s v="21860"/>
    <n v="21.86"/>
    <s v="RFID"/>
  </r>
  <r>
    <s v="34343"/>
    <x v="0"/>
    <s v="T312 EHH"/>
    <x v="1"/>
    <x v="3"/>
    <x v="0"/>
    <s v="MT"/>
    <x v="7"/>
    <s v="16/04/2026 03:50:39 PM"/>
    <s v="16/04/2026 03:55:28 PM"/>
    <s v="38720"/>
    <s v="15580"/>
    <s v="23140"/>
    <n v="23.14"/>
    <s v="RFID"/>
  </r>
  <r>
    <s v="34344"/>
    <x v="0"/>
    <s v="T299 EHH"/>
    <x v="1"/>
    <x v="3"/>
    <x v="0"/>
    <s v="MT"/>
    <x v="7"/>
    <s v="16/04/2026 03:56:39 PM"/>
    <s v="16/04/2026 04:02:09 PM"/>
    <s v="40780"/>
    <s v="18440"/>
    <s v="22340"/>
    <n v="22.34"/>
    <s v="RFID"/>
  </r>
  <r>
    <s v="34345"/>
    <x v="0"/>
    <s v="T295 EHH"/>
    <x v="1"/>
    <x v="3"/>
    <x v="0"/>
    <s v="MT"/>
    <x v="7"/>
    <s v="16/04/2026 04:01:03 PM"/>
    <s v="16/04/2026 04:04:59 PM"/>
    <s v="39740"/>
    <s v="15500"/>
    <s v="24240"/>
    <n v="24.24"/>
    <s v="RFID"/>
  </r>
  <r>
    <s v="34346"/>
    <x v="0"/>
    <s v="T312 EHH"/>
    <x v="1"/>
    <x v="3"/>
    <x v="0"/>
    <s v="MT"/>
    <x v="7"/>
    <s v="16/04/2026 04:06:11 PM"/>
    <s v="16/04/2026 04:17:08 PM"/>
    <s v="39760"/>
    <s v="15560"/>
    <s v="24200"/>
    <n v="24.2"/>
    <s v="RFID"/>
  </r>
  <r>
    <s v="34347"/>
    <x v="0"/>
    <s v="T295 EHH"/>
    <x v="1"/>
    <x v="3"/>
    <x v="0"/>
    <s v="MT"/>
    <x v="7"/>
    <s v="16/04/2026 04:18:13 PM"/>
    <s v="16/04/2026 04:24:43 PM"/>
    <s v="42260"/>
    <s v="15380"/>
    <s v="26880"/>
    <n v="26.88"/>
    <s v="RFID"/>
  </r>
  <r>
    <s v="34348"/>
    <x v="0"/>
    <s v="T311 EHH"/>
    <x v="0"/>
    <x v="0"/>
    <x v="0"/>
    <s v="MT"/>
    <x v="7"/>
    <s v="16/04/2026 04:20:53 PM"/>
    <s v="16/04/2026 04:26:22 PM"/>
    <s v="36780"/>
    <s v="16740"/>
    <s v="20040"/>
    <n v="20.04"/>
    <s v="RFID"/>
  </r>
  <r>
    <s v="34349"/>
    <x v="0"/>
    <s v="T299 EHH"/>
    <x v="0"/>
    <x v="0"/>
    <x v="1"/>
    <s v="MT"/>
    <x v="7"/>
    <s v="16/04/2026 04:22:00 PM"/>
    <s v="16/04/2026 04:30:51 PM"/>
    <s v="36020"/>
    <s v="18760"/>
    <s v="17260"/>
    <n v="17.260000000000002"/>
    <s v="RFID"/>
  </r>
  <r>
    <s v="34350"/>
    <x v="0"/>
    <s v="T290 EHH"/>
    <x v="0"/>
    <x v="0"/>
    <x v="1"/>
    <s v="MT"/>
    <x v="7"/>
    <s v="16/04/2026 04:22:51 PM"/>
    <s v="16/04/2026 04:30:00 PM"/>
    <s v="38420"/>
    <s v="16300"/>
    <s v="22120"/>
    <n v="22.12"/>
    <s v="RFID"/>
  </r>
  <r>
    <s v="34351"/>
    <x v="0"/>
    <s v="T312 EHH"/>
    <x v="1"/>
    <x v="3"/>
    <x v="0"/>
    <s v="MT"/>
    <x v="7"/>
    <s v="16/04/2026 04:29:02 PM"/>
    <s v="16/04/2026 04:37:21 PM"/>
    <s v="26280"/>
    <s v="15660"/>
    <s v="10620"/>
    <n v="10.62"/>
    <s v="RFID"/>
  </r>
  <r>
    <s v="34352"/>
    <x v="0"/>
    <s v="T295 EHH"/>
    <x v="1"/>
    <x v="3"/>
    <x v="0"/>
    <s v="MT"/>
    <x v="7"/>
    <s v="16/04/2026 04:36:27 PM"/>
    <s v="16/04/2026 04:41:17 PM"/>
    <s v="38320"/>
    <s v="15800"/>
    <s v="22520"/>
    <n v="22.52"/>
    <s v="RFID"/>
  </r>
  <r>
    <s v="34353"/>
    <x v="0"/>
    <s v="T311 EHH"/>
    <x v="0"/>
    <x v="0"/>
    <x v="1"/>
    <s v="MT"/>
    <x v="7"/>
    <s v="16/04/2026 04:38:47 PM"/>
    <s v="16/04/2026 04:43:01 PM"/>
    <s v="37800"/>
    <s v="16680"/>
    <s v="21120"/>
    <n v="21.12"/>
    <s v="RFID"/>
  </r>
  <r>
    <s v="34354"/>
    <x v="0"/>
    <s v="T312 EHH"/>
    <x v="0"/>
    <x v="2"/>
    <x v="1"/>
    <s v="MT"/>
    <x v="7"/>
    <s v="16/04/2026 04:45:32 PM"/>
    <s v="16/04/2026 04:51:34 PM"/>
    <s v="32700"/>
    <s v="15560"/>
    <s v="17140"/>
    <n v="17.14"/>
    <s v="RFID"/>
  </r>
  <r>
    <s v="34355"/>
    <x v="0"/>
    <s v="T290 EHH"/>
    <x v="0"/>
    <x v="0"/>
    <x v="1"/>
    <s v="MT"/>
    <x v="7"/>
    <s v="16/04/2026 04:48:25 PM"/>
    <s v="16/04/2026 04:55:43 PM"/>
    <s v="37100"/>
    <s v="16340"/>
    <s v="20760"/>
    <n v="20.76"/>
    <s v="RFID"/>
  </r>
  <r>
    <s v="34356"/>
    <x v="0"/>
    <s v="T295 EHH"/>
    <x v="0"/>
    <x v="2"/>
    <x v="1"/>
    <s v="MT"/>
    <x v="7"/>
    <s v="16/04/2026 04:49:34 PM"/>
    <s v="16/04/2026 04:54:12 PM"/>
    <s v="34620"/>
    <s v="15560"/>
    <s v="19060"/>
    <n v="19.059999999999999"/>
    <s v="RFID"/>
  </r>
  <r>
    <s v="34357"/>
    <x v="0"/>
    <s v="T299 EHH"/>
    <x v="0"/>
    <x v="0"/>
    <x v="1"/>
    <s v="MT"/>
    <x v="7"/>
    <s v="16/04/2026 04:59:04 PM"/>
    <s v="16/04/2026 05:04:24 PM"/>
    <s v="39260"/>
    <s v="19640"/>
    <s v="19620"/>
    <n v="19.62"/>
    <s v="RFID"/>
  </r>
  <r>
    <s v="34358"/>
    <x v="0"/>
    <s v="T312 EHH"/>
    <x v="0"/>
    <x v="2"/>
    <x v="1"/>
    <s v="MT"/>
    <x v="7"/>
    <s v="16/04/2026 05:00:11 PM"/>
    <s v="16/04/2026 05:05:34 PM"/>
    <s v="27440"/>
    <s v="15560"/>
    <s v="11880"/>
    <n v="11.88"/>
    <s v="RFID"/>
  </r>
  <r>
    <s v="34359"/>
    <x v="0"/>
    <s v="T311 EHH"/>
    <x v="0"/>
    <x v="0"/>
    <x v="1"/>
    <s v="MT"/>
    <x v="7"/>
    <s v="16/04/2026 05:03:36 PM"/>
    <s v="16/04/2026 05:07:55 PM"/>
    <s v="37920"/>
    <s v="17040"/>
    <s v="20880"/>
    <n v="20.88"/>
    <s v="RFID"/>
  </r>
  <r>
    <s v="34360"/>
    <x v="0"/>
    <s v="T295 EHH"/>
    <x v="0"/>
    <x v="2"/>
    <x v="1"/>
    <s v="MT"/>
    <x v="7"/>
    <s v="16/04/2026 05:06:56 PM"/>
    <s v="16/04/2026 05:11:23 PM"/>
    <s v="39700"/>
    <s v="15540"/>
    <s v="24160"/>
    <n v="24.16"/>
    <s v="RFID"/>
  </r>
  <r>
    <s v="34361"/>
    <x v="0"/>
    <s v="T290 EHH"/>
    <x v="0"/>
    <x v="0"/>
    <x v="1"/>
    <s v="MT"/>
    <x v="7"/>
    <s v="16/04/2026 05:09:24 PM"/>
    <s v="16/04/2026 05:13:33 PM"/>
    <s v="37180"/>
    <s v="16680"/>
    <s v="20500"/>
    <n v="20.5"/>
    <s v="RFID"/>
  </r>
  <r>
    <s v="34362"/>
    <x v="0"/>
    <s v="T312 EHH"/>
    <x v="0"/>
    <x v="2"/>
    <x v="1"/>
    <s v="MT"/>
    <x v="7"/>
    <s v="16/04/2026 05:14:43 PM"/>
    <s v="16/04/2026 05:19:31 PM"/>
    <s v="39300"/>
    <s v="15780"/>
    <s v="23520"/>
    <n v="23.52"/>
    <s v="RFID"/>
  </r>
  <r>
    <s v="34363"/>
    <x v="0"/>
    <s v="T299 EHH"/>
    <x v="0"/>
    <x v="0"/>
    <x v="1"/>
    <s v="MT"/>
    <x v="7"/>
    <s v="16/04/2026 05:17:57 PM"/>
    <s v="16/04/2026 05:43:25 PM"/>
    <s v="38240"/>
    <s v="15960"/>
    <s v="22280"/>
    <n v="22.28"/>
    <s v="RFID"/>
  </r>
  <r>
    <s v="34364"/>
    <x v="0"/>
    <s v="T290 EHH"/>
    <x v="0"/>
    <x v="0"/>
    <x v="1"/>
    <s v="MT"/>
    <x v="7"/>
    <s v="16/04/2026 05:23:18 PM"/>
    <s v="16/04/2026 05:30:05 PM"/>
    <s v="35440"/>
    <s v="16780"/>
    <s v="18660"/>
    <n v="18.66"/>
    <s v="RFID"/>
  </r>
  <r>
    <s v="34365"/>
    <x v="0"/>
    <s v="T295 EHH"/>
    <x v="0"/>
    <x v="2"/>
    <x v="1"/>
    <s v="MT"/>
    <x v="7"/>
    <s v="16/04/2026 05:27:18 PM"/>
    <s v="16/04/2026 05:34:39 PM"/>
    <s v="39320"/>
    <s v="15660"/>
    <s v="23660"/>
    <n v="23.66"/>
    <s v="RFID"/>
  </r>
  <r>
    <s v="34366"/>
    <x v="0"/>
    <s v="T311 EHH"/>
    <x v="0"/>
    <x v="0"/>
    <x v="1"/>
    <s v="MT"/>
    <x v="7"/>
    <s v="16/04/2026 05:28:54 PM"/>
    <s v="16/04/2026 05:33:47 PM"/>
    <s v="37820"/>
    <s v="17160"/>
    <s v="20660"/>
    <n v="20.66"/>
    <s v="RFID"/>
  </r>
  <r>
    <s v="34367"/>
    <x v="0"/>
    <s v="T290 EHH"/>
    <x v="0"/>
    <x v="0"/>
    <x v="1"/>
    <s v="MT"/>
    <x v="7"/>
    <s v="16/04/2026 05:42:03 PM"/>
    <s v="16/04/2026 05:48:11 PM"/>
    <s v="35940"/>
    <s v="17040"/>
    <s v="18900"/>
    <n v="18.899999999999999"/>
    <s v="RFID"/>
  </r>
  <r>
    <s v="34368"/>
    <x v="0"/>
    <s v="T311 EHH"/>
    <x v="0"/>
    <x v="0"/>
    <x v="1"/>
    <s v="MT"/>
    <x v="7"/>
    <s v="16/04/2026 05:46:39 PM"/>
    <s v="16/04/2026 05:51:15 PM"/>
    <s v="37300"/>
    <s v="17220"/>
    <s v="20080"/>
    <n v="20.079999999999998"/>
    <s v="RFID"/>
  </r>
  <r>
    <s v="34369"/>
    <x v="0"/>
    <s v="T290 EHH"/>
    <x v="0"/>
    <x v="0"/>
    <x v="1"/>
    <s v="MT"/>
    <x v="7"/>
    <s v="16/04/2026 05:59:01 PM"/>
    <s v="16/04/2026 06:04:18 PM"/>
    <s v="35580"/>
    <s v="17220"/>
    <s v="18360"/>
    <n v="18.36"/>
    <s v="RFID"/>
  </r>
  <r>
    <s v="34370"/>
    <x v="0"/>
    <s v="T295 EHH"/>
    <x v="0"/>
    <x v="2"/>
    <x v="1"/>
    <s v="MT"/>
    <x v="7"/>
    <s v="16/04/2026 06:03:07 PM"/>
    <s v="16/04/2026 06:06:48 PM"/>
    <s v="35620"/>
    <s v="15560"/>
    <s v="20060"/>
    <n v="20.059999999999999"/>
    <s v="RFID"/>
  </r>
  <r>
    <s v="34371"/>
    <x v="0"/>
    <s v="T311 EHH"/>
    <x v="0"/>
    <x v="0"/>
    <x v="1"/>
    <s v="MT"/>
    <x v="7"/>
    <s v="16/04/2026 06:08:37 PM"/>
    <s v="16/04/2026 06:12:46 PM"/>
    <s v="39020"/>
    <s v="17280"/>
    <s v="21740"/>
    <n v="21.74"/>
    <s v="RFID"/>
  </r>
  <r>
    <s v="34372"/>
    <x v="0"/>
    <s v="T312 EHH"/>
    <x v="0"/>
    <x v="2"/>
    <x v="1"/>
    <s v="MT"/>
    <x v="7"/>
    <s v="16/04/2026 06:09:34 PM"/>
    <s v="16/04/2026 06:15:53 PM"/>
    <s v="35860"/>
    <s v="15620"/>
    <s v="20240"/>
    <n v="20.239999999999998"/>
    <s v="RFID"/>
  </r>
  <r>
    <s v="34373"/>
    <x v="0"/>
    <s v="T299 EHH"/>
    <x v="0"/>
    <x v="2"/>
    <x v="1"/>
    <s v="MT"/>
    <x v="7"/>
    <s v="16/04/2026 06:14:25 PM"/>
    <s v="16/04/2026 06:20:18 PM"/>
    <s v="38700"/>
    <s v="16860"/>
    <s v="21840"/>
    <n v="21.84"/>
    <s v="RFID"/>
  </r>
  <r>
    <s v="34374"/>
    <x v="0"/>
    <s v="T295 EHH"/>
    <x v="0"/>
    <x v="2"/>
    <x v="1"/>
    <s v="MT"/>
    <x v="7"/>
    <s v="16/04/2026 06:17:12 PM"/>
    <s v="16/04/2026 06:21:22 PM"/>
    <s v="35840"/>
    <s v="15700"/>
    <s v="20140"/>
    <n v="20.14"/>
    <s v="RFID"/>
  </r>
  <r>
    <s v="34375"/>
    <x v="0"/>
    <s v="T290 EHH"/>
    <x v="0"/>
    <x v="0"/>
    <x v="1"/>
    <s v="MT"/>
    <x v="7"/>
    <s v="16/04/2026 06:19:01 PM"/>
    <s v="16/04/2026 06:23:51 PM"/>
    <s v="37380"/>
    <s v="17800"/>
    <s v="19580"/>
    <n v="19.579999999999998"/>
    <s v="RFID"/>
  </r>
  <r>
    <s v="34376"/>
    <x v="0"/>
    <s v="T311 EHH"/>
    <x v="0"/>
    <x v="0"/>
    <x v="1"/>
    <s v="MT"/>
    <x v="7"/>
    <s v="16/04/2026 06:25:58 PM"/>
    <s v="16/04/2026 06:30:27 PM"/>
    <s v="36740"/>
    <s v="17520"/>
    <s v="19220"/>
    <n v="19.22"/>
    <s v="RFID"/>
  </r>
  <r>
    <s v="34377"/>
    <x v="0"/>
    <s v="T312 EHH"/>
    <x v="0"/>
    <x v="2"/>
    <x v="1"/>
    <s v="MT"/>
    <x v="7"/>
    <s v="16/04/2026 06:27:10 PM"/>
    <s v="16/04/2026 06:31:50 PM"/>
    <s v="40000"/>
    <s v="15820"/>
    <s v="24180"/>
    <n v="24.18"/>
    <s v="RFID"/>
  </r>
  <r>
    <s v="34378"/>
    <x v="0"/>
    <s v="T299 EHH"/>
    <x v="0"/>
    <x v="2"/>
    <x v="1"/>
    <s v="MT"/>
    <x v="7"/>
    <s v="16/04/2026 06:29:06 PM"/>
    <s v="16/04/2026 06:35:24 PM"/>
    <s v="38260"/>
    <s v="17000"/>
    <s v="21260"/>
    <n v="21.26"/>
    <s v="RFID"/>
  </r>
  <r>
    <s v="34379"/>
    <x v="0"/>
    <s v="T295 EHH"/>
    <x v="0"/>
    <x v="0"/>
    <x v="1"/>
    <s v="MT"/>
    <x v="7"/>
    <s v="16/04/2026 06:32:59 PM"/>
    <s v="16/04/2026 06:37:10 PM"/>
    <s v="35240"/>
    <s v="15680"/>
    <s v="19560"/>
    <n v="19.559999999999999"/>
    <s v="RFID"/>
  </r>
  <r>
    <s v="34380"/>
    <x v="0"/>
    <s v="T312 EHH"/>
    <x v="0"/>
    <x v="0"/>
    <x v="1"/>
    <s v="MT"/>
    <x v="7"/>
    <s v="16/04/2026 06:40:04 PM"/>
    <s v="16/04/2026 06:44:10 PM"/>
    <s v="36040"/>
    <s v="24180"/>
    <s v="11860"/>
    <n v="11.86"/>
    <s v="RFID"/>
  </r>
  <r>
    <s v="34381"/>
    <x v="0"/>
    <s v="T299 EHH"/>
    <x v="0"/>
    <x v="0"/>
    <x v="1"/>
    <s v="MT"/>
    <x v="7"/>
    <s v="16/04/2026 06:49:16 PM"/>
    <s v="16/04/2026 06:54:59 PM"/>
    <s v="34480"/>
    <s v="17080"/>
    <s v="17400"/>
    <n v="17.399999999999999"/>
    <s v="RFID"/>
  </r>
  <r>
    <s v="34382"/>
    <x v="0"/>
    <s v="T295 EHH"/>
    <x v="0"/>
    <x v="0"/>
    <x v="1"/>
    <s v="MT"/>
    <x v="7"/>
    <s v="16/04/2026 06:51:23 PM"/>
    <s v="16/04/2026 06:56:01 PM"/>
    <s v="37400"/>
    <s v="16540"/>
    <s v="20860"/>
    <n v="20.86"/>
    <s v="RFID"/>
  </r>
  <r>
    <s v="34383"/>
    <x v="0"/>
    <s v="T312 EHH"/>
    <x v="0"/>
    <x v="0"/>
    <x v="1"/>
    <s v="MT"/>
    <x v="7"/>
    <s v="16/04/2026 06:53:24 PM"/>
    <s v="16/04/2026 06:57:26 PM"/>
    <s v="37720"/>
    <s v="15560"/>
    <s v="22160"/>
    <n v="22.16"/>
    <s v="RFID"/>
  </r>
  <r>
    <s v="34384"/>
    <x v="0"/>
    <s v="T299 EHH"/>
    <x v="0"/>
    <x v="0"/>
    <x v="1"/>
    <s v="MT"/>
    <x v="7"/>
    <s v="16/04/2026 07:05:21 PM"/>
    <s v="16/04/2026 07:12:54 PM"/>
    <s v="37540"/>
    <s v="17980"/>
    <s v="19560"/>
    <n v="19.559999999999999"/>
    <s v="RFID"/>
  </r>
  <r>
    <s v="34385"/>
    <x v="0"/>
    <s v="T295 EHH"/>
    <x v="0"/>
    <x v="2"/>
    <x v="1"/>
    <s v="MT"/>
    <x v="7"/>
    <s v="16/04/2026 07:11:13 PM"/>
    <s v="16/04/2026 07:18:59 PM"/>
    <s v="36860"/>
    <s v="19180"/>
    <s v="17680"/>
    <n v="17.68"/>
    <s v="RFID"/>
  </r>
  <r>
    <s v="34386"/>
    <x v="0"/>
    <s v="T312 EHH"/>
    <x v="0"/>
    <x v="2"/>
    <x v="1"/>
    <s v="MT"/>
    <x v="7"/>
    <s v="16/04/2026 07:14:17 PM"/>
    <s v="16/04/2026 07:21:57 PM"/>
    <s v="36260"/>
    <s v="15740"/>
    <s v="20520"/>
    <n v="20.52"/>
    <s v="RFID"/>
  </r>
  <r>
    <s v="34387"/>
    <x v="0"/>
    <s v="T311 EHH"/>
    <x v="0"/>
    <x v="2"/>
    <x v="0"/>
    <s v="MT"/>
    <x v="7"/>
    <s v="16/04/2026 10:10:18 PM"/>
    <s v="16/04/2026 10:19:22 PM"/>
    <s v="37140"/>
    <s v="17860"/>
    <s v="19280"/>
    <n v="19.28"/>
    <s v="RFID"/>
  </r>
  <r>
    <s v="34388"/>
    <x v="0"/>
    <s v="T290 EHH"/>
    <x v="0"/>
    <x v="2"/>
    <x v="0"/>
    <s v="MT"/>
    <x v="7"/>
    <s v="16/04/2026 10:15:01 PM"/>
    <s v="16/04/2026 10:21:49 PM"/>
    <s v="37600"/>
    <s v="17360"/>
    <s v="20240"/>
    <n v="20.239999999999998"/>
    <s v="RFID"/>
  </r>
  <r>
    <s v="34389"/>
    <x v="0"/>
    <s v="T295 EHH"/>
    <x v="0"/>
    <x v="2"/>
    <x v="0"/>
    <s v="MT"/>
    <x v="7"/>
    <s v="16/04/2026 10:17:44 PM"/>
    <s v="16/04/2026 10:27:15 PM"/>
    <s v="39200"/>
    <s v="16800"/>
    <s v="22400"/>
    <n v="22.4"/>
    <s v="RFID"/>
  </r>
  <r>
    <s v="34390"/>
    <x v="0"/>
    <s v="T312 EHH"/>
    <x v="0"/>
    <x v="2"/>
    <x v="0"/>
    <s v="MT"/>
    <x v="7"/>
    <s v="16/04/2026 10:23:22 PM"/>
    <s v="16/04/2026 10:32:59 PM"/>
    <s v="35920"/>
    <s v="16060"/>
    <s v="19860"/>
    <n v="19.86"/>
    <s v="RFID"/>
  </r>
  <r>
    <s v="34391"/>
    <x v="0"/>
    <s v="T299 EHH"/>
    <x v="0"/>
    <x v="2"/>
    <x v="0"/>
    <s v="MT"/>
    <x v="7"/>
    <s v="16/04/2026 10:28:44 PM"/>
    <s v="16/04/2026 10:36:24 PM"/>
    <s v="38260"/>
    <s v="18340"/>
    <s v="19920"/>
    <n v="19.920000000000002"/>
    <s v="RFID"/>
  </r>
  <r>
    <s v="34392"/>
    <x v="0"/>
    <s v="T311 EHH"/>
    <x v="0"/>
    <x v="2"/>
    <x v="0"/>
    <s v="MT"/>
    <x v="7"/>
    <s v="16/04/2026 10:31:09 PM"/>
    <s v="16/04/2026 10:41:10 PM"/>
    <s v="37660"/>
    <s v="17780"/>
    <s v="19880"/>
    <n v="19.88"/>
    <s v="RFID"/>
  </r>
  <r>
    <s v="34393"/>
    <x v="0"/>
    <s v="T290 EHH"/>
    <x v="0"/>
    <x v="2"/>
    <x v="0"/>
    <s v="MT"/>
    <x v="7"/>
    <s v="16/04/2026 10:34:51 PM"/>
    <s v="16/04/2026 10:42:26 PM"/>
    <s v="37260"/>
    <s v="17400"/>
    <s v="19860"/>
    <n v="19.86"/>
    <s v="RFID"/>
  </r>
  <r>
    <s v="34394"/>
    <x v="0"/>
    <s v="T295 EHH"/>
    <x v="0"/>
    <x v="2"/>
    <x v="0"/>
    <s v="MT"/>
    <x v="7"/>
    <s v="16/04/2026 10:39:37 PM"/>
    <s v="16/04/2026 10:46:36 PM"/>
    <s v="42240"/>
    <s v="17680"/>
    <s v="24560"/>
    <n v="24.56"/>
    <s v="RFID"/>
  </r>
  <r>
    <s v="34395"/>
    <x v="0"/>
    <s v="T312 EHH"/>
    <x v="0"/>
    <x v="2"/>
    <x v="0"/>
    <s v="MT"/>
    <x v="7"/>
    <s v="16/04/2026 10:44:04 PM"/>
    <s v="16/04/2026 10:48:22 PM"/>
    <s v="37400"/>
    <s v="16300"/>
    <s v="21100"/>
    <n v="21.1"/>
    <s v="RFID"/>
  </r>
  <r>
    <s v="34396"/>
    <x v="0"/>
    <s v="T299 EHH"/>
    <x v="0"/>
    <x v="2"/>
    <x v="0"/>
    <s v="MT"/>
    <x v="7"/>
    <s v="16/04/2026 10:50:51 PM"/>
    <s v="16/04/2026 11:01:34 PM"/>
    <s v="44180"/>
    <s v="19260"/>
    <s v="24920"/>
    <n v="24.92"/>
    <s v="RFID"/>
  </r>
  <r>
    <s v="34397"/>
    <x v="0"/>
    <s v="T311 EHH"/>
    <x v="0"/>
    <x v="2"/>
    <x v="0"/>
    <s v="MT"/>
    <x v="7"/>
    <s v="16/04/2026 10:52:33 PM"/>
    <s v="16/04/2026 10:58:24 PM"/>
    <s v="36760"/>
    <s v="17820"/>
    <s v="18940"/>
    <n v="18.940000000000001"/>
    <s v="RFID"/>
  </r>
  <r>
    <s v="34398"/>
    <x v="0"/>
    <s v="T290 EHH"/>
    <x v="0"/>
    <x v="2"/>
    <x v="0"/>
    <s v="MT"/>
    <x v="7"/>
    <s v="16/04/2026 11:00:16 PM"/>
    <s v="16/04/2026 11:30:04 PM"/>
    <s v="40980"/>
    <s v="15860"/>
    <s v="25120"/>
    <n v="25.12"/>
    <s v="RFID"/>
  </r>
  <r>
    <s v="34399"/>
    <x v="0"/>
    <s v="T295 EHH"/>
    <x v="0"/>
    <x v="2"/>
    <x v="0"/>
    <s v="MT"/>
    <x v="7"/>
    <s v="16/04/2026 11:05:42 PM"/>
    <s v="16/04/2026 11:31:44 PM"/>
    <s v="43800"/>
    <s v="15400"/>
    <s v="28400"/>
    <n v="28.4"/>
    <s v="RFID"/>
  </r>
  <r>
    <s v="34400"/>
    <x v="0"/>
    <s v="T312 EHH"/>
    <x v="0"/>
    <x v="0"/>
    <x v="0"/>
    <s v="MT"/>
    <x v="7"/>
    <s v="16/04/2026 11:26:19 PM"/>
    <s v="16/04/2026 11:32:45 PM"/>
    <s v="44520"/>
    <s v="16660"/>
    <s v="27860"/>
    <n v="27.86"/>
    <s v="RFID"/>
  </r>
  <r>
    <s v="34401"/>
    <x v="0"/>
    <s v="T311 EHH"/>
    <x v="0"/>
    <x v="0"/>
    <x v="0"/>
    <s v="MT"/>
    <x v="7"/>
    <s v="16/04/2026 11:27:19 PM"/>
    <s v="16/04/2026 11:33:41 PM"/>
    <s v="41760"/>
    <s v="15940"/>
    <s v="25820"/>
    <n v="25.82"/>
    <s v="RFID"/>
  </r>
  <r>
    <s v="34402"/>
    <x v="0"/>
    <s v="T299 EHH"/>
    <x v="0"/>
    <x v="0"/>
    <x v="0"/>
    <s v="MT"/>
    <x v="7"/>
    <s v="16/04/2026 11:28:20 PM"/>
    <s v="16/04/2026 11:36:57 PM"/>
    <s v="37520"/>
    <s v="19920"/>
    <s v="17600"/>
    <n v="17.600000000000001"/>
    <s v="RFID"/>
  </r>
  <r>
    <s v="34403"/>
    <x v="0"/>
    <s v="T290 EHH"/>
    <x v="0"/>
    <x v="0"/>
    <x v="0"/>
    <s v="MT"/>
    <x v="7"/>
    <s v="16/04/2026 11:45:26 PM"/>
    <s v="16/04/2026 11:57:03 PM"/>
    <s v="36960"/>
    <s v="16160"/>
    <s v="20800"/>
    <n v="20.8"/>
    <s v="RFID"/>
  </r>
  <r>
    <s v="34404"/>
    <x v="0"/>
    <s v="T295 EHH"/>
    <x v="0"/>
    <x v="2"/>
    <x v="0"/>
    <s v="MT"/>
    <x v="7"/>
    <s v="16/04/2026 11:48:12 PM"/>
    <s v="17/04/2026 01:11:40 AM"/>
    <s v="36180"/>
    <s v="15580"/>
    <s v="20600"/>
    <n v="20.6"/>
    <s v="RFID"/>
  </r>
  <r>
    <s v="34405"/>
    <x v="0"/>
    <s v="T312 EHH"/>
    <x v="0"/>
    <x v="2"/>
    <x v="0"/>
    <s v="MT"/>
    <x v="7"/>
    <s v="16/04/2026 11:51:21 PM"/>
    <s v="17/04/2026 01:13:00 AM"/>
    <s v="36600"/>
    <s v="16720"/>
    <s v="19880"/>
    <n v="19.88"/>
    <s v="RFID"/>
  </r>
  <r>
    <s v="34406"/>
    <x v="0"/>
    <s v="T311 EHH"/>
    <x v="0"/>
    <x v="2"/>
    <x v="0"/>
    <s v="MT"/>
    <x v="7"/>
    <s v="16/04/2026 11:55:46 PM"/>
    <s v="17/04/2026 01:15:02 AM"/>
    <s v="35540"/>
    <s v="16000"/>
    <s v="19540"/>
    <n v="19.54"/>
    <s v="RFID"/>
  </r>
  <r>
    <s v="MN16042601"/>
    <x v="1"/>
    <s v="T270EJP"/>
    <x v="1"/>
    <x v="1"/>
    <x v="2"/>
    <s v="MT"/>
    <x v="7"/>
    <s v="16/04/2026 11:55:46 PM"/>
    <s v="16/04/2026 11:55:46 PM"/>
    <s v="45000"/>
    <s v="20000"/>
    <s v="25000"/>
    <n v="25"/>
    <s v=""/>
  </r>
  <r>
    <s v="MN16042602"/>
    <x v="1"/>
    <s v="T270EJP"/>
    <x v="1"/>
    <x v="1"/>
    <x v="2"/>
    <s v="MT"/>
    <x v="7"/>
    <s v="16/04/2026 11:55:46 PM"/>
    <s v="16/04/2026 11:55:46 PM"/>
    <s v="45000"/>
    <s v="20000"/>
    <s v="25000"/>
    <n v="25"/>
    <s v=""/>
  </r>
  <r>
    <s v="MN16042603"/>
    <x v="1"/>
    <s v="T270EJP"/>
    <x v="1"/>
    <x v="1"/>
    <x v="2"/>
    <s v="MT"/>
    <x v="7"/>
    <s v="16/04/2026 11:55:46 PM"/>
    <s v="16/04/2026 11:55:46 PM"/>
    <s v="45000"/>
    <s v="20000"/>
    <s v="25000"/>
    <n v="25"/>
    <s v=""/>
  </r>
  <r>
    <s v="MN16042604"/>
    <x v="1"/>
    <s v="T270EJP"/>
    <x v="1"/>
    <x v="1"/>
    <x v="2"/>
    <s v="MT"/>
    <x v="7"/>
    <s v="16/04/2026 11:55:46 PM"/>
    <s v="16/04/2026 11:55:46 PM"/>
    <s v="45000"/>
    <s v="20000"/>
    <s v="25000"/>
    <n v="25"/>
    <s v=""/>
  </r>
  <r>
    <s v="34407"/>
    <x v="0"/>
    <s v="T299 EHH"/>
    <x v="0"/>
    <x v="2"/>
    <x v="0"/>
    <s v="MT"/>
    <x v="8"/>
    <s v="17/04/2026 12:05:10 AM"/>
    <s v="17/04/2026 01:19:17 AM"/>
    <s v="39900"/>
    <s v="20320"/>
    <s v="19580"/>
    <n v="19.579999999999998"/>
    <s v="RFID"/>
  </r>
  <r>
    <s v="34408"/>
    <x v="0"/>
    <s v="T290 EHH"/>
    <x v="0"/>
    <x v="2"/>
    <x v="0"/>
    <s v="MT"/>
    <x v="8"/>
    <s v="17/04/2026 12:08:57 AM"/>
    <s v="17/04/2026 01:34:26 AM"/>
    <s v="36120"/>
    <s v="17900"/>
    <s v="18220"/>
    <n v="18.22"/>
    <s v="RFID"/>
  </r>
  <r>
    <s v="34409"/>
    <x v="0"/>
    <s v="T295 EHH"/>
    <x v="0"/>
    <x v="2"/>
    <x v="0"/>
    <s v="MT"/>
    <x v="8"/>
    <s v="17/04/2026 01:24:56 AM"/>
    <s v="17/04/2026 01:32:04 AM"/>
    <s v="36620"/>
    <s v="15740"/>
    <s v="20880"/>
    <n v="20.88"/>
    <s v="RFID"/>
  </r>
  <r>
    <s v="34410"/>
    <x v="0"/>
    <s v="T312 EHH"/>
    <x v="0"/>
    <x v="2"/>
    <x v="0"/>
    <s v="MT"/>
    <x v="8"/>
    <s v="17/04/2026 01:26:17 AM"/>
    <s v="17/04/2026 01:36:47 AM"/>
    <s v="37220"/>
    <s v="17120"/>
    <s v="20100"/>
    <n v="20.100000000000001"/>
    <s v="RFID"/>
  </r>
  <r>
    <s v="34411"/>
    <x v="0"/>
    <s v="T311 EHH"/>
    <x v="0"/>
    <x v="2"/>
    <x v="0"/>
    <s v="MT"/>
    <x v="8"/>
    <s v="17/04/2026 01:30:37 AM"/>
    <s v="17/04/2026 01:39:43 AM"/>
    <s v="35480"/>
    <s v="16260"/>
    <s v="19220"/>
    <n v="19.22"/>
    <s v="RFID"/>
  </r>
  <r>
    <s v="34412"/>
    <x v="0"/>
    <s v="T295 EHH"/>
    <x v="0"/>
    <x v="2"/>
    <x v="0"/>
    <s v="MT"/>
    <x v="8"/>
    <s v="17/04/2026 01:59:09 AM"/>
    <s v="17/04/2026 02:06:26 AM"/>
    <s v="33820"/>
    <s v="15760"/>
    <s v="18060"/>
    <n v="18.059999999999999"/>
    <s v="RFID"/>
  </r>
  <r>
    <s v="34413"/>
    <x v="0"/>
    <s v="T299 EHH"/>
    <x v="0"/>
    <x v="2"/>
    <x v="0"/>
    <s v="MT"/>
    <x v="8"/>
    <s v="17/04/2026 02:01:07 AM"/>
    <s v="17/04/2026 02:09:05 AM"/>
    <s v="36600"/>
    <s v="20100"/>
    <s v="16500"/>
    <n v="16.5"/>
    <s v="RFID"/>
  </r>
  <r>
    <s v="34414"/>
    <x v="0"/>
    <s v="T290 EHH"/>
    <x v="0"/>
    <x v="2"/>
    <x v="0"/>
    <s v="MT"/>
    <x v="8"/>
    <s v="17/04/2026 02:02:08 AM"/>
    <s v="17/04/2026 02:10:45 AM"/>
    <s v="39660"/>
    <s v="16180"/>
    <s v="23480"/>
    <n v="23.48"/>
    <s v="RFID"/>
  </r>
  <r>
    <s v="34415"/>
    <x v="0"/>
    <s v="T312 EHH"/>
    <x v="0"/>
    <x v="2"/>
    <x v="0"/>
    <s v="MT"/>
    <x v="8"/>
    <s v="17/04/2026 02:03:06 AM"/>
    <s v="17/04/2026 02:11:50 AM"/>
    <s v="39940"/>
    <s v="16740"/>
    <s v="23200"/>
    <n v="23.2"/>
    <s v="RFID"/>
  </r>
  <r>
    <s v="34416"/>
    <x v="0"/>
    <s v="T311 EHH"/>
    <x v="0"/>
    <x v="2"/>
    <x v="0"/>
    <s v="MT"/>
    <x v="8"/>
    <s v="17/04/2026 02:04:19 AM"/>
    <s v="17/04/2026 02:14:37 AM"/>
    <s v="39180"/>
    <s v="16620"/>
    <s v="22560"/>
    <n v="22.56"/>
    <s v="RFID"/>
  </r>
  <r>
    <s v="34417"/>
    <x v="0"/>
    <s v="T295 EHH"/>
    <x v="0"/>
    <x v="2"/>
    <x v="0"/>
    <s v="MT"/>
    <x v="8"/>
    <s v="17/04/2026 02:16:26 AM"/>
    <s v="17/04/2026 02:40:43 AM"/>
    <s v="37880"/>
    <s v="15860"/>
    <s v="22020"/>
    <n v="22.02"/>
    <s v="RFID"/>
  </r>
  <r>
    <s v="34418"/>
    <x v="0"/>
    <s v="T299 EHH"/>
    <x v="0"/>
    <x v="2"/>
    <x v="0"/>
    <s v="MT"/>
    <x v="8"/>
    <s v="17/04/2026 02:21:13 AM"/>
    <s v="17/04/2026 02:48:48 AM"/>
    <s v="40680"/>
    <s v="20300"/>
    <s v="20380"/>
    <n v="20.38"/>
    <s v="RFID"/>
  </r>
  <r>
    <s v="34419"/>
    <x v="0"/>
    <s v="T290 EHH"/>
    <x v="0"/>
    <x v="2"/>
    <x v="0"/>
    <s v="MT"/>
    <x v="8"/>
    <s v="17/04/2026 02:33:59 AM"/>
    <s v="17/04/2026 02:41:50 AM"/>
    <s v="38420"/>
    <s v="16340"/>
    <s v="22080"/>
    <n v="22.08"/>
    <s v="RFID"/>
  </r>
  <r>
    <s v="34420"/>
    <x v="0"/>
    <s v="T312 EHH"/>
    <x v="0"/>
    <x v="2"/>
    <x v="0"/>
    <s v="MT"/>
    <x v="8"/>
    <s v="17/04/2026 02:35:00 AM"/>
    <s v="17/04/2026 02:42:42 AM"/>
    <s v="37980"/>
    <s v="16900"/>
    <s v="21080"/>
    <n v="21.08"/>
    <s v="RFID"/>
  </r>
  <r>
    <s v="34421"/>
    <x v="0"/>
    <s v="T311 EHH"/>
    <x v="0"/>
    <x v="2"/>
    <x v="0"/>
    <s v="MT"/>
    <x v="8"/>
    <s v="17/04/2026 02:35:58 AM"/>
    <s v="17/04/2026 02:45:06 AM"/>
    <s v="38260"/>
    <s v="16640"/>
    <s v="21620"/>
    <n v="21.62"/>
    <s v="RFID"/>
  </r>
  <r>
    <s v="34422"/>
    <x v="0"/>
    <s v="T295 EHH"/>
    <x v="0"/>
    <x v="2"/>
    <x v="0"/>
    <s v="MT"/>
    <x v="8"/>
    <s v="17/04/2026 02:54:04 AM"/>
    <s v="17/04/2026 03:00:33 AM"/>
    <s v="36860"/>
    <s v="15900"/>
    <s v="20960"/>
    <n v="20.96"/>
    <s v="RFID"/>
  </r>
  <r>
    <s v="34423"/>
    <x v="0"/>
    <s v="T290 EHH"/>
    <x v="0"/>
    <x v="2"/>
    <x v="0"/>
    <s v="MT"/>
    <x v="8"/>
    <s v="17/04/2026 02:57:55 AM"/>
    <s v="17/04/2026 04:48:25 AM"/>
    <s v="36760"/>
    <s v="16260"/>
    <s v="20500"/>
    <n v="20.5"/>
    <s v="RFID"/>
  </r>
  <r>
    <s v="34424"/>
    <x v="0"/>
    <s v="T312 EHH"/>
    <x v="0"/>
    <x v="2"/>
    <x v="0"/>
    <s v="MT"/>
    <x v="8"/>
    <s v="17/04/2026 03:01:46 AM"/>
    <s v="17/04/2026 04:50:41 AM"/>
    <s v="37480"/>
    <s v="17000"/>
    <s v="20480"/>
    <n v="20.48"/>
    <s v="RFID"/>
  </r>
  <r>
    <s v="34425"/>
    <x v="0"/>
    <s v="T311 EHH"/>
    <x v="0"/>
    <x v="2"/>
    <x v="0"/>
    <s v="MT"/>
    <x v="8"/>
    <s v="17/04/2026 03:06:01 AM"/>
    <s v="17/04/2026 04:54:06 AM"/>
    <s v="35760"/>
    <s v="16620"/>
    <s v="19140"/>
    <n v="19.14"/>
    <s v="RFID"/>
  </r>
  <r>
    <s v="34426"/>
    <x v="0"/>
    <s v="T299 EHH"/>
    <x v="0"/>
    <x v="2"/>
    <x v="0"/>
    <s v="MT"/>
    <x v="8"/>
    <s v="17/04/2026 03:11:35 AM"/>
    <s v="17/04/2026 04:57:30 AM"/>
    <s v="37380"/>
    <s v="20280"/>
    <s v="17100"/>
    <n v="17.100000000000001"/>
    <s v="RFID"/>
  </r>
  <r>
    <s v="34427"/>
    <x v="0"/>
    <s v="T295 EHH"/>
    <x v="0"/>
    <x v="2"/>
    <x v="0"/>
    <s v="MT"/>
    <x v="8"/>
    <s v="17/04/2026 03:15:00 AM"/>
    <s v="17/04/2026 05:02:26 AM"/>
    <s v="36560"/>
    <s v="15920"/>
    <s v="20640"/>
    <n v="20.64"/>
    <s v="RFID"/>
  </r>
  <r>
    <s v="34428"/>
    <x v="0"/>
    <s v="T312 EHH"/>
    <x v="1"/>
    <x v="3"/>
    <x v="1"/>
    <s v="MT"/>
    <x v="8"/>
    <s v="17/04/2026 04:58:55 AM"/>
    <s v="17/04/2026 05:05:00 AM"/>
    <s v="34620"/>
    <s v="18060"/>
    <s v="16560"/>
    <n v="16.559999999999999"/>
    <s v="RFID"/>
  </r>
  <r>
    <s v="34429"/>
    <x v="0"/>
    <s v="T311 EHH"/>
    <x v="1"/>
    <x v="3"/>
    <x v="1"/>
    <s v="MT"/>
    <x v="8"/>
    <s v="17/04/2026 05:03:42 AM"/>
    <s v="17/04/2026 05:11:37 AM"/>
    <s v="39320"/>
    <s v="16720"/>
    <s v="22600"/>
    <n v="22.6"/>
    <s v="RFID"/>
  </r>
  <r>
    <s v="34430"/>
    <x v="0"/>
    <s v="T299 EHH"/>
    <x v="1"/>
    <x v="3"/>
    <x v="1"/>
    <s v="MT"/>
    <x v="8"/>
    <s v="17/04/2026 05:08:17 AM"/>
    <s v="17/04/2026 05:16:46 AM"/>
    <s v="35680"/>
    <s v="20940"/>
    <s v="14740"/>
    <n v="14.74"/>
    <s v="RFID"/>
  </r>
  <r>
    <s v="34431"/>
    <x v="0"/>
    <s v="T295 EHH"/>
    <x v="1"/>
    <x v="3"/>
    <x v="1"/>
    <s v="MT"/>
    <x v="8"/>
    <s v="17/04/2026 05:13:01 AM"/>
    <s v="17/04/2026 05:18:20 AM"/>
    <s v="34720"/>
    <s v="15920"/>
    <s v="18800"/>
    <n v="18.8"/>
    <s v="RFID"/>
  </r>
  <r>
    <s v="34432"/>
    <x v="0"/>
    <s v="T312 EHH"/>
    <x v="1"/>
    <x v="3"/>
    <x v="1"/>
    <s v="MT"/>
    <x v="8"/>
    <s v="17/04/2026 05:20:53 AM"/>
    <s v="17/04/2026 05:25:21 AM"/>
    <s v="38100"/>
    <s v="15920"/>
    <s v="22180"/>
    <n v="22.18"/>
    <s v="RFID"/>
  </r>
  <r>
    <s v="34433"/>
    <x v="0"/>
    <s v="T311 EHH"/>
    <x v="1"/>
    <x v="3"/>
    <x v="1"/>
    <s v="MT"/>
    <x v="8"/>
    <s v="17/04/2026 05:29:04 AM"/>
    <s v="17/04/2026 05:36:39 AM"/>
    <s v="38960"/>
    <s v="16660"/>
    <s v="22300"/>
    <n v="22.3"/>
    <s v="RFID"/>
  </r>
  <r>
    <s v="34434"/>
    <x v="0"/>
    <s v="T299 EHH"/>
    <x v="1"/>
    <x v="3"/>
    <x v="1"/>
    <s v="MT"/>
    <x v="8"/>
    <s v="17/04/2026 05:35:37 AM"/>
    <s v="17/04/2026 05:42:57 AM"/>
    <s v="39120"/>
    <s v="21280"/>
    <s v="17840"/>
    <n v="17.84"/>
    <s v="RFID"/>
  </r>
  <r>
    <s v="34435"/>
    <x v="0"/>
    <s v="T295 EHH"/>
    <x v="1"/>
    <x v="3"/>
    <x v="1"/>
    <s v="MT"/>
    <x v="8"/>
    <s v="17/04/2026 05:40:54 AM"/>
    <s v="17/04/2026 05:46:08 AM"/>
    <s v="39240"/>
    <s v="15700"/>
    <s v="23540"/>
    <n v="23.54"/>
    <s v="RFID"/>
  </r>
  <r>
    <s v="34436"/>
    <x v="0"/>
    <s v="T311 EHH"/>
    <x v="1"/>
    <x v="3"/>
    <x v="1"/>
    <s v="MT"/>
    <x v="8"/>
    <s v="17/04/2026 05:48:35 AM"/>
    <s v="17/04/2026 05:56:22 AM"/>
    <s v="35420"/>
    <s v="16760"/>
    <s v="18660"/>
    <n v="18.66"/>
    <s v="RFID"/>
  </r>
  <r>
    <s v="34437"/>
    <x v="0"/>
    <s v="T299 EHH"/>
    <x v="1"/>
    <x v="3"/>
    <x v="1"/>
    <s v="MT"/>
    <x v="8"/>
    <s v="17/04/2026 05:55:14 AM"/>
    <s v="17/04/2026 06:05:17 AM"/>
    <s v="38160"/>
    <s v="21880"/>
    <s v="16280"/>
    <n v="16.28"/>
    <s v="RFID"/>
  </r>
  <r>
    <s v="34438"/>
    <x v="0"/>
    <s v="T312 EHH"/>
    <x v="1"/>
    <x v="3"/>
    <x v="1"/>
    <s v="MT"/>
    <x v="8"/>
    <s v="17/04/2026 05:58:55 AM"/>
    <s v="17/04/2026 07:15:33 AM"/>
    <s v="36120"/>
    <s v="15580"/>
    <s v="20540"/>
    <n v="20.54"/>
    <s v="RFID"/>
  </r>
  <r>
    <s v="34439"/>
    <x v="0"/>
    <s v="T295 EHH"/>
    <x v="1"/>
    <x v="3"/>
    <x v="1"/>
    <s v="MT"/>
    <x v="8"/>
    <s v="17/04/2026 06:03:36 AM"/>
    <s v="17/04/2026 07:18:33 AM"/>
    <s v="36600"/>
    <s v="15840"/>
    <s v="20760"/>
    <n v="20.76"/>
    <s v="RFID"/>
  </r>
  <r>
    <s v="34440"/>
    <x v="0"/>
    <s v="T311 EHH"/>
    <x v="1"/>
    <x v="3"/>
    <x v="1"/>
    <s v="MT"/>
    <x v="8"/>
    <s v="17/04/2026 06:08:39 AM"/>
    <s v="17/04/2026 07:20:39 AM"/>
    <s v="36580"/>
    <s v="16820"/>
    <s v="19760"/>
    <n v="19.760000000000002"/>
    <s v="RFID"/>
  </r>
  <r>
    <s v="34441"/>
    <x v="0"/>
    <s v="T299 EHH"/>
    <x v="1"/>
    <x v="3"/>
    <x v="1"/>
    <s v="MT"/>
    <x v="8"/>
    <s v="17/04/2026 06:17:57 AM"/>
    <s v="17/04/2026 07:23:20 AM"/>
    <s v="37820"/>
    <s v="15120"/>
    <s v="22700"/>
    <n v="22.7"/>
    <s v="RFID"/>
  </r>
  <r>
    <s v="34442"/>
    <x v="0"/>
    <s v="T312 EHH"/>
    <x v="1"/>
    <x v="3"/>
    <x v="1"/>
    <s v="MT"/>
    <x v="8"/>
    <s v="17/04/2026 07:22:17 AM"/>
    <s v="17/04/2026 07:39:50 AM"/>
    <s v="33380"/>
    <s v="15620"/>
    <s v="17760"/>
    <n v="17.760000000000002"/>
    <s v="RFID"/>
  </r>
  <r>
    <s v="34443"/>
    <x v="0"/>
    <s v="T311 EHH"/>
    <x v="0"/>
    <x v="2"/>
    <x v="0"/>
    <s v="MT"/>
    <x v="8"/>
    <s v="17/04/2026 08:56:36 AM"/>
    <s v="17/04/2026 09:12:40 AM"/>
    <s v="38600"/>
    <s v="16220"/>
    <s v="22380"/>
    <n v="22.38"/>
    <s v="RFID"/>
  </r>
  <r>
    <s v="34444"/>
    <x v="0"/>
    <s v="T295 EHH"/>
    <x v="0"/>
    <x v="2"/>
    <x v="0"/>
    <s v="MT"/>
    <x v="8"/>
    <s v="17/04/2026 08:57:48 AM"/>
    <s v="17/04/2026 09:13:49 AM"/>
    <s v="38000"/>
    <s v="16120"/>
    <s v="21880"/>
    <n v="21.88"/>
    <s v="RFID"/>
  </r>
  <r>
    <s v="34445"/>
    <x v="0"/>
    <s v="T312 EHH"/>
    <x v="0"/>
    <x v="2"/>
    <x v="0"/>
    <s v="MT"/>
    <x v="8"/>
    <s v="17/04/2026 09:00:49 AM"/>
    <s v="17/04/2026 09:16:30 AM"/>
    <s v="36480"/>
    <s v="15720"/>
    <s v="20760"/>
    <n v="20.76"/>
    <s v="RFID"/>
  </r>
  <r>
    <s v="34446"/>
    <x v="0"/>
    <s v="T299 EHH"/>
    <x v="0"/>
    <x v="2"/>
    <x v="0"/>
    <s v="MT"/>
    <x v="8"/>
    <s v="17/04/2026 09:06:42 AM"/>
    <s v="17/04/2026 09:19:12 AM"/>
    <s v="39500"/>
    <s v="15720"/>
    <s v="23780"/>
    <n v="23.78"/>
    <s v="RFID"/>
  </r>
  <r>
    <s v="34447"/>
    <x v="0"/>
    <s v="T311 EHH"/>
    <x v="0"/>
    <x v="2"/>
    <x v="0"/>
    <s v="MT"/>
    <x v="8"/>
    <s v="17/04/2026 09:20:56 AM"/>
    <s v="17/04/2026 09:25:26 AM"/>
    <s v="37460"/>
    <s v="16240"/>
    <s v="21220"/>
    <n v="21.22"/>
    <s v="RFID"/>
  </r>
  <r>
    <s v="34448"/>
    <x v="0"/>
    <s v="T295 EHH"/>
    <x v="0"/>
    <x v="2"/>
    <x v="0"/>
    <s v="MT"/>
    <x v="8"/>
    <s v="17/04/2026 09:38:15 AM"/>
    <s v="17/04/2026 09:48:11 AM"/>
    <s v="37940"/>
    <s v="16120"/>
    <s v="21820"/>
    <n v="21.82"/>
    <s v="RFID"/>
  </r>
  <r>
    <s v="34449"/>
    <x v="0"/>
    <s v="T312 EHH"/>
    <x v="0"/>
    <x v="2"/>
    <x v="0"/>
    <s v="MT"/>
    <x v="8"/>
    <s v="17/04/2026 09:40:02 AM"/>
    <s v="17/04/2026 09:50:19 AM"/>
    <s v="34880"/>
    <s v="15740"/>
    <s v="19140"/>
    <n v="19.14"/>
    <s v="RFID"/>
  </r>
  <r>
    <s v="34450"/>
    <x v="0"/>
    <s v="T299 EHH"/>
    <x v="0"/>
    <x v="2"/>
    <x v="0"/>
    <s v="MT"/>
    <x v="8"/>
    <s v="17/04/2026 09:42:57 AM"/>
    <s v="17/04/2026 09:52:13 AM"/>
    <s v="37280"/>
    <s v="16000"/>
    <s v="21280"/>
    <n v="21.28"/>
    <s v="RFID"/>
  </r>
  <r>
    <s v="34451"/>
    <x v="0"/>
    <s v="T311 EHH"/>
    <x v="0"/>
    <x v="2"/>
    <x v="0"/>
    <s v="MT"/>
    <x v="8"/>
    <s v="17/04/2026 09:46:29 AM"/>
    <s v="17/04/2026 09:54:02 AM"/>
    <s v="38660"/>
    <s v="16260"/>
    <s v="22400"/>
    <n v="22.4"/>
    <s v="RFID"/>
  </r>
  <r>
    <s v="34452"/>
    <x v="0"/>
    <s v="T295 EHH"/>
    <x v="0"/>
    <x v="2"/>
    <x v="0"/>
    <s v="MT"/>
    <x v="8"/>
    <s v="17/04/2026 09:56:22 AM"/>
    <s v="17/04/2026 10:05:10 AM"/>
    <s v="38500"/>
    <s v="15060"/>
    <s v="23440"/>
    <n v="23.44"/>
    <s v="RFID"/>
  </r>
  <r>
    <s v="34453"/>
    <x v="0"/>
    <s v="T312 EHH"/>
    <x v="0"/>
    <x v="2"/>
    <x v="0"/>
    <s v="MT"/>
    <x v="8"/>
    <s v="17/04/2026 10:00:08 AM"/>
    <s v="17/04/2026 10:07:39 AM"/>
    <s v="38760"/>
    <s v="17620"/>
    <s v="21140"/>
    <n v="21.14"/>
    <s v="RFID"/>
  </r>
  <r>
    <s v="34454"/>
    <x v="0"/>
    <s v="T299 EHH"/>
    <x v="0"/>
    <x v="2"/>
    <x v="0"/>
    <s v="MT"/>
    <x v="8"/>
    <s v="17/04/2026 10:04:01 AM"/>
    <s v="17/04/2026 10:10:49 AM"/>
    <s v="40960"/>
    <s v="17920"/>
    <s v="23040"/>
    <n v="23.04"/>
    <s v="RFID"/>
  </r>
  <r>
    <s v="34455"/>
    <x v="0"/>
    <s v="T311 EHH"/>
    <x v="0"/>
    <x v="2"/>
    <x v="0"/>
    <s v="MT"/>
    <x v="8"/>
    <s v="17/04/2026 10:09:32 AM"/>
    <s v="17/04/2026 10:17:15 AM"/>
    <s v="40720"/>
    <s v="16300"/>
    <s v="24420"/>
    <n v="24.42"/>
    <s v="RFID"/>
  </r>
  <r>
    <s v="34456"/>
    <x v="0"/>
    <s v="T295 EHH"/>
    <x v="0"/>
    <x v="2"/>
    <x v="0"/>
    <s v="MT"/>
    <x v="8"/>
    <s v="17/04/2026 10:14:23 AM"/>
    <s v="17/04/2026 10:22:35 AM"/>
    <s v="38320"/>
    <s v="15280"/>
    <s v="23040"/>
    <n v="23.04"/>
    <s v="RFID"/>
  </r>
  <r>
    <s v="34457"/>
    <x v="0"/>
    <s v="T299 EHH"/>
    <x v="0"/>
    <x v="2"/>
    <x v="0"/>
    <s v="MT"/>
    <x v="8"/>
    <s v="17/04/2026 10:21:18 AM"/>
    <s v="17/04/2026 10:29:45 AM"/>
    <s v="39640"/>
    <s v="16180"/>
    <s v="23460"/>
    <n v="23.46"/>
    <s v="RFID"/>
  </r>
  <r>
    <s v="34458"/>
    <x v="0"/>
    <s v="T312 EHH"/>
    <x v="0"/>
    <x v="2"/>
    <x v="0"/>
    <s v="MT"/>
    <x v="8"/>
    <s v="17/04/2026 10:24:53 AM"/>
    <s v="17/04/2026 10:46:33 AM"/>
    <s v="41420"/>
    <s v="15860"/>
    <s v="25560"/>
    <n v="25.56"/>
    <s v="RFID"/>
  </r>
  <r>
    <s v="34459"/>
    <x v="0"/>
    <s v="T311 EHH"/>
    <x v="0"/>
    <x v="2"/>
    <x v="0"/>
    <s v="MT"/>
    <x v="8"/>
    <s v="17/04/2026 10:31:26 AM"/>
    <s v="17/04/2026 10:47:36 AM"/>
    <s v="39940"/>
    <s v="17000"/>
    <s v="22940"/>
    <n v="22.94"/>
    <s v="RFID"/>
  </r>
  <r>
    <s v="34460"/>
    <x v="0"/>
    <s v="T295 EHH"/>
    <x v="0"/>
    <x v="2"/>
    <x v="0"/>
    <s v="MT"/>
    <x v="8"/>
    <s v="17/04/2026 10:37:54 AM"/>
    <s v="17/04/2026 10:49:38 AM"/>
    <s v="35740"/>
    <s v="15320"/>
    <s v="20420"/>
    <n v="20.420000000000002"/>
    <s v="RFID"/>
  </r>
  <r>
    <s v="34461"/>
    <x v="0"/>
    <s v="T299 EHH"/>
    <x v="0"/>
    <x v="2"/>
    <x v="0"/>
    <s v="MT"/>
    <x v="8"/>
    <s v="17/04/2026 10:42:27 AM"/>
    <s v="17/04/2026 10:53:33 AM"/>
    <s v="38840"/>
    <s v="16160"/>
    <s v="22680"/>
    <n v="22.68"/>
    <s v="RFID"/>
  </r>
  <r>
    <s v="34462"/>
    <x v="0"/>
    <s v="T312 EHH"/>
    <x v="0"/>
    <x v="2"/>
    <x v="0"/>
    <s v="MT"/>
    <x v="8"/>
    <s v="17/04/2026 10:56:11 AM"/>
    <s v="17/04/2026 11:01:36 AM"/>
    <s v="39620"/>
    <s v="16080"/>
    <s v="23540"/>
    <n v="23.54"/>
    <s v="RFID"/>
  </r>
  <r>
    <s v="34463"/>
    <x v="0"/>
    <s v="T311 EHH"/>
    <x v="0"/>
    <x v="2"/>
    <x v="0"/>
    <s v="MT"/>
    <x v="8"/>
    <s v="17/04/2026 11:00:23 AM"/>
    <s v="17/04/2026 11:05:42 AM"/>
    <s v="38400"/>
    <s v="17120"/>
    <s v="21280"/>
    <n v="21.28"/>
    <s v="RFID"/>
  </r>
  <r>
    <s v="34464"/>
    <x v="0"/>
    <s v="T295 EHH"/>
    <x v="0"/>
    <x v="2"/>
    <x v="0"/>
    <s v="MT"/>
    <x v="8"/>
    <s v="17/04/2026 11:02:58 AM"/>
    <s v="17/04/2026 11:07:34 AM"/>
    <s v="37960"/>
    <s v="15420"/>
    <s v="22540"/>
    <n v="22.54"/>
    <s v="RFID"/>
  </r>
  <r>
    <s v="34465"/>
    <x v="0"/>
    <s v="T299 EHH"/>
    <x v="0"/>
    <x v="2"/>
    <x v="0"/>
    <s v="MT"/>
    <x v="8"/>
    <s v="17/04/2026 11:11:14 AM"/>
    <s v="17/04/2026 11:15:42 AM"/>
    <s v="37760"/>
    <s v="16160"/>
    <s v="21600"/>
    <n v="21.6"/>
    <s v="RFID"/>
  </r>
  <r>
    <s v="34466"/>
    <x v="0"/>
    <s v="T312 EHH"/>
    <x v="0"/>
    <x v="2"/>
    <x v="0"/>
    <s v="MT"/>
    <x v="8"/>
    <s v="17/04/2026 11:14:33 AM"/>
    <s v="17/04/2026 11:19:49 AM"/>
    <s v="36840"/>
    <s v="18080"/>
    <s v="18760"/>
    <n v="18.760000000000002"/>
    <s v="RFID"/>
  </r>
  <r>
    <s v="34467"/>
    <x v="0"/>
    <s v="T311 EHH"/>
    <x v="0"/>
    <x v="2"/>
    <x v="0"/>
    <s v="MT"/>
    <x v="8"/>
    <s v="17/04/2026 11:18:16 AM"/>
    <s v="17/04/2026 11:24:26 AM"/>
    <s v="39020"/>
    <s v="17120"/>
    <s v="21900"/>
    <n v="21.9"/>
    <s v="RFID"/>
  </r>
  <r>
    <s v="34468"/>
    <x v="0"/>
    <s v="T292 EHH"/>
    <x v="0"/>
    <x v="2"/>
    <x v="0"/>
    <s v="MT"/>
    <x v="8"/>
    <s v="17/04/2026 11:21:00 AM"/>
    <s v="17/04/2026 11:30:17 AM"/>
    <s v="36100"/>
    <s v="15120"/>
    <s v="20980"/>
    <n v="20.98"/>
    <s v="RFID"/>
  </r>
  <r>
    <s v="34469"/>
    <x v="0"/>
    <s v="T295 EHH"/>
    <x v="0"/>
    <x v="2"/>
    <x v="0"/>
    <s v="MT"/>
    <x v="8"/>
    <s v="17/04/2026 11:23:10 AM"/>
    <s v="17/04/2026 11:32:02 AM"/>
    <s v="35780"/>
    <s v="15440"/>
    <s v="20340"/>
    <n v="20.34"/>
    <s v="RFID"/>
  </r>
  <r>
    <s v="34470"/>
    <x v="0"/>
    <s v="T299 EHH"/>
    <x v="0"/>
    <x v="2"/>
    <x v="0"/>
    <s v="MT"/>
    <x v="8"/>
    <s v="17/04/2026 11:29:07 AM"/>
    <s v="17/04/2026 11:35:26 AM"/>
    <s v="39020"/>
    <s v="16220"/>
    <s v="22800"/>
    <n v="22.8"/>
    <s v="RFID"/>
  </r>
  <r>
    <s v="34471"/>
    <x v="0"/>
    <s v="T311 EHH"/>
    <x v="0"/>
    <x v="2"/>
    <x v="0"/>
    <s v="MT"/>
    <x v="8"/>
    <s v="17/04/2026 11:33:20 AM"/>
    <s v="17/04/2026 11:56:32 AM"/>
    <s v="35200"/>
    <s v="17400"/>
    <s v="17800"/>
    <n v="17.8"/>
    <s v="RFID"/>
  </r>
  <r>
    <s v="34472"/>
    <x v="0"/>
    <s v="T293 EHH"/>
    <x v="0"/>
    <x v="0"/>
    <x v="0"/>
    <s v="MT"/>
    <x v="8"/>
    <s v="17/04/2026 11:34:13 AM"/>
    <s v="17/04/2026 11:55:38 AM"/>
    <s v="33920"/>
    <s v="15880"/>
    <s v="18040"/>
    <n v="18.04"/>
    <s v="RFID"/>
  </r>
  <r>
    <s v="34473"/>
    <x v="0"/>
    <s v="T290 EHH"/>
    <x v="0"/>
    <x v="0"/>
    <x v="0"/>
    <s v="MT"/>
    <x v="8"/>
    <s v="17/04/2026 11:39:51 AM"/>
    <s v="17/04/2026 11:48:21 AM"/>
    <s v="36720"/>
    <s v="15480"/>
    <s v="21240"/>
    <n v="21.24"/>
    <s v="RFID"/>
  </r>
  <r>
    <s v="34474"/>
    <x v="0"/>
    <s v="T295 EHH"/>
    <x v="0"/>
    <x v="2"/>
    <x v="0"/>
    <s v="MT"/>
    <x v="8"/>
    <s v="17/04/2026 11:40:48 AM"/>
    <s v="17/04/2026 11:57:20 AM"/>
    <s v="36120"/>
    <s v="15520"/>
    <s v="20600"/>
    <n v="20.6"/>
    <s v="RFID"/>
  </r>
  <r>
    <s v="34475"/>
    <x v="0"/>
    <s v="T292 EHH"/>
    <x v="0"/>
    <x v="0"/>
    <x v="0"/>
    <s v="MT"/>
    <x v="8"/>
    <s v="17/04/2026 11:43:42 AM"/>
    <s v="17/04/2026 11:52:31 AM"/>
    <s v="31920"/>
    <s v="16080"/>
    <s v="15840"/>
    <n v="15.84"/>
    <s v="RFID"/>
  </r>
  <r>
    <s v="34476"/>
    <x v="0"/>
    <s v="T299 EHH"/>
    <x v="0"/>
    <x v="2"/>
    <x v="0"/>
    <s v="MT"/>
    <x v="8"/>
    <s v="17/04/2026 11:46:09 AM"/>
    <s v="17/04/2026 11:58:11 AM"/>
    <s v="37660"/>
    <s v="16420"/>
    <s v="21240"/>
    <n v="21.24"/>
    <s v="RFID"/>
  </r>
  <r>
    <s v="34477"/>
    <x v="0"/>
    <s v="T312 EHH"/>
    <x v="0"/>
    <x v="2"/>
    <x v="0"/>
    <s v="MT"/>
    <x v="8"/>
    <s v="17/04/2026 11:50:39 AM"/>
    <s v="17/04/2026 12:22:17 PM"/>
    <s v="38660"/>
    <s v="17040"/>
    <s v="21620"/>
    <n v="21.62"/>
    <s v="RFID"/>
  </r>
  <r>
    <s v="34478"/>
    <x v="0"/>
    <s v="T290 EHH"/>
    <x v="0"/>
    <x v="0"/>
    <x v="0"/>
    <s v="MT"/>
    <x v="8"/>
    <s v="17/04/2026 11:54:31 AM"/>
    <s v="17/04/2026 11:58:57 AM"/>
    <s v="32720"/>
    <s v="16160"/>
    <s v="16560"/>
    <n v="16.559999999999999"/>
    <s v="RFID"/>
  </r>
  <r>
    <s v="34479"/>
    <x v="0"/>
    <s v="T304 EHH"/>
    <x v="0"/>
    <x v="0"/>
    <x v="0"/>
    <s v="MT"/>
    <x v="8"/>
    <s v="17/04/2026 12:00:33 PM"/>
    <s v="17/04/2026 12:05:19 PM"/>
    <s v="35640"/>
    <s v="14980"/>
    <s v="20660"/>
    <n v="20.66"/>
    <s v="RFID"/>
  </r>
  <r>
    <s v="34480"/>
    <x v="0"/>
    <s v="T292 EHH"/>
    <x v="0"/>
    <x v="0"/>
    <x v="0"/>
    <s v="MT"/>
    <x v="8"/>
    <s v="17/04/2026 12:01:36 PM"/>
    <s v="17/04/2026 12:37:22 PM"/>
    <s v="35300"/>
    <s v="18400"/>
    <s v="16900"/>
    <n v="16.899999999999999"/>
    <s v="RFID"/>
  </r>
  <r>
    <s v="34481"/>
    <x v="0"/>
    <s v="T293 EHH"/>
    <x v="0"/>
    <x v="0"/>
    <x v="0"/>
    <s v="MT"/>
    <x v="8"/>
    <s v="17/04/2026 12:03:07 PM"/>
    <s v="17/04/2026 12:12:48 PM"/>
    <s v="32640"/>
    <s v="22540"/>
    <s v="10100"/>
    <n v="10.1"/>
    <s v="RFID"/>
  </r>
  <r>
    <s v="34482"/>
    <x v="0"/>
    <s v="T290 EHH"/>
    <x v="0"/>
    <x v="0"/>
    <x v="0"/>
    <s v="MT"/>
    <x v="8"/>
    <s v="17/04/2026 12:07:11 PM"/>
    <s v="17/04/2026 12:12:06 PM"/>
    <s v="38320"/>
    <s v="16220"/>
    <s v="22100"/>
    <n v="22.1"/>
    <s v="RFID"/>
  </r>
  <r>
    <s v="34483"/>
    <x v="0"/>
    <s v="T299 EHH"/>
    <x v="0"/>
    <x v="0"/>
    <x v="0"/>
    <s v="MT"/>
    <x v="8"/>
    <s v="17/04/2026 12:09:24 PM"/>
    <s v="17/04/2026 12:16:19 PM"/>
    <s v="38620"/>
    <s v="16380"/>
    <s v="22240"/>
    <n v="22.24"/>
    <s v="RFID"/>
  </r>
  <r>
    <s v="34484"/>
    <x v="0"/>
    <s v="T311 EHH"/>
    <x v="0"/>
    <x v="2"/>
    <x v="0"/>
    <s v="MT"/>
    <x v="8"/>
    <s v="17/04/2026 12:10:19 PM"/>
    <s v="17/04/2026 12:46:01 PM"/>
    <s v="38160"/>
    <s v="38020"/>
    <s v="140"/>
    <n v="0.14000000000000001"/>
    <s v="RFID"/>
  </r>
  <r>
    <s v="34485"/>
    <x v="0"/>
    <s v="T295 EHH"/>
    <x v="0"/>
    <x v="2"/>
    <x v="0"/>
    <s v="MT"/>
    <x v="8"/>
    <s v="17/04/2026 12:14:07 PM"/>
    <s v="17/04/2026 12:41:02 PM"/>
    <s v="36000"/>
    <s v="15560"/>
    <s v="20440"/>
    <n v="20.440000000000001"/>
    <s v="RFID"/>
  </r>
  <r>
    <s v="34486"/>
    <x v="0"/>
    <s v="T304 EHH"/>
    <x v="0"/>
    <x v="0"/>
    <x v="0"/>
    <s v="MT"/>
    <x v="8"/>
    <s v="17/04/2026 12:15:03 PM"/>
    <s v="17/04/2026 12:21:33 PM"/>
    <s v="39560"/>
    <s v="15020"/>
    <s v="24540"/>
    <n v="24.54"/>
    <s v="RFID"/>
  </r>
  <r>
    <s v="34487"/>
    <x v="0"/>
    <s v="T290 EHH"/>
    <x v="0"/>
    <x v="0"/>
    <x v="0"/>
    <s v="MT"/>
    <x v="8"/>
    <s v="17/04/2026 12:19:40 PM"/>
    <s v="17/04/2026 12:26:55 PM"/>
    <s v="35980"/>
    <s v="16300"/>
    <s v="19680"/>
    <n v="19.68"/>
    <s v="RFID"/>
  </r>
  <r>
    <s v="34488"/>
    <x v="0"/>
    <s v="T293 EHH"/>
    <x v="0"/>
    <x v="0"/>
    <x v="0"/>
    <s v="MT"/>
    <x v="8"/>
    <s v="17/04/2026 12:23:24 PM"/>
    <s v="17/04/2026 12:29:46 PM"/>
    <s v="35700"/>
    <s v="15700"/>
    <s v="20000"/>
    <n v="20"/>
    <s v="RFID"/>
  </r>
  <r>
    <s v="34489"/>
    <x v="0"/>
    <s v="T299 EHH"/>
    <x v="0"/>
    <x v="2"/>
    <x v="0"/>
    <s v="MT"/>
    <x v="8"/>
    <s v="17/04/2026 12:25:06 PM"/>
    <s v="17/04/2026 12:43:17 PM"/>
    <s v="37120"/>
    <s v="16600"/>
    <s v="20520"/>
    <n v="20.52"/>
    <s v="RFID"/>
  </r>
  <r>
    <s v="34490"/>
    <x v="0"/>
    <s v="T304 EHH"/>
    <x v="0"/>
    <x v="0"/>
    <x v="0"/>
    <s v="MT"/>
    <x v="8"/>
    <s v="17/04/2026 12:28:31 PM"/>
    <s v="17/04/2026 12:36:03 PM"/>
    <s v="35860"/>
    <s v="15280"/>
    <s v="20580"/>
    <n v="20.58"/>
    <s v="RFID"/>
  </r>
  <r>
    <s v="34491"/>
    <x v="0"/>
    <s v="T312 EHH"/>
    <x v="0"/>
    <x v="2"/>
    <x v="0"/>
    <s v="MT"/>
    <x v="8"/>
    <s v="17/04/2026 12:31:04 PM"/>
    <s v="17/04/2026 12:48:47 PM"/>
    <s v="39280"/>
    <s v="17420"/>
    <s v="21860"/>
    <n v="21.86"/>
    <s v="RFID"/>
  </r>
  <r>
    <s v="34492"/>
    <x v="0"/>
    <s v="T290 EHH"/>
    <x v="0"/>
    <x v="0"/>
    <x v="0"/>
    <s v="MT"/>
    <x v="8"/>
    <s v="17/04/2026 12:34:43 PM"/>
    <s v="17/04/2026 12:42:08 PM"/>
    <s v="33620"/>
    <s v="16880"/>
    <s v="16740"/>
    <n v="16.739999999999998"/>
    <s v="RFID"/>
  </r>
  <r>
    <s v="34493"/>
    <x v="0"/>
    <s v="T293 EHH"/>
    <x v="0"/>
    <x v="0"/>
    <x v="0"/>
    <s v="MT"/>
    <x v="8"/>
    <s v="17/04/2026 12:38:47 PM"/>
    <s v="17/04/2026 12:47:59 PM"/>
    <s v="37140"/>
    <s v="16920"/>
    <s v="20220"/>
    <n v="20.22"/>
    <s v="RFID"/>
  </r>
  <r>
    <s v="34494"/>
    <x v="0"/>
    <s v="T304 EHH"/>
    <x v="0"/>
    <x v="0"/>
    <x v="0"/>
    <s v="MT"/>
    <x v="8"/>
    <s v="17/04/2026 12:44:42 PM"/>
    <s v="17/04/2026 12:53:27 PM"/>
    <s v="35280"/>
    <s v="15240"/>
    <s v="20040"/>
    <n v="20.04"/>
    <s v="RFID"/>
  </r>
  <r>
    <s v="34495"/>
    <x v="0"/>
    <s v="T292 EHH"/>
    <x v="0"/>
    <x v="0"/>
    <x v="0"/>
    <s v="MT"/>
    <x v="8"/>
    <s v="17/04/2026 12:46:50 PM"/>
    <s v="17/04/2026 01:02:05 PM"/>
    <s v="35680"/>
    <s v="19460"/>
    <s v="16220"/>
    <n v="16.22"/>
    <s v="RFID"/>
  </r>
  <r>
    <s v="34496"/>
    <x v="0"/>
    <s v="T290 EHH"/>
    <x v="0"/>
    <x v="0"/>
    <x v="0"/>
    <s v="MT"/>
    <x v="8"/>
    <s v="17/04/2026 12:51:18 PM"/>
    <s v="17/04/2026 12:56:02 PM"/>
    <s v="37180"/>
    <s v="19640"/>
    <s v="17540"/>
    <n v="17.54"/>
    <s v="RFID"/>
  </r>
  <r>
    <s v="34497"/>
    <x v="0"/>
    <s v="T295 EHH"/>
    <x v="0"/>
    <x v="2"/>
    <x v="0"/>
    <s v="MT"/>
    <x v="8"/>
    <s v="17/04/2026 12:52:12 PM"/>
    <s v="17/04/2026 12:58:46 PM"/>
    <s v="35940"/>
    <s v="15700"/>
    <s v="20240"/>
    <n v="20.239999999999998"/>
    <s v="RFID"/>
  </r>
  <r>
    <s v="34498"/>
    <x v="0"/>
    <s v="T299 EHH"/>
    <x v="0"/>
    <x v="2"/>
    <x v="0"/>
    <s v="MT"/>
    <x v="8"/>
    <s v="17/04/2026 12:54:40 PM"/>
    <s v="17/04/2026 01:03:40 PM"/>
    <s v="37300"/>
    <s v="17660"/>
    <s v="19640"/>
    <n v="19.64"/>
    <s v="RFID"/>
  </r>
  <r>
    <s v="34499"/>
    <x v="0"/>
    <s v="T311 EHH"/>
    <x v="0"/>
    <x v="2"/>
    <x v="0"/>
    <s v="MT"/>
    <x v="8"/>
    <s v="17/04/2026 12:56:51 PM"/>
    <s v="17/04/2026 01:21:03 PM"/>
    <s v="17920"/>
    <s v="36340"/>
    <s v="18420"/>
    <n v="18.420000000000002"/>
    <s v="RFID"/>
  </r>
  <r>
    <s v="34500"/>
    <x v="0"/>
    <s v="T312 EHH"/>
    <x v="0"/>
    <x v="2"/>
    <x v="0"/>
    <s v="MT"/>
    <x v="8"/>
    <s v="17/04/2026 01:04:48 PM"/>
    <s v="17/04/2026 01:11:51 PM"/>
    <s v="38540"/>
    <s v="17620"/>
    <s v="20920"/>
    <n v="20.92"/>
    <s v="RFID"/>
  </r>
  <r>
    <s v="34501"/>
    <x v="0"/>
    <s v="T293 EHH"/>
    <x v="0"/>
    <x v="0"/>
    <x v="0"/>
    <s v="MT"/>
    <x v="8"/>
    <s v="17/04/2026 01:07:19 PM"/>
    <s v="17/04/2026 01:19:42 PM"/>
    <s v="37820"/>
    <s v="17800"/>
    <s v="20020"/>
    <n v="20.02"/>
    <s v="RFID"/>
  </r>
  <r>
    <s v="34502"/>
    <x v="0"/>
    <s v="T304 EHH"/>
    <x v="0"/>
    <x v="0"/>
    <x v="0"/>
    <s v="MT"/>
    <x v="8"/>
    <s v="17/04/2026 01:08:27 PM"/>
    <s v="17/04/2026 01:17:42 PM"/>
    <s v="38700"/>
    <s v="16340"/>
    <s v="22360"/>
    <n v="22.36"/>
    <s v="RFID"/>
  </r>
  <r>
    <s v="34503"/>
    <x v="0"/>
    <s v="T295 EHH"/>
    <x v="0"/>
    <x v="2"/>
    <x v="0"/>
    <s v="MT"/>
    <x v="8"/>
    <s v="17/04/2026 01:18:41 PM"/>
    <s v="17/04/2026 01:25:38 PM"/>
    <s v="36220"/>
    <s v="15620"/>
    <s v="20600"/>
    <n v="20.6"/>
    <s v="RFID"/>
  </r>
  <r>
    <s v="34504"/>
    <x v="0"/>
    <s v="T299 EHH"/>
    <x v="0"/>
    <x v="2"/>
    <x v="0"/>
    <s v="MT"/>
    <x v="8"/>
    <s v="17/04/2026 01:22:44 PM"/>
    <s v="17/04/2026 01:28:55 PM"/>
    <s v="36820"/>
    <s v="16900"/>
    <s v="19920"/>
    <n v="19.920000000000002"/>
    <s v="RFID"/>
  </r>
  <r>
    <s v="34505"/>
    <x v="0"/>
    <s v="T312 EHH"/>
    <x v="0"/>
    <x v="2"/>
    <x v="0"/>
    <s v="MT"/>
    <x v="8"/>
    <s v="17/04/2026 01:24:17 PM"/>
    <s v="17/04/2026 01:51:52 PM"/>
    <s v="37180"/>
    <s v="18520"/>
    <s v="18660"/>
    <n v="18.66"/>
    <s v="RFID"/>
  </r>
  <r>
    <s v="34506"/>
    <x v="0"/>
    <s v="T295 EHH"/>
    <x v="0"/>
    <x v="2"/>
    <x v="0"/>
    <s v="MT"/>
    <x v="8"/>
    <s v="17/04/2026 01:32:55 PM"/>
    <s v="17/04/2026 03:02:58 PM"/>
    <s v="38360"/>
    <s v="15700"/>
    <s v="22660"/>
    <n v="22.66"/>
    <s v="RFID"/>
  </r>
  <r>
    <s v="34507"/>
    <x v="0"/>
    <s v="T311 EHH"/>
    <x v="0"/>
    <x v="2"/>
    <x v="0"/>
    <s v="MT"/>
    <x v="8"/>
    <s v="17/04/2026 01:36:49 PM"/>
    <s v="17/04/2026 03:05:11 PM"/>
    <s v="37040"/>
    <s v="17960"/>
    <s v="19080"/>
    <n v="19.079999999999998"/>
    <s v="RFID"/>
  </r>
  <r>
    <s v="34508"/>
    <x v="0"/>
    <s v="T299 EHH"/>
    <x v="0"/>
    <x v="2"/>
    <x v="0"/>
    <s v="MT"/>
    <x v="8"/>
    <s v="17/04/2026 01:40:57 PM"/>
    <s v="17/04/2026 03:08:24 PM"/>
    <s v="38680"/>
    <s v="16800"/>
    <s v="21880"/>
    <n v="21.88"/>
    <s v="RFID"/>
  </r>
  <r>
    <s v="34509"/>
    <x v="0"/>
    <s v="T312 EHH"/>
    <x v="0"/>
    <x v="0"/>
    <x v="0"/>
    <s v="MT"/>
    <x v="8"/>
    <s v="17/04/2026 02:07:54 PM"/>
    <s v="17/04/2026 02:18:22 PM"/>
    <s v="41140"/>
    <s v="17680"/>
    <s v="23460"/>
    <n v="23.46"/>
    <s v="RFID"/>
  </r>
  <r>
    <s v="34510"/>
    <x v="0"/>
    <s v="T290 EHH"/>
    <x v="0"/>
    <x v="0"/>
    <x v="0"/>
    <s v="MT"/>
    <x v="8"/>
    <s v="17/04/2026 02:30:39 PM"/>
    <s v="17/04/2026 02:41:56 PM"/>
    <s v="38200"/>
    <s v="16460"/>
    <s v="21740"/>
    <n v="21.74"/>
    <s v="RFID"/>
  </r>
  <r>
    <s v="34511"/>
    <x v="0"/>
    <s v="T312 EHH"/>
    <x v="0"/>
    <x v="0"/>
    <x v="0"/>
    <s v="MT"/>
    <x v="8"/>
    <s v="17/04/2026 02:35:30 PM"/>
    <s v="17/04/2026 02:51:40 PM"/>
    <s v="38040"/>
    <s v="17700"/>
    <s v="20340"/>
    <n v="20.34"/>
    <s v="RFID"/>
  </r>
  <r>
    <s v="34512"/>
    <x v="0"/>
    <s v="T290 EHH"/>
    <x v="0"/>
    <x v="0"/>
    <x v="0"/>
    <s v="MT"/>
    <x v="8"/>
    <s v="17/04/2026 02:52:51 PM"/>
    <s v="17/04/2026 03:03:41 PM"/>
    <s v="39560"/>
    <s v="18020"/>
    <s v="21540"/>
    <n v="21.54"/>
    <s v="RFID"/>
  </r>
  <r>
    <s v="34513"/>
    <x v="0"/>
    <s v="T292 EHH"/>
    <x v="0"/>
    <x v="0"/>
    <x v="0"/>
    <s v="MT"/>
    <x v="8"/>
    <s v="17/04/2026 02:55:43 PM"/>
    <s v="17/04/2026 02:59:55 PM"/>
    <s v="38240"/>
    <s v="21700"/>
    <s v="16540"/>
    <n v="16.54"/>
    <s v="RFID"/>
  </r>
  <r>
    <s v="34514"/>
    <x v="0"/>
    <s v="T312 EHH"/>
    <x v="0"/>
    <x v="0"/>
    <x v="0"/>
    <s v="MT"/>
    <x v="8"/>
    <s v="17/04/2026 03:01:08 PM"/>
    <s v="17/04/2026 03:05:57 PM"/>
    <s v="36920"/>
    <s v="17820"/>
    <s v="19100"/>
    <n v="19.100000000000001"/>
    <s v="RFID"/>
  </r>
  <r>
    <s v="34515"/>
    <x v="0"/>
    <s v="T292 EHH"/>
    <x v="0"/>
    <x v="0"/>
    <x v="0"/>
    <s v="MT"/>
    <x v="8"/>
    <s v="17/04/2026 03:10:53 PM"/>
    <s v="17/04/2026 03:15:25 PM"/>
    <s v="37820"/>
    <s v="24760"/>
    <s v="13060"/>
    <n v="13.06"/>
    <s v="RFID"/>
  </r>
  <r>
    <s v="34516"/>
    <x v="0"/>
    <s v="T295 EHH"/>
    <x v="0"/>
    <x v="2"/>
    <x v="0"/>
    <s v="MT"/>
    <x v="8"/>
    <s v="17/04/2026 03:13:46 PM"/>
    <s v="17/04/2026 03:34:44 PM"/>
    <s v="34940"/>
    <s v="15680"/>
    <s v="19260"/>
    <n v="19.260000000000002"/>
    <s v="RFID"/>
  </r>
  <r>
    <s v="34517"/>
    <x v="0"/>
    <s v="T290 EHH"/>
    <x v="0"/>
    <x v="0"/>
    <x v="0"/>
    <s v="MT"/>
    <x v="8"/>
    <s v="17/04/2026 03:26:19 PM"/>
    <s v="17/04/2026 03:32:57 PM"/>
    <s v="34120"/>
    <s v="17480"/>
    <s v="16640"/>
    <n v="16.64"/>
    <s v="RFID"/>
  </r>
  <r>
    <s v="34518"/>
    <x v="0"/>
    <s v="T312 EHH"/>
    <x v="0"/>
    <x v="0"/>
    <x v="0"/>
    <s v="MT"/>
    <x v="8"/>
    <s v="17/04/2026 03:27:22 PM"/>
    <s v="17/04/2026 03:33:55 PM"/>
    <s v="36660"/>
    <s v="17800"/>
    <s v="18860"/>
    <n v="18.86"/>
    <s v="RFID"/>
  </r>
  <r>
    <s v="34519"/>
    <x v="0"/>
    <s v="T311 EHH"/>
    <x v="0"/>
    <x v="2"/>
    <x v="0"/>
    <s v="MT"/>
    <x v="8"/>
    <s v="17/04/2026 03:28:30 PM"/>
    <s v="17/04/2026 03:35:40 PM"/>
    <s v="31280"/>
    <s v="18120"/>
    <s v="13160"/>
    <n v="13.16"/>
    <s v="RFID"/>
  </r>
  <r>
    <s v="34520"/>
    <x v="0"/>
    <s v="T293 EHH"/>
    <x v="0"/>
    <x v="0"/>
    <x v="0"/>
    <s v="MT"/>
    <x v="8"/>
    <s v="17/04/2026 03:29:25 PM"/>
    <s v="17/04/2026 03:38:09 PM"/>
    <s v="36500"/>
    <s v="18180"/>
    <s v="18320"/>
    <n v="18.32"/>
    <s v="RFID"/>
  </r>
  <r>
    <s v="34521"/>
    <x v="0"/>
    <s v="T299 EHH"/>
    <x v="0"/>
    <x v="2"/>
    <x v="0"/>
    <s v="MT"/>
    <x v="8"/>
    <s v="17/04/2026 03:30:50 PM"/>
    <s v="17/04/2026 03:41:03 PM"/>
    <s v="36540"/>
    <s v="16620"/>
    <s v="19920"/>
    <n v="19.920000000000002"/>
    <s v="RFID"/>
  </r>
  <r>
    <s v="34522"/>
    <x v="0"/>
    <s v="T292 EHH"/>
    <x v="0"/>
    <x v="2"/>
    <x v="0"/>
    <s v="MT"/>
    <x v="8"/>
    <s v="17/04/2026 03:31:41 PM"/>
    <s v="17/04/2026 03:56:51 PM"/>
    <s v="38740"/>
    <s v="22660"/>
    <s v="16080"/>
    <n v="16.079999999999998"/>
    <s v="RFID"/>
  </r>
  <r>
    <s v="34523"/>
    <x v="0"/>
    <s v="T295 EHH"/>
    <x v="0"/>
    <x v="2"/>
    <x v="0"/>
    <s v="MT"/>
    <x v="8"/>
    <s v="17/04/2026 03:42:25 PM"/>
    <s v="17/04/2026 03:47:17 PM"/>
    <s v="34420"/>
    <s v="15800"/>
    <s v="18620"/>
    <n v="18.62"/>
    <s v="RFID"/>
  </r>
  <r>
    <s v="34524"/>
    <x v="0"/>
    <s v="T290 EHH"/>
    <x v="0"/>
    <x v="0"/>
    <x v="0"/>
    <s v="MT"/>
    <x v="8"/>
    <s v="17/04/2026 03:44:02 PM"/>
    <s v="17/04/2026 03:49:12 PM"/>
    <s v="36840"/>
    <s v="18780"/>
    <s v="18060"/>
    <n v="18.059999999999999"/>
    <s v="RFID"/>
  </r>
  <r>
    <s v="34525"/>
    <x v="0"/>
    <s v="T299 EHH"/>
    <x v="0"/>
    <x v="0"/>
    <x v="1"/>
    <s v="MT"/>
    <x v="8"/>
    <s v="17/04/2026 09:12:26 PM"/>
    <s v="17/04/2026 09:28:25 PM"/>
    <s v="36720"/>
    <s v="15960"/>
    <s v="20760"/>
    <n v="20.76"/>
    <s v="RFID"/>
  </r>
  <r>
    <s v="34526"/>
    <x v="0"/>
    <s v="T292 EHH"/>
    <x v="0"/>
    <x v="0"/>
    <x v="1"/>
    <s v="MT"/>
    <x v="8"/>
    <s v="17/04/2026 09:14:39 PM"/>
    <s v="17/04/2026 09:27:31 PM"/>
    <s v="38360"/>
    <s v="16720"/>
    <s v="21640"/>
    <n v="21.64"/>
    <s v="RFID"/>
  </r>
  <r>
    <s v="34527"/>
    <x v="0"/>
    <s v="T295 EHH"/>
    <x v="0"/>
    <x v="0"/>
    <x v="1"/>
    <s v="MT"/>
    <x v="8"/>
    <s v="17/04/2026 09:15:41 PM"/>
    <s v="17/04/2026 09:19:54 PM"/>
    <s v="34740"/>
    <s v="15360"/>
    <s v="19380"/>
    <n v="19.38"/>
    <s v="RFID"/>
  </r>
  <r>
    <s v="34528"/>
    <x v="0"/>
    <s v="T312 EHH"/>
    <x v="0"/>
    <x v="0"/>
    <x v="1"/>
    <s v="MT"/>
    <x v="8"/>
    <s v="17/04/2026 09:16:44 PM"/>
    <s v="17/04/2026 09:24:02 PM"/>
    <s v="36580"/>
    <s v="15880"/>
    <s v="20700"/>
    <n v="20.7"/>
    <s v="RFID"/>
  </r>
  <r>
    <s v="34529"/>
    <x v="0"/>
    <s v="T295 EHH"/>
    <x v="0"/>
    <x v="0"/>
    <x v="1"/>
    <s v="MT"/>
    <x v="8"/>
    <s v="17/04/2026 09:31:30 PM"/>
    <s v="17/04/2026 09:35:33 PM"/>
    <s v="35480"/>
    <s v="15580"/>
    <s v="19900"/>
    <n v="19.899999999999999"/>
    <s v="RFID"/>
  </r>
  <r>
    <s v="34530"/>
    <x v="0"/>
    <s v="T312 EHH"/>
    <x v="0"/>
    <x v="0"/>
    <x v="1"/>
    <s v="MT"/>
    <x v="8"/>
    <s v="17/04/2026 09:37:16 PM"/>
    <s v="17/04/2026 09:41:10 PM"/>
    <s v="38760"/>
    <s v="15940"/>
    <s v="22820"/>
    <n v="22.82"/>
    <s v="RFID"/>
  </r>
  <r>
    <s v="34531"/>
    <x v="0"/>
    <s v="T292 EHH"/>
    <x v="0"/>
    <x v="0"/>
    <x v="1"/>
    <s v="MT"/>
    <x v="8"/>
    <s v="17/04/2026 09:42:49 PM"/>
    <s v="17/04/2026 09:47:21 PM"/>
    <s v="39380"/>
    <s v="17940"/>
    <s v="21440"/>
    <n v="21.44"/>
    <s v="RFID"/>
  </r>
  <r>
    <s v="34532"/>
    <x v="0"/>
    <s v="T299 EHH"/>
    <x v="0"/>
    <x v="0"/>
    <x v="1"/>
    <s v="MT"/>
    <x v="8"/>
    <s v="17/04/2026 09:45:40 PM"/>
    <s v="17/04/2026 09:50:17 PM"/>
    <s v="37540"/>
    <s v="16320"/>
    <s v="21220"/>
    <n v="21.22"/>
    <s v="RFID"/>
  </r>
  <r>
    <s v="34533"/>
    <x v="0"/>
    <s v="T295 EHH"/>
    <x v="0"/>
    <x v="0"/>
    <x v="1"/>
    <s v="MT"/>
    <x v="8"/>
    <s v="17/04/2026 09:48:56 PM"/>
    <s v="17/04/2026 09:52:21 PM"/>
    <s v="37100"/>
    <s v="15680"/>
    <s v="21420"/>
    <n v="21.42"/>
    <s v="RFID"/>
  </r>
  <r>
    <s v="34534"/>
    <x v="0"/>
    <s v="T312 EHH"/>
    <x v="0"/>
    <x v="0"/>
    <x v="1"/>
    <s v="MT"/>
    <x v="8"/>
    <s v="17/04/2026 09:54:02 PM"/>
    <s v="17/04/2026 09:59:36 PM"/>
    <s v="37200"/>
    <s v="16040"/>
    <s v="21160"/>
    <n v="21.16"/>
    <s v="RFID"/>
  </r>
  <r>
    <s v="34535"/>
    <x v="0"/>
    <s v="T292 EHH"/>
    <x v="0"/>
    <x v="0"/>
    <x v="1"/>
    <s v="MT"/>
    <x v="8"/>
    <s v="17/04/2026 09:58:00 PM"/>
    <s v="17/04/2026 10:02:49 PM"/>
    <s v="39380"/>
    <s v="20000"/>
    <s v="19380"/>
    <n v="19.38"/>
    <s v="RFID"/>
  </r>
  <r>
    <s v="34536"/>
    <x v="0"/>
    <s v="T299 EHH"/>
    <x v="0"/>
    <x v="0"/>
    <x v="1"/>
    <s v="MT"/>
    <x v="8"/>
    <s v="17/04/2026 10:15:04 PM"/>
    <s v="17/04/2026 10:19:25 PM"/>
    <s v="40080"/>
    <s v="16600"/>
    <s v="23480"/>
    <n v="23.48"/>
    <s v="RFID"/>
  </r>
  <r>
    <s v="34537"/>
    <x v="0"/>
    <s v="T295 EHH"/>
    <x v="0"/>
    <x v="0"/>
    <x v="1"/>
    <s v="MT"/>
    <x v="8"/>
    <s v="17/04/2026 10:16:44 PM"/>
    <s v="17/04/2026 10:20:19 PM"/>
    <s v="40020"/>
    <s v="15860"/>
    <s v="24160"/>
    <n v="24.16"/>
    <s v="RFID"/>
  </r>
  <r>
    <s v="34538"/>
    <x v="0"/>
    <s v="T312 EHH"/>
    <x v="0"/>
    <x v="0"/>
    <x v="1"/>
    <s v="MT"/>
    <x v="8"/>
    <s v="17/04/2026 10:17:54 PM"/>
    <s v="17/04/2026 10:24:25 PM"/>
    <s v="40340"/>
    <s v="16100"/>
    <s v="24240"/>
    <n v="24.24"/>
    <s v="RFID"/>
  </r>
  <r>
    <s v="34539"/>
    <x v="0"/>
    <s v="T292 EHH"/>
    <x v="0"/>
    <x v="0"/>
    <x v="1"/>
    <s v="MT"/>
    <x v="8"/>
    <s v="17/04/2026 10:22:54 PM"/>
    <s v="17/04/2026 10:29:28 PM"/>
    <s v="39080"/>
    <s v="25040"/>
    <s v="14040"/>
    <n v="14.04"/>
    <s v="RFID"/>
  </r>
  <r>
    <s v="34540"/>
    <x v="0"/>
    <s v="T299 EHH"/>
    <x v="0"/>
    <x v="0"/>
    <x v="1"/>
    <s v="MT"/>
    <x v="8"/>
    <s v="17/04/2026 10:31:01 PM"/>
    <s v="17/04/2026 10:38:31 PM"/>
    <s v="36600"/>
    <s v="16720"/>
    <s v="19880"/>
    <n v="19.88"/>
    <s v="RFID"/>
  </r>
  <r>
    <s v="34541"/>
    <x v="0"/>
    <s v="T295 EHH"/>
    <x v="0"/>
    <x v="0"/>
    <x v="1"/>
    <s v="MT"/>
    <x v="8"/>
    <s v="17/04/2026 10:32:31 PM"/>
    <s v="17/04/2026 10:39:30 PM"/>
    <s v="36860"/>
    <s v="15820"/>
    <s v="21040"/>
    <n v="21.04"/>
    <s v="RFID"/>
  </r>
  <r>
    <s v="34542"/>
    <x v="0"/>
    <s v="T312 EHH"/>
    <x v="0"/>
    <x v="0"/>
    <x v="1"/>
    <s v="MT"/>
    <x v="8"/>
    <s v="17/04/2026 10:41:03 PM"/>
    <s v="17/04/2026 10:46:18 PM"/>
    <s v="35980"/>
    <s v="15980"/>
    <s v="20000"/>
    <n v="20"/>
    <s v="RFID"/>
  </r>
  <r>
    <s v="34543"/>
    <x v="0"/>
    <s v="T295 EHH"/>
    <x v="0"/>
    <x v="0"/>
    <x v="1"/>
    <s v="MT"/>
    <x v="8"/>
    <s v="17/04/2026 11:48:13 PM"/>
    <s v="18/04/2026 12:00:00 AM"/>
    <s v="37680"/>
    <s v="16060"/>
    <s v="21620"/>
    <n v="21.62"/>
    <s v="RFID"/>
  </r>
  <r>
    <s v="34544"/>
    <x v="0"/>
    <s v="T292 EHH"/>
    <x v="0"/>
    <x v="0"/>
    <x v="1"/>
    <s v="MT"/>
    <x v="8"/>
    <s v="17/04/2026 11:52:37 PM"/>
    <s v="18/04/2026 12:01:27 AM"/>
    <s v="36700"/>
    <s v="18500"/>
    <s v="18200"/>
    <n v="18.2"/>
    <s v="RFID"/>
  </r>
  <r>
    <s v="34545"/>
    <x v="0"/>
    <s v="T312 EHH"/>
    <x v="0"/>
    <x v="0"/>
    <x v="0"/>
    <s v="MT"/>
    <x v="8"/>
    <s v="17/04/2026 11:58:21 PM"/>
    <s v="18/04/2026 12:07:04 AM"/>
    <s v="36640"/>
    <s v="15960"/>
    <s v="20680"/>
    <n v="20.68"/>
    <s v="RFID"/>
  </r>
  <r>
    <s v="MN17042601"/>
    <x v="0"/>
    <s v="T299 EHH"/>
    <x v="0"/>
    <x v="6"/>
    <x v="0"/>
    <s v="MT"/>
    <x v="8"/>
    <s v="17/04/2026 11:58:21 PM"/>
    <s v="17/04/2026 11:58:21 PM"/>
    <s v="35960"/>
    <s v="15960"/>
    <s v="20000"/>
    <n v="20"/>
    <s v=""/>
  </r>
  <r>
    <s v="MN17042602"/>
    <x v="0"/>
    <s v="T295 EHH"/>
    <x v="0"/>
    <x v="6"/>
    <x v="0"/>
    <s v="MT"/>
    <x v="8"/>
    <s v="17/04/2026 11:58:21 PM"/>
    <s v="17/04/2026 11:58:21 PM"/>
    <s v="35960"/>
    <s v="15960"/>
    <s v="20000"/>
    <n v="20"/>
    <s v=""/>
  </r>
  <r>
    <s v="MN17042603"/>
    <x v="0"/>
    <s v="T312 EHH"/>
    <x v="0"/>
    <x v="6"/>
    <x v="0"/>
    <s v="MT"/>
    <x v="8"/>
    <s v="17/04/2026 11:58:21 PM"/>
    <s v="17/04/2026 11:58:21 PM"/>
    <s v="35960"/>
    <s v="15960"/>
    <s v="20000"/>
    <n v="20"/>
    <s v=""/>
  </r>
  <r>
    <s v="MN17042604"/>
    <x v="0"/>
    <s v="T292 EHH"/>
    <x v="0"/>
    <x v="6"/>
    <x v="0"/>
    <s v="MT"/>
    <x v="8"/>
    <s v="17/04/2026 11:58:21 PM"/>
    <s v="17/04/2026 11:58:21 PM"/>
    <s v="35960"/>
    <s v="15960"/>
    <s v="20000"/>
    <n v="20"/>
    <s v=""/>
  </r>
  <r>
    <s v="MN17042605"/>
    <x v="0"/>
    <s v="T299 EHH"/>
    <x v="0"/>
    <x v="6"/>
    <x v="0"/>
    <s v="MT"/>
    <x v="8"/>
    <s v="17/04/2026 11:58:21 PM"/>
    <s v="17/04/2026 11:58:21 PM"/>
    <s v="35960"/>
    <s v="15960"/>
    <s v="20000"/>
    <n v="20"/>
    <s v=""/>
  </r>
  <r>
    <s v="MN17042606"/>
    <x v="0"/>
    <s v="T295 EHH"/>
    <x v="0"/>
    <x v="6"/>
    <x v="0"/>
    <s v="MT"/>
    <x v="8"/>
    <s v="17/04/2026 11:58:21 PM"/>
    <s v="17/04/2026 11:58:21 PM"/>
    <s v="35960"/>
    <s v="15960"/>
    <s v="20000"/>
    <n v="20"/>
    <s v=""/>
  </r>
  <r>
    <s v="MN17042607"/>
    <x v="0"/>
    <s v="T312 EHH"/>
    <x v="0"/>
    <x v="6"/>
    <x v="0"/>
    <s v="MT"/>
    <x v="8"/>
    <s v="17/04/2026 11:58:21 PM"/>
    <s v="17/04/2026 11:58:21 PM"/>
    <s v="35960"/>
    <s v="15960"/>
    <s v="20000"/>
    <n v="20"/>
    <s v=""/>
  </r>
  <r>
    <s v="MN17042608"/>
    <x v="0"/>
    <s v="T292 EHH"/>
    <x v="0"/>
    <x v="6"/>
    <x v="0"/>
    <s v="MT"/>
    <x v="8"/>
    <s v="17/04/2026 11:58:21 PM"/>
    <s v="17/04/2026 11:58:21 PM"/>
    <s v="35960"/>
    <s v="15960"/>
    <s v="20000"/>
    <n v="20"/>
    <s v=""/>
  </r>
  <r>
    <s v="MN17042609"/>
    <x v="0"/>
    <s v="T299 EHH"/>
    <x v="0"/>
    <x v="6"/>
    <x v="0"/>
    <s v="MT"/>
    <x v="8"/>
    <s v="17/04/2026 11:58:21 PM"/>
    <s v="17/04/2026 11:58:21 PM"/>
    <s v="35960"/>
    <s v="15960"/>
    <s v="20000"/>
    <n v="20"/>
    <s v=""/>
  </r>
  <r>
    <s v="MN17042610"/>
    <x v="0"/>
    <s v="T295 EHH"/>
    <x v="0"/>
    <x v="6"/>
    <x v="0"/>
    <s v="MT"/>
    <x v="8"/>
    <s v="17/04/2026 11:58:21 PM"/>
    <s v="17/04/2026 11:58:21 PM"/>
    <s v="35960"/>
    <s v="15960"/>
    <s v="20000"/>
    <n v="20"/>
    <s v=""/>
  </r>
  <r>
    <s v="MN17042611"/>
    <x v="0"/>
    <s v="T312 EHH"/>
    <x v="0"/>
    <x v="6"/>
    <x v="0"/>
    <s v="MT"/>
    <x v="8"/>
    <s v="17/04/2026 11:58:21 PM"/>
    <s v="17/04/2026 11:58:21 PM"/>
    <s v="35960"/>
    <s v="15960"/>
    <s v="20000"/>
    <n v="20"/>
    <s v=""/>
  </r>
  <r>
    <s v="MN17042612"/>
    <x v="0"/>
    <s v="T295 EHH"/>
    <x v="0"/>
    <x v="6"/>
    <x v="0"/>
    <s v="MT"/>
    <x v="8"/>
    <s v="17/04/2026 11:58:21 PM"/>
    <s v="17/04/2026 11:58:21 PM"/>
    <s v="35960"/>
    <s v="15960"/>
    <s v="20000"/>
    <n v="20"/>
    <s v=""/>
  </r>
  <r>
    <s v="MN17042613"/>
    <x v="0"/>
    <s v="T292 EHH"/>
    <x v="0"/>
    <x v="6"/>
    <x v="0"/>
    <s v="MT"/>
    <x v="8"/>
    <s v="17/04/2026 11:58:21 PM"/>
    <s v="17/04/2026 11:58:21 PM"/>
    <s v="35960"/>
    <s v="15960"/>
    <s v="20000"/>
    <n v="20"/>
    <s v=""/>
  </r>
  <r>
    <s v="MN17042614"/>
    <x v="0"/>
    <s v="T312 EHH"/>
    <x v="0"/>
    <x v="6"/>
    <x v="0"/>
    <s v="MT"/>
    <x v="8"/>
    <s v="17/04/2026 11:58:21 PM"/>
    <s v="17/04/2026 11:58:21 PM"/>
    <s v="35960"/>
    <s v="15960"/>
    <s v="20000"/>
    <n v="20"/>
    <s v=""/>
  </r>
  <r>
    <s v="MN17042615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16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17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18"/>
    <x v="0"/>
    <s v="T292 EHH"/>
    <x v="0"/>
    <x v="2"/>
    <x v="0"/>
    <s v="MT"/>
    <x v="8"/>
    <s v="17/04/2026 11:58:21 PM"/>
    <s v="17/04/2026 11:58:21 PM"/>
    <s v="35960"/>
    <s v="15960"/>
    <s v="20000"/>
    <n v="20"/>
    <s v=""/>
  </r>
  <r>
    <s v="MN17042619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20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21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22"/>
    <x v="0"/>
    <s v="T292 EHH"/>
    <x v="0"/>
    <x v="2"/>
    <x v="0"/>
    <s v="MT"/>
    <x v="8"/>
    <s v="17/04/2026 11:58:21 PM"/>
    <s v="17/04/2026 11:58:21 PM"/>
    <s v="35960"/>
    <s v="15960"/>
    <s v="20000"/>
    <n v="20"/>
    <s v=""/>
  </r>
  <r>
    <s v="MN17042623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24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25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26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27"/>
    <x v="0"/>
    <s v="T292 EHH"/>
    <x v="0"/>
    <x v="2"/>
    <x v="0"/>
    <s v="MT"/>
    <x v="8"/>
    <s v="17/04/2026 11:58:21 PM"/>
    <s v="17/04/2026 11:58:21 PM"/>
    <s v="35960"/>
    <s v="15960"/>
    <s v="20000"/>
    <n v="20"/>
    <s v=""/>
  </r>
  <r>
    <s v="MN17042628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29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30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31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32"/>
    <x v="0"/>
    <s v="T292 EHH"/>
    <x v="0"/>
    <x v="2"/>
    <x v="0"/>
    <s v="MT"/>
    <x v="8"/>
    <s v="17/04/2026 11:58:21 PM"/>
    <s v="17/04/2026 11:58:21 PM"/>
    <s v="35960"/>
    <s v="15960"/>
    <s v="20000"/>
    <n v="20"/>
    <s v=""/>
  </r>
  <r>
    <s v="MN17042633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34"/>
    <x v="0"/>
    <s v="T295 EHH"/>
    <x v="0"/>
    <x v="2"/>
    <x v="0"/>
    <s v="MT"/>
    <x v="8"/>
    <s v="17/04/2026 11:58:21 PM"/>
    <s v="17/04/2026 11:58:21 PM"/>
    <s v="35960"/>
    <s v="15960"/>
    <s v="20000"/>
    <n v="20"/>
    <s v=""/>
  </r>
  <r>
    <s v="MN17042635"/>
    <x v="0"/>
    <s v="T312 EHH"/>
    <x v="0"/>
    <x v="2"/>
    <x v="0"/>
    <s v="MT"/>
    <x v="8"/>
    <s v="17/04/2026 11:58:21 PM"/>
    <s v="17/04/2026 11:58:21 PM"/>
    <s v="35960"/>
    <s v="15960"/>
    <s v="20000"/>
    <n v="20"/>
    <s v=""/>
  </r>
  <r>
    <s v="MN17042636"/>
    <x v="0"/>
    <s v="T292 EHH"/>
    <x v="0"/>
    <x v="2"/>
    <x v="0"/>
    <s v="MT"/>
    <x v="8"/>
    <s v="17/04/2026 11:58:21 PM"/>
    <s v="17/04/2026 11:58:21 PM"/>
    <s v="35960"/>
    <s v="15960"/>
    <s v="20000"/>
    <n v="20"/>
    <s v=""/>
  </r>
  <r>
    <s v="MN17042637"/>
    <x v="0"/>
    <s v="T299 EHH"/>
    <x v="0"/>
    <x v="2"/>
    <x v="0"/>
    <s v="MT"/>
    <x v="8"/>
    <s v="17/04/2026 11:58:21 PM"/>
    <s v="17/04/2026 11:58:21 PM"/>
    <s v="35960"/>
    <s v="15960"/>
    <s v="20000"/>
    <n v="20"/>
    <s v=""/>
  </r>
  <r>
    <s v="MN17042638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39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40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41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42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43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44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45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46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47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48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49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50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51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52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53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54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55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56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57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58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59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60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61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62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MN17042663"/>
    <x v="0"/>
    <s v="T312 EHH"/>
    <x v="0"/>
    <x v="0"/>
    <x v="0"/>
    <s v="MT"/>
    <x v="8"/>
    <s v="17/04/2026 11:58:21 PM"/>
    <s v="17/04/2026 11:58:21 PM"/>
    <s v="35960"/>
    <s v="15960"/>
    <s v="20000"/>
    <n v="20"/>
    <s v=""/>
  </r>
  <r>
    <s v="MN17042664"/>
    <x v="0"/>
    <s v="T292 EHH"/>
    <x v="0"/>
    <x v="0"/>
    <x v="0"/>
    <s v="MT"/>
    <x v="8"/>
    <s v="17/04/2026 11:58:21 PM"/>
    <s v="17/04/2026 11:58:21 PM"/>
    <s v="35960"/>
    <s v="15960"/>
    <s v="20000"/>
    <n v="20"/>
    <s v=""/>
  </r>
  <r>
    <s v="MN17042665"/>
    <x v="0"/>
    <s v="T299 EHH"/>
    <x v="0"/>
    <x v="0"/>
    <x v="0"/>
    <s v="MT"/>
    <x v="8"/>
    <s v="17/04/2026 11:58:21 PM"/>
    <s v="17/04/2026 11:58:21 PM"/>
    <s v="35960"/>
    <s v="15960"/>
    <s v="20000"/>
    <n v="20"/>
    <s v=""/>
  </r>
  <r>
    <s v="MN17042666"/>
    <x v="0"/>
    <s v="T295 EHH"/>
    <x v="0"/>
    <x v="0"/>
    <x v="0"/>
    <s v="MT"/>
    <x v="8"/>
    <s v="17/04/2026 11:58:21 PM"/>
    <s v="17/04/2026 11:58:21 PM"/>
    <s v="35960"/>
    <s v="15960"/>
    <s v="20000"/>
    <n v="20"/>
    <s v=""/>
  </r>
  <r>
    <s v="34546"/>
    <x v="0"/>
    <s v="T295 EHH"/>
    <x v="0"/>
    <x v="0"/>
    <x v="0"/>
    <s v="MT"/>
    <x v="9"/>
    <s v="18/04/2026 12:08:42 AM"/>
    <s v="18/04/2026 12:14:35 AM"/>
    <s v="37740"/>
    <s v="16160"/>
    <s v="21580"/>
    <n v="21.58"/>
    <s v="RFID"/>
  </r>
  <r>
    <s v="34547"/>
    <x v="0"/>
    <s v="T299 EHH"/>
    <x v="0"/>
    <x v="0"/>
    <x v="0"/>
    <s v="MT"/>
    <x v="9"/>
    <s v="18/04/2026 12:13:13 AM"/>
    <s v="18/04/2026 12:19:13 AM"/>
    <s v="38560"/>
    <s v="17260"/>
    <s v="21300"/>
    <n v="21.3"/>
    <s v="RFID"/>
  </r>
  <r>
    <s v="34548"/>
    <x v="0"/>
    <s v="T292 EHH"/>
    <x v="0"/>
    <x v="0"/>
    <x v="0"/>
    <s v="MT"/>
    <x v="9"/>
    <s v="18/04/2026 12:16:12 AM"/>
    <s v="18/04/2026 12:24:26 AM"/>
    <s v="38280"/>
    <s v="26420"/>
    <s v="11860"/>
    <n v="11.86"/>
    <s v="RFID"/>
  </r>
  <r>
    <s v="34549"/>
    <x v="0"/>
    <s v="T312 EHH"/>
    <x v="0"/>
    <x v="0"/>
    <x v="0"/>
    <s v="MT"/>
    <x v="9"/>
    <s v="18/04/2026 12:20:51 AM"/>
    <s v="18/04/2026 12:29:45 AM"/>
    <s v="35780"/>
    <s v="16060"/>
    <s v="19720"/>
    <n v="19.72"/>
    <s v="RFID"/>
  </r>
  <r>
    <s v="34550"/>
    <x v="0"/>
    <s v="T295 EHH"/>
    <x v="0"/>
    <x v="0"/>
    <x v="0"/>
    <s v="MT"/>
    <x v="9"/>
    <s v="18/04/2026 12:25:37 AM"/>
    <s v="18/04/2026 12:32:50 AM"/>
    <s v="40900"/>
    <s v="16160"/>
    <s v="24740"/>
    <n v="24.74"/>
    <s v="RFID"/>
  </r>
  <r>
    <s v="34551"/>
    <x v="0"/>
    <s v="T295 EHH"/>
    <x v="0"/>
    <x v="0"/>
    <x v="0"/>
    <s v="MT"/>
    <x v="9"/>
    <s v="18/04/2026 12:53:16 AM"/>
    <s v="18/04/2026 01:03:08 AM"/>
    <s v="42160"/>
    <s v="16180"/>
    <s v="25980"/>
    <n v="25.98"/>
    <s v="RFID"/>
  </r>
  <r>
    <s v="34552"/>
    <x v="0"/>
    <s v="T312 EHH"/>
    <x v="0"/>
    <x v="0"/>
    <x v="0"/>
    <s v="MT"/>
    <x v="9"/>
    <s v="18/04/2026 12:57:02 AM"/>
    <s v="18/04/2026 01:08:50 AM"/>
    <s v="39200"/>
    <s v="16360"/>
    <s v="22840"/>
    <n v="22.84"/>
    <s v="RFID"/>
  </r>
  <r>
    <s v="34553"/>
    <x v="0"/>
    <s v="T295 EHH"/>
    <x v="0"/>
    <x v="0"/>
    <x v="0"/>
    <s v="MT"/>
    <x v="9"/>
    <s v="18/04/2026 01:18:08 AM"/>
    <s v="18/04/2026 01:29:39 AM"/>
    <s v="40060"/>
    <s v="16620"/>
    <s v="23440"/>
    <n v="23.44"/>
    <s v="RFID"/>
  </r>
  <r>
    <s v="34554"/>
    <x v="0"/>
    <s v="T304 EHH"/>
    <x v="0"/>
    <x v="0"/>
    <x v="0"/>
    <s v="MT"/>
    <x v="9"/>
    <s v="18/04/2026 01:22:16 AM"/>
    <s v="18/04/2026 01:36:40 AM"/>
    <s v="38280"/>
    <s v="16180"/>
    <s v="22100"/>
    <n v="22.1"/>
    <s v="RFID"/>
  </r>
  <r>
    <s v="34555"/>
    <x v="0"/>
    <s v="T312 EHH"/>
    <x v="0"/>
    <x v="0"/>
    <x v="0"/>
    <s v="MT"/>
    <x v="9"/>
    <s v="18/04/2026 01:26:56 AM"/>
    <s v="18/04/2026 01:35:45 AM"/>
    <s v="40680"/>
    <s v="16080"/>
    <s v="24600"/>
    <n v="24.6"/>
    <s v="RFID"/>
  </r>
  <r>
    <s v="34556"/>
    <x v="0"/>
    <s v="T312 EHH"/>
    <x v="1"/>
    <x v="3"/>
    <x v="1"/>
    <s v="MT"/>
    <x v="9"/>
    <s v="18/04/2026 01:44:51 AM"/>
    <s v="18/04/2026 01:52:56 AM"/>
    <s v="38160"/>
    <s v="15940"/>
    <s v="22220"/>
    <n v="22.22"/>
    <s v="RFID"/>
  </r>
  <r>
    <s v="34557"/>
    <x v="0"/>
    <s v="T304 EHH"/>
    <x v="1"/>
    <x v="3"/>
    <x v="1"/>
    <s v="MT"/>
    <x v="9"/>
    <s v="18/04/2026 01:48:39 AM"/>
    <s v="18/04/2026 02:05:03 AM"/>
    <s v="39620"/>
    <s v="16600"/>
    <s v="23020"/>
    <n v="23.02"/>
    <s v="RFID"/>
  </r>
  <r>
    <s v="34558"/>
    <x v="0"/>
    <s v="T295 EHH"/>
    <x v="1"/>
    <x v="3"/>
    <x v="1"/>
    <s v="MT"/>
    <x v="9"/>
    <s v="18/04/2026 01:59:39 AM"/>
    <s v="18/04/2026 02:09:43 AM"/>
    <s v="40280"/>
    <s v="15980"/>
    <s v="24300"/>
    <n v="24.3"/>
    <s v="RFID"/>
  </r>
  <r>
    <s v="34559"/>
    <x v="0"/>
    <s v="T312 EHH"/>
    <x v="1"/>
    <x v="3"/>
    <x v="1"/>
    <s v="MT"/>
    <x v="9"/>
    <s v="18/04/2026 02:00:45 AM"/>
    <s v="18/04/2026 02:11:08 AM"/>
    <s v="39040"/>
    <s v="15900"/>
    <s v="23140"/>
    <n v="23.14"/>
    <s v="RFID"/>
  </r>
  <r>
    <s v="34560"/>
    <x v="0"/>
    <s v="T304 EHH"/>
    <x v="1"/>
    <x v="3"/>
    <x v="1"/>
    <s v="MT"/>
    <x v="9"/>
    <s v="18/04/2026 02:12:14 AM"/>
    <s v="18/04/2026 02:44:41 AM"/>
    <s v="37280"/>
    <s v="16600"/>
    <s v="20680"/>
    <n v="20.68"/>
    <s v="RFID"/>
  </r>
  <r>
    <s v="34561"/>
    <x v="0"/>
    <s v="T295 EHH"/>
    <x v="1"/>
    <x v="3"/>
    <x v="1"/>
    <s v="MT"/>
    <x v="9"/>
    <s v="18/04/2026 02:14:36 AM"/>
    <s v="18/04/2026 02:48:57 AM"/>
    <s v="38560"/>
    <s v="15220"/>
    <s v="23340"/>
    <n v="23.34"/>
    <s v="RFID"/>
  </r>
  <r>
    <s v="34562"/>
    <x v="0"/>
    <s v="T312 EHH"/>
    <x v="1"/>
    <x v="3"/>
    <x v="1"/>
    <s v="MT"/>
    <x v="9"/>
    <s v="18/04/2026 02:19:44 AM"/>
    <s v="18/04/2026 02:43:13 AM"/>
    <s v="40140"/>
    <s v="15840"/>
    <s v="24300"/>
    <n v="24.3"/>
    <s v="RFID"/>
  </r>
  <r>
    <s v="34563"/>
    <x v="0"/>
    <s v="T311 EHH"/>
    <x v="1"/>
    <x v="3"/>
    <x v="1"/>
    <s v="MT"/>
    <x v="9"/>
    <s v="18/04/2026 02:47:20 AM"/>
    <s v="18/04/2026 02:57:02 AM"/>
    <s v="40480"/>
    <s v="15800"/>
    <s v="24680"/>
    <n v="24.68"/>
    <s v="RFID"/>
  </r>
  <r>
    <s v="34564"/>
    <x v="0"/>
    <s v="T312 EHH"/>
    <x v="1"/>
    <x v="3"/>
    <x v="1"/>
    <s v="MT"/>
    <x v="9"/>
    <s v="18/04/2026 02:51:20 AM"/>
    <s v="18/04/2026 02:59:29 AM"/>
    <s v="39660"/>
    <s v="15800"/>
    <s v="23860"/>
    <n v="23.86"/>
    <s v="RFID"/>
  </r>
  <r>
    <s v="34565"/>
    <x v="0"/>
    <s v="T304 EHH"/>
    <x v="1"/>
    <x v="3"/>
    <x v="1"/>
    <s v="MT"/>
    <x v="9"/>
    <s v="18/04/2026 02:58:32 AM"/>
    <s v="18/04/2026 03:05:36 AM"/>
    <s v="35800"/>
    <s v="16180"/>
    <s v="19620"/>
    <n v="19.62"/>
    <s v="RFID"/>
  </r>
  <r>
    <s v="34566"/>
    <x v="0"/>
    <s v="T295 EHH"/>
    <x v="1"/>
    <x v="3"/>
    <x v="1"/>
    <s v="MT"/>
    <x v="9"/>
    <s v="18/04/2026 03:00:31 AM"/>
    <s v="18/04/2026 03:06:22 AM"/>
    <s v="35160"/>
    <s v="14940"/>
    <s v="20220"/>
    <n v="20.22"/>
    <s v="RFID"/>
  </r>
  <r>
    <s v="34567"/>
    <x v="0"/>
    <s v="T311 EHH"/>
    <x v="1"/>
    <x v="3"/>
    <x v="1"/>
    <s v="MT"/>
    <x v="9"/>
    <s v="18/04/2026 03:07:37 AM"/>
    <s v="18/04/2026 03:14:01 AM"/>
    <s v="34660"/>
    <s v="15440"/>
    <s v="19220"/>
    <n v="19.22"/>
    <s v="RFID"/>
  </r>
  <r>
    <s v="34568"/>
    <x v="0"/>
    <s v="T312 EHH"/>
    <x v="1"/>
    <x v="3"/>
    <x v="1"/>
    <s v="MT"/>
    <x v="9"/>
    <s v="18/04/2026 03:12:47 AM"/>
    <s v="18/04/2026 03:20:54 AM"/>
    <s v="35840"/>
    <s v="15500"/>
    <s v="20340"/>
    <n v="20.34"/>
    <s v="RFID"/>
  </r>
  <r>
    <s v="34569"/>
    <x v="0"/>
    <s v="T304 EHH"/>
    <x v="1"/>
    <x v="3"/>
    <x v="1"/>
    <s v="MT"/>
    <x v="9"/>
    <s v="18/04/2026 03:16:42 AM"/>
    <s v="18/04/2026 03:23:39 AM"/>
    <s v="36820"/>
    <s v="16140"/>
    <s v="20680"/>
    <n v="20.68"/>
    <s v="RFID"/>
  </r>
  <r>
    <s v="34570"/>
    <x v="0"/>
    <s v="T295 EHH"/>
    <x v="1"/>
    <x v="3"/>
    <x v="1"/>
    <s v="MT"/>
    <x v="9"/>
    <s v="18/04/2026 03:22:06 AM"/>
    <s v="18/04/2026 03:27:39 AM"/>
    <s v="35320"/>
    <s v="14960"/>
    <s v="20360"/>
    <n v="20.36"/>
    <s v="RFID"/>
  </r>
  <r>
    <s v="34571"/>
    <x v="0"/>
    <s v="T311 EHH"/>
    <x v="1"/>
    <x v="3"/>
    <x v="1"/>
    <s v="MT"/>
    <x v="9"/>
    <s v="18/04/2026 03:28:55 AM"/>
    <s v="18/04/2026 03:37:13 AM"/>
    <s v="35120"/>
    <s v="15520"/>
    <s v="19600"/>
    <n v="19.600000000000001"/>
    <s v="RFID"/>
  </r>
  <r>
    <s v="34572"/>
    <x v="0"/>
    <s v="T312 EHH"/>
    <x v="1"/>
    <x v="3"/>
    <x v="1"/>
    <s v="MT"/>
    <x v="9"/>
    <s v="18/04/2026 03:32:16 AM"/>
    <s v="18/04/2026 03:40:15 AM"/>
    <s v="36100"/>
    <s v="15540"/>
    <s v="20560"/>
    <n v="20.56"/>
    <s v="RFID"/>
  </r>
  <r>
    <s v="34573"/>
    <x v="0"/>
    <s v="T304 EHH"/>
    <x v="1"/>
    <x v="3"/>
    <x v="1"/>
    <s v="MT"/>
    <x v="9"/>
    <s v="18/04/2026 03:36:20 AM"/>
    <s v="18/04/2026 03:42:28 AM"/>
    <s v="36720"/>
    <s v="16500"/>
    <s v="20220"/>
    <n v="20.22"/>
    <s v="RFID"/>
  </r>
  <r>
    <s v="34574"/>
    <x v="0"/>
    <s v="T295 EHH"/>
    <x v="1"/>
    <x v="3"/>
    <x v="1"/>
    <s v="MT"/>
    <x v="9"/>
    <s v="18/04/2026 03:43:40 AM"/>
    <s v="18/04/2026 03:48:13 AM"/>
    <s v="38240"/>
    <s v="15120"/>
    <s v="23120"/>
    <n v="23.12"/>
    <s v="RFID"/>
  </r>
  <r>
    <s v="34575"/>
    <x v="0"/>
    <s v="T311 EHH"/>
    <x v="1"/>
    <x v="3"/>
    <x v="1"/>
    <s v="MT"/>
    <x v="9"/>
    <s v="18/04/2026 04:06:40 AM"/>
    <s v="18/04/2026 04:12:46 AM"/>
    <s v="38260"/>
    <s v="15780"/>
    <s v="22480"/>
    <n v="22.48"/>
    <s v="RFID"/>
  </r>
  <r>
    <s v="34576"/>
    <x v="0"/>
    <s v="T312 EHH"/>
    <x v="1"/>
    <x v="3"/>
    <x v="1"/>
    <s v="MT"/>
    <x v="9"/>
    <s v="18/04/2026 04:11:47 AM"/>
    <s v="18/04/2026 04:22:10 AM"/>
    <s v="38500"/>
    <s v="16720"/>
    <s v="21780"/>
    <n v="21.78"/>
    <s v="RFID"/>
  </r>
  <r>
    <s v="34577"/>
    <x v="0"/>
    <s v="T304 EHH"/>
    <x v="1"/>
    <x v="3"/>
    <x v="1"/>
    <s v="MT"/>
    <x v="9"/>
    <s v="18/04/2026 04:19:31 AM"/>
    <s v="18/04/2026 04:49:15 AM"/>
    <s v="35360"/>
    <s v="15520"/>
    <s v="19840"/>
    <n v="19.84"/>
    <s v="RFID"/>
  </r>
  <r>
    <s v="34578"/>
    <x v="0"/>
    <s v="T295 EHH"/>
    <x v="1"/>
    <x v="3"/>
    <x v="1"/>
    <s v="MT"/>
    <x v="9"/>
    <s v="18/04/2026 04:25:27 AM"/>
    <s v="18/04/2026 04:52:00 AM"/>
    <s v="36820"/>
    <s v="15520"/>
    <s v="21300"/>
    <n v="21.3"/>
    <s v="RFID"/>
  </r>
  <r>
    <s v="34579"/>
    <x v="0"/>
    <s v="T311 EHH"/>
    <x v="1"/>
    <x v="3"/>
    <x v="1"/>
    <s v="MT"/>
    <x v="9"/>
    <s v="18/04/2026 04:32:31 AM"/>
    <s v="18/04/2026 05:19:22 AM"/>
    <s v="35420"/>
    <s v="15780"/>
    <s v="19640"/>
    <n v="19.64"/>
    <s v="RFID"/>
  </r>
  <r>
    <s v="34580"/>
    <x v="0"/>
    <s v="T312 EHH"/>
    <x v="1"/>
    <x v="3"/>
    <x v="1"/>
    <s v="MT"/>
    <x v="9"/>
    <s v="18/04/2026 04:40:16 AM"/>
    <s v="18/04/2026 05:23:09 AM"/>
    <s v="38300"/>
    <s v="15820"/>
    <s v="22480"/>
    <n v="22.48"/>
    <s v="RFID"/>
  </r>
  <r>
    <s v="34581"/>
    <x v="0"/>
    <s v="T304 EHH"/>
    <x v="1"/>
    <x v="3"/>
    <x v="1"/>
    <s v="MT"/>
    <x v="9"/>
    <s v="18/04/2026 05:40:06 AM"/>
    <s v="18/04/2026 05:48:21 AM"/>
    <s v="38460"/>
    <s v="15160"/>
    <s v="23300"/>
    <n v="23.3"/>
    <s v="RFID"/>
  </r>
  <r>
    <s v="34582"/>
    <x v="0"/>
    <s v="T295 EHH"/>
    <x v="1"/>
    <x v="3"/>
    <x v="1"/>
    <s v="MT"/>
    <x v="9"/>
    <s v="18/04/2026 05:58:20 AM"/>
    <s v="18/04/2026 06:03:10 AM"/>
    <s v="38980"/>
    <s v="15380"/>
    <s v="23600"/>
    <n v="23.6"/>
    <s v="RFID"/>
  </r>
  <r>
    <s v="34583"/>
    <x v="0"/>
    <s v="T312 EHH"/>
    <x v="1"/>
    <x v="3"/>
    <x v="1"/>
    <s v="MT"/>
    <x v="9"/>
    <s v="18/04/2026 06:00:10 AM"/>
    <s v="18/04/2026 06:06:19 AM"/>
    <s v="38080"/>
    <s v="15640"/>
    <s v="22440"/>
    <n v="22.44"/>
    <s v="RFID"/>
  </r>
  <r>
    <s v="34584"/>
    <x v="0"/>
    <s v="T304 EHH"/>
    <x v="1"/>
    <x v="3"/>
    <x v="1"/>
    <s v="MT"/>
    <x v="9"/>
    <s v="18/04/2026 06:08:10 AM"/>
    <s v="18/04/2026 06:22:35 AM"/>
    <s v="38320"/>
    <s v="15180"/>
    <s v="23140"/>
    <n v="23.14"/>
    <s v="RFID"/>
  </r>
  <r>
    <s v="34585"/>
    <x v="0"/>
    <s v="T295 EHH"/>
    <x v="1"/>
    <x v="3"/>
    <x v="1"/>
    <s v="MT"/>
    <x v="9"/>
    <s v="18/04/2026 06:11:55 AM"/>
    <s v="18/04/2026 06:16:28 AM"/>
    <s v="37560"/>
    <s v="15440"/>
    <s v="22120"/>
    <n v="22.12"/>
    <s v="RFID"/>
  </r>
  <r>
    <s v="34586"/>
    <x v="0"/>
    <s v="T312 EHH"/>
    <x v="1"/>
    <x v="3"/>
    <x v="1"/>
    <s v="MT"/>
    <x v="9"/>
    <s v="18/04/2026 06:20:57 AM"/>
    <s v="18/04/2026 06:29:23 AM"/>
    <s v="39580"/>
    <s v="16280"/>
    <s v="23300"/>
    <n v="23.3"/>
    <s v="RFID"/>
  </r>
  <r>
    <s v="34587"/>
    <x v="0"/>
    <s v="T295 EHH"/>
    <x v="1"/>
    <x v="3"/>
    <x v="1"/>
    <s v="MT"/>
    <x v="9"/>
    <s v="18/04/2026 06:23:29 AM"/>
    <s v="18/04/2026 07:25:30 AM"/>
    <s v="38260"/>
    <s v="15380"/>
    <s v="22880"/>
    <n v="22.88"/>
    <s v="RFID"/>
  </r>
  <r>
    <s v="34588"/>
    <x v="0"/>
    <s v="T311 EHH"/>
    <x v="1"/>
    <x v="3"/>
    <x v="1"/>
    <s v="MT"/>
    <x v="9"/>
    <s v="18/04/2026 06:27:55 AM"/>
    <s v="18/04/2026 07:28:29 AM"/>
    <s v="37680"/>
    <s v="15600"/>
    <s v="22080"/>
    <n v="22.08"/>
    <s v="RFID"/>
  </r>
  <r>
    <s v="34589"/>
    <x v="0"/>
    <s v="T304 EHH"/>
    <x v="1"/>
    <x v="3"/>
    <x v="1"/>
    <s v="MT"/>
    <x v="9"/>
    <s v="18/04/2026 06:34:01 AM"/>
    <s v="18/04/2026 07:35:14 AM"/>
    <s v="37740"/>
    <s v="15280"/>
    <s v="22460"/>
    <n v="22.46"/>
    <s v="RFID"/>
  </r>
  <r>
    <s v="34590"/>
    <x v="0"/>
    <s v="T312 EHH"/>
    <x v="1"/>
    <x v="3"/>
    <x v="1"/>
    <s v="MT"/>
    <x v="9"/>
    <s v="18/04/2026 06:39:59 AM"/>
    <s v="18/04/2026 07:40:12 AM"/>
    <s v="41180"/>
    <s v="17820"/>
    <s v="23360"/>
    <n v="23.36"/>
    <s v="RFID"/>
  </r>
  <r>
    <s v="34591"/>
    <x v="0"/>
    <s v="T312 EHH"/>
    <x v="1"/>
    <x v="3"/>
    <x v="0"/>
    <s v="MT"/>
    <x v="9"/>
    <s v="18/04/2026 09:57:54 AM"/>
    <s v="18/04/2026 10:06:51 AM"/>
    <s v="36860"/>
    <s v="15460"/>
    <s v="21400"/>
    <n v="21.4"/>
    <s v="RFID"/>
  </r>
  <r>
    <s v="34592"/>
    <x v="0"/>
    <s v="T295 EHH"/>
    <x v="1"/>
    <x v="3"/>
    <x v="0"/>
    <s v="MT"/>
    <x v="9"/>
    <s v="18/04/2026 10:01:20 AM"/>
    <s v="18/04/2026 10:10:31 AM"/>
    <s v="37300"/>
    <s v="15460"/>
    <s v="21840"/>
    <n v="21.84"/>
    <s v="RFID"/>
  </r>
  <r>
    <s v="34593"/>
    <x v="0"/>
    <s v="T311 EHH"/>
    <x v="1"/>
    <x v="3"/>
    <x v="0"/>
    <s v="MT"/>
    <x v="9"/>
    <s v="18/04/2026 10:03:26 AM"/>
    <s v="18/04/2026 10:17:14 AM"/>
    <s v="31240"/>
    <s v="15760"/>
    <s v="15480"/>
    <n v="15.48"/>
    <s v="RFID"/>
  </r>
  <r>
    <s v="34594"/>
    <x v="0"/>
    <s v="T312 EHH"/>
    <x v="1"/>
    <x v="3"/>
    <x v="0"/>
    <s v="MT"/>
    <x v="9"/>
    <s v="18/04/2026 10:14:54 AM"/>
    <s v="18/04/2026 10:39:03 AM"/>
    <s v="39100"/>
    <s v="15520"/>
    <s v="23580"/>
    <n v="23.58"/>
    <s v="RFID"/>
  </r>
  <r>
    <s v="34595"/>
    <x v="0"/>
    <s v="T295 EHH"/>
    <x v="1"/>
    <x v="3"/>
    <x v="0"/>
    <s v="MT"/>
    <x v="9"/>
    <s v="18/04/2026 10:20:06 AM"/>
    <s v="18/04/2026 10:41:12 AM"/>
    <s v="35620"/>
    <s v="15500"/>
    <s v="20120"/>
    <n v="20.12"/>
    <s v="RFID"/>
  </r>
  <r>
    <s v="34596"/>
    <x v="0"/>
    <s v="T293 EHH"/>
    <x v="1"/>
    <x v="3"/>
    <x v="0"/>
    <s v="MT"/>
    <x v="9"/>
    <s v="18/04/2026 10:24:04 AM"/>
    <s v="18/04/2026 10:44:10 AM"/>
    <s v="37100"/>
    <s v="15520"/>
    <s v="21580"/>
    <n v="21.58"/>
    <s v="RFID"/>
  </r>
  <r>
    <s v="34597"/>
    <x v="0"/>
    <s v="T311 EHH"/>
    <x v="1"/>
    <x v="3"/>
    <x v="0"/>
    <s v="MT"/>
    <x v="9"/>
    <s v="18/04/2026 10:28:06 AM"/>
    <s v="18/04/2026 10:50:23 AM"/>
    <s v="37720"/>
    <s v="15920"/>
    <s v="21800"/>
    <n v="21.8"/>
    <s v="RFID"/>
  </r>
  <r>
    <s v="34598"/>
    <x v="0"/>
    <s v="T312 EHH"/>
    <x v="1"/>
    <x v="3"/>
    <x v="0"/>
    <s v="MT"/>
    <x v="9"/>
    <s v="18/04/2026 10:45:06 AM"/>
    <s v="18/04/2026 11:09:23 AM"/>
    <s v="37500"/>
    <s v="15540"/>
    <s v="21960"/>
    <n v="21.96"/>
    <s v="RFID"/>
  </r>
  <r>
    <s v="34599"/>
    <x v="0"/>
    <s v="T295 EHH"/>
    <x v="1"/>
    <x v="3"/>
    <x v="0"/>
    <s v="MT"/>
    <x v="9"/>
    <s v="18/04/2026 10:49:10 AM"/>
    <s v="18/04/2026 11:12:57 AM"/>
    <s v="36740"/>
    <s v="15520"/>
    <s v="21220"/>
    <n v="21.22"/>
    <s v="RFID"/>
  </r>
  <r>
    <s v="34600"/>
    <x v="0"/>
    <s v="T293 EHH"/>
    <x v="1"/>
    <x v="3"/>
    <x v="0"/>
    <s v="MT"/>
    <x v="9"/>
    <s v="18/04/2026 10:52:03 AM"/>
    <s v="18/04/2026 11:16:12 AM"/>
    <s v="36720"/>
    <s v="15540"/>
    <s v="21180"/>
    <n v="21.18"/>
    <s v="RFID"/>
  </r>
  <r>
    <s v="34601"/>
    <x v="0"/>
    <s v="T311 EHH"/>
    <x v="1"/>
    <x v="3"/>
    <x v="0"/>
    <s v="MT"/>
    <x v="9"/>
    <s v="18/04/2026 10:57:24 AM"/>
    <s v="18/04/2026 11:19:54 AM"/>
    <s v="35100"/>
    <s v="15740"/>
    <s v="19360"/>
    <n v="19.36"/>
    <s v="RFID"/>
  </r>
  <r>
    <s v="34602"/>
    <x v="0"/>
    <s v="T312 EHH"/>
    <x v="1"/>
    <x v="3"/>
    <x v="0"/>
    <s v="MT"/>
    <x v="9"/>
    <s v="18/04/2026 11:14:35 AM"/>
    <s v="18/04/2026 11:21:21 AM"/>
    <s v="35360"/>
    <s v="17060"/>
    <s v="18300"/>
    <n v="18.3"/>
    <s v="RFID"/>
  </r>
  <r>
    <s v="34603"/>
    <x v="0"/>
    <s v="T295 EHH"/>
    <x v="1"/>
    <x v="3"/>
    <x v="0"/>
    <s v="MT"/>
    <x v="9"/>
    <s v="18/04/2026 11:18:39 AM"/>
    <s v="18/04/2026 11:25:52 AM"/>
    <s v="34760"/>
    <s v="17720"/>
    <s v="17040"/>
    <n v="17.04"/>
    <s v="RFID"/>
  </r>
  <r>
    <s v="34604"/>
    <x v="0"/>
    <s v="T293 EHH"/>
    <x v="1"/>
    <x v="3"/>
    <x v="0"/>
    <s v="MT"/>
    <x v="9"/>
    <s v="18/04/2026 11:22:11 AM"/>
    <s v="18/04/2026 12:23:04 PM"/>
    <s v="34100"/>
    <s v="16380"/>
    <s v="17720"/>
    <n v="17.72"/>
    <s v="RFID"/>
  </r>
  <r>
    <s v="34605"/>
    <x v="0"/>
    <s v="T311 EHH"/>
    <x v="1"/>
    <x v="3"/>
    <x v="0"/>
    <s v="MT"/>
    <x v="9"/>
    <s v="18/04/2026 11:28:23 AM"/>
    <s v="18/04/2026 12:26:20 PM"/>
    <s v="40140"/>
    <s v="16020"/>
    <s v="24120"/>
    <n v="24.12"/>
    <s v="RFID"/>
  </r>
  <r>
    <s v="34606"/>
    <x v="0"/>
    <s v="T312 EHH"/>
    <x v="1"/>
    <x v="3"/>
    <x v="0"/>
    <s v="MT"/>
    <x v="9"/>
    <s v="18/04/2026 11:31:56 AM"/>
    <s v="18/04/2026 12:32:00 PM"/>
    <s v="35760"/>
    <s v="15640"/>
    <s v="20120"/>
    <n v="20.12"/>
    <s v="RFID"/>
  </r>
  <r>
    <s v="34607"/>
    <x v="0"/>
    <s v="T295 EHH"/>
    <x v="1"/>
    <x v="3"/>
    <x v="0"/>
    <s v="MT"/>
    <x v="9"/>
    <s v="18/04/2026 11:35:56 AM"/>
    <s v="18/04/2026 12:29:05 PM"/>
    <s v="36160"/>
    <s v="15700"/>
    <s v="20460"/>
    <n v="20.46"/>
    <s v="RFID"/>
  </r>
  <r>
    <s v="34608"/>
    <x v="0"/>
    <s v="T293 EHH"/>
    <x v="0"/>
    <x v="2"/>
    <x v="0"/>
    <s v="MT"/>
    <x v="9"/>
    <s v="18/04/2026 12:36:34 PM"/>
    <s v="18/04/2026 12:43:57 PM"/>
    <s v="38940"/>
    <s v="15800"/>
    <s v="23140"/>
    <n v="23.14"/>
    <s v="RFID"/>
  </r>
  <r>
    <s v="34609"/>
    <x v="0"/>
    <s v="T311 EHH"/>
    <x v="0"/>
    <x v="2"/>
    <x v="0"/>
    <s v="MT"/>
    <x v="9"/>
    <s v="18/04/2026 12:38:33 PM"/>
    <s v="18/04/2026 12:55:48 PM"/>
    <s v="37600"/>
    <s v="15860"/>
    <s v="21740"/>
    <n v="21.74"/>
    <s v="RFID"/>
  </r>
  <r>
    <s v="34610"/>
    <x v="0"/>
    <s v="T295 EHH"/>
    <x v="0"/>
    <x v="2"/>
    <x v="0"/>
    <s v="MT"/>
    <x v="9"/>
    <s v="18/04/2026 12:42:48 PM"/>
    <s v="18/04/2026 12:57:01 PM"/>
    <s v="39020"/>
    <s v="15580"/>
    <s v="23440"/>
    <n v="23.44"/>
    <s v="RFID"/>
  </r>
  <r>
    <s v="34611"/>
    <x v="0"/>
    <s v="T299 EHH"/>
    <x v="0"/>
    <x v="0"/>
    <x v="0"/>
    <s v="MT"/>
    <x v="9"/>
    <s v="18/04/2026 12:47:19 PM"/>
    <s v="18/04/2026 12:53:32 PM"/>
    <s v="38620"/>
    <s v="17080"/>
    <s v="21540"/>
    <n v="21.54"/>
    <s v="RFID"/>
  </r>
  <r>
    <s v="34612"/>
    <x v="0"/>
    <s v="T312 EHH"/>
    <x v="0"/>
    <x v="0"/>
    <x v="0"/>
    <s v="MT"/>
    <x v="9"/>
    <s v="18/04/2026 12:51:07 PM"/>
    <s v="18/04/2026 01:04:07 PM"/>
    <s v="37140"/>
    <s v="15420"/>
    <s v="21720"/>
    <n v="21.72"/>
    <s v="RFID"/>
  </r>
  <r>
    <s v="34613"/>
    <x v="0"/>
    <s v="T293 EHH"/>
    <x v="0"/>
    <x v="0"/>
    <x v="0"/>
    <s v="MT"/>
    <x v="9"/>
    <s v="18/04/2026 12:58:18 PM"/>
    <s v="18/04/2026 01:12:12 PM"/>
    <s v="39020"/>
    <s v="15100"/>
    <s v="23920"/>
    <n v="23.92"/>
    <s v="RFID"/>
  </r>
  <r>
    <s v="34614"/>
    <x v="0"/>
    <s v="T299 EHH"/>
    <x v="0"/>
    <x v="0"/>
    <x v="0"/>
    <s v="MT"/>
    <x v="9"/>
    <s v="18/04/2026 01:06:50 PM"/>
    <s v="18/04/2026 01:13:25 PM"/>
    <s v="38240"/>
    <s v="15400"/>
    <s v="22840"/>
    <n v="22.84"/>
    <s v="RFID"/>
  </r>
  <r>
    <s v="34615"/>
    <x v="0"/>
    <s v="T295 EHH"/>
    <x v="0"/>
    <x v="0"/>
    <x v="0"/>
    <s v="MT"/>
    <x v="9"/>
    <s v="18/04/2026 01:10:00 PM"/>
    <s v="18/04/2026 01:20:42 PM"/>
    <s v="34120"/>
    <s v="15600"/>
    <s v="18520"/>
    <n v="18.52"/>
    <s v="RFID"/>
  </r>
  <r>
    <s v="34616"/>
    <x v="0"/>
    <s v="T312 EHH"/>
    <x v="0"/>
    <x v="0"/>
    <x v="0"/>
    <s v="MT"/>
    <x v="9"/>
    <s v="18/04/2026 01:15:12 PM"/>
    <s v="18/04/2026 01:21:26 PM"/>
    <s v="39820"/>
    <s v="15420"/>
    <s v="24400"/>
    <n v="24.4"/>
    <s v="RFID"/>
  </r>
  <r>
    <s v="34617"/>
    <x v="0"/>
    <s v="T293 EHH"/>
    <x v="0"/>
    <x v="0"/>
    <x v="0"/>
    <s v="MT"/>
    <x v="9"/>
    <s v="18/04/2026 01:22:42 PM"/>
    <s v="18/04/2026 01:28:21 PM"/>
    <s v="34680"/>
    <s v="15020"/>
    <s v="19660"/>
    <n v="19.66"/>
    <s v="RFID"/>
  </r>
  <r>
    <s v="34618"/>
    <x v="0"/>
    <s v="T311 EHH"/>
    <x v="0"/>
    <x v="0"/>
    <x v="0"/>
    <s v="MT"/>
    <x v="9"/>
    <s v="18/04/2026 01:26:37 PM"/>
    <s v="18/04/2026 01:34:18 PM"/>
    <s v="38060"/>
    <s v="15500"/>
    <s v="22560"/>
    <n v="22.56"/>
    <s v="RFID"/>
  </r>
  <r>
    <s v="34619"/>
    <x v="0"/>
    <s v="T299 EHH"/>
    <x v="0"/>
    <x v="0"/>
    <x v="0"/>
    <s v="MT"/>
    <x v="9"/>
    <s v="18/04/2026 01:29:53 PM"/>
    <s v="18/04/2026 01:37:26 PM"/>
    <s v="35860"/>
    <s v="15220"/>
    <s v="20640"/>
    <n v="20.64"/>
    <s v="RFID"/>
  </r>
  <r>
    <s v="34620"/>
    <x v="0"/>
    <s v="T295 EHH"/>
    <x v="0"/>
    <x v="0"/>
    <x v="0"/>
    <s v="MT"/>
    <x v="9"/>
    <s v="18/04/2026 01:33:10 PM"/>
    <s v="18/04/2026 01:39:37 PM"/>
    <s v="34360"/>
    <s v="15480"/>
    <s v="18880"/>
    <n v="18.88"/>
    <s v="RFID"/>
  </r>
  <r>
    <s v="34621"/>
    <x v="0"/>
    <s v="T312 EHH"/>
    <x v="0"/>
    <x v="0"/>
    <x v="0"/>
    <s v="MT"/>
    <x v="9"/>
    <s v="18/04/2026 01:38:31 PM"/>
    <s v="18/04/2026 01:44:59 PM"/>
    <s v="33860"/>
    <s v="15760"/>
    <s v="18100"/>
    <n v="18.100000000000001"/>
    <s v="RFID"/>
  </r>
  <r>
    <s v="34622"/>
    <x v="0"/>
    <s v="T293 EHH"/>
    <x v="0"/>
    <x v="0"/>
    <x v="0"/>
    <s v="MT"/>
    <x v="9"/>
    <s v="18/04/2026 01:43:42 PM"/>
    <s v="18/04/2026 02:00:35 PM"/>
    <s v="35500"/>
    <s v="15020"/>
    <s v="20480"/>
    <n v="20.48"/>
    <s v="RFID"/>
  </r>
  <r>
    <s v="34623"/>
    <x v="0"/>
    <s v="T311 EHH"/>
    <x v="0"/>
    <x v="0"/>
    <x v="0"/>
    <s v="MT"/>
    <x v="9"/>
    <s v="18/04/2026 01:53:01 PM"/>
    <s v="18/04/2026 01:59:49 PM"/>
    <s v="38020"/>
    <s v="15480"/>
    <s v="22540"/>
    <n v="22.54"/>
    <s v="RFID"/>
  </r>
  <r>
    <s v="34624"/>
    <x v="0"/>
    <s v="T299 EHH"/>
    <x v="0"/>
    <x v="0"/>
    <x v="0"/>
    <s v="MT"/>
    <x v="9"/>
    <s v="18/04/2026 01:55:02 PM"/>
    <s v="18/04/2026 02:02:26 PM"/>
    <s v="40000"/>
    <s v="18520"/>
    <s v="21480"/>
    <n v="21.48"/>
    <s v="RFID"/>
  </r>
  <r>
    <s v="34625"/>
    <x v="0"/>
    <s v="T295 EHH"/>
    <x v="0"/>
    <x v="0"/>
    <x v="0"/>
    <s v="MT"/>
    <x v="9"/>
    <s v="18/04/2026 01:58:42 PM"/>
    <s v="18/04/2026 02:05:34 PM"/>
    <s v="41280"/>
    <s v="15220"/>
    <s v="26060"/>
    <n v="26.06"/>
    <s v="RFID"/>
  </r>
  <r>
    <s v="34626"/>
    <x v="0"/>
    <s v="T312 EHH"/>
    <x v="0"/>
    <x v="2"/>
    <x v="0"/>
    <s v="MT"/>
    <x v="9"/>
    <s v="18/04/2026 02:12:30 PM"/>
    <s v="18/04/2026 02:18:29 PM"/>
    <s v="35900"/>
    <s v="15380"/>
    <s v="20520"/>
    <n v="20.52"/>
    <s v="RFID"/>
  </r>
  <r>
    <s v="34627"/>
    <x v="0"/>
    <s v="T311 EHH"/>
    <x v="0"/>
    <x v="0"/>
    <x v="0"/>
    <s v="MT"/>
    <x v="9"/>
    <s v="18/04/2026 02:16:47 PM"/>
    <s v="18/04/2026 02:23:51 PM"/>
    <s v="40160"/>
    <s v="15420"/>
    <s v="24740"/>
    <n v="24.74"/>
    <s v="RFID"/>
  </r>
  <r>
    <s v="34628"/>
    <x v="0"/>
    <s v="T295 EHH"/>
    <x v="0"/>
    <x v="0"/>
    <x v="0"/>
    <s v="MT"/>
    <x v="9"/>
    <s v="18/04/2026 02:22:14 PM"/>
    <s v="18/04/2026 02:26:40 PM"/>
    <s v="37400"/>
    <s v="15220"/>
    <s v="22180"/>
    <n v="22.18"/>
    <s v="RFID"/>
  </r>
  <r>
    <s v="34629"/>
    <x v="0"/>
    <s v="T299 EHH"/>
    <x v="0"/>
    <x v="0"/>
    <x v="0"/>
    <s v="MT"/>
    <x v="9"/>
    <s v="18/04/2026 02:27:51 PM"/>
    <s v="18/04/2026 02:33:34 PM"/>
    <s v="38700"/>
    <s v="15340"/>
    <s v="23360"/>
    <n v="23.36"/>
    <s v="RFID"/>
  </r>
  <r>
    <s v="34630"/>
    <x v="0"/>
    <s v="T293 EHH"/>
    <x v="0"/>
    <x v="0"/>
    <x v="0"/>
    <s v="MT"/>
    <x v="9"/>
    <s v="18/04/2026 02:32:06 PM"/>
    <s v="18/04/2026 02:38:19 PM"/>
    <s v="38920"/>
    <s v="15000"/>
    <s v="23920"/>
    <n v="23.92"/>
    <s v="RFID"/>
  </r>
  <r>
    <s v="34631"/>
    <x v="0"/>
    <s v="T312 EHH"/>
    <x v="0"/>
    <x v="0"/>
    <x v="0"/>
    <s v="MT"/>
    <x v="9"/>
    <s v="18/04/2026 02:37:14 PM"/>
    <s v="18/04/2026 02:46:54 PM"/>
    <s v="39900"/>
    <s v="15340"/>
    <s v="24560"/>
    <n v="24.56"/>
    <s v="RFID"/>
  </r>
  <r>
    <s v="34632"/>
    <x v="0"/>
    <s v="T295 EHH"/>
    <x v="0"/>
    <x v="2"/>
    <x v="0"/>
    <s v="MT"/>
    <x v="9"/>
    <s v="18/04/2026 02:42:13 PM"/>
    <s v="18/04/2026 03:10:41 PM"/>
    <s v="38120"/>
    <s v="15140"/>
    <s v="22980"/>
    <n v="22.98"/>
    <s v="RFID"/>
  </r>
  <r>
    <s v="34633"/>
    <x v="0"/>
    <s v="T311 EHH"/>
    <x v="0"/>
    <x v="2"/>
    <x v="0"/>
    <s v="MT"/>
    <x v="9"/>
    <s v="18/04/2026 02:45:24 PM"/>
    <s v="18/04/2026 02:51:01 PM"/>
    <s v="37840"/>
    <s v="15460"/>
    <s v="22380"/>
    <n v="22.38"/>
    <s v="RFID"/>
  </r>
  <r>
    <s v="34634"/>
    <x v="0"/>
    <s v="T293 EHH"/>
    <x v="0"/>
    <x v="0"/>
    <x v="0"/>
    <s v="MT"/>
    <x v="9"/>
    <s v="18/04/2026 02:49:38 PM"/>
    <s v="18/04/2026 02:55:13 PM"/>
    <s v="36480"/>
    <s v="14940"/>
    <s v="21540"/>
    <n v="21.54"/>
    <s v="RFID"/>
  </r>
  <r>
    <s v="34635"/>
    <x v="0"/>
    <s v="T312 EHH"/>
    <x v="0"/>
    <x v="2"/>
    <x v="0"/>
    <s v="MT"/>
    <x v="9"/>
    <s v="18/04/2026 03:07:07 PM"/>
    <s v="18/04/2026 03:14:20 PM"/>
    <s v="39320"/>
    <s v="16260"/>
    <s v="23060"/>
    <n v="23.06"/>
    <s v="RFID"/>
  </r>
  <r>
    <s v="34636"/>
    <x v="0"/>
    <s v="T311 EHH"/>
    <x v="0"/>
    <x v="2"/>
    <x v="0"/>
    <s v="MT"/>
    <x v="9"/>
    <s v="18/04/2026 03:08:24 PM"/>
    <s v="18/04/2026 03:28:19 PM"/>
    <s v="39600"/>
    <s v="15480"/>
    <s v="24120"/>
    <n v="24.12"/>
    <s v="RFID"/>
  </r>
  <r>
    <s v="34637"/>
    <x v="0"/>
    <s v="T293 EHH"/>
    <x v="0"/>
    <x v="0"/>
    <x v="0"/>
    <s v="MT"/>
    <x v="9"/>
    <s v="18/04/2026 03:09:27 PM"/>
    <s v="18/04/2026 03:20:28 PM"/>
    <s v="36080"/>
    <s v="14980"/>
    <s v="21100"/>
    <n v="21.1"/>
    <s v="RFID"/>
  </r>
  <r>
    <s v="34638"/>
    <x v="0"/>
    <s v="T295 EHH"/>
    <x v="0"/>
    <x v="0"/>
    <x v="0"/>
    <s v="MT"/>
    <x v="9"/>
    <s v="18/04/2026 03:22:27 PM"/>
    <s v="18/04/2026 03:26:24 PM"/>
    <s v="39960"/>
    <s v="15160"/>
    <s v="24800"/>
    <n v="24.8"/>
    <s v="RFID"/>
  </r>
  <r>
    <s v="34639"/>
    <x v="0"/>
    <s v="T312 EHH"/>
    <x v="0"/>
    <x v="0"/>
    <x v="0"/>
    <s v="MT"/>
    <x v="9"/>
    <s v="18/04/2026 03:25:02 PM"/>
    <s v="18/04/2026 03:29:30 PM"/>
    <s v="39720"/>
    <s v="15340"/>
    <s v="24380"/>
    <n v="24.38"/>
    <s v="RFID"/>
  </r>
  <r>
    <s v="34640"/>
    <x v="0"/>
    <s v="T293 EHH"/>
    <x v="0"/>
    <x v="0"/>
    <x v="0"/>
    <s v="MT"/>
    <x v="9"/>
    <s v="18/04/2026 03:36:55 PM"/>
    <s v="18/04/2026 03:42:22 PM"/>
    <s v="35860"/>
    <s v="14960"/>
    <s v="20900"/>
    <n v="20.9"/>
    <s v="RFID"/>
  </r>
  <r>
    <s v="34641"/>
    <x v="0"/>
    <s v="T295 EHH"/>
    <x v="0"/>
    <x v="2"/>
    <x v="0"/>
    <s v="MT"/>
    <x v="9"/>
    <s v="18/04/2026 03:40:55 PM"/>
    <s v="18/04/2026 03:47:01 PM"/>
    <s v="36340"/>
    <s v="15220"/>
    <s v="21120"/>
    <n v="21.12"/>
    <s v="RFID"/>
  </r>
  <r>
    <s v="34642"/>
    <x v="0"/>
    <s v="T311 EHH"/>
    <x v="0"/>
    <x v="2"/>
    <x v="0"/>
    <s v="MT"/>
    <x v="9"/>
    <s v="18/04/2026 03:44:57 PM"/>
    <s v="18/04/2026 03:51:32 PM"/>
    <s v="37120"/>
    <s v="16080"/>
    <s v="21040"/>
    <n v="21.04"/>
    <s v="RFID"/>
  </r>
  <r>
    <s v="34643"/>
    <x v="0"/>
    <s v="T312 EHH"/>
    <x v="0"/>
    <x v="2"/>
    <x v="0"/>
    <s v="MT"/>
    <x v="9"/>
    <s v="18/04/2026 03:49:49 PM"/>
    <s v="18/04/2026 04:19:36 PM"/>
    <s v="42580"/>
    <s v="15340"/>
    <s v="27240"/>
    <n v="27.24"/>
    <s v="RFID"/>
  </r>
  <r>
    <s v="34644"/>
    <x v="0"/>
    <s v="T293 EHH"/>
    <x v="0"/>
    <x v="2"/>
    <x v="0"/>
    <s v="MT"/>
    <x v="9"/>
    <s v="18/04/2026 04:09:14 PM"/>
    <s v="18/04/2026 04:44:58 PM"/>
    <s v="38380"/>
    <s v="15000"/>
    <s v="23380"/>
    <n v="23.38"/>
    <s v="RFID"/>
  </r>
  <r>
    <s v="34645"/>
    <x v="0"/>
    <s v="T295 EHH"/>
    <x v="0"/>
    <x v="2"/>
    <x v="0"/>
    <s v="MT"/>
    <x v="9"/>
    <s v="18/04/2026 04:10:48 PM"/>
    <s v="18/04/2026 04:59:18 PM"/>
    <s v="37340"/>
    <s v="15400"/>
    <s v="21940"/>
    <n v="21.94"/>
    <s v="RFID"/>
  </r>
  <r>
    <s v="34646"/>
    <x v="0"/>
    <s v="T311 EHH"/>
    <x v="0"/>
    <x v="2"/>
    <x v="0"/>
    <s v="MT"/>
    <x v="9"/>
    <s v="18/04/2026 04:11:47 PM"/>
    <s v="18/04/2026 04:49:29 PM"/>
    <s v="37800"/>
    <s v="16380"/>
    <s v="21420"/>
    <n v="21.42"/>
    <s v="RFID"/>
  </r>
  <r>
    <s v="34647"/>
    <x v="0"/>
    <s v="T312 EHH"/>
    <x v="0"/>
    <x v="2"/>
    <x v="0"/>
    <s v="MT"/>
    <x v="9"/>
    <s v="18/04/2026 04:30:07 PM"/>
    <s v="18/04/2026 05:54:17 PM"/>
    <s v="35420"/>
    <s v="15320"/>
    <s v="20100"/>
    <n v="20.100000000000001"/>
    <s v="RFID"/>
  </r>
  <r>
    <s v="34648"/>
    <x v="0"/>
    <s v="T311 EHH"/>
    <x v="0"/>
    <x v="2"/>
    <x v="0"/>
    <s v="MT"/>
    <x v="9"/>
    <s v="18/04/2026 04:55:11 PM"/>
    <s v="18/04/2026 05:59:05 PM"/>
    <s v="37000"/>
    <s v="15520"/>
    <s v="21480"/>
    <n v="21.48"/>
    <s v="RFID"/>
  </r>
  <r>
    <s v="34649"/>
    <x v="0"/>
    <s v="T293 EHH"/>
    <x v="0"/>
    <x v="0"/>
    <x v="0"/>
    <s v="MT"/>
    <x v="9"/>
    <s v="18/04/2026 05:04:44 PM"/>
    <s v="18/04/2026 05:27:06 PM"/>
    <s v="37820"/>
    <s v="15240"/>
    <s v="22580"/>
    <n v="22.58"/>
    <s v="RFID"/>
  </r>
  <r>
    <s v="34650"/>
    <x v="0"/>
    <s v="T295 EHH"/>
    <x v="0"/>
    <x v="2"/>
    <x v="0"/>
    <s v="MT"/>
    <x v="9"/>
    <s v="18/04/2026 05:08:09 PM"/>
    <s v="18/04/2026 05:56:39 PM"/>
    <s v="37620"/>
    <s v="15180"/>
    <s v="22440"/>
    <n v="22.44"/>
    <s v="RFID"/>
  </r>
  <r>
    <s v="34651"/>
    <x v="0"/>
    <s v="T290 EHH"/>
    <x v="0"/>
    <x v="0"/>
    <x v="1"/>
    <s v="MT"/>
    <x v="9"/>
    <s v="18/04/2026 06:03:24 PM"/>
    <s v="18/04/2026 06:08:08 PM"/>
    <s v="39880"/>
    <s v="16580"/>
    <s v="23300"/>
    <n v="23.3"/>
    <s v="RFID"/>
  </r>
  <r>
    <s v="34652"/>
    <x v="0"/>
    <s v="T312 EHH"/>
    <x v="0"/>
    <x v="0"/>
    <x v="1"/>
    <s v="MT"/>
    <x v="9"/>
    <s v="18/04/2026 06:04:46 PM"/>
    <s v="18/04/2026 06:09:25 PM"/>
    <s v="37520"/>
    <s v="15500"/>
    <s v="22020"/>
    <n v="22.02"/>
    <s v="RFID"/>
  </r>
  <r>
    <s v="34653"/>
    <x v="0"/>
    <s v="T295 EHH"/>
    <x v="0"/>
    <x v="0"/>
    <x v="1"/>
    <s v="MT"/>
    <x v="9"/>
    <s v="18/04/2026 06:06:14 PM"/>
    <s v="18/04/2026 06:11:41 PM"/>
    <s v="36320"/>
    <s v="15300"/>
    <s v="21020"/>
    <n v="21.02"/>
    <s v="RFID"/>
  </r>
  <r>
    <s v="34654"/>
    <x v="0"/>
    <s v="T299 EHH"/>
    <x v="0"/>
    <x v="0"/>
    <x v="1"/>
    <s v="MT"/>
    <x v="9"/>
    <s v="18/04/2026 06:07:02 PM"/>
    <s v="18/04/2026 06:15:21 PM"/>
    <s v="37560"/>
    <s v="15400"/>
    <s v="22160"/>
    <n v="22.16"/>
    <s v="RFID"/>
  </r>
  <r>
    <s v="34655"/>
    <x v="0"/>
    <s v="T311 EHH"/>
    <x v="0"/>
    <x v="0"/>
    <x v="1"/>
    <s v="MT"/>
    <x v="9"/>
    <s v="18/04/2026 06:10:43 PM"/>
    <s v="18/04/2026 06:16:21 PM"/>
    <s v="38020"/>
    <s v="15520"/>
    <s v="22500"/>
    <n v="22.5"/>
    <s v="RFID"/>
  </r>
  <r>
    <s v="34656"/>
    <x v="0"/>
    <s v="T293 EHH"/>
    <x v="0"/>
    <x v="0"/>
    <x v="1"/>
    <s v="MT"/>
    <x v="9"/>
    <s v="18/04/2026 06:13:36 PM"/>
    <s v="18/04/2026 06:18:08 PM"/>
    <s v="36300"/>
    <s v="15060"/>
    <s v="21240"/>
    <n v="21.24"/>
    <s v="RFID"/>
  </r>
  <r>
    <s v="34657"/>
    <x v="0"/>
    <s v="T290 EHH"/>
    <x v="0"/>
    <x v="0"/>
    <x v="1"/>
    <s v="MT"/>
    <x v="9"/>
    <s v="18/04/2026 06:19:39 PM"/>
    <s v="18/04/2026 06:24:00 PM"/>
    <s v="38580"/>
    <s v="18520"/>
    <s v="20060"/>
    <n v="20.059999999999999"/>
    <s v="RFID"/>
  </r>
  <r>
    <s v="34658"/>
    <x v="0"/>
    <s v="T312 EHH"/>
    <x v="0"/>
    <x v="0"/>
    <x v="1"/>
    <s v="MT"/>
    <x v="9"/>
    <s v="18/04/2026 06:20:59 PM"/>
    <s v="18/04/2026 06:26:43 PM"/>
    <s v="35720"/>
    <s v="15540"/>
    <s v="20180"/>
    <n v="20.18"/>
    <s v="RFID"/>
  </r>
  <r>
    <s v="34659"/>
    <x v="0"/>
    <s v="T295 EHH"/>
    <x v="0"/>
    <x v="0"/>
    <x v="1"/>
    <s v="MT"/>
    <x v="9"/>
    <s v="18/04/2026 06:25:33 PM"/>
    <s v="18/04/2026 06:29:37 PM"/>
    <s v="32220"/>
    <s v="15360"/>
    <s v="16860"/>
    <n v="16.86"/>
    <s v="RFID"/>
  </r>
  <r>
    <s v="34660"/>
    <x v="0"/>
    <s v="T299 EHH"/>
    <x v="0"/>
    <x v="0"/>
    <x v="1"/>
    <s v="MT"/>
    <x v="9"/>
    <s v="18/04/2026 06:30:52 PM"/>
    <s v="18/04/2026 06:35:35 PM"/>
    <s v="38720"/>
    <s v="15500"/>
    <s v="23220"/>
    <n v="23.22"/>
    <s v="RFID"/>
  </r>
  <r>
    <s v="34661"/>
    <x v="0"/>
    <s v="T311 EHH"/>
    <x v="0"/>
    <x v="0"/>
    <x v="1"/>
    <s v="MT"/>
    <x v="9"/>
    <s v="18/04/2026 06:31:48 PM"/>
    <s v="18/04/2026 06:36:30 PM"/>
    <s v="33140"/>
    <s v="15520"/>
    <s v="17620"/>
    <n v="17.62"/>
    <s v="RFID"/>
  </r>
  <r>
    <s v="34662"/>
    <x v="0"/>
    <s v="T293 EHH"/>
    <x v="0"/>
    <x v="0"/>
    <x v="1"/>
    <s v="MT"/>
    <x v="9"/>
    <s v="18/04/2026 06:32:42 PM"/>
    <s v="18/04/2026 06:37:19 PM"/>
    <s v="37440"/>
    <s v="15080"/>
    <s v="22360"/>
    <n v="22.36"/>
    <s v="RFID"/>
  </r>
  <r>
    <s v="34663"/>
    <x v="0"/>
    <s v="T312 EHH"/>
    <x v="0"/>
    <x v="0"/>
    <x v="1"/>
    <s v="MT"/>
    <x v="9"/>
    <s v="18/04/2026 06:39:01 PM"/>
    <s v="18/04/2026 06:43:08 PM"/>
    <s v="39320"/>
    <s v="15740"/>
    <s v="23580"/>
    <n v="23.58"/>
    <s v="RFID"/>
  </r>
  <r>
    <s v="34664"/>
    <x v="0"/>
    <s v="T290 EHH"/>
    <x v="0"/>
    <x v="0"/>
    <x v="1"/>
    <s v="MT"/>
    <x v="9"/>
    <s v="18/04/2026 06:40:50 PM"/>
    <s v="18/04/2026 06:44:54 PM"/>
    <s v="39960"/>
    <s v="18660"/>
    <s v="21300"/>
    <n v="21.3"/>
    <s v="RFID"/>
  </r>
  <r>
    <s v="34665"/>
    <x v="0"/>
    <s v="T295 EHH"/>
    <x v="0"/>
    <x v="0"/>
    <x v="1"/>
    <s v="MT"/>
    <x v="9"/>
    <s v="18/04/2026 06:42:03 PM"/>
    <s v="18/04/2026 06:47:12 PM"/>
    <s v="39940"/>
    <s v="15460"/>
    <s v="24480"/>
    <n v="24.48"/>
    <s v="RFID"/>
  </r>
  <r>
    <s v="34666"/>
    <x v="0"/>
    <s v="T311 EHH"/>
    <x v="0"/>
    <x v="0"/>
    <x v="1"/>
    <s v="MT"/>
    <x v="9"/>
    <s v="18/04/2026 06:46:06 PM"/>
    <s v="18/04/2026 06:53:12 PM"/>
    <s v="39000"/>
    <s v="15560"/>
    <s v="23440"/>
    <n v="23.44"/>
    <s v="RFID"/>
  </r>
  <r>
    <s v="34667"/>
    <x v="0"/>
    <s v="T299 EHH"/>
    <x v="0"/>
    <x v="0"/>
    <x v="1"/>
    <s v="MT"/>
    <x v="9"/>
    <s v="18/04/2026 06:48:25 PM"/>
    <s v="18/04/2026 06:56:09 PM"/>
    <s v="37880"/>
    <s v="15500"/>
    <s v="22380"/>
    <n v="22.38"/>
    <s v="RFID"/>
  </r>
  <r>
    <s v="34668"/>
    <x v="0"/>
    <s v="T293 EHH"/>
    <x v="0"/>
    <x v="0"/>
    <x v="1"/>
    <s v="MT"/>
    <x v="9"/>
    <s v="18/04/2026 06:51:05 PM"/>
    <s v="18/04/2026 06:57:03 PM"/>
    <s v="35960"/>
    <s v="15080"/>
    <s v="20880"/>
    <n v="20.88"/>
    <s v="RFID"/>
  </r>
  <r>
    <s v="34669"/>
    <x v="0"/>
    <s v="T312 EHH"/>
    <x v="0"/>
    <x v="0"/>
    <x v="1"/>
    <s v="MT"/>
    <x v="9"/>
    <s v="18/04/2026 06:51:55 PM"/>
    <s v="18/04/2026 07:11:17 PM"/>
    <s v="36520"/>
    <s v="15640"/>
    <s v="20880"/>
    <n v="20.88"/>
    <s v="RFID"/>
  </r>
  <r>
    <s v="34670"/>
    <x v="0"/>
    <s v="T295 EHH"/>
    <x v="0"/>
    <x v="0"/>
    <x v="1"/>
    <s v="MT"/>
    <x v="9"/>
    <s v="18/04/2026 06:55:06 PM"/>
    <s v="18/04/2026 07:07:59 PM"/>
    <s v="36400"/>
    <s v="15480"/>
    <s v="20920"/>
    <n v="20.92"/>
    <s v="RFID"/>
  </r>
  <r>
    <s v="34671"/>
    <x v="0"/>
    <s v="T311 EHH"/>
    <x v="0"/>
    <x v="0"/>
    <x v="1"/>
    <s v="MT"/>
    <x v="9"/>
    <s v="18/04/2026 07:02:24 PM"/>
    <s v="18/04/2026 07:14:23 PM"/>
    <s v="33380"/>
    <s v="15500"/>
    <s v="17880"/>
    <n v="17.88"/>
    <s v="RFID"/>
  </r>
  <r>
    <s v="34672"/>
    <x v="0"/>
    <s v="T290 EHH"/>
    <x v="1"/>
    <x v="3"/>
    <x v="0"/>
    <s v="MT"/>
    <x v="9"/>
    <s v="18/04/2026 07:09:47 PM"/>
    <s v="18/04/2026 07:15:41 PM"/>
    <s v="35740"/>
    <s v="17660"/>
    <s v="18080"/>
    <n v="18.079999999999998"/>
    <s v="RFID"/>
  </r>
  <r>
    <s v="34673"/>
    <x v="0"/>
    <s v="T293 EHH"/>
    <x v="1"/>
    <x v="3"/>
    <x v="0"/>
    <s v="MT"/>
    <x v="9"/>
    <s v="18/04/2026 07:16:41 PM"/>
    <s v="18/04/2026 07:30:12 PM"/>
    <s v="32940"/>
    <s v="14920"/>
    <s v="18020"/>
    <n v="18.02"/>
    <s v="RFID"/>
  </r>
  <r>
    <s v="34674"/>
    <x v="0"/>
    <s v="T290 EHH"/>
    <x v="1"/>
    <x v="3"/>
    <x v="0"/>
    <s v="MT"/>
    <x v="9"/>
    <s v="18/04/2026 07:23:13 PM"/>
    <s v="18/04/2026 07:33:30 PM"/>
    <s v="35740"/>
    <s v="15600"/>
    <s v="20140"/>
    <n v="20.14"/>
    <s v="RFID"/>
  </r>
  <r>
    <s v="34675"/>
    <x v="0"/>
    <s v="T293 EHH"/>
    <x v="0"/>
    <x v="6"/>
    <x v="1"/>
    <s v="MT"/>
    <x v="9"/>
    <s v="18/04/2026 09:12:47 PM"/>
    <s v="18/04/2026 09:30:41 PM"/>
    <s v="37280"/>
    <s v="14960"/>
    <s v="22320"/>
    <n v="22.32"/>
    <s v="RFID"/>
  </r>
  <r>
    <s v="34676"/>
    <x v="0"/>
    <s v="T290 EHH"/>
    <x v="0"/>
    <x v="6"/>
    <x v="1"/>
    <s v="MT"/>
    <x v="9"/>
    <s v="18/04/2026 09:13:53 PM"/>
    <s v="18/04/2026 09:31:47 PM"/>
    <s v="36700"/>
    <s v="16340"/>
    <s v="20360"/>
    <n v="20.36"/>
    <s v="RFID"/>
  </r>
  <r>
    <s v="34677"/>
    <x v="0"/>
    <s v="T295 EHH"/>
    <x v="0"/>
    <x v="6"/>
    <x v="1"/>
    <s v="MT"/>
    <x v="9"/>
    <s v="18/04/2026 09:17:28 PM"/>
    <s v="18/04/2026 09:36:37 PM"/>
    <s v="34360"/>
    <s v="15500"/>
    <s v="18860"/>
    <n v="18.86"/>
    <s v="RFID"/>
  </r>
  <r>
    <s v="34678"/>
    <x v="0"/>
    <s v="T299 EHH"/>
    <x v="0"/>
    <x v="6"/>
    <x v="1"/>
    <s v="MT"/>
    <x v="9"/>
    <s v="18/04/2026 09:22:14 PM"/>
    <s v="18/04/2026 09:47:31 PM"/>
    <s v="35400"/>
    <s v="15160"/>
    <s v="20240"/>
    <n v="20.239999999999998"/>
    <s v="RFID"/>
  </r>
  <r>
    <s v="34679"/>
    <x v="0"/>
    <s v="T311 EHH"/>
    <x v="0"/>
    <x v="6"/>
    <x v="1"/>
    <s v="MT"/>
    <x v="9"/>
    <s v="18/04/2026 09:24:37 PM"/>
    <s v="18/04/2026 09:48:46 PM"/>
    <s v="35940"/>
    <s v="15480"/>
    <s v="20460"/>
    <n v="20.46"/>
    <s v="RFID"/>
  </r>
  <r>
    <s v="34680"/>
    <x v="0"/>
    <s v="T312 EHH"/>
    <x v="0"/>
    <x v="6"/>
    <x v="1"/>
    <s v="MT"/>
    <x v="9"/>
    <s v="18/04/2026 09:28:06 PM"/>
    <s v="18/04/2026 09:44:21 PM"/>
    <s v="36140"/>
    <s v="15800"/>
    <s v="20340"/>
    <n v="20.34"/>
    <s v="RFID"/>
  </r>
  <r>
    <s v="34681"/>
    <x v="0"/>
    <s v="T293 EHH"/>
    <x v="0"/>
    <x v="6"/>
    <x v="1"/>
    <s v="MT"/>
    <x v="9"/>
    <s v="18/04/2026 09:39:37 PM"/>
    <s v="18/04/2026 09:53:28 PM"/>
    <s v="37920"/>
    <s v="14900"/>
    <s v="23020"/>
    <n v="23.02"/>
    <s v="RFID"/>
  </r>
  <r>
    <s v="34682"/>
    <x v="0"/>
    <s v="T290 EHH"/>
    <x v="0"/>
    <x v="6"/>
    <x v="1"/>
    <s v="MT"/>
    <x v="9"/>
    <s v="18/04/2026 09:42:46 PM"/>
    <s v="18/04/2026 09:56:45 PM"/>
    <s v="39220"/>
    <s v="16340"/>
    <s v="22880"/>
    <n v="22.88"/>
    <s v="RFID"/>
  </r>
  <r>
    <s v="34683"/>
    <x v="0"/>
    <s v="T304 EHH"/>
    <x v="1"/>
    <x v="3"/>
    <x v="2"/>
    <s v="MT"/>
    <x v="9"/>
    <s v="18/04/2026 09:45:25 PM"/>
    <s v="18/04/2026 09:55:02 PM"/>
    <s v="29620"/>
    <s v="15780"/>
    <s v="13840"/>
    <n v="13.84"/>
    <s v="RFID"/>
  </r>
  <r>
    <s v="34684"/>
    <x v="0"/>
    <s v="T295 EHH"/>
    <x v="0"/>
    <x v="6"/>
    <x v="1"/>
    <s v="MT"/>
    <x v="9"/>
    <s v="18/04/2026 09:50:23 PM"/>
    <s v="18/04/2026 10:05:11 PM"/>
    <s v="37700"/>
    <s v="15400"/>
    <s v="22300"/>
    <n v="22.3"/>
    <s v="RFID"/>
  </r>
  <r>
    <s v="34685"/>
    <x v="0"/>
    <s v="T299 EHH"/>
    <x v="1"/>
    <x v="3"/>
    <x v="2"/>
    <s v="MT"/>
    <x v="9"/>
    <s v="18/04/2026 09:58:04 PM"/>
    <s v="18/04/2026 10:07:34 PM"/>
    <s v="33100"/>
    <s v="15260"/>
    <s v="17840"/>
    <n v="17.84"/>
    <s v="RFID"/>
  </r>
  <r>
    <s v="34686"/>
    <x v="0"/>
    <s v="T312 EHH"/>
    <x v="0"/>
    <x v="6"/>
    <x v="1"/>
    <s v="MT"/>
    <x v="9"/>
    <s v="18/04/2026 09:59:36 PM"/>
    <s v="18/04/2026 10:15:31 PM"/>
    <s v="38260"/>
    <s v="15540"/>
    <s v="22720"/>
    <n v="22.72"/>
    <s v="RFID"/>
  </r>
  <r>
    <s v="34687"/>
    <x v="0"/>
    <s v="T293 EHH"/>
    <x v="0"/>
    <x v="6"/>
    <x v="1"/>
    <s v="MT"/>
    <x v="9"/>
    <s v="18/04/2026 10:03:07 PM"/>
    <s v="18/04/2026 10:18:57 PM"/>
    <s v="36060"/>
    <s v="14900"/>
    <s v="21160"/>
    <n v="21.16"/>
    <s v="RFID"/>
  </r>
  <r>
    <s v="34688"/>
    <x v="0"/>
    <s v="T311 EHH"/>
    <x v="1"/>
    <x v="3"/>
    <x v="2"/>
    <s v="MT"/>
    <x v="9"/>
    <s v="18/04/2026 10:06:26 PM"/>
    <s v="18/04/2026 10:13:23 PM"/>
    <s v="33900"/>
    <s v="15540"/>
    <s v="18360"/>
    <n v="18.36"/>
    <s v="RFID"/>
  </r>
  <r>
    <s v="34689"/>
    <x v="0"/>
    <s v="T290 EHH"/>
    <x v="0"/>
    <x v="6"/>
    <x v="1"/>
    <s v="MT"/>
    <x v="9"/>
    <s v="18/04/2026 10:09:36 PM"/>
    <s v="18/04/2026 10:26:32 PM"/>
    <s v="36680"/>
    <s v="16660"/>
    <s v="20020"/>
    <n v="20.02"/>
    <s v="RFID"/>
  </r>
  <r>
    <s v="34690"/>
    <x v="0"/>
    <s v="T304 EHH"/>
    <x v="1"/>
    <x v="3"/>
    <x v="2"/>
    <s v="MT"/>
    <x v="9"/>
    <s v="18/04/2026 10:12:01 PM"/>
    <s v="18/04/2026 10:24:49 PM"/>
    <s v="33320"/>
    <s v="15740"/>
    <s v="17580"/>
    <n v="17.579999999999998"/>
    <s v="RFID"/>
  </r>
  <r>
    <s v="34691"/>
    <x v="0"/>
    <s v="T299 EHH"/>
    <x v="1"/>
    <x v="3"/>
    <x v="2"/>
    <s v="MT"/>
    <x v="9"/>
    <s v="18/04/2026 10:17:30 PM"/>
    <s v="18/04/2026 10:28:08 PM"/>
    <s v="35100"/>
    <s v="15220"/>
    <s v="19880"/>
    <n v="19.88"/>
    <s v="RFID"/>
  </r>
  <r>
    <s v="34692"/>
    <x v="0"/>
    <s v="T295 EHH"/>
    <x v="0"/>
    <x v="6"/>
    <x v="1"/>
    <s v="MT"/>
    <x v="9"/>
    <s v="18/04/2026 10:21:01 PM"/>
    <s v="18/04/2026 10:34:10 PM"/>
    <s v="38800"/>
    <s v="15380"/>
    <s v="23420"/>
    <n v="23.42"/>
    <s v="RFID"/>
  </r>
  <r>
    <s v="34693"/>
    <x v="0"/>
    <s v="T311 EHH"/>
    <x v="1"/>
    <x v="3"/>
    <x v="2"/>
    <s v="MT"/>
    <x v="9"/>
    <s v="18/04/2026 10:23:19 PM"/>
    <s v="18/04/2026 10:31:33 PM"/>
    <s v="35120"/>
    <s v="15540"/>
    <s v="19580"/>
    <n v="19.579999999999998"/>
    <s v="RFID"/>
  </r>
  <r>
    <s v="34694"/>
    <x v="0"/>
    <s v="T293 EHH"/>
    <x v="0"/>
    <x v="6"/>
    <x v="1"/>
    <s v="MT"/>
    <x v="9"/>
    <s v="18/04/2026 10:29:50 PM"/>
    <s v="18/04/2026 10:41:58 PM"/>
    <s v="37900"/>
    <s v="14980"/>
    <s v="22920"/>
    <n v="22.92"/>
    <s v="RFID"/>
  </r>
  <r>
    <s v="34695"/>
    <x v="0"/>
    <s v="T312 EHH"/>
    <x v="0"/>
    <x v="6"/>
    <x v="1"/>
    <s v="MT"/>
    <x v="9"/>
    <s v="18/04/2026 10:32:43 PM"/>
    <s v="18/04/2026 10:48:00 PM"/>
    <s v="36840"/>
    <s v="15560"/>
    <s v="21280"/>
    <n v="21.28"/>
    <s v="RFID"/>
  </r>
  <r>
    <s v="34696"/>
    <x v="0"/>
    <s v="T304 EHH"/>
    <x v="1"/>
    <x v="3"/>
    <x v="2"/>
    <s v="MT"/>
    <x v="9"/>
    <s v="18/04/2026 10:36:01 PM"/>
    <s v="18/04/2026 10:46:30 PM"/>
    <s v="38080"/>
    <s v="15680"/>
    <s v="22400"/>
    <n v="22.4"/>
    <s v="RFID"/>
  </r>
  <r>
    <s v="34697"/>
    <x v="0"/>
    <s v="T290 EHH"/>
    <x v="0"/>
    <x v="6"/>
    <x v="1"/>
    <s v="MT"/>
    <x v="9"/>
    <s v="18/04/2026 10:38:17 PM"/>
    <s v="18/04/2026 10:52:47 PM"/>
    <s v="37680"/>
    <s v="16660"/>
    <s v="21020"/>
    <n v="21.02"/>
    <s v="RFID"/>
  </r>
  <r>
    <s v="34698"/>
    <x v="0"/>
    <s v="T299 EHH"/>
    <x v="1"/>
    <x v="3"/>
    <x v="2"/>
    <s v="MT"/>
    <x v="9"/>
    <s v="18/04/2026 10:40:01 PM"/>
    <s v="18/04/2026 10:49:01 PM"/>
    <s v="38200"/>
    <s v="15240"/>
    <s v="22960"/>
    <n v="22.96"/>
    <s v="RFID"/>
  </r>
  <r>
    <s v="34699"/>
    <x v="0"/>
    <s v="T295 EHH"/>
    <x v="0"/>
    <x v="6"/>
    <x v="1"/>
    <s v="MT"/>
    <x v="9"/>
    <s v="18/04/2026 10:44:04 PM"/>
    <s v="18/04/2026 10:54:43 PM"/>
    <s v="37160"/>
    <s v="15440"/>
    <s v="21720"/>
    <n v="21.72"/>
    <s v="RFID"/>
  </r>
  <r>
    <s v="34700"/>
    <x v="0"/>
    <s v="T304 EHH"/>
    <x v="1"/>
    <x v="3"/>
    <x v="2"/>
    <s v="MT"/>
    <x v="9"/>
    <s v="18/04/2026 10:56:11 PM"/>
    <s v="18/04/2026 11:06:49 PM"/>
    <s v="37020"/>
    <s v="15720"/>
    <s v="21300"/>
    <n v="21.3"/>
    <s v="RFID"/>
  </r>
  <r>
    <s v="34701"/>
    <x v="0"/>
    <s v="T293 EHH"/>
    <x v="0"/>
    <x v="6"/>
    <x v="1"/>
    <s v="MT"/>
    <x v="9"/>
    <s v="18/04/2026 10:58:24 PM"/>
    <s v="18/04/2026 11:12:18 PM"/>
    <s v="35520"/>
    <s v="14920"/>
    <s v="20600"/>
    <n v="20.6"/>
    <s v="RFID"/>
  </r>
  <r>
    <s v="34702"/>
    <x v="0"/>
    <s v="T312 EHH"/>
    <x v="0"/>
    <x v="6"/>
    <x v="1"/>
    <s v="MT"/>
    <x v="9"/>
    <s v="18/04/2026 10:59:49 PM"/>
    <s v="18/04/2026 11:13:22 PM"/>
    <s v="36440"/>
    <s v="15560"/>
    <s v="20880"/>
    <n v="20.88"/>
    <s v="RFID"/>
  </r>
  <r>
    <s v="34703"/>
    <x v="0"/>
    <s v="T299 EHH"/>
    <x v="1"/>
    <x v="3"/>
    <x v="2"/>
    <s v="MT"/>
    <x v="9"/>
    <s v="18/04/2026 11:01:49 PM"/>
    <s v="18/04/2026 11:11:12 PM"/>
    <s v="33720"/>
    <s v="15220"/>
    <s v="18500"/>
    <n v="18.5"/>
    <s v="RFID"/>
  </r>
  <r>
    <s v="34704"/>
    <x v="0"/>
    <s v="T290 EHH"/>
    <x v="0"/>
    <x v="6"/>
    <x v="1"/>
    <s v="MT"/>
    <x v="9"/>
    <s v="18/04/2026 11:04:13 PM"/>
    <s v="18/04/2026 11:16:27 PM"/>
    <s v="35520"/>
    <s v="16700"/>
    <s v="18820"/>
    <n v="18.82"/>
    <s v="RFID"/>
  </r>
  <r>
    <s v="34705"/>
    <x v="0"/>
    <s v="T295 EHH"/>
    <x v="0"/>
    <x v="6"/>
    <x v="1"/>
    <s v="MT"/>
    <x v="9"/>
    <s v="18/04/2026 11:05:06 PM"/>
    <s v="18/04/2026 11:22:15 PM"/>
    <s v="33020"/>
    <s v="15400"/>
    <s v="17620"/>
    <n v="17.62"/>
    <s v="RFID"/>
  </r>
  <r>
    <s v="34706"/>
    <x v="0"/>
    <s v="T311 EHH"/>
    <x v="1"/>
    <x v="3"/>
    <x v="2"/>
    <s v="MT"/>
    <x v="9"/>
    <s v="18/04/2026 11:09:59 PM"/>
    <s v="18/04/2026 11:17:40 PM"/>
    <s v="37360"/>
    <s v="15560"/>
    <s v="21800"/>
    <n v="21.8"/>
    <s v="RFID"/>
  </r>
  <r>
    <s v="34707"/>
    <x v="0"/>
    <s v="T304 EHH"/>
    <x v="1"/>
    <x v="3"/>
    <x v="2"/>
    <s v="MT"/>
    <x v="9"/>
    <s v="18/04/2026 11:14:53 PM"/>
    <s v="18/04/2026 11:23:49 PM"/>
    <s v="33620"/>
    <s v="15720"/>
    <s v="17900"/>
    <n v="17.899999999999999"/>
    <s v="RFID"/>
  </r>
  <r>
    <s v="34708"/>
    <x v="0"/>
    <s v="T299 EHH"/>
    <x v="1"/>
    <x v="3"/>
    <x v="2"/>
    <s v="MT"/>
    <x v="9"/>
    <s v="18/04/2026 11:20:04 PM"/>
    <s v="18/04/2026 11:31:52 PM"/>
    <s v="35500"/>
    <s v="15220"/>
    <s v="20280"/>
    <n v="20.28"/>
    <s v="RFID"/>
  </r>
  <r>
    <s v="34709"/>
    <x v="0"/>
    <s v="T293 EHH"/>
    <x v="0"/>
    <x v="6"/>
    <x v="1"/>
    <s v="MT"/>
    <x v="9"/>
    <s v="18/04/2026 11:28:27 PM"/>
    <s v="18/04/2026 11:42:49 PM"/>
    <s v="34760"/>
    <s v="14960"/>
    <s v="19800"/>
    <n v="19.8"/>
    <s v="RFID"/>
  </r>
  <r>
    <s v="34710"/>
    <x v="0"/>
    <s v="T312 EHH"/>
    <x v="0"/>
    <x v="6"/>
    <x v="1"/>
    <s v="MT"/>
    <x v="9"/>
    <s v="18/04/2026 11:29:17 PM"/>
    <s v="18/04/2026 11:43:39 PM"/>
    <s v="34580"/>
    <s v="15400"/>
    <s v="19180"/>
    <n v="19.18"/>
    <s v="RFID"/>
  </r>
  <r>
    <s v="34711"/>
    <x v="0"/>
    <s v="T311 EHH"/>
    <x v="1"/>
    <x v="3"/>
    <x v="2"/>
    <s v="MT"/>
    <x v="9"/>
    <s v="18/04/2026 11:30:25 PM"/>
    <s v="18/04/2026 11:37:22 PM"/>
    <s v="37820"/>
    <s v="15640"/>
    <s v="22180"/>
    <n v="22.18"/>
    <s v="RFID"/>
  </r>
  <r>
    <s v="34712"/>
    <x v="0"/>
    <s v="T290 EHH"/>
    <x v="0"/>
    <x v="6"/>
    <x v="1"/>
    <s v="MT"/>
    <x v="9"/>
    <s v="18/04/2026 11:34:08 PM"/>
    <s v="18/04/2026 11:46:52 PM"/>
    <s v="41740"/>
    <s v="16840"/>
    <s v="24900"/>
    <n v="24.9"/>
    <s v="RFID"/>
  </r>
  <r>
    <s v="34713"/>
    <x v="0"/>
    <s v="T304 EHH"/>
    <x v="1"/>
    <x v="3"/>
    <x v="2"/>
    <s v="MT"/>
    <x v="9"/>
    <s v="18/04/2026 11:36:12 PM"/>
    <s v="18/04/2026 11:44:54 PM"/>
    <s v="36240"/>
    <s v="15740"/>
    <s v="20500"/>
    <n v="20.5"/>
    <s v="RFID"/>
  </r>
  <r>
    <s v="34714"/>
    <x v="0"/>
    <s v="T295 EHH"/>
    <x v="0"/>
    <x v="6"/>
    <x v="1"/>
    <s v="MT"/>
    <x v="9"/>
    <s v="18/04/2026 11:39:34 PM"/>
    <s v="18/04/2026 11:51:15 PM"/>
    <s v="34860"/>
    <s v="15520"/>
    <s v="19340"/>
    <n v="19.34"/>
    <s v="RFID"/>
  </r>
  <r>
    <s v="34715"/>
    <x v="0"/>
    <s v="T299 EHH"/>
    <x v="1"/>
    <x v="3"/>
    <x v="2"/>
    <s v="MT"/>
    <x v="9"/>
    <s v="18/04/2026 11:41:35 PM"/>
    <s v="18/04/2026 11:50:13 PM"/>
    <s v="35020"/>
    <s v="15360"/>
    <s v="19660"/>
    <n v="19.66"/>
    <s v="RFID"/>
  </r>
  <r>
    <s v="34716"/>
    <x v="0"/>
    <s v="T311 EHH"/>
    <x v="1"/>
    <x v="3"/>
    <x v="0"/>
    <s v="MT"/>
    <x v="9"/>
    <s v="18/04/2026 11:49:21 PM"/>
    <s v="19/04/2026 12:28:40 AM"/>
    <s v="46220"/>
    <s v="15760"/>
    <s v="30460"/>
    <n v="30.46"/>
    <s v="RFID"/>
  </r>
  <r>
    <s v="34717"/>
    <x v="0"/>
    <s v="T293 EHH"/>
    <x v="0"/>
    <x v="6"/>
    <x v="1"/>
    <s v="MT"/>
    <x v="9"/>
    <s v="18/04/2026 11:52:31 PM"/>
    <s v="19/04/2026 12:02:50 AM"/>
    <s v="34780"/>
    <s v="14960"/>
    <s v="19820"/>
    <n v="19.82"/>
    <s v="RFID"/>
  </r>
  <r>
    <s v="34718"/>
    <x v="0"/>
    <s v="T312 EHH"/>
    <x v="0"/>
    <x v="6"/>
    <x v="1"/>
    <s v="MT"/>
    <x v="9"/>
    <s v="18/04/2026 11:54:44 PM"/>
    <s v="19/04/2026 12:06:11 AM"/>
    <s v="35240"/>
    <s v="15540"/>
    <s v="19700"/>
    <n v="19.7"/>
    <s v="RFID"/>
  </r>
  <r>
    <s v="34719"/>
    <x v="0"/>
    <s v="T304 EHH"/>
    <x v="1"/>
    <x v="3"/>
    <x v="0"/>
    <s v="MT"/>
    <x v="9"/>
    <s v="18/04/2026 11:56:04 PM"/>
    <s v="19/04/2026 12:29:42 AM"/>
    <s v="53900"/>
    <s v="15780"/>
    <s v="38120"/>
    <n v="38.119999999999997"/>
    <s v="RFID"/>
  </r>
  <r>
    <s v="34720"/>
    <x v="0"/>
    <s v="T290 EHH"/>
    <x v="0"/>
    <x v="6"/>
    <x v="1"/>
    <s v="MT"/>
    <x v="9"/>
    <s v="18/04/2026 11:58:42 PM"/>
    <s v="19/04/2026 12:11:43 AM"/>
    <s v="35400"/>
    <s v="17080"/>
    <s v="18320"/>
    <n v="18.32"/>
    <s v="RFID"/>
  </r>
  <r>
    <s v="34721"/>
    <x v="0"/>
    <s v="T295 EHH"/>
    <x v="0"/>
    <x v="6"/>
    <x v="1"/>
    <s v="MT"/>
    <x v="10"/>
    <s v="19/04/2026 12:01:29 AM"/>
    <s v="19/04/2026 12:12:32 AM"/>
    <s v="35240"/>
    <s v="15520"/>
    <s v="19720"/>
    <n v="19.72"/>
    <s v="RFID"/>
  </r>
  <r>
    <s v="34722"/>
    <x v="0"/>
    <s v="T299 EHH"/>
    <x v="1"/>
    <x v="1"/>
    <x v="0"/>
    <s v="MT"/>
    <x v="10"/>
    <s v="19/04/2026 12:04:31 AM"/>
    <s v="19/04/2026 12:30:28 AM"/>
    <s v="49980"/>
    <s v="15380"/>
    <s v="34600"/>
    <n v="34.6"/>
    <s v="RFID"/>
  </r>
  <r>
    <s v="34723"/>
    <x v="0"/>
    <s v="T293 EHH"/>
    <x v="0"/>
    <x v="6"/>
    <x v="1"/>
    <s v="MT"/>
    <x v="10"/>
    <s v="19/04/2026 12:13:51 AM"/>
    <s v="19/04/2026 12:25:41 AM"/>
    <s v="37780"/>
    <s v="15040"/>
    <s v="22740"/>
    <n v="22.74"/>
    <s v="RFID"/>
  </r>
  <r>
    <s v="34724"/>
    <x v="0"/>
    <s v="T312 EHH"/>
    <x v="0"/>
    <x v="6"/>
    <x v="1"/>
    <s v="MT"/>
    <x v="10"/>
    <s v="19/04/2026 12:15:00 AM"/>
    <s v="19/04/2026 12:27:52 AM"/>
    <s v="36740"/>
    <s v="15560"/>
    <s v="21180"/>
    <n v="21.18"/>
    <s v="RFID"/>
  </r>
  <r>
    <s v="34725"/>
    <x v="0"/>
    <s v="T290 EHH"/>
    <x v="0"/>
    <x v="6"/>
    <x v="1"/>
    <s v="MT"/>
    <x v="10"/>
    <s v="19/04/2026 12:20:58 AM"/>
    <s v="19/04/2026 12:32:27 AM"/>
    <s v="36580"/>
    <s v="17380"/>
    <s v="19200"/>
    <n v="19.2"/>
    <s v="RFID"/>
  </r>
  <r>
    <s v="34726"/>
    <x v="0"/>
    <s v="T295 EHH"/>
    <x v="0"/>
    <x v="6"/>
    <x v="1"/>
    <s v="MT"/>
    <x v="10"/>
    <s v="19/04/2026 12:24:02 AM"/>
    <s v="19/04/2026 12:35:31 AM"/>
    <s v="34220"/>
    <s v="15600"/>
    <s v="18620"/>
    <n v="18.62"/>
    <s v="RFID"/>
  </r>
  <r>
    <s v="34727"/>
    <x v="0"/>
    <s v="T293 EHH"/>
    <x v="0"/>
    <x v="6"/>
    <x v="1"/>
    <s v="MT"/>
    <x v="10"/>
    <s v="19/04/2026 12:36:48 AM"/>
    <s v="19/04/2026 12:50:01 AM"/>
    <s v="36160"/>
    <s v="15000"/>
    <s v="21160"/>
    <n v="21.16"/>
    <s v="RFID"/>
  </r>
  <r>
    <s v="34728"/>
    <x v="0"/>
    <s v="T312 EHH"/>
    <x v="0"/>
    <x v="6"/>
    <x v="1"/>
    <s v="MT"/>
    <x v="10"/>
    <s v="19/04/2026 12:41:59 AM"/>
    <s v="19/04/2026 12:51:03 AM"/>
    <s v="37900"/>
    <s v="15500"/>
    <s v="22400"/>
    <n v="22.4"/>
    <s v="RFID"/>
  </r>
  <r>
    <s v="34729"/>
    <x v="0"/>
    <s v="T290 EHH"/>
    <x v="0"/>
    <x v="6"/>
    <x v="1"/>
    <s v="MT"/>
    <x v="10"/>
    <s v="19/04/2026 12:48:47 AM"/>
    <s v="19/04/2026 01:00:29 AM"/>
    <s v="37620"/>
    <s v="17880"/>
    <s v="19740"/>
    <n v="19.739999999999998"/>
    <s v="RFID"/>
  </r>
  <r>
    <s v="34730"/>
    <x v="0"/>
    <s v="T299 EHH"/>
    <x v="0"/>
    <x v="2"/>
    <x v="1"/>
    <s v="MT"/>
    <x v="10"/>
    <s v="19/04/2026 12:53:45 AM"/>
    <s v="19/04/2026 01:01:20 AM"/>
    <s v="35080"/>
    <s v="15460"/>
    <s v="19620"/>
    <n v="19.62"/>
    <s v="RFID"/>
  </r>
  <r>
    <s v="34731"/>
    <x v="0"/>
    <s v="T311 EHH"/>
    <x v="0"/>
    <x v="2"/>
    <x v="1"/>
    <s v="MT"/>
    <x v="10"/>
    <s v="19/04/2026 12:57:26 AM"/>
    <s v="19/04/2026 01:02:35 AM"/>
    <s v="39440"/>
    <s v="15800"/>
    <s v="23640"/>
    <n v="23.64"/>
    <s v="RFID"/>
  </r>
  <r>
    <s v="34732"/>
    <x v="0"/>
    <s v="T290 EHH"/>
    <x v="0"/>
    <x v="2"/>
    <x v="1"/>
    <s v="MT"/>
    <x v="10"/>
    <s v="19/04/2026 01:11:37 AM"/>
    <s v="19/04/2026 01:18:55 AM"/>
    <s v="34260"/>
    <s v="15760"/>
    <s v="18500"/>
    <n v="18.5"/>
    <s v="RFID"/>
  </r>
  <r>
    <s v="34733"/>
    <x v="0"/>
    <s v="T295 EHH"/>
    <x v="1"/>
    <x v="1"/>
    <x v="1"/>
    <s v="MT"/>
    <x v="10"/>
    <s v="19/04/2026 01:13:46 AM"/>
    <s v="19/04/2026 01:28:41 AM"/>
    <s v="35100"/>
    <s v="15500"/>
    <s v="19600"/>
    <n v="19.600000000000001"/>
    <s v="RFID"/>
  </r>
  <r>
    <s v="34734"/>
    <x v="0"/>
    <s v="T299 EHH"/>
    <x v="0"/>
    <x v="2"/>
    <x v="0"/>
    <s v="MT"/>
    <x v="10"/>
    <s v="19/04/2026 01:16:40 AM"/>
    <s v="19/04/2026 01:23:53 AM"/>
    <s v="36200"/>
    <s v="15700"/>
    <s v="20500"/>
    <n v="20.5"/>
    <s v="RFID"/>
  </r>
  <r>
    <s v="34735"/>
    <x v="0"/>
    <s v="T293 EHH"/>
    <x v="1"/>
    <x v="1"/>
    <x v="1"/>
    <s v="MT"/>
    <x v="10"/>
    <s v="19/04/2026 01:17:54 AM"/>
    <s v="19/04/2026 01:33:36 AM"/>
    <s v="34400"/>
    <s v="15000"/>
    <s v="19400"/>
    <n v="19.399999999999999"/>
    <s v="RFID"/>
  </r>
  <r>
    <s v="34736"/>
    <x v="0"/>
    <s v="T311 EHH"/>
    <x v="0"/>
    <x v="2"/>
    <x v="0"/>
    <s v="MT"/>
    <x v="10"/>
    <s v="19/04/2026 01:21:52 AM"/>
    <s v="19/04/2026 01:27:27 AM"/>
    <s v="37180"/>
    <s v="15880"/>
    <s v="21300"/>
    <n v="21.3"/>
    <s v="RFID"/>
  </r>
  <r>
    <s v="34737"/>
    <x v="0"/>
    <s v="T290 EHH"/>
    <x v="0"/>
    <x v="2"/>
    <x v="0"/>
    <s v="MT"/>
    <x v="10"/>
    <s v="19/04/2026 01:31:27 AM"/>
    <s v="19/04/2026 01:38:23 AM"/>
    <s v="34660"/>
    <s v="15780"/>
    <s v="18880"/>
    <n v="18.88"/>
    <s v="RFID"/>
  </r>
  <r>
    <s v="34738"/>
    <x v="0"/>
    <s v="T312 EHH"/>
    <x v="1"/>
    <x v="1"/>
    <x v="1"/>
    <s v="MT"/>
    <x v="10"/>
    <s v="19/04/2026 01:32:42 AM"/>
    <s v="19/04/2026 01:44:25 AM"/>
    <s v="34780"/>
    <s v="15600"/>
    <s v="19180"/>
    <n v="19.18"/>
    <s v="RFID"/>
  </r>
  <r>
    <s v="34739"/>
    <x v="0"/>
    <s v="T295 EHH"/>
    <x v="1"/>
    <x v="1"/>
    <x v="1"/>
    <s v="MT"/>
    <x v="10"/>
    <s v="19/04/2026 01:37:25 AM"/>
    <s v="19/04/2026 01:51:11 AM"/>
    <s v="37420"/>
    <s v="15440"/>
    <s v="21980"/>
    <n v="21.98"/>
    <s v="RFID"/>
  </r>
  <r>
    <s v="34740"/>
    <x v="0"/>
    <s v="T299 EHH"/>
    <x v="0"/>
    <x v="2"/>
    <x v="0"/>
    <s v="MT"/>
    <x v="10"/>
    <s v="19/04/2026 01:39:24 AM"/>
    <s v="19/04/2026 01:48:45 AM"/>
    <s v="35080"/>
    <s v="15740"/>
    <s v="19340"/>
    <n v="19.34"/>
    <s v="RFID"/>
  </r>
  <r>
    <s v="34741"/>
    <x v="0"/>
    <s v="T293 EHH"/>
    <x v="1"/>
    <x v="1"/>
    <x v="1"/>
    <s v="MT"/>
    <x v="10"/>
    <s v="19/04/2026 01:42:55 AM"/>
    <s v="19/04/2026 01:57:31 AM"/>
    <s v="33200"/>
    <s v="15040"/>
    <s v="18160"/>
    <n v="18.16"/>
    <s v="RFID"/>
  </r>
  <r>
    <s v="34742"/>
    <x v="0"/>
    <s v="T311 EHH"/>
    <x v="0"/>
    <x v="2"/>
    <x v="0"/>
    <s v="MT"/>
    <x v="10"/>
    <s v="19/04/2026 01:45:43 AM"/>
    <s v="19/04/2026 01:52:22 AM"/>
    <s v="33560"/>
    <s v="15840"/>
    <s v="17720"/>
    <n v="17.72"/>
    <s v="RFID"/>
  </r>
  <r>
    <s v="34743"/>
    <x v="0"/>
    <s v="T312 EHH"/>
    <x v="1"/>
    <x v="1"/>
    <x v="1"/>
    <s v="MT"/>
    <x v="10"/>
    <s v="19/04/2026 01:53:26 AM"/>
    <s v="19/04/2026 02:07:44 AM"/>
    <s v="35920"/>
    <s v="15620"/>
    <s v="20300"/>
    <n v="20.3"/>
    <s v="RFID"/>
  </r>
  <r>
    <s v="34744"/>
    <x v="0"/>
    <s v="T290 EHH"/>
    <x v="0"/>
    <x v="2"/>
    <x v="0"/>
    <s v="MT"/>
    <x v="10"/>
    <s v="19/04/2026 01:55:59 AM"/>
    <s v="19/04/2026 02:03:39 AM"/>
    <s v="40480"/>
    <s v="16000"/>
    <s v="24480"/>
    <n v="24.48"/>
    <s v="RFID"/>
  </r>
  <r>
    <s v="34745"/>
    <x v="0"/>
    <s v="T295 EHH"/>
    <x v="1"/>
    <x v="1"/>
    <x v="1"/>
    <s v="MT"/>
    <x v="10"/>
    <s v="19/04/2026 01:58:21 AM"/>
    <s v="19/04/2026 02:10:36 AM"/>
    <s v="36800"/>
    <s v="15460"/>
    <s v="21340"/>
    <n v="21.34"/>
    <s v="RFID"/>
  </r>
  <r>
    <s v="34746"/>
    <x v="0"/>
    <s v="T299 EHH"/>
    <x v="0"/>
    <x v="2"/>
    <x v="0"/>
    <s v="MT"/>
    <x v="10"/>
    <s v="19/04/2026 02:01:53 AM"/>
    <s v="19/04/2026 02:09:04 AM"/>
    <s v="34560"/>
    <s v="15820"/>
    <s v="18740"/>
    <n v="18.739999999999998"/>
    <s v="RFID"/>
  </r>
  <r>
    <s v="34747"/>
    <x v="0"/>
    <s v="T293 EHH"/>
    <x v="1"/>
    <x v="1"/>
    <x v="1"/>
    <s v="MT"/>
    <x v="10"/>
    <s v="19/04/2026 02:06:37 AM"/>
    <s v="19/04/2026 02:23:33 AM"/>
    <s v="38580"/>
    <s v="15060"/>
    <s v="23520"/>
    <n v="23.52"/>
    <s v="RFID"/>
  </r>
  <r>
    <s v="34748"/>
    <x v="0"/>
    <s v="T311 EHH"/>
    <x v="0"/>
    <x v="2"/>
    <x v="0"/>
    <s v="MT"/>
    <x v="10"/>
    <s v="19/04/2026 02:12:38 AM"/>
    <s v="19/04/2026 02:25:27 AM"/>
    <s v="37200"/>
    <s v="17380"/>
    <s v="19820"/>
    <n v="19.82"/>
    <s v="RFID"/>
  </r>
  <r>
    <s v="34749"/>
    <x v="0"/>
    <s v="T312 EHH"/>
    <x v="1"/>
    <x v="1"/>
    <x v="1"/>
    <s v="MT"/>
    <x v="10"/>
    <s v="19/04/2026 02:14:13 AM"/>
    <s v="19/04/2026 02:26:32 AM"/>
    <s v="40960"/>
    <s v="15520"/>
    <s v="25440"/>
    <n v="25.44"/>
    <s v="RFID"/>
  </r>
  <r>
    <s v="34750"/>
    <x v="0"/>
    <s v="T295 EHH"/>
    <x v="1"/>
    <x v="1"/>
    <x v="1"/>
    <s v="MT"/>
    <x v="10"/>
    <s v="19/04/2026 02:19:13 AM"/>
    <s v="19/04/2026 02:36:15 AM"/>
    <s v="37840"/>
    <s v="15440"/>
    <s v="22400"/>
    <n v="22.4"/>
    <s v="RFID"/>
  </r>
  <r>
    <s v="34751"/>
    <x v="0"/>
    <s v="T290 EHH"/>
    <x v="0"/>
    <x v="2"/>
    <x v="0"/>
    <s v="MT"/>
    <x v="10"/>
    <s v="19/04/2026 02:21:34 AM"/>
    <s v="19/04/2026 02:29:46 AM"/>
    <s v="37980"/>
    <s v="16460"/>
    <s v="21520"/>
    <n v="21.52"/>
    <s v="RFID"/>
  </r>
  <r>
    <s v="34752"/>
    <x v="0"/>
    <s v="T293 EHH"/>
    <x v="1"/>
    <x v="1"/>
    <x v="1"/>
    <s v="MT"/>
    <x v="10"/>
    <s v="19/04/2026 02:31:04 AM"/>
    <s v="19/04/2026 02:45:07 AM"/>
    <s v="36680"/>
    <s v="15080"/>
    <s v="21600"/>
    <n v="21.6"/>
    <s v="RFID"/>
  </r>
  <r>
    <s v="34753"/>
    <x v="0"/>
    <s v="T304 EHH"/>
    <x v="0"/>
    <x v="2"/>
    <x v="0"/>
    <s v="MT"/>
    <x v="10"/>
    <s v="19/04/2026 02:33:56 AM"/>
    <s v="19/04/2026 03:03:28 AM"/>
    <s v="35140"/>
    <s v="18940"/>
    <s v="16200"/>
    <n v="16.2"/>
    <s v="RFID"/>
  </r>
  <r>
    <s v="34754"/>
    <x v="0"/>
    <s v="T312 EHH"/>
    <x v="1"/>
    <x v="1"/>
    <x v="1"/>
    <s v="MT"/>
    <x v="10"/>
    <s v="19/04/2026 02:37:12 AM"/>
    <s v="19/04/2026 02:47:30 AM"/>
    <s v="40260"/>
    <s v="16420"/>
    <s v="23840"/>
    <n v="23.84"/>
    <s v="RFID"/>
  </r>
  <r>
    <s v="34755"/>
    <x v="0"/>
    <s v="T299 EHH"/>
    <x v="0"/>
    <x v="2"/>
    <x v="0"/>
    <s v="MT"/>
    <x v="10"/>
    <s v="19/04/2026 02:38:49 AM"/>
    <s v="19/04/2026 03:22:37 AM"/>
    <s v="34420"/>
    <s v="15940"/>
    <s v="18480"/>
    <n v="18.48"/>
    <s v="RFID"/>
  </r>
  <r>
    <s v="34756"/>
    <x v="0"/>
    <s v="T295 EHH"/>
    <x v="1"/>
    <x v="1"/>
    <x v="1"/>
    <s v="MT"/>
    <x v="10"/>
    <s v="19/04/2026 02:43:21 AM"/>
    <s v="19/04/2026 02:58:12 AM"/>
    <s v="39220"/>
    <s v="15520"/>
    <s v="23700"/>
    <n v="23.7"/>
    <s v="RFID"/>
  </r>
  <r>
    <s v="34757"/>
    <x v="0"/>
    <s v="T293 EHH"/>
    <x v="1"/>
    <x v="1"/>
    <x v="1"/>
    <s v="MT"/>
    <x v="10"/>
    <s v="19/04/2026 02:52:29 AM"/>
    <s v="19/04/2026 03:06:23 AM"/>
    <s v="35400"/>
    <s v="15160"/>
    <s v="20240"/>
    <n v="20.239999999999998"/>
    <s v="RFID"/>
  </r>
  <r>
    <s v="34758"/>
    <x v="0"/>
    <s v="T311 EHH"/>
    <x v="0"/>
    <x v="2"/>
    <x v="0"/>
    <s v="MT"/>
    <x v="10"/>
    <s v="19/04/2026 02:55:03 AM"/>
    <s v="19/04/2026 04:05:39 AM"/>
    <s v="35260"/>
    <s v="16060"/>
    <s v="19200"/>
    <n v="19.2"/>
    <s v="RFID"/>
  </r>
  <r>
    <s v="34759"/>
    <x v="0"/>
    <s v="T312 EHH"/>
    <x v="1"/>
    <x v="1"/>
    <x v="1"/>
    <s v="MT"/>
    <x v="10"/>
    <s v="19/04/2026 02:56:43 AM"/>
    <s v="19/04/2026 03:09:37 AM"/>
    <s v="38880"/>
    <s v="16760"/>
    <s v="22120"/>
    <n v="22.12"/>
    <s v="RFID"/>
  </r>
  <r>
    <s v="34760"/>
    <x v="0"/>
    <s v="T290 EHH"/>
    <x v="0"/>
    <x v="2"/>
    <x v="0"/>
    <s v="MT"/>
    <x v="10"/>
    <s v="19/04/2026 03:00:31 AM"/>
    <s v="19/04/2026 04:23:24 AM"/>
    <s v="35820"/>
    <s v="16560"/>
    <s v="19260"/>
    <n v="19.260000000000002"/>
    <s v="RFID"/>
  </r>
  <r>
    <s v="34761"/>
    <x v="0"/>
    <s v="T295 EHH"/>
    <x v="1"/>
    <x v="1"/>
    <x v="1"/>
    <s v="MT"/>
    <x v="10"/>
    <s v="19/04/2026 03:07:59 AM"/>
    <s v="19/04/2026 03:18:42 AM"/>
    <s v="37700"/>
    <s v="15480"/>
    <s v="22220"/>
    <n v="22.22"/>
    <s v="RFID"/>
  </r>
  <r>
    <s v="34762"/>
    <x v="0"/>
    <s v="T293 EHH"/>
    <x v="1"/>
    <x v="1"/>
    <x v="1"/>
    <s v="MT"/>
    <x v="10"/>
    <s v="19/04/2026 03:15:16 AM"/>
    <s v="19/04/2026 03:28:46 AM"/>
    <s v="39260"/>
    <s v="15020"/>
    <s v="24240"/>
    <n v="24.24"/>
    <s v="RFID"/>
  </r>
  <r>
    <s v="34763"/>
    <x v="0"/>
    <s v="T312 EHH"/>
    <x v="1"/>
    <x v="1"/>
    <x v="1"/>
    <s v="MT"/>
    <x v="10"/>
    <s v="19/04/2026 03:19:40 AM"/>
    <s v="19/04/2026 03:31:19 AM"/>
    <s v="36660"/>
    <s v="16920"/>
    <s v="19740"/>
    <n v="19.739999999999998"/>
    <s v="RFID"/>
  </r>
  <r>
    <s v="34764"/>
    <x v="0"/>
    <s v="T304 EHH"/>
    <x v="0"/>
    <x v="2"/>
    <x v="0"/>
    <s v="MT"/>
    <x v="10"/>
    <s v="19/04/2026 03:20:47 AM"/>
    <s v="19/04/2026 04:28:52 AM"/>
    <s v="39180"/>
    <s v="16060"/>
    <s v="23120"/>
    <n v="23.12"/>
    <s v="RFID"/>
  </r>
  <r>
    <s v="34765"/>
    <x v="0"/>
    <s v="T293 EHH"/>
    <x v="1"/>
    <x v="1"/>
    <x v="1"/>
    <s v="MT"/>
    <x v="10"/>
    <s v="19/04/2026 04:16:18 AM"/>
    <s v="19/04/2026 04:34:37 AM"/>
    <s v="34160"/>
    <s v="15060"/>
    <s v="19100"/>
    <n v="19.100000000000001"/>
    <s v="RFID"/>
  </r>
  <r>
    <s v="34766"/>
    <x v="0"/>
    <s v="T311 EHH"/>
    <x v="0"/>
    <x v="2"/>
    <x v="0"/>
    <s v="MT"/>
    <x v="10"/>
    <s v="19/04/2026 04:18:42 AM"/>
    <s v="19/04/2026 04:36:31 AM"/>
    <s v="38900"/>
    <s v="16080"/>
    <s v="22820"/>
    <n v="22.82"/>
    <s v="RFID"/>
  </r>
  <r>
    <s v="34767"/>
    <x v="0"/>
    <s v="T295 EHH"/>
    <x v="1"/>
    <x v="1"/>
    <x v="1"/>
    <s v="MT"/>
    <x v="10"/>
    <s v="19/04/2026 04:35:33 AM"/>
    <s v="19/04/2026 04:57:34 AM"/>
    <s v="41180"/>
    <s v="15600"/>
    <s v="25580"/>
    <n v="25.58"/>
    <s v="RFID"/>
  </r>
  <r>
    <s v="34768"/>
    <x v="0"/>
    <s v="T312 EHH"/>
    <x v="1"/>
    <x v="1"/>
    <x v="1"/>
    <s v="MT"/>
    <x v="10"/>
    <s v="19/04/2026 04:54:08 AM"/>
    <s v="19/04/2026 05:09:48 AM"/>
    <s v="36520"/>
    <s v="17520"/>
    <s v="19000"/>
    <n v="19"/>
    <s v="RFID"/>
  </r>
  <r>
    <s v="34769"/>
    <x v="0"/>
    <s v="T290 EHH"/>
    <x v="0"/>
    <x v="2"/>
    <x v="0"/>
    <s v="MT"/>
    <x v="10"/>
    <s v="19/04/2026 04:55:34 AM"/>
    <s v="19/04/2026 05:04:44 AM"/>
    <s v="36740"/>
    <s v="16640"/>
    <s v="20100"/>
    <n v="20.100000000000001"/>
    <s v="RFID"/>
  </r>
  <r>
    <s v="34770"/>
    <x v="0"/>
    <s v="T293 EHH"/>
    <x v="1"/>
    <x v="1"/>
    <x v="1"/>
    <s v="MT"/>
    <x v="10"/>
    <s v="19/04/2026 04:56:33 AM"/>
    <s v="19/04/2026 05:16:55 AM"/>
    <s v="31740"/>
    <s v="15080"/>
    <s v="16660"/>
    <n v="16.66"/>
    <s v="RFID"/>
  </r>
  <r>
    <s v="34771"/>
    <x v="0"/>
    <s v="T311 EHH"/>
    <x v="0"/>
    <x v="2"/>
    <x v="0"/>
    <s v="MT"/>
    <x v="10"/>
    <s v="19/04/2026 04:59:24 AM"/>
    <s v="19/04/2026 05:14:05 AM"/>
    <s v="37320"/>
    <s v="17260"/>
    <s v="20060"/>
    <n v="20.059999999999999"/>
    <s v="RFID"/>
  </r>
  <r>
    <s v="34772"/>
    <x v="0"/>
    <s v="T295 EHH"/>
    <x v="1"/>
    <x v="1"/>
    <x v="1"/>
    <s v="MT"/>
    <x v="10"/>
    <s v="19/04/2026 05:08:39 AM"/>
    <s v="19/04/2026 05:24:05 AM"/>
    <s v="29440"/>
    <s v="15540"/>
    <s v="13900"/>
    <n v="13.9"/>
    <s v="RFID"/>
  </r>
  <r>
    <s v="34773"/>
    <x v="0"/>
    <s v="T304 EHH"/>
    <x v="1"/>
    <x v="3"/>
    <x v="1"/>
    <s v="MT"/>
    <x v="10"/>
    <s v="19/04/2026 05:17:52 AM"/>
    <s v="19/04/2026 05:31:12 AM"/>
    <s v="33740"/>
    <s v="18200"/>
    <s v="15540"/>
    <n v="15.54"/>
    <s v="RFID"/>
  </r>
  <r>
    <s v="34774"/>
    <x v="0"/>
    <s v="T312 EHH"/>
    <x v="1"/>
    <x v="3"/>
    <x v="1"/>
    <s v="MT"/>
    <x v="10"/>
    <s v="19/04/2026 05:19:15 AM"/>
    <s v="19/04/2026 06:25:16 AM"/>
    <s v="34640"/>
    <s v="15560"/>
    <s v="19080"/>
    <n v="19.079999999999998"/>
    <s v="RFID"/>
  </r>
  <r>
    <s v="34775"/>
    <x v="0"/>
    <s v="T290 EHH"/>
    <x v="1"/>
    <x v="3"/>
    <x v="1"/>
    <s v="MT"/>
    <x v="10"/>
    <s v="19/04/2026 05:22:51 AM"/>
    <s v="19/04/2026 06:28:51 AM"/>
    <s v="41380"/>
    <s v="17060"/>
    <s v="24320"/>
    <n v="24.32"/>
    <s v="RFID"/>
  </r>
  <r>
    <s v="34776"/>
    <x v="0"/>
    <s v="T311 EHH"/>
    <x v="1"/>
    <x v="3"/>
    <x v="1"/>
    <s v="MT"/>
    <x v="10"/>
    <s v="19/04/2026 05:25:13 AM"/>
    <s v="19/04/2026 06:30:40 AM"/>
    <s v="37000"/>
    <s v="16100"/>
    <s v="20900"/>
    <n v="20.9"/>
    <s v="RFID"/>
  </r>
  <r>
    <s v="34777"/>
    <x v="0"/>
    <s v="T293 EHH"/>
    <x v="1"/>
    <x v="1"/>
    <x v="1"/>
    <s v="MT"/>
    <x v="10"/>
    <s v="19/04/2026 05:28:33 AM"/>
    <s v="19/04/2026 05:42:07 AM"/>
    <s v="34540"/>
    <s v="15080"/>
    <s v="19460"/>
    <n v="19.46"/>
    <s v="RFID"/>
  </r>
  <r>
    <s v="34778"/>
    <x v="0"/>
    <s v="T299 EHH"/>
    <x v="1"/>
    <x v="3"/>
    <x v="1"/>
    <s v="MT"/>
    <x v="10"/>
    <s v="19/04/2026 05:35:04 AM"/>
    <s v="19/04/2026 06:31:45 AM"/>
    <s v="36820"/>
    <s v="16180"/>
    <s v="20640"/>
    <n v="20.64"/>
    <s v="RFID"/>
  </r>
  <r>
    <s v="34779"/>
    <x v="0"/>
    <s v="T304 EHH"/>
    <x v="1"/>
    <x v="1"/>
    <x v="1"/>
    <s v="MT"/>
    <x v="10"/>
    <s v="19/04/2026 06:10:55 AM"/>
    <s v="19/04/2026 06:52:12 AM"/>
    <s v="35000"/>
    <s v="35160"/>
    <s v="160"/>
    <n v="0.16"/>
    <s v="RFID"/>
  </r>
  <r>
    <s v="34780"/>
    <x v="0"/>
    <s v="T293 EHH"/>
    <x v="1"/>
    <x v="1"/>
    <x v="1"/>
    <s v="MT"/>
    <x v="10"/>
    <s v="19/04/2026 06:21:26 AM"/>
    <s v="19/04/2026 06:36:56 AM"/>
    <s v="38360"/>
    <s v="15100"/>
    <s v="23260"/>
    <n v="23.26"/>
    <s v="RFID"/>
  </r>
  <r>
    <s v="34781"/>
    <x v="0"/>
    <s v="T311 EHH"/>
    <x v="1"/>
    <x v="3"/>
    <x v="1"/>
    <s v="MT"/>
    <x v="10"/>
    <s v="19/04/2026 06:41:54 AM"/>
    <s v="19/04/2026 06:50:13 AM"/>
    <s v="39860"/>
    <s v="20680"/>
    <s v="19180"/>
    <n v="19.18"/>
    <s v="RFID"/>
  </r>
  <r>
    <s v="34782"/>
    <x v="0"/>
    <s v="T293 EHH"/>
    <x v="1"/>
    <x v="1"/>
    <x v="1"/>
    <s v="MT"/>
    <x v="10"/>
    <s v="19/04/2026 06:46:55 AM"/>
    <s v="19/04/2026 06:59:11 AM"/>
    <s v="37440"/>
    <s v="15160"/>
    <s v="22280"/>
    <n v="22.28"/>
    <s v="RFID"/>
  </r>
  <r>
    <s v="34783"/>
    <x v="0"/>
    <s v="T299 EHH"/>
    <x v="1"/>
    <x v="1"/>
    <x v="1"/>
    <s v="MT"/>
    <x v="10"/>
    <s v="19/04/2026 06:58:00 AM"/>
    <s v="19/04/2026 07:16:45 AM"/>
    <s v="39160"/>
    <s v="17260"/>
    <s v="21900"/>
    <n v="21.9"/>
    <s v="RFID"/>
  </r>
  <r>
    <s v="34784"/>
    <x v="0"/>
    <s v="T293 EHH"/>
    <x v="1"/>
    <x v="1"/>
    <x v="1"/>
    <s v="MT"/>
    <x v="10"/>
    <s v="19/04/2026 07:06:00 AM"/>
    <s v="19/04/2026 07:20:06 AM"/>
    <s v="39200"/>
    <s v="15180"/>
    <s v="24020"/>
    <n v="24.02"/>
    <s v="RFID"/>
  </r>
  <r>
    <s v="34785"/>
    <x v="0"/>
    <s v="T304 EHH"/>
    <x v="1"/>
    <x v="1"/>
    <x v="1"/>
    <s v="MT"/>
    <x v="10"/>
    <s v="19/04/2026 07:18:34 AM"/>
    <s v="19/04/2026 07:32:18 AM"/>
    <s v="43600"/>
    <s v="16020"/>
    <s v="27580"/>
    <n v="27.58"/>
    <s v="RFID"/>
  </r>
  <r>
    <s v="34786"/>
    <x v="0"/>
    <s v="T295 EHH"/>
    <x v="0"/>
    <x v="2"/>
    <x v="0"/>
    <s v="MT"/>
    <x v="10"/>
    <s v="19/04/2026 09:15:38 AM"/>
    <s v="19/04/2026 09:25:12 AM"/>
    <s v="36500"/>
    <s v="15640"/>
    <s v="20860"/>
    <n v="20.86"/>
    <s v="RFID"/>
  </r>
  <r>
    <s v="34787"/>
    <x v="0"/>
    <s v="T311 EHH"/>
    <x v="0"/>
    <x v="2"/>
    <x v="0"/>
    <s v="MT"/>
    <x v="10"/>
    <s v="19/04/2026 09:17:14 AM"/>
    <s v="19/04/2026 09:26:43 AM"/>
    <s v="38340"/>
    <s v="16100"/>
    <s v="22240"/>
    <n v="22.24"/>
    <s v="RFID"/>
  </r>
  <r>
    <s v="34788"/>
    <x v="0"/>
    <s v="T312 EHH"/>
    <x v="0"/>
    <x v="2"/>
    <x v="0"/>
    <s v="MT"/>
    <x v="10"/>
    <s v="19/04/2026 09:20:14 AM"/>
    <s v="19/04/2026 09:29:21 AM"/>
    <s v="37740"/>
    <s v="15480"/>
    <s v="22260"/>
    <n v="22.26"/>
    <s v="RFID"/>
  </r>
  <r>
    <s v="34789"/>
    <x v="0"/>
    <s v="T292 EHH"/>
    <x v="0"/>
    <x v="2"/>
    <x v="0"/>
    <s v="MT"/>
    <x v="10"/>
    <s v="19/04/2026 09:23:45 AM"/>
    <s v="19/04/2026 09:31:21 AM"/>
    <s v="38060"/>
    <s v="15620"/>
    <s v="22440"/>
    <n v="22.44"/>
    <s v="RFID"/>
  </r>
  <r>
    <s v="34790"/>
    <x v="0"/>
    <s v="T299 EHH"/>
    <x v="0"/>
    <x v="2"/>
    <x v="0"/>
    <s v="MT"/>
    <x v="10"/>
    <s v="19/04/2026 09:28:09 AM"/>
    <s v="19/04/2026 09:34:30 AM"/>
    <s v="38300"/>
    <s v="17460"/>
    <s v="20840"/>
    <n v="20.84"/>
    <s v="RFID"/>
  </r>
  <r>
    <s v="34791"/>
    <x v="0"/>
    <s v="T295 EHH"/>
    <x v="0"/>
    <x v="2"/>
    <x v="0"/>
    <s v="MT"/>
    <x v="10"/>
    <s v="19/04/2026 09:36:04 AM"/>
    <s v="19/04/2026 09:57:34 AM"/>
    <s v="37120"/>
    <s v="15660"/>
    <s v="21460"/>
    <n v="21.46"/>
    <s v="RFID"/>
  </r>
  <r>
    <s v="34792"/>
    <x v="0"/>
    <s v="T311 EHH"/>
    <x v="0"/>
    <x v="2"/>
    <x v="0"/>
    <s v="MT"/>
    <x v="10"/>
    <s v="19/04/2026 09:40:49 AM"/>
    <s v="19/04/2026 10:00:25 AM"/>
    <s v="37880"/>
    <s v="17140"/>
    <s v="20740"/>
    <n v="20.74"/>
    <s v="RFID"/>
  </r>
  <r>
    <s v="34793"/>
    <x v="0"/>
    <s v="T292 EHH"/>
    <x v="0"/>
    <x v="2"/>
    <x v="0"/>
    <s v="MT"/>
    <x v="10"/>
    <s v="19/04/2026 09:42:15 AM"/>
    <s v="19/04/2026 10:20:17 AM"/>
    <s v="39720"/>
    <s v="15700"/>
    <s v="24020"/>
    <n v="24.02"/>
    <s v="RFID"/>
  </r>
  <r>
    <s v="34794"/>
    <x v="0"/>
    <s v="T312 EHH"/>
    <x v="0"/>
    <x v="2"/>
    <x v="0"/>
    <s v="MT"/>
    <x v="10"/>
    <s v="19/04/2026 09:45:23 AM"/>
    <s v="19/04/2026 10:23:57 AM"/>
    <s v="40980"/>
    <s v="16340"/>
    <s v="24640"/>
    <n v="24.64"/>
    <s v="RFID"/>
  </r>
  <r>
    <s v="34795"/>
    <x v="0"/>
    <s v="T295 EHH"/>
    <x v="0"/>
    <x v="2"/>
    <x v="0"/>
    <s v="MT"/>
    <x v="10"/>
    <s v="19/04/2026 10:07:13 AM"/>
    <s v="19/04/2026 11:11:07 AM"/>
    <s v="39080"/>
    <s v="45500"/>
    <s v="6420"/>
    <n v="6.42"/>
    <s v="RFID"/>
  </r>
  <r>
    <s v="34796"/>
    <x v="0"/>
    <s v="T311 EHH"/>
    <x v="0"/>
    <x v="0"/>
    <x v="0"/>
    <s v="MT"/>
    <x v="10"/>
    <s v="19/04/2026 10:11:16 AM"/>
    <s v="19/04/2026 10:47:58 AM"/>
    <s v="38740"/>
    <s v="16360"/>
    <s v="22380"/>
    <n v="22.38"/>
    <s v="RFID"/>
  </r>
  <r>
    <s v="34797"/>
    <x v="0"/>
    <s v="T292 EHH"/>
    <x v="0"/>
    <x v="0"/>
    <x v="0"/>
    <s v="MT"/>
    <x v="10"/>
    <s v="19/04/2026 10:33:12 AM"/>
    <s v="19/04/2026 10:45:59 AM"/>
    <s v="38580"/>
    <s v="16540"/>
    <s v="22040"/>
    <n v="22.04"/>
    <s v="RFID"/>
  </r>
  <r>
    <s v="34798"/>
    <x v="0"/>
    <s v="T312 EHH"/>
    <x v="0"/>
    <x v="0"/>
    <x v="0"/>
    <s v="MT"/>
    <x v="10"/>
    <s v="19/04/2026 10:37:27 AM"/>
    <s v="19/04/2026 10:43:00 AM"/>
    <s v="38160"/>
    <s v="15600"/>
    <s v="22560"/>
    <n v="22.56"/>
    <s v="RFID"/>
  </r>
  <r>
    <s v="34799"/>
    <x v="0"/>
    <s v="T293 EHH"/>
    <x v="0"/>
    <x v="0"/>
    <x v="0"/>
    <s v="MT"/>
    <x v="10"/>
    <s v="19/04/2026 10:40:37 AM"/>
    <s v="19/04/2026 10:46:56 AM"/>
    <s v="41700"/>
    <s v="15260"/>
    <s v="26440"/>
    <n v="26.44"/>
    <s v="RFID"/>
  </r>
  <r>
    <s v="34800"/>
    <x v="0"/>
    <s v="T290 EHH"/>
    <x v="0"/>
    <x v="0"/>
    <x v="0"/>
    <s v="MT"/>
    <x v="10"/>
    <s v="19/04/2026 10:51:01 AM"/>
    <s v="19/04/2026 10:56:28 AM"/>
    <s v="38200"/>
    <s v="16940"/>
    <s v="21260"/>
    <n v="21.26"/>
    <s v="RFID"/>
  </r>
  <r>
    <s v="34801"/>
    <x v="0"/>
    <s v="T312 EHH"/>
    <x v="0"/>
    <x v="0"/>
    <x v="0"/>
    <s v="MT"/>
    <x v="10"/>
    <s v="19/04/2026 10:55:10 AM"/>
    <s v="19/04/2026 11:01:36 AM"/>
    <s v="40960"/>
    <s v="15800"/>
    <s v="25160"/>
    <n v="25.16"/>
    <s v="RFID"/>
  </r>
  <r>
    <s v="34802"/>
    <x v="0"/>
    <s v="T292 EHH"/>
    <x v="0"/>
    <x v="0"/>
    <x v="0"/>
    <s v="MT"/>
    <x v="10"/>
    <s v="19/04/2026 10:58:44 AM"/>
    <s v="19/04/2026 11:04:32 AM"/>
    <s v="38020"/>
    <s v="18080"/>
    <s v="19940"/>
    <n v="19.940000000000001"/>
    <s v="RFID"/>
  </r>
  <r>
    <s v="34803"/>
    <x v="0"/>
    <s v="T293 EHH"/>
    <x v="0"/>
    <x v="0"/>
    <x v="0"/>
    <s v="MT"/>
    <x v="10"/>
    <s v="19/04/2026 11:02:57 AM"/>
    <s v="19/04/2026 11:09:59 AM"/>
    <s v="37600"/>
    <s v="15240"/>
    <s v="22360"/>
    <n v="22.36"/>
    <s v="RFID"/>
  </r>
  <r>
    <s v="34804"/>
    <x v="0"/>
    <s v="T311 EHH"/>
    <x v="0"/>
    <x v="0"/>
    <x v="1"/>
    <s v="MT"/>
    <x v="10"/>
    <s v="19/04/2026 11:06:02 AM"/>
    <s v="19/04/2026 11:12:18 AM"/>
    <s v="35880"/>
    <s v="16340"/>
    <s v="19540"/>
    <n v="19.54"/>
    <s v="RFID"/>
  </r>
  <r>
    <s v="34805"/>
    <x v="0"/>
    <s v="T290 EHH"/>
    <x v="0"/>
    <x v="0"/>
    <x v="1"/>
    <s v="MT"/>
    <x v="10"/>
    <s v="19/04/2026 11:08:47 AM"/>
    <s v="19/04/2026 11:13:20 AM"/>
    <s v="38680"/>
    <s v="18500"/>
    <s v="20180"/>
    <n v="20.18"/>
    <s v="RFID"/>
  </r>
  <r>
    <s v="34806"/>
    <x v="0"/>
    <s v="T312 EHH"/>
    <x v="1"/>
    <x v="1"/>
    <x v="0"/>
    <s v="MT"/>
    <x v="10"/>
    <s v="19/04/2026 11:14:22 AM"/>
    <s v="19/04/2026 11:30:43 AM"/>
    <s v="41280"/>
    <s v="17340"/>
    <s v="23940"/>
    <n v="23.94"/>
    <s v="RFID"/>
  </r>
  <r>
    <s v="34807"/>
    <x v="0"/>
    <s v="T292 EHH"/>
    <x v="0"/>
    <x v="0"/>
    <x v="1"/>
    <s v="MT"/>
    <x v="10"/>
    <s v="19/04/2026 11:15:48 AM"/>
    <s v="19/04/2026 11:27:18 AM"/>
    <s v="38080"/>
    <s v="17820"/>
    <s v="20260"/>
    <n v="20.260000000000002"/>
    <s v="RFID"/>
  </r>
  <r>
    <s v="34808"/>
    <x v="0"/>
    <s v="T299 EHH"/>
    <x v="0"/>
    <x v="0"/>
    <x v="1"/>
    <s v="MT"/>
    <x v="10"/>
    <s v="19/04/2026 11:17:39 AM"/>
    <s v="19/04/2026 11:26:22 AM"/>
    <s v="36220"/>
    <s v="17980"/>
    <s v="18240"/>
    <n v="18.239999999999998"/>
    <s v="RFID"/>
  </r>
  <r>
    <s v="34809"/>
    <x v="0"/>
    <s v="T311 EHH"/>
    <x v="1"/>
    <x v="1"/>
    <x v="0"/>
    <s v="MT"/>
    <x v="10"/>
    <s v="19/04/2026 11:20:13 AM"/>
    <s v="19/04/2026 11:29:48 AM"/>
    <s v="43580"/>
    <s v="16720"/>
    <s v="26860"/>
    <n v="26.86"/>
    <s v="RFID"/>
  </r>
  <r>
    <s v="34810"/>
    <x v="0"/>
    <s v="T290 EHH"/>
    <x v="1"/>
    <x v="1"/>
    <x v="0"/>
    <s v="MT"/>
    <x v="10"/>
    <s v="19/04/2026 11:24:46 AM"/>
    <s v="19/04/2026 11:40:04 AM"/>
    <s v="41160"/>
    <s v="22140"/>
    <s v="19020"/>
    <n v="19.02"/>
    <s v="RFID"/>
  </r>
  <r>
    <s v="34811"/>
    <x v="0"/>
    <s v="T293 EHH"/>
    <x v="0"/>
    <x v="0"/>
    <x v="1"/>
    <s v="MT"/>
    <x v="10"/>
    <s v="19/04/2026 11:28:32 AM"/>
    <s v="19/04/2026 11:33:37 AM"/>
    <s v="38460"/>
    <s v="15280"/>
    <s v="23180"/>
    <n v="23.18"/>
    <s v="RFID"/>
  </r>
  <r>
    <s v="34812"/>
    <x v="0"/>
    <s v="T295 EHH"/>
    <x v="1"/>
    <x v="1"/>
    <x v="3"/>
    <s v="MT"/>
    <x v="10"/>
    <s v="19/04/2026 11:34:57 AM"/>
    <s v="19/04/2026 11:46:03 AM"/>
    <s v="38080"/>
    <s v="18520"/>
    <s v="19560"/>
    <n v="19.559999999999999"/>
    <s v="RFID"/>
  </r>
  <r>
    <s v="34813"/>
    <x v="0"/>
    <s v="T311 EHH"/>
    <x v="1"/>
    <x v="1"/>
    <x v="3"/>
    <s v="MT"/>
    <x v="10"/>
    <s v="19/04/2026 11:41:32 AM"/>
    <s v="19/04/2026 11:59:08 AM"/>
    <s v="41560"/>
    <s v="17800"/>
    <s v="23760"/>
    <n v="23.76"/>
    <s v="RFID"/>
  </r>
  <r>
    <s v="34814"/>
    <x v="0"/>
    <s v="T312 EHH"/>
    <x v="1"/>
    <x v="1"/>
    <x v="3"/>
    <s v="MT"/>
    <x v="10"/>
    <s v="19/04/2026 11:47:08 AM"/>
    <s v="19/04/2026 12:10:39 PM"/>
    <s v="44500"/>
    <s v="15900"/>
    <s v="28600"/>
    <n v="28.6"/>
    <s v="RFID"/>
  </r>
  <r>
    <s v="34815"/>
    <x v="0"/>
    <s v="T290 EHH"/>
    <x v="1"/>
    <x v="1"/>
    <x v="3"/>
    <s v="MT"/>
    <x v="10"/>
    <s v="19/04/2026 11:51:58 AM"/>
    <s v="19/04/2026 12:15:26 PM"/>
    <s v="43020"/>
    <s v="22400"/>
    <s v="20620"/>
    <n v="20.62"/>
    <s v="RFID"/>
  </r>
  <r>
    <s v="34816"/>
    <x v="0"/>
    <s v="T299 EHH"/>
    <x v="0"/>
    <x v="0"/>
    <x v="1"/>
    <s v="MT"/>
    <x v="10"/>
    <s v="19/04/2026 11:54:25 AM"/>
    <s v="19/04/2026 12:04:58 PM"/>
    <s v="40240"/>
    <s v="18340"/>
    <s v="21900"/>
    <n v="21.9"/>
    <s v="RFID"/>
  </r>
  <r>
    <s v="34817"/>
    <x v="0"/>
    <s v="T293 EHH"/>
    <x v="0"/>
    <x v="0"/>
    <x v="1"/>
    <s v="MT"/>
    <x v="10"/>
    <s v="19/04/2026 11:57:18 AM"/>
    <s v="19/04/2026 12:14:38 PM"/>
    <s v="37600"/>
    <s v="15300"/>
    <s v="22300"/>
    <n v="22.3"/>
    <s v="RFID"/>
  </r>
  <r>
    <s v="34818"/>
    <x v="0"/>
    <s v="T295 EHH"/>
    <x v="1"/>
    <x v="1"/>
    <x v="2"/>
    <s v="MT"/>
    <x v="10"/>
    <s v="19/04/2026 12:01:49 PM"/>
    <s v="19/04/2026 12:16:30 PM"/>
    <s v="37540"/>
    <s v="15940"/>
    <s v="21600"/>
    <n v="21.6"/>
    <s v="RFID"/>
  </r>
  <r>
    <s v="34819"/>
    <x v="0"/>
    <s v="T292 EHH"/>
    <x v="0"/>
    <x v="0"/>
    <x v="1"/>
    <s v="MT"/>
    <x v="10"/>
    <s v="19/04/2026 12:03:24 PM"/>
    <s v="19/04/2026 12:13:45 PM"/>
    <s v="35600"/>
    <s v="17520"/>
    <s v="18080"/>
    <n v="18.079999999999998"/>
    <s v="RFID"/>
  </r>
  <r>
    <s v="34820"/>
    <x v="0"/>
    <s v="T312 EHH"/>
    <x v="1"/>
    <x v="1"/>
    <x v="2"/>
    <s v="MT"/>
    <x v="10"/>
    <s v="19/04/2026 12:17:29 PM"/>
    <s v="19/04/2026 12:35:46 PM"/>
    <s v="26880"/>
    <s v="15740"/>
    <s v="11140"/>
    <n v="11.14"/>
    <s v="RFID"/>
  </r>
  <r>
    <s v="34821"/>
    <x v="0"/>
    <s v="T311 EHH"/>
    <x v="1"/>
    <x v="1"/>
    <x v="2"/>
    <s v="MT"/>
    <x v="10"/>
    <s v="19/04/2026 12:19:25 PM"/>
    <s v="19/04/2026 01:52:02 PM"/>
    <s v="45060"/>
    <s v="16460"/>
    <s v="28600"/>
    <n v="28.6"/>
    <s v="RFID"/>
  </r>
  <r>
    <s v="34822"/>
    <x v="0"/>
    <s v="T292 EHH"/>
    <x v="0"/>
    <x v="0"/>
    <x v="1"/>
    <s v="MT"/>
    <x v="10"/>
    <s v="19/04/2026 12:23:35 PM"/>
    <s v="19/04/2026 12:28:29 PM"/>
    <s v="38360"/>
    <s v="17220"/>
    <s v="21140"/>
    <n v="21.14"/>
    <s v="RFID"/>
  </r>
  <r>
    <s v="34823"/>
    <x v="0"/>
    <s v="T293 EHH"/>
    <x v="0"/>
    <x v="0"/>
    <x v="1"/>
    <s v="MT"/>
    <x v="10"/>
    <s v="19/04/2026 12:25:45 PM"/>
    <s v="19/04/2026 12:30:34 PM"/>
    <s v="35700"/>
    <s v="15300"/>
    <s v="20400"/>
    <n v="20.399999999999999"/>
    <s v="RFID"/>
  </r>
  <r>
    <s v="34824"/>
    <x v="0"/>
    <s v="T295 EHH"/>
    <x v="0"/>
    <x v="0"/>
    <x v="1"/>
    <s v="MT"/>
    <x v="10"/>
    <s v="19/04/2026 12:32:00 PM"/>
    <s v="19/04/2026 12:36:45 PM"/>
    <s v="34580"/>
    <s v="15200"/>
    <s v="19380"/>
    <n v="19.38"/>
    <s v="RFID"/>
  </r>
  <r>
    <s v="34825"/>
    <x v="0"/>
    <s v="T292 EHH"/>
    <x v="0"/>
    <x v="0"/>
    <x v="1"/>
    <s v="MT"/>
    <x v="10"/>
    <s v="19/04/2026 12:38:07 PM"/>
    <s v="19/04/2026 12:42:57 PM"/>
    <s v="35300"/>
    <s v="17260"/>
    <s v="18040"/>
    <n v="18.04"/>
    <s v="RFID"/>
  </r>
  <r>
    <s v="34826"/>
    <x v="0"/>
    <s v="T290 EHH"/>
    <x v="0"/>
    <x v="2"/>
    <x v="1"/>
    <s v="MT"/>
    <x v="10"/>
    <s v="19/04/2026 12:55:56 PM"/>
    <s v="19/04/2026 01:39:46 PM"/>
    <s v="38720"/>
    <s v="16240"/>
    <s v="22480"/>
    <n v="22.48"/>
    <s v="RFID"/>
  </r>
  <r>
    <s v="34827"/>
    <x v="0"/>
    <s v="T293 EHH"/>
    <x v="0"/>
    <x v="2"/>
    <x v="1"/>
    <s v="MT"/>
    <x v="10"/>
    <s v="19/04/2026 12:57:15 PM"/>
    <s v="19/04/2026 01:46:17 PM"/>
    <s v="34280"/>
    <s v="15400"/>
    <s v="18880"/>
    <n v="18.88"/>
    <s v="RFID"/>
  </r>
  <r>
    <s v="34828"/>
    <x v="0"/>
    <s v="T312 EHH"/>
    <x v="0"/>
    <x v="2"/>
    <x v="1"/>
    <s v="MT"/>
    <x v="10"/>
    <s v="19/04/2026 01:15:35 PM"/>
    <s v="19/04/2026 01:54:32 PM"/>
    <s v="35600"/>
    <s v="15680"/>
    <s v="19920"/>
    <n v="19.920000000000002"/>
    <s v="RFID"/>
  </r>
  <r>
    <s v="34829"/>
    <x v="0"/>
    <s v="T292 EHH"/>
    <x v="0"/>
    <x v="0"/>
    <x v="1"/>
    <s v="MT"/>
    <x v="10"/>
    <s v="19/04/2026 01:19:32 PM"/>
    <s v="19/04/2026 01:49:06 PM"/>
    <s v="39080"/>
    <s v="18300"/>
    <s v="20780"/>
    <n v="20.78"/>
    <s v="RFID"/>
  </r>
  <r>
    <s v="34830"/>
    <x v="0"/>
    <s v="T299 EHH"/>
    <x v="0"/>
    <x v="0"/>
    <x v="1"/>
    <s v="MT"/>
    <x v="10"/>
    <s v="19/04/2026 01:20:45 PM"/>
    <s v="19/04/2026 01:50:45 PM"/>
    <s v="36940"/>
    <s v="18340"/>
    <s v="18600"/>
    <n v="18.600000000000001"/>
    <s v="RFID"/>
  </r>
  <r>
    <s v="34831"/>
    <x v="0"/>
    <s v="T295 EHH"/>
    <x v="0"/>
    <x v="2"/>
    <x v="1"/>
    <s v="MT"/>
    <x v="10"/>
    <s v="19/04/2026 01:22:02 PM"/>
    <s v="19/04/2026 01:53:15 PM"/>
    <s v="38200"/>
    <s v="15260"/>
    <s v="22940"/>
    <n v="22.94"/>
    <s v="RFID"/>
  </r>
  <r>
    <s v="34832"/>
    <x v="0"/>
    <s v="T290 EHH"/>
    <x v="0"/>
    <x v="2"/>
    <x v="1"/>
    <s v="MT"/>
    <x v="10"/>
    <s v="19/04/2026 01:55:48 PM"/>
    <s v="19/04/2026 02:16:42 PM"/>
    <s v="39900"/>
    <s v="16460"/>
    <s v="23440"/>
    <n v="23.44"/>
    <s v="RFID"/>
  </r>
  <r>
    <s v="34833"/>
    <x v="0"/>
    <s v="T293 EHH"/>
    <x v="0"/>
    <x v="2"/>
    <x v="1"/>
    <s v="MT"/>
    <x v="10"/>
    <s v="19/04/2026 01:57:14 PM"/>
    <s v="19/04/2026 02:19:13 PM"/>
    <s v="38680"/>
    <s v="19180"/>
    <s v="19500"/>
    <n v="19.5"/>
    <s v="RFID"/>
  </r>
  <r>
    <s v="34834"/>
    <x v="0"/>
    <s v="T292 EHH"/>
    <x v="0"/>
    <x v="0"/>
    <x v="1"/>
    <s v="MT"/>
    <x v="10"/>
    <s v="19/04/2026 01:58:22 PM"/>
    <s v="19/04/2026 02:20:27 PM"/>
    <s v="38900"/>
    <s v="17860"/>
    <s v="21040"/>
    <n v="21.04"/>
    <s v="RFID"/>
  </r>
  <r>
    <s v="34835"/>
    <x v="0"/>
    <s v="T299 EHH"/>
    <x v="0"/>
    <x v="0"/>
    <x v="1"/>
    <s v="MT"/>
    <x v="10"/>
    <s v="19/04/2026 02:03:59 PM"/>
    <s v="19/04/2026 02:10:10 PM"/>
    <s v="36260"/>
    <s v="15760"/>
    <s v="20500"/>
    <n v="20.5"/>
    <s v="RFID"/>
  </r>
  <r>
    <s v="34836"/>
    <x v="0"/>
    <s v="T311 EHH"/>
    <x v="0"/>
    <x v="0"/>
    <x v="1"/>
    <s v="MT"/>
    <x v="10"/>
    <s v="19/04/2026 02:08:58 PM"/>
    <s v="19/04/2026 02:15:34 PM"/>
    <s v="40100"/>
    <s v="16400"/>
    <s v="23700"/>
    <n v="23.7"/>
    <s v="RFID"/>
  </r>
  <r>
    <s v="34837"/>
    <x v="0"/>
    <s v="T295 EHH"/>
    <x v="0"/>
    <x v="2"/>
    <x v="1"/>
    <s v="MT"/>
    <x v="10"/>
    <s v="19/04/2026 02:13:03 PM"/>
    <s v="19/04/2026 02:23:33 PM"/>
    <s v="37760"/>
    <s v="15300"/>
    <s v="22460"/>
    <n v="22.46"/>
    <s v="RFID"/>
  </r>
  <r>
    <s v="34838"/>
    <x v="0"/>
    <s v="T312 EHH"/>
    <x v="0"/>
    <x v="2"/>
    <x v="1"/>
    <s v="MT"/>
    <x v="10"/>
    <s v="19/04/2026 02:17:56 PM"/>
    <s v="19/04/2026 02:27:20 PM"/>
    <s v="38800"/>
    <s v="15700"/>
    <s v="23100"/>
    <n v="23.1"/>
    <s v="RFID"/>
  </r>
  <r>
    <s v="34839"/>
    <x v="0"/>
    <s v="T299 EHH"/>
    <x v="0"/>
    <x v="0"/>
    <x v="1"/>
    <s v="MT"/>
    <x v="10"/>
    <s v="19/04/2026 02:21:43 PM"/>
    <s v="19/04/2026 02:28:35 PM"/>
    <s v="38920"/>
    <s v="15820"/>
    <s v="23100"/>
    <n v="23.1"/>
    <s v="RFID"/>
  </r>
  <r>
    <s v="34840"/>
    <x v="0"/>
    <s v="T311 EHH"/>
    <x v="0"/>
    <x v="0"/>
    <x v="1"/>
    <s v="MT"/>
    <x v="10"/>
    <s v="19/04/2026 02:26:04 PM"/>
    <s v="19/04/2026 02:32:18 PM"/>
    <s v="39800"/>
    <s v="16440"/>
    <s v="23360"/>
    <n v="23.36"/>
    <s v="RFID"/>
  </r>
  <r>
    <s v="34841"/>
    <x v="0"/>
    <s v="T290 EHH"/>
    <x v="0"/>
    <x v="2"/>
    <x v="1"/>
    <s v="MT"/>
    <x v="10"/>
    <s v="19/04/2026 02:29:43 PM"/>
    <s v="19/04/2026 02:51:27 PM"/>
    <s v="37640"/>
    <s v="16520"/>
    <s v="21120"/>
    <n v="21.12"/>
    <s v="RFID"/>
  </r>
  <r>
    <s v="34842"/>
    <x v="0"/>
    <s v="T292 EHH"/>
    <x v="0"/>
    <x v="0"/>
    <x v="1"/>
    <s v="MT"/>
    <x v="10"/>
    <s v="19/04/2026 02:31:01 PM"/>
    <s v="19/04/2026 02:36:26 PM"/>
    <s v="40120"/>
    <s v="18320"/>
    <s v="21800"/>
    <n v="21.8"/>
    <s v="RFID"/>
  </r>
  <r>
    <s v="34843"/>
    <x v="0"/>
    <s v="T293 EHH"/>
    <x v="0"/>
    <x v="2"/>
    <x v="1"/>
    <s v="MT"/>
    <x v="10"/>
    <s v="19/04/2026 02:33:37 PM"/>
    <s v="19/04/2026 03:13:23 PM"/>
    <s v="15420"/>
    <s v="15340"/>
    <s v="80"/>
    <n v="0.08"/>
    <s v="RFID"/>
  </r>
  <r>
    <s v="34844"/>
    <x v="0"/>
    <s v="T295 EHH"/>
    <x v="0"/>
    <x v="2"/>
    <x v="1"/>
    <s v="MT"/>
    <x v="10"/>
    <s v="19/04/2026 02:34:58 PM"/>
    <s v="19/04/2026 03:01:34 PM"/>
    <s v="39580"/>
    <s v="15320"/>
    <s v="24260"/>
    <n v="24.26"/>
    <s v="RFID"/>
  </r>
  <r>
    <s v="34845"/>
    <x v="0"/>
    <s v="T312 EHH"/>
    <x v="0"/>
    <x v="2"/>
    <x v="1"/>
    <s v="MT"/>
    <x v="10"/>
    <s v="19/04/2026 02:53:33 PM"/>
    <s v="19/04/2026 03:17:15 PM"/>
    <s v="37540"/>
    <s v="15740"/>
    <s v="21800"/>
    <n v="21.8"/>
    <s v="RFID"/>
  </r>
  <r>
    <s v="34846"/>
    <x v="0"/>
    <s v="T299 EHH"/>
    <x v="0"/>
    <x v="2"/>
    <x v="1"/>
    <s v="MT"/>
    <x v="10"/>
    <s v="19/04/2026 02:57:27 PM"/>
    <s v="19/04/2026 03:18:29 PM"/>
    <s v="39100"/>
    <s v="15900"/>
    <s v="23200"/>
    <n v="23.2"/>
    <s v="RFID"/>
  </r>
  <r>
    <s v="34847"/>
    <x v="0"/>
    <s v="T311 EHH"/>
    <x v="0"/>
    <x v="0"/>
    <x v="1"/>
    <s v="MT"/>
    <x v="10"/>
    <s v="19/04/2026 02:59:11 PM"/>
    <s v="19/04/2026 03:14:40 PM"/>
    <s v="38500"/>
    <s v="16420"/>
    <s v="22080"/>
    <n v="22.08"/>
    <s v="RFID"/>
  </r>
  <r>
    <s v="34848"/>
    <x v="0"/>
    <s v="T292 EHH"/>
    <x v="0"/>
    <x v="0"/>
    <x v="1"/>
    <s v="MT"/>
    <x v="10"/>
    <s v="19/04/2026 03:03:16 PM"/>
    <s v="19/04/2026 03:09:03 PM"/>
    <s v="40140"/>
    <s v="19020"/>
    <s v="21120"/>
    <n v="21.12"/>
    <s v="RFID"/>
  </r>
  <r>
    <s v="34849"/>
    <x v="0"/>
    <s v="T290 EHH"/>
    <x v="0"/>
    <x v="2"/>
    <x v="1"/>
    <s v="MT"/>
    <x v="10"/>
    <s v="19/04/2026 03:07:43 PM"/>
    <s v="19/04/2026 03:19:37 PM"/>
    <s v="36780"/>
    <s v="16900"/>
    <s v="19880"/>
    <n v="19.88"/>
    <s v="RFID"/>
  </r>
  <r>
    <s v="34850"/>
    <x v="0"/>
    <s v="T295 EHH"/>
    <x v="0"/>
    <x v="2"/>
    <x v="1"/>
    <s v="MT"/>
    <x v="10"/>
    <s v="19/04/2026 03:15:58 PM"/>
    <s v="19/04/2026 03:25:52 PM"/>
    <s v="37160"/>
    <s v="18000"/>
    <s v="19160"/>
    <n v="19.16"/>
    <s v="RFID"/>
  </r>
  <r>
    <s v="34851"/>
    <x v="0"/>
    <s v="T293 EHH"/>
    <x v="0"/>
    <x v="6"/>
    <x v="1"/>
    <s v="MT"/>
    <x v="10"/>
    <s v="19/04/2026 03:23:01 PM"/>
    <s v="19/04/2026 03:59:36 PM"/>
    <s v="35780"/>
    <s v="15380"/>
    <s v="20400"/>
    <n v="20.399999999999999"/>
    <s v="RFID"/>
  </r>
  <r>
    <s v="34852"/>
    <x v="0"/>
    <s v="T292 EHH"/>
    <x v="0"/>
    <x v="2"/>
    <x v="1"/>
    <s v="MT"/>
    <x v="10"/>
    <s v="19/04/2026 03:24:24 PM"/>
    <s v="19/04/2026 03:37:21 PM"/>
    <s v="35760"/>
    <s v="18200"/>
    <s v="17560"/>
    <n v="17.559999999999999"/>
    <s v="RFID"/>
  </r>
  <r>
    <s v="34853"/>
    <x v="0"/>
    <s v="T311 EHH"/>
    <x v="0"/>
    <x v="6"/>
    <x v="1"/>
    <s v="MT"/>
    <x v="10"/>
    <s v="19/04/2026 03:27:04 PM"/>
    <s v="19/04/2026 04:01:37 PM"/>
    <s v="34200"/>
    <s v="16560"/>
    <s v="17640"/>
    <n v="17.64"/>
    <s v="RFID"/>
  </r>
  <r>
    <s v="34854"/>
    <x v="0"/>
    <s v="T299 EHH"/>
    <x v="0"/>
    <x v="2"/>
    <x v="1"/>
    <s v="MT"/>
    <x v="10"/>
    <s v="19/04/2026 03:28:48 PM"/>
    <s v="19/04/2026 03:38:57 PM"/>
    <s v="36020"/>
    <s v="16380"/>
    <s v="19640"/>
    <n v="19.64"/>
    <s v="RFID"/>
  </r>
  <r>
    <s v="34855"/>
    <x v="0"/>
    <s v="T312 EHH"/>
    <x v="0"/>
    <x v="6"/>
    <x v="1"/>
    <s v="MT"/>
    <x v="10"/>
    <s v="19/04/2026 03:33:36 PM"/>
    <s v="19/04/2026 04:09:10 PM"/>
    <s v="37100"/>
    <s v="15640"/>
    <s v="21460"/>
    <n v="21.46"/>
    <s v="RFID"/>
  </r>
  <r>
    <s v="34856"/>
    <x v="0"/>
    <s v="T290 EHH"/>
    <x v="0"/>
    <x v="2"/>
    <x v="1"/>
    <s v="MT"/>
    <x v="10"/>
    <s v="19/04/2026 03:34:31 PM"/>
    <s v="19/04/2026 03:54:48 PM"/>
    <s v="37660"/>
    <s v="17000"/>
    <s v="20660"/>
    <n v="20.66"/>
    <s v="RFID"/>
  </r>
  <r>
    <s v="34857"/>
    <x v="0"/>
    <s v="T295 EHH"/>
    <x v="0"/>
    <x v="2"/>
    <x v="1"/>
    <s v="MT"/>
    <x v="10"/>
    <s v="19/04/2026 03:36:25 PM"/>
    <s v="19/04/2026 04:13:22 PM"/>
    <s v="37660"/>
    <s v="15320"/>
    <s v="22340"/>
    <n v="22.34"/>
    <s v="RFID"/>
  </r>
  <r>
    <s v="34858"/>
    <x v="0"/>
    <s v="T292 EHH"/>
    <x v="0"/>
    <x v="2"/>
    <x v="1"/>
    <s v="MT"/>
    <x v="10"/>
    <s v="19/04/2026 03:45:57 PM"/>
    <s v="19/04/2026 04:04:00 PM"/>
    <s v="36400"/>
    <s v="18000"/>
    <s v="18400"/>
    <n v="18.399999999999999"/>
    <s v="RFID"/>
  </r>
  <r>
    <s v="34859"/>
    <x v="0"/>
    <s v="T299 EHH"/>
    <x v="0"/>
    <x v="2"/>
    <x v="1"/>
    <s v="MT"/>
    <x v="10"/>
    <s v="19/04/2026 03:46:55 PM"/>
    <s v="19/04/2026 03:56:52 PM"/>
    <s v="38840"/>
    <s v="15900"/>
    <s v="22940"/>
    <n v="22.94"/>
    <s v="RFID"/>
  </r>
  <r>
    <s v="34860"/>
    <x v="0"/>
    <s v="T290 EHH"/>
    <x v="0"/>
    <x v="2"/>
    <x v="1"/>
    <s v="MT"/>
    <x v="10"/>
    <s v="19/04/2026 04:02:32 PM"/>
    <s v="19/04/2026 04:15:18 PM"/>
    <s v="35240"/>
    <s v="17620"/>
    <s v="17620"/>
    <n v="17.62"/>
    <s v="RFID"/>
  </r>
  <r>
    <s v="34861"/>
    <x v="0"/>
    <s v="T299 EHH"/>
    <x v="0"/>
    <x v="0"/>
    <x v="1"/>
    <s v="MT"/>
    <x v="10"/>
    <s v="19/04/2026 04:05:23 PM"/>
    <s v="19/04/2026 04:10:41 PM"/>
    <s v="34700"/>
    <s v="15900"/>
    <s v="18800"/>
    <n v="18.8"/>
    <s v="RFID"/>
  </r>
  <r>
    <s v="34862"/>
    <x v="0"/>
    <s v="T293 EHH"/>
    <x v="0"/>
    <x v="6"/>
    <x v="1"/>
    <s v="MT"/>
    <x v="10"/>
    <s v="19/04/2026 04:07:50 PM"/>
    <s v="19/04/2026 04:20:58 PM"/>
    <s v="33280"/>
    <s v="15320"/>
    <s v="17960"/>
    <n v="17.96"/>
    <s v="RFID"/>
  </r>
  <r>
    <s v="34863"/>
    <x v="0"/>
    <s v="T292 EHH"/>
    <x v="0"/>
    <x v="2"/>
    <x v="1"/>
    <s v="MT"/>
    <x v="10"/>
    <s v="19/04/2026 04:11:39 PM"/>
    <s v="19/04/2026 04:19:59 PM"/>
    <s v="37340"/>
    <s v="18540"/>
    <s v="18800"/>
    <n v="18.8"/>
    <s v="RFID"/>
  </r>
  <r>
    <s v="34864"/>
    <x v="0"/>
    <s v="T311 EHH"/>
    <x v="0"/>
    <x v="6"/>
    <x v="1"/>
    <s v="MT"/>
    <x v="10"/>
    <s v="19/04/2026 04:12:32 PM"/>
    <s v="19/04/2026 04:30:20 PM"/>
    <s v="38200"/>
    <s v="16420"/>
    <s v="21780"/>
    <n v="21.78"/>
    <s v="RFID"/>
  </r>
  <r>
    <s v="34865"/>
    <x v="0"/>
    <s v="T312 EHH"/>
    <x v="0"/>
    <x v="6"/>
    <x v="1"/>
    <s v="MT"/>
    <x v="10"/>
    <s v="19/04/2026 04:18:01 PM"/>
    <s v="19/04/2026 04:31:22 PM"/>
    <s v="34500"/>
    <s v="15660"/>
    <s v="18840"/>
    <n v="18.84"/>
    <s v="RFID"/>
  </r>
  <r>
    <s v="34866"/>
    <x v="0"/>
    <s v="T299 EHH"/>
    <x v="0"/>
    <x v="2"/>
    <x v="1"/>
    <s v="MT"/>
    <x v="10"/>
    <s v="19/04/2026 04:18:51 PM"/>
    <s v="19/04/2026 04:27:47 PM"/>
    <s v="36840"/>
    <s v="15900"/>
    <s v="20940"/>
    <n v="20.94"/>
    <s v="RFID"/>
  </r>
  <r>
    <s v="34867"/>
    <x v="0"/>
    <s v="T295 EHH"/>
    <x v="0"/>
    <x v="2"/>
    <x v="1"/>
    <s v="MT"/>
    <x v="10"/>
    <s v="19/04/2026 04:23:27 PM"/>
    <s v="19/04/2026 04:32:08 PM"/>
    <s v="38280"/>
    <s v="16340"/>
    <s v="21940"/>
    <n v="21.94"/>
    <s v="RFID"/>
  </r>
  <r>
    <s v="34868"/>
    <x v="0"/>
    <s v="T290 EHH"/>
    <x v="0"/>
    <x v="2"/>
    <x v="1"/>
    <s v="MT"/>
    <x v="10"/>
    <s v="19/04/2026 04:24:15 PM"/>
    <s v="19/04/2026 04:47:38 PM"/>
    <s v="35700"/>
    <s v="17260"/>
    <s v="18440"/>
    <n v="18.440000000000001"/>
    <s v="RFID"/>
  </r>
  <r>
    <s v="34869"/>
    <x v="0"/>
    <s v="T293 EHH"/>
    <x v="0"/>
    <x v="6"/>
    <x v="1"/>
    <s v="MT"/>
    <x v="10"/>
    <s v="19/04/2026 04:33:07 PM"/>
    <s v="19/04/2026 04:48:39 PM"/>
    <s v="37340"/>
    <s v="15400"/>
    <s v="21940"/>
    <n v="21.94"/>
    <s v="RFID"/>
  </r>
  <r>
    <s v="34870"/>
    <x v="0"/>
    <s v="T292 EHH"/>
    <x v="0"/>
    <x v="2"/>
    <x v="1"/>
    <s v="MT"/>
    <x v="10"/>
    <s v="19/04/2026 04:34:13 PM"/>
    <s v="19/04/2026 04:49:27 PM"/>
    <s v="39020"/>
    <s v="15640"/>
    <s v="23380"/>
    <n v="23.38"/>
    <s v="RFID"/>
  </r>
  <r>
    <s v="34871"/>
    <x v="0"/>
    <s v="T299 EHH"/>
    <x v="0"/>
    <x v="0"/>
    <x v="1"/>
    <s v="MT"/>
    <x v="10"/>
    <s v="19/04/2026 04:35:01 PM"/>
    <s v="19/04/2026 04:38:12 PM"/>
    <s v="34440"/>
    <s v="15900"/>
    <s v="18540"/>
    <n v="18.54"/>
    <s v="RFID"/>
  </r>
  <r>
    <s v="34872"/>
    <x v="0"/>
    <s v="T295 EHH"/>
    <x v="0"/>
    <x v="2"/>
    <x v="1"/>
    <s v="MT"/>
    <x v="10"/>
    <s v="19/04/2026 04:40:25 PM"/>
    <s v="19/04/2026 05:04:34 PM"/>
    <s v="36400"/>
    <s v="15320"/>
    <s v="21080"/>
    <n v="21.08"/>
    <s v="RFID"/>
  </r>
  <r>
    <s v="34873"/>
    <x v="0"/>
    <s v="T311 EHH"/>
    <x v="0"/>
    <x v="6"/>
    <x v="1"/>
    <s v="MT"/>
    <x v="10"/>
    <s v="19/04/2026 04:43:19 PM"/>
    <s v="19/04/2026 04:57:33 PM"/>
    <s v="34660"/>
    <s v="16400"/>
    <s v="18260"/>
    <n v="18.260000000000002"/>
    <s v="RFID"/>
  </r>
  <r>
    <s v="34874"/>
    <x v="0"/>
    <s v="T299 EHH"/>
    <x v="0"/>
    <x v="2"/>
    <x v="1"/>
    <s v="MT"/>
    <x v="10"/>
    <s v="19/04/2026 04:46:00 PM"/>
    <s v="19/04/2026 05:05:27 PM"/>
    <s v="39160"/>
    <s v="15940"/>
    <s v="23220"/>
    <n v="23.22"/>
    <s v="RFID"/>
  </r>
  <r>
    <s v="34875"/>
    <x v="0"/>
    <s v="T312 EHH"/>
    <x v="0"/>
    <x v="6"/>
    <x v="1"/>
    <s v="MT"/>
    <x v="10"/>
    <s v="19/04/2026 04:46:50 PM"/>
    <s v="19/04/2026 04:58:23 PM"/>
    <s v="33960"/>
    <s v="15660"/>
    <s v="18300"/>
    <n v="18.3"/>
    <s v="RFID"/>
  </r>
  <r>
    <s v="34876"/>
    <x v="0"/>
    <s v="T290 EHH"/>
    <x v="0"/>
    <x v="0"/>
    <x v="1"/>
    <s v="MT"/>
    <x v="10"/>
    <s v="19/04/2026 04:55:07 PM"/>
    <s v="19/04/2026 05:01:58 PM"/>
    <s v="36700"/>
    <s v="17500"/>
    <s v="19200"/>
    <n v="19.2"/>
    <s v="RFID"/>
  </r>
  <r>
    <s v="34877"/>
    <x v="0"/>
    <s v="T292 EHH"/>
    <x v="0"/>
    <x v="0"/>
    <x v="1"/>
    <s v="MT"/>
    <x v="10"/>
    <s v="19/04/2026 04:56:23 PM"/>
    <s v="19/04/2026 05:03:34 PM"/>
    <s v="37160"/>
    <s v="16120"/>
    <s v="21040"/>
    <n v="21.04"/>
    <s v="RFID"/>
  </r>
  <r>
    <s v="34878"/>
    <x v="0"/>
    <s v="T293 EHH"/>
    <x v="0"/>
    <x v="6"/>
    <x v="1"/>
    <s v="MT"/>
    <x v="10"/>
    <s v="19/04/2026 04:59:27 PM"/>
    <s v="19/04/2026 05:11:19 PM"/>
    <s v="32600"/>
    <s v="15340"/>
    <s v="17260"/>
    <n v="17.260000000000002"/>
    <s v="RFID"/>
  </r>
  <r>
    <s v="34879"/>
    <x v="0"/>
    <s v="T311 EHH"/>
    <x v="0"/>
    <x v="6"/>
    <x v="1"/>
    <s v="MT"/>
    <x v="10"/>
    <s v="19/04/2026 05:06:33 PM"/>
    <s v="19/04/2026 05:27:13 PM"/>
    <s v="34980"/>
    <s v="16400"/>
    <s v="18580"/>
    <n v="18.579999999999998"/>
    <s v="RFID"/>
  </r>
  <r>
    <s v="34880"/>
    <x v="0"/>
    <s v="T312 EHH"/>
    <x v="0"/>
    <x v="6"/>
    <x v="1"/>
    <s v="MT"/>
    <x v="10"/>
    <s v="19/04/2026 05:07:55 PM"/>
    <s v="19/04/2026 05:28:05 PM"/>
    <s v="33600"/>
    <s v="15680"/>
    <s v="17920"/>
    <n v="17.920000000000002"/>
    <s v="RFID"/>
  </r>
  <r>
    <s v="34881"/>
    <x v="0"/>
    <s v="T290 EHH"/>
    <x v="0"/>
    <x v="0"/>
    <x v="1"/>
    <s v="MT"/>
    <x v="10"/>
    <s v="19/04/2026 05:09:47 PM"/>
    <s v="19/04/2026 05:14:38 PM"/>
    <s v="37320"/>
    <s v="17540"/>
    <s v="19780"/>
    <n v="19.78"/>
    <s v="RFID"/>
  </r>
  <r>
    <s v="34882"/>
    <x v="0"/>
    <s v="T292 EHH"/>
    <x v="0"/>
    <x v="6"/>
    <x v="1"/>
    <s v="MT"/>
    <x v="10"/>
    <s v="19/04/2026 05:13:02 PM"/>
    <s v="19/04/2026 05:31:24 PM"/>
    <s v="34200"/>
    <s v="18060"/>
    <s v="16140"/>
    <n v="16.14"/>
    <s v="RFID"/>
  </r>
  <r>
    <s v="34883"/>
    <x v="0"/>
    <s v="T295 EHH"/>
    <x v="0"/>
    <x v="2"/>
    <x v="1"/>
    <s v="MT"/>
    <x v="10"/>
    <s v="19/04/2026 05:13:53 PM"/>
    <s v="19/04/2026 05:26:01 PM"/>
    <s v="41020"/>
    <s v="15380"/>
    <s v="25640"/>
    <n v="25.64"/>
    <s v="RFID"/>
  </r>
  <r>
    <s v="34884"/>
    <x v="0"/>
    <s v="T299 EHH"/>
    <x v="0"/>
    <x v="2"/>
    <x v="1"/>
    <s v="MT"/>
    <x v="10"/>
    <s v="19/04/2026 05:23:00 PM"/>
    <s v="19/04/2026 05:28:46 PM"/>
    <s v="34120"/>
    <s v="15900"/>
    <s v="18220"/>
    <n v="18.22"/>
    <s v="RFID"/>
  </r>
  <r>
    <s v="34885"/>
    <x v="0"/>
    <s v="T293 EHH"/>
    <x v="0"/>
    <x v="6"/>
    <x v="1"/>
    <s v="MT"/>
    <x v="10"/>
    <s v="19/04/2026 05:24:25 PM"/>
    <s v="19/04/2026 05:39:17 PM"/>
    <s v="35020"/>
    <s v="15400"/>
    <s v="19620"/>
    <n v="19.62"/>
    <s v="RFID"/>
  </r>
  <r>
    <s v="34886"/>
    <x v="0"/>
    <s v="T290 EHH"/>
    <x v="0"/>
    <x v="2"/>
    <x v="1"/>
    <s v="MT"/>
    <x v="10"/>
    <s v="19/04/2026 05:25:15 PM"/>
    <s v="19/04/2026 05:30:41 PM"/>
    <s v="41180"/>
    <s v="17440"/>
    <s v="23740"/>
    <n v="23.74"/>
    <s v="RFID"/>
  </r>
  <r>
    <s v="34887"/>
    <x v="0"/>
    <s v="T295 EHH"/>
    <x v="0"/>
    <x v="2"/>
    <x v="1"/>
    <s v="MT"/>
    <x v="10"/>
    <s v="19/04/2026 05:33:50 PM"/>
    <s v="19/04/2026 05:53:37 PM"/>
    <s v="36260"/>
    <s v="15320"/>
    <s v="20940"/>
    <n v="20.94"/>
    <s v="RFID"/>
  </r>
  <r>
    <s v="34888"/>
    <x v="0"/>
    <s v="T311 EHH"/>
    <x v="0"/>
    <x v="6"/>
    <x v="1"/>
    <s v="MT"/>
    <x v="10"/>
    <s v="19/04/2026 05:34:45 PM"/>
    <s v="19/04/2026 05:48:10 PM"/>
    <s v="35780"/>
    <s v="16400"/>
    <s v="19380"/>
    <n v="19.38"/>
    <s v="RFID"/>
  </r>
  <r>
    <s v="34889"/>
    <x v="0"/>
    <s v="T299 EHH"/>
    <x v="0"/>
    <x v="2"/>
    <x v="1"/>
    <s v="MT"/>
    <x v="10"/>
    <s v="19/04/2026 05:37:04 PM"/>
    <s v="19/04/2026 05:50:48 PM"/>
    <s v="35420"/>
    <s v="16000"/>
    <s v="19420"/>
    <n v="19.420000000000002"/>
    <s v="RFID"/>
  </r>
  <r>
    <s v="34890"/>
    <x v="0"/>
    <s v="T312 EHH"/>
    <x v="0"/>
    <x v="6"/>
    <x v="1"/>
    <s v="MT"/>
    <x v="10"/>
    <s v="19/04/2026 05:37:56 PM"/>
    <s v="19/04/2026 05:49:15 PM"/>
    <s v="34700"/>
    <s v="15680"/>
    <s v="19020"/>
    <n v="19.02"/>
    <s v="RFID"/>
  </r>
  <r>
    <s v="34891"/>
    <x v="0"/>
    <s v="T290 EHH"/>
    <x v="0"/>
    <x v="2"/>
    <x v="1"/>
    <s v="MT"/>
    <x v="10"/>
    <s v="19/04/2026 05:40:55 PM"/>
    <s v="19/04/2026 05:50:03 PM"/>
    <s v="40400"/>
    <s v="17680"/>
    <s v="22720"/>
    <n v="22.72"/>
    <s v="RFID"/>
  </r>
  <r>
    <s v="34892"/>
    <x v="0"/>
    <s v="T292 EHH"/>
    <x v="0"/>
    <x v="6"/>
    <x v="1"/>
    <s v="MT"/>
    <x v="10"/>
    <s v="19/04/2026 05:42:59 PM"/>
    <s v="19/04/2026 05:55:19 PM"/>
    <s v="35540"/>
    <s v="16820"/>
    <s v="18720"/>
    <n v="18.72"/>
    <s v="RFID"/>
  </r>
  <r>
    <s v="34893"/>
    <x v="0"/>
    <s v="T293 EHH"/>
    <x v="0"/>
    <x v="6"/>
    <x v="1"/>
    <s v="MT"/>
    <x v="10"/>
    <s v="19/04/2026 05:51:55 PM"/>
    <s v="19/04/2026 06:05:44 PM"/>
    <s v="34800"/>
    <s v="15400"/>
    <s v="19400"/>
    <n v="19.399999999999999"/>
    <s v="RFID"/>
  </r>
  <r>
    <s v="34894"/>
    <x v="0"/>
    <s v="T311 EHH"/>
    <x v="0"/>
    <x v="6"/>
    <x v="1"/>
    <s v="MT"/>
    <x v="10"/>
    <s v="19/04/2026 05:56:50 PM"/>
    <s v="19/04/2026 06:11:20 PM"/>
    <s v="36080"/>
    <s v="16400"/>
    <s v="19680"/>
    <n v="19.68"/>
    <s v="RFID"/>
  </r>
  <r>
    <s v="34895"/>
    <x v="0"/>
    <s v="T290 EHH"/>
    <x v="0"/>
    <x v="0"/>
    <x v="1"/>
    <s v="MT"/>
    <x v="10"/>
    <s v="19/04/2026 05:58:54 PM"/>
    <s v="19/04/2026 06:04:49 PM"/>
    <s v="42480"/>
    <s v="18040"/>
    <s v="24440"/>
    <n v="24.44"/>
    <s v="RFID"/>
  </r>
  <r>
    <s v="34896"/>
    <x v="0"/>
    <s v="T312 EHH"/>
    <x v="0"/>
    <x v="6"/>
    <x v="1"/>
    <s v="MT"/>
    <x v="10"/>
    <s v="19/04/2026 05:59:50 PM"/>
    <s v="19/04/2026 06:12:15 PM"/>
    <s v="34020"/>
    <s v="15680"/>
    <s v="18340"/>
    <n v="18.34"/>
    <s v="RFID"/>
  </r>
  <r>
    <s v="34897"/>
    <x v="0"/>
    <s v="T295 EHH"/>
    <x v="0"/>
    <x v="2"/>
    <x v="1"/>
    <s v="MT"/>
    <x v="10"/>
    <s v="19/04/2026 06:01:53 PM"/>
    <s v="19/04/2026 06:08:26 PM"/>
    <s v="36520"/>
    <s v="15400"/>
    <s v="21120"/>
    <n v="21.12"/>
    <s v="RFID"/>
  </r>
  <r>
    <s v="34898"/>
    <x v="0"/>
    <s v="T299 EHH"/>
    <x v="0"/>
    <x v="0"/>
    <x v="1"/>
    <s v="MT"/>
    <x v="10"/>
    <s v="19/04/2026 06:02:48 PM"/>
    <s v="19/04/2026 06:09:14 PM"/>
    <s v="33200"/>
    <s v="16000"/>
    <s v="17200"/>
    <n v="17.2"/>
    <s v="RFID"/>
  </r>
  <r>
    <s v="34899"/>
    <x v="0"/>
    <s v="T292 EHH"/>
    <x v="0"/>
    <x v="6"/>
    <x v="1"/>
    <s v="MT"/>
    <x v="10"/>
    <s v="19/04/2026 06:10:14 PM"/>
    <s v="19/04/2026 06:25:32 PM"/>
    <s v="34080"/>
    <s v="17060"/>
    <s v="17020"/>
    <n v="17.02"/>
    <s v="RFID"/>
  </r>
  <r>
    <s v="34900"/>
    <x v="0"/>
    <s v="T290 EHH"/>
    <x v="0"/>
    <x v="2"/>
    <x v="1"/>
    <s v="MT"/>
    <x v="10"/>
    <s v="19/04/2026 06:13:53 PM"/>
    <s v="19/04/2026 06:23:03 PM"/>
    <s v="36860"/>
    <s v="19020"/>
    <s v="17840"/>
    <n v="17.84"/>
    <s v="RFID"/>
  </r>
  <r>
    <s v="34901"/>
    <x v="0"/>
    <s v="T293 EHH"/>
    <x v="0"/>
    <x v="6"/>
    <x v="1"/>
    <s v="MT"/>
    <x v="10"/>
    <s v="19/04/2026 06:15:40 PM"/>
    <s v="19/04/2026 06:31:09 PM"/>
    <s v="35080"/>
    <s v="15400"/>
    <s v="19680"/>
    <n v="19.68"/>
    <s v="RFID"/>
  </r>
  <r>
    <s v="34902"/>
    <x v="0"/>
    <s v="T299 EHH"/>
    <x v="0"/>
    <x v="2"/>
    <x v="1"/>
    <s v="MT"/>
    <x v="10"/>
    <s v="19/04/2026 06:18:08 PM"/>
    <s v="19/04/2026 06:24:21 PM"/>
    <s v="34160"/>
    <s v="16020"/>
    <s v="18140"/>
    <n v="18.14"/>
    <s v="RFID"/>
  </r>
  <r>
    <s v="34903"/>
    <x v="0"/>
    <s v="T295 EHH"/>
    <x v="0"/>
    <x v="2"/>
    <x v="1"/>
    <s v="MT"/>
    <x v="10"/>
    <s v="19/04/2026 06:19:09 PM"/>
    <s v="19/04/2026 06:27:30 PM"/>
    <s v="42260"/>
    <s v="16880"/>
    <s v="25380"/>
    <n v="25.38"/>
    <s v="RFID"/>
  </r>
  <r>
    <s v="34904"/>
    <x v="0"/>
    <s v="T311 EHH"/>
    <x v="0"/>
    <x v="6"/>
    <x v="1"/>
    <s v="MT"/>
    <x v="10"/>
    <s v="19/04/2026 06:21:52 PM"/>
    <s v="19/04/2026 06:35:21 PM"/>
    <s v="35560"/>
    <s v="16400"/>
    <s v="19160"/>
    <n v="19.16"/>
    <s v="RFID"/>
  </r>
  <r>
    <s v="34905"/>
    <x v="0"/>
    <s v="T312 EHH"/>
    <x v="0"/>
    <x v="6"/>
    <x v="1"/>
    <s v="MT"/>
    <x v="10"/>
    <s v="19/04/2026 06:26:26 PM"/>
    <s v="19/04/2026 06:36:38 PM"/>
    <s v="38320"/>
    <s v="15800"/>
    <s v="22520"/>
    <n v="22.52"/>
    <s v="RFID"/>
  </r>
  <r>
    <s v="34906"/>
    <x v="0"/>
    <s v="T299 EHH"/>
    <x v="0"/>
    <x v="2"/>
    <x v="1"/>
    <s v="MT"/>
    <x v="10"/>
    <s v="19/04/2026 06:38:34 PM"/>
    <s v="19/04/2026 06:45:49 PM"/>
    <s v="35580"/>
    <s v="16000"/>
    <s v="19580"/>
    <n v="19.579999999999998"/>
    <s v="RFID"/>
  </r>
  <r>
    <s v="34907"/>
    <x v="0"/>
    <s v="T292 EHH"/>
    <x v="0"/>
    <x v="2"/>
    <x v="1"/>
    <s v="MT"/>
    <x v="10"/>
    <s v="19/04/2026 06:39:24 PM"/>
    <s v="19/04/2026 06:48:42 PM"/>
    <s v="35740"/>
    <s v="16960"/>
    <s v="18780"/>
    <n v="18.78"/>
    <s v="RFID"/>
  </r>
  <r>
    <s v="34908"/>
    <x v="0"/>
    <s v="T295 EHH"/>
    <x v="0"/>
    <x v="2"/>
    <x v="1"/>
    <s v="MT"/>
    <x v="10"/>
    <s v="19/04/2026 06:40:30 PM"/>
    <s v="19/04/2026 06:49:44 PM"/>
    <s v="35220"/>
    <s v="15500"/>
    <s v="19720"/>
    <n v="19.72"/>
    <s v="RFID"/>
  </r>
  <r>
    <s v="34909"/>
    <x v="0"/>
    <s v="T290 EHH"/>
    <x v="0"/>
    <x v="2"/>
    <x v="1"/>
    <s v="MT"/>
    <x v="10"/>
    <s v="19/04/2026 06:43:05 PM"/>
    <s v="19/04/2026 06:52:58 PM"/>
    <s v="41500"/>
    <s v="18580"/>
    <s v="22920"/>
    <n v="22.92"/>
    <s v="RFID"/>
  </r>
  <r>
    <s v="34910"/>
    <x v="0"/>
    <s v="T293 EHH"/>
    <x v="0"/>
    <x v="6"/>
    <x v="1"/>
    <s v="MT"/>
    <x v="10"/>
    <s v="19/04/2026 06:44:38 PM"/>
    <s v="19/04/2026 07:00:14 PM"/>
    <s v="34760"/>
    <s v="15460"/>
    <s v="19300"/>
    <n v="19.3"/>
    <s v="RFID"/>
  </r>
  <r>
    <s v="34911"/>
    <x v="0"/>
    <s v="T311 EHH"/>
    <x v="0"/>
    <x v="6"/>
    <x v="1"/>
    <s v="MT"/>
    <x v="10"/>
    <s v="19/04/2026 06:47:21 PM"/>
    <s v="19/04/2026 07:03:55 PM"/>
    <s v="38740"/>
    <s v="16420"/>
    <s v="22320"/>
    <n v="22.32"/>
    <s v="RFID"/>
  </r>
  <r>
    <s v="34912"/>
    <x v="0"/>
    <s v="T312 EHH"/>
    <x v="0"/>
    <x v="6"/>
    <x v="1"/>
    <s v="MT"/>
    <x v="10"/>
    <s v="19/04/2026 06:50:55 PM"/>
    <s v="19/04/2026 07:04:48 PM"/>
    <s v="37060"/>
    <s v="16020"/>
    <s v="21040"/>
    <n v="21.04"/>
    <s v="RFID"/>
  </r>
  <r>
    <s v="34913"/>
    <x v="0"/>
    <s v="T299 EHH"/>
    <x v="0"/>
    <x v="2"/>
    <x v="1"/>
    <s v="MT"/>
    <x v="10"/>
    <s v="19/04/2026 06:54:52 PM"/>
    <s v="19/04/2026 07:01:05 PM"/>
    <s v="34580"/>
    <s v="16120"/>
    <s v="18460"/>
    <n v="18.46"/>
    <s v="RFID"/>
  </r>
  <r>
    <s v="34914"/>
    <x v="0"/>
    <s v="T295 EHH"/>
    <x v="0"/>
    <x v="2"/>
    <x v="1"/>
    <s v="MT"/>
    <x v="10"/>
    <s v="19/04/2026 06:57:48 PM"/>
    <s v="19/04/2026 07:05:38 PM"/>
    <s v="38140"/>
    <s v="15480"/>
    <s v="22660"/>
    <n v="22.66"/>
    <s v="RFID"/>
  </r>
  <r>
    <s v="34915"/>
    <x v="0"/>
    <s v="T292 EHH"/>
    <x v="0"/>
    <x v="2"/>
    <x v="1"/>
    <s v="MT"/>
    <x v="10"/>
    <s v="19/04/2026 07:02:04 PM"/>
    <s v="19/04/2026 07:08:09 PM"/>
    <s v="37500"/>
    <s v="17380"/>
    <s v="20120"/>
    <n v="20.12"/>
    <s v="RFID"/>
  </r>
  <r>
    <s v="34916"/>
    <x v="0"/>
    <s v="T290 EHH"/>
    <x v="0"/>
    <x v="2"/>
    <x v="1"/>
    <s v="MT"/>
    <x v="10"/>
    <s v="19/04/2026 07:06:41 PM"/>
    <s v="19/04/2026 07:13:22 PM"/>
    <s v="38480"/>
    <s v="20180"/>
    <s v="18300"/>
    <n v="18.3"/>
    <s v="RFID"/>
  </r>
  <r>
    <s v="34917"/>
    <x v="0"/>
    <s v="T293 EHH"/>
    <x v="0"/>
    <x v="6"/>
    <x v="1"/>
    <s v="MT"/>
    <x v="10"/>
    <s v="19/04/2026 07:10:55 PM"/>
    <s v="19/04/2026 07:25:08 PM"/>
    <s v="35420"/>
    <s v="15500"/>
    <s v="19920"/>
    <n v="19.920000000000002"/>
    <s v="RFID"/>
  </r>
  <r>
    <s v="34918"/>
    <x v="0"/>
    <s v="T311 EHH"/>
    <x v="0"/>
    <x v="6"/>
    <x v="1"/>
    <s v="MT"/>
    <x v="10"/>
    <s v="19/04/2026 07:14:34 PM"/>
    <s v="19/04/2026 07:29:01 PM"/>
    <s v="35900"/>
    <s v="16560"/>
    <s v="19340"/>
    <n v="19.34"/>
    <s v="RFID"/>
  </r>
  <r>
    <s v="34919"/>
    <x v="0"/>
    <s v="T299 EHH"/>
    <x v="0"/>
    <x v="2"/>
    <x v="1"/>
    <s v="MT"/>
    <x v="10"/>
    <s v="19/04/2026 07:17:46 PM"/>
    <s v="19/04/2026 07:23:27 PM"/>
    <s v="35360"/>
    <s v="16220"/>
    <s v="19140"/>
    <n v="19.14"/>
    <s v="RFID"/>
  </r>
  <r>
    <s v="34920"/>
    <x v="0"/>
    <s v="T295 EHH"/>
    <x v="0"/>
    <x v="2"/>
    <x v="1"/>
    <s v="MT"/>
    <x v="10"/>
    <s v="19/04/2026 07:21:47 PM"/>
    <s v="19/04/2026 07:31:30 PM"/>
    <s v="38120"/>
    <s v="15560"/>
    <s v="22560"/>
    <n v="22.56"/>
    <s v="RFID"/>
  </r>
  <r>
    <s v="34921"/>
    <x v="0"/>
    <s v="T292 EHH"/>
    <x v="0"/>
    <x v="2"/>
    <x v="1"/>
    <s v="MT"/>
    <x v="10"/>
    <s v="19/04/2026 07:26:18 PM"/>
    <s v="19/04/2026 07:34:53 PM"/>
    <s v="42420"/>
    <s v="18680"/>
    <s v="23740"/>
    <n v="23.74"/>
    <s v="RFID"/>
  </r>
  <r>
    <s v="34922"/>
    <x v="0"/>
    <s v="T312 EHH"/>
    <x v="0"/>
    <x v="2"/>
    <x v="1"/>
    <s v="MT"/>
    <x v="10"/>
    <s v="19/04/2026 09:43:00 PM"/>
    <s v="19/04/2026 09:50:38 PM"/>
    <s v="35460"/>
    <s v="15200"/>
    <s v="20260"/>
    <n v="20.260000000000002"/>
    <s v="RFID"/>
  </r>
  <r>
    <s v="34923"/>
    <x v="0"/>
    <s v="T304 EHH"/>
    <x v="0"/>
    <x v="6"/>
    <x v="1"/>
    <s v="MT"/>
    <x v="10"/>
    <s v="19/04/2026 09:44:48 PM"/>
    <s v="19/04/2026 10:03:38 PM"/>
    <s v="33680"/>
    <s v="16220"/>
    <s v="17460"/>
    <n v="17.46"/>
    <s v="RFID"/>
  </r>
  <r>
    <s v="34924"/>
    <x v="0"/>
    <s v="T299 EHH"/>
    <x v="0"/>
    <x v="2"/>
    <x v="1"/>
    <s v="MT"/>
    <x v="10"/>
    <s v="19/04/2026 09:46:50 PM"/>
    <s v="19/04/2026 09:58:12 PM"/>
    <s v="38040"/>
    <s v="16120"/>
    <s v="21920"/>
    <n v="21.92"/>
    <s v="RFID"/>
  </r>
  <r>
    <s v="34925"/>
    <x v="0"/>
    <s v="T311 EHH"/>
    <x v="0"/>
    <x v="2"/>
    <x v="1"/>
    <s v="MT"/>
    <x v="10"/>
    <s v="19/04/2026 09:48:51 PM"/>
    <s v="19/04/2026 10:01:32 PM"/>
    <s v="42580"/>
    <s v="16600"/>
    <s v="25980"/>
    <n v="25.98"/>
    <s v="RFID"/>
  </r>
  <r>
    <s v="34926"/>
    <x v="0"/>
    <s v="T293 EHH"/>
    <x v="0"/>
    <x v="6"/>
    <x v="1"/>
    <s v="MT"/>
    <x v="10"/>
    <s v="19/04/2026 09:55:41 PM"/>
    <s v="19/04/2026 10:22:34 PM"/>
    <s v="32740"/>
    <s v="15460"/>
    <s v="17280"/>
    <n v="17.28"/>
    <s v="RFID"/>
  </r>
  <r>
    <s v="34927"/>
    <x v="0"/>
    <s v="T312 EHH"/>
    <x v="0"/>
    <x v="2"/>
    <x v="0"/>
    <s v="MT"/>
    <x v="10"/>
    <s v="19/04/2026 10:05:25 PM"/>
    <s v="19/04/2026 10:15:22 PM"/>
    <s v="37020"/>
    <s v="22960"/>
    <s v="14060"/>
    <n v="14.06"/>
    <s v="RFID"/>
  </r>
  <r>
    <s v="34928"/>
    <x v="0"/>
    <s v="T299 EHH"/>
    <x v="0"/>
    <x v="2"/>
    <x v="0"/>
    <s v="MT"/>
    <x v="10"/>
    <s v="19/04/2026 10:11:09 PM"/>
    <s v="19/04/2026 10:19:44 PM"/>
    <s v="37080"/>
    <s v="16120"/>
    <s v="20960"/>
    <n v="20.96"/>
    <s v="RFID"/>
  </r>
  <r>
    <s v="34929"/>
    <x v="0"/>
    <s v="T311 EHH"/>
    <x v="0"/>
    <x v="2"/>
    <x v="0"/>
    <s v="MT"/>
    <x v="10"/>
    <s v="19/04/2026 10:13:06 PM"/>
    <s v="19/04/2026 10:25:00 PM"/>
    <s v="36680"/>
    <s v="16480"/>
    <s v="20200"/>
    <n v="20.2"/>
    <s v="RFID"/>
  </r>
  <r>
    <s v="34930"/>
    <x v="0"/>
    <s v="T299 EHH"/>
    <x v="0"/>
    <x v="2"/>
    <x v="0"/>
    <s v="MT"/>
    <x v="10"/>
    <s v="19/04/2026 10:32:38 PM"/>
    <s v="19/04/2026 10:40:59 PM"/>
    <s v="37820"/>
    <s v="16200"/>
    <s v="21620"/>
    <n v="21.62"/>
    <s v="RFID"/>
  </r>
  <r>
    <s v="34931"/>
    <x v="0"/>
    <s v="T311 EHH"/>
    <x v="0"/>
    <x v="2"/>
    <x v="0"/>
    <s v="MT"/>
    <x v="10"/>
    <s v="19/04/2026 10:34:26 PM"/>
    <s v="19/04/2026 10:53:54 PM"/>
    <s v="40200"/>
    <s v="16860"/>
    <s v="23340"/>
    <n v="23.34"/>
    <s v="RFID"/>
  </r>
  <r>
    <s v="34932"/>
    <x v="0"/>
    <s v="T306 EHH"/>
    <x v="0"/>
    <x v="6"/>
    <x v="1"/>
    <s v="MT"/>
    <x v="10"/>
    <s v="19/04/2026 10:36:25 PM"/>
    <s v="19/04/2026 11:01:15 PM"/>
    <s v="34220"/>
    <s v="17360"/>
    <s v="16860"/>
    <n v="16.86"/>
    <s v="RFID"/>
  </r>
  <r>
    <s v="34933"/>
    <x v="0"/>
    <s v="T293 EHH"/>
    <x v="0"/>
    <x v="6"/>
    <x v="1"/>
    <s v="MT"/>
    <x v="10"/>
    <s v="19/04/2026 10:43:32 PM"/>
    <s v="19/04/2026 10:58:09 PM"/>
    <s v="33360"/>
    <s v="15320"/>
    <s v="18040"/>
    <n v="18.04"/>
    <s v="RFID"/>
  </r>
  <r>
    <s v="34934"/>
    <x v="0"/>
    <s v="T312 EHH"/>
    <x v="0"/>
    <x v="2"/>
    <x v="0"/>
    <s v="MT"/>
    <x v="10"/>
    <s v="19/04/2026 10:49:10 PM"/>
    <s v="19/04/2026 10:59:21 PM"/>
    <s v="40620"/>
    <s v="15640"/>
    <s v="24980"/>
    <n v="24.98"/>
    <s v="RFID"/>
  </r>
  <r>
    <s v="34935"/>
    <x v="0"/>
    <s v="T295 EHH"/>
    <x v="0"/>
    <x v="6"/>
    <x v="1"/>
    <s v="MT"/>
    <x v="10"/>
    <s v="19/04/2026 10:51:54 PM"/>
    <s v="19/04/2026 11:05:29 PM"/>
    <s v="36460"/>
    <s v="15420"/>
    <s v="21040"/>
    <n v="21.04"/>
    <s v="RFID"/>
  </r>
  <r>
    <s v="34936"/>
    <x v="0"/>
    <s v="T299 EHH"/>
    <x v="0"/>
    <x v="2"/>
    <x v="0"/>
    <s v="MT"/>
    <x v="10"/>
    <s v="19/04/2026 10:56:01 PM"/>
    <s v="19/04/2026 11:07:25 PM"/>
    <s v="34620"/>
    <s v="16200"/>
    <s v="18420"/>
    <n v="18.420000000000002"/>
    <s v="RFID"/>
  </r>
  <r>
    <s v="34937"/>
    <x v="0"/>
    <s v="T311 EHH"/>
    <x v="0"/>
    <x v="2"/>
    <x v="0"/>
    <s v="MT"/>
    <x v="10"/>
    <s v="19/04/2026 11:26:32 PM"/>
    <s v="20/04/2026 12:05:25 AM"/>
    <s v="42380"/>
    <s v="17000"/>
    <s v="25380"/>
    <n v="25.38"/>
    <s v="RFID"/>
  </r>
  <r>
    <s v="34938"/>
    <x v="0"/>
    <s v="T293 EHH"/>
    <x v="0"/>
    <x v="6"/>
    <x v="1"/>
    <s v="MT"/>
    <x v="10"/>
    <s v="19/04/2026 11:28:30 PM"/>
    <s v="19/04/2026 11:45:33 PM"/>
    <s v="37880"/>
    <s v="15340"/>
    <s v="22540"/>
    <n v="22.54"/>
    <s v="RFID"/>
  </r>
  <r>
    <s v="34939"/>
    <x v="0"/>
    <s v="T312 EHH"/>
    <x v="0"/>
    <x v="2"/>
    <x v="0"/>
    <s v="MT"/>
    <x v="10"/>
    <s v="19/04/2026 11:29:58 PM"/>
    <s v="19/04/2026 11:55:52 PM"/>
    <s v="32460"/>
    <s v="15300"/>
    <s v="17160"/>
    <n v="17.16"/>
    <s v="RFID"/>
  </r>
  <r>
    <s v="34940"/>
    <x v="0"/>
    <s v="T306 EHH"/>
    <x v="0"/>
    <x v="6"/>
    <x v="1"/>
    <s v="MT"/>
    <x v="10"/>
    <s v="19/04/2026 11:31:28 PM"/>
    <s v="19/04/2026 11:47:13 PM"/>
    <s v="35620"/>
    <s v="17720"/>
    <s v="17900"/>
    <n v="17.899999999999999"/>
    <s v="RFID"/>
  </r>
  <r>
    <s v="34941"/>
    <x v="0"/>
    <s v="T295 EHH"/>
    <x v="0"/>
    <x v="6"/>
    <x v="1"/>
    <s v="MT"/>
    <x v="10"/>
    <s v="19/04/2026 11:33:35 PM"/>
    <s v="19/04/2026 11:51:50 PM"/>
    <s v="36400"/>
    <s v="15500"/>
    <s v="20900"/>
    <n v="20.9"/>
    <s v="RFID"/>
  </r>
  <r>
    <s v="34942"/>
    <x v="0"/>
    <s v="T299 EHH"/>
    <x v="0"/>
    <x v="2"/>
    <x v="0"/>
    <s v="MT"/>
    <x v="10"/>
    <s v="19/04/2026 11:36:58 PM"/>
    <s v="20/04/2026 12:13:21 AM"/>
    <s v="30740"/>
    <s v="16480"/>
    <s v="14260"/>
    <n v="14.26"/>
    <s v="RFID"/>
  </r>
  <r>
    <s v="34943"/>
    <x v="0"/>
    <s v="T293 EHH"/>
    <x v="0"/>
    <x v="6"/>
    <x v="1"/>
    <s v="MT"/>
    <x v="10"/>
    <s v="19/04/2026 11:59:06 PM"/>
    <s v="20/04/2026 12:27:47 AM"/>
    <s v="37620"/>
    <s v="15360"/>
    <s v="22260"/>
    <n v="22.26"/>
    <s v="RFID"/>
  </r>
  <r>
    <s v="32444"/>
    <x v="0"/>
    <s v="T295 EHH"/>
    <x v="1"/>
    <x v="1"/>
    <x v="0"/>
    <s v="MT"/>
    <x v="11"/>
    <s v="02/04/2026 09:36:42 AM"/>
    <s v="02/04/2026 09:56:36 AM"/>
    <s v="38000"/>
    <s v="15640"/>
    <s v="22360"/>
    <n v="22.36"/>
    <s v="RFID"/>
  </r>
  <r>
    <s v="32445"/>
    <x v="0"/>
    <s v="T293 EHH"/>
    <x v="1"/>
    <x v="1"/>
    <x v="0"/>
    <s v="MT"/>
    <x v="11"/>
    <s v="02/04/2026 09:39:36 AM"/>
    <s v="02/04/2026 09:58:52 AM"/>
    <s v="34100"/>
    <s v="14800"/>
    <s v="19300"/>
    <n v="19.3"/>
    <s v="RFID"/>
  </r>
  <r>
    <s v="32446"/>
    <x v="0"/>
    <s v="T311 EHH"/>
    <x v="1"/>
    <x v="3"/>
    <x v="0"/>
    <s v="MT"/>
    <x v="11"/>
    <s v="02/04/2026 09:45:13 AM"/>
    <s v="02/04/2026 09:54:44 AM"/>
    <s v="35260"/>
    <s v="14840"/>
    <s v="20420"/>
    <n v="20.420000000000002"/>
    <s v="RFID"/>
  </r>
  <r>
    <s v="32447"/>
    <x v="0"/>
    <s v="T311 EHH"/>
    <x v="1"/>
    <x v="3"/>
    <x v="0"/>
    <s v="MT"/>
    <x v="11"/>
    <s v="02/04/2026 10:02:11 AM"/>
    <s v="02/04/2026 10:06:14 AM"/>
    <s v="36060"/>
    <s v="15100"/>
    <s v="20960"/>
    <n v="20.96"/>
    <s v="RFID"/>
  </r>
  <r>
    <s v="32448"/>
    <x v="0"/>
    <s v="T312 EHH"/>
    <x v="0"/>
    <x v="5"/>
    <x v="0"/>
    <s v="MT"/>
    <x v="11"/>
    <s v="02/04/2026 10:10:38 AM"/>
    <s v="02/04/2026 10:15:09 AM"/>
    <s v="36600"/>
    <s v="15000"/>
    <s v="21600"/>
    <n v="21.6"/>
    <s v="RFID"/>
  </r>
  <r>
    <s v="32449"/>
    <x v="0"/>
    <s v="T293 EHH"/>
    <x v="0"/>
    <x v="5"/>
    <x v="0"/>
    <s v="MT"/>
    <x v="11"/>
    <s v="02/04/2026 10:12:25 AM"/>
    <s v="02/04/2026 10:18:13 AM"/>
    <s v="36620"/>
    <s v="14900"/>
    <s v="21720"/>
    <n v="21.72"/>
    <s v="RFID"/>
  </r>
  <r>
    <s v="32450"/>
    <x v="0"/>
    <s v="T299 EHH"/>
    <x v="0"/>
    <x v="5"/>
    <x v="0"/>
    <s v="MT"/>
    <x v="11"/>
    <s v="02/04/2026 10:19:49 AM"/>
    <s v="02/04/2026 10:25:04 AM"/>
    <s v="36780"/>
    <s v="16700"/>
    <s v="20080"/>
    <n v="20.079999999999998"/>
    <s v="RFID"/>
  </r>
  <r>
    <s v="32451"/>
    <x v="0"/>
    <s v="T311 EHH"/>
    <x v="0"/>
    <x v="5"/>
    <x v="0"/>
    <s v="MT"/>
    <x v="11"/>
    <s v="02/04/2026 10:21:44 AM"/>
    <s v="02/04/2026 10:26:32 AM"/>
    <s v="36660"/>
    <s v="15140"/>
    <s v="21520"/>
    <n v="21.52"/>
    <s v="RFID"/>
  </r>
  <r>
    <s v="32452"/>
    <x v="0"/>
    <s v="T312 EHH"/>
    <x v="0"/>
    <x v="5"/>
    <x v="0"/>
    <s v="MT"/>
    <x v="11"/>
    <s v="02/04/2026 10:29:26 AM"/>
    <s v="02/04/2026 10:34:41 AM"/>
    <s v="36560"/>
    <s v="14880"/>
    <s v="21680"/>
    <n v="21.68"/>
    <s v="RFID"/>
  </r>
  <r>
    <s v="32453"/>
    <x v="0"/>
    <s v="T293 EHH"/>
    <x v="0"/>
    <x v="5"/>
    <x v="0"/>
    <s v="MT"/>
    <x v="11"/>
    <s v="02/04/2026 10:33:00 AM"/>
    <s v="02/04/2026 10:37:43 AM"/>
    <s v="36060"/>
    <s v="14780"/>
    <s v="21280"/>
    <n v="21.28"/>
    <s v="RFID"/>
  </r>
  <r>
    <s v="32454"/>
    <x v="0"/>
    <s v="T299 EHH"/>
    <x v="0"/>
    <x v="5"/>
    <x v="0"/>
    <s v="MT"/>
    <x v="11"/>
    <s v="02/04/2026 10:39:22 AM"/>
    <s v="02/04/2026 10:44:30 AM"/>
    <s v="36980"/>
    <s v="16660"/>
    <s v="20320"/>
    <n v="20.32"/>
    <s v="RFID"/>
  </r>
  <r>
    <s v="32455"/>
    <x v="0"/>
    <s v="T311 EHH"/>
    <x v="0"/>
    <x v="5"/>
    <x v="0"/>
    <s v="MT"/>
    <x v="11"/>
    <s v="02/04/2026 10:41:46 AM"/>
    <s v="02/04/2026 10:46:31 AM"/>
    <s v="37180"/>
    <s v="15140"/>
    <s v="22040"/>
    <n v="22.04"/>
    <s v="RFID"/>
  </r>
  <r>
    <s v="32457"/>
    <x v="0"/>
    <s v="T312 EHH"/>
    <x v="0"/>
    <x v="5"/>
    <x v="0"/>
    <s v="MT"/>
    <x v="11"/>
    <s v="02/04/2026 10:49:49 AM"/>
    <s v="02/04/2026 10:54:20 AM"/>
    <s v="36840"/>
    <s v="15020"/>
    <s v="21820"/>
    <n v="21.82"/>
    <s v="RFID"/>
  </r>
  <r>
    <s v="32458"/>
    <x v="0"/>
    <s v="T293 EHH"/>
    <x v="0"/>
    <x v="5"/>
    <x v="0"/>
    <s v="MT"/>
    <x v="11"/>
    <s v="02/04/2026 10:52:14 AM"/>
    <s v="02/04/2026 10:56:29 AM"/>
    <s v="37280"/>
    <s v="14880"/>
    <s v="22400"/>
    <n v="22.4"/>
    <s v="RFID"/>
  </r>
  <r>
    <s v="32459"/>
    <x v="0"/>
    <s v="T299 EHH"/>
    <x v="0"/>
    <x v="5"/>
    <x v="0"/>
    <s v="MT"/>
    <x v="11"/>
    <s v="02/04/2026 10:59:05 AM"/>
    <s v="02/04/2026 11:03:44 AM"/>
    <s v="38600"/>
    <s v="16720"/>
    <s v="21880"/>
    <n v="21.88"/>
    <s v="RFID"/>
  </r>
  <r>
    <s v="32460"/>
    <x v="0"/>
    <s v="T311 EHH"/>
    <x v="0"/>
    <x v="5"/>
    <x v="0"/>
    <s v="MT"/>
    <x v="11"/>
    <s v="02/04/2026 11:01:26 AM"/>
    <s v="02/04/2026 11:07:37 AM"/>
    <s v="37340"/>
    <s v="15180"/>
    <s v="22160"/>
    <n v="22.16"/>
    <s v="RFID"/>
  </r>
  <r>
    <s v="32461"/>
    <x v="0"/>
    <s v="T312 EHH"/>
    <x v="0"/>
    <x v="5"/>
    <x v="0"/>
    <s v="MT"/>
    <x v="11"/>
    <s v="02/04/2026 11:06:29 AM"/>
    <s v="02/04/2026 11:10:48 AM"/>
    <s v="36700"/>
    <s v="15080"/>
    <s v="21620"/>
    <n v="21.62"/>
    <s v="RFID"/>
  </r>
  <r>
    <s v="32462"/>
    <x v="0"/>
    <s v="T293 EHH"/>
    <x v="0"/>
    <x v="5"/>
    <x v="0"/>
    <s v="MT"/>
    <x v="11"/>
    <s v="02/04/2026 11:12:23 AM"/>
    <s v="02/04/2026 11:16:25 AM"/>
    <s v="38020"/>
    <s v="14860"/>
    <s v="23160"/>
    <n v="23.16"/>
    <s v="RFID"/>
  </r>
  <r>
    <s v="32463"/>
    <x v="0"/>
    <s v="T299 EHH"/>
    <x v="0"/>
    <x v="5"/>
    <x v="0"/>
    <s v="MT"/>
    <x v="11"/>
    <s v="02/04/2026 11:18:01 AM"/>
    <s v="02/04/2026 11:22:01 AM"/>
    <s v="38940"/>
    <s v="16760"/>
    <s v="22180"/>
    <n v="22.18"/>
    <s v="RFID"/>
  </r>
  <r>
    <s v="32464"/>
    <x v="0"/>
    <s v="T311 EHH"/>
    <x v="0"/>
    <x v="5"/>
    <x v="0"/>
    <s v="MT"/>
    <x v="11"/>
    <s v="02/04/2026 11:20:58 AM"/>
    <s v="02/04/2026 11:25:06 AM"/>
    <s v="36640"/>
    <s v="15340"/>
    <s v="21300"/>
    <n v="21.3"/>
    <s v="RFID"/>
  </r>
  <r>
    <s v="32466"/>
    <x v="0"/>
    <s v="T312 EHH"/>
    <x v="0"/>
    <x v="5"/>
    <x v="0"/>
    <s v="MT"/>
    <x v="11"/>
    <s v="02/04/2026 11:26:22 AM"/>
    <s v="02/04/2026 11:34:22 AM"/>
    <s v="39420"/>
    <s v="15000"/>
    <s v="24420"/>
    <n v="24.42"/>
    <s v="RFID"/>
  </r>
  <r>
    <s v="32467"/>
    <x v="0"/>
    <s v="T293 EHH"/>
    <x v="0"/>
    <x v="5"/>
    <x v="0"/>
    <s v="MT"/>
    <x v="11"/>
    <s v="02/04/2026 11:35:27 AM"/>
    <s v="02/04/2026 11:45:53 AM"/>
    <s v="37000"/>
    <s v="14840"/>
    <s v="22160"/>
    <n v="22.16"/>
    <s v="RFID"/>
  </r>
  <r>
    <s v="32468"/>
    <x v="0"/>
    <s v="T311 EHH"/>
    <x v="0"/>
    <x v="5"/>
    <x v="0"/>
    <s v="MT"/>
    <x v="11"/>
    <s v="02/04/2026 11:38:14 AM"/>
    <s v="02/04/2026 11:49:17 AM"/>
    <s v="36260"/>
    <s v="15260"/>
    <s v="21000"/>
    <n v="21"/>
    <s v="RFID"/>
  </r>
  <r>
    <s v="32469"/>
    <x v="0"/>
    <s v="T299 EHH"/>
    <x v="0"/>
    <x v="5"/>
    <x v="0"/>
    <s v="MT"/>
    <x v="11"/>
    <s v="02/04/2026 11:43:00 AM"/>
    <s v="02/04/2026 11:50:24 AM"/>
    <s v="39640"/>
    <s v="14740"/>
    <s v="24900"/>
    <n v="24.9"/>
    <s v="RFID"/>
  </r>
  <r>
    <s v="32470"/>
    <x v="0"/>
    <s v="T312 EHH"/>
    <x v="0"/>
    <x v="5"/>
    <x v="0"/>
    <s v="MT"/>
    <x v="11"/>
    <s v="02/04/2026 11:44:43 AM"/>
    <s v="02/04/2026 11:51:19 AM"/>
    <s v="36180"/>
    <s v="15000"/>
    <s v="21180"/>
    <n v="21.18"/>
    <s v="RFID"/>
  </r>
  <r>
    <s v="32472"/>
    <x v="0"/>
    <s v="T293 EHH"/>
    <x v="0"/>
    <x v="5"/>
    <x v="0"/>
    <s v="MT"/>
    <x v="11"/>
    <s v="02/04/2026 12:12:33 PM"/>
    <s v="02/04/2026 12:17:13 PM"/>
    <s v="37240"/>
    <s v="14860"/>
    <s v="22380"/>
    <n v="22.38"/>
    <s v="RFID"/>
  </r>
  <r>
    <s v="32473"/>
    <x v="0"/>
    <s v="T311 EHH"/>
    <x v="0"/>
    <x v="5"/>
    <x v="0"/>
    <s v="MT"/>
    <x v="11"/>
    <s v="02/04/2026 12:13:33 PM"/>
    <s v="02/04/2026 12:18:17 PM"/>
    <s v="37420"/>
    <s v="15260"/>
    <s v="22160"/>
    <n v="22.16"/>
    <s v="RFID"/>
  </r>
  <r>
    <s v="32474"/>
    <x v="0"/>
    <s v="T299 EHH"/>
    <x v="0"/>
    <x v="5"/>
    <x v="0"/>
    <s v="MT"/>
    <x v="11"/>
    <s v="02/04/2026 12:14:35 PM"/>
    <s v="02/04/2026 12:22:22 PM"/>
    <s v="37140"/>
    <s v="14700"/>
    <s v="22440"/>
    <n v="22.44"/>
    <s v="RFID"/>
  </r>
  <r>
    <s v="32481"/>
    <x v="0"/>
    <s v="T312 EHH"/>
    <x v="0"/>
    <x v="4"/>
    <x v="0"/>
    <s v="MT"/>
    <x v="11"/>
    <s v="02/04/2026 02:22:34 PM"/>
    <s v="02/04/2026 02:45:20 PM"/>
    <s v="36800"/>
    <s v="14820"/>
    <s v="21980"/>
    <n v="21.98"/>
    <s v="RFID"/>
  </r>
  <r>
    <s v="32482"/>
    <x v="0"/>
    <s v="T299 EHH"/>
    <x v="0"/>
    <x v="4"/>
    <x v="0"/>
    <s v="MT"/>
    <x v="11"/>
    <s v="02/04/2026 02:24:55 PM"/>
    <s v="02/04/2026 02:44:11 PM"/>
    <s v="36620"/>
    <s v="14580"/>
    <s v="22040"/>
    <n v="22.04"/>
    <s v="RFID"/>
  </r>
  <r>
    <s v="32484"/>
    <x v="0"/>
    <s v="T311 EHH"/>
    <x v="0"/>
    <x v="4"/>
    <x v="0"/>
    <s v="MT"/>
    <x v="11"/>
    <s v="02/04/2026 02:37:33 PM"/>
    <s v="02/04/2026 02:51:57 PM"/>
    <s v="36840"/>
    <s v="15140"/>
    <s v="21700"/>
    <n v="21.7"/>
    <s v="RFID"/>
  </r>
  <r>
    <s v="32486"/>
    <x v="0"/>
    <s v="T299 EHH"/>
    <x v="0"/>
    <x v="4"/>
    <x v="0"/>
    <s v="MT"/>
    <x v="11"/>
    <s v="02/04/2026 02:58:00 PM"/>
    <s v="02/04/2026 03:15:35 PM"/>
    <s v="36200"/>
    <s v="14720"/>
    <s v="21480"/>
    <n v="21.48"/>
    <s v="RFID"/>
  </r>
  <r>
    <s v="32487"/>
    <x v="0"/>
    <s v="T312 EHH"/>
    <x v="0"/>
    <x v="4"/>
    <x v="0"/>
    <s v="MT"/>
    <x v="11"/>
    <s v="02/04/2026 03:02:04 PM"/>
    <s v="02/04/2026 03:18:21 PM"/>
    <s v="36100"/>
    <s v="14880"/>
    <s v="21220"/>
    <n v="21.22"/>
    <s v="RFID"/>
  </r>
  <r>
    <s v="32488"/>
    <x v="0"/>
    <s v="T311 EHH"/>
    <x v="0"/>
    <x v="4"/>
    <x v="0"/>
    <s v="MT"/>
    <x v="11"/>
    <s v="02/04/2026 03:11:04 PM"/>
    <s v="02/04/2026 03:24:49 PM"/>
    <s v="40160"/>
    <s v="15280"/>
    <s v="24880"/>
    <n v="24.88"/>
    <s v="RFID"/>
  </r>
  <r>
    <s v="32490"/>
    <x v="0"/>
    <s v="T299 EHH"/>
    <x v="0"/>
    <x v="4"/>
    <x v="0"/>
    <s v="MT"/>
    <x v="11"/>
    <s v="02/04/2026 03:32:07 PM"/>
    <s v="02/04/2026 03:59:41 PM"/>
    <s v="37560"/>
    <s v="14640"/>
    <s v="22920"/>
    <n v="22.92"/>
    <s v="RFID"/>
  </r>
  <r>
    <s v="32491"/>
    <x v="0"/>
    <s v="T312 EHH"/>
    <x v="0"/>
    <x v="4"/>
    <x v="0"/>
    <s v="MT"/>
    <x v="11"/>
    <s v="02/04/2026 03:35:31 PM"/>
    <s v="02/04/2026 04:00:37 PM"/>
    <s v="35240"/>
    <s v="14880"/>
    <s v="20360"/>
    <n v="20.36"/>
    <s v="RFID"/>
  </r>
  <r>
    <s v="32493"/>
    <x v="0"/>
    <s v="T311 EHH"/>
    <x v="0"/>
    <x v="4"/>
    <x v="0"/>
    <s v="MT"/>
    <x v="11"/>
    <s v="02/04/2026 03:40:47 PM"/>
    <s v="02/04/2026 04:01:27 PM"/>
    <s v="36720"/>
    <s v="15260"/>
    <s v="21460"/>
    <n v="21.46"/>
    <s v="RFID"/>
  </r>
  <r>
    <s v="34944"/>
    <x v="0"/>
    <s v="T306 EHH"/>
    <x v="0"/>
    <x v="2"/>
    <x v="1"/>
    <s v="MT"/>
    <x v="12"/>
    <s v="20/04/2026 12:10:54 AM"/>
    <s v="20/04/2026 12:29:25 AM"/>
    <s v="37140"/>
    <s v="17080"/>
    <s v="20060"/>
    <n v="20.059999999999999"/>
    <s v="RFID"/>
  </r>
  <r>
    <s v="34945"/>
    <x v="0"/>
    <s v="T312 EHH"/>
    <x v="0"/>
    <x v="2"/>
    <x v="1"/>
    <s v="MT"/>
    <x v="12"/>
    <s v="20/04/2026 12:15:15 AM"/>
    <s v="20/04/2026 12:30:40 AM"/>
    <s v="39420"/>
    <s v="15460"/>
    <s v="23960"/>
    <n v="23.96"/>
    <s v="RFID"/>
  </r>
  <r>
    <s v="34946"/>
    <x v="0"/>
    <s v="T295 EHH"/>
    <x v="0"/>
    <x v="2"/>
    <x v="1"/>
    <s v="MT"/>
    <x v="12"/>
    <s v="20/04/2026 12:20:55 AM"/>
    <s v="20/04/2026 12:39:16 AM"/>
    <s v="39280"/>
    <s v="15520"/>
    <s v="23760"/>
    <n v="23.76"/>
    <s v="RFID"/>
  </r>
  <r>
    <s v="34947"/>
    <x v="0"/>
    <s v="T293 EHH"/>
    <x v="0"/>
    <x v="0"/>
    <x v="1"/>
    <s v="MT"/>
    <x v="12"/>
    <s v="20/04/2026 12:41:05 AM"/>
    <s v="20/04/2026 12:47:50 AM"/>
    <s v="44420"/>
    <s v="15420"/>
    <s v="29000"/>
    <n v="29"/>
    <s v="RFID"/>
  </r>
  <r>
    <s v="34948"/>
    <x v="0"/>
    <s v="T312 EHH"/>
    <x v="0"/>
    <x v="0"/>
    <x v="1"/>
    <s v="MT"/>
    <x v="12"/>
    <s v="20/04/2026 12:45:33 AM"/>
    <s v="20/04/2026 12:55:24 AM"/>
    <s v="37120"/>
    <s v="15760"/>
    <s v="21360"/>
    <n v="21.36"/>
    <s v="RFID"/>
  </r>
  <r>
    <s v="34949"/>
    <x v="0"/>
    <s v="T311 EHH"/>
    <x v="0"/>
    <x v="0"/>
    <x v="0"/>
    <s v="MT"/>
    <x v="12"/>
    <s v="20/04/2026 12:50:29 AM"/>
    <s v="20/04/2026 12:57:29 AM"/>
    <s v="37060"/>
    <s v="16620"/>
    <s v="20440"/>
    <n v="20.440000000000001"/>
    <s v="RFID"/>
  </r>
  <r>
    <s v="34950"/>
    <x v="0"/>
    <s v="T306 EHH"/>
    <x v="0"/>
    <x v="0"/>
    <x v="0"/>
    <s v="MT"/>
    <x v="12"/>
    <s v="20/04/2026 12:56:36 AM"/>
    <s v="20/04/2026 01:24:24 AM"/>
    <s v="38140"/>
    <s v="17000"/>
    <s v="21140"/>
    <n v="21.14"/>
    <s v="RFID"/>
  </r>
  <r>
    <s v="34951"/>
    <x v="0"/>
    <s v="T295 EHH"/>
    <x v="0"/>
    <x v="0"/>
    <x v="0"/>
    <s v="MT"/>
    <x v="12"/>
    <s v="20/04/2026 12:58:37 AM"/>
    <s v="20/04/2026 01:03:31 AM"/>
    <s v="34300"/>
    <s v="15740"/>
    <s v="18560"/>
    <n v="18.559999999999999"/>
    <s v="RFID"/>
  </r>
  <r>
    <s v="34952"/>
    <x v="0"/>
    <s v="T312 EHH"/>
    <x v="0"/>
    <x v="0"/>
    <x v="0"/>
    <s v="MT"/>
    <x v="12"/>
    <s v="20/04/2026 01:06:07 AM"/>
    <s v="20/04/2026 01:12:49 AM"/>
    <s v="36640"/>
    <s v="15800"/>
    <s v="20840"/>
    <n v="20.84"/>
    <s v="RFID"/>
  </r>
  <r>
    <s v="34953"/>
    <x v="0"/>
    <s v="T311 EHH"/>
    <x v="0"/>
    <x v="0"/>
    <x v="0"/>
    <s v="MT"/>
    <x v="12"/>
    <s v="20/04/2026 01:09:41 AM"/>
    <s v="20/04/2026 01:22:05 AM"/>
    <s v="42060"/>
    <s v="17040"/>
    <s v="25020"/>
    <n v="25.02"/>
    <s v="RFID"/>
  </r>
  <r>
    <s v="34954"/>
    <x v="0"/>
    <s v="T295 EHH"/>
    <x v="0"/>
    <x v="0"/>
    <x v="0"/>
    <s v="MT"/>
    <x v="12"/>
    <s v="20/04/2026 01:16:33 AM"/>
    <s v="20/04/2026 01:25:25 AM"/>
    <s v="37460"/>
    <s v="15860"/>
    <s v="21600"/>
    <n v="21.6"/>
    <s v="RFID"/>
  </r>
  <r>
    <s v="34955"/>
    <x v="0"/>
    <s v="T312 EHH"/>
    <x v="0"/>
    <x v="0"/>
    <x v="0"/>
    <s v="MT"/>
    <x v="12"/>
    <s v="20/04/2026 01:23:10 AM"/>
    <s v="20/04/2026 01:29:26 AM"/>
    <s v="40320"/>
    <s v="15460"/>
    <s v="24860"/>
    <n v="24.86"/>
    <s v="RFID"/>
  </r>
  <r>
    <s v="34956"/>
    <x v="0"/>
    <s v="T311 EHH"/>
    <x v="0"/>
    <x v="0"/>
    <x v="0"/>
    <s v="MT"/>
    <x v="12"/>
    <s v="20/04/2026 01:35:00 AM"/>
    <s v="20/04/2026 01:38:04 AM"/>
    <s v="37500"/>
    <s v="17000"/>
    <s v="20500"/>
    <n v="20.5"/>
    <s v="RFID"/>
  </r>
  <r>
    <s v="34957"/>
    <x v="0"/>
    <s v="T295 EHH"/>
    <x v="0"/>
    <x v="0"/>
    <x v="0"/>
    <s v="MT"/>
    <x v="12"/>
    <s v="20/04/2026 01:43:36 AM"/>
    <s v="20/04/2026 01:47:20 AM"/>
    <s v="39900"/>
    <s v="15840"/>
    <s v="24060"/>
    <n v="24.06"/>
    <s v="RFID"/>
  </r>
  <r>
    <s v="34958"/>
    <x v="0"/>
    <s v="T312 EHH"/>
    <x v="1"/>
    <x v="3"/>
    <x v="0"/>
    <s v="MT"/>
    <x v="12"/>
    <s v="20/04/2026 01:48:39 AM"/>
    <s v="20/04/2026 01:56:10 AM"/>
    <s v="42320"/>
    <s v="15620"/>
    <s v="26700"/>
    <n v="26.7"/>
    <s v="RFID"/>
  </r>
  <r>
    <s v="34959"/>
    <x v="0"/>
    <s v="T311 EHH"/>
    <x v="0"/>
    <x v="0"/>
    <x v="0"/>
    <s v="MT"/>
    <x v="12"/>
    <s v="20/04/2026 01:51:04 AM"/>
    <s v="20/04/2026 01:55:21 AM"/>
    <s v="40040"/>
    <s v="17160"/>
    <s v="22880"/>
    <n v="22.88"/>
    <s v="RFID"/>
  </r>
  <r>
    <s v="34960"/>
    <x v="0"/>
    <s v="T295 EHH"/>
    <x v="0"/>
    <x v="0"/>
    <x v="0"/>
    <s v="MT"/>
    <x v="12"/>
    <s v="20/04/2026 01:57:34 AM"/>
    <s v="20/04/2026 02:01:28 AM"/>
    <s v="40000"/>
    <s v="15840"/>
    <s v="24160"/>
    <n v="24.16"/>
    <s v="RFID"/>
  </r>
  <r>
    <s v="34961"/>
    <x v="0"/>
    <s v="T311 EHH"/>
    <x v="1"/>
    <x v="3"/>
    <x v="0"/>
    <s v="MT"/>
    <x v="12"/>
    <s v="20/04/2026 02:06:25 AM"/>
    <s v="20/04/2026 02:12:48 AM"/>
    <s v="45160"/>
    <s v="17300"/>
    <s v="27860"/>
    <n v="27.86"/>
    <s v="RFID"/>
  </r>
  <r>
    <s v="34962"/>
    <x v="0"/>
    <s v="T293 EHH"/>
    <x v="0"/>
    <x v="0"/>
    <x v="0"/>
    <s v="MT"/>
    <x v="12"/>
    <s v="20/04/2026 02:11:00 AM"/>
    <s v="20/04/2026 02:16:36 AM"/>
    <s v="36740"/>
    <s v="15560"/>
    <s v="21180"/>
    <n v="21.18"/>
    <s v="RFID"/>
  </r>
  <r>
    <s v="34963"/>
    <x v="0"/>
    <s v="T312 EHH"/>
    <x v="1"/>
    <x v="3"/>
    <x v="0"/>
    <s v="MT"/>
    <x v="12"/>
    <s v="20/04/2026 02:15:10 AM"/>
    <s v="20/04/2026 02:22:03 AM"/>
    <s v="37040"/>
    <s v="15560"/>
    <s v="21480"/>
    <n v="21.48"/>
    <s v="RFID"/>
  </r>
  <r>
    <s v="34964"/>
    <x v="0"/>
    <s v="T295 EHH"/>
    <x v="0"/>
    <x v="0"/>
    <x v="0"/>
    <s v="MT"/>
    <x v="12"/>
    <s v="20/04/2026 02:19:45 AM"/>
    <s v="20/04/2026 02:25:37 AM"/>
    <s v="39440"/>
    <s v="16020"/>
    <s v="23420"/>
    <n v="23.42"/>
    <s v="RFID"/>
  </r>
  <r>
    <s v="34965"/>
    <x v="0"/>
    <s v="T311 EHH"/>
    <x v="1"/>
    <x v="3"/>
    <x v="0"/>
    <s v="MT"/>
    <x v="12"/>
    <s v="20/04/2026 02:24:18 AM"/>
    <s v="20/04/2026 02:32:08 AM"/>
    <s v="39900"/>
    <s v="17380"/>
    <s v="22520"/>
    <n v="22.52"/>
    <s v="RFID"/>
  </r>
  <r>
    <s v="34966"/>
    <x v="0"/>
    <s v="T293 EHH"/>
    <x v="0"/>
    <x v="0"/>
    <x v="1"/>
    <s v="MT"/>
    <x v="12"/>
    <s v="20/04/2026 02:29:04 AM"/>
    <s v="20/04/2026 02:34:30 AM"/>
    <s v="38760"/>
    <s v="15580"/>
    <s v="23180"/>
    <n v="23.18"/>
    <s v="RFID"/>
  </r>
  <r>
    <s v="34967"/>
    <x v="0"/>
    <s v="T312 EHH"/>
    <x v="1"/>
    <x v="3"/>
    <x v="0"/>
    <s v="MT"/>
    <x v="12"/>
    <s v="20/04/2026 02:35:27 AM"/>
    <s v="20/04/2026 02:42:32 AM"/>
    <s v="35980"/>
    <s v="15540"/>
    <s v="20440"/>
    <n v="20.440000000000001"/>
    <s v="RFID"/>
  </r>
  <r>
    <s v="34968"/>
    <x v="0"/>
    <s v="T299 EHH"/>
    <x v="0"/>
    <x v="0"/>
    <x v="1"/>
    <s v="MT"/>
    <x v="12"/>
    <s v="20/04/2026 02:37:25 AM"/>
    <s v="20/04/2026 02:44:55 AM"/>
    <s v="39540"/>
    <s v="16580"/>
    <s v="22960"/>
    <n v="22.96"/>
    <s v="RFID"/>
  </r>
  <r>
    <s v="34969"/>
    <x v="0"/>
    <s v="T295 EHH"/>
    <x v="0"/>
    <x v="0"/>
    <x v="1"/>
    <s v="MT"/>
    <x v="12"/>
    <s v="20/04/2026 02:39:39 AM"/>
    <s v="20/04/2026 02:47:39 AM"/>
    <s v="41920"/>
    <s v="16320"/>
    <s v="25600"/>
    <n v="25.6"/>
    <s v="RFID"/>
  </r>
  <r>
    <s v="34970"/>
    <x v="0"/>
    <s v="T311 EHH"/>
    <x v="0"/>
    <x v="0"/>
    <x v="1"/>
    <s v="MT"/>
    <x v="12"/>
    <s v="20/04/2026 02:43:37 AM"/>
    <s v="20/04/2026 02:49:02 AM"/>
    <s v="43500"/>
    <s v="17360"/>
    <s v="26140"/>
    <n v="26.14"/>
    <s v="RFID"/>
  </r>
  <r>
    <s v="34971"/>
    <x v="0"/>
    <s v="T312 EHH"/>
    <x v="0"/>
    <x v="0"/>
    <x v="1"/>
    <s v="MT"/>
    <x v="12"/>
    <s v="20/04/2026 02:52:08 AM"/>
    <s v="20/04/2026 03:00:30 AM"/>
    <s v="42200"/>
    <s v="15520"/>
    <s v="26680"/>
    <n v="26.68"/>
    <s v="RFID"/>
  </r>
  <r>
    <s v="34972"/>
    <x v="0"/>
    <s v="T295 EHH"/>
    <x v="0"/>
    <x v="0"/>
    <x v="1"/>
    <s v="MT"/>
    <x v="12"/>
    <s v="20/04/2026 02:58:05 AM"/>
    <s v="20/04/2026 03:04:42 AM"/>
    <s v="40240"/>
    <s v="15920"/>
    <s v="24320"/>
    <n v="24.32"/>
    <s v="RFID"/>
  </r>
  <r>
    <s v="34973"/>
    <x v="0"/>
    <s v="T311 EHH"/>
    <x v="0"/>
    <x v="0"/>
    <x v="1"/>
    <s v="MT"/>
    <x v="12"/>
    <s v="20/04/2026 03:03:26 AM"/>
    <s v="20/04/2026 03:07:43 AM"/>
    <s v="40720"/>
    <s v="17340"/>
    <s v="23380"/>
    <n v="23.38"/>
    <s v="RFID"/>
  </r>
  <r>
    <s v="34974"/>
    <x v="0"/>
    <s v="T312 EHH"/>
    <x v="0"/>
    <x v="2"/>
    <x v="1"/>
    <s v="MT"/>
    <x v="12"/>
    <s v="20/04/2026 03:10:56 AM"/>
    <s v="20/04/2026 04:17:38 AM"/>
    <s v="43060"/>
    <s v="15300"/>
    <s v="27760"/>
    <n v="27.76"/>
    <s v="RFID"/>
  </r>
  <r>
    <s v="34975"/>
    <x v="0"/>
    <s v="T295 EHH"/>
    <x v="0"/>
    <x v="0"/>
    <x v="1"/>
    <s v="MT"/>
    <x v="12"/>
    <s v="20/04/2026 03:17:01 AM"/>
    <s v="20/04/2026 03:22:15 AM"/>
    <s v="43640"/>
    <s v="19440"/>
    <s v="24200"/>
    <n v="24.2"/>
    <s v="RFID"/>
  </r>
  <r>
    <s v="34976"/>
    <x v="0"/>
    <s v="T311 EHH"/>
    <x v="0"/>
    <x v="0"/>
    <x v="1"/>
    <s v="MT"/>
    <x v="12"/>
    <s v="20/04/2026 03:24:48 AM"/>
    <s v="20/04/2026 03:30:39 AM"/>
    <s v="43220"/>
    <s v="17560"/>
    <s v="25660"/>
    <n v="25.66"/>
    <s v="RFID"/>
  </r>
  <r>
    <s v="34977"/>
    <x v="0"/>
    <s v="T295 EHH"/>
    <x v="0"/>
    <x v="0"/>
    <x v="1"/>
    <s v="MT"/>
    <x v="12"/>
    <s v="20/04/2026 03:31:53 AM"/>
    <s v="20/04/2026 03:36:50 AM"/>
    <s v="38300"/>
    <s v="17580"/>
    <s v="20720"/>
    <n v="20.72"/>
    <s v="RFID"/>
  </r>
  <r>
    <s v="34978"/>
    <x v="0"/>
    <s v="T311 EHH"/>
    <x v="0"/>
    <x v="2"/>
    <x v="1"/>
    <s v="MT"/>
    <x v="12"/>
    <s v="20/04/2026 03:41:19 AM"/>
    <s v="20/04/2026 03:47:11 AM"/>
    <s v="41880"/>
    <s v="17580"/>
    <s v="24300"/>
    <n v="24.3"/>
    <s v="RFID"/>
  </r>
  <r>
    <s v="34979"/>
    <x v="0"/>
    <s v="T311 EHH"/>
    <x v="0"/>
    <x v="2"/>
    <x v="1"/>
    <s v="MT"/>
    <x v="12"/>
    <s v="20/04/2026 04:24:13 AM"/>
    <s v="20/04/2026 04:30:20 AM"/>
    <s v="38260"/>
    <s v="17580"/>
    <s v="20680"/>
    <n v="20.68"/>
    <s v="RFID"/>
  </r>
  <r>
    <s v="34980"/>
    <x v="0"/>
    <s v="T295 EHH"/>
    <x v="0"/>
    <x v="0"/>
    <x v="1"/>
    <s v="MT"/>
    <x v="12"/>
    <s v="20/04/2026 04:32:06 AM"/>
    <s v="20/04/2026 04:37:41 AM"/>
    <s v="35200"/>
    <s v="17100"/>
    <s v="18100"/>
    <n v="18.100000000000001"/>
    <s v="RFID"/>
  </r>
  <r>
    <s v="34981"/>
    <x v="0"/>
    <s v="T299 EHH"/>
    <x v="0"/>
    <x v="2"/>
    <x v="1"/>
    <s v="MT"/>
    <x v="12"/>
    <s v="20/04/2026 04:43:14 AM"/>
    <s v="20/04/2026 04:51:51 AM"/>
    <s v="40160"/>
    <s v="16700"/>
    <s v="23460"/>
    <n v="23.46"/>
    <s v="RFID"/>
  </r>
  <r>
    <s v="34982"/>
    <x v="0"/>
    <s v="T312 EHH"/>
    <x v="0"/>
    <x v="2"/>
    <x v="1"/>
    <s v="MT"/>
    <x v="12"/>
    <s v="20/04/2026 04:44:33 AM"/>
    <s v="20/04/2026 05:37:14 AM"/>
    <s v="40480"/>
    <s v="15440"/>
    <s v="25040"/>
    <n v="25.04"/>
    <s v="RFID"/>
  </r>
  <r>
    <s v="34983"/>
    <x v="0"/>
    <s v="T311 EHH"/>
    <x v="0"/>
    <x v="2"/>
    <x v="1"/>
    <s v="MT"/>
    <x v="12"/>
    <s v="20/04/2026 04:45:39 AM"/>
    <s v="20/04/2026 06:06:59 AM"/>
    <s v="41440"/>
    <s v="19540"/>
    <s v="21900"/>
    <n v="21.9"/>
    <s v="RFID"/>
  </r>
  <r>
    <s v="34984"/>
    <x v="0"/>
    <s v="T295 EHH"/>
    <x v="0"/>
    <x v="2"/>
    <x v="1"/>
    <s v="MT"/>
    <x v="12"/>
    <s v="20/04/2026 04:50:40 AM"/>
    <s v="20/04/2026 06:14:04 AM"/>
    <s v="39640"/>
    <s v="16060"/>
    <s v="23580"/>
    <n v="23.58"/>
    <s v="RFID"/>
  </r>
  <r>
    <s v="34985"/>
    <x v="0"/>
    <s v="T299 EHH"/>
    <x v="0"/>
    <x v="2"/>
    <x v="1"/>
    <s v="MT"/>
    <x v="12"/>
    <s v="20/04/2026 05:03:36 AM"/>
    <s v="20/04/2026 06:18:10 AM"/>
    <s v="38800"/>
    <s v="17040"/>
    <s v="21760"/>
    <n v="21.76"/>
    <s v="RFID"/>
  </r>
  <r>
    <s v="34986"/>
    <x v="0"/>
    <s v="T312 EHH"/>
    <x v="0"/>
    <x v="2"/>
    <x v="1"/>
    <s v="MT"/>
    <x v="12"/>
    <s v="20/04/2026 05:59:21 AM"/>
    <s v="20/04/2026 06:32:57 AM"/>
    <s v="40740"/>
    <s v="15260"/>
    <s v="25480"/>
    <n v="25.48"/>
    <s v="RFID"/>
  </r>
  <r>
    <s v="34987"/>
    <x v="0"/>
    <s v="T311 EHH"/>
    <x v="0"/>
    <x v="2"/>
    <x v="1"/>
    <s v="MT"/>
    <x v="12"/>
    <s v="20/04/2026 06:16:54 AM"/>
    <s v="20/04/2026 07:03:55 AM"/>
    <s v="43560"/>
    <s v="20060"/>
    <s v="23500"/>
    <n v="23.5"/>
    <s v="RFID"/>
  </r>
  <r>
    <s v="34988"/>
    <x v="0"/>
    <s v="T295 EHH"/>
    <x v="0"/>
    <x v="2"/>
    <x v="1"/>
    <s v="MT"/>
    <x v="12"/>
    <s v="20/04/2026 06:34:02 AM"/>
    <s v="20/04/2026 07:07:29 AM"/>
    <s v="39680"/>
    <s v="15560"/>
    <s v="24120"/>
    <n v="24.12"/>
    <s v="RFID"/>
  </r>
  <r>
    <s v="34989"/>
    <x v="0"/>
    <s v="T299 EHH"/>
    <x v="0"/>
    <x v="2"/>
    <x v="1"/>
    <s v="MT"/>
    <x v="12"/>
    <s v="20/04/2026 06:39:17 AM"/>
    <s v="20/04/2026 07:12:59 AM"/>
    <s v="44780"/>
    <s v="17360"/>
    <s v="27420"/>
    <n v="27.42"/>
    <s v="RFID"/>
  </r>
  <r>
    <s v="34990"/>
    <x v="0"/>
    <s v="T312 EHH"/>
    <x v="0"/>
    <x v="2"/>
    <x v="1"/>
    <s v="MT"/>
    <x v="12"/>
    <s v="20/04/2026 06:45:14 AM"/>
    <s v="20/04/2026 07:15:57 AM"/>
    <s v="36680"/>
    <s v="15400"/>
    <s v="21280"/>
    <n v="21.28"/>
    <s v="RFID"/>
  </r>
  <r>
    <s v="34991"/>
    <x v="0"/>
    <s v="T311 EHH"/>
    <x v="0"/>
    <x v="2"/>
    <x v="1"/>
    <s v="MT"/>
    <x v="12"/>
    <s v="20/04/2026 07:17:17 AM"/>
    <s v="20/04/2026 07:23:43 AM"/>
    <s v="38120"/>
    <s v="15820"/>
    <s v="22300"/>
    <n v="22.3"/>
    <s v="RFID"/>
  </r>
  <r>
    <s v="34992"/>
    <x v="0"/>
    <s v="T295 EHH"/>
    <x v="1"/>
    <x v="3"/>
    <x v="0"/>
    <s v="MT"/>
    <x v="12"/>
    <s v="20/04/2026 09:47:47 AM"/>
    <s v="20/04/2026 09:55:03 AM"/>
    <s v="34500"/>
    <s v="15480"/>
    <s v="19020"/>
    <n v="19.02"/>
    <s v="RFID"/>
  </r>
  <r>
    <s v="34993"/>
    <x v="0"/>
    <s v="T299 EHH"/>
    <x v="1"/>
    <x v="3"/>
    <x v="0"/>
    <s v="MT"/>
    <x v="12"/>
    <s v="20/04/2026 09:48:51 AM"/>
    <s v="20/04/2026 09:56:36 AM"/>
    <s v="36320"/>
    <s v="19460"/>
    <s v="16860"/>
    <n v="16.86"/>
    <s v="RFID"/>
  </r>
  <r>
    <s v="34994"/>
    <x v="0"/>
    <s v="T312 EHH"/>
    <x v="1"/>
    <x v="3"/>
    <x v="0"/>
    <s v="MT"/>
    <x v="12"/>
    <s v="20/04/2026 09:50:37 AM"/>
    <s v="20/04/2026 09:58:57 AM"/>
    <s v="35160"/>
    <s v="16160"/>
    <s v="19000"/>
    <n v="19"/>
    <s v="RFID"/>
  </r>
  <r>
    <s v="34995"/>
    <x v="0"/>
    <s v="T292 EHH"/>
    <x v="1"/>
    <x v="3"/>
    <x v="0"/>
    <s v="MT"/>
    <x v="12"/>
    <s v="20/04/2026 09:51:45 AM"/>
    <s v="20/04/2026 10:03:44 AM"/>
    <s v="34820"/>
    <s v="15600"/>
    <s v="19220"/>
    <n v="19.22"/>
    <s v="RFID"/>
  </r>
  <r>
    <s v="34996"/>
    <x v="0"/>
    <s v="T311 EHH"/>
    <x v="1"/>
    <x v="3"/>
    <x v="0"/>
    <s v="MT"/>
    <x v="12"/>
    <s v="20/04/2026 09:52:53 AM"/>
    <s v="20/04/2026 10:01:21 AM"/>
    <s v="35360"/>
    <s v="15920"/>
    <s v="19440"/>
    <n v="19.440000000000001"/>
    <s v="RFID"/>
  </r>
  <r>
    <s v="34997"/>
    <x v="0"/>
    <s v="T295 EHH"/>
    <x v="1"/>
    <x v="3"/>
    <x v="0"/>
    <s v="MT"/>
    <x v="12"/>
    <s v="20/04/2026 10:13:11 AM"/>
    <s v="20/04/2026 10:30:56 AM"/>
    <s v="33560"/>
    <s v="15060"/>
    <s v="18500"/>
    <n v="18.5"/>
    <s v="RFID"/>
  </r>
  <r>
    <s v="34998"/>
    <x v="0"/>
    <s v="T290 EHH"/>
    <x v="1"/>
    <x v="3"/>
    <x v="0"/>
    <s v="MT"/>
    <x v="12"/>
    <s v="20/04/2026 10:29:44 AM"/>
    <s v="20/04/2026 10:37:12 AM"/>
    <s v="35780"/>
    <s v="19260"/>
    <s v="16520"/>
    <n v="16.52"/>
    <s v="RFID"/>
  </r>
  <r>
    <s v="34999"/>
    <x v="0"/>
    <s v="T312 EHH"/>
    <x v="1"/>
    <x v="3"/>
    <x v="0"/>
    <s v="MT"/>
    <x v="12"/>
    <s v="20/04/2026 10:30:10 AM"/>
    <s v="20/04/2026 10:36:16 AM"/>
    <s v="35580"/>
    <s v="16600"/>
    <s v="18980"/>
    <n v="18.98"/>
    <s v="RFID"/>
  </r>
  <r>
    <s v="35000"/>
    <x v="0"/>
    <s v="T311 EHH"/>
    <x v="1"/>
    <x v="3"/>
    <x v="0"/>
    <s v="MT"/>
    <x v="12"/>
    <s v="20/04/2026 10:31:51 AM"/>
    <s v="20/04/2026 10:38:19 AM"/>
    <s v="34100"/>
    <s v="15860"/>
    <s v="18240"/>
    <n v="18.239999999999998"/>
    <s v="RFID"/>
  </r>
  <r>
    <s v="35001"/>
    <x v="0"/>
    <s v="T292 EHH"/>
    <x v="1"/>
    <x v="3"/>
    <x v="0"/>
    <s v="MT"/>
    <x v="12"/>
    <s v="20/04/2026 10:32:39 AM"/>
    <s v="20/04/2026 10:39:53 AM"/>
    <s v="36760"/>
    <s v="15720"/>
    <s v="21040"/>
    <n v="21.04"/>
    <s v="RFID"/>
  </r>
  <r>
    <s v="35002"/>
    <x v="0"/>
    <s v="T299 EHH"/>
    <x v="1"/>
    <x v="3"/>
    <x v="0"/>
    <s v="MT"/>
    <x v="12"/>
    <s v="20/04/2026 10:33:30 AM"/>
    <s v="20/04/2026 10:47:39 AM"/>
    <s v="35600"/>
    <s v="16200"/>
    <s v="19400"/>
    <n v="19.399999999999999"/>
    <s v="RFID"/>
  </r>
  <r>
    <s v="35003"/>
    <x v="0"/>
    <s v="T295 EHH"/>
    <x v="1"/>
    <x v="3"/>
    <x v="0"/>
    <s v="MT"/>
    <x v="12"/>
    <s v="20/04/2026 10:45:00 AM"/>
    <s v="20/04/2026 10:49:53 AM"/>
    <s v="34680"/>
    <s v="16160"/>
    <s v="18520"/>
    <n v="18.52"/>
    <s v="RFID"/>
  </r>
  <r>
    <s v="35004"/>
    <x v="0"/>
    <s v="T290 EHH"/>
    <x v="1"/>
    <x v="3"/>
    <x v="0"/>
    <s v="MT"/>
    <x v="12"/>
    <s v="20/04/2026 10:52:36 AM"/>
    <s v="20/04/2026 11:16:57 AM"/>
    <s v="33980"/>
    <s v="16120"/>
    <s v="17860"/>
    <n v="17.86"/>
    <s v="RFID"/>
  </r>
  <r>
    <s v="35005"/>
    <x v="0"/>
    <s v="T312 EHH"/>
    <x v="1"/>
    <x v="3"/>
    <x v="0"/>
    <s v="MT"/>
    <x v="12"/>
    <s v="20/04/2026 10:54:47 AM"/>
    <s v="20/04/2026 11:17:54 AM"/>
    <s v="35560"/>
    <s v="15420"/>
    <s v="20140"/>
    <n v="20.14"/>
    <s v="RFID"/>
  </r>
  <r>
    <s v="35006"/>
    <x v="0"/>
    <s v="T311 EHH"/>
    <x v="1"/>
    <x v="3"/>
    <x v="0"/>
    <s v="MT"/>
    <x v="12"/>
    <s v="20/04/2026 10:59:56 AM"/>
    <s v="20/04/2026 11:21:32 AM"/>
    <s v="33980"/>
    <s v="15820"/>
    <s v="18160"/>
    <n v="18.16"/>
    <s v="RFID"/>
  </r>
  <r>
    <s v="35007"/>
    <x v="0"/>
    <s v="T292 EHH"/>
    <x v="1"/>
    <x v="3"/>
    <x v="0"/>
    <s v="MT"/>
    <x v="12"/>
    <s v="20/04/2026 11:01:57 AM"/>
    <s v="20/04/2026 11:22:25 AM"/>
    <s v="34160"/>
    <s v="15520"/>
    <s v="18640"/>
    <n v="18.64"/>
    <s v="RFID"/>
  </r>
  <r>
    <s v="35008"/>
    <x v="0"/>
    <s v="T299 EHH"/>
    <x v="1"/>
    <x v="3"/>
    <x v="0"/>
    <s v="MT"/>
    <x v="12"/>
    <s v="20/04/2026 11:06:19 AM"/>
    <s v="20/04/2026 11:23:18 AM"/>
    <s v="35040"/>
    <s v="15600"/>
    <s v="19440"/>
    <n v="19.440000000000001"/>
    <s v="RFID"/>
  </r>
  <r>
    <s v="35009"/>
    <x v="0"/>
    <s v="T295 EHH"/>
    <x v="1"/>
    <x v="3"/>
    <x v="0"/>
    <s v="MT"/>
    <x v="12"/>
    <s v="20/04/2026 11:18:46 AM"/>
    <s v="20/04/2026 11:26:12 AM"/>
    <s v="33300"/>
    <s v="15280"/>
    <s v="18020"/>
    <n v="18.02"/>
    <s v="RFID"/>
  </r>
  <r>
    <s v="35010"/>
    <x v="0"/>
    <s v="T290 EHH"/>
    <x v="1"/>
    <x v="3"/>
    <x v="0"/>
    <s v="MT"/>
    <x v="12"/>
    <s v="20/04/2026 11:30:00 AM"/>
    <s v="20/04/2026 11:37:43 AM"/>
    <s v="34780"/>
    <s v="16420"/>
    <s v="18360"/>
    <n v="18.36"/>
    <s v="RFID"/>
  </r>
  <r>
    <s v="35011"/>
    <x v="0"/>
    <s v="T312 EHH"/>
    <x v="1"/>
    <x v="3"/>
    <x v="0"/>
    <s v="MT"/>
    <x v="12"/>
    <s v="20/04/2026 11:33:46 AM"/>
    <s v="20/04/2026 11:40:29 AM"/>
    <s v="33520"/>
    <s v="15740"/>
    <s v="17780"/>
    <n v="17.78"/>
    <s v="RFID"/>
  </r>
  <r>
    <s v="35012"/>
    <x v="0"/>
    <s v="T311 EHH"/>
    <x v="1"/>
    <x v="3"/>
    <x v="0"/>
    <s v="MT"/>
    <x v="12"/>
    <s v="20/04/2026 11:39:16 AM"/>
    <s v="20/04/2026 12:07:37 PM"/>
    <s v="37580"/>
    <s v="15860"/>
    <s v="21720"/>
    <n v="21.72"/>
    <s v="RFID"/>
  </r>
  <r>
    <s v="35013"/>
    <x v="0"/>
    <s v="T292 EHH"/>
    <x v="1"/>
    <x v="3"/>
    <x v="0"/>
    <s v="MT"/>
    <x v="12"/>
    <s v="20/04/2026 11:41:37 AM"/>
    <s v="20/04/2026 12:01:51 PM"/>
    <s v="33900"/>
    <s v="15620"/>
    <s v="18280"/>
    <n v="18.28"/>
    <s v="RFID"/>
  </r>
  <r>
    <s v="35014"/>
    <x v="0"/>
    <s v="T299 EHH"/>
    <x v="1"/>
    <x v="3"/>
    <x v="0"/>
    <s v="MT"/>
    <x v="12"/>
    <s v="20/04/2026 11:44:50 AM"/>
    <s v="20/04/2026 12:08:33 PM"/>
    <s v="32840"/>
    <s v="15600"/>
    <s v="17240"/>
    <n v="17.239999999999998"/>
    <s v="RFID"/>
  </r>
  <r>
    <s v="35015"/>
    <x v="0"/>
    <s v="T295 EHH"/>
    <x v="1"/>
    <x v="3"/>
    <x v="0"/>
    <s v="MT"/>
    <x v="12"/>
    <s v="20/04/2026 11:48:37 AM"/>
    <s v="20/04/2026 12:15:50 PM"/>
    <s v="32180"/>
    <s v="15360"/>
    <s v="16820"/>
    <n v="16.82"/>
    <s v="RFID"/>
  </r>
  <r>
    <s v="35016"/>
    <x v="0"/>
    <s v="T290 EHH"/>
    <x v="1"/>
    <x v="3"/>
    <x v="0"/>
    <s v="MT"/>
    <x v="12"/>
    <s v="20/04/2026 11:51:38 AM"/>
    <s v="20/04/2026 12:09:44 PM"/>
    <s v="34500"/>
    <s v="17820"/>
    <s v="16680"/>
    <n v="16.68"/>
    <s v="RFID"/>
  </r>
  <r>
    <s v="35017"/>
    <x v="0"/>
    <s v="T312 EHH"/>
    <x v="1"/>
    <x v="3"/>
    <x v="0"/>
    <s v="MT"/>
    <x v="12"/>
    <s v="20/04/2026 11:56:10 AM"/>
    <s v="20/04/2026 12:28:17 PM"/>
    <s v="37020"/>
    <s v="15320"/>
    <s v="21700"/>
    <n v="21.7"/>
    <s v="RFID"/>
  </r>
  <r>
    <s v="35018"/>
    <x v="0"/>
    <s v="T292 EHH"/>
    <x v="1"/>
    <x v="3"/>
    <x v="0"/>
    <s v="MT"/>
    <x v="12"/>
    <s v="20/04/2026 12:14:30 PM"/>
    <s v="20/04/2026 12:29:58 PM"/>
    <s v="34160"/>
    <s v="15740"/>
    <s v="18420"/>
    <n v="18.420000000000002"/>
    <s v="RFID"/>
  </r>
  <r>
    <s v="35019"/>
    <x v="0"/>
    <s v="T311 EHH"/>
    <x v="1"/>
    <x v="3"/>
    <x v="0"/>
    <s v="MT"/>
    <x v="12"/>
    <s v="20/04/2026 12:23:00 PM"/>
    <s v="20/04/2026 12:32:37 PM"/>
    <s v="32820"/>
    <s v="15980"/>
    <s v="16840"/>
    <n v="16.84"/>
    <s v="RFID"/>
  </r>
  <r>
    <s v="35020"/>
    <x v="0"/>
    <s v="T299 EHH"/>
    <x v="1"/>
    <x v="3"/>
    <x v="0"/>
    <s v="MT"/>
    <x v="12"/>
    <s v="20/04/2026 12:24:54 PM"/>
    <s v="20/04/2026 12:36:49 PM"/>
    <s v="34240"/>
    <s v="15480"/>
    <s v="18760"/>
    <n v="18.760000000000002"/>
    <s v="RFID"/>
  </r>
  <r>
    <s v="35021"/>
    <x v="0"/>
    <s v="T290 EHH"/>
    <x v="1"/>
    <x v="3"/>
    <x v="0"/>
    <s v="MT"/>
    <x v="12"/>
    <s v="20/04/2026 12:34:06 PM"/>
    <s v="20/04/2026 12:41:00 PM"/>
    <s v="36180"/>
    <s v="16100"/>
    <s v="20080"/>
    <n v="20.079999999999998"/>
    <s v="RFID"/>
  </r>
  <r>
    <s v="35022"/>
    <x v="0"/>
    <s v="T295 EHH"/>
    <x v="1"/>
    <x v="3"/>
    <x v="0"/>
    <s v="MT"/>
    <x v="12"/>
    <s v="20/04/2026 12:39:21 PM"/>
    <s v="20/04/2026 07:01:31 PM"/>
    <s v="33680"/>
    <s v="15580"/>
    <s v="18100"/>
    <n v="18.100000000000001"/>
    <s v="RFID"/>
  </r>
  <r>
    <s v="35023"/>
    <x v="0"/>
    <s v="T312 EHH"/>
    <x v="1"/>
    <x v="3"/>
    <x v="0"/>
    <s v="MT"/>
    <x v="12"/>
    <s v="20/04/2026 12:42:20 PM"/>
    <s v="20/04/2026 07:02:23 PM"/>
    <s v="33580"/>
    <s v="15360"/>
    <s v="18220"/>
    <n v="18.22"/>
    <s v="RFID"/>
  </r>
  <r>
    <s v="35024"/>
    <x v="0"/>
    <s v="T306 EHH"/>
    <x v="0"/>
    <x v="0"/>
    <x v="1"/>
    <s v="MT"/>
    <x v="12"/>
    <s v="20/04/2026 06:34:56 PM"/>
    <s v="20/04/2026 06:39:01 PM"/>
    <s v="37760"/>
    <s v="19240"/>
    <s v="18520"/>
    <n v="18.52"/>
    <s v="RFID"/>
  </r>
  <r>
    <s v="35025"/>
    <x v="0"/>
    <s v="T311 EHH"/>
    <x v="0"/>
    <x v="0"/>
    <x v="1"/>
    <s v="MT"/>
    <x v="12"/>
    <s v="20/04/2026 06:42:47 PM"/>
    <s v="20/04/2026 06:48:00 PM"/>
    <s v="38080"/>
    <s v="16040"/>
    <s v="22040"/>
    <n v="22.04"/>
    <s v="RFID"/>
  </r>
  <r>
    <s v="35026"/>
    <x v="0"/>
    <s v="T293 EHH"/>
    <x v="0"/>
    <x v="0"/>
    <x v="1"/>
    <s v="MT"/>
    <x v="12"/>
    <s v="20/04/2026 06:44:09 PM"/>
    <s v="20/04/2026 06:49:04 PM"/>
    <s v="36460"/>
    <s v="15620"/>
    <s v="20840"/>
    <n v="20.84"/>
    <s v="RFID"/>
  </r>
  <r>
    <s v="35027"/>
    <x v="0"/>
    <s v="T292 EHH"/>
    <x v="0"/>
    <x v="0"/>
    <x v="1"/>
    <s v="MT"/>
    <x v="12"/>
    <s v="20/04/2026 06:46:40 PM"/>
    <s v="20/04/2026 07:19:46 PM"/>
    <s v="38800"/>
    <s v="35540"/>
    <s v="3260"/>
    <n v="3.26"/>
    <s v="RFID"/>
  </r>
  <r>
    <s v="35028"/>
    <x v="0"/>
    <s v="T306 EHH"/>
    <x v="0"/>
    <x v="0"/>
    <x v="1"/>
    <s v="MT"/>
    <x v="12"/>
    <s v="20/04/2026 06:50:46 PM"/>
    <s v="20/04/2026 06:54:14 PM"/>
    <s v="38220"/>
    <s v="19200"/>
    <s v="19020"/>
    <n v="19.02"/>
    <s v="RFID"/>
  </r>
  <r>
    <s v="35029"/>
    <x v="0"/>
    <s v="T293 EHH"/>
    <x v="0"/>
    <x v="2"/>
    <x v="1"/>
    <s v="MT"/>
    <x v="12"/>
    <s v="20/04/2026 06:58:51 PM"/>
    <s v="20/04/2026 07:04:57 PM"/>
    <s v="42140"/>
    <s v="15580"/>
    <s v="26560"/>
    <n v="26.56"/>
    <s v="RFID"/>
  </r>
  <r>
    <s v="35030"/>
    <x v="0"/>
    <s v="T306 EHH"/>
    <x v="0"/>
    <x v="2"/>
    <x v="1"/>
    <s v="MT"/>
    <x v="12"/>
    <s v="20/04/2026 07:03:48 PM"/>
    <s v="20/04/2026 07:09:28 PM"/>
    <s v="44500"/>
    <s v="20260"/>
    <s v="24240"/>
    <n v="24.24"/>
    <s v="RFID"/>
  </r>
  <r>
    <s v="35031"/>
    <x v="0"/>
    <s v="T311 EHH"/>
    <x v="0"/>
    <x v="0"/>
    <x v="1"/>
    <s v="MT"/>
    <x v="12"/>
    <s v="20/04/2026 07:06:30 PM"/>
    <s v="20/04/2026 07:13:35 PM"/>
    <s v="36640"/>
    <s v="16060"/>
    <s v="20580"/>
    <n v="20.58"/>
    <s v="RFID"/>
  </r>
  <r>
    <s v="35032"/>
    <x v="0"/>
    <s v="T290 EHH"/>
    <x v="0"/>
    <x v="2"/>
    <x v="1"/>
    <s v="MT"/>
    <x v="12"/>
    <s v="20/04/2026 07:07:58 PM"/>
    <s v="20/04/2026 07:25:09 PM"/>
    <s v="38740"/>
    <s v="16800"/>
    <s v="21940"/>
    <n v="21.94"/>
    <s v="RFID"/>
  </r>
  <r>
    <s v="35033"/>
    <x v="0"/>
    <s v="T299 EHH"/>
    <x v="0"/>
    <x v="0"/>
    <x v="1"/>
    <s v="MT"/>
    <x v="12"/>
    <s v="20/04/2026 07:10:37 PM"/>
    <s v="20/04/2026 07:18:45 PM"/>
    <s v="36400"/>
    <s v="15780"/>
    <s v="20620"/>
    <n v="20.62"/>
    <s v="RFID"/>
  </r>
  <r>
    <s v="35034"/>
    <x v="0"/>
    <s v="T293 EHH"/>
    <x v="0"/>
    <x v="2"/>
    <x v="1"/>
    <s v="MT"/>
    <x v="12"/>
    <s v="20/04/2026 07:12:38 PM"/>
    <s v="20/04/2026 07:33:58 PM"/>
    <s v="36560"/>
    <s v="15620"/>
    <s v="20940"/>
    <n v="20.94"/>
    <s v="RFID"/>
  </r>
  <r>
    <s v="35035"/>
    <x v="0"/>
    <s v="T295 EHH"/>
    <x v="0"/>
    <x v="2"/>
    <x v="1"/>
    <s v="MT"/>
    <x v="12"/>
    <s v="20/04/2026 07:15:39 PM"/>
    <s v="20/04/2026 07:32:10 PM"/>
    <s v="36480"/>
    <s v="15600"/>
    <s v="20880"/>
    <n v="20.88"/>
    <s v="RFID"/>
  </r>
  <r>
    <s v="35036"/>
    <x v="0"/>
    <s v="T306 EHH"/>
    <x v="0"/>
    <x v="2"/>
    <x v="1"/>
    <s v="MT"/>
    <x v="12"/>
    <s v="20/04/2026 07:17:57 PM"/>
    <s v="20/04/2026 07:33:05 PM"/>
    <s v="41080"/>
    <s v="19240"/>
    <s v="21840"/>
    <n v="21.84"/>
    <s v="RFID"/>
  </r>
  <r>
    <s v="35037"/>
    <x v="0"/>
    <s v="T312 EHH"/>
    <x v="0"/>
    <x v="0"/>
    <x v="1"/>
    <s v="MT"/>
    <x v="12"/>
    <s v="20/04/2026 07:21:44 PM"/>
    <s v="20/04/2026 07:26:11 PM"/>
    <s v="35140"/>
    <s v="15580"/>
    <s v="19560"/>
    <n v="19.559999999999999"/>
    <s v="RFID"/>
  </r>
  <r>
    <s v="35038"/>
    <x v="0"/>
    <s v="T292 EHH"/>
    <x v="0"/>
    <x v="0"/>
    <x v="1"/>
    <s v="MT"/>
    <x v="12"/>
    <s v="20/04/2026 07:29:04 PM"/>
    <s v="20/04/2026 09:08:44 PM"/>
    <s v="17180"/>
    <s v="39640"/>
    <s v="22460"/>
    <n v="22.46"/>
    <s v="RFID"/>
  </r>
  <r>
    <s v="35039"/>
    <x v="0"/>
    <s v="T306 EHH"/>
    <x v="0"/>
    <x v="2"/>
    <x v="1"/>
    <s v="MT"/>
    <x v="12"/>
    <s v="20/04/2026 08:33:06 PM"/>
    <s v="20/04/2026 09:11:32 PM"/>
    <s v="37940"/>
    <s v="19240"/>
    <s v="18700"/>
    <n v="18.7"/>
    <s v="RFID"/>
  </r>
  <r>
    <s v="35040"/>
    <x v="0"/>
    <s v="T295 EHH"/>
    <x v="0"/>
    <x v="0"/>
    <x v="1"/>
    <s v="MT"/>
    <x v="12"/>
    <s v="20/04/2026 08:38:50 PM"/>
    <s v="20/04/2026 09:09:48 PM"/>
    <s v="35880"/>
    <s v="15840"/>
    <s v="20040"/>
    <n v="20.04"/>
    <s v="RFID"/>
  </r>
  <r>
    <s v="35041"/>
    <x v="0"/>
    <s v="T312 EHH"/>
    <x v="0"/>
    <x v="2"/>
    <x v="1"/>
    <s v="MT"/>
    <x v="12"/>
    <s v="20/04/2026 08:41:37 PM"/>
    <s v="20/04/2026 09:13:35 PM"/>
    <s v="34780"/>
    <s v="15460"/>
    <s v="19320"/>
    <n v="19.32"/>
    <s v="RFID"/>
  </r>
  <r>
    <s v="35042"/>
    <x v="0"/>
    <s v="T311 EHH"/>
    <x v="0"/>
    <x v="2"/>
    <x v="1"/>
    <s v="MT"/>
    <x v="12"/>
    <s v="20/04/2026 08:44:57 PM"/>
    <s v="20/04/2026 09:15:54 PM"/>
    <s v="36020"/>
    <s v="16000"/>
    <s v="20020"/>
    <n v="20.02"/>
    <s v="RFID"/>
  </r>
  <r>
    <s v="35043"/>
    <x v="0"/>
    <s v="T293 EHH"/>
    <x v="0"/>
    <x v="0"/>
    <x v="1"/>
    <s v="MT"/>
    <x v="12"/>
    <s v="20/04/2026 09:04:22 PM"/>
    <s v="20/04/2026 09:17:06 PM"/>
    <s v="41400"/>
    <s v="15740"/>
    <s v="25660"/>
    <n v="25.66"/>
    <s v="RFID"/>
  </r>
  <r>
    <s v="35044"/>
    <x v="0"/>
    <s v="T292 EHH"/>
    <x v="0"/>
    <x v="0"/>
    <x v="1"/>
    <s v="MT"/>
    <x v="12"/>
    <s v="20/04/2026 09:20:06 PM"/>
    <s v="20/04/2026 09:54:11 PM"/>
    <s v="16260"/>
    <s v="35620"/>
    <s v="19360"/>
    <n v="19.36"/>
    <s v="RFID"/>
  </r>
  <r>
    <s v="35045"/>
    <x v="0"/>
    <s v="T306 EHH"/>
    <x v="0"/>
    <x v="2"/>
    <x v="1"/>
    <s v="MT"/>
    <x v="12"/>
    <s v="20/04/2026 09:22:39 PM"/>
    <s v="20/04/2026 09:29:39 PM"/>
    <s v="41740"/>
    <s v="15880"/>
    <s v="25860"/>
    <n v="25.86"/>
    <s v="RFID"/>
  </r>
  <r>
    <s v="35046"/>
    <x v="0"/>
    <s v="T312 EHH"/>
    <x v="0"/>
    <x v="2"/>
    <x v="1"/>
    <s v="MT"/>
    <x v="12"/>
    <s v="20/04/2026 09:25:36 PM"/>
    <s v="20/04/2026 09:32:05 PM"/>
    <s v="39680"/>
    <s v="15480"/>
    <s v="24200"/>
    <n v="24.2"/>
    <s v="RFID"/>
  </r>
  <r>
    <s v="35047"/>
    <x v="0"/>
    <s v="T295 EHH"/>
    <x v="0"/>
    <x v="0"/>
    <x v="1"/>
    <s v="MT"/>
    <x v="12"/>
    <s v="20/04/2026 09:28:35 PM"/>
    <s v="20/04/2026 09:35:37 PM"/>
    <s v="35800"/>
    <s v="15840"/>
    <s v="19960"/>
    <n v="19.96"/>
    <s v="RFID"/>
  </r>
  <r>
    <s v="35048"/>
    <x v="0"/>
    <s v="T311 EHH"/>
    <x v="0"/>
    <x v="2"/>
    <x v="1"/>
    <s v="MT"/>
    <x v="12"/>
    <s v="20/04/2026 09:30:49 PM"/>
    <s v="20/04/2026 09:36:40 PM"/>
    <s v="43100"/>
    <s v="16040"/>
    <s v="27060"/>
    <n v="27.06"/>
    <s v="RFID"/>
  </r>
  <r>
    <s v="35049"/>
    <x v="0"/>
    <s v="T293 EHH"/>
    <x v="0"/>
    <x v="0"/>
    <x v="1"/>
    <s v="MT"/>
    <x v="12"/>
    <s v="20/04/2026 09:33:35 PM"/>
    <s v="20/04/2026 09:42:31 PM"/>
    <s v="37260"/>
    <s v="15720"/>
    <s v="21540"/>
    <n v="21.54"/>
    <s v="RFID"/>
  </r>
  <r>
    <s v="35050"/>
    <x v="0"/>
    <s v="T290 EHH"/>
    <x v="0"/>
    <x v="2"/>
    <x v="1"/>
    <s v="MT"/>
    <x v="12"/>
    <s v="20/04/2026 09:40:37 PM"/>
    <s v="20/04/2026 09:46:03 PM"/>
    <s v="37940"/>
    <s v="16340"/>
    <s v="21600"/>
    <n v="21.6"/>
    <s v="RFID"/>
  </r>
  <r>
    <s v="35051"/>
    <x v="0"/>
    <s v="T306 EHH"/>
    <x v="0"/>
    <x v="2"/>
    <x v="1"/>
    <s v="MT"/>
    <x v="12"/>
    <s v="20/04/2026 09:41:34 PM"/>
    <s v="20/04/2026 09:47:25 PM"/>
    <s v="42280"/>
    <s v="15980"/>
    <s v="26300"/>
    <n v="26.3"/>
    <s v="RFID"/>
  </r>
  <r>
    <s v="35052"/>
    <x v="0"/>
    <s v="T312 EHH"/>
    <x v="0"/>
    <x v="2"/>
    <x v="1"/>
    <s v="MT"/>
    <x v="12"/>
    <s v="20/04/2026 09:44:44 PM"/>
    <s v="20/04/2026 09:52:12 PM"/>
    <s v="38540"/>
    <s v="15460"/>
    <s v="23080"/>
    <n v="23.08"/>
    <s v="RFID"/>
  </r>
  <r>
    <s v="35053"/>
    <x v="0"/>
    <s v="T311 EHH"/>
    <x v="0"/>
    <x v="2"/>
    <x v="1"/>
    <s v="MT"/>
    <x v="12"/>
    <s v="20/04/2026 09:48:26 PM"/>
    <s v="20/04/2026 09:56:36 PM"/>
    <s v="42400"/>
    <s v="16020"/>
    <s v="26380"/>
    <n v="26.38"/>
    <s v="RFID"/>
  </r>
  <r>
    <s v="35054"/>
    <x v="0"/>
    <s v="T295 EHH"/>
    <x v="0"/>
    <x v="0"/>
    <x v="1"/>
    <s v="MT"/>
    <x v="12"/>
    <s v="20/04/2026 09:53:11 PM"/>
    <s v="20/04/2026 10:00:11 PM"/>
    <s v="34960"/>
    <s v="15900"/>
    <s v="19060"/>
    <n v="19.059999999999999"/>
    <s v="RFID"/>
  </r>
  <r>
    <s v="35055"/>
    <x v="0"/>
    <s v="T290 EHH"/>
    <x v="0"/>
    <x v="2"/>
    <x v="1"/>
    <s v="MT"/>
    <x v="12"/>
    <s v="20/04/2026 09:55:17 PM"/>
    <s v="20/04/2026 10:02:15 PM"/>
    <s v="39540"/>
    <s v="22000"/>
    <s v="17540"/>
    <n v="17.54"/>
    <s v="RFID"/>
  </r>
  <r>
    <s v="35056"/>
    <x v="0"/>
    <s v="T293 EHH"/>
    <x v="0"/>
    <x v="0"/>
    <x v="1"/>
    <s v="MT"/>
    <x v="12"/>
    <s v="20/04/2026 09:57:27 PM"/>
    <s v="20/04/2026 10:06:12 PM"/>
    <s v="36760"/>
    <s v="15700"/>
    <s v="21060"/>
    <n v="21.06"/>
    <s v="RFID"/>
  </r>
  <r>
    <s v="35057"/>
    <x v="0"/>
    <s v="T306 EHH"/>
    <x v="0"/>
    <x v="2"/>
    <x v="1"/>
    <s v="MT"/>
    <x v="12"/>
    <s v="20/04/2026 09:58:50 PM"/>
    <s v="20/04/2026 10:29:20 PM"/>
    <s v="45120"/>
    <s v="16100"/>
    <s v="29020"/>
    <n v="29.02"/>
    <s v="RFID"/>
  </r>
  <r>
    <s v="35058"/>
    <x v="0"/>
    <s v="T292 EHH"/>
    <x v="0"/>
    <x v="0"/>
    <x v="1"/>
    <s v="MT"/>
    <x v="12"/>
    <s v="20/04/2026 10:01:04 PM"/>
    <s v="20/04/2026 10:18:13 PM"/>
    <s v="16000"/>
    <s v="36540"/>
    <s v="20540"/>
    <n v="20.54"/>
    <s v="RFID"/>
  </r>
  <r>
    <s v="35059"/>
    <x v="0"/>
    <s v="T312 EHH"/>
    <x v="0"/>
    <x v="2"/>
    <x v="1"/>
    <s v="MT"/>
    <x v="12"/>
    <s v="20/04/2026 10:03:25 PM"/>
    <s v="20/04/2026 10:31:36 PM"/>
    <s v="44820"/>
    <s v="15560"/>
    <s v="29260"/>
    <n v="29.26"/>
    <s v="RFID"/>
  </r>
  <r>
    <s v="35060"/>
    <x v="0"/>
    <s v="T311 EHH"/>
    <x v="0"/>
    <x v="2"/>
    <x v="1"/>
    <s v="MT"/>
    <x v="12"/>
    <s v="20/04/2026 10:07:38 PM"/>
    <s v="20/04/2026 10:36:16 PM"/>
    <s v="44920"/>
    <s v="16200"/>
    <s v="28720"/>
    <n v="28.72"/>
    <s v="RFID"/>
  </r>
  <r>
    <s v="35061"/>
    <x v="0"/>
    <s v="T290 EHH"/>
    <x v="0"/>
    <x v="2"/>
    <x v="1"/>
    <s v="MT"/>
    <x v="12"/>
    <s v="20/04/2026 10:10:39 PM"/>
    <s v="20/04/2026 10:45:27 PM"/>
    <s v="45020"/>
    <s v="18060"/>
    <s v="26960"/>
    <n v="26.96"/>
    <s v="RFID"/>
  </r>
  <r>
    <s v="35062"/>
    <x v="0"/>
    <s v="T295 EHH"/>
    <x v="0"/>
    <x v="0"/>
    <x v="1"/>
    <s v="MT"/>
    <x v="12"/>
    <s v="20/04/2026 10:13:54 PM"/>
    <s v="20/04/2026 10:20:57 PM"/>
    <s v="36220"/>
    <s v="15860"/>
    <s v="20360"/>
    <n v="20.36"/>
    <s v="RFID"/>
  </r>
  <r>
    <s v="35063"/>
    <x v="0"/>
    <s v="T293 EHH"/>
    <x v="0"/>
    <x v="0"/>
    <x v="1"/>
    <s v="MT"/>
    <x v="12"/>
    <s v="20/04/2026 10:22:29 PM"/>
    <s v="20/04/2026 10:28:16 PM"/>
    <s v="37080"/>
    <s v="15660"/>
    <s v="21420"/>
    <n v="21.42"/>
    <s v="RFID"/>
  </r>
  <r>
    <s v="35064"/>
    <x v="0"/>
    <s v="T292 EHH"/>
    <x v="0"/>
    <x v="0"/>
    <x v="1"/>
    <s v="MT"/>
    <x v="12"/>
    <s v="20/04/2026 10:24:56 PM"/>
    <s v="20/04/2026 11:02:31 PM"/>
    <s v="15900"/>
    <s v="16120"/>
    <s v="220"/>
    <n v="0.22"/>
    <s v="RFID"/>
  </r>
  <r>
    <s v="35065"/>
    <x v="0"/>
    <s v="T295 EHH"/>
    <x v="0"/>
    <x v="0"/>
    <x v="1"/>
    <s v="MT"/>
    <x v="12"/>
    <s v="20/04/2026 10:34:37 PM"/>
    <s v="20/04/2026 10:51:58 PM"/>
    <s v="37060"/>
    <s v="15880"/>
    <s v="21180"/>
    <n v="21.18"/>
    <s v="RFID"/>
  </r>
  <r>
    <s v="35066"/>
    <x v="0"/>
    <s v="T306 EHH"/>
    <x v="0"/>
    <x v="2"/>
    <x v="1"/>
    <s v="MT"/>
    <x v="12"/>
    <s v="20/04/2026 10:39:04 PM"/>
    <s v="20/04/2026 10:51:06 PM"/>
    <s v="41680"/>
    <s v="16240"/>
    <s v="25440"/>
    <n v="25.44"/>
    <s v="RFID"/>
  </r>
  <r>
    <s v="35067"/>
    <x v="0"/>
    <s v="T312 EHH"/>
    <x v="0"/>
    <x v="2"/>
    <x v="1"/>
    <s v="MT"/>
    <x v="12"/>
    <s v="20/04/2026 10:49:12 PM"/>
    <s v="20/04/2026 10:56:02 PM"/>
    <s v="42780"/>
    <s v="15660"/>
    <s v="27120"/>
    <n v="27.12"/>
    <s v="RFID"/>
  </r>
  <r>
    <s v="35068"/>
    <x v="0"/>
    <s v="T293 EHH"/>
    <x v="0"/>
    <x v="0"/>
    <x v="1"/>
    <s v="MT"/>
    <x v="12"/>
    <s v="20/04/2026 10:50:09 PM"/>
    <s v="20/04/2026 10:55:03 PM"/>
    <s v="36000"/>
    <s v="15720"/>
    <s v="20280"/>
    <n v="20.28"/>
    <s v="RFID"/>
  </r>
  <r>
    <s v="35069"/>
    <x v="0"/>
    <s v="T311 EHH"/>
    <x v="0"/>
    <x v="2"/>
    <x v="1"/>
    <s v="MT"/>
    <x v="12"/>
    <s v="20/04/2026 10:53:36 PM"/>
    <s v="20/04/2026 11:05:32 PM"/>
    <s v="38560"/>
    <s v="16080"/>
    <s v="22480"/>
    <n v="22.48"/>
    <s v="RFID"/>
  </r>
  <r>
    <s v="35070"/>
    <x v="0"/>
    <s v="T290 EHH"/>
    <x v="0"/>
    <x v="2"/>
    <x v="1"/>
    <s v="MT"/>
    <x v="12"/>
    <s v="20/04/2026 11:01:36 PM"/>
    <s v="20/04/2026 11:06:58 PM"/>
    <s v="37360"/>
    <s v="19040"/>
    <s v="18320"/>
    <n v="18.32"/>
    <s v="RFID"/>
  </r>
  <r>
    <s v="35071"/>
    <x v="0"/>
    <s v="T306 EHH"/>
    <x v="0"/>
    <x v="2"/>
    <x v="1"/>
    <s v="MT"/>
    <x v="12"/>
    <s v="20/04/2026 11:03:31 PM"/>
    <s v="20/04/2026 11:29:52 PM"/>
    <s v="42400"/>
    <s v="16440"/>
    <s v="25960"/>
    <n v="25.96"/>
    <s v="RFID"/>
  </r>
  <r>
    <s v="35072"/>
    <x v="0"/>
    <s v="T295 EHH"/>
    <x v="0"/>
    <x v="0"/>
    <x v="1"/>
    <s v="MT"/>
    <x v="12"/>
    <s v="20/04/2026 11:07:49 PM"/>
    <s v="20/04/2026 11:19:52 PM"/>
    <s v="36580"/>
    <s v="15880"/>
    <s v="20700"/>
    <n v="20.7"/>
    <s v="RFID"/>
  </r>
  <r>
    <s v="35073"/>
    <x v="0"/>
    <s v="T293 EHH"/>
    <x v="0"/>
    <x v="0"/>
    <x v="1"/>
    <s v="MT"/>
    <x v="12"/>
    <s v="20/04/2026 11:17:51 PM"/>
    <s v="20/04/2026 11:27:01 PM"/>
    <s v="35800"/>
    <s v="15720"/>
    <s v="20080"/>
    <n v="20.079999999999998"/>
    <s v="RFID"/>
  </r>
  <r>
    <s v="35074"/>
    <x v="0"/>
    <s v="T292 EHH"/>
    <x v="0"/>
    <x v="0"/>
    <x v="1"/>
    <s v="MT"/>
    <x v="12"/>
    <s v="20/04/2026 11:21:49 PM"/>
    <s v="20/04/2026 11:28:30 PM"/>
    <s v="36740"/>
    <s v="16360"/>
    <s v="20380"/>
    <n v="20.38"/>
    <s v="RFID"/>
  </r>
  <r>
    <s v="35075"/>
    <x v="0"/>
    <s v="T312 EHH"/>
    <x v="0"/>
    <x v="2"/>
    <x v="1"/>
    <s v="MT"/>
    <x v="12"/>
    <s v="20/04/2026 11:24:02 PM"/>
    <s v="20/04/2026 11:32:27 PM"/>
    <s v="43820"/>
    <s v="15640"/>
    <s v="28180"/>
    <n v="28.18"/>
    <s v="RFID"/>
  </r>
  <r>
    <s v="35076"/>
    <x v="0"/>
    <s v="T304 EHH"/>
    <x v="0"/>
    <x v="2"/>
    <x v="1"/>
    <s v="MT"/>
    <x v="12"/>
    <s v="20/04/2026 11:25:09 PM"/>
    <s v="20/04/2026 11:35:18 PM"/>
    <s v="43020"/>
    <s v="16320"/>
    <s v="26700"/>
    <n v="26.7"/>
    <s v="RFID"/>
  </r>
  <r>
    <s v="35077"/>
    <x v="0"/>
    <s v="T290 EHH"/>
    <x v="0"/>
    <x v="2"/>
    <x v="1"/>
    <s v="MT"/>
    <x v="12"/>
    <s v="20/04/2026 11:26:05 PM"/>
    <s v="20/04/2026 11:38:05 PM"/>
    <s v="45660"/>
    <s v="16720"/>
    <s v="28940"/>
    <n v="28.94"/>
    <s v="RFID"/>
  </r>
  <r>
    <s v="35078"/>
    <x v="0"/>
    <s v="T311 EHH"/>
    <x v="0"/>
    <x v="2"/>
    <x v="1"/>
    <s v="MT"/>
    <x v="12"/>
    <s v="20/04/2026 11:31:10 PM"/>
    <s v="20/04/2026 11:48:30 PM"/>
    <s v="41640"/>
    <s v="16100"/>
    <s v="25540"/>
    <n v="25.54"/>
    <s v="RFID"/>
  </r>
  <r>
    <s v="35079"/>
    <x v="0"/>
    <s v="T295 EHH"/>
    <x v="0"/>
    <x v="0"/>
    <x v="1"/>
    <s v="MT"/>
    <x v="12"/>
    <s v="20/04/2026 11:33:34 PM"/>
    <s v="20/04/2026 11:45:59 PM"/>
    <s v="36560"/>
    <s v="15860"/>
    <s v="20700"/>
    <n v="20.7"/>
    <s v="RFID"/>
  </r>
  <r>
    <s v="35080"/>
    <x v="0"/>
    <s v="T293 EHH"/>
    <x v="0"/>
    <x v="0"/>
    <x v="1"/>
    <s v="MT"/>
    <x v="12"/>
    <s v="20/04/2026 11:43:43 PM"/>
    <s v="20/04/2026 11:53:03 PM"/>
    <s v="36660"/>
    <s v="15620"/>
    <s v="21040"/>
    <n v="21.04"/>
    <s v="RFID"/>
  </r>
  <r>
    <s v="35081"/>
    <x v="0"/>
    <s v="T292 EHH"/>
    <x v="0"/>
    <x v="0"/>
    <x v="1"/>
    <s v="MT"/>
    <x v="12"/>
    <s v="20/04/2026 11:47:02 PM"/>
    <s v="20/04/2026 11:54:16 PM"/>
    <s v="35680"/>
    <s v="16600"/>
    <s v="19080"/>
    <n v="19.079999999999998"/>
    <s v="RFID"/>
  </r>
  <r>
    <s v="35082"/>
    <x v="0"/>
    <s v="T312 EHH"/>
    <x v="0"/>
    <x v="2"/>
    <x v="1"/>
    <s v="MT"/>
    <x v="12"/>
    <s v="20/04/2026 11:50:00 PM"/>
    <s v="20/04/2026 11:58:04 PM"/>
    <s v="47180"/>
    <s v="15560"/>
    <s v="31620"/>
    <n v="31.62"/>
    <s v="RFID"/>
  </r>
  <r>
    <s v="35083"/>
    <x v="0"/>
    <s v="T304 EHH"/>
    <x v="0"/>
    <x v="2"/>
    <x v="1"/>
    <s v="MT"/>
    <x v="12"/>
    <s v="20/04/2026 11:51:08 PM"/>
    <s v="21/04/2026 12:02:43 AM"/>
    <s v="43540"/>
    <s v="16340"/>
    <s v="27200"/>
    <n v="27.2"/>
    <s v="RFID"/>
  </r>
  <r>
    <s v="35084"/>
    <x v="0"/>
    <s v="T290 EHH"/>
    <x v="0"/>
    <x v="2"/>
    <x v="1"/>
    <s v="MT"/>
    <x v="12"/>
    <s v="20/04/2026 11:52:01 PM"/>
    <s v="21/04/2026 12:03:34 AM"/>
    <s v="42380"/>
    <s v="18740"/>
    <s v="23640"/>
    <n v="23.64"/>
    <s v="RFID"/>
  </r>
  <r>
    <s v="MN20042601"/>
    <x v="0"/>
    <s v="T290 EHH"/>
    <x v="0"/>
    <x v="2"/>
    <x v="1"/>
    <s v="MT"/>
    <x v="12"/>
    <s v="20/04/2026 11:52:01 PM"/>
    <s v="20/04/2026 11:52:01 PM"/>
    <s v="38740"/>
    <s v="18740"/>
    <s v="20000"/>
    <n v="20"/>
    <s v=""/>
  </r>
  <r>
    <s v="MN20042602"/>
    <x v="0"/>
    <s v="T306 EHH"/>
    <x v="0"/>
    <x v="2"/>
    <x v="1"/>
    <s v="MT"/>
    <x v="12"/>
    <s v="20/04/2026 11:52:01 PM"/>
    <s v="20/04/2026 11:52:01 PM"/>
    <s v="38740"/>
    <s v="18740"/>
    <s v="20000"/>
    <n v="20"/>
    <s v=""/>
  </r>
  <r>
    <s v="MN20042603"/>
    <x v="0"/>
    <s v="T295 EHH"/>
    <x v="0"/>
    <x v="2"/>
    <x v="1"/>
    <s v="MT"/>
    <x v="12"/>
    <s v="20/04/2026 11:52:01 PM"/>
    <s v="20/04/2026 11:52:01 PM"/>
    <s v="38740"/>
    <s v="18740"/>
    <s v="20000"/>
    <n v="20"/>
    <s v=""/>
  </r>
  <r>
    <s v="MN20042604"/>
    <x v="0"/>
    <s v="T293 EHH"/>
    <x v="0"/>
    <x v="2"/>
    <x v="1"/>
    <s v="MT"/>
    <x v="12"/>
    <s v="20/04/2026 11:52:01 PM"/>
    <s v="20/04/2026 11:52:01 PM"/>
    <s v="38740"/>
    <s v="18740"/>
    <s v="20000"/>
    <n v="20"/>
    <s v=""/>
  </r>
  <r>
    <s v="MN20042605"/>
    <x v="0"/>
    <s v="T292 EHH"/>
    <x v="0"/>
    <x v="2"/>
    <x v="1"/>
    <s v="MT"/>
    <x v="12"/>
    <s v="20/04/2026 11:52:01 PM"/>
    <s v="20/04/2026 11:52:01 PM"/>
    <s v="38740"/>
    <s v="18740"/>
    <s v="20000"/>
    <n v="20"/>
    <s v=""/>
  </r>
  <r>
    <s v="MN20042606"/>
    <x v="0"/>
    <s v="T312 EHH"/>
    <x v="0"/>
    <x v="2"/>
    <x v="1"/>
    <s v="MT"/>
    <x v="12"/>
    <s v="20/04/2026 11:52:01 PM"/>
    <s v="20/04/2026 11:52:01 PM"/>
    <s v="38740"/>
    <s v="18740"/>
    <s v="20000"/>
    <n v="20"/>
    <s v=""/>
  </r>
  <r>
    <s v="MN20042607"/>
    <x v="0"/>
    <s v="T304 EHH"/>
    <x v="0"/>
    <x v="2"/>
    <x v="1"/>
    <s v="MT"/>
    <x v="12"/>
    <s v="20/04/2026 11:52:01 PM"/>
    <s v="20/04/2026 11:52:01 PM"/>
    <s v="38740"/>
    <s v="18740"/>
    <s v="20000"/>
    <n v="20"/>
    <s v=""/>
  </r>
  <r>
    <s v="MN20042608"/>
    <x v="0"/>
    <s v="T290 EHH"/>
    <x v="0"/>
    <x v="2"/>
    <x v="1"/>
    <s v="MT"/>
    <x v="12"/>
    <s v="20/04/2026 11:52:01 PM"/>
    <s v="20/04/2026 11:52:01 PM"/>
    <s v="38740"/>
    <s v="18740"/>
    <s v="20000"/>
    <n v="20"/>
    <s v=""/>
  </r>
  <r>
    <s v="MN20042609"/>
    <x v="0"/>
    <s v="T311 EHH"/>
    <x v="0"/>
    <x v="2"/>
    <x v="1"/>
    <s v="MT"/>
    <x v="12"/>
    <s v="20/04/2026 11:52:01 PM"/>
    <s v="20/04/2026 11:52:01 PM"/>
    <s v="38740"/>
    <s v="18740"/>
    <s v="20000"/>
    <n v="20"/>
    <s v=""/>
  </r>
  <r>
    <s v="MN20042610"/>
    <x v="0"/>
    <s v="T295 EHH"/>
    <x v="0"/>
    <x v="2"/>
    <x v="1"/>
    <s v="MT"/>
    <x v="12"/>
    <s v="20/04/2026 11:52:01 PM"/>
    <s v="20/04/2026 11:52:01 PM"/>
    <s v="38740"/>
    <s v="18740"/>
    <s v="20000"/>
    <n v="20"/>
    <s v=""/>
  </r>
  <r>
    <s v="MN20042611"/>
    <x v="0"/>
    <s v="T293 EHH"/>
    <x v="0"/>
    <x v="2"/>
    <x v="1"/>
    <s v="MT"/>
    <x v="12"/>
    <s v="20/04/2026 11:52:01 PM"/>
    <s v="20/04/2026 11:52:01 PM"/>
    <s v="38740"/>
    <s v="18740"/>
    <s v="20000"/>
    <n v="20"/>
    <s v=""/>
  </r>
  <r>
    <s v="MN20042612"/>
    <x v="0"/>
    <s v="T292 EHH"/>
    <x v="0"/>
    <x v="2"/>
    <x v="1"/>
    <s v="MT"/>
    <x v="12"/>
    <s v="20/04/2026 11:52:01 PM"/>
    <s v="20/04/2026 11:52:01 PM"/>
    <s v="38740"/>
    <s v="18740"/>
    <s v="20000"/>
    <n v="20"/>
    <s v=""/>
  </r>
  <r>
    <s v="MN20042613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14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15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16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17"/>
    <x v="0"/>
    <s v="T306 EHH"/>
    <x v="0"/>
    <x v="0"/>
    <x v="1"/>
    <s v="MT"/>
    <x v="12"/>
    <s v="20/04/2026 11:52:01 PM"/>
    <s v="20/04/2026 11:52:01 PM"/>
    <s v="38740"/>
    <s v="18740"/>
    <s v="20000"/>
    <n v="20"/>
    <s v=""/>
  </r>
  <r>
    <s v="MN20042618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19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20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21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22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23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24"/>
    <x v="0"/>
    <s v="T311 EHH"/>
    <x v="0"/>
    <x v="0"/>
    <x v="1"/>
    <s v="MT"/>
    <x v="12"/>
    <s v="20/04/2026 11:52:01 PM"/>
    <s v="20/04/2026 11:52:01 PM"/>
    <s v="38740"/>
    <s v="18740"/>
    <s v="20000"/>
    <n v="20"/>
    <s v=""/>
  </r>
  <r>
    <s v="MN20042625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26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27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28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29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30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31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32"/>
    <x v="0"/>
    <s v="T306 EHH"/>
    <x v="0"/>
    <x v="0"/>
    <x v="1"/>
    <s v="MT"/>
    <x v="12"/>
    <s v="20/04/2026 11:52:01 PM"/>
    <s v="20/04/2026 11:52:01 PM"/>
    <s v="38740"/>
    <s v="18740"/>
    <s v="20000"/>
    <n v="20"/>
    <s v=""/>
  </r>
  <r>
    <s v="MN20042633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34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35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36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37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38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39"/>
    <x v="0"/>
    <s v="T311 EHH"/>
    <x v="0"/>
    <x v="0"/>
    <x v="1"/>
    <s v="MT"/>
    <x v="12"/>
    <s v="20/04/2026 11:52:01 PM"/>
    <s v="20/04/2026 11:52:01 PM"/>
    <s v="38740"/>
    <s v="18740"/>
    <s v="20000"/>
    <n v="20"/>
    <s v=""/>
  </r>
  <r>
    <s v="MN20042640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41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42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43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44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45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46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47"/>
    <x v="0"/>
    <s v="T306 EHH"/>
    <x v="0"/>
    <x v="0"/>
    <x v="1"/>
    <s v="MT"/>
    <x v="12"/>
    <s v="20/04/2026 11:52:01 PM"/>
    <s v="20/04/2026 11:52:01 PM"/>
    <s v="38740"/>
    <s v="18740"/>
    <s v="20000"/>
    <n v="20"/>
    <s v=""/>
  </r>
  <r>
    <s v="MN20042648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49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50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51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52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53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54"/>
    <x v="0"/>
    <s v="T311 EHH"/>
    <x v="0"/>
    <x v="0"/>
    <x v="1"/>
    <s v="MT"/>
    <x v="12"/>
    <s v="20/04/2026 11:52:01 PM"/>
    <s v="20/04/2026 11:52:01 PM"/>
    <s v="38740"/>
    <s v="18740"/>
    <s v="20000"/>
    <n v="20"/>
    <s v=""/>
  </r>
  <r>
    <s v="MN20042655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56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57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58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59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60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61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62"/>
    <x v="0"/>
    <s v="T306 EHH"/>
    <x v="0"/>
    <x v="0"/>
    <x v="1"/>
    <s v="MT"/>
    <x v="12"/>
    <s v="20/04/2026 11:52:01 PM"/>
    <s v="20/04/2026 11:52:01 PM"/>
    <s v="38740"/>
    <s v="18740"/>
    <s v="20000"/>
    <n v="20"/>
    <s v=""/>
  </r>
  <r>
    <s v="MN20042663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64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65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66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67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68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69"/>
    <x v="0"/>
    <s v="T311 EHH"/>
    <x v="0"/>
    <x v="0"/>
    <x v="1"/>
    <s v="MT"/>
    <x v="12"/>
    <s v="20/04/2026 11:52:01 PM"/>
    <s v="20/04/2026 11:52:01 PM"/>
    <s v="38740"/>
    <s v="18740"/>
    <s v="20000"/>
    <n v="20"/>
    <s v=""/>
  </r>
  <r>
    <s v="MN20042670"/>
    <x v="0"/>
    <s v="T295 EHH"/>
    <x v="0"/>
    <x v="0"/>
    <x v="1"/>
    <s v="MT"/>
    <x v="12"/>
    <s v="20/04/2026 11:52:01 PM"/>
    <s v="20/04/2026 11:52:01 PM"/>
    <s v="38740"/>
    <s v="18740"/>
    <s v="20000"/>
    <n v="20"/>
    <s v=""/>
  </r>
  <r>
    <s v="MN20042671"/>
    <x v="0"/>
    <s v="T293 EHH"/>
    <x v="0"/>
    <x v="0"/>
    <x v="1"/>
    <s v="MT"/>
    <x v="12"/>
    <s v="20/04/2026 11:52:01 PM"/>
    <s v="20/04/2026 11:52:01 PM"/>
    <s v="38740"/>
    <s v="18740"/>
    <s v="20000"/>
    <n v="20"/>
    <s v=""/>
  </r>
  <r>
    <s v="MN20042672"/>
    <x v="0"/>
    <s v="T292 EHH"/>
    <x v="0"/>
    <x v="0"/>
    <x v="1"/>
    <s v="MT"/>
    <x v="12"/>
    <s v="20/04/2026 11:52:01 PM"/>
    <s v="20/04/2026 11:52:01 PM"/>
    <s v="38740"/>
    <s v="18740"/>
    <s v="20000"/>
    <n v="20"/>
    <s v=""/>
  </r>
  <r>
    <s v="MN20042673"/>
    <x v="0"/>
    <s v="T312 EHH"/>
    <x v="0"/>
    <x v="0"/>
    <x v="1"/>
    <s v="MT"/>
    <x v="12"/>
    <s v="20/04/2026 11:52:01 PM"/>
    <s v="20/04/2026 11:52:01 PM"/>
    <s v="38740"/>
    <s v="18740"/>
    <s v="20000"/>
    <n v="20"/>
    <s v=""/>
  </r>
  <r>
    <s v="MN20042674"/>
    <x v="0"/>
    <s v="T304 EHH"/>
    <x v="0"/>
    <x v="0"/>
    <x v="1"/>
    <s v="MT"/>
    <x v="12"/>
    <s v="20/04/2026 11:52:01 PM"/>
    <s v="20/04/2026 11:52:01 PM"/>
    <s v="38740"/>
    <s v="18740"/>
    <s v="20000"/>
    <n v="20"/>
    <s v=""/>
  </r>
  <r>
    <s v="MN20042675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76"/>
    <x v="0"/>
    <s v="T290 EHH"/>
    <x v="0"/>
    <x v="0"/>
    <x v="1"/>
    <s v="MT"/>
    <x v="12"/>
    <s v="20/04/2026 11:52:01 PM"/>
    <s v="20/04/2026 11:52:01 PM"/>
    <s v="38740"/>
    <s v="18740"/>
    <s v="20000"/>
    <n v="20"/>
    <s v=""/>
  </r>
  <r>
    <s v="MN20042677"/>
    <x v="0"/>
    <s v="T306 EHH"/>
    <x v="0"/>
    <x v="0"/>
    <x v="1"/>
    <s v="MT"/>
    <x v="12"/>
    <s v="20/04/2026 11:52:01 PM"/>
    <s v="20/04/2026 11:52:01 PM"/>
    <s v="38740"/>
    <s v="18740"/>
    <s v="20000"/>
    <n v="20"/>
    <s v=""/>
  </r>
  <r>
    <s v="MN20042678"/>
    <x v="0"/>
    <s v="T295 EHH"/>
    <x v="1"/>
    <x v="3"/>
    <x v="0"/>
    <s v="MT"/>
    <x v="12"/>
    <s v="20/04/2026 11:52:01 PM"/>
    <s v="20/04/2026 11:52:01 PM"/>
    <s v="38740"/>
    <s v="18740"/>
    <s v="20000"/>
    <n v="20"/>
    <s v=""/>
  </r>
  <r>
    <s v="MN20042679"/>
    <x v="0"/>
    <s v="T293 EHH"/>
    <x v="1"/>
    <x v="3"/>
    <x v="0"/>
    <s v="MT"/>
    <x v="12"/>
    <s v="20/04/2026 11:52:01 PM"/>
    <s v="20/04/2026 11:52:01 PM"/>
    <s v="38740"/>
    <s v="18740"/>
    <s v="20000"/>
    <n v="20"/>
    <s v=""/>
  </r>
  <r>
    <s v="MN20042680"/>
    <x v="0"/>
    <s v="T292 EHH"/>
    <x v="1"/>
    <x v="3"/>
    <x v="0"/>
    <s v="MT"/>
    <x v="12"/>
    <s v="20/04/2026 11:52:01 PM"/>
    <s v="20/04/2026 11:52:01 PM"/>
    <s v="38740"/>
    <s v="18740"/>
    <s v="20000"/>
    <n v="20"/>
    <s v=""/>
  </r>
  <r>
    <s v="MN20042681"/>
    <x v="0"/>
    <s v="T312 EHH"/>
    <x v="1"/>
    <x v="3"/>
    <x v="0"/>
    <s v="MT"/>
    <x v="12"/>
    <s v="20/04/2026 11:52:01 PM"/>
    <s v="20/04/2026 11:52:01 PM"/>
    <s v="38740"/>
    <s v="18740"/>
    <s v="20000"/>
    <n v="20"/>
    <s v=""/>
  </r>
  <r>
    <s v="MN20042682"/>
    <x v="0"/>
    <s v="T304 EHH"/>
    <x v="1"/>
    <x v="3"/>
    <x v="0"/>
    <s v="MT"/>
    <x v="12"/>
    <s v="20/04/2026 11:52:01 PM"/>
    <s v="20/04/2026 11:52:01 PM"/>
    <s v="38740"/>
    <s v="18740"/>
    <s v="20000"/>
    <n v="20"/>
    <s v=""/>
  </r>
  <r>
    <s v="MN20042683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84"/>
    <x v="0"/>
    <s v="T311 EHH"/>
    <x v="1"/>
    <x v="3"/>
    <x v="0"/>
    <s v="MT"/>
    <x v="12"/>
    <s v="20/04/2026 11:52:01 PM"/>
    <s v="20/04/2026 11:52:01 PM"/>
    <s v="38740"/>
    <s v="18740"/>
    <s v="20000"/>
    <n v="20"/>
    <s v=""/>
  </r>
  <r>
    <s v="MN20042685"/>
    <x v="0"/>
    <s v="T295 EHH"/>
    <x v="1"/>
    <x v="3"/>
    <x v="0"/>
    <s v="MT"/>
    <x v="12"/>
    <s v="20/04/2026 11:52:01 PM"/>
    <s v="20/04/2026 11:52:01 PM"/>
    <s v="38740"/>
    <s v="18740"/>
    <s v="20000"/>
    <n v="20"/>
    <s v=""/>
  </r>
  <r>
    <s v="MN20042686"/>
    <x v="0"/>
    <s v="T293 EHH"/>
    <x v="1"/>
    <x v="3"/>
    <x v="0"/>
    <s v="MT"/>
    <x v="12"/>
    <s v="20/04/2026 11:52:01 PM"/>
    <s v="20/04/2026 11:52:01 PM"/>
    <s v="38740"/>
    <s v="18740"/>
    <s v="20000"/>
    <n v="20"/>
    <s v=""/>
  </r>
  <r>
    <s v="MN20042687"/>
    <x v="0"/>
    <s v="T292 EHH"/>
    <x v="1"/>
    <x v="3"/>
    <x v="0"/>
    <s v="MT"/>
    <x v="12"/>
    <s v="20/04/2026 11:52:01 PM"/>
    <s v="20/04/2026 11:52:01 PM"/>
    <s v="38740"/>
    <s v="18740"/>
    <s v="20000"/>
    <n v="20"/>
    <s v=""/>
  </r>
  <r>
    <s v="MN20042688"/>
    <x v="0"/>
    <s v="T312 EHH"/>
    <x v="1"/>
    <x v="3"/>
    <x v="0"/>
    <s v="MT"/>
    <x v="12"/>
    <s v="20/04/2026 11:52:01 PM"/>
    <s v="20/04/2026 11:52:01 PM"/>
    <s v="38740"/>
    <s v="18740"/>
    <s v="20000"/>
    <n v="20"/>
    <s v=""/>
  </r>
  <r>
    <s v="MN20042689"/>
    <x v="0"/>
    <s v="T304 EHH"/>
    <x v="1"/>
    <x v="3"/>
    <x v="0"/>
    <s v="MT"/>
    <x v="12"/>
    <s v="20/04/2026 11:52:01 PM"/>
    <s v="20/04/2026 11:52:01 PM"/>
    <s v="38740"/>
    <s v="18740"/>
    <s v="20000"/>
    <n v="20"/>
    <s v=""/>
  </r>
  <r>
    <s v="MN20042690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91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92"/>
    <x v="0"/>
    <s v="T306 EHH"/>
    <x v="1"/>
    <x v="3"/>
    <x v="0"/>
    <s v="MT"/>
    <x v="12"/>
    <s v="20/04/2026 11:52:01 PM"/>
    <s v="20/04/2026 11:52:01 PM"/>
    <s v="38740"/>
    <s v="18740"/>
    <s v="20000"/>
    <n v="20"/>
    <s v=""/>
  </r>
  <r>
    <s v="MN20042693"/>
    <x v="0"/>
    <s v="T295 EHH"/>
    <x v="1"/>
    <x v="3"/>
    <x v="0"/>
    <s v="MT"/>
    <x v="12"/>
    <s v="20/04/2026 11:52:01 PM"/>
    <s v="20/04/2026 11:52:01 PM"/>
    <s v="38740"/>
    <s v="18740"/>
    <s v="20000"/>
    <n v="20"/>
    <s v=""/>
  </r>
  <r>
    <s v="MN20042694"/>
    <x v="0"/>
    <s v="T293 EHH"/>
    <x v="1"/>
    <x v="3"/>
    <x v="0"/>
    <s v="MT"/>
    <x v="12"/>
    <s v="20/04/2026 11:52:01 PM"/>
    <s v="20/04/2026 11:52:01 PM"/>
    <s v="38740"/>
    <s v="18740"/>
    <s v="20000"/>
    <n v="20"/>
    <s v=""/>
  </r>
  <r>
    <s v="MN20042695"/>
    <x v="0"/>
    <s v="T292 EHH"/>
    <x v="1"/>
    <x v="3"/>
    <x v="0"/>
    <s v="MT"/>
    <x v="12"/>
    <s v="20/04/2026 11:52:01 PM"/>
    <s v="20/04/2026 11:52:01 PM"/>
    <s v="38740"/>
    <s v="18740"/>
    <s v="20000"/>
    <n v="20"/>
    <s v=""/>
  </r>
  <r>
    <s v="MN20042696"/>
    <x v="0"/>
    <s v="T312 EHH"/>
    <x v="1"/>
    <x v="3"/>
    <x v="0"/>
    <s v="MT"/>
    <x v="12"/>
    <s v="20/04/2026 11:52:01 PM"/>
    <s v="20/04/2026 11:52:01 PM"/>
    <s v="38740"/>
    <s v="18740"/>
    <s v="20000"/>
    <n v="20"/>
    <s v=""/>
  </r>
  <r>
    <s v="MN20042697"/>
    <x v="0"/>
    <s v="T304 EHH"/>
    <x v="1"/>
    <x v="3"/>
    <x v="0"/>
    <s v="MT"/>
    <x v="12"/>
    <s v="20/04/2026 11:52:01 PM"/>
    <s v="20/04/2026 11:52:01 PM"/>
    <s v="38740"/>
    <s v="18740"/>
    <s v="20000"/>
    <n v="20"/>
    <s v=""/>
  </r>
  <r>
    <s v="MN20042698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99"/>
    <x v="0"/>
    <s v="T311 EHH"/>
    <x v="1"/>
    <x v="3"/>
    <x v="0"/>
    <s v="MT"/>
    <x v="12"/>
    <s v="20/04/2026 11:52:01 PM"/>
    <s v="20/04/2026 11:52:01 PM"/>
    <s v="38740"/>
    <s v="18740"/>
    <s v="20000"/>
    <n v="20"/>
    <s v=""/>
  </r>
  <r>
    <s v="MN200426100"/>
    <x v="0"/>
    <s v="T295 EHH"/>
    <x v="1"/>
    <x v="3"/>
    <x v="0"/>
    <s v="MT"/>
    <x v="12"/>
    <s v="20/04/2026 11:52:01 PM"/>
    <s v="20/04/2026 11:52:01 PM"/>
    <s v="38740"/>
    <s v="18740"/>
    <s v="20000"/>
    <n v="20"/>
    <s v=""/>
  </r>
  <r>
    <s v="MN200426101"/>
    <x v="0"/>
    <s v="T293 EHH"/>
    <x v="1"/>
    <x v="3"/>
    <x v="0"/>
    <s v="MT"/>
    <x v="12"/>
    <s v="20/04/2026 11:52:01 PM"/>
    <s v="20/04/2026 11:52:01 PM"/>
    <s v="38740"/>
    <s v="18740"/>
    <s v="20000"/>
    <n v="20"/>
    <s v=""/>
  </r>
  <r>
    <s v="MN200426102"/>
    <x v="0"/>
    <s v="T292 EHH"/>
    <x v="1"/>
    <x v="3"/>
    <x v="0"/>
    <s v="MT"/>
    <x v="12"/>
    <s v="20/04/2026 11:52:01 PM"/>
    <s v="20/04/2026 11:52:01 PM"/>
    <s v="38740"/>
    <s v="18740"/>
    <s v="20000"/>
    <n v="20"/>
    <s v=""/>
  </r>
  <r>
    <s v="MN200426103"/>
    <x v="0"/>
    <s v="T312 EHH"/>
    <x v="1"/>
    <x v="3"/>
    <x v="0"/>
    <s v="MT"/>
    <x v="12"/>
    <s v="20/04/2026 11:52:01 PM"/>
    <s v="20/04/2026 11:52:01 PM"/>
    <s v="38740"/>
    <s v="18740"/>
    <s v="20000"/>
    <n v="20"/>
    <s v=""/>
  </r>
  <r>
    <s v="MN200426104"/>
    <x v="0"/>
    <s v="T304 EHH"/>
    <x v="1"/>
    <x v="3"/>
    <x v="0"/>
    <s v="MT"/>
    <x v="12"/>
    <s v="20/04/2026 11:52:01 PM"/>
    <s v="20/04/2026 11:52:01 PM"/>
    <s v="38740"/>
    <s v="18740"/>
    <s v="20000"/>
    <n v="20"/>
    <s v=""/>
  </r>
  <r>
    <s v="MN200426105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106"/>
    <x v="0"/>
    <s v="T290 EHH"/>
    <x v="1"/>
    <x v="3"/>
    <x v="0"/>
    <s v="MT"/>
    <x v="12"/>
    <s v="20/04/2026 11:52:01 PM"/>
    <s v="20/04/2026 11:52:01 PM"/>
    <s v="38740"/>
    <s v="18740"/>
    <s v="20000"/>
    <n v="20"/>
    <s v=""/>
  </r>
  <r>
    <s v="MN200426107"/>
    <x v="0"/>
    <s v="T306 EHH"/>
    <x v="1"/>
    <x v="3"/>
    <x v="0"/>
    <s v="MT"/>
    <x v="12"/>
    <s v="20/04/2026 11:52:01 PM"/>
    <s v="20/04/2026 11:52:01 PM"/>
    <s v="38740"/>
    <s v="18740"/>
    <s v="20000"/>
    <n v="20"/>
    <s v=""/>
  </r>
  <r>
    <s v="MN200426108"/>
    <x v="0"/>
    <s v="T295 EHH"/>
    <x v="1"/>
    <x v="3"/>
    <x v="0"/>
    <s v="MT"/>
    <x v="12"/>
    <s v="20/04/2026 11:52:01 PM"/>
    <s v="20/04/2026 11:52:01 PM"/>
    <s v="38740"/>
    <s v="18740"/>
    <s v="20000"/>
    <n v="20"/>
    <s v=""/>
  </r>
  <r>
    <s v="MN200426109"/>
    <x v="0"/>
    <s v="T293 EHH"/>
    <x v="1"/>
    <x v="3"/>
    <x v="0"/>
    <s v="MT"/>
    <x v="12"/>
    <s v="20/04/2026 11:52:01 PM"/>
    <s v="20/04/2026 11:52:01 PM"/>
    <s v="38740"/>
    <s v="18740"/>
    <s v="20000"/>
    <n v="20"/>
    <s v=""/>
  </r>
  <r>
    <s v="35085"/>
    <x v="0"/>
    <s v="T311 EHH"/>
    <x v="0"/>
    <x v="2"/>
    <x v="1"/>
    <s v="MT"/>
    <x v="13"/>
    <s v="21/04/2026 12:01:33 AM"/>
    <s v="21/04/2026 12:09:10 AM"/>
    <s v="45300"/>
    <s v="16060"/>
    <s v="29240"/>
    <n v="29.24"/>
    <s v="RFID"/>
  </r>
  <r>
    <s v="35086"/>
    <x v="0"/>
    <s v="T312 EHH"/>
    <x v="0"/>
    <x v="2"/>
    <x v="1"/>
    <s v="MT"/>
    <x v="13"/>
    <s v="21/04/2026 12:10:22 AM"/>
    <s v="21/04/2026 12:18:28 AM"/>
    <s v="28820"/>
    <s v="15640"/>
    <s v="13180"/>
    <n v="13.18"/>
    <s v="RFID"/>
  </r>
  <r>
    <s v="35087"/>
    <x v="0"/>
    <s v="T306 EHH"/>
    <x v="0"/>
    <x v="2"/>
    <x v="1"/>
    <s v="MT"/>
    <x v="13"/>
    <s v="21/04/2026 12:13:42 AM"/>
    <s v="21/04/2026 12:41:48 AM"/>
    <s v="34120"/>
    <s v="16340"/>
    <s v="17780"/>
    <n v="17.78"/>
    <s v="RFID"/>
  </r>
  <r>
    <s v="35088"/>
    <x v="0"/>
    <s v="T304 EHH"/>
    <x v="0"/>
    <x v="2"/>
    <x v="1"/>
    <s v="MT"/>
    <x v="13"/>
    <s v="21/04/2026 12:35:42 AM"/>
    <s v="21/04/2026 12:42:53 AM"/>
    <s v="36380"/>
    <s v="16360"/>
    <s v="20020"/>
    <n v="20.02"/>
    <s v="RFID"/>
  </r>
  <r>
    <s v="35089"/>
    <x v="0"/>
    <s v="T290 EHH"/>
    <x v="0"/>
    <x v="2"/>
    <x v="1"/>
    <s v="MT"/>
    <x v="13"/>
    <s v="21/04/2026 12:37:43 AM"/>
    <s v="21/04/2026 12:49:58 AM"/>
    <s v="40180"/>
    <s v="16440"/>
    <s v="23740"/>
    <n v="23.74"/>
    <s v="RFID"/>
  </r>
  <r>
    <s v="35090"/>
    <x v="0"/>
    <s v="T311 EHH"/>
    <x v="0"/>
    <x v="2"/>
    <x v="1"/>
    <s v="MT"/>
    <x v="13"/>
    <s v="21/04/2026 12:39:46 AM"/>
    <s v="21/04/2026 12:52:40 AM"/>
    <s v="42520"/>
    <s v="16060"/>
    <s v="26460"/>
    <n v="26.46"/>
    <s v="RFID"/>
  </r>
  <r>
    <s v="35091"/>
    <x v="0"/>
    <s v="T312 EHH"/>
    <x v="0"/>
    <x v="2"/>
    <x v="1"/>
    <s v="MT"/>
    <x v="13"/>
    <s v="21/04/2026 12:40:41 AM"/>
    <s v="21/04/2026 12:53:38 AM"/>
    <s v="37980"/>
    <s v="15580"/>
    <s v="22400"/>
    <n v="22.4"/>
    <s v="RFID"/>
  </r>
  <r>
    <s v="35092"/>
    <x v="0"/>
    <s v="T306 EHH"/>
    <x v="0"/>
    <x v="2"/>
    <x v="1"/>
    <s v="MT"/>
    <x v="13"/>
    <s v="21/04/2026 12:51:25 AM"/>
    <s v="21/04/2026 01:04:08 AM"/>
    <s v="41140"/>
    <s v="16380"/>
    <s v="24760"/>
    <n v="24.76"/>
    <s v="RFID"/>
  </r>
  <r>
    <s v="35093"/>
    <x v="0"/>
    <s v="T304 EHH"/>
    <x v="0"/>
    <x v="2"/>
    <x v="1"/>
    <s v="MT"/>
    <x v="13"/>
    <s v="21/04/2026 12:58:43 AM"/>
    <s v="21/04/2026 01:06:55 AM"/>
    <s v="40900"/>
    <s v="16400"/>
    <s v="24500"/>
    <n v="24.5"/>
    <s v="RFID"/>
  </r>
  <r>
    <s v="35094"/>
    <x v="0"/>
    <s v="T290 EHH"/>
    <x v="0"/>
    <x v="2"/>
    <x v="1"/>
    <s v="MT"/>
    <x v="13"/>
    <s v="21/04/2026 01:02:03 AM"/>
    <s v="21/04/2026 01:22:44 AM"/>
    <s v="39380"/>
    <s v="16440"/>
    <s v="22940"/>
    <n v="22.94"/>
    <s v="RFID"/>
  </r>
  <r>
    <s v="35095"/>
    <x v="0"/>
    <s v="T311 EHH"/>
    <x v="0"/>
    <x v="2"/>
    <x v="1"/>
    <s v="MT"/>
    <x v="13"/>
    <s v="21/04/2026 01:03:11 AM"/>
    <s v="21/04/2026 01:23:32 AM"/>
    <s v="41280"/>
    <s v="16080"/>
    <s v="25200"/>
    <n v="25.2"/>
    <s v="RFID"/>
  </r>
  <r>
    <s v="35096"/>
    <x v="0"/>
    <s v="T292 EHH"/>
    <x v="0"/>
    <x v="0"/>
    <x v="1"/>
    <s v="MT"/>
    <x v="13"/>
    <s v="21/04/2026 01:04:58 AM"/>
    <s v="21/04/2026 02:49:30 AM"/>
    <s v="36660"/>
    <s v="16860"/>
    <s v="19800"/>
    <n v="19.8"/>
    <s v="RFID"/>
  </r>
  <r>
    <s v="35097"/>
    <x v="0"/>
    <s v="T293 EHH"/>
    <x v="0"/>
    <x v="0"/>
    <x v="1"/>
    <s v="MT"/>
    <x v="13"/>
    <s v="21/04/2026 01:06:00 AM"/>
    <s v="21/04/2026 01:18:11 AM"/>
    <s v="35960"/>
    <s v="15660"/>
    <s v="20300"/>
    <n v="20.3"/>
    <s v="RFID"/>
  </r>
  <r>
    <s v="35098"/>
    <x v="0"/>
    <s v="T295 EHH"/>
    <x v="0"/>
    <x v="0"/>
    <x v="1"/>
    <s v="MT"/>
    <x v="13"/>
    <s v="21/04/2026 01:15:44 AM"/>
    <s v="21/04/2026 01:24:21 AM"/>
    <s v="33500"/>
    <s v="16040"/>
    <s v="17460"/>
    <n v="17.46"/>
    <s v="RFID"/>
  </r>
  <r>
    <s v="35099"/>
    <x v="0"/>
    <s v="T312 EHH"/>
    <x v="0"/>
    <x v="2"/>
    <x v="1"/>
    <s v="MT"/>
    <x v="13"/>
    <s v="21/04/2026 01:19:51 AM"/>
    <s v="21/04/2026 01:27:13 AM"/>
    <s v="44740"/>
    <s v="15480"/>
    <s v="29260"/>
    <n v="29.26"/>
    <s v="RFID"/>
  </r>
  <r>
    <s v="35100"/>
    <x v="0"/>
    <s v="T306 EHH"/>
    <x v="0"/>
    <x v="2"/>
    <x v="1"/>
    <s v="MT"/>
    <x v="13"/>
    <s v="21/04/2026 01:21:26 AM"/>
    <s v="21/04/2026 01:28:40 AM"/>
    <s v="38060"/>
    <s v="16480"/>
    <s v="21580"/>
    <n v="21.58"/>
    <s v="RFID"/>
  </r>
  <r>
    <s v="35101"/>
    <x v="0"/>
    <s v="T304 EHH"/>
    <x v="0"/>
    <x v="2"/>
    <x v="1"/>
    <s v="MT"/>
    <x v="13"/>
    <s v="21/04/2026 01:25:53 AM"/>
    <s v="21/04/2026 01:32:25 AM"/>
    <s v="37320"/>
    <s v="16340"/>
    <s v="20980"/>
    <n v="20.98"/>
    <s v="RFID"/>
  </r>
  <r>
    <s v="35102"/>
    <x v="0"/>
    <s v="T293 EHH"/>
    <x v="0"/>
    <x v="0"/>
    <x v="1"/>
    <s v="MT"/>
    <x v="13"/>
    <s v="21/04/2026 01:31:18 AM"/>
    <s v="21/04/2026 01:36:51 AM"/>
    <s v="31860"/>
    <s v="15620"/>
    <s v="16240"/>
    <n v="16.239999999999998"/>
    <s v="RFID"/>
  </r>
  <r>
    <s v="35103"/>
    <x v="0"/>
    <s v="T290 EHH"/>
    <x v="0"/>
    <x v="2"/>
    <x v="1"/>
    <s v="MT"/>
    <x v="13"/>
    <s v="21/04/2026 01:33:41 AM"/>
    <s v="21/04/2026 01:39:14 AM"/>
    <s v="39840"/>
    <s v="16440"/>
    <s v="23400"/>
    <n v="23.4"/>
    <s v="RFID"/>
  </r>
  <r>
    <s v="35104"/>
    <x v="0"/>
    <s v="T295 EHH"/>
    <x v="0"/>
    <x v="0"/>
    <x v="1"/>
    <s v="MT"/>
    <x v="13"/>
    <s v="21/04/2026 01:40:05 AM"/>
    <s v="21/04/2026 01:47:20 AM"/>
    <s v="31960"/>
    <s v="16060"/>
    <s v="15900"/>
    <n v="15.9"/>
    <s v="RFID"/>
  </r>
  <r>
    <s v="35105"/>
    <x v="0"/>
    <s v="T311 EHH"/>
    <x v="0"/>
    <x v="2"/>
    <x v="1"/>
    <s v="MT"/>
    <x v="13"/>
    <s v="21/04/2026 01:42:11 AM"/>
    <s v="21/04/2026 01:46:32 AM"/>
    <s v="39500"/>
    <s v="16060"/>
    <s v="23440"/>
    <n v="23.44"/>
    <s v="RFID"/>
  </r>
  <r>
    <s v="35106"/>
    <x v="0"/>
    <s v="T312 EHH"/>
    <x v="0"/>
    <x v="2"/>
    <x v="1"/>
    <s v="MT"/>
    <x v="13"/>
    <s v="21/04/2026 01:43:23 AM"/>
    <s v="21/04/2026 01:50:19 AM"/>
    <s v="38740"/>
    <s v="15480"/>
    <s v="23260"/>
    <n v="23.26"/>
    <s v="RFID"/>
  </r>
  <r>
    <s v="35107"/>
    <x v="0"/>
    <s v="T293 EHH"/>
    <x v="0"/>
    <x v="0"/>
    <x v="1"/>
    <s v="MT"/>
    <x v="13"/>
    <s v="21/04/2026 01:54:14 AM"/>
    <s v="21/04/2026 02:02:37 AM"/>
    <s v="35000"/>
    <s v="15680"/>
    <s v="19320"/>
    <n v="19.32"/>
    <s v="RFID"/>
  </r>
  <r>
    <s v="35108"/>
    <x v="0"/>
    <s v="T306 EHH"/>
    <x v="0"/>
    <x v="2"/>
    <x v="1"/>
    <s v="MT"/>
    <x v="13"/>
    <s v="21/04/2026 01:56:06 AM"/>
    <s v="21/04/2026 02:03:28 AM"/>
    <s v="37520"/>
    <s v="16480"/>
    <s v="21040"/>
    <n v="21.04"/>
    <s v="RFID"/>
  </r>
  <r>
    <s v="35109"/>
    <x v="0"/>
    <s v="T304 EHH"/>
    <x v="0"/>
    <x v="2"/>
    <x v="1"/>
    <s v="MT"/>
    <x v="13"/>
    <s v="21/04/2026 01:57:35 AM"/>
    <s v="21/04/2026 02:04:38 AM"/>
    <s v="37820"/>
    <s v="16320"/>
    <s v="21500"/>
    <n v="21.5"/>
    <s v="RFID"/>
  </r>
  <r>
    <s v="35110"/>
    <x v="0"/>
    <s v="T295 EHH"/>
    <x v="0"/>
    <x v="0"/>
    <x v="1"/>
    <s v="MT"/>
    <x v="13"/>
    <s v="21/04/2026 02:01:38 AM"/>
    <s v="21/04/2026 02:08:15 AM"/>
    <s v="34380"/>
    <s v="16080"/>
    <s v="18300"/>
    <n v="18.3"/>
    <s v="RFID"/>
  </r>
  <r>
    <s v="35111"/>
    <x v="0"/>
    <s v="T311 EHH"/>
    <x v="0"/>
    <x v="2"/>
    <x v="1"/>
    <s v="MT"/>
    <x v="13"/>
    <s v="21/04/2026 02:05:44 AM"/>
    <s v="21/04/2026 02:13:18 AM"/>
    <s v="36840"/>
    <s v="16120"/>
    <s v="20720"/>
    <n v="20.72"/>
    <s v="RFID"/>
  </r>
  <r>
    <s v="35112"/>
    <x v="0"/>
    <s v="T290 EHH"/>
    <x v="0"/>
    <x v="2"/>
    <x v="1"/>
    <s v="MT"/>
    <x v="13"/>
    <s v="21/04/2026 02:11:35 AM"/>
    <s v="21/04/2026 02:30:45 AM"/>
    <s v="34100"/>
    <s v="16560"/>
    <s v="17540"/>
    <n v="17.54"/>
    <s v="RFID"/>
  </r>
  <r>
    <s v="35113"/>
    <x v="0"/>
    <s v="T293 EHH"/>
    <x v="0"/>
    <x v="0"/>
    <x v="1"/>
    <s v="MT"/>
    <x v="13"/>
    <s v="21/04/2026 02:22:41 AM"/>
    <s v="21/04/2026 02:33:46 AM"/>
    <s v="32060"/>
    <s v="15680"/>
    <s v="16380"/>
    <n v="16.38"/>
    <s v="RFID"/>
  </r>
  <r>
    <s v="35114"/>
    <x v="0"/>
    <s v="T312 EHH"/>
    <x v="0"/>
    <x v="2"/>
    <x v="1"/>
    <s v="MT"/>
    <x v="13"/>
    <s v="21/04/2026 02:24:50 AM"/>
    <s v="21/04/2026 02:37:35 AM"/>
    <s v="34640"/>
    <s v="15520"/>
    <s v="19120"/>
    <n v="19.12"/>
    <s v="RFID"/>
  </r>
  <r>
    <s v="35115"/>
    <x v="0"/>
    <s v="T306 EHH"/>
    <x v="0"/>
    <x v="0"/>
    <x v="1"/>
    <s v="MT"/>
    <x v="13"/>
    <s v="21/04/2026 02:26:38 AM"/>
    <s v="21/04/2026 02:36:41 AM"/>
    <s v="34220"/>
    <s v="16640"/>
    <s v="17580"/>
    <n v="17.579999999999998"/>
    <s v="RFID"/>
  </r>
  <r>
    <s v="35116"/>
    <x v="0"/>
    <s v="T311 EHH"/>
    <x v="0"/>
    <x v="0"/>
    <x v="1"/>
    <s v="MT"/>
    <x v="13"/>
    <s v="21/04/2026 02:29:34 AM"/>
    <s v="21/04/2026 02:42:41 AM"/>
    <s v="34600"/>
    <s v="16160"/>
    <s v="18440"/>
    <n v="18.440000000000001"/>
    <s v="RFID"/>
  </r>
  <r>
    <s v="35117"/>
    <x v="0"/>
    <s v="T304 EHH"/>
    <x v="0"/>
    <x v="0"/>
    <x v="1"/>
    <s v="MT"/>
    <x v="13"/>
    <s v="21/04/2026 02:53:00 AM"/>
    <s v="21/04/2026 02:57:58 AM"/>
    <s v="34580"/>
    <s v="16820"/>
    <s v="17760"/>
    <n v="17.760000000000002"/>
    <s v="RFID"/>
  </r>
  <r>
    <s v="35118"/>
    <x v="0"/>
    <s v="T293 EHH"/>
    <x v="0"/>
    <x v="0"/>
    <x v="1"/>
    <s v="MT"/>
    <x v="13"/>
    <s v="21/04/2026 02:54:34 AM"/>
    <s v="21/04/2026 03:00:43 AM"/>
    <s v="36000"/>
    <s v="15620"/>
    <s v="20380"/>
    <n v="20.38"/>
    <s v="RFID"/>
  </r>
  <r>
    <s v="35119"/>
    <x v="0"/>
    <s v="T306 EHH"/>
    <x v="0"/>
    <x v="0"/>
    <x v="1"/>
    <s v="MT"/>
    <x v="13"/>
    <s v="21/04/2026 02:56:24 AM"/>
    <s v="21/04/2026 03:01:35 AM"/>
    <s v="35080"/>
    <s v="16600"/>
    <s v="18480"/>
    <n v="18.48"/>
    <s v="RFID"/>
  </r>
  <r>
    <s v="35120"/>
    <x v="0"/>
    <s v="T290 EHH"/>
    <x v="0"/>
    <x v="0"/>
    <x v="1"/>
    <s v="MT"/>
    <x v="13"/>
    <s v="21/04/2026 02:59:37 AM"/>
    <s v="21/04/2026 03:04:27 AM"/>
    <s v="36200"/>
    <s v="16460"/>
    <s v="19740"/>
    <n v="19.739999999999998"/>
    <s v="RFID"/>
  </r>
  <r>
    <s v="35121"/>
    <x v="0"/>
    <s v="T292 EHH"/>
    <x v="0"/>
    <x v="0"/>
    <x v="1"/>
    <s v="MT"/>
    <x v="13"/>
    <s v="21/04/2026 03:05:17 AM"/>
    <s v="21/04/2026 03:11:30 AM"/>
    <s v="38280"/>
    <s v="16600"/>
    <s v="21680"/>
    <n v="21.68"/>
    <s v="RFID"/>
  </r>
  <r>
    <s v="35122"/>
    <x v="0"/>
    <s v="T311 EHH"/>
    <x v="0"/>
    <x v="0"/>
    <x v="1"/>
    <s v="MT"/>
    <x v="13"/>
    <s v="21/04/2026 03:06:18 AM"/>
    <s v="21/04/2026 03:15:02 AM"/>
    <s v="35760"/>
    <s v="16140"/>
    <s v="19620"/>
    <n v="19.62"/>
    <s v="RFID"/>
  </r>
  <r>
    <s v="35123"/>
    <x v="0"/>
    <s v="T295 EHH"/>
    <x v="0"/>
    <x v="0"/>
    <x v="1"/>
    <s v="MT"/>
    <x v="13"/>
    <s v="21/04/2026 03:07:44 AM"/>
    <s v="21/04/2026 03:24:27 AM"/>
    <s v="34840"/>
    <s v="16080"/>
    <s v="18760"/>
    <n v="18.760000000000002"/>
    <s v="RFID"/>
  </r>
  <r>
    <s v="35124"/>
    <x v="0"/>
    <s v="T293 EHH"/>
    <x v="0"/>
    <x v="0"/>
    <x v="1"/>
    <s v="MT"/>
    <x v="13"/>
    <s v="21/04/2026 03:20:07 AM"/>
    <s v="21/04/2026 03:30:46 AM"/>
    <s v="38460"/>
    <s v="15600"/>
    <s v="22860"/>
    <n v="22.86"/>
    <s v="RFID"/>
  </r>
  <r>
    <s v="35125"/>
    <x v="0"/>
    <s v="T304 EHH"/>
    <x v="0"/>
    <x v="0"/>
    <x v="1"/>
    <s v="MT"/>
    <x v="13"/>
    <s v="21/04/2026 03:27:42 AM"/>
    <s v="21/04/2026 03:33:05 AM"/>
    <s v="34820"/>
    <s v="16700"/>
    <s v="18120"/>
    <n v="18.12"/>
    <s v="RFID"/>
  </r>
  <r>
    <s v="35126"/>
    <x v="0"/>
    <s v="T292 EHH"/>
    <x v="0"/>
    <x v="0"/>
    <x v="1"/>
    <s v="MT"/>
    <x v="13"/>
    <s v="21/04/2026 03:28:48 AM"/>
    <s v="21/04/2026 03:35:28 AM"/>
    <s v="36380"/>
    <s v="16680"/>
    <s v="19700"/>
    <n v="19.7"/>
    <s v="RFID"/>
  </r>
  <r>
    <s v="35127"/>
    <x v="0"/>
    <s v="T306 EHH"/>
    <x v="0"/>
    <x v="0"/>
    <x v="1"/>
    <s v="MT"/>
    <x v="13"/>
    <s v="21/04/2026 03:29:52 AM"/>
    <s v="21/04/2026 03:34:43 AM"/>
    <s v="35780"/>
    <s v="16660"/>
    <s v="19120"/>
    <n v="19.12"/>
    <s v="RFID"/>
  </r>
  <r>
    <s v="35128"/>
    <x v="0"/>
    <s v="T312 EHH"/>
    <x v="0"/>
    <x v="0"/>
    <x v="1"/>
    <s v="MT"/>
    <x v="13"/>
    <s v="21/04/2026 03:31:51 AM"/>
    <s v="21/04/2026 03:38:01 AM"/>
    <s v="35440"/>
    <s v="15520"/>
    <s v="19920"/>
    <n v="19.920000000000002"/>
    <s v="RFID"/>
  </r>
  <r>
    <s v="35129"/>
    <x v="0"/>
    <s v="T311 EHH"/>
    <x v="0"/>
    <x v="0"/>
    <x v="1"/>
    <s v="MT"/>
    <x v="13"/>
    <s v="21/04/2026 03:36:46 AM"/>
    <s v="21/04/2026 03:41:46 AM"/>
    <s v="34860"/>
    <s v="16080"/>
    <s v="18780"/>
    <n v="18.78"/>
    <s v="RFID"/>
  </r>
  <r>
    <s v="35130"/>
    <x v="0"/>
    <s v="T304 EHH"/>
    <x v="0"/>
    <x v="0"/>
    <x v="1"/>
    <s v="MT"/>
    <x v="13"/>
    <s v="21/04/2026 03:43:19 AM"/>
    <s v="21/04/2026 03:47:27 AM"/>
    <s v="32940"/>
    <s v="16920"/>
    <s v="16020"/>
    <n v="16.02"/>
    <s v="RFID"/>
  </r>
  <r>
    <s v="35131"/>
    <x v="0"/>
    <s v="T306 EHH"/>
    <x v="0"/>
    <x v="0"/>
    <x v="1"/>
    <s v="MT"/>
    <x v="13"/>
    <s v="21/04/2026 03:52:13 AM"/>
    <s v="21/04/2026 03:55:40 AM"/>
    <s v="39000"/>
    <s v="16700"/>
    <s v="22300"/>
    <n v="22.3"/>
    <s v="RFID"/>
  </r>
  <r>
    <s v="35132"/>
    <x v="0"/>
    <s v="T311 EHH"/>
    <x v="0"/>
    <x v="0"/>
    <x v="1"/>
    <s v="MT"/>
    <x v="13"/>
    <s v="21/04/2026 04:05:16 AM"/>
    <s v="21/04/2026 04:08:32 AM"/>
    <s v="34800"/>
    <s v="16180"/>
    <s v="18620"/>
    <n v="18.62"/>
    <s v="RFID"/>
  </r>
  <r>
    <s v="35133"/>
    <x v="0"/>
    <s v="T306 EHH"/>
    <x v="1"/>
    <x v="3"/>
    <x v="1"/>
    <s v="MT"/>
    <x v="13"/>
    <s v="21/04/2026 05:55:40 AM"/>
    <s v="21/04/2026 06:02:41 AM"/>
    <s v="38100"/>
    <s v="16620"/>
    <s v="21480"/>
    <n v="21.48"/>
    <s v="RFID"/>
  </r>
  <r>
    <s v="35134"/>
    <x v="0"/>
    <s v="T293 EHH"/>
    <x v="0"/>
    <x v="0"/>
    <x v="1"/>
    <s v="MT"/>
    <x v="13"/>
    <s v="21/04/2026 06:11:28 AM"/>
    <s v="21/04/2026 06:20:14 AM"/>
    <s v="35600"/>
    <s v="15600"/>
    <s v="20000"/>
    <n v="20"/>
    <s v="RFID"/>
  </r>
  <r>
    <s v="35135"/>
    <x v="0"/>
    <s v="T312 EHH"/>
    <x v="1"/>
    <x v="3"/>
    <x v="1"/>
    <s v="MT"/>
    <x v="13"/>
    <s v="21/04/2026 06:12:46 AM"/>
    <s v="21/04/2026 06:21:27 AM"/>
    <s v="39240"/>
    <s v="15460"/>
    <s v="23780"/>
    <n v="23.78"/>
    <s v="RFID"/>
  </r>
  <r>
    <s v="35136"/>
    <x v="0"/>
    <s v="T304 EHH"/>
    <x v="1"/>
    <x v="3"/>
    <x v="1"/>
    <s v="MT"/>
    <x v="13"/>
    <s v="21/04/2026 06:15:16 AM"/>
    <s v="21/04/2026 06:27:11 AM"/>
    <s v="34400"/>
    <s v="16680"/>
    <s v="17720"/>
    <n v="17.72"/>
    <s v="RFID"/>
  </r>
  <r>
    <s v="35137"/>
    <x v="0"/>
    <s v="T295 EHH"/>
    <x v="0"/>
    <x v="0"/>
    <x v="1"/>
    <s v="MT"/>
    <x v="13"/>
    <s v="21/04/2026 06:17:16 AM"/>
    <s v="21/04/2026 06:25:27 AM"/>
    <s v="36300"/>
    <s v="15320"/>
    <s v="20980"/>
    <n v="20.98"/>
    <s v="RFID"/>
  </r>
  <r>
    <s v="35138"/>
    <x v="0"/>
    <s v="T306 EHH"/>
    <x v="1"/>
    <x v="3"/>
    <x v="1"/>
    <s v="MT"/>
    <x v="13"/>
    <s v="21/04/2026 06:19:04 AM"/>
    <s v="21/04/2026 06:29:26 AM"/>
    <s v="40800"/>
    <s v="16740"/>
    <s v="24060"/>
    <n v="24.06"/>
    <s v="RFID"/>
  </r>
  <r>
    <s v="35139"/>
    <x v="0"/>
    <s v="T312 EHH"/>
    <x v="1"/>
    <x v="3"/>
    <x v="1"/>
    <s v="MT"/>
    <x v="13"/>
    <s v="21/04/2026 06:31:23 AM"/>
    <s v="21/04/2026 06:45:47 AM"/>
    <s v="39160"/>
    <s v="15500"/>
    <s v="23660"/>
    <n v="23.66"/>
    <s v="RFID"/>
  </r>
  <r>
    <s v="35140"/>
    <x v="0"/>
    <s v="T292 EHH"/>
    <x v="1"/>
    <x v="3"/>
    <x v="1"/>
    <s v="MT"/>
    <x v="13"/>
    <s v="21/04/2026 06:41:51 AM"/>
    <s v="21/04/2026 06:48:17 AM"/>
    <s v="35500"/>
    <s v="16100"/>
    <s v="19400"/>
    <n v="19.399999999999999"/>
    <s v="RFID"/>
  </r>
  <r>
    <s v="35141"/>
    <x v="0"/>
    <s v="T304 EHH"/>
    <x v="1"/>
    <x v="3"/>
    <x v="1"/>
    <s v="MT"/>
    <x v="13"/>
    <s v="21/04/2026 06:43:27 AM"/>
    <s v="21/04/2026 06:51:38 AM"/>
    <s v="39560"/>
    <s v="16600"/>
    <s v="22960"/>
    <n v="22.96"/>
    <s v="RFID"/>
  </r>
  <r>
    <s v="35142"/>
    <x v="0"/>
    <s v="T293 EHH"/>
    <x v="0"/>
    <x v="0"/>
    <x v="1"/>
    <s v="MT"/>
    <x v="13"/>
    <s v="21/04/2026 06:44:40 AM"/>
    <s v="21/04/2026 06:52:45 AM"/>
    <s v="35380"/>
    <s v="15580"/>
    <s v="19800"/>
    <n v="19.8"/>
    <s v="RFID"/>
  </r>
  <r>
    <s v="35143"/>
    <x v="0"/>
    <s v="T295 EHH"/>
    <x v="0"/>
    <x v="0"/>
    <x v="1"/>
    <s v="MT"/>
    <x v="13"/>
    <s v="21/04/2026 06:47:11 AM"/>
    <s v="21/04/2026 06:53:46 AM"/>
    <s v="34840"/>
    <s v="15300"/>
    <s v="19540"/>
    <n v="19.54"/>
    <s v="RFID"/>
  </r>
  <r>
    <s v="35144"/>
    <x v="0"/>
    <s v="T306 EHH"/>
    <x v="1"/>
    <x v="3"/>
    <x v="1"/>
    <s v="MT"/>
    <x v="13"/>
    <s v="21/04/2026 06:50:12 AM"/>
    <s v="21/04/2026 06:57:14 AM"/>
    <s v="39060"/>
    <s v="16680"/>
    <s v="22380"/>
    <n v="22.38"/>
    <s v="RFID"/>
  </r>
  <r>
    <s v="35145"/>
    <x v="0"/>
    <s v="T312 EHH"/>
    <x v="1"/>
    <x v="3"/>
    <x v="1"/>
    <s v="MT"/>
    <x v="13"/>
    <s v="21/04/2026 06:54:51 AM"/>
    <s v="21/04/2026 07:00:41 AM"/>
    <s v="40300"/>
    <s v="15440"/>
    <s v="24860"/>
    <n v="24.86"/>
    <s v="RFID"/>
  </r>
  <r>
    <s v="35146"/>
    <x v="0"/>
    <s v="T311 EHH"/>
    <x v="1"/>
    <x v="3"/>
    <x v="1"/>
    <s v="MT"/>
    <x v="13"/>
    <s v="21/04/2026 06:59:01 AM"/>
    <s v="21/04/2026 07:08:36 AM"/>
    <s v="41180"/>
    <s v="16180"/>
    <s v="25000"/>
    <n v="25"/>
    <s v="RFID"/>
  </r>
  <r>
    <s v="35147"/>
    <x v="0"/>
    <s v="T292 EHH"/>
    <x v="0"/>
    <x v="0"/>
    <x v="1"/>
    <s v="MT"/>
    <x v="13"/>
    <s v="21/04/2026 07:03:17 AM"/>
    <s v="21/04/2026 07:11:24 AM"/>
    <s v="36760"/>
    <s v="16340"/>
    <s v="20420"/>
    <n v="20.420000000000002"/>
    <s v="RFID"/>
  </r>
  <r>
    <s v="35148"/>
    <x v="0"/>
    <s v="T304 EHH"/>
    <x v="1"/>
    <x v="3"/>
    <x v="1"/>
    <s v="MT"/>
    <x v="13"/>
    <s v="21/04/2026 07:06:58 AM"/>
    <s v="21/04/2026 07:15:22 AM"/>
    <s v="39200"/>
    <s v="16800"/>
    <s v="22400"/>
    <n v="22.4"/>
    <s v="RFID"/>
  </r>
  <r>
    <s v="35149"/>
    <x v="0"/>
    <s v="T293 EHH"/>
    <x v="0"/>
    <x v="0"/>
    <x v="1"/>
    <s v="MT"/>
    <x v="13"/>
    <s v="21/04/2026 07:10:36 AM"/>
    <s v="21/04/2026 07:16:26 AM"/>
    <s v="35020"/>
    <s v="15600"/>
    <s v="19420"/>
    <n v="19.420000000000002"/>
    <s v="RFID"/>
  </r>
  <r>
    <s v="35150"/>
    <x v="0"/>
    <s v="T306 EHH"/>
    <x v="1"/>
    <x v="3"/>
    <x v="1"/>
    <s v="MT"/>
    <x v="13"/>
    <s v="21/04/2026 07:12:26 AM"/>
    <s v="21/04/2026 07:19:59 AM"/>
    <s v="41460"/>
    <s v="16700"/>
    <s v="24760"/>
    <n v="24.76"/>
    <s v="RFID"/>
  </r>
  <r>
    <s v="35151"/>
    <x v="0"/>
    <s v="T312 EHH"/>
    <x v="1"/>
    <x v="3"/>
    <x v="1"/>
    <s v="MT"/>
    <x v="13"/>
    <s v="21/04/2026 07:13:31 AM"/>
    <s v="21/04/2026 07:26:05 AM"/>
    <s v="42220"/>
    <s v="15540"/>
    <s v="26680"/>
    <n v="26.68"/>
    <s v="RFID"/>
  </r>
  <r>
    <s v="35152"/>
    <x v="0"/>
    <s v="T295 EHH"/>
    <x v="0"/>
    <x v="0"/>
    <x v="1"/>
    <s v="MT"/>
    <x v="13"/>
    <s v="21/04/2026 07:14:27 AM"/>
    <s v="21/04/2026 07:24:34 AM"/>
    <s v="36760"/>
    <s v="15400"/>
    <s v="21360"/>
    <n v="21.36"/>
    <s v="RFID"/>
  </r>
  <r>
    <s v="35153"/>
    <x v="0"/>
    <s v="T311 EHH"/>
    <x v="1"/>
    <x v="3"/>
    <x v="1"/>
    <s v="MT"/>
    <x v="13"/>
    <s v="21/04/2026 07:18:52 AM"/>
    <s v="21/04/2026 07:29:42 AM"/>
    <s v="43340"/>
    <s v="16200"/>
    <s v="27140"/>
    <n v="27.14"/>
    <s v="RFID"/>
  </r>
  <r>
    <s v="35154"/>
    <x v="0"/>
    <s v="T304 EHH"/>
    <x v="1"/>
    <x v="3"/>
    <x v="1"/>
    <s v="MT"/>
    <x v="13"/>
    <s v="21/04/2026 07:28:21 AM"/>
    <s v="21/04/2026 07:34:20 AM"/>
    <s v="44080"/>
    <s v="16320"/>
    <s v="27760"/>
    <n v="27.76"/>
    <s v="RFID"/>
  </r>
  <r>
    <s v="35155"/>
    <x v="0"/>
    <s v="T292 EHH"/>
    <x v="0"/>
    <x v="0"/>
    <x v="1"/>
    <s v="MT"/>
    <x v="13"/>
    <s v="21/04/2026 07:30:43 AM"/>
    <s v="21/04/2026 07:37:24 AM"/>
    <s v="35540"/>
    <s v="16560"/>
    <s v="18980"/>
    <n v="18.98"/>
    <s v="RFID"/>
  </r>
  <r>
    <s v="35156"/>
    <x v="0"/>
    <s v="T311 EHH"/>
    <x v="1"/>
    <x v="3"/>
    <x v="2"/>
    <s v="MT"/>
    <x v="13"/>
    <s v="21/04/2026 09:20:44 AM"/>
    <s v="21/04/2026 09:27:19 AM"/>
    <s v="48580"/>
    <s v="16460"/>
    <s v="32120"/>
    <n v="32.119999999999997"/>
    <s v="RFID"/>
  </r>
  <r>
    <s v="35157"/>
    <x v="0"/>
    <s v="T290 EHH"/>
    <x v="1"/>
    <x v="3"/>
    <x v="2"/>
    <s v="MT"/>
    <x v="13"/>
    <s v="21/04/2026 09:25:38 AM"/>
    <s v="21/04/2026 09:35:14 AM"/>
    <s v="46200"/>
    <s v="16600"/>
    <s v="29600"/>
    <n v="29.6"/>
    <s v="RFID"/>
  </r>
  <r>
    <s v="35158"/>
    <x v="0"/>
    <s v="T311 EHH"/>
    <x v="1"/>
    <x v="1"/>
    <x v="3"/>
    <s v="MT"/>
    <x v="13"/>
    <s v="21/04/2026 09:36:24 AM"/>
    <s v="21/04/2026 09:43:54 AM"/>
    <s v="37560"/>
    <s v="16480"/>
    <s v="21080"/>
    <n v="21.08"/>
    <s v="RFID"/>
  </r>
  <r>
    <s v="35159"/>
    <x v="0"/>
    <s v="T293 EHH"/>
    <x v="1"/>
    <x v="3"/>
    <x v="1"/>
    <s v="MT"/>
    <x v="13"/>
    <s v="21/04/2026 09:49:23 AM"/>
    <s v="21/04/2026 10:31:44 AM"/>
    <s v="37040"/>
    <s v="15720"/>
    <s v="21320"/>
    <n v="21.32"/>
    <s v="RFID"/>
  </r>
  <r>
    <s v="35160"/>
    <x v="0"/>
    <s v="T295 EHH"/>
    <x v="1"/>
    <x v="3"/>
    <x v="1"/>
    <s v="MT"/>
    <x v="13"/>
    <s v="21/04/2026 10:22:51 AM"/>
    <s v="21/04/2026 11:08:01 AM"/>
    <s v="36540"/>
    <s v="15520"/>
    <s v="21020"/>
    <n v="21.02"/>
    <s v="RFID"/>
  </r>
  <r>
    <s v="35161"/>
    <x v="0"/>
    <s v="T306 EHH"/>
    <x v="1"/>
    <x v="3"/>
    <x v="1"/>
    <s v="MT"/>
    <x v="13"/>
    <s v="21/04/2026 10:30:42 AM"/>
    <s v="21/04/2026 11:10:15 AM"/>
    <s v="41440"/>
    <s v="17080"/>
    <s v="24360"/>
    <n v="24.36"/>
    <s v="RFID"/>
  </r>
  <r>
    <s v="35162"/>
    <x v="0"/>
    <s v="T293 EHH"/>
    <x v="1"/>
    <x v="3"/>
    <x v="1"/>
    <s v="MT"/>
    <x v="13"/>
    <s v="21/04/2026 10:38:25 AM"/>
    <s v="21/04/2026 12:02:37 PM"/>
    <s v="40920"/>
    <s v="15680"/>
    <s v="25240"/>
    <n v="25.24"/>
    <s v="RFID"/>
  </r>
  <r>
    <s v="35163"/>
    <x v="0"/>
    <s v="T311 EHH"/>
    <x v="0"/>
    <x v="0"/>
    <x v="1"/>
    <s v="MT"/>
    <x v="13"/>
    <s v="21/04/2026 11:21:37 AM"/>
    <s v="21/04/2026 11:30:37 AM"/>
    <s v="37660"/>
    <s v="16440"/>
    <s v="21220"/>
    <n v="21.22"/>
    <s v="RFID"/>
  </r>
  <r>
    <s v="35164"/>
    <x v="0"/>
    <s v="T312 EHH"/>
    <x v="0"/>
    <x v="0"/>
    <x v="1"/>
    <s v="MT"/>
    <x v="13"/>
    <s v="21/04/2026 11:22:42 AM"/>
    <s v="21/04/2026 11:31:24 AM"/>
    <s v="40240"/>
    <s v="15620"/>
    <s v="24620"/>
    <n v="24.62"/>
    <s v="RFID"/>
  </r>
  <r>
    <s v="35165"/>
    <x v="0"/>
    <s v="T295 EHH"/>
    <x v="0"/>
    <x v="2"/>
    <x v="1"/>
    <s v="MT"/>
    <x v="13"/>
    <s v="21/04/2026 11:28:33 AM"/>
    <s v="21/04/2026 12:03:38 PM"/>
    <s v="36100"/>
    <s v="15500"/>
    <s v="20600"/>
    <n v="20.6"/>
    <s v="RFID"/>
  </r>
  <r>
    <s v="35166"/>
    <x v="0"/>
    <s v="T306 EHH"/>
    <x v="0"/>
    <x v="0"/>
    <x v="1"/>
    <s v="MT"/>
    <x v="13"/>
    <s v="21/04/2026 11:29:29 AM"/>
    <s v="21/04/2026 11:36:16 AM"/>
    <s v="37560"/>
    <s v="17120"/>
    <s v="20440"/>
    <n v="20.440000000000001"/>
    <s v="RFID"/>
  </r>
  <r>
    <s v="35167"/>
    <x v="0"/>
    <s v="T290 EHH"/>
    <x v="0"/>
    <x v="0"/>
    <x v="1"/>
    <s v="MT"/>
    <x v="13"/>
    <s v="21/04/2026 11:32:40 AM"/>
    <s v="21/04/2026 11:37:47 AM"/>
    <s v="34420"/>
    <s v="16600"/>
    <s v="17820"/>
    <n v="17.82"/>
    <s v="RFID"/>
  </r>
  <r>
    <s v="35168"/>
    <x v="0"/>
    <s v="T292 EHH"/>
    <x v="0"/>
    <x v="0"/>
    <x v="1"/>
    <s v="MT"/>
    <x v="13"/>
    <s v="21/04/2026 11:35:09 AM"/>
    <s v="21/04/2026 11:41:54 AM"/>
    <s v="40740"/>
    <s v="17100"/>
    <s v="23640"/>
    <n v="23.64"/>
    <s v="RFID"/>
  </r>
  <r>
    <s v="35169"/>
    <x v="0"/>
    <s v="T311 EHH"/>
    <x v="0"/>
    <x v="0"/>
    <x v="1"/>
    <s v="MT"/>
    <x v="13"/>
    <s v="21/04/2026 11:40:49 AM"/>
    <s v="21/04/2026 11:45:28 AM"/>
    <s v="37780"/>
    <s v="16360"/>
    <s v="21420"/>
    <n v="21.42"/>
    <s v="RFID"/>
  </r>
  <r>
    <s v="35170"/>
    <x v="0"/>
    <s v="T312 EHH"/>
    <x v="0"/>
    <x v="0"/>
    <x v="1"/>
    <s v="MT"/>
    <x v="13"/>
    <s v="21/04/2026 11:44:07 AM"/>
    <s v="21/04/2026 11:49:01 AM"/>
    <s v="41640"/>
    <s v="15460"/>
    <s v="26180"/>
    <n v="26.18"/>
    <s v="RFID"/>
  </r>
  <r>
    <s v="35171"/>
    <x v="0"/>
    <s v="T306 EHH"/>
    <x v="0"/>
    <x v="0"/>
    <x v="1"/>
    <s v="MT"/>
    <x v="13"/>
    <s v="21/04/2026 11:47:54 AM"/>
    <s v="21/04/2026 11:53:02 AM"/>
    <s v="38720"/>
    <s v="15740"/>
    <s v="22980"/>
    <n v="22.98"/>
    <s v="RFID"/>
  </r>
  <r>
    <s v="35172"/>
    <x v="0"/>
    <s v="T290 EHH"/>
    <x v="0"/>
    <x v="0"/>
    <x v="1"/>
    <s v="MT"/>
    <x v="13"/>
    <s v="21/04/2026 11:51:12 AM"/>
    <s v="21/04/2026 11:56:56 AM"/>
    <s v="37540"/>
    <s v="16500"/>
    <s v="21040"/>
    <n v="21.04"/>
    <s v="RFID"/>
  </r>
  <r>
    <s v="35173"/>
    <x v="0"/>
    <s v="T292 EHH"/>
    <x v="0"/>
    <x v="0"/>
    <x v="1"/>
    <s v="MT"/>
    <x v="13"/>
    <s v="21/04/2026 11:55:20 AM"/>
    <s v="21/04/2026 12:01:50 PM"/>
    <s v="38040"/>
    <s v="16940"/>
    <s v="21100"/>
    <n v="21.1"/>
    <s v="RFID"/>
  </r>
  <r>
    <s v="35174"/>
    <x v="0"/>
    <s v="T311 EHH"/>
    <x v="0"/>
    <x v="2"/>
    <x v="1"/>
    <s v="MT"/>
    <x v="13"/>
    <s v="21/04/2026 12:00:42 PM"/>
    <s v="21/04/2026 12:07:11 PM"/>
    <s v="37120"/>
    <s v="16300"/>
    <s v="20820"/>
    <n v="20.82"/>
    <s v="RFID"/>
  </r>
  <r>
    <s v="35175"/>
    <x v="0"/>
    <s v="T312 EHH"/>
    <x v="0"/>
    <x v="0"/>
    <x v="1"/>
    <s v="MT"/>
    <x v="13"/>
    <s v="21/04/2026 12:04:57 PM"/>
    <s v="21/04/2026 12:09:08 PM"/>
    <s v="35860"/>
    <s v="15420"/>
    <s v="20440"/>
    <n v="20.440000000000001"/>
    <s v="RFID"/>
  </r>
  <r>
    <s v="35176"/>
    <x v="0"/>
    <s v="T306 EHH"/>
    <x v="0"/>
    <x v="2"/>
    <x v="1"/>
    <s v="MT"/>
    <x v="13"/>
    <s v="21/04/2026 12:06:00 PM"/>
    <s v="21/04/2026 12:10:23 PM"/>
    <s v="37560"/>
    <s v="15820"/>
    <s v="21740"/>
    <n v="21.74"/>
    <s v="RFID"/>
  </r>
  <r>
    <s v="35177"/>
    <x v="0"/>
    <s v="T290 EHH"/>
    <x v="0"/>
    <x v="0"/>
    <x v="1"/>
    <s v="MT"/>
    <x v="13"/>
    <s v="21/04/2026 12:08:05 PM"/>
    <s v="21/04/2026 12:13:07 PM"/>
    <s v="36720"/>
    <s v="16480"/>
    <s v="20240"/>
    <n v="20.239999999999998"/>
    <s v="RFID"/>
  </r>
  <r>
    <s v="35178"/>
    <x v="0"/>
    <s v="T292 EHH"/>
    <x v="0"/>
    <x v="0"/>
    <x v="1"/>
    <s v="MT"/>
    <x v="13"/>
    <s v="21/04/2026 12:11:23 PM"/>
    <s v="21/04/2026 12:16:02 PM"/>
    <s v="36120"/>
    <s v="17040"/>
    <s v="19080"/>
    <n v="19.079999999999998"/>
    <s v="RFID"/>
  </r>
  <r>
    <s v="35179"/>
    <x v="0"/>
    <s v="T293 EHH"/>
    <x v="0"/>
    <x v="0"/>
    <x v="1"/>
    <s v="MT"/>
    <x v="13"/>
    <s v="21/04/2026 12:14:59 PM"/>
    <s v="21/04/2026 12:18:39 PM"/>
    <s v="34780"/>
    <s v="15640"/>
    <s v="19140"/>
    <n v="19.14"/>
    <s v="RFID"/>
  </r>
  <r>
    <s v="35180"/>
    <x v="0"/>
    <s v="T295 EHH"/>
    <x v="0"/>
    <x v="2"/>
    <x v="1"/>
    <s v="MT"/>
    <x v="13"/>
    <s v="21/04/2026 12:17:36 PM"/>
    <s v="21/04/2026 12:21:53 PM"/>
    <s v="34360"/>
    <s v="15500"/>
    <s v="18860"/>
    <n v="18.86"/>
    <s v="RFID"/>
  </r>
  <r>
    <s v="35181"/>
    <x v="0"/>
    <s v="T311 EHH"/>
    <x v="0"/>
    <x v="2"/>
    <x v="1"/>
    <s v="MT"/>
    <x v="13"/>
    <s v="21/04/2026 12:23:54 PM"/>
    <s v="21/04/2026 12:30:48 PM"/>
    <s v="37400"/>
    <s v="16340"/>
    <s v="21060"/>
    <n v="21.06"/>
    <s v="RFID"/>
  </r>
  <r>
    <s v="35182"/>
    <x v="0"/>
    <s v="T312 EHH"/>
    <x v="0"/>
    <x v="2"/>
    <x v="1"/>
    <s v="MT"/>
    <x v="13"/>
    <s v="21/04/2026 12:27:22 PM"/>
    <s v="21/04/2026 12:35:28 PM"/>
    <s v="34720"/>
    <s v="15460"/>
    <s v="19260"/>
    <n v="19.260000000000002"/>
    <s v="RFID"/>
  </r>
  <r>
    <s v="35183"/>
    <x v="0"/>
    <s v="T306 EHH"/>
    <x v="0"/>
    <x v="2"/>
    <x v="1"/>
    <s v="MT"/>
    <x v="13"/>
    <s v="21/04/2026 12:32:45 PM"/>
    <s v="21/04/2026 12:38:59 PM"/>
    <s v="35140"/>
    <s v="15940"/>
    <s v="19200"/>
    <n v="19.2"/>
    <s v="RFID"/>
  </r>
  <r>
    <s v="35184"/>
    <x v="0"/>
    <s v="T290 EHH"/>
    <x v="0"/>
    <x v="2"/>
    <x v="1"/>
    <s v="MT"/>
    <x v="13"/>
    <s v="21/04/2026 12:33:48 PM"/>
    <s v="21/04/2026 12:40:12 PM"/>
    <s v="34940"/>
    <s v="16480"/>
    <s v="18460"/>
    <n v="18.46"/>
    <s v="RFID"/>
  </r>
  <r>
    <s v="35185"/>
    <x v="0"/>
    <s v="T292 EHH"/>
    <x v="0"/>
    <x v="0"/>
    <x v="1"/>
    <s v="MT"/>
    <x v="13"/>
    <s v="21/04/2026 12:37:47 PM"/>
    <s v="21/04/2026 12:42:32 PM"/>
    <s v="34640"/>
    <s v="17280"/>
    <s v="17360"/>
    <n v="17.36"/>
    <s v="RFID"/>
  </r>
  <r>
    <s v="35186"/>
    <x v="0"/>
    <s v="T293 EHH"/>
    <x v="0"/>
    <x v="2"/>
    <x v="1"/>
    <s v="MT"/>
    <x v="13"/>
    <s v="21/04/2026 12:41:24 PM"/>
    <s v="21/04/2026 12:46:44 PM"/>
    <s v="36180"/>
    <s v="15560"/>
    <s v="20620"/>
    <n v="20.62"/>
    <s v="RFID"/>
  </r>
  <r>
    <s v="35187"/>
    <x v="0"/>
    <s v="T295 EHH"/>
    <x v="0"/>
    <x v="2"/>
    <x v="1"/>
    <s v="MT"/>
    <x v="13"/>
    <s v="21/04/2026 12:44:14 PM"/>
    <s v="21/04/2026 12:49:20 PM"/>
    <s v="33460"/>
    <s v="15480"/>
    <s v="17980"/>
    <n v="17.98"/>
    <s v="RFID"/>
  </r>
  <r>
    <s v="35188"/>
    <x v="0"/>
    <s v="T312 EHH"/>
    <x v="0"/>
    <x v="2"/>
    <x v="1"/>
    <s v="MT"/>
    <x v="13"/>
    <s v="21/04/2026 12:48:01 PM"/>
    <s v="21/04/2026 12:53:25 PM"/>
    <s v="35160"/>
    <s v="15400"/>
    <s v="19760"/>
    <n v="19.760000000000002"/>
    <s v="RFID"/>
  </r>
  <r>
    <s v="35189"/>
    <x v="0"/>
    <s v="T306 EHH"/>
    <x v="0"/>
    <x v="2"/>
    <x v="1"/>
    <s v="MT"/>
    <x v="13"/>
    <s v="21/04/2026 12:51:09 PM"/>
    <s v="21/04/2026 12:56:58 PM"/>
    <s v="36860"/>
    <s v="16020"/>
    <s v="20840"/>
    <n v="20.84"/>
    <s v="RFID"/>
  </r>
  <r>
    <s v="35190"/>
    <x v="0"/>
    <s v="T290 EHH"/>
    <x v="0"/>
    <x v="2"/>
    <x v="1"/>
    <s v="MT"/>
    <x v="13"/>
    <s v="21/04/2026 12:54:16 PM"/>
    <s v="21/04/2026 12:57:50 PM"/>
    <s v="36500"/>
    <s v="16440"/>
    <s v="20060"/>
    <n v="20.059999999999999"/>
    <s v="RFID"/>
  </r>
  <r>
    <s v="35191"/>
    <x v="0"/>
    <s v="T293 EHH"/>
    <x v="0"/>
    <x v="2"/>
    <x v="1"/>
    <s v="MT"/>
    <x v="13"/>
    <s v="21/04/2026 12:59:03 PM"/>
    <s v="21/04/2026 01:04:36 PM"/>
    <s v="39120"/>
    <s v="15560"/>
    <s v="23560"/>
    <n v="23.56"/>
    <s v="RFID"/>
  </r>
  <r>
    <s v="35192"/>
    <x v="0"/>
    <s v="T295 EHH"/>
    <x v="0"/>
    <x v="2"/>
    <x v="1"/>
    <s v="MT"/>
    <x v="13"/>
    <s v="21/04/2026 01:03:09 PM"/>
    <s v="21/04/2026 01:07:48 PM"/>
    <s v="36280"/>
    <s v="15460"/>
    <s v="20820"/>
    <n v="20.82"/>
    <s v="RFID"/>
  </r>
  <r>
    <s v="35193"/>
    <x v="0"/>
    <s v="T312 EHH"/>
    <x v="0"/>
    <x v="2"/>
    <x v="1"/>
    <s v="MT"/>
    <x v="13"/>
    <s v="21/04/2026 01:10:53 PM"/>
    <s v="21/04/2026 01:16:01 PM"/>
    <s v="34660"/>
    <s v="15400"/>
    <s v="19260"/>
    <n v="19.260000000000002"/>
    <s v="RFID"/>
  </r>
  <r>
    <s v="35194"/>
    <x v="0"/>
    <s v="T306 EHH"/>
    <x v="0"/>
    <x v="2"/>
    <x v="1"/>
    <s v="MT"/>
    <x v="13"/>
    <s v="21/04/2026 01:13:56 PM"/>
    <s v="21/04/2026 01:18:50 PM"/>
    <s v="35200"/>
    <s v="15960"/>
    <s v="19240"/>
    <n v="19.239999999999998"/>
    <s v="RFID"/>
  </r>
  <r>
    <s v="35195"/>
    <x v="0"/>
    <s v="T293 EHH"/>
    <x v="0"/>
    <x v="2"/>
    <x v="1"/>
    <s v="MT"/>
    <x v="13"/>
    <s v="21/04/2026 01:17:30 PM"/>
    <s v="21/04/2026 01:22:48 PM"/>
    <s v="38380"/>
    <s v="15560"/>
    <s v="22820"/>
    <n v="22.82"/>
    <s v="RFID"/>
  </r>
  <r>
    <s v="35196"/>
    <x v="0"/>
    <s v="T295 EHH"/>
    <x v="0"/>
    <x v="2"/>
    <x v="1"/>
    <s v="MT"/>
    <x v="13"/>
    <s v="21/04/2026 01:21:29 PM"/>
    <s v="21/04/2026 01:27:50 PM"/>
    <s v="39460"/>
    <s v="15460"/>
    <s v="24000"/>
    <n v="24"/>
    <s v="RFID"/>
  </r>
  <r>
    <s v="35197"/>
    <x v="0"/>
    <s v="T312 EHH"/>
    <x v="0"/>
    <x v="2"/>
    <x v="1"/>
    <s v="MT"/>
    <x v="13"/>
    <s v="21/04/2026 01:24:16 PM"/>
    <s v="21/04/2026 01:48:56 PM"/>
    <s v="34240"/>
    <s v="15400"/>
    <s v="18840"/>
    <n v="18.84"/>
    <s v="RFID"/>
  </r>
  <r>
    <s v="35198"/>
    <x v="0"/>
    <s v="T292 EHH"/>
    <x v="0"/>
    <x v="2"/>
    <x v="1"/>
    <s v="MT"/>
    <x v="13"/>
    <s v="21/04/2026 01:29:19 PM"/>
    <s v="21/04/2026 01:49:59 PM"/>
    <s v="36320"/>
    <s v="17140"/>
    <s v="19180"/>
    <n v="19.18"/>
    <s v="RFID"/>
  </r>
  <r>
    <s v="35199"/>
    <x v="0"/>
    <s v="T306 EHH"/>
    <x v="0"/>
    <x v="0"/>
    <x v="1"/>
    <s v="MT"/>
    <x v="13"/>
    <s v="21/04/2026 01:33:42 PM"/>
    <s v="21/04/2026 02:10:53 PM"/>
    <s v="35460"/>
    <s v="15940"/>
    <s v="19520"/>
    <n v="19.52"/>
    <s v="RFID"/>
  </r>
  <r>
    <s v="35200"/>
    <x v="0"/>
    <s v="T293 EHH"/>
    <x v="0"/>
    <x v="2"/>
    <x v="1"/>
    <s v="MT"/>
    <x v="13"/>
    <s v="21/04/2026 01:47:39 PM"/>
    <s v="21/04/2026 01:55:21 PM"/>
    <s v="41660"/>
    <s v="15560"/>
    <s v="26100"/>
    <n v="26.1"/>
    <s v="RFID"/>
  </r>
  <r>
    <s v="35201"/>
    <x v="0"/>
    <s v="T311 EHH"/>
    <x v="0"/>
    <x v="2"/>
    <x v="1"/>
    <s v="MT"/>
    <x v="13"/>
    <s v="21/04/2026 01:52:29 PM"/>
    <s v="21/04/2026 01:57:38 PM"/>
    <s v="38980"/>
    <s v="16320"/>
    <s v="22660"/>
    <n v="22.66"/>
    <s v="RFID"/>
  </r>
  <r>
    <s v="35202"/>
    <x v="0"/>
    <s v="T295 EHH"/>
    <x v="0"/>
    <x v="2"/>
    <x v="1"/>
    <s v="MT"/>
    <x v="13"/>
    <s v="21/04/2026 01:56:30 PM"/>
    <s v="21/04/2026 02:08:39 PM"/>
    <s v="36260"/>
    <s v="15440"/>
    <s v="20820"/>
    <n v="20.82"/>
    <s v="RFID"/>
  </r>
  <r>
    <s v="35203"/>
    <x v="0"/>
    <s v="T312 EHH"/>
    <x v="0"/>
    <x v="2"/>
    <x v="1"/>
    <s v="MT"/>
    <x v="13"/>
    <s v="21/04/2026 01:58:33 PM"/>
    <s v="21/04/2026 02:07:12 PM"/>
    <s v="35980"/>
    <s v="15400"/>
    <s v="20580"/>
    <n v="20.58"/>
    <s v="RFID"/>
  </r>
  <r>
    <s v="35204"/>
    <x v="0"/>
    <s v="T292 EHH"/>
    <x v="0"/>
    <x v="2"/>
    <x v="1"/>
    <s v="MT"/>
    <x v="13"/>
    <s v="21/04/2026 02:01:34 PM"/>
    <s v="21/04/2026 02:12:06 PM"/>
    <s v="38180"/>
    <s v="17160"/>
    <s v="21020"/>
    <n v="21.02"/>
    <s v="RFID"/>
  </r>
  <r>
    <s v="35205"/>
    <x v="0"/>
    <s v="T311 EHH"/>
    <x v="0"/>
    <x v="2"/>
    <x v="1"/>
    <s v="MT"/>
    <x v="13"/>
    <s v="21/04/2026 02:05:18 PM"/>
    <s v="21/04/2026 02:14:01 PM"/>
    <s v="36380"/>
    <s v="16300"/>
    <s v="20080"/>
    <n v="20.079999999999998"/>
    <s v="RFID"/>
  </r>
  <r>
    <s v="35206"/>
    <x v="0"/>
    <s v="T293 EHH"/>
    <x v="0"/>
    <x v="2"/>
    <x v="1"/>
    <s v="MT"/>
    <x v="13"/>
    <s v="21/04/2026 02:09:38 PM"/>
    <s v="21/04/2026 02:24:11 PM"/>
    <s v="35860"/>
    <s v="15620"/>
    <s v="20240"/>
    <n v="20.239999999999998"/>
    <s v="RFID"/>
  </r>
  <r>
    <s v="35207"/>
    <x v="0"/>
    <s v="T312 EHH"/>
    <x v="0"/>
    <x v="2"/>
    <x v="1"/>
    <s v="MT"/>
    <x v="13"/>
    <s v="21/04/2026 02:15:12 PM"/>
    <s v="21/04/2026 02:22:19 PM"/>
    <s v="35460"/>
    <s v="15380"/>
    <s v="20080"/>
    <n v="20.079999999999998"/>
    <s v="RFID"/>
  </r>
  <r>
    <s v="35208"/>
    <x v="0"/>
    <s v="T295 EHH"/>
    <x v="0"/>
    <x v="2"/>
    <x v="1"/>
    <s v="MT"/>
    <x v="13"/>
    <s v="21/04/2026 02:19:01 PM"/>
    <s v="21/04/2026 02:25:10 PM"/>
    <s v="42960"/>
    <s v="15460"/>
    <s v="27500"/>
    <n v="27.5"/>
    <s v="RFID"/>
  </r>
  <r>
    <s v="35209"/>
    <x v="0"/>
    <s v="T306 EHH"/>
    <x v="1"/>
    <x v="3"/>
    <x v="1"/>
    <s v="MT"/>
    <x v="13"/>
    <s v="21/04/2026 02:31:31 PM"/>
    <s v="21/04/2026 02:43:04 PM"/>
    <s v="36700"/>
    <s v="15980"/>
    <s v="20720"/>
    <n v="20.72"/>
    <s v="RFID"/>
  </r>
  <r>
    <s v="35210"/>
    <x v="0"/>
    <s v="T293 EHH"/>
    <x v="1"/>
    <x v="3"/>
    <x v="1"/>
    <s v="MT"/>
    <x v="13"/>
    <s v="21/04/2026 02:36:15 PM"/>
    <s v="21/04/2026 02:45:12 PM"/>
    <s v="37380"/>
    <s v="15640"/>
    <s v="21740"/>
    <n v="21.74"/>
    <s v="RFID"/>
  </r>
  <r>
    <s v="35211"/>
    <x v="0"/>
    <s v="T311 EHH"/>
    <x v="1"/>
    <x v="3"/>
    <x v="1"/>
    <s v="MT"/>
    <x v="13"/>
    <s v="21/04/2026 02:41:14 PM"/>
    <s v="21/04/2026 03:03:32 PM"/>
    <s v="38760"/>
    <s v="40640"/>
    <s v="1880"/>
    <n v="1.88"/>
    <s v="RFID"/>
  </r>
  <r>
    <s v="35212"/>
    <x v="0"/>
    <s v="T306 EHH"/>
    <x v="1"/>
    <x v="3"/>
    <x v="1"/>
    <s v="MT"/>
    <x v="13"/>
    <s v="21/04/2026 03:00:53 PM"/>
    <s v="21/04/2026 03:06:37 PM"/>
    <s v="39420"/>
    <s v="15960"/>
    <s v="23460"/>
    <n v="23.46"/>
    <s v="RFID"/>
  </r>
  <r>
    <s v="35213"/>
    <x v="0"/>
    <s v="T293 EHH"/>
    <x v="1"/>
    <x v="3"/>
    <x v="1"/>
    <s v="MT"/>
    <x v="13"/>
    <s v="21/04/2026 03:02:14 PM"/>
    <s v="21/04/2026 03:11:35 PM"/>
    <s v="37920"/>
    <s v="15560"/>
    <s v="22360"/>
    <n v="22.36"/>
    <s v="RFID"/>
  </r>
  <r>
    <s v="35214"/>
    <x v="0"/>
    <s v="T311 EHH"/>
    <x v="1"/>
    <x v="3"/>
    <x v="1"/>
    <s v="MT"/>
    <x v="13"/>
    <s v="21/04/2026 03:12:31 PM"/>
    <s v="21/04/2026 03:18:51 PM"/>
    <s v="16300"/>
    <s v="38420"/>
    <s v="22120"/>
    <n v="22.12"/>
    <s v="RFID"/>
  </r>
  <r>
    <s v="35215"/>
    <x v="0"/>
    <s v="T306 EHH"/>
    <x v="1"/>
    <x v="3"/>
    <x v="1"/>
    <s v="MT"/>
    <x v="13"/>
    <s v="21/04/2026 03:14:13 PM"/>
    <s v="21/04/2026 03:20:00 PM"/>
    <s v="38060"/>
    <s v="16060"/>
    <s v="22000"/>
    <n v="22"/>
    <s v="RFID"/>
  </r>
  <r>
    <s v="35216"/>
    <x v="0"/>
    <s v="T293 EHH"/>
    <x v="1"/>
    <x v="3"/>
    <x v="1"/>
    <s v="MT"/>
    <x v="13"/>
    <s v="21/04/2026 03:16:03 PM"/>
    <s v="21/04/2026 03:22:17 PM"/>
    <s v="36480"/>
    <s v="15520"/>
    <s v="20960"/>
    <n v="20.96"/>
    <s v="RFID"/>
  </r>
  <r>
    <s v="35217"/>
    <x v="0"/>
    <s v="T311 EHH"/>
    <x v="1"/>
    <x v="3"/>
    <x v="1"/>
    <s v="MT"/>
    <x v="13"/>
    <s v="21/04/2026 03:25:26 PM"/>
    <s v="21/04/2026 03:32:03 PM"/>
    <s v="16280"/>
    <s v="38060"/>
    <s v="21780"/>
    <n v="21.78"/>
    <s v="RFID"/>
  </r>
  <r>
    <s v="35218"/>
    <x v="0"/>
    <s v="T306 EHH"/>
    <x v="1"/>
    <x v="3"/>
    <x v="1"/>
    <s v="MT"/>
    <x v="13"/>
    <s v="21/04/2026 03:26:28 PM"/>
    <s v="21/04/2026 03:31:15 PM"/>
    <s v="36420"/>
    <s v="18220"/>
    <s v="18200"/>
    <n v="18.2"/>
    <s v="RFID"/>
  </r>
  <r>
    <s v="35219"/>
    <x v="0"/>
    <s v="T293 EHH"/>
    <x v="1"/>
    <x v="3"/>
    <x v="1"/>
    <s v="MT"/>
    <x v="13"/>
    <s v="21/04/2026 03:28:46 PM"/>
    <s v="21/04/2026 03:33:16 PM"/>
    <s v="37680"/>
    <s v="15520"/>
    <s v="22160"/>
    <n v="22.16"/>
    <s v="RFID"/>
  </r>
  <r>
    <s v="35220"/>
    <x v="0"/>
    <s v="T311 EHH"/>
    <x v="1"/>
    <x v="3"/>
    <x v="1"/>
    <s v="MT"/>
    <x v="13"/>
    <s v="21/04/2026 03:37:07 PM"/>
    <s v="21/04/2026 03:42:39 PM"/>
    <s v="16300"/>
    <s v="37780"/>
    <s v="21480"/>
    <n v="21.48"/>
    <s v="RFID"/>
  </r>
  <r>
    <s v="35221"/>
    <x v="0"/>
    <s v="T306 EHH"/>
    <x v="1"/>
    <x v="3"/>
    <x v="1"/>
    <s v="MT"/>
    <x v="13"/>
    <s v="21/04/2026 03:37:51 PM"/>
    <s v="21/04/2026 03:43:28 PM"/>
    <s v="39240"/>
    <s v="16860"/>
    <s v="22380"/>
    <n v="22.38"/>
    <s v="RFID"/>
  </r>
  <r>
    <s v="35222"/>
    <x v="0"/>
    <s v="T293 EHH"/>
    <x v="1"/>
    <x v="3"/>
    <x v="1"/>
    <s v="MT"/>
    <x v="13"/>
    <s v="21/04/2026 03:39:41 PM"/>
    <s v="21/04/2026 03:44:37 PM"/>
    <s v="37100"/>
    <s v="15600"/>
    <s v="21500"/>
    <n v="21.5"/>
    <s v="RFID"/>
  </r>
  <r>
    <s v="35223"/>
    <x v="0"/>
    <s v="T311 EHH"/>
    <x v="1"/>
    <x v="3"/>
    <x v="1"/>
    <s v="MT"/>
    <x v="13"/>
    <s v="21/04/2026 03:47:51 PM"/>
    <s v="21/04/2026 04:26:11 PM"/>
    <s v="16360"/>
    <s v="16380"/>
    <s v="20"/>
    <n v="0.02"/>
    <s v="RFID"/>
  </r>
  <r>
    <s v="35224"/>
    <x v="0"/>
    <s v="T306 EHH"/>
    <x v="1"/>
    <x v="3"/>
    <x v="1"/>
    <s v="MT"/>
    <x v="13"/>
    <s v="21/04/2026 03:48:35 PM"/>
    <s v="21/04/2026 04:22:29 PM"/>
    <s v="35220"/>
    <s v="18300"/>
    <s v="16920"/>
    <n v="16.920000000000002"/>
    <s v="RFID"/>
  </r>
  <r>
    <s v="35225"/>
    <x v="0"/>
    <s v="T293 EHH"/>
    <x v="1"/>
    <x v="3"/>
    <x v="1"/>
    <s v="MT"/>
    <x v="13"/>
    <s v="21/04/2026 03:51:00 PM"/>
    <s v="21/04/2026 04:24:11 PM"/>
    <s v="39040"/>
    <s v="15660"/>
    <s v="23380"/>
    <n v="23.38"/>
    <s v="RFID"/>
  </r>
  <r>
    <s v="35226"/>
    <x v="0"/>
    <s v="T312 EHH"/>
    <x v="0"/>
    <x v="2"/>
    <x v="1"/>
    <s v="MT"/>
    <x v="13"/>
    <s v="21/04/2026 04:16:35 PM"/>
    <s v="21/04/2026 04:29:19 PM"/>
    <s v="37460"/>
    <s v="15420"/>
    <s v="22040"/>
    <n v="22.04"/>
    <s v="RFID"/>
  </r>
  <r>
    <s v="35227"/>
    <x v="0"/>
    <s v="T295 EHH"/>
    <x v="0"/>
    <x v="2"/>
    <x v="1"/>
    <s v="MT"/>
    <x v="13"/>
    <s v="21/04/2026 04:17:44 PM"/>
    <s v="21/04/2026 04:32:18 PM"/>
    <s v="36500"/>
    <s v="15440"/>
    <s v="21060"/>
    <n v="21.06"/>
    <s v="RFID"/>
  </r>
  <r>
    <s v="35228"/>
    <x v="0"/>
    <s v="T293 EHH"/>
    <x v="0"/>
    <x v="2"/>
    <x v="1"/>
    <s v="MT"/>
    <x v="13"/>
    <s v="21/04/2026 04:30:57 PM"/>
    <s v="21/04/2026 04:35:23 PM"/>
    <s v="39600"/>
    <s v="15600"/>
    <s v="24000"/>
    <n v="24"/>
    <s v="RFID"/>
  </r>
  <r>
    <s v="35229"/>
    <x v="0"/>
    <s v="T306 EHH"/>
    <x v="0"/>
    <x v="2"/>
    <x v="1"/>
    <s v="MT"/>
    <x v="13"/>
    <s v="21/04/2026 04:37:53 PM"/>
    <s v="21/04/2026 04:44:19 PM"/>
    <s v="39660"/>
    <s v="18820"/>
    <s v="20840"/>
    <n v="20.84"/>
    <s v="RFID"/>
  </r>
  <r>
    <s v="35230"/>
    <x v="0"/>
    <s v="T311 EHH"/>
    <x v="0"/>
    <x v="2"/>
    <x v="1"/>
    <s v="MT"/>
    <x v="13"/>
    <s v="21/04/2026 04:41:24 PM"/>
    <s v="21/04/2026 04:48:25 PM"/>
    <s v="38500"/>
    <s v="16400"/>
    <s v="22100"/>
    <n v="22.1"/>
    <s v="RFID"/>
  </r>
  <r>
    <s v="35231"/>
    <x v="0"/>
    <s v="T312 EHH"/>
    <x v="0"/>
    <x v="2"/>
    <x v="1"/>
    <s v="MT"/>
    <x v="13"/>
    <s v="21/04/2026 04:45:56 PM"/>
    <s v="21/04/2026 04:52:52 PM"/>
    <s v="37720"/>
    <s v="15400"/>
    <s v="22320"/>
    <n v="22.32"/>
    <s v="RFID"/>
  </r>
  <r>
    <s v="35232"/>
    <x v="0"/>
    <s v="T295 EHH"/>
    <x v="0"/>
    <x v="2"/>
    <x v="1"/>
    <s v="MT"/>
    <x v="13"/>
    <s v="21/04/2026 04:47:17 PM"/>
    <s v="21/04/2026 04:54:03 PM"/>
    <s v="36840"/>
    <s v="15440"/>
    <s v="21400"/>
    <n v="21.4"/>
    <s v="RFID"/>
  </r>
  <r>
    <s v="35233"/>
    <x v="0"/>
    <s v="T293 EHH"/>
    <x v="0"/>
    <x v="2"/>
    <x v="1"/>
    <s v="MT"/>
    <x v="13"/>
    <s v="21/04/2026 04:51:07 PM"/>
    <s v="21/04/2026 05:00:53 PM"/>
    <s v="34920"/>
    <s v="15660"/>
    <s v="19260"/>
    <n v="19.260000000000002"/>
    <s v="RFID"/>
  </r>
  <r>
    <s v="35234"/>
    <x v="0"/>
    <s v="T306 EHH"/>
    <x v="0"/>
    <x v="2"/>
    <x v="1"/>
    <s v="MT"/>
    <x v="13"/>
    <s v="21/04/2026 04:59:21 PM"/>
    <s v="21/04/2026 05:04:53 PM"/>
    <s v="39260"/>
    <s v="19340"/>
    <s v="19920"/>
    <n v="19.920000000000002"/>
    <s v="RFID"/>
  </r>
  <r>
    <s v="35235"/>
    <x v="0"/>
    <s v="T312 EHH"/>
    <x v="0"/>
    <x v="2"/>
    <x v="1"/>
    <s v="MT"/>
    <x v="13"/>
    <s v="21/04/2026 05:03:31 PM"/>
    <s v="21/04/2026 05:09:17 PM"/>
    <s v="37100"/>
    <s v="15420"/>
    <s v="21680"/>
    <n v="21.68"/>
    <s v="RFID"/>
  </r>
  <r>
    <s v="35236"/>
    <x v="0"/>
    <s v="T295 EHH"/>
    <x v="0"/>
    <x v="2"/>
    <x v="1"/>
    <s v="MT"/>
    <x v="13"/>
    <s v="21/04/2026 05:05:54 PM"/>
    <s v="21/04/2026 05:11:18 PM"/>
    <s v="35940"/>
    <s v="15440"/>
    <s v="20500"/>
    <n v="20.5"/>
    <s v="RFID"/>
  </r>
  <r>
    <s v="35237"/>
    <x v="0"/>
    <s v="T311 EHH"/>
    <x v="0"/>
    <x v="2"/>
    <x v="1"/>
    <s v="MT"/>
    <x v="13"/>
    <s v="21/04/2026 05:10:14 PM"/>
    <s v="21/04/2026 05:39:28 PM"/>
    <s v="38360"/>
    <s v="16400"/>
    <s v="21960"/>
    <n v="21.96"/>
    <s v="RFID"/>
  </r>
  <r>
    <s v="35238"/>
    <x v="0"/>
    <s v="T293 EHH"/>
    <x v="0"/>
    <x v="2"/>
    <x v="1"/>
    <s v="MT"/>
    <x v="13"/>
    <s v="21/04/2026 05:13:20 PM"/>
    <s v="21/04/2026 05:41:52 PM"/>
    <s v="36820"/>
    <s v="15620"/>
    <s v="21200"/>
    <n v="21.2"/>
    <s v="RFID"/>
  </r>
  <r>
    <s v="35239"/>
    <x v="0"/>
    <s v="T306 EHH"/>
    <x v="0"/>
    <x v="2"/>
    <x v="1"/>
    <s v="MT"/>
    <x v="13"/>
    <s v="21/04/2026 05:17:15 PM"/>
    <s v="21/04/2026 05:45:50 PM"/>
    <s v="39620"/>
    <s v="19980"/>
    <s v="19640"/>
    <n v="19.64"/>
    <s v="RFID"/>
  </r>
  <r>
    <s v="35240"/>
    <x v="0"/>
    <s v="T312 EHH"/>
    <x v="0"/>
    <x v="2"/>
    <x v="1"/>
    <s v="MT"/>
    <x v="13"/>
    <s v="21/04/2026 05:20:36 PM"/>
    <s v="21/04/2026 05:46:35 PM"/>
    <s v="37500"/>
    <s v="15420"/>
    <s v="22080"/>
    <n v="22.08"/>
    <s v="RFID"/>
  </r>
  <r>
    <s v="35241"/>
    <x v="0"/>
    <s v="T295 EHH"/>
    <x v="0"/>
    <x v="2"/>
    <x v="1"/>
    <s v="MT"/>
    <x v="13"/>
    <s v="21/04/2026 05:23:15 PM"/>
    <s v="21/04/2026 05:47:21 PM"/>
    <s v="36300"/>
    <s v="15440"/>
    <s v="20860"/>
    <n v="20.86"/>
    <s v="RFID"/>
  </r>
  <r>
    <s v="35242"/>
    <x v="0"/>
    <s v="T290 EHH"/>
    <x v="0"/>
    <x v="2"/>
    <x v="1"/>
    <s v="MT"/>
    <x v="13"/>
    <s v="21/04/2026 05:26:11 PM"/>
    <s v="21/04/2026 05:49:30 PM"/>
    <s v="37320"/>
    <s v="16480"/>
    <s v="20840"/>
    <n v="20.84"/>
    <s v="RFID"/>
  </r>
  <r>
    <s v="35243"/>
    <x v="0"/>
    <s v="T311 EHH"/>
    <x v="0"/>
    <x v="2"/>
    <x v="1"/>
    <s v="MT"/>
    <x v="13"/>
    <s v="21/04/2026 05:48:31 PM"/>
    <s v="21/04/2026 05:55:02 PM"/>
    <s v="38700"/>
    <s v="16520"/>
    <s v="22180"/>
    <n v="22.18"/>
    <s v="RFID"/>
  </r>
  <r>
    <s v="35244"/>
    <x v="0"/>
    <s v="T293 EHH"/>
    <x v="0"/>
    <x v="2"/>
    <x v="1"/>
    <s v="MT"/>
    <x v="13"/>
    <s v="21/04/2026 05:50:34 PM"/>
    <s v="21/04/2026 05:56:47 PM"/>
    <s v="38660"/>
    <s v="15640"/>
    <s v="23020"/>
    <n v="23.02"/>
    <s v="RFID"/>
  </r>
  <r>
    <s v="35245"/>
    <x v="0"/>
    <s v="T306 EHH"/>
    <x v="0"/>
    <x v="2"/>
    <x v="1"/>
    <s v="MT"/>
    <x v="13"/>
    <s v="21/04/2026 05:53:49 PM"/>
    <s v="21/04/2026 06:34:48 PM"/>
    <s v="41640"/>
    <s v="20220"/>
    <s v="21420"/>
    <n v="21.42"/>
    <s v="RFID"/>
  </r>
  <r>
    <s v="35246"/>
    <x v="0"/>
    <s v="T295 EHH"/>
    <x v="0"/>
    <x v="2"/>
    <x v="1"/>
    <s v="MT"/>
    <x v="13"/>
    <s v="21/04/2026 05:58:05 PM"/>
    <s v="21/04/2026 06:35:39 PM"/>
    <s v="37120"/>
    <s v="16380"/>
    <s v="20740"/>
    <n v="20.74"/>
    <s v="RFID"/>
  </r>
  <r>
    <s v="35247"/>
    <x v="0"/>
    <s v="T312 EHH"/>
    <x v="0"/>
    <x v="2"/>
    <x v="1"/>
    <s v="MT"/>
    <x v="13"/>
    <s v="21/04/2026 05:59:48 PM"/>
    <s v="21/04/2026 06:36:46 PM"/>
    <s v="36220"/>
    <s v="15500"/>
    <s v="20720"/>
    <n v="20.72"/>
    <s v="RFID"/>
  </r>
  <r>
    <s v="35248"/>
    <x v="0"/>
    <s v="T311 EHH"/>
    <x v="0"/>
    <x v="2"/>
    <x v="1"/>
    <s v="MT"/>
    <x v="13"/>
    <s v="21/04/2026 06:03:39 PM"/>
    <s v="21/04/2026 06:39:49 PM"/>
    <s v="37900"/>
    <s v="16460"/>
    <s v="21440"/>
    <n v="21.44"/>
    <s v="RFID"/>
  </r>
  <r>
    <s v="35249"/>
    <x v="0"/>
    <s v="T293 EHH"/>
    <x v="0"/>
    <x v="0"/>
    <x v="1"/>
    <s v="MT"/>
    <x v="13"/>
    <s v="21/04/2026 06:06:22 PM"/>
    <s v="21/04/2026 06:56:55 PM"/>
    <s v="36040"/>
    <s v="15700"/>
    <s v="20340"/>
    <n v="20.34"/>
    <s v="RFID"/>
  </r>
  <r>
    <s v="35250"/>
    <x v="0"/>
    <s v="T306 EHH"/>
    <x v="0"/>
    <x v="0"/>
    <x v="1"/>
    <s v="MT"/>
    <x v="13"/>
    <s v="21/04/2026 06:42:29 PM"/>
    <s v="21/04/2026 06:51:16 PM"/>
    <s v="40600"/>
    <s v="16420"/>
    <s v="24180"/>
    <n v="24.18"/>
    <s v="RFID"/>
  </r>
  <r>
    <s v="35251"/>
    <x v="0"/>
    <s v="T312 EHH"/>
    <x v="1"/>
    <x v="3"/>
    <x v="2"/>
    <s v="MT"/>
    <x v="13"/>
    <s v="21/04/2026 06:43:21 PM"/>
    <s v="21/04/2026 06:49:42 PM"/>
    <s v="42020"/>
    <s v="15560"/>
    <s v="26460"/>
    <n v="26.46"/>
    <s v="RFID"/>
  </r>
  <r>
    <s v="35252"/>
    <x v="0"/>
    <s v="T295 EHH"/>
    <x v="0"/>
    <x v="0"/>
    <x v="1"/>
    <s v="MT"/>
    <x v="13"/>
    <s v="21/04/2026 06:46:07 PM"/>
    <s v="21/04/2026 06:50:32 PM"/>
    <s v="41280"/>
    <s v="15560"/>
    <s v="25720"/>
    <n v="25.72"/>
    <s v="RFID"/>
  </r>
  <r>
    <s v="35253"/>
    <x v="0"/>
    <s v="T311 EHH"/>
    <x v="1"/>
    <x v="3"/>
    <x v="2"/>
    <s v="MT"/>
    <x v="13"/>
    <s v="21/04/2026 06:48:00 PM"/>
    <s v="21/04/2026 06:54:06 PM"/>
    <s v="46740"/>
    <s v="16680"/>
    <s v="30060"/>
    <n v="30.06"/>
    <s v="RFID"/>
  </r>
  <r>
    <s v="35254"/>
    <x v="0"/>
    <s v="T312 EHH"/>
    <x v="1"/>
    <x v="3"/>
    <x v="1"/>
    <s v="MT"/>
    <x v="13"/>
    <s v="21/04/2026 06:55:46 PM"/>
    <s v="21/04/2026 07:01:40 PM"/>
    <s v="45700"/>
    <s v="15500"/>
    <s v="30200"/>
    <n v="30.2"/>
    <s v="RFID"/>
  </r>
  <r>
    <s v="35255"/>
    <x v="0"/>
    <s v="T295 EHH"/>
    <x v="1"/>
    <x v="1"/>
    <x v="3"/>
    <s v="MT"/>
    <x v="13"/>
    <s v="21/04/2026 06:58:04 PM"/>
    <s v="21/04/2026 07:02:29 PM"/>
    <s v="41020"/>
    <s v="16880"/>
    <s v="24140"/>
    <n v="24.14"/>
    <s v="RFID"/>
  </r>
  <r>
    <s v="35256"/>
    <x v="0"/>
    <s v="T306 EHH"/>
    <x v="0"/>
    <x v="0"/>
    <x v="1"/>
    <s v="MT"/>
    <x v="13"/>
    <s v="21/04/2026 07:03:39 PM"/>
    <s v="21/04/2026 07:09:01 PM"/>
    <s v="36340"/>
    <s v="17380"/>
    <s v="18960"/>
    <n v="18.96"/>
    <s v="RFID"/>
  </r>
  <r>
    <s v="35257"/>
    <x v="0"/>
    <s v="T311 EHH"/>
    <x v="0"/>
    <x v="0"/>
    <x v="1"/>
    <s v="MT"/>
    <x v="13"/>
    <s v="21/04/2026 07:05:04 PM"/>
    <s v="21/04/2026 07:09:51 PM"/>
    <s v="36520"/>
    <s v="16540"/>
    <s v="19980"/>
    <n v="19.98"/>
    <s v="RFID"/>
  </r>
  <r>
    <s v="35258"/>
    <x v="0"/>
    <s v="T293 EHH"/>
    <x v="0"/>
    <x v="0"/>
    <x v="1"/>
    <s v="MT"/>
    <x v="13"/>
    <s v="21/04/2026 07:07:49 PM"/>
    <s v="21/04/2026 07:11:53 PM"/>
    <s v="35500"/>
    <s v="15680"/>
    <s v="19820"/>
    <n v="19.82"/>
    <s v="RFID"/>
  </r>
  <r>
    <s v="35259"/>
    <x v="0"/>
    <s v="T312 EHH"/>
    <x v="0"/>
    <x v="2"/>
    <x v="1"/>
    <s v="MT"/>
    <x v="13"/>
    <s v="21/04/2026 07:13:33 PM"/>
    <s v="21/04/2026 07:19:07 PM"/>
    <s v="36200"/>
    <s v="15580"/>
    <s v="20620"/>
    <n v="20.62"/>
    <s v="RFID"/>
  </r>
  <r>
    <s v="35260"/>
    <x v="0"/>
    <s v="T295 EHH"/>
    <x v="0"/>
    <x v="2"/>
    <x v="1"/>
    <s v="MT"/>
    <x v="13"/>
    <s v="21/04/2026 07:15:00 PM"/>
    <s v="21/04/2026 07:21:15 PM"/>
    <s v="37960"/>
    <s v="15560"/>
    <s v="22400"/>
    <n v="22.4"/>
    <s v="RFID"/>
  </r>
  <r>
    <s v="35261"/>
    <x v="0"/>
    <s v="T311 EHH"/>
    <x v="0"/>
    <x v="0"/>
    <x v="1"/>
    <s v="MT"/>
    <x v="13"/>
    <s v="21/04/2026 07:22:44 PM"/>
    <s v="21/04/2026 07:29:29 PM"/>
    <s v="36820"/>
    <s v="16560"/>
    <s v="20260"/>
    <n v="20.260000000000002"/>
    <s v="RFID"/>
  </r>
  <r>
    <s v="35262"/>
    <x v="0"/>
    <s v="T293 EHH"/>
    <x v="0"/>
    <x v="0"/>
    <x v="1"/>
    <s v="MT"/>
    <x v="13"/>
    <s v="21/04/2026 07:23:45 PM"/>
    <s v="21/04/2026 07:27:13 PM"/>
    <s v="40580"/>
    <s v="15680"/>
    <s v="24900"/>
    <n v="24.9"/>
    <s v="RFID"/>
  </r>
  <r>
    <s v="35263"/>
    <x v="0"/>
    <s v="T312 EHH"/>
    <x v="0"/>
    <x v="2"/>
    <x v="1"/>
    <s v="MT"/>
    <x v="13"/>
    <s v="21/04/2026 09:18:17 PM"/>
    <s v="21/04/2026 09:26:58 PM"/>
    <s v="37080"/>
    <s v="15520"/>
    <s v="21560"/>
    <n v="21.56"/>
    <s v="RFID"/>
  </r>
  <r>
    <s v="35264"/>
    <x v="0"/>
    <s v="T306 EHH"/>
    <x v="0"/>
    <x v="2"/>
    <x v="1"/>
    <s v="MT"/>
    <x v="13"/>
    <s v="21/04/2026 09:21:03 PM"/>
    <s v="21/04/2026 09:29:12 PM"/>
    <s v="38880"/>
    <s v="17960"/>
    <s v="20920"/>
    <n v="20.92"/>
    <s v="RFID"/>
  </r>
  <r>
    <s v="35265"/>
    <x v="0"/>
    <s v="T292 EHH"/>
    <x v="0"/>
    <x v="2"/>
    <x v="1"/>
    <s v="MT"/>
    <x v="13"/>
    <s v="21/04/2026 09:22:00 PM"/>
    <s v="21/04/2026 09:32:01 PM"/>
    <s v="38820"/>
    <s v="17240"/>
    <s v="21580"/>
    <n v="21.58"/>
    <s v="RFID"/>
  </r>
  <r>
    <s v="35266"/>
    <x v="0"/>
    <s v="T311 EHH"/>
    <x v="0"/>
    <x v="2"/>
    <x v="1"/>
    <s v="MT"/>
    <x v="13"/>
    <s v="21/04/2026 09:22:59 PM"/>
    <s v="21/04/2026 09:50:23 PM"/>
    <s v="38520"/>
    <s v="16660"/>
    <s v="21860"/>
    <n v="21.86"/>
    <s v="RFID"/>
  </r>
  <r>
    <s v="35267"/>
    <x v="0"/>
    <s v="T295 EHH"/>
    <x v="0"/>
    <x v="2"/>
    <x v="1"/>
    <s v="MT"/>
    <x v="13"/>
    <s v="21/04/2026 09:23:59 PM"/>
    <s v="21/04/2026 09:34:19 PM"/>
    <s v="37140"/>
    <s v="15600"/>
    <s v="21540"/>
    <n v="21.54"/>
    <s v="RFID"/>
  </r>
  <r>
    <s v="35268"/>
    <x v="0"/>
    <s v="T293 EHH"/>
    <x v="0"/>
    <x v="2"/>
    <x v="1"/>
    <s v="MT"/>
    <x v="13"/>
    <s v="21/04/2026 09:25:15 PM"/>
    <s v="21/04/2026 09:49:33 PM"/>
    <s v="37620"/>
    <s v="15660"/>
    <s v="21960"/>
    <n v="21.96"/>
    <s v="RFID"/>
  </r>
  <r>
    <s v="35269"/>
    <x v="0"/>
    <s v="T299 EHH"/>
    <x v="0"/>
    <x v="2"/>
    <x v="1"/>
    <s v="MT"/>
    <x v="13"/>
    <s v="21/04/2026 09:30:33 PM"/>
    <s v="21/04/2026 09:51:18 PM"/>
    <s v="38380"/>
    <s v="15900"/>
    <s v="22480"/>
    <n v="22.48"/>
    <s v="RFID"/>
  </r>
  <r>
    <s v="35270"/>
    <x v="0"/>
    <s v="T306 EHH"/>
    <x v="0"/>
    <x v="2"/>
    <x v="1"/>
    <s v="MT"/>
    <x v="13"/>
    <s v="21/04/2026 09:46:20 PM"/>
    <s v="21/04/2026 09:52:48 PM"/>
    <s v="37660"/>
    <s v="18500"/>
    <s v="19160"/>
    <n v="19.16"/>
    <s v="RFID"/>
  </r>
  <r>
    <s v="35271"/>
    <x v="0"/>
    <s v="T312 EHH"/>
    <x v="0"/>
    <x v="2"/>
    <x v="1"/>
    <s v="MT"/>
    <x v="13"/>
    <s v="21/04/2026 09:47:13 PM"/>
    <s v="21/04/2026 10:01:45 PM"/>
    <s v="37120"/>
    <s v="15500"/>
    <s v="21620"/>
    <n v="21.62"/>
    <s v="RFID"/>
  </r>
  <r>
    <s v="35272"/>
    <x v="0"/>
    <s v="T292 EHH"/>
    <x v="0"/>
    <x v="2"/>
    <x v="1"/>
    <s v="MT"/>
    <x v="13"/>
    <s v="21/04/2026 09:48:08 PM"/>
    <s v="21/04/2026 10:02:35 PM"/>
    <s v="38180"/>
    <s v="17400"/>
    <s v="20780"/>
    <n v="20.78"/>
    <s v="RFID"/>
  </r>
  <r>
    <s v="35273"/>
    <x v="0"/>
    <s v="T295 EHH"/>
    <x v="0"/>
    <x v="2"/>
    <x v="1"/>
    <s v="MT"/>
    <x v="13"/>
    <s v="21/04/2026 09:59:10 PM"/>
    <s v="21/04/2026 10:05:48 PM"/>
    <s v="34800"/>
    <s v="15600"/>
    <s v="19200"/>
    <n v="19.2"/>
    <s v="RFID"/>
  </r>
  <r>
    <s v="35274"/>
    <x v="0"/>
    <s v="T293 EHH"/>
    <x v="0"/>
    <x v="2"/>
    <x v="1"/>
    <s v="MT"/>
    <x v="13"/>
    <s v="21/04/2026 10:00:28 PM"/>
    <s v="21/04/2026 10:09:00 PM"/>
    <s v="37100"/>
    <s v="15700"/>
    <s v="21400"/>
    <n v="21.4"/>
    <s v="RFID"/>
  </r>
  <r>
    <s v="35275"/>
    <x v="0"/>
    <s v="T311 EHH"/>
    <x v="0"/>
    <x v="2"/>
    <x v="1"/>
    <s v="MT"/>
    <x v="13"/>
    <s v="21/04/2026 10:03:55 PM"/>
    <s v="21/04/2026 10:13:49 PM"/>
    <s v="38200"/>
    <s v="16620"/>
    <s v="21580"/>
    <n v="21.58"/>
    <s v="RFID"/>
  </r>
  <r>
    <s v="35276"/>
    <x v="0"/>
    <s v="T306 EHH"/>
    <x v="0"/>
    <x v="2"/>
    <x v="1"/>
    <s v="MT"/>
    <x v="13"/>
    <s v="21/04/2026 10:07:25 PM"/>
    <s v="21/04/2026 10:15:05 PM"/>
    <s v="36300"/>
    <s v="18880"/>
    <s v="17420"/>
    <n v="17.420000000000002"/>
    <s v="RFID"/>
  </r>
  <r>
    <s v="35277"/>
    <x v="0"/>
    <s v="T299 EHH"/>
    <x v="0"/>
    <x v="2"/>
    <x v="1"/>
    <s v="MT"/>
    <x v="13"/>
    <s v="21/04/2026 10:10:14 PM"/>
    <s v="21/04/2026 10:53:18 PM"/>
    <s v="37000"/>
    <s v="16060"/>
    <s v="20940"/>
    <n v="20.94"/>
    <s v="RFID"/>
  </r>
  <r>
    <s v="35278"/>
    <x v="0"/>
    <s v="T312 EHH"/>
    <x v="0"/>
    <x v="2"/>
    <x v="1"/>
    <s v="MT"/>
    <x v="13"/>
    <s v="21/04/2026 10:12:15 PM"/>
    <s v="21/04/2026 10:56:12 PM"/>
    <s v="38740"/>
    <s v="16000"/>
    <s v="22740"/>
    <n v="22.74"/>
    <s v="RFID"/>
  </r>
  <r>
    <s v="35279"/>
    <x v="0"/>
    <s v="T292 EHH"/>
    <x v="0"/>
    <x v="2"/>
    <x v="1"/>
    <s v="MT"/>
    <x v="13"/>
    <s v="21/04/2026 10:19:23 PM"/>
    <s v="21/04/2026 10:54:41 PM"/>
    <s v="37640"/>
    <s v="20620"/>
    <s v="17020"/>
    <n v="17.02"/>
    <s v="RFID"/>
  </r>
  <r>
    <s v="35280"/>
    <x v="0"/>
    <s v="T295 EHH"/>
    <x v="0"/>
    <x v="2"/>
    <x v="1"/>
    <s v="MT"/>
    <x v="13"/>
    <s v="21/04/2026 10:20:42 PM"/>
    <s v="21/04/2026 10:58:00 PM"/>
    <s v="36200"/>
    <s v="15520"/>
    <s v="20680"/>
    <n v="20.68"/>
    <s v="RFID"/>
  </r>
  <r>
    <s v="35281"/>
    <x v="0"/>
    <s v="T293 EHH"/>
    <x v="0"/>
    <x v="2"/>
    <x v="1"/>
    <s v="MT"/>
    <x v="13"/>
    <s v="21/04/2026 10:22:24 PM"/>
    <s v="21/04/2026 11:00:28 PM"/>
    <s v="36520"/>
    <s v="15780"/>
    <s v="20740"/>
    <n v="20.74"/>
    <s v="RFID"/>
  </r>
  <r>
    <s v="35282"/>
    <x v="0"/>
    <s v="T311 EHH"/>
    <x v="0"/>
    <x v="2"/>
    <x v="1"/>
    <s v="MT"/>
    <x v="13"/>
    <s v="21/04/2026 10:26:29 PM"/>
    <s v="21/04/2026 11:02:03 PM"/>
    <s v="34300"/>
    <s v="16640"/>
    <s v="17660"/>
    <n v="17.66"/>
    <s v="RFID"/>
  </r>
  <r>
    <s v="35283"/>
    <x v="0"/>
    <s v="T306 EHH"/>
    <x v="0"/>
    <x v="2"/>
    <x v="1"/>
    <s v="MT"/>
    <x v="13"/>
    <s v="21/04/2026 10:27:34 PM"/>
    <s v="21/04/2026 11:04:03 PM"/>
    <s v="36020"/>
    <s v="17060"/>
    <s v="18960"/>
    <n v="18.96"/>
    <s v="RFID"/>
  </r>
  <r>
    <s v="35284"/>
    <x v="0"/>
    <s v="T292 EHH"/>
    <x v="0"/>
    <x v="2"/>
    <x v="1"/>
    <s v="MT"/>
    <x v="13"/>
    <s v="21/04/2026 11:06:44 PM"/>
    <s v="21/04/2026 11:14:02 PM"/>
    <s v="36820"/>
    <s v="17500"/>
    <s v="19320"/>
    <n v="19.32"/>
    <s v="RFID"/>
  </r>
  <r>
    <s v="35285"/>
    <x v="0"/>
    <s v="T312 EHH"/>
    <x v="0"/>
    <x v="2"/>
    <x v="1"/>
    <s v="MT"/>
    <x v="13"/>
    <s v="21/04/2026 11:07:46 PM"/>
    <s v="21/04/2026 11:17:24 PM"/>
    <s v="35320"/>
    <s v="15620"/>
    <s v="19700"/>
    <n v="19.7"/>
    <s v="RFID"/>
  </r>
  <r>
    <s v="35286"/>
    <x v="0"/>
    <s v="T299 EHH"/>
    <x v="0"/>
    <x v="2"/>
    <x v="1"/>
    <s v="MT"/>
    <x v="13"/>
    <s v="21/04/2026 11:10:58 PM"/>
    <s v="21/04/2026 11:18:10 PM"/>
    <s v="33920"/>
    <s v="16020"/>
    <s v="17900"/>
    <n v="17.899999999999999"/>
    <s v="RFID"/>
  </r>
  <r>
    <s v="35287"/>
    <x v="0"/>
    <s v="T295 EHH"/>
    <x v="0"/>
    <x v="0"/>
    <x v="1"/>
    <s v="MT"/>
    <x v="13"/>
    <s v="21/04/2026 11:12:47 PM"/>
    <s v="21/04/2026 11:19:01 PM"/>
    <s v="34720"/>
    <s v="15440"/>
    <s v="19280"/>
    <n v="19.28"/>
    <s v="RFID"/>
  </r>
  <r>
    <s v="35288"/>
    <x v="0"/>
    <s v="T311 EHH"/>
    <x v="0"/>
    <x v="0"/>
    <x v="1"/>
    <s v="MT"/>
    <x v="13"/>
    <s v="21/04/2026 11:15:13 PM"/>
    <s v="21/04/2026 11:19:54 PM"/>
    <s v="34320"/>
    <s v="16660"/>
    <s v="17660"/>
    <n v="17.66"/>
    <s v="RFID"/>
  </r>
  <r>
    <s v="35289"/>
    <x v="0"/>
    <s v="T293 EHH"/>
    <x v="0"/>
    <x v="0"/>
    <x v="1"/>
    <s v="MT"/>
    <x v="13"/>
    <s v="21/04/2026 11:16:15 PM"/>
    <s v="21/04/2026 11:22:10 PM"/>
    <s v="35660"/>
    <s v="15800"/>
    <s v="19860"/>
    <n v="19.86"/>
    <s v="RFID"/>
  </r>
  <r>
    <s v="35290"/>
    <x v="0"/>
    <s v="T306 EHH"/>
    <x v="0"/>
    <x v="0"/>
    <x v="1"/>
    <s v="MT"/>
    <x v="13"/>
    <s v="21/04/2026 11:20:56 PM"/>
    <s v="21/04/2026 11:25:13 PM"/>
    <s v="37500"/>
    <s v="17080"/>
    <s v="20420"/>
    <n v="20.420000000000002"/>
    <s v="RFID"/>
  </r>
  <r>
    <s v="35291"/>
    <x v="0"/>
    <s v="T292 EHH"/>
    <x v="0"/>
    <x v="0"/>
    <x v="1"/>
    <s v="MT"/>
    <x v="13"/>
    <s v="21/04/2026 11:23:16 PM"/>
    <s v="21/04/2026 11:28:53 PM"/>
    <s v="38300"/>
    <s v="17480"/>
    <s v="20820"/>
    <n v="20.82"/>
    <s v="RFID"/>
  </r>
  <r>
    <s v="35292"/>
    <x v="0"/>
    <s v="T312 EHH"/>
    <x v="0"/>
    <x v="0"/>
    <x v="1"/>
    <s v="MT"/>
    <x v="13"/>
    <s v="21/04/2026 11:26:51 PM"/>
    <s v="21/04/2026 11:31:28 PM"/>
    <s v="33820"/>
    <s v="15620"/>
    <s v="18200"/>
    <n v="18.2"/>
    <s v="RFID"/>
  </r>
  <r>
    <s v="35293"/>
    <x v="0"/>
    <s v="T295 EHH"/>
    <x v="0"/>
    <x v="0"/>
    <x v="1"/>
    <s v="MT"/>
    <x v="13"/>
    <s v="21/04/2026 11:27:42 PM"/>
    <s v="21/04/2026 11:32:17 PM"/>
    <s v="32940"/>
    <s v="15440"/>
    <s v="17500"/>
    <n v="17.5"/>
    <s v="RFID"/>
  </r>
  <r>
    <s v="35294"/>
    <x v="0"/>
    <s v="T311 EHH"/>
    <x v="0"/>
    <x v="0"/>
    <x v="1"/>
    <s v="MT"/>
    <x v="13"/>
    <s v="21/04/2026 11:30:16 PM"/>
    <s v="21/04/2026 11:34:51 PM"/>
    <s v="33100"/>
    <s v="16640"/>
    <s v="16460"/>
    <n v="16.46"/>
    <s v="RFID"/>
  </r>
  <r>
    <s v="35295"/>
    <x v="0"/>
    <s v="T299 EHH"/>
    <x v="0"/>
    <x v="0"/>
    <x v="1"/>
    <s v="MT"/>
    <x v="13"/>
    <s v="21/04/2026 11:33:23 PM"/>
    <s v="21/04/2026 11:39:37 PM"/>
    <s v="36060"/>
    <s v="16020"/>
    <s v="20040"/>
    <n v="20.04"/>
    <s v="RFID"/>
  </r>
  <r>
    <s v="35296"/>
    <x v="0"/>
    <s v="T293 EHH"/>
    <x v="0"/>
    <x v="0"/>
    <x v="1"/>
    <s v="MT"/>
    <x v="13"/>
    <s v="21/04/2026 11:36:16 PM"/>
    <s v="21/04/2026 11:40:52 PM"/>
    <s v="33320"/>
    <s v="15740"/>
    <s v="17580"/>
    <n v="17.579999999999998"/>
    <s v="RFID"/>
  </r>
  <r>
    <s v="35297"/>
    <x v="0"/>
    <s v="T306 EHH"/>
    <x v="0"/>
    <x v="0"/>
    <x v="1"/>
    <s v="MT"/>
    <x v="13"/>
    <s v="21/04/2026 11:37:08 PM"/>
    <s v="21/04/2026 11:44:13 PM"/>
    <s v="34340"/>
    <s v="17220"/>
    <s v="17120"/>
    <n v="17.12"/>
    <s v="RFID"/>
  </r>
  <r>
    <s v="35298"/>
    <x v="0"/>
    <s v="T292 EHH"/>
    <x v="0"/>
    <x v="0"/>
    <x v="1"/>
    <s v="MT"/>
    <x v="13"/>
    <s v="21/04/2026 11:38:24 PM"/>
    <s v="21/04/2026 11:46:03 PM"/>
    <s v="35620"/>
    <s v="17420"/>
    <s v="18200"/>
    <n v="18.2"/>
    <s v="RFID"/>
  </r>
  <r>
    <s v="35299"/>
    <x v="0"/>
    <s v="T295 EHH"/>
    <x v="0"/>
    <x v="0"/>
    <x v="1"/>
    <s v="MT"/>
    <x v="13"/>
    <s v="21/04/2026 11:42:03 PM"/>
    <s v="21/04/2026 11:46:51 PM"/>
    <s v="35220"/>
    <s v="15460"/>
    <s v="19760"/>
    <n v="19.760000000000002"/>
    <s v="RFID"/>
  </r>
  <r>
    <s v="35300"/>
    <x v="0"/>
    <s v="T312 EHH"/>
    <x v="0"/>
    <x v="0"/>
    <x v="1"/>
    <s v="MT"/>
    <x v="13"/>
    <s v="21/04/2026 11:43:06 PM"/>
    <s v="21/04/2026 11:51:44 PM"/>
    <s v="37740"/>
    <s v="15540"/>
    <s v="22200"/>
    <n v="22.2"/>
    <s v="RFID"/>
  </r>
  <r>
    <s v="35301"/>
    <x v="0"/>
    <s v="T311 EHH"/>
    <x v="1"/>
    <x v="3"/>
    <x v="1"/>
    <s v="MT"/>
    <x v="13"/>
    <s v="21/04/2026 11:48:55 PM"/>
    <s v="21/04/2026 11:54:16 PM"/>
    <s v="40300"/>
    <s v="16660"/>
    <s v="23640"/>
    <n v="23.64"/>
    <s v="RFID"/>
  </r>
  <r>
    <s v="35302"/>
    <x v="0"/>
    <s v="T293 EHH"/>
    <x v="0"/>
    <x v="0"/>
    <x v="1"/>
    <s v="MT"/>
    <x v="13"/>
    <s v="21/04/2026 11:50:24 PM"/>
    <s v="21/04/2026 11:59:01 PM"/>
    <s v="37300"/>
    <s v="15720"/>
    <s v="21580"/>
    <n v="21.58"/>
    <s v="RFID"/>
  </r>
  <r>
    <s v="35303"/>
    <x v="0"/>
    <s v="T306 EHH"/>
    <x v="0"/>
    <x v="0"/>
    <x v="1"/>
    <s v="MT"/>
    <x v="13"/>
    <s v="21/04/2026 11:55:31 PM"/>
    <s v="21/04/2026 11:59:59 PM"/>
    <s v="34220"/>
    <s v="17380"/>
    <s v="16840"/>
    <n v="16.84"/>
    <s v="RFID"/>
  </r>
  <r>
    <s v="35304"/>
    <x v="0"/>
    <s v="T292 EHH"/>
    <x v="0"/>
    <x v="0"/>
    <x v="1"/>
    <s v="MT"/>
    <x v="13"/>
    <s v="21/04/2026 11:56:24 PM"/>
    <s v="22/04/2026 12:03:13 AM"/>
    <s v="37220"/>
    <s v="17380"/>
    <s v="19840"/>
    <n v="19.84"/>
    <s v="RFID"/>
  </r>
  <r>
    <s v="35305"/>
    <x v="0"/>
    <s v="T295 EHH"/>
    <x v="0"/>
    <x v="0"/>
    <x v="1"/>
    <s v="MT"/>
    <x v="13"/>
    <s v="21/04/2026 11:57:38 PM"/>
    <s v="22/04/2026 12:04:15 AM"/>
    <s v="35640"/>
    <s v="15380"/>
    <s v="20260"/>
    <n v="20.260000000000002"/>
    <s v="RFID"/>
  </r>
  <r>
    <s v="MN21042601"/>
    <x v="0"/>
    <s v="T312 EHH"/>
    <x v="1"/>
    <x v="3"/>
    <x v="1"/>
    <s v="MT"/>
    <x v="13"/>
    <s v="21/04/2026 11:57:38 PM"/>
    <s v="21/04/2026 11:57:38 PM"/>
    <s v="35380"/>
    <s v="15380"/>
    <s v="20000"/>
    <n v="20"/>
    <s v=""/>
  </r>
  <r>
    <s v="MN21042602"/>
    <x v="0"/>
    <s v="T295 EHH"/>
    <x v="1"/>
    <x v="3"/>
    <x v="1"/>
    <s v="MT"/>
    <x v="13"/>
    <s v="21/04/2026 11:57:38 PM"/>
    <s v="21/04/2026 11:57:38 PM"/>
    <s v="35380"/>
    <s v="15380"/>
    <s v="20000"/>
    <n v="20"/>
    <s v=""/>
  </r>
  <r>
    <s v="MN21042603"/>
    <x v="0"/>
    <s v="T311 EHH"/>
    <x v="1"/>
    <x v="3"/>
    <x v="1"/>
    <s v="MT"/>
    <x v="13"/>
    <s v="21/04/2026 11:57:38 PM"/>
    <s v="21/04/2026 11:57:38 PM"/>
    <s v="35380"/>
    <s v="15380"/>
    <s v="20000"/>
    <n v="20"/>
    <s v=""/>
  </r>
  <r>
    <s v="MN21042604"/>
    <x v="0"/>
    <s v="T299 EHH"/>
    <x v="1"/>
    <x v="3"/>
    <x v="1"/>
    <s v="MT"/>
    <x v="13"/>
    <s v="21/04/2026 11:57:38 PM"/>
    <s v="21/04/2026 11:57:38 PM"/>
    <s v="35380"/>
    <s v="15380"/>
    <s v="20000"/>
    <n v="20"/>
    <s v=""/>
  </r>
  <r>
    <s v="MN21042605"/>
    <x v="0"/>
    <s v="T293 EHH"/>
    <x v="1"/>
    <x v="3"/>
    <x v="1"/>
    <s v="MT"/>
    <x v="13"/>
    <s v="21/04/2026 11:57:38 PM"/>
    <s v="21/04/2026 11:57:38 PM"/>
    <s v="35380"/>
    <s v="15380"/>
    <s v="20000"/>
    <n v="20"/>
    <s v=""/>
  </r>
  <r>
    <s v="MN21042606"/>
    <x v="0"/>
    <s v="T306 EHH"/>
    <x v="0"/>
    <x v="0"/>
    <x v="1"/>
    <s v="MT"/>
    <x v="13"/>
    <s v="21/04/2026 11:57:38 PM"/>
    <s v="21/04/2026 11:57:38 PM"/>
    <s v="35380"/>
    <s v="15380"/>
    <s v="20000"/>
    <n v="20"/>
    <s v=""/>
  </r>
  <r>
    <s v="MN21042607"/>
    <x v="0"/>
    <s v="T292 EHH"/>
    <x v="0"/>
    <x v="0"/>
    <x v="1"/>
    <s v="MT"/>
    <x v="13"/>
    <s v="21/04/2026 11:57:38 PM"/>
    <s v="21/04/2026 11:57:38 PM"/>
    <s v="35380"/>
    <s v="15380"/>
    <s v="20000"/>
    <n v="20"/>
    <s v=""/>
  </r>
  <r>
    <s v="MN21042608"/>
    <x v="0"/>
    <s v="T295 EHH"/>
    <x v="0"/>
    <x v="0"/>
    <x v="1"/>
    <s v="MT"/>
    <x v="13"/>
    <s v="21/04/2026 11:57:38 PM"/>
    <s v="21/04/2026 11:57:38 PM"/>
    <s v="35380"/>
    <s v="15380"/>
    <s v="20000"/>
    <n v="20"/>
    <s v=""/>
  </r>
  <r>
    <s v="MN21042609"/>
    <x v="0"/>
    <s v="T312 EHH"/>
    <x v="0"/>
    <x v="0"/>
    <x v="1"/>
    <s v="MT"/>
    <x v="13"/>
    <s v="21/04/2026 11:57:38 PM"/>
    <s v="21/04/2026 11:57:38 PM"/>
    <s v="35380"/>
    <s v="15380"/>
    <s v="20000"/>
    <n v="20"/>
    <s v=""/>
  </r>
  <r>
    <s v="MN21042610"/>
    <x v="0"/>
    <s v="T311 EHH"/>
    <x v="0"/>
    <x v="0"/>
    <x v="1"/>
    <s v="MT"/>
    <x v="13"/>
    <s v="21/04/2026 11:57:38 PM"/>
    <s v="21/04/2026 11:57:38 PM"/>
    <s v="35380"/>
    <s v="15380"/>
    <s v="20000"/>
    <n v="20"/>
    <s v=""/>
  </r>
  <r>
    <s v="MN21042611"/>
    <x v="0"/>
    <s v="T293 EHH"/>
    <x v="0"/>
    <x v="0"/>
    <x v="1"/>
    <s v="MT"/>
    <x v="13"/>
    <s v="21/04/2026 11:57:38 PM"/>
    <s v="21/04/2026 11:57:38 PM"/>
    <s v="35380"/>
    <s v="15380"/>
    <s v="20000"/>
    <n v="20"/>
    <s v=""/>
  </r>
  <r>
    <s v="MN21042612"/>
    <x v="0"/>
    <s v="T306 EHH"/>
    <x v="0"/>
    <x v="0"/>
    <x v="1"/>
    <s v="MT"/>
    <x v="13"/>
    <s v="21/04/2026 11:57:38 PM"/>
    <s v="21/04/2026 11:57:38 PM"/>
    <s v="35380"/>
    <s v="15380"/>
    <s v="20000"/>
    <n v="20"/>
    <s v=""/>
  </r>
  <r>
    <s v="MN21042613"/>
    <x v="0"/>
    <s v="T292 EHH"/>
    <x v="0"/>
    <x v="0"/>
    <x v="1"/>
    <s v="MT"/>
    <x v="13"/>
    <s v="21/04/2026 11:57:38 PM"/>
    <s v="21/04/2026 11:57:38 PM"/>
    <s v="35380"/>
    <s v="15380"/>
    <s v="20000"/>
    <n v="20"/>
    <s v=""/>
  </r>
  <r>
    <s v="MN21042614"/>
    <x v="0"/>
    <s v="T295 EHH"/>
    <x v="0"/>
    <x v="0"/>
    <x v="1"/>
    <s v="MT"/>
    <x v="13"/>
    <s v="21/04/2026 11:57:38 PM"/>
    <s v="21/04/2026 11:57:38 PM"/>
    <s v="35380"/>
    <s v="15380"/>
    <s v="20000"/>
    <n v="20"/>
    <s v=""/>
  </r>
  <r>
    <s v="MN21042615"/>
    <x v="0"/>
    <s v="T312 EHH"/>
    <x v="0"/>
    <x v="0"/>
    <x v="1"/>
    <s v="MT"/>
    <x v="13"/>
    <s v="21/04/2026 11:57:38 PM"/>
    <s v="21/04/2026 11:57:38 PM"/>
    <s v="35380"/>
    <s v="15380"/>
    <s v="20000"/>
    <n v="20"/>
    <s v=""/>
  </r>
  <r>
    <s v="32503"/>
    <x v="0"/>
    <s v="T295 EHH"/>
    <x v="0"/>
    <x v="4"/>
    <x v="0"/>
    <s v="MT"/>
    <x v="14"/>
    <s v="03/04/2026 09:07:49 AM"/>
    <s v="03/04/2026 09:21:09 AM"/>
    <s v="37380"/>
    <s v="15900"/>
    <s v="21480"/>
    <n v="21.48"/>
    <s v="RFID"/>
  </r>
  <r>
    <s v="32504"/>
    <x v="0"/>
    <s v="T311 EHH"/>
    <x v="0"/>
    <x v="4"/>
    <x v="0"/>
    <s v="MT"/>
    <x v="14"/>
    <s v="03/04/2026 09:11:40 AM"/>
    <s v="03/04/2026 09:27:53 AM"/>
    <s v="35700"/>
    <s v="15680"/>
    <s v="20020"/>
    <n v="20.02"/>
    <s v="RFID"/>
  </r>
  <r>
    <s v="32505"/>
    <x v="0"/>
    <s v="T293 EHH"/>
    <x v="0"/>
    <x v="4"/>
    <x v="0"/>
    <s v="MT"/>
    <x v="14"/>
    <s v="03/04/2026 09:24:00 AM"/>
    <s v="03/04/2026 09:37:03 AM"/>
    <s v="36380"/>
    <s v="15520"/>
    <s v="20860"/>
    <n v="20.86"/>
    <s v="RFID"/>
  </r>
  <r>
    <s v="32506"/>
    <x v="0"/>
    <s v="T311 EHH"/>
    <x v="0"/>
    <x v="4"/>
    <x v="0"/>
    <s v="MT"/>
    <x v="14"/>
    <s v="03/04/2026 09:47:12 AM"/>
    <s v="03/04/2026 10:03:13 AM"/>
    <s v="36160"/>
    <s v="15680"/>
    <s v="20480"/>
    <n v="20.48"/>
    <s v="RFID"/>
  </r>
  <r>
    <s v="32507"/>
    <x v="0"/>
    <s v="T299 EHH"/>
    <x v="0"/>
    <x v="4"/>
    <x v="0"/>
    <s v="MT"/>
    <x v="14"/>
    <s v="03/04/2026 09:54:40 AM"/>
    <s v="03/04/2026 10:12:55 AM"/>
    <s v="36220"/>
    <s v="15160"/>
    <s v="21060"/>
    <n v="21.06"/>
    <s v="RFID"/>
  </r>
  <r>
    <s v="32509"/>
    <x v="0"/>
    <s v="T293 EHH"/>
    <x v="0"/>
    <x v="4"/>
    <x v="0"/>
    <s v="MT"/>
    <x v="14"/>
    <s v="03/04/2026 09:58:34 AM"/>
    <s v="03/04/2026 10:14:40 AM"/>
    <s v="36540"/>
    <s v="15520"/>
    <s v="21020"/>
    <n v="21.02"/>
    <s v="RFID"/>
  </r>
  <r>
    <s v="32510"/>
    <x v="0"/>
    <s v="T304 EHH"/>
    <x v="0"/>
    <x v="4"/>
    <x v="0"/>
    <s v="MT"/>
    <x v="14"/>
    <s v="03/04/2026 10:10:38 AM"/>
    <s v="03/04/2026 10:26:34 AM"/>
    <s v="38340"/>
    <s v="15420"/>
    <s v="22920"/>
    <n v="22.92"/>
    <s v="RFID"/>
  </r>
  <r>
    <s v="32511"/>
    <x v="0"/>
    <s v="T311 EHH"/>
    <x v="0"/>
    <x v="4"/>
    <x v="0"/>
    <s v="MT"/>
    <x v="14"/>
    <s v="03/04/2026 10:15:58 AM"/>
    <s v="03/04/2026 10:31:22 AM"/>
    <s v="38280"/>
    <s v="15860"/>
    <s v="22420"/>
    <n v="22.42"/>
    <s v="RFID"/>
  </r>
  <r>
    <s v="32512"/>
    <x v="0"/>
    <s v="T299 EHH"/>
    <x v="0"/>
    <x v="4"/>
    <x v="0"/>
    <s v="MT"/>
    <x v="14"/>
    <s v="03/04/2026 10:29:58 AM"/>
    <s v="03/04/2026 10:56:54 AM"/>
    <s v="38180"/>
    <s v="15260"/>
    <s v="22920"/>
    <n v="22.92"/>
    <s v="RFID"/>
  </r>
  <r>
    <s v="32513"/>
    <x v="0"/>
    <s v="T293 EHH"/>
    <x v="0"/>
    <x v="4"/>
    <x v="0"/>
    <s v="MT"/>
    <x v="14"/>
    <s v="03/04/2026 10:34:01 AM"/>
    <s v="03/04/2026 10:58:02 AM"/>
    <s v="37800"/>
    <s v="15500"/>
    <s v="22300"/>
    <n v="22.3"/>
    <s v="RFID"/>
  </r>
  <r>
    <s v="32514"/>
    <x v="0"/>
    <s v="T304 EHH"/>
    <x v="0"/>
    <x v="4"/>
    <x v="0"/>
    <s v="MT"/>
    <x v="14"/>
    <s v="03/04/2026 10:40:04 AM"/>
    <s v="03/04/2026 10:54:24 AM"/>
    <s v="39080"/>
    <s v="15480"/>
    <s v="23600"/>
    <n v="23.6"/>
    <s v="RFID"/>
  </r>
  <r>
    <s v="32515"/>
    <x v="0"/>
    <s v="T311 EHH"/>
    <x v="0"/>
    <x v="7"/>
    <x v="0"/>
    <s v="MT"/>
    <x v="14"/>
    <s v="03/04/2026 10:49:32 AM"/>
    <s v="03/04/2026 10:55:36 AM"/>
    <s v="39900"/>
    <s v="16000"/>
    <s v="23900"/>
    <n v="23.9"/>
    <s v="RFID"/>
  </r>
  <r>
    <s v="32517"/>
    <x v="0"/>
    <s v="T304 EHH"/>
    <x v="0"/>
    <x v="7"/>
    <x v="0"/>
    <s v="MT"/>
    <x v="14"/>
    <s v="03/04/2026 11:13:09 AM"/>
    <s v="03/04/2026 11:18:44 AM"/>
    <s v="40000"/>
    <s v="15420"/>
    <s v="24580"/>
    <n v="24.58"/>
    <s v="RFID"/>
  </r>
  <r>
    <s v="32518"/>
    <x v="0"/>
    <s v="T293 EHH"/>
    <x v="0"/>
    <x v="0"/>
    <x v="0"/>
    <s v="MT"/>
    <x v="14"/>
    <s v="03/04/2026 12:04:50 PM"/>
    <s v="03/04/2026 12:09:43 PM"/>
    <s v="38820"/>
    <s v="15480"/>
    <s v="23340"/>
    <n v="23.34"/>
    <s v="RFID"/>
  </r>
  <r>
    <s v="32519"/>
    <x v="0"/>
    <s v="T311 EHH"/>
    <x v="0"/>
    <x v="0"/>
    <x v="0"/>
    <s v="MT"/>
    <x v="14"/>
    <s v="03/04/2026 12:07:30 PM"/>
    <s v="03/04/2026 12:10:56 PM"/>
    <s v="41480"/>
    <s v="15920"/>
    <s v="25560"/>
    <n v="25.56"/>
    <s v="RFID"/>
  </r>
  <r>
    <s v="32520"/>
    <x v="0"/>
    <s v="T304 EHH"/>
    <x v="0"/>
    <x v="0"/>
    <x v="0"/>
    <s v="MT"/>
    <x v="14"/>
    <s v="03/04/2026 12:08:35 PM"/>
    <s v="03/04/2026 12:13:21 PM"/>
    <s v="39420"/>
    <s v="15600"/>
    <s v="23820"/>
    <n v="23.82"/>
    <s v="RFID"/>
  </r>
  <r>
    <s v="32521"/>
    <x v="0"/>
    <s v="T311 EHH"/>
    <x v="0"/>
    <x v="0"/>
    <x v="0"/>
    <s v="MT"/>
    <x v="14"/>
    <s v="03/04/2026 12:22:39 PM"/>
    <s v="03/04/2026 12:25:58 PM"/>
    <s v="42380"/>
    <s v="15920"/>
    <s v="26460"/>
    <n v="26.46"/>
    <s v="RFID"/>
  </r>
  <r>
    <s v="32522"/>
    <x v="0"/>
    <s v="T304 EHH"/>
    <x v="0"/>
    <x v="0"/>
    <x v="0"/>
    <s v="MT"/>
    <x v="14"/>
    <s v="03/04/2026 12:27:01 PM"/>
    <s v="03/04/2026 12:33:11 PM"/>
    <s v="40640"/>
    <s v="15640"/>
    <s v="25000"/>
    <n v="25"/>
    <s v="RFID"/>
  </r>
  <r>
    <s v="32524"/>
    <x v="0"/>
    <s v="T293 EHH"/>
    <x v="0"/>
    <x v="0"/>
    <x v="0"/>
    <s v="MT"/>
    <x v="14"/>
    <s v="03/04/2026 12:31:58 PM"/>
    <s v="03/04/2026 12:35:28 PM"/>
    <s v="41020"/>
    <s v="15480"/>
    <s v="25540"/>
    <n v="25.54"/>
    <s v="RFID"/>
  </r>
  <r>
    <s v="32525"/>
    <x v="0"/>
    <s v="T311 EHH"/>
    <x v="0"/>
    <x v="0"/>
    <x v="0"/>
    <s v="MT"/>
    <x v="14"/>
    <s v="03/04/2026 12:36:39 PM"/>
    <s v="03/04/2026 12:41:06 PM"/>
    <s v="39820"/>
    <s v="15920"/>
    <s v="23900"/>
    <n v="23.9"/>
    <s v="RFID"/>
  </r>
  <r>
    <s v="32526"/>
    <x v="0"/>
    <s v="T304 EHH"/>
    <x v="0"/>
    <x v="0"/>
    <x v="0"/>
    <s v="MT"/>
    <x v="14"/>
    <s v="03/04/2026 12:43:27 PM"/>
    <s v="03/04/2026 12:50:54 PM"/>
    <s v="38600"/>
    <s v="15760"/>
    <s v="22840"/>
    <n v="22.84"/>
    <s v="RFID"/>
  </r>
  <r>
    <s v="32527"/>
    <x v="0"/>
    <s v="T293 EHH"/>
    <x v="0"/>
    <x v="0"/>
    <x v="0"/>
    <s v="MT"/>
    <x v="14"/>
    <s v="03/04/2026 12:49:24 PM"/>
    <s v="03/04/2026 12:53:32 PM"/>
    <s v="39600"/>
    <s v="15460"/>
    <s v="24140"/>
    <n v="24.14"/>
    <s v="RFID"/>
  </r>
  <r>
    <s v="32528"/>
    <x v="0"/>
    <s v="T311 EHH"/>
    <x v="0"/>
    <x v="0"/>
    <x v="0"/>
    <s v="MT"/>
    <x v="14"/>
    <s v="03/04/2026 12:52:03 PM"/>
    <s v="03/04/2026 12:55:29 PM"/>
    <s v="40240"/>
    <s v="15880"/>
    <s v="24360"/>
    <n v="24.36"/>
    <s v="RFID"/>
  </r>
  <r>
    <s v="32530"/>
    <x v="0"/>
    <s v="T311 EHH"/>
    <x v="0"/>
    <x v="0"/>
    <x v="0"/>
    <s v="MT"/>
    <x v="14"/>
    <s v="03/04/2026 02:25:11 PM"/>
    <s v="03/04/2026 01:28:59 PM"/>
    <s v="36640"/>
    <s v="15820"/>
    <s v="20820"/>
    <n v="20.82"/>
    <s v="RFID"/>
  </r>
  <r>
    <s v="32531"/>
    <x v="0"/>
    <s v="T304 EHH"/>
    <x v="0"/>
    <x v="0"/>
    <x v="0"/>
    <s v="MT"/>
    <x v="14"/>
    <s v="03/04/2026 01:19:27 PM"/>
    <s v="03/04/2026 01:32:13 PM"/>
    <s v="38760"/>
    <s v="15600"/>
    <s v="23160"/>
    <n v="23.16"/>
    <s v="RFID"/>
  </r>
  <r>
    <s v="32533"/>
    <x v="0"/>
    <s v="T311 EHH"/>
    <x v="0"/>
    <x v="0"/>
    <x v="0"/>
    <s v="MT"/>
    <x v="14"/>
    <s v="03/04/2026 03:48:35 PM"/>
    <s v="03/04/2026 03:55:25 PM"/>
    <s v="38100"/>
    <s v="15680"/>
    <s v="22420"/>
    <n v="22.42"/>
    <s v="RFID"/>
  </r>
  <r>
    <s v="32534"/>
    <x v="0"/>
    <s v="T304 EHH"/>
    <x v="0"/>
    <x v="0"/>
    <x v="0"/>
    <s v="MT"/>
    <x v="14"/>
    <s v="03/04/2026 03:53:15 PM"/>
    <s v="03/04/2026 03:58:03 PM"/>
    <s v="40400"/>
    <s v="15500"/>
    <s v="24900"/>
    <n v="24.9"/>
    <s v="RFID"/>
  </r>
  <r>
    <s v="32535"/>
    <x v="0"/>
    <s v="T293 EHH"/>
    <x v="0"/>
    <x v="0"/>
    <x v="0"/>
    <s v="MT"/>
    <x v="14"/>
    <s v="03/04/2026 03:59:56 PM"/>
    <s v="03/04/2026 04:05:11 PM"/>
    <s v="38180"/>
    <s v="14800"/>
    <s v="23380"/>
    <n v="23.38"/>
    <s v="RFID"/>
  </r>
  <r>
    <s v="32536"/>
    <x v="0"/>
    <s v="T311 EHH"/>
    <x v="0"/>
    <x v="0"/>
    <x v="0"/>
    <s v="MT"/>
    <x v="14"/>
    <s v="03/04/2026 04:08:07 PM"/>
    <s v="03/04/2026 04:11:43 PM"/>
    <s v="36560"/>
    <s v="15680"/>
    <s v="20880"/>
    <n v="20.88"/>
    <s v="RFID"/>
  </r>
  <r>
    <s v="32538"/>
    <x v="0"/>
    <s v="T311 EHH"/>
    <x v="0"/>
    <x v="7"/>
    <x v="1"/>
    <s v="MT"/>
    <x v="14"/>
    <s v="03/04/2026 04:52:17 PM"/>
    <s v="03/04/2026 04:58:59 PM"/>
    <s v="37780"/>
    <s v="15680"/>
    <s v="22100"/>
    <n v="22.1"/>
    <s v="RFID"/>
  </r>
  <r>
    <s v="32539"/>
    <x v="0"/>
    <s v="T304 EHH"/>
    <x v="0"/>
    <x v="7"/>
    <x v="1"/>
    <s v="MT"/>
    <x v="14"/>
    <s v="03/04/2026 04:57:21 PM"/>
    <s v="03/04/2026 05:01:58 PM"/>
    <s v="37760"/>
    <s v="15700"/>
    <s v="22060"/>
    <n v="22.06"/>
    <s v="RFID"/>
  </r>
  <r>
    <s v="32540"/>
    <x v="0"/>
    <s v="T293 EHH"/>
    <x v="0"/>
    <x v="7"/>
    <x v="1"/>
    <s v="MT"/>
    <x v="14"/>
    <s v="03/04/2026 05:00:46 PM"/>
    <s v="03/04/2026 05:04:21 PM"/>
    <s v="37160"/>
    <s v="14920"/>
    <s v="22240"/>
    <n v="22.24"/>
    <s v="RFID"/>
  </r>
  <r>
    <s v="32541"/>
    <x v="0"/>
    <s v="T311 EHH"/>
    <x v="0"/>
    <x v="7"/>
    <x v="1"/>
    <s v="MT"/>
    <x v="14"/>
    <s v="03/04/2026 05:13:02 PM"/>
    <s v="03/04/2026 05:16:45 PM"/>
    <s v="36400"/>
    <s v="15740"/>
    <s v="20660"/>
    <n v="20.66"/>
    <s v="RFID"/>
  </r>
  <r>
    <s v="32542"/>
    <x v="0"/>
    <s v="T304 EHH"/>
    <x v="0"/>
    <x v="7"/>
    <x v="1"/>
    <s v="MT"/>
    <x v="14"/>
    <s v="03/04/2026 05:17:48 PM"/>
    <s v="03/04/2026 05:22:05 PM"/>
    <s v="37760"/>
    <s v="15660"/>
    <s v="22100"/>
    <n v="22.1"/>
    <s v="RFID"/>
  </r>
  <r>
    <s v="32543"/>
    <x v="0"/>
    <s v="T293 EHH"/>
    <x v="0"/>
    <x v="7"/>
    <x v="1"/>
    <s v="MT"/>
    <x v="14"/>
    <s v="03/04/2026 05:20:43 PM"/>
    <s v="03/04/2026 05:24:18 PM"/>
    <s v="36760"/>
    <s v="14840"/>
    <s v="21920"/>
    <n v="21.92"/>
    <s v="RFID"/>
  </r>
  <r>
    <s v="32544"/>
    <x v="0"/>
    <s v="T311 EHH"/>
    <x v="0"/>
    <x v="7"/>
    <x v="1"/>
    <s v="MT"/>
    <x v="14"/>
    <s v="03/04/2026 05:31:46 PM"/>
    <s v="03/04/2026 05:36:40 PM"/>
    <s v="36080"/>
    <s v="15720"/>
    <s v="20360"/>
    <n v="20.36"/>
    <s v="RFID"/>
  </r>
  <r>
    <s v="32546"/>
    <x v="0"/>
    <s v="T304 EHH"/>
    <x v="0"/>
    <x v="7"/>
    <x v="1"/>
    <s v="MT"/>
    <x v="14"/>
    <s v="03/04/2026 05:42:32 PM"/>
    <s v="03/04/2026 05:47:25 PM"/>
    <s v="34720"/>
    <s v="15640"/>
    <s v="19080"/>
    <n v="19.079999999999998"/>
    <s v="RFID"/>
  </r>
  <r>
    <s v="32547"/>
    <x v="0"/>
    <s v="T293 EHH"/>
    <x v="0"/>
    <x v="7"/>
    <x v="1"/>
    <s v="MT"/>
    <x v="14"/>
    <s v="03/04/2026 05:51:56 PM"/>
    <s v="03/04/2026 05:55:36 PM"/>
    <s v="38860"/>
    <s v="14840"/>
    <s v="24020"/>
    <n v="24.02"/>
    <s v="RFID"/>
  </r>
  <r>
    <s v="32548"/>
    <x v="0"/>
    <s v="T311 EHH"/>
    <x v="0"/>
    <x v="7"/>
    <x v="1"/>
    <s v="MT"/>
    <x v="14"/>
    <s v="03/04/2026 06:00:11 PM"/>
    <s v="03/04/2026 06:03:27 PM"/>
    <s v="38460"/>
    <s v="15780"/>
    <s v="22680"/>
    <n v="22.68"/>
    <s v="RFID"/>
  </r>
  <r>
    <s v="32550"/>
    <x v="0"/>
    <s v="T304 EHH"/>
    <x v="0"/>
    <x v="7"/>
    <x v="1"/>
    <s v="MT"/>
    <x v="14"/>
    <s v="03/04/2026 06:12:58 PM"/>
    <s v="03/04/2026 06:19:43 PM"/>
    <s v="39840"/>
    <s v="15560"/>
    <s v="24280"/>
    <n v="24.28"/>
    <s v="RFID"/>
  </r>
  <r>
    <s v="32551"/>
    <x v="0"/>
    <s v="T293 EHH"/>
    <x v="0"/>
    <x v="7"/>
    <x v="1"/>
    <s v="MT"/>
    <x v="14"/>
    <s v="03/04/2026 06:17:15 PM"/>
    <s v="03/04/2026 06:22:18 PM"/>
    <s v="38940"/>
    <s v="14760"/>
    <s v="24180"/>
    <n v="24.18"/>
    <s v="RFID"/>
  </r>
  <r>
    <s v="32552"/>
    <x v="0"/>
    <s v="T311 EHH"/>
    <x v="0"/>
    <x v="7"/>
    <x v="1"/>
    <s v="MT"/>
    <x v="14"/>
    <s v="03/04/2026 06:30:08 PM"/>
    <s v="03/04/2026 06:33:23 PM"/>
    <s v="37980"/>
    <s v="15820"/>
    <s v="22160"/>
    <n v="22.16"/>
    <s v="RFID"/>
  </r>
  <r>
    <s v="32553"/>
    <x v="0"/>
    <s v="T304 EHH"/>
    <x v="0"/>
    <x v="7"/>
    <x v="1"/>
    <s v="MT"/>
    <x v="14"/>
    <s v="03/04/2026 06:51:47 PM"/>
    <s v="03/04/2026 06:57:03 PM"/>
    <s v="39480"/>
    <s v="15680"/>
    <s v="23800"/>
    <n v="23.8"/>
    <s v="RFID"/>
  </r>
  <r>
    <s v="32554"/>
    <x v="0"/>
    <s v="T293 EHH"/>
    <x v="0"/>
    <x v="7"/>
    <x v="1"/>
    <s v="MT"/>
    <x v="14"/>
    <s v="03/04/2026 06:53:17 PM"/>
    <s v="03/04/2026 06:55:46 PM"/>
    <s v="35220"/>
    <s v="14840"/>
    <s v="20380"/>
    <n v="20.38"/>
    <s v="RFID"/>
  </r>
  <r>
    <s v="32555"/>
    <x v="0"/>
    <s v="T311 EHH"/>
    <x v="0"/>
    <x v="7"/>
    <x v="1"/>
    <s v="MT"/>
    <x v="14"/>
    <s v="03/04/2026 06:58:25 PM"/>
    <s v="03/04/2026 07:01:51 PM"/>
    <s v="34520"/>
    <s v="15800"/>
    <s v="18720"/>
    <n v="18.72"/>
    <s v="RFID"/>
  </r>
  <r>
    <s v="32556"/>
    <x v="0"/>
    <s v="T293 EHH"/>
    <x v="0"/>
    <x v="7"/>
    <x v="0"/>
    <s v="MT"/>
    <x v="14"/>
    <s v="03/04/2026 09:21:22 PM"/>
    <s v="03/04/2026 09:26:31 PM"/>
    <s v="33080"/>
    <s v="14940"/>
    <s v="18140"/>
    <n v="18.14"/>
    <s v="RFID"/>
  </r>
  <r>
    <s v="32557"/>
    <x v="0"/>
    <s v="T311 EHH"/>
    <x v="0"/>
    <x v="7"/>
    <x v="0"/>
    <s v="MT"/>
    <x v="14"/>
    <s v="03/04/2026 09:25:29 PM"/>
    <s v="03/04/2026 09:29:06 PM"/>
    <s v="38680"/>
    <s v="15760"/>
    <s v="22920"/>
    <n v="22.92"/>
    <s v="RFID"/>
  </r>
  <r>
    <s v="32558"/>
    <x v="0"/>
    <s v="T299 EHH"/>
    <x v="0"/>
    <x v="7"/>
    <x v="0"/>
    <s v="MT"/>
    <x v="14"/>
    <s v="03/04/2026 09:30:06 PM"/>
    <s v="03/04/2026 09:34:04 PM"/>
    <s v="39560"/>
    <s v="16520"/>
    <s v="23040"/>
    <n v="23.04"/>
    <s v="RFID"/>
  </r>
  <r>
    <s v="32559"/>
    <x v="0"/>
    <s v="T312 EHH"/>
    <x v="0"/>
    <x v="7"/>
    <x v="0"/>
    <s v="MT"/>
    <x v="14"/>
    <s v="03/04/2026 09:35:30 PM"/>
    <s v="03/04/2026 09:46:03 PM"/>
    <s v="39920"/>
    <s v="15580"/>
    <s v="24340"/>
    <n v="24.34"/>
    <s v="RFID"/>
  </r>
  <r>
    <s v="32560"/>
    <x v="0"/>
    <s v="T295 EHH"/>
    <x v="0"/>
    <x v="7"/>
    <x v="0"/>
    <s v="MT"/>
    <x v="14"/>
    <s v="03/04/2026 09:40:23 PM"/>
    <s v="03/04/2026 09:44:47 PM"/>
    <s v="39120"/>
    <s v="16180"/>
    <s v="22940"/>
    <n v="22.94"/>
    <s v="RFID"/>
  </r>
  <r>
    <s v="32561"/>
    <x v="0"/>
    <s v="T293 EHH"/>
    <x v="0"/>
    <x v="7"/>
    <x v="0"/>
    <s v="MT"/>
    <x v="14"/>
    <s v="03/04/2026 09:47:06 PM"/>
    <s v="03/04/2026 09:50:36 PM"/>
    <s v="36760"/>
    <s v="14920"/>
    <s v="21840"/>
    <n v="21.84"/>
    <s v="RFID"/>
  </r>
  <r>
    <s v="32562"/>
    <x v="0"/>
    <s v="T311 EHH"/>
    <x v="0"/>
    <x v="7"/>
    <x v="0"/>
    <s v="MT"/>
    <x v="14"/>
    <s v="03/04/2026 09:48:53 PM"/>
    <s v="03/04/2026 09:52:34 PM"/>
    <s v="41820"/>
    <s v="15780"/>
    <s v="26040"/>
    <n v="26.04"/>
    <s v="RFID"/>
  </r>
  <r>
    <s v="32563"/>
    <x v="0"/>
    <s v="T299 EHH"/>
    <x v="0"/>
    <x v="7"/>
    <x v="0"/>
    <s v="MT"/>
    <x v="14"/>
    <s v="03/04/2026 09:53:53 PM"/>
    <s v="03/04/2026 09:57:59 PM"/>
    <s v="39420"/>
    <s v="16560"/>
    <s v="22860"/>
    <n v="22.86"/>
    <s v="RFID"/>
  </r>
  <r>
    <s v="32564"/>
    <x v="0"/>
    <s v="T295 EHH"/>
    <x v="0"/>
    <x v="7"/>
    <x v="0"/>
    <s v="MT"/>
    <x v="14"/>
    <s v="03/04/2026 10:00:52 PM"/>
    <s v="03/04/2026 10:05:33 PM"/>
    <s v="38360"/>
    <s v="16720"/>
    <s v="21640"/>
    <n v="21.64"/>
    <s v="RFID"/>
  </r>
  <r>
    <s v="32565"/>
    <x v="0"/>
    <s v="T312 EHH"/>
    <x v="0"/>
    <x v="7"/>
    <x v="0"/>
    <s v="MT"/>
    <x v="14"/>
    <s v="03/04/2026 10:07:43 PM"/>
    <s v="03/04/2026 10:11:25 PM"/>
    <s v="40700"/>
    <s v="16000"/>
    <s v="24700"/>
    <n v="24.7"/>
    <s v="RFID"/>
  </r>
  <r>
    <s v="32391"/>
    <x v="0"/>
    <s v="T312 EHH"/>
    <x v="0"/>
    <x v="0"/>
    <x v="0"/>
    <s v="MT"/>
    <x v="15"/>
    <s v="31/03/2026 03:10:02 PM"/>
    <s v="31/03/2026 03:14:21 PM"/>
    <s v="36580"/>
    <s v="14940"/>
    <s v="21640"/>
    <n v="21.64"/>
    <s v="RFID"/>
  </r>
  <r>
    <s v="32392"/>
    <x v="0"/>
    <s v="T311 EHH"/>
    <x v="0"/>
    <x v="0"/>
    <x v="0"/>
    <s v="MT"/>
    <x v="15"/>
    <s v="31/03/2026 03:20:40 PM"/>
    <s v="31/03/2026 03:25:28 PM"/>
    <s v="36080"/>
    <s v="15360"/>
    <s v="20720"/>
    <n v="20.72"/>
    <s v="RFID"/>
  </r>
  <r>
    <s v="32393"/>
    <x v="0"/>
    <s v="T312 EHH"/>
    <x v="0"/>
    <x v="0"/>
    <x v="0"/>
    <s v="MT"/>
    <x v="15"/>
    <s v="31/03/2026 03:28:14 PM"/>
    <s v="31/03/2026 03:32:15 PM"/>
    <s v="36240"/>
    <s v="14920"/>
    <s v="21320"/>
    <n v="21.32"/>
    <s v="RFID"/>
  </r>
  <r>
    <s v="32566"/>
    <x v="0"/>
    <s v="T295 EHH"/>
    <x v="0"/>
    <x v="7"/>
    <x v="1"/>
    <s v="MT"/>
    <x v="16"/>
    <s v="04/04/2026 03:04:27 AM"/>
    <s v="04/04/2026 03:08:23 AM"/>
    <s v="43080"/>
    <s v="16440"/>
    <s v="26640"/>
    <n v="26.64"/>
    <s v="RFID"/>
  </r>
  <r>
    <s v="32567"/>
    <x v="0"/>
    <s v="T311 EHH"/>
    <x v="0"/>
    <x v="7"/>
    <x v="1"/>
    <s v="MT"/>
    <x v="16"/>
    <s v="04/04/2026 03:09:55 AM"/>
    <s v="04/04/2026 03:13:42 AM"/>
    <s v="41400"/>
    <s v="15800"/>
    <s v="25600"/>
    <n v="25.6"/>
    <s v="RFID"/>
  </r>
  <r>
    <s v="32568"/>
    <x v="0"/>
    <s v="T299 EHH"/>
    <x v="0"/>
    <x v="7"/>
    <x v="1"/>
    <s v="MT"/>
    <x v="16"/>
    <s v="04/04/2026 03:16:45 AM"/>
    <s v="04/04/2026 03:20:46 AM"/>
    <s v="41940"/>
    <s v="16540"/>
    <s v="25400"/>
    <n v="25.4"/>
    <s v="RFID"/>
  </r>
  <r>
    <s v="32569"/>
    <x v="0"/>
    <s v="T312 EHH"/>
    <x v="0"/>
    <x v="7"/>
    <x v="1"/>
    <s v="MT"/>
    <x v="16"/>
    <s v="04/04/2026 03:24:03 AM"/>
    <s v="04/04/2026 03:30:41 AM"/>
    <s v="41980"/>
    <s v="16060"/>
    <s v="25920"/>
    <n v="25.92"/>
    <s v="RFID"/>
  </r>
  <r>
    <s v="32570"/>
    <x v="0"/>
    <s v="T295 EHH"/>
    <x v="0"/>
    <x v="7"/>
    <x v="1"/>
    <s v="MT"/>
    <x v="16"/>
    <s v="04/04/2026 03:32:20 AM"/>
    <s v="04/04/2026 03:36:16 AM"/>
    <s v="41460"/>
    <s v="15360"/>
    <s v="26100"/>
    <n v="26.1"/>
    <s v="RFID"/>
  </r>
  <r>
    <s v="32571"/>
    <x v="0"/>
    <s v="T311 EHH"/>
    <x v="0"/>
    <x v="7"/>
    <x v="1"/>
    <s v="MT"/>
    <x v="16"/>
    <s v="04/04/2026 03:38:53 AM"/>
    <s v="04/04/2026 03:42:28 AM"/>
    <s v="38280"/>
    <s v="15780"/>
    <s v="22500"/>
    <n v="22.5"/>
    <s v="RFID"/>
  </r>
  <r>
    <s v="32572"/>
    <x v="0"/>
    <s v="T299 EHH"/>
    <x v="0"/>
    <x v="7"/>
    <x v="1"/>
    <s v="MT"/>
    <x v="16"/>
    <s v="04/04/2026 03:44:22 AM"/>
    <s v="04/04/2026 03:48:00 AM"/>
    <s v="41740"/>
    <s v="16540"/>
    <s v="25200"/>
    <n v="25.2"/>
    <s v="RFID"/>
  </r>
  <r>
    <s v="32573"/>
    <x v="0"/>
    <s v="T312 EHH"/>
    <x v="0"/>
    <x v="7"/>
    <x v="1"/>
    <s v="MT"/>
    <x v="16"/>
    <s v="04/04/2026 03:50:28 AM"/>
    <s v="04/04/2026 03:55:31 AM"/>
    <s v="43920"/>
    <s v="16300"/>
    <s v="27620"/>
    <n v="27.62"/>
    <s v="RFID"/>
  </r>
  <r>
    <s v="32574"/>
    <x v="0"/>
    <s v="T295 EHH"/>
    <x v="0"/>
    <x v="7"/>
    <x v="1"/>
    <s v="MT"/>
    <x v="16"/>
    <s v="04/04/2026 03:54:22 AM"/>
    <s v="04/04/2026 03:58:09 AM"/>
    <s v="45260"/>
    <s v="15360"/>
    <s v="29900"/>
    <n v="29.9"/>
    <s v="RFID"/>
  </r>
  <r>
    <s v="32575"/>
    <x v="0"/>
    <s v="T311 EHH"/>
    <x v="0"/>
    <x v="7"/>
    <x v="1"/>
    <s v="MT"/>
    <x v="16"/>
    <s v="04/04/2026 04:01:27 AM"/>
    <s v="04/04/2026 04:06:24 AM"/>
    <s v="43900"/>
    <s v="15800"/>
    <s v="28100"/>
    <n v="28.1"/>
    <s v="RFID"/>
  </r>
  <r>
    <s v="32576"/>
    <x v="0"/>
    <s v="T299 EHH"/>
    <x v="0"/>
    <x v="7"/>
    <x v="1"/>
    <s v="MT"/>
    <x v="16"/>
    <s v="04/04/2026 04:09:38 AM"/>
    <s v="04/04/2026 04:15:07 AM"/>
    <s v="43340"/>
    <s v="16540"/>
    <s v="26800"/>
    <n v="26.8"/>
    <s v="RFID"/>
  </r>
  <r>
    <s v="32577"/>
    <x v="0"/>
    <s v="T312 EHH"/>
    <x v="0"/>
    <x v="7"/>
    <x v="1"/>
    <s v="MT"/>
    <x v="16"/>
    <s v="04/04/2026 04:16:14 AM"/>
    <s v="04/04/2026 04:22:07 AM"/>
    <s v="44840"/>
    <s v="16360"/>
    <s v="28480"/>
    <n v="28.48"/>
    <s v="RFID"/>
  </r>
  <r>
    <s v="32578"/>
    <x v="0"/>
    <s v="T295 EHH"/>
    <x v="0"/>
    <x v="7"/>
    <x v="1"/>
    <s v="MT"/>
    <x v="16"/>
    <s v="04/04/2026 04:20:48 AM"/>
    <s v="04/04/2026 04:24:52 AM"/>
    <s v="45580"/>
    <s v="15600"/>
    <s v="29980"/>
    <n v="29.98"/>
    <s v="RFID"/>
  </r>
  <r>
    <s v="32579"/>
    <x v="0"/>
    <s v="T311 EHH"/>
    <x v="0"/>
    <x v="7"/>
    <x v="1"/>
    <s v="MT"/>
    <x v="16"/>
    <s v="04/04/2026 04:27:47 AM"/>
    <s v="04/04/2026 04:41:28 AM"/>
    <s v="47000"/>
    <s v="15800"/>
    <s v="31200"/>
    <n v="31.2"/>
    <s v="RFID"/>
  </r>
  <r>
    <s v="32580"/>
    <x v="0"/>
    <s v="T299 EHH"/>
    <x v="0"/>
    <x v="7"/>
    <x v="1"/>
    <s v="MT"/>
    <x v="16"/>
    <s v="04/04/2026 04:34:10 AM"/>
    <s v="04/04/2026 04:42:24 AM"/>
    <s v="44100"/>
    <s v="16540"/>
    <s v="27560"/>
    <n v="27.56"/>
    <s v="RFID"/>
  </r>
  <r>
    <s v="32581"/>
    <x v="0"/>
    <s v="T312 EHH"/>
    <x v="0"/>
    <x v="7"/>
    <x v="1"/>
    <s v="MT"/>
    <x v="16"/>
    <s v="04/04/2026 04:40:20 AM"/>
    <s v="04/04/2026 04:44:49 AM"/>
    <s v="43740"/>
    <s v="16440"/>
    <s v="27300"/>
    <n v="27.3"/>
    <s v="RFID"/>
  </r>
  <r>
    <s v="32582"/>
    <x v="0"/>
    <s v="T295 EHH"/>
    <x v="0"/>
    <x v="7"/>
    <x v="1"/>
    <s v="MT"/>
    <x v="16"/>
    <s v="04/04/2026 04:46:04 AM"/>
    <s v="04/04/2026 04:50:57 AM"/>
    <s v="45600"/>
    <s v="15620"/>
    <s v="29980"/>
    <n v="29.98"/>
    <s v="RFID"/>
  </r>
  <r>
    <s v="32583"/>
    <x v="0"/>
    <s v="T311 EHH"/>
    <x v="0"/>
    <x v="7"/>
    <x v="1"/>
    <s v="MT"/>
    <x v="16"/>
    <s v="04/04/2026 05:02:00 AM"/>
    <s v="04/04/2026 05:05:36 AM"/>
    <s v="46880"/>
    <s v="15780"/>
    <s v="31100"/>
    <n v="31.1"/>
    <s v="RFID"/>
  </r>
  <r>
    <s v="32584"/>
    <x v="0"/>
    <s v="T299 EHH"/>
    <x v="0"/>
    <x v="7"/>
    <x v="1"/>
    <s v="MT"/>
    <x v="16"/>
    <s v="04/04/2026 05:09:55 AM"/>
    <s v="04/04/2026 05:13:45 AM"/>
    <s v="45140"/>
    <s v="16540"/>
    <s v="28600"/>
    <n v="28.6"/>
    <s v="RFID"/>
  </r>
  <r>
    <s v="32585"/>
    <x v="0"/>
    <s v="T312 EHH"/>
    <x v="0"/>
    <x v="7"/>
    <x v="1"/>
    <s v="MT"/>
    <x v="16"/>
    <s v="04/04/2026 05:15:16 AM"/>
    <s v="04/04/2026 05:21:17 AM"/>
    <s v="44820"/>
    <s v="15440"/>
    <s v="29380"/>
    <n v="29.38"/>
    <s v="RFID"/>
  </r>
  <r>
    <s v="32586"/>
    <x v="0"/>
    <s v="T295 EHH"/>
    <x v="0"/>
    <x v="7"/>
    <x v="1"/>
    <s v="MT"/>
    <x v="16"/>
    <s v="04/04/2026 05:20:25 AM"/>
    <s v="04/04/2026 05:24:01 AM"/>
    <s v="40900"/>
    <s v="15560"/>
    <s v="25340"/>
    <n v="25.34"/>
    <s v="RFID"/>
  </r>
  <r>
    <s v="32587"/>
    <x v="0"/>
    <s v="T311 EHH"/>
    <x v="0"/>
    <x v="7"/>
    <x v="1"/>
    <s v="MT"/>
    <x v="16"/>
    <s v="04/04/2026 05:28:02 AM"/>
    <s v="04/04/2026 05:32:22 AM"/>
    <s v="40980"/>
    <s v="15780"/>
    <s v="25200"/>
    <n v="25.2"/>
    <s v="RFID"/>
  </r>
  <r>
    <s v="32588"/>
    <x v="0"/>
    <s v="T299 EHH"/>
    <x v="0"/>
    <x v="7"/>
    <x v="1"/>
    <s v="MT"/>
    <x v="16"/>
    <s v="04/04/2026 05:38:30 AM"/>
    <s v="04/04/2026 05:42:14 AM"/>
    <s v="44520"/>
    <s v="16540"/>
    <s v="27980"/>
    <n v="27.98"/>
    <s v="RFID"/>
  </r>
  <r>
    <s v="32589"/>
    <x v="0"/>
    <s v="T312 EHH"/>
    <x v="0"/>
    <x v="7"/>
    <x v="1"/>
    <s v="MT"/>
    <x v="16"/>
    <s v="04/04/2026 05:46:09 AM"/>
    <s v="04/04/2026 05:49:57 AM"/>
    <s v="43360"/>
    <s v="15580"/>
    <s v="27780"/>
    <n v="27.78"/>
    <s v="RFID"/>
  </r>
  <r>
    <s v="32590"/>
    <x v="0"/>
    <s v="T295 EHH"/>
    <x v="0"/>
    <x v="7"/>
    <x v="1"/>
    <s v="MT"/>
    <x v="16"/>
    <s v="04/04/2026 05:52:38 AM"/>
    <s v="04/04/2026 05:56:47 AM"/>
    <s v="44060"/>
    <s v="15580"/>
    <s v="28480"/>
    <n v="28.48"/>
    <s v="RFID"/>
  </r>
  <r>
    <s v="32591"/>
    <x v="0"/>
    <s v="T311 EHH"/>
    <x v="0"/>
    <x v="7"/>
    <x v="1"/>
    <s v="MT"/>
    <x v="16"/>
    <s v="04/04/2026 05:59:24 AM"/>
    <s v="04/04/2026 06:03:01 AM"/>
    <s v="44700"/>
    <s v="15760"/>
    <s v="28940"/>
    <n v="28.94"/>
    <s v="RFID"/>
  </r>
  <r>
    <s v="32592"/>
    <x v="0"/>
    <s v="T299 EHH"/>
    <x v="0"/>
    <x v="7"/>
    <x v="1"/>
    <s v="MT"/>
    <x v="16"/>
    <s v="04/04/2026 06:06:27 AM"/>
    <s v="04/04/2026 06:11:26 AM"/>
    <s v="47040"/>
    <s v="16540"/>
    <s v="30500"/>
    <n v="30.5"/>
    <s v="RFID"/>
  </r>
  <r>
    <s v="32593"/>
    <x v="0"/>
    <s v="T312 EHH"/>
    <x v="0"/>
    <x v="7"/>
    <x v="1"/>
    <s v="MT"/>
    <x v="16"/>
    <s v="04/04/2026 06:12:18 AM"/>
    <s v="04/04/2026 06:15:36 AM"/>
    <s v="47440"/>
    <s v="15580"/>
    <s v="31860"/>
    <n v="31.86"/>
    <s v="RFID"/>
  </r>
  <r>
    <s v="32594"/>
    <x v="0"/>
    <s v="T295 EHH"/>
    <x v="0"/>
    <x v="7"/>
    <x v="1"/>
    <s v="MT"/>
    <x v="16"/>
    <s v="04/04/2026 06:18:45 AM"/>
    <s v="04/04/2026 06:22:59 AM"/>
    <s v="45860"/>
    <s v="15580"/>
    <s v="30280"/>
    <n v="30.28"/>
    <s v="RFID"/>
  </r>
  <r>
    <s v="32595"/>
    <x v="0"/>
    <s v="T311 EHH"/>
    <x v="0"/>
    <x v="7"/>
    <x v="1"/>
    <s v="MT"/>
    <x v="16"/>
    <s v="04/04/2026 06:24:11 AM"/>
    <s v="04/04/2026 06:45:58 AM"/>
    <s v="43600"/>
    <s v="15780"/>
    <s v="27820"/>
    <n v="27.82"/>
    <s v="RFID"/>
  </r>
  <r>
    <s v="32596"/>
    <x v="0"/>
    <s v="T299 EHH"/>
    <x v="0"/>
    <x v="7"/>
    <x v="1"/>
    <s v="MT"/>
    <x v="16"/>
    <s v="04/04/2026 06:33:39 AM"/>
    <s v="04/04/2026 06:48:42 AM"/>
    <s v="44020"/>
    <s v="16540"/>
    <s v="27480"/>
    <n v="27.48"/>
    <s v="RFID"/>
  </r>
  <r>
    <s v="32597"/>
    <x v="0"/>
    <s v="T312 EHH"/>
    <x v="0"/>
    <x v="7"/>
    <x v="1"/>
    <s v="MT"/>
    <x v="16"/>
    <s v="04/04/2026 06:39:41 AM"/>
    <s v="04/04/2026 06:51:13 AM"/>
    <s v="41500"/>
    <s v="15500"/>
    <s v="26000"/>
    <n v="26"/>
    <s v="RFID"/>
  </r>
  <r>
    <s v="32598"/>
    <x v="0"/>
    <s v="T295 EHH"/>
    <x v="0"/>
    <x v="7"/>
    <x v="1"/>
    <s v="MT"/>
    <x v="16"/>
    <s v="04/04/2026 06:46:58 AM"/>
    <s v="04/04/2026 06:53:11 AM"/>
    <s v="36900"/>
    <s v="15580"/>
    <s v="21320"/>
    <n v="21.32"/>
    <s v="RFID"/>
  </r>
  <r>
    <s v="32599"/>
    <x v="0"/>
    <s v="T311 EHH"/>
    <x v="0"/>
    <x v="7"/>
    <x v="1"/>
    <s v="MT"/>
    <x v="16"/>
    <s v="04/04/2026 07:05:40 AM"/>
    <s v="04/04/2026 07:10:04 AM"/>
    <s v="35940"/>
    <s v="15800"/>
    <s v="20140"/>
    <n v="20.14"/>
    <s v="RFID"/>
  </r>
  <r>
    <s v="32600"/>
    <x v="0"/>
    <s v="T299 EHH"/>
    <x v="0"/>
    <x v="7"/>
    <x v="1"/>
    <s v="MT"/>
    <x v="16"/>
    <s v="04/04/2026 07:09:01 AM"/>
    <s v="04/04/2026 07:12:16 AM"/>
    <s v="33140"/>
    <s v="16540"/>
    <s v="16600"/>
    <n v="16.600000000000001"/>
    <s v="RFID"/>
  </r>
  <r>
    <s v="32601"/>
    <x v="0"/>
    <s v="T312 EHH"/>
    <x v="0"/>
    <x v="7"/>
    <x v="1"/>
    <s v="MT"/>
    <x v="16"/>
    <s v="04/04/2026 07:14:43 AM"/>
    <s v="04/04/2026 07:18:57 AM"/>
    <s v="34500"/>
    <s v="15660"/>
    <s v="18840"/>
    <n v="18.84"/>
    <s v="RFID"/>
  </r>
  <r>
    <s v="32602"/>
    <x v="0"/>
    <s v="T295 EHH"/>
    <x v="0"/>
    <x v="7"/>
    <x v="1"/>
    <s v="MT"/>
    <x v="16"/>
    <s v="04/04/2026 07:20:06 AM"/>
    <s v="04/04/2026 07:25:42 AM"/>
    <s v="36460"/>
    <s v="15540"/>
    <s v="20920"/>
    <n v="20.92"/>
    <s v="RFID"/>
  </r>
  <r>
    <s v="32603"/>
    <x v="0"/>
    <s v="T311 EHH"/>
    <x v="0"/>
    <x v="7"/>
    <x v="1"/>
    <s v="MT"/>
    <x v="16"/>
    <s v="04/04/2026 07:29:20 AM"/>
    <s v="04/04/2026 07:33:18 AM"/>
    <s v="38080"/>
    <s v="15840"/>
    <s v="22240"/>
    <n v="22.24"/>
    <s v="RFID"/>
  </r>
  <r>
    <s v="32604"/>
    <x v="0"/>
    <s v="T299 EHH"/>
    <x v="0"/>
    <x v="7"/>
    <x v="1"/>
    <s v="MT"/>
    <x v="16"/>
    <s v="04/04/2026 07:34:37 AM"/>
    <s v="04/04/2026 07:38:04 AM"/>
    <s v="38040"/>
    <s v="16580"/>
    <s v="21460"/>
    <n v="21.46"/>
    <s v="RFID"/>
  </r>
  <r>
    <s v="32606"/>
    <x v="0"/>
    <s v="T304 EHH"/>
    <x v="0"/>
    <x v="5"/>
    <x v="1"/>
    <s v="MT"/>
    <x v="16"/>
    <s v="04/04/2026 09:14:16 AM"/>
    <s v="04/04/2026 09:20:52 AM"/>
    <s v="34460"/>
    <s v="15640"/>
    <s v="18820"/>
    <n v="18.82"/>
    <s v="RFID"/>
  </r>
  <r>
    <s v="32607"/>
    <x v="0"/>
    <s v="T293 EHH"/>
    <x v="0"/>
    <x v="5"/>
    <x v="1"/>
    <s v="MT"/>
    <x v="16"/>
    <s v="04/04/2026 09:17:19 AM"/>
    <s v="04/04/2026 09:23:09 AM"/>
    <s v="36620"/>
    <s v="14960"/>
    <s v="21660"/>
    <n v="21.66"/>
    <s v="RFID"/>
  </r>
  <r>
    <s v="32608"/>
    <x v="0"/>
    <s v="T309 EHH"/>
    <x v="0"/>
    <x v="5"/>
    <x v="1"/>
    <s v="MT"/>
    <x v="16"/>
    <s v="04/04/2026 09:24:21 AM"/>
    <s v="04/04/2026 09:30:21 AM"/>
    <s v="38300"/>
    <s v="23780"/>
    <s v="14520"/>
    <n v="14.52"/>
    <s v="RFID"/>
  </r>
  <r>
    <s v="32609"/>
    <x v="0"/>
    <s v="T299 EHH"/>
    <x v="0"/>
    <x v="5"/>
    <x v="1"/>
    <s v="MT"/>
    <x v="16"/>
    <s v="04/04/2026 09:25:37 AM"/>
    <s v="04/04/2026 09:39:34 AM"/>
    <s v="35560"/>
    <s v="16680"/>
    <s v="18880"/>
    <n v="18.88"/>
    <s v="RFID"/>
  </r>
  <r>
    <s v="32610"/>
    <x v="0"/>
    <s v="T290 EHH"/>
    <x v="0"/>
    <x v="5"/>
    <x v="1"/>
    <s v="MT"/>
    <x v="16"/>
    <s v="04/04/2026 09:27:16 AM"/>
    <s v="04/04/2026 09:33:51 AM"/>
    <s v="35760"/>
    <s v="20640"/>
    <s v="15120"/>
    <n v="15.12"/>
    <s v="RFID"/>
  </r>
  <r>
    <s v="32611"/>
    <x v="0"/>
    <s v="T304 EHH"/>
    <x v="0"/>
    <x v="5"/>
    <x v="1"/>
    <s v="MT"/>
    <x v="16"/>
    <s v="04/04/2026 09:37:58 AM"/>
    <s v="04/04/2026 09:43:16 AM"/>
    <s v="33440"/>
    <s v="15640"/>
    <s v="17800"/>
    <n v="17.8"/>
    <s v="RFID"/>
  </r>
  <r>
    <s v="32612"/>
    <x v="0"/>
    <s v="T293 EHH"/>
    <x v="0"/>
    <x v="5"/>
    <x v="1"/>
    <s v="MT"/>
    <x v="16"/>
    <s v="04/04/2026 09:41:37 AM"/>
    <s v="04/04/2026 09:46:13 AM"/>
    <s v="36240"/>
    <s v="14920"/>
    <s v="21320"/>
    <n v="21.32"/>
    <s v="RFID"/>
  </r>
  <r>
    <s v="32613"/>
    <x v="0"/>
    <s v="T309 EHH"/>
    <x v="0"/>
    <x v="5"/>
    <x v="1"/>
    <s v="MT"/>
    <x v="16"/>
    <s v="04/04/2026 09:48:37 AM"/>
    <s v="04/04/2026 09:55:18 AM"/>
    <s v="38300"/>
    <s v="25320"/>
    <s v="12980"/>
    <n v="12.98"/>
    <s v="RFID"/>
  </r>
  <r>
    <s v="32614"/>
    <x v="0"/>
    <s v="T290 EHH"/>
    <x v="0"/>
    <x v="5"/>
    <x v="1"/>
    <s v="MT"/>
    <x v="16"/>
    <s v="04/04/2026 09:52:28 AM"/>
    <s v="04/04/2026 09:58:15 AM"/>
    <s v="34840"/>
    <s v="14920"/>
    <s v="19920"/>
    <n v="19.920000000000002"/>
    <s v="RFID"/>
  </r>
  <r>
    <s v="32615"/>
    <x v="0"/>
    <s v="T299 EHH"/>
    <x v="0"/>
    <x v="5"/>
    <x v="1"/>
    <s v="MT"/>
    <x v="16"/>
    <s v="04/04/2026 09:56:57 AM"/>
    <s v="04/04/2026 10:04:01 AM"/>
    <s v="35000"/>
    <s v="16660"/>
    <s v="18340"/>
    <n v="18.34"/>
    <s v="RFID"/>
  </r>
  <r>
    <s v="32617"/>
    <x v="0"/>
    <s v="T304 EHH"/>
    <x v="0"/>
    <x v="5"/>
    <x v="1"/>
    <s v="MT"/>
    <x v="16"/>
    <s v="04/04/2026 10:01:49 AM"/>
    <s v="04/04/2026 10:09:08 AM"/>
    <s v="35560"/>
    <s v="15660"/>
    <s v="19900"/>
    <n v="19.899999999999999"/>
    <s v="RFID"/>
  </r>
  <r>
    <s v="32618"/>
    <x v="0"/>
    <s v="T293 EHH"/>
    <x v="0"/>
    <x v="5"/>
    <x v="1"/>
    <s v="MT"/>
    <x v="16"/>
    <s v="04/04/2026 10:05:11 AM"/>
    <s v="04/04/2026 10:11:01 AM"/>
    <s v="36060"/>
    <s v="14860"/>
    <s v="21200"/>
    <n v="21.2"/>
    <s v="RFID"/>
  </r>
  <r>
    <s v="32619"/>
    <x v="0"/>
    <s v="T309 EHH"/>
    <x v="0"/>
    <x v="5"/>
    <x v="1"/>
    <s v="MT"/>
    <x v="16"/>
    <s v="04/04/2026 10:15:53 AM"/>
    <s v="04/04/2026 10:22:15 AM"/>
    <s v="34160"/>
    <s v="14580"/>
    <s v="19580"/>
    <n v="19.579999999999998"/>
    <s v="RFID"/>
  </r>
  <r>
    <s v="32620"/>
    <x v="0"/>
    <s v="T290 EHH"/>
    <x v="0"/>
    <x v="5"/>
    <x v="1"/>
    <s v="MT"/>
    <x v="16"/>
    <s v="04/04/2026 10:18:55 AM"/>
    <s v="04/04/2026 10:24:24 AM"/>
    <s v="33860"/>
    <s v="15000"/>
    <s v="18860"/>
    <n v="18.86"/>
    <s v="RFID"/>
  </r>
  <r>
    <s v="32621"/>
    <x v="0"/>
    <s v="T299 EHH"/>
    <x v="0"/>
    <x v="5"/>
    <x v="1"/>
    <s v="MT"/>
    <x v="16"/>
    <s v="04/04/2026 10:23:17 AM"/>
    <s v="04/04/2026 10:29:04 AM"/>
    <s v="35020"/>
    <s v="16720"/>
    <s v="18300"/>
    <n v="18.3"/>
    <s v="RFID"/>
  </r>
  <r>
    <s v="32622"/>
    <x v="0"/>
    <s v="T304 EHH"/>
    <x v="0"/>
    <x v="5"/>
    <x v="1"/>
    <s v="MT"/>
    <x v="16"/>
    <s v="04/04/2026 10:27:55 AM"/>
    <s v="04/04/2026 10:34:39 AM"/>
    <s v="36060"/>
    <s v="15720"/>
    <s v="20340"/>
    <n v="20.34"/>
    <s v="RFID"/>
  </r>
  <r>
    <s v="32623"/>
    <x v="0"/>
    <s v="T293 EHH"/>
    <x v="0"/>
    <x v="5"/>
    <x v="1"/>
    <s v="MT"/>
    <x v="16"/>
    <s v="04/04/2026 10:33:22 AM"/>
    <s v="04/04/2026 10:40:04 AM"/>
    <s v="37480"/>
    <s v="15020"/>
    <s v="22460"/>
    <n v="22.46"/>
    <s v="RFID"/>
  </r>
  <r>
    <s v="32624"/>
    <x v="0"/>
    <s v="T309 EHH"/>
    <x v="0"/>
    <x v="5"/>
    <x v="1"/>
    <s v="MT"/>
    <x v="16"/>
    <s v="04/04/2026 10:38:42 AM"/>
    <s v="04/04/2026 10:43:55 AM"/>
    <s v="33440"/>
    <s v="18500"/>
    <s v="14940"/>
    <n v="14.94"/>
    <s v="RFID"/>
  </r>
  <r>
    <s v="32625"/>
    <x v="0"/>
    <s v="T290 EHH"/>
    <x v="0"/>
    <x v="5"/>
    <x v="1"/>
    <s v="MT"/>
    <x v="16"/>
    <s v="04/04/2026 10:45:08 AM"/>
    <s v="04/04/2026 10:51:43 AM"/>
    <s v="34380"/>
    <s v="15040"/>
    <s v="19340"/>
    <n v="19.34"/>
    <s v="RFID"/>
  </r>
  <r>
    <s v="32626"/>
    <x v="0"/>
    <s v="T299 EHH"/>
    <x v="0"/>
    <x v="5"/>
    <x v="1"/>
    <s v="MT"/>
    <x v="16"/>
    <s v="04/04/2026 10:45:59 AM"/>
    <s v="04/04/2026 11:06:48 AM"/>
    <s v="37760"/>
    <s v="16640"/>
    <s v="21120"/>
    <n v="21.12"/>
    <s v="RFID"/>
  </r>
  <r>
    <s v="32627"/>
    <x v="0"/>
    <s v="T304 EHH"/>
    <x v="0"/>
    <x v="5"/>
    <x v="1"/>
    <s v="MT"/>
    <x v="16"/>
    <s v="04/04/2026 10:55:43 AM"/>
    <s v="04/04/2026 11:02:28 AM"/>
    <s v="38920"/>
    <s v="15740"/>
    <s v="23180"/>
    <n v="23.18"/>
    <s v="RFID"/>
  </r>
  <r>
    <s v="32628"/>
    <x v="0"/>
    <s v="T293 EHH"/>
    <x v="0"/>
    <x v="5"/>
    <x v="1"/>
    <s v="MT"/>
    <x v="16"/>
    <s v="04/04/2026 11:00:19 AM"/>
    <s v="04/04/2026 11:04:56 AM"/>
    <s v="36080"/>
    <s v="14980"/>
    <s v="21100"/>
    <n v="21.1"/>
    <s v="RFID"/>
  </r>
  <r>
    <s v="32629"/>
    <x v="0"/>
    <s v="T309 EHH"/>
    <x v="0"/>
    <x v="5"/>
    <x v="1"/>
    <s v="MT"/>
    <x v="16"/>
    <s v="04/04/2026 11:01:11 AM"/>
    <s v="04/04/2026 11:11:08 AM"/>
    <s v="38300"/>
    <s v="14820"/>
    <s v="23480"/>
    <n v="23.48"/>
    <s v="RFID"/>
  </r>
  <r>
    <s v="32630"/>
    <x v="0"/>
    <s v="T290 EHH"/>
    <x v="0"/>
    <x v="5"/>
    <x v="1"/>
    <s v="MT"/>
    <x v="16"/>
    <s v="04/04/2026 11:09:57 AM"/>
    <s v="04/04/2026 11:16:35 AM"/>
    <s v="37900"/>
    <s v="15040"/>
    <s v="22860"/>
    <n v="22.86"/>
    <s v="RFID"/>
  </r>
  <r>
    <s v="32632"/>
    <x v="0"/>
    <s v="T304 EHH"/>
    <x v="0"/>
    <x v="5"/>
    <x v="1"/>
    <s v="MT"/>
    <x v="16"/>
    <s v="04/04/2026 11:20:01 AM"/>
    <s v="04/04/2026 11:29:11 AM"/>
    <s v="37900"/>
    <s v="15680"/>
    <s v="22220"/>
    <n v="22.22"/>
    <s v="RFID"/>
  </r>
  <r>
    <s v="32633"/>
    <x v="0"/>
    <s v="T293 EHH"/>
    <x v="0"/>
    <x v="5"/>
    <x v="1"/>
    <s v="MT"/>
    <x v="16"/>
    <s v="04/04/2026 11:26:13 AM"/>
    <s v="04/04/2026 11:32:48 AM"/>
    <s v="37220"/>
    <s v="15000"/>
    <s v="22220"/>
    <n v="22.22"/>
    <s v="RFID"/>
  </r>
  <r>
    <s v="32634"/>
    <x v="0"/>
    <s v="T299 EHH"/>
    <x v="0"/>
    <x v="5"/>
    <x v="1"/>
    <s v="MT"/>
    <x v="16"/>
    <s v="04/04/2026 11:27:41 AM"/>
    <s v="04/04/2026 11:34:01 AM"/>
    <s v="39340"/>
    <s v="16680"/>
    <s v="22660"/>
    <n v="22.66"/>
    <s v="RFID"/>
  </r>
  <r>
    <s v="32635"/>
    <x v="0"/>
    <s v="T309 EHH"/>
    <x v="0"/>
    <x v="5"/>
    <x v="1"/>
    <s v="MT"/>
    <x v="16"/>
    <s v="04/04/2026 11:31:28 AM"/>
    <s v="04/04/2026 11:40:05 AM"/>
    <s v="38780"/>
    <s v="15860"/>
    <s v="22920"/>
    <n v="22.92"/>
    <s v="RFID"/>
  </r>
  <r>
    <s v="32636"/>
    <x v="0"/>
    <s v="T290 EHH"/>
    <x v="0"/>
    <x v="5"/>
    <x v="1"/>
    <s v="MT"/>
    <x v="16"/>
    <s v="04/04/2026 11:37:26 AM"/>
    <s v="04/04/2026 12:24:19 PM"/>
    <s v="39980"/>
    <s v="15280"/>
    <s v="24700"/>
    <n v="24.7"/>
    <s v="RFID"/>
  </r>
  <r>
    <s v="32637"/>
    <x v="0"/>
    <s v="T304 EHH"/>
    <x v="0"/>
    <x v="5"/>
    <x v="1"/>
    <s v="MT"/>
    <x v="16"/>
    <s v="04/04/2026 11:47:20 AM"/>
    <s v="04/04/2026 12:25:46 PM"/>
    <s v="35880"/>
    <s v="15680"/>
    <s v="20200"/>
    <n v="20.2"/>
    <s v="RFID"/>
  </r>
  <r>
    <s v="32638"/>
    <x v="0"/>
    <s v="T293 EHH"/>
    <x v="0"/>
    <x v="5"/>
    <x v="1"/>
    <s v="MT"/>
    <x v="16"/>
    <s v="04/04/2026 11:54:20 AM"/>
    <s v="04/04/2026 12:28:36 PM"/>
    <s v="37680"/>
    <s v="14920"/>
    <s v="22760"/>
    <n v="22.76"/>
    <s v="RFID"/>
  </r>
  <r>
    <s v="32639"/>
    <x v="0"/>
    <s v="T309 EHH"/>
    <x v="0"/>
    <x v="5"/>
    <x v="1"/>
    <s v="MT"/>
    <x v="16"/>
    <s v="04/04/2026 12:00:11 PM"/>
    <s v="04/04/2026 12:35:22 PM"/>
    <s v="40920"/>
    <s v="14940"/>
    <s v="25980"/>
    <n v="25.98"/>
    <s v="RFID"/>
  </r>
  <r>
    <s v="32640"/>
    <x v="0"/>
    <s v="T299 EHH"/>
    <x v="0"/>
    <x v="5"/>
    <x v="1"/>
    <s v="MT"/>
    <x v="16"/>
    <s v="04/04/2026 12:04:37 PM"/>
    <s v="04/04/2026 12:29:50 PM"/>
    <s v="36500"/>
    <s v="16640"/>
    <s v="19860"/>
    <n v="19.86"/>
    <s v="RFID"/>
  </r>
  <r>
    <s v="32643"/>
    <x v="0"/>
    <s v="T290 EHH"/>
    <x v="0"/>
    <x v="5"/>
    <x v="1"/>
    <s v="MT"/>
    <x v="16"/>
    <s v="04/04/2026 12:39:10 PM"/>
    <s v="04/04/2026 12:44:43 PM"/>
    <s v="35220"/>
    <s v="15160"/>
    <s v="20060"/>
    <n v="20.059999999999999"/>
    <s v="RFID"/>
  </r>
  <r>
    <s v="32644"/>
    <x v="0"/>
    <s v="T304 EHH"/>
    <x v="0"/>
    <x v="5"/>
    <x v="1"/>
    <s v="MT"/>
    <x v="16"/>
    <s v="04/04/2026 12:43:31 PM"/>
    <s v="04/04/2026 12:49:01 PM"/>
    <s v="34380"/>
    <s v="15660"/>
    <s v="18720"/>
    <n v="18.72"/>
    <s v="RFID"/>
  </r>
  <r>
    <s v="32645"/>
    <x v="0"/>
    <s v="T293 EHH"/>
    <x v="0"/>
    <x v="5"/>
    <x v="1"/>
    <s v="MT"/>
    <x v="16"/>
    <s v="04/04/2026 12:45:51 PM"/>
    <s v="04/04/2026 12:50:54 PM"/>
    <s v="36780"/>
    <s v="14980"/>
    <s v="21800"/>
    <n v="21.8"/>
    <s v="RFID"/>
  </r>
  <r>
    <s v="32646"/>
    <x v="0"/>
    <s v="T299 EHH"/>
    <x v="0"/>
    <x v="5"/>
    <x v="1"/>
    <s v="MT"/>
    <x v="16"/>
    <s v="04/04/2026 12:46:58 PM"/>
    <s v="04/04/2026 12:53:35 PM"/>
    <s v="32540"/>
    <s v="16640"/>
    <s v="15900"/>
    <n v="15.9"/>
    <s v="RFID"/>
  </r>
  <r>
    <s v="32647"/>
    <x v="0"/>
    <s v="T309 EHH"/>
    <x v="0"/>
    <x v="5"/>
    <x v="1"/>
    <s v="MT"/>
    <x v="16"/>
    <s v="04/04/2026 12:52:05 PM"/>
    <s v="04/04/2026 12:59:24 PM"/>
    <s v="33300"/>
    <s v="14940"/>
    <s v="18360"/>
    <n v="18.36"/>
    <s v="RFID"/>
  </r>
  <r>
    <s v="32648"/>
    <x v="0"/>
    <s v="T290 EHH"/>
    <x v="0"/>
    <x v="5"/>
    <x v="1"/>
    <s v="MT"/>
    <x v="16"/>
    <s v="04/04/2026 12:58:17 PM"/>
    <s v="04/04/2026 01:01:50 PM"/>
    <s v="34620"/>
    <s v="15200"/>
    <s v="19420"/>
    <n v="19.420000000000002"/>
    <s v="RFID"/>
  </r>
  <r>
    <s v="32652"/>
    <x v="0"/>
    <s v="T304 EHH"/>
    <x v="0"/>
    <x v="5"/>
    <x v="1"/>
    <s v="MT"/>
    <x v="16"/>
    <s v="04/04/2026 02:36:24 PM"/>
    <s v="04/04/2026 02:44:39 PM"/>
    <s v="34320"/>
    <s v="15840"/>
    <s v="18480"/>
    <n v="18.48"/>
    <s v="RFID"/>
  </r>
  <r>
    <s v="32653"/>
    <x v="0"/>
    <s v="T309 EHH"/>
    <x v="0"/>
    <x v="5"/>
    <x v="1"/>
    <s v="MT"/>
    <x v="16"/>
    <s v="04/04/2026 02:39:21 PM"/>
    <s v="04/04/2026 02:45:38 PM"/>
    <s v="34520"/>
    <s v="14840"/>
    <s v="19680"/>
    <n v="19.68"/>
    <s v="RFID"/>
  </r>
  <r>
    <s v="32654"/>
    <x v="0"/>
    <s v="T299 EHH"/>
    <x v="0"/>
    <x v="5"/>
    <x v="1"/>
    <s v="MT"/>
    <x v="16"/>
    <s v="04/04/2026 02:41:22 PM"/>
    <s v="04/04/2026 02:46:39 PM"/>
    <s v="36720"/>
    <s v="15020"/>
    <s v="21700"/>
    <n v="21.7"/>
    <s v="RFID"/>
  </r>
  <r>
    <s v="32655"/>
    <x v="0"/>
    <s v="T293 EHH"/>
    <x v="0"/>
    <x v="5"/>
    <x v="1"/>
    <s v="MT"/>
    <x v="16"/>
    <s v="04/04/2026 02:42:19 PM"/>
    <s v="04/04/2026 02:48:44 PM"/>
    <s v="33960"/>
    <s v="14980"/>
    <s v="18980"/>
    <n v="18.98"/>
    <s v="RFID"/>
  </r>
  <r>
    <s v="32656"/>
    <x v="0"/>
    <s v="T290 EHH"/>
    <x v="0"/>
    <x v="5"/>
    <x v="1"/>
    <s v="MT"/>
    <x v="16"/>
    <s v="04/04/2026 02:47:42 PM"/>
    <s v="04/04/2026 02:51:53 PM"/>
    <s v="34020"/>
    <s v="16160"/>
    <s v="17860"/>
    <n v="17.86"/>
    <s v="RFID"/>
  </r>
  <r>
    <s v="32657"/>
    <x v="0"/>
    <s v="T304 EHH"/>
    <x v="0"/>
    <x v="5"/>
    <x v="1"/>
    <s v="MT"/>
    <x v="16"/>
    <s v="04/04/2026 02:59:30 PM"/>
    <s v="04/04/2026 03:05:31 PM"/>
    <s v="35520"/>
    <s v="15880"/>
    <s v="19640"/>
    <n v="19.64"/>
    <s v="RFID"/>
  </r>
  <r>
    <s v="32658"/>
    <x v="0"/>
    <s v="T299 EHH"/>
    <x v="0"/>
    <x v="5"/>
    <x v="1"/>
    <s v="MT"/>
    <x v="16"/>
    <s v="04/04/2026 03:02:10 PM"/>
    <s v="04/04/2026 03:08:13 PM"/>
    <s v="33420"/>
    <s v="15020"/>
    <s v="18400"/>
    <n v="18.399999999999999"/>
    <s v="RFID"/>
  </r>
  <r>
    <s v="32659"/>
    <x v="0"/>
    <s v="T309 EHH"/>
    <x v="0"/>
    <x v="5"/>
    <x v="1"/>
    <s v="MT"/>
    <x v="16"/>
    <s v="04/04/2026 03:07:04 PM"/>
    <s v="04/04/2026 03:12:57 PM"/>
    <s v="33640"/>
    <s v="14880"/>
    <s v="18760"/>
    <n v="18.760000000000002"/>
    <s v="RFID"/>
  </r>
  <r>
    <s v="32660"/>
    <x v="0"/>
    <s v="T293 EHH"/>
    <x v="0"/>
    <x v="5"/>
    <x v="1"/>
    <s v="MT"/>
    <x v="16"/>
    <s v="04/04/2026 03:09:17 PM"/>
    <s v="04/04/2026 03:14:15 PM"/>
    <s v="34260"/>
    <s v="14900"/>
    <s v="19360"/>
    <n v="19.36"/>
    <s v="RFID"/>
  </r>
  <r>
    <s v="32661"/>
    <x v="0"/>
    <s v="T290 EHH"/>
    <x v="0"/>
    <x v="5"/>
    <x v="1"/>
    <s v="MT"/>
    <x v="16"/>
    <s v="04/04/2026 03:15:16 PM"/>
    <s v="04/04/2026 03:29:25 PM"/>
    <s v="34920"/>
    <s v="15060"/>
    <s v="19860"/>
    <n v="19.86"/>
    <s v="RFID"/>
  </r>
  <r>
    <s v="32662"/>
    <x v="0"/>
    <s v="T304 EHH"/>
    <x v="0"/>
    <x v="5"/>
    <x v="1"/>
    <s v="MT"/>
    <x v="16"/>
    <s v="04/04/2026 03:27:08 PM"/>
    <s v="04/04/2026 03:34:52 PM"/>
    <s v="35180"/>
    <s v="15800"/>
    <s v="19380"/>
    <n v="19.38"/>
    <s v="RFID"/>
  </r>
  <r>
    <s v="32663"/>
    <x v="0"/>
    <s v="T299 EHH"/>
    <x v="0"/>
    <x v="5"/>
    <x v="1"/>
    <s v="MT"/>
    <x v="16"/>
    <s v="04/04/2026 03:28:18 PM"/>
    <s v="04/04/2026 03:35:54 PM"/>
    <s v="34180"/>
    <s v="14900"/>
    <s v="19280"/>
    <n v="19.28"/>
    <s v="RFID"/>
  </r>
  <r>
    <s v="32664"/>
    <x v="0"/>
    <s v="T309 EHH"/>
    <x v="0"/>
    <x v="5"/>
    <x v="1"/>
    <s v="MT"/>
    <x v="16"/>
    <s v="04/04/2026 03:30:43 PM"/>
    <s v="04/04/2026 03:36:57 PM"/>
    <s v="35240"/>
    <s v="14860"/>
    <s v="20380"/>
    <n v="20.38"/>
    <s v="RFID"/>
  </r>
  <r>
    <s v="32665"/>
    <x v="0"/>
    <s v="T293 EHH"/>
    <x v="0"/>
    <x v="5"/>
    <x v="0"/>
    <s v="MT"/>
    <x v="16"/>
    <s v="04/04/2026 03:33:17 PM"/>
    <s v="04/04/2026 03:42:56 PM"/>
    <s v="35320"/>
    <s v="14880"/>
    <s v="20440"/>
    <n v="20.440000000000001"/>
    <s v="RFID"/>
  </r>
  <r>
    <s v="32667"/>
    <x v="0"/>
    <s v="T290 EHH"/>
    <x v="0"/>
    <x v="5"/>
    <x v="0"/>
    <s v="MT"/>
    <x v="16"/>
    <s v="04/04/2026 03:44:22 PM"/>
    <s v="04/04/2026 03:56:21 PM"/>
    <s v="34680"/>
    <s v="15140"/>
    <s v="19540"/>
    <n v="19.54"/>
    <s v="RFID"/>
  </r>
  <r>
    <s v="32669"/>
    <x v="0"/>
    <s v="T304 EHH"/>
    <x v="0"/>
    <x v="5"/>
    <x v="0"/>
    <s v="MT"/>
    <x v="16"/>
    <s v="04/04/2026 03:48:36 PM"/>
    <s v="04/04/2026 03:59:06 PM"/>
    <s v="34860"/>
    <s v="15720"/>
    <s v="19140"/>
    <n v="19.14"/>
    <s v="RFID"/>
  </r>
  <r>
    <s v="32670"/>
    <x v="0"/>
    <s v="T299 EHH"/>
    <x v="0"/>
    <x v="5"/>
    <x v="0"/>
    <s v="MT"/>
    <x v="16"/>
    <s v="04/04/2026 03:49:32 PM"/>
    <s v="04/04/2026 04:00:21 PM"/>
    <s v="34700"/>
    <s v="14860"/>
    <s v="19840"/>
    <n v="19.84"/>
    <s v="RFID"/>
  </r>
  <r>
    <s v="32671"/>
    <x v="0"/>
    <s v="T309 EHH"/>
    <x v="0"/>
    <x v="5"/>
    <x v="0"/>
    <s v="MT"/>
    <x v="16"/>
    <s v="04/04/2026 03:52:55 PM"/>
    <s v="04/04/2026 04:02:55 PM"/>
    <s v="34220"/>
    <s v="14880"/>
    <s v="19340"/>
    <n v="19.34"/>
    <s v="RFID"/>
  </r>
  <r>
    <s v="32672"/>
    <x v="0"/>
    <s v="T293 EHH"/>
    <x v="0"/>
    <x v="5"/>
    <x v="0"/>
    <s v="MT"/>
    <x v="16"/>
    <s v="04/04/2026 03:57:47 PM"/>
    <s v="04/04/2026 04:04:30 PM"/>
    <s v="34200"/>
    <s v="15000"/>
    <s v="19200"/>
    <n v="19.2"/>
    <s v="RFID"/>
  </r>
  <r>
    <s v="32673"/>
    <x v="0"/>
    <s v="T290 EHH"/>
    <x v="0"/>
    <x v="5"/>
    <x v="0"/>
    <s v="MT"/>
    <x v="16"/>
    <s v="04/04/2026 04:09:53 PM"/>
    <s v="04/04/2026 04:14:49 PM"/>
    <s v="36760"/>
    <s v="15140"/>
    <s v="21620"/>
    <n v="21.62"/>
    <s v="RFID"/>
  </r>
  <r>
    <s v="32674"/>
    <x v="0"/>
    <s v="T304 EHH"/>
    <x v="0"/>
    <x v="5"/>
    <x v="0"/>
    <s v="MT"/>
    <x v="16"/>
    <s v="04/04/2026 04:13:40 PM"/>
    <s v="04/04/2026 04:18:26 PM"/>
    <s v="34500"/>
    <s v="15800"/>
    <s v="18700"/>
    <n v="18.7"/>
    <s v="RFID"/>
  </r>
  <r>
    <s v="32675"/>
    <x v="0"/>
    <s v="T299 EHH"/>
    <x v="0"/>
    <x v="5"/>
    <x v="0"/>
    <s v="MT"/>
    <x v="16"/>
    <s v="04/04/2026 04:15:31 PM"/>
    <s v="04/04/2026 04:19:50 PM"/>
    <s v="33500"/>
    <s v="14900"/>
    <s v="18600"/>
    <n v="18.600000000000001"/>
    <s v="RFID"/>
  </r>
  <r>
    <s v="32676"/>
    <x v="0"/>
    <s v="T293 EHH"/>
    <x v="0"/>
    <x v="5"/>
    <x v="0"/>
    <s v="MT"/>
    <x v="16"/>
    <s v="04/04/2026 04:25:05 PM"/>
    <s v="04/04/2026 04:28:39 PM"/>
    <s v="32720"/>
    <s v="14960"/>
    <s v="17760"/>
    <n v="17.760000000000002"/>
    <s v="RFID"/>
  </r>
  <r>
    <s v="32677"/>
    <x v="0"/>
    <s v="T309 EHH"/>
    <x v="0"/>
    <x v="5"/>
    <x v="0"/>
    <s v="MT"/>
    <x v="16"/>
    <s v="04/04/2026 04:26:25 PM"/>
    <s v="04/04/2026 04:32:45 PM"/>
    <s v="33660"/>
    <s v="14880"/>
    <s v="18780"/>
    <n v="18.78"/>
    <s v="RFID"/>
  </r>
  <r>
    <s v="32678"/>
    <x v="0"/>
    <s v="T290 EHH"/>
    <x v="0"/>
    <x v="5"/>
    <x v="0"/>
    <s v="MT"/>
    <x v="16"/>
    <s v="04/04/2026 04:27:47 PM"/>
    <s v="04/04/2026 04:33:47 PM"/>
    <s v="34220"/>
    <s v="15120"/>
    <s v="19100"/>
    <n v="19.100000000000001"/>
    <s v="RFID"/>
  </r>
  <r>
    <s v="32679"/>
    <x v="0"/>
    <s v="T304 EHH"/>
    <x v="0"/>
    <x v="5"/>
    <x v="0"/>
    <s v="MT"/>
    <x v="16"/>
    <s v="04/04/2026 04:31:31 PM"/>
    <s v="04/04/2026 04:36:33 PM"/>
    <s v="35480"/>
    <s v="15800"/>
    <s v="19680"/>
    <n v="19.68"/>
    <s v="RFID"/>
  </r>
  <r>
    <s v="32680"/>
    <x v="0"/>
    <s v="T299 EHH"/>
    <x v="0"/>
    <x v="5"/>
    <x v="0"/>
    <s v="MT"/>
    <x v="16"/>
    <s v="04/04/2026 04:34:50 PM"/>
    <s v="04/04/2026 04:39:22 PM"/>
    <s v="34820"/>
    <s v="14980"/>
    <s v="19840"/>
    <n v="19.84"/>
    <s v="RFID"/>
  </r>
  <r>
    <s v="32681"/>
    <x v="0"/>
    <s v="T293 EHH"/>
    <x v="0"/>
    <x v="5"/>
    <x v="0"/>
    <s v="MT"/>
    <x v="16"/>
    <s v="04/04/2026 04:42:19 PM"/>
    <s v="04/04/2026 04:47:59 PM"/>
    <s v="34680"/>
    <s v="14900"/>
    <s v="19780"/>
    <n v="19.78"/>
    <s v="RFID"/>
  </r>
  <r>
    <s v="32682"/>
    <x v="0"/>
    <s v="T290 EHH"/>
    <x v="0"/>
    <x v="5"/>
    <x v="0"/>
    <s v="MT"/>
    <x v="16"/>
    <s v="04/04/2026 04:47:00 PM"/>
    <s v="04/04/2026 04:52:00 PM"/>
    <s v="33660"/>
    <s v="15120"/>
    <s v="18540"/>
    <n v="18.54"/>
    <s v="RFID"/>
  </r>
  <r>
    <s v="32683"/>
    <x v="0"/>
    <s v="T304 EHH"/>
    <x v="0"/>
    <x v="5"/>
    <x v="0"/>
    <s v="MT"/>
    <x v="16"/>
    <s v="04/04/2026 04:50:45 PM"/>
    <s v="04/04/2026 04:57:35 PM"/>
    <s v="34740"/>
    <s v="15780"/>
    <s v="18960"/>
    <n v="18.96"/>
    <s v="RFID"/>
  </r>
  <r>
    <s v="32684"/>
    <x v="0"/>
    <s v="T299 EHH"/>
    <x v="0"/>
    <x v="5"/>
    <x v="0"/>
    <s v="MT"/>
    <x v="16"/>
    <s v="04/04/2026 04:56:14 PM"/>
    <s v="04/04/2026 05:00:44 PM"/>
    <s v="35060"/>
    <s v="15740"/>
    <s v="19320"/>
    <n v="19.32"/>
    <s v="RFID"/>
  </r>
  <r>
    <s v="32686"/>
    <x v="0"/>
    <s v="T293 EHH"/>
    <x v="0"/>
    <x v="5"/>
    <x v="0"/>
    <s v="MT"/>
    <x v="16"/>
    <s v="04/04/2026 05:02:19 PM"/>
    <s v="04/04/2026 05:09:10 PM"/>
    <s v="33540"/>
    <s v="14960"/>
    <s v="18580"/>
    <n v="18.579999999999998"/>
    <s v="RFID"/>
  </r>
  <r>
    <s v="32687"/>
    <x v="0"/>
    <s v="T290 EHH"/>
    <x v="0"/>
    <x v="5"/>
    <x v="0"/>
    <s v="MT"/>
    <x v="16"/>
    <s v="04/04/2026 05:07:00 PM"/>
    <s v="04/04/2026 05:12:06 PM"/>
    <s v="33740"/>
    <s v="15140"/>
    <s v="18600"/>
    <n v="18.600000000000001"/>
    <s v="RFID"/>
  </r>
  <r>
    <s v="32688"/>
    <x v="0"/>
    <s v="T304 EHH"/>
    <x v="0"/>
    <x v="5"/>
    <x v="0"/>
    <s v="MT"/>
    <x v="16"/>
    <s v="04/04/2026 05:10:11 PM"/>
    <s v="04/04/2026 05:15:08 PM"/>
    <s v="34460"/>
    <s v="15840"/>
    <s v="18620"/>
    <n v="18.62"/>
    <s v="RFID"/>
  </r>
  <r>
    <s v="32689"/>
    <x v="0"/>
    <s v="T299 EHH"/>
    <x v="0"/>
    <x v="5"/>
    <x v="0"/>
    <s v="MT"/>
    <x v="16"/>
    <s v="04/04/2026 05:13:08 PM"/>
    <s v="04/04/2026 05:18:47 PM"/>
    <s v="33080"/>
    <s v="15140"/>
    <s v="17940"/>
    <n v="17.940000000000001"/>
    <s v="RFID"/>
  </r>
  <r>
    <s v="32690"/>
    <x v="0"/>
    <s v="T293 EHH"/>
    <x v="0"/>
    <x v="5"/>
    <x v="0"/>
    <s v="MT"/>
    <x v="16"/>
    <s v="04/04/2026 05:22:50 PM"/>
    <s v="04/04/2026 05:27:47 PM"/>
    <s v="34660"/>
    <s v="14960"/>
    <s v="19700"/>
    <n v="19.7"/>
    <s v="RFID"/>
  </r>
  <r>
    <s v="32691"/>
    <x v="0"/>
    <s v="T290 EHH"/>
    <x v="0"/>
    <x v="5"/>
    <x v="0"/>
    <s v="MT"/>
    <x v="16"/>
    <s v="04/04/2026 05:25:01 PM"/>
    <s v="04/04/2026 05:30:42 PM"/>
    <s v="34700"/>
    <s v="15180"/>
    <s v="19520"/>
    <n v="19.52"/>
    <s v="RFID"/>
  </r>
  <r>
    <s v="32692"/>
    <x v="0"/>
    <s v="T304 EHH"/>
    <x v="0"/>
    <x v="5"/>
    <x v="0"/>
    <s v="MT"/>
    <x v="16"/>
    <s v="04/04/2026 05:29:21 PM"/>
    <s v="04/04/2026 05:34:05 PM"/>
    <s v="34760"/>
    <s v="15860"/>
    <s v="18900"/>
    <n v="18.899999999999999"/>
    <s v="RFID"/>
  </r>
  <r>
    <s v="32693"/>
    <x v="0"/>
    <s v="T299 EHH"/>
    <x v="0"/>
    <x v="5"/>
    <x v="0"/>
    <s v="MT"/>
    <x v="16"/>
    <s v="04/04/2026 05:35:40 PM"/>
    <s v="04/04/2026 05:40:35 PM"/>
    <s v="33640"/>
    <s v="15280"/>
    <s v="18360"/>
    <n v="18.36"/>
    <s v="RFID"/>
  </r>
  <r>
    <s v="32694"/>
    <x v="0"/>
    <s v="T293 EHH"/>
    <x v="0"/>
    <x v="5"/>
    <x v="0"/>
    <s v="MT"/>
    <x v="16"/>
    <s v="04/04/2026 05:50:11 PM"/>
    <s v="04/04/2026 05:57:39 PM"/>
    <s v="34860"/>
    <s v="22780"/>
    <s v="12080"/>
    <n v="12.08"/>
    <s v="RFID"/>
  </r>
  <r>
    <s v="32695"/>
    <x v="0"/>
    <s v="T304 EHH"/>
    <x v="0"/>
    <x v="5"/>
    <x v="0"/>
    <s v="MT"/>
    <x v="16"/>
    <s v="04/04/2026 05:54:43 PM"/>
    <s v="04/04/2026 06:02:28 PM"/>
    <s v="35800"/>
    <s v="15860"/>
    <s v="19940"/>
    <n v="19.940000000000001"/>
    <s v="RFID"/>
  </r>
  <r>
    <s v="32697"/>
    <x v="0"/>
    <s v="T290 EHH"/>
    <x v="0"/>
    <x v="5"/>
    <x v="0"/>
    <s v="MT"/>
    <x v="16"/>
    <s v="04/04/2026 06:01:00 PM"/>
    <s v="04/04/2026 06:07:11 PM"/>
    <s v="38080"/>
    <s v="15180"/>
    <s v="22900"/>
    <n v="22.9"/>
    <s v="RFID"/>
  </r>
  <r>
    <s v="32698"/>
    <x v="0"/>
    <s v="T299 EHH"/>
    <x v="0"/>
    <x v="5"/>
    <x v="0"/>
    <s v="MT"/>
    <x v="16"/>
    <s v="04/04/2026 06:08:36 PM"/>
    <s v="04/04/2026 06:14:25 PM"/>
    <s v="38240"/>
    <s v="15280"/>
    <s v="22960"/>
    <n v="22.96"/>
    <s v="RFID"/>
  </r>
  <r>
    <s v="32700"/>
    <x v="0"/>
    <s v="T293 EHH"/>
    <x v="0"/>
    <x v="5"/>
    <x v="0"/>
    <s v="MT"/>
    <x v="16"/>
    <s v="04/04/2026 06:13:21 PM"/>
    <s v="04/04/2026 06:18:31 PM"/>
    <s v="36800"/>
    <s v="15020"/>
    <s v="21780"/>
    <n v="21.78"/>
    <s v="RFID"/>
  </r>
  <r>
    <s v="32701"/>
    <x v="0"/>
    <s v="T304 EHH"/>
    <x v="0"/>
    <x v="5"/>
    <x v="0"/>
    <s v="MT"/>
    <x v="16"/>
    <s v="04/04/2026 06:15:42 PM"/>
    <s v="04/04/2026 06:20:06 PM"/>
    <s v="35700"/>
    <s v="15780"/>
    <s v="19920"/>
    <n v="19.920000000000002"/>
    <s v="RFID"/>
  </r>
  <r>
    <s v="32702"/>
    <x v="0"/>
    <s v="T290 EHH"/>
    <x v="0"/>
    <x v="5"/>
    <x v="0"/>
    <s v="MT"/>
    <x v="16"/>
    <s v="04/04/2026 06:21:20 PM"/>
    <s v="04/04/2026 06:26:36 PM"/>
    <s v="37820"/>
    <s v="15160"/>
    <s v="22660"/>
    <n v="22.66"/>
    <s v="RFID"/>
  </r>
  <r>
    <s v="32703"/>
    <x v="0"/>
    <s v="T299 EHH"/>
    <x v="0"/>
    <x v="5"/>
    <x v="0"/>
    <s v="MT"/>
    <x v="16"/>
    <s v="04/04/2026 06:27:42 PM"/>
    <s v="04/04/2026 06:32:46 PM"/>
    <s v="34280"/>
    <s v="15280"/>
    <s v="19000"/>
    <n v="19"/>
    <s v="RFID"/>
  </r>
  <r>
    <s v="32704"/>
    <x v="0"/>
    <s v="T293 EHH"/>
    <x v="0"/>
    <x v="5"/>
    <x v="0"/>
    <s v="MT"/>
    <x v="16"/>
    <s v="04/04/2026 06:30:55 PM"/>
    <s v="04/04/2026 06:35:08 PM"/>
    <s v="36300"/>
    <s v="14960"/>
    <s v="21340"/>
    <n v="21.34"/>
    <s v="RFID"/>
  </r>
  <r>
    <s v="32705"/>
    <x v="0"/>
    <s v="T304 EHH"/>
    <x v="0"/>
    <x v="5"/>
    <x v="0"/>
    <s v="MT"/>
    <x v="16"/>
    <s v="04/04/2026 06:36:03 PM"/>
    <s v="04/04/2026 06:40:36 PM"/>
    <s v="36580"/>
    <s v="15860"/>
    <s v="20720"/>
    <n v="20.72"/>
    <s v="RFID"/>
  </r>
  <r>
    <s v="32706"/>
    <x v="0"/>
    <s v="T290 EHH"/>
    <x v="0"/>
    <x v="5"/>
    <x v="0"/>
    <s v="MT"/>
    <x v="16"/>
    <s v="04/04/2026 06:43:20 PM"/>
    <s v="04/04/2026 06:48:27 PM"/>
    <s v="34720"/>
    <s v="15140"/>
    <s v="19580"/>
    <n v="19.579999999999998"/>
    <s v="RFID"/>
  </r>
  <r>
    <s v="32707"/>
    <x v="0"/>
    <s v="T299 EHH"/>
    <x v="0"/>
    <x v="5"/>
    <x v="0"/>
    <s v="MT"/>
    <x v="16"/>
    <s v="04/04/2026 06:46:42 PM"/>
    <s v="04/04/2026 06:51:21 PM"/>
    <s v="33540"/>
    <s v="15320"/>
    <s v="18220"/>
    <n v="18.22"/>
    <s v="RFID"/>
  </r>
  <r>
    <s v="32708"/>
    <x v="0"/>
    <s v="T293 EHH"/>
    <x v="0"/>
    <x v="5"/>
    <x v="0"/>
    <s v="MT"/>
    <x v="16"/>
    <s v="04/04/2026 06:52:38 PM"/>
    <s v="04/04/2026 07:00:13 PM"/>
    <s v="33940"/>
    <s v="14960"/>
    <s v="18980"/>
    <n v="18.98"/>
    <s v="RFID"/>
  </r>
  <r>
    <s v="32709"/>
    <x v="0"/>
    <s v="T304 EHH"/>
    <x v="0"/>
    <x v="5"/>
    <x v="0"/>
    <s v="MT"/>
    <x v="16"/>
    <s v="04/04/2026 06:54:28 PM"/>
    <s v="04/04/2026 07:01:15 PM"/>
    <s v="37860"/>
    <s v="15960"/>
    <s v="21900"/>
    <n v="21.9"/>
    <s v="RFID"/>
  </r>
  <r>
    <s v="32710"/>
    <x v="0"/>
    <s v="T290 EHH"/>
    <x v="0"/>
    <x v="5"/>
    <x v="0"/>
    <s v="MT"/>
    <x v="16"/>
    <s v="04/04/2026 07:04:54 PM"/>
    <s v="04/04/2026 07:09:56 PM"/>
    <s v="32140"/>
    <s v="15300"/>
    <s v="16840"/>
    <n v="16.84"/>
    <s v="RFID"/>
  </r>
  <r>
    <s v="32711"/>
    <x v="0"/>
    <s v="T299 EHH"/>
    <x v="0"/>
    <x v="5"/>
    <x v="0"/>
    <s v="MT"/>
    <x v="16"/>
    <s v="04/04/2026 07:08:36 PM"/>
    <s v="04/04/2026 07:12:54 PM"/>
    <s v="36220"/>
    <s v="15380"/>
    <s v="20840"/>
    <n v="20.84"/>
    <s v="RFID"/>
  </r>
  <r>
    <s v="32712"/>
    <x v="0"/>
    <s v="T304 EHH"/>
    <x v="0"/>
    <x v="5"/>
    <x v="0"/>
    <s v="MT"/>
    <x v="16"/>
    <s v="04/04/2026 07:14:05 PM"/>
    <s v="04/04/2026 07:18:52 PM"/>
    <s v="36260"/>
    <s v="15860"/>
    <s v="20400"/>
    <n v="20.399999999999999"/>
    <s v="RFID"/>
  </r>
  <r>
    <s v="32713"/>
    <x v="0"/>
    <s v="T293 EHH"/>
    <x v="0"/>
    <x v="5"/>
    <x v="0"/>
    <s v="MT"/>
    <x v="16"/>
    <s v="04/04/2026 07:20:14 PM"/>
    <s v="04/04/2026 07:25:53 PM"/>
    <s v="35100"/>
    <s v="14900"/>
    <s v="20200"/>
    <n v="20.2"/>
    <s v="RFID"/>
  </r>
  <r>
    <s v="32714"/>
    <x v="0"/>
    <s v="T290 EHH"/>
    <x v="0"/>
    <x v="5"/>
    <x v="0"/>
    <s v="MT"/>
    <x v="16"/>
    <s v="04/04/2026 07:21:52 PM"/>
    <s v="04/04/2026 07:26:49 PM"/>
    <s v="36140"/>
    <s v="15300"/>
    <s v="20840"/>
    <n v="20.84"/>
    <s v="RFID"/>
  </r>
  <r>
    <s v="32715"/>
    <x v="0"/>
    <s v="T311 EHH"/>
    <x v="1"/>
    <x v="3"/>
    <x v="1"/>
    <s v="MT"/>
    <x v="16"/>
    <s v="04/04/2026 11:05:34 PM"/>
    <s v="04/04/2026 11:12:03 PM"/>
    <s v="34740"/>
    <s v="15760"/>
    <s v="18980"/>
    <n v="18.98"/>
    <s v="RFID"/>
  </r>
  <r>
    <s v="32716"/>
    <x v="0"/>
    <s v="T312 EHH"/>
    <x v="1"/>
    <x v="3"/>
    <x v="1"/>
    <s v="MT"/>
    <x v="16"/>
    <s v="04/04/2026 11:11:00 PM"/>
    <s v="04/04/2026 11:18:01 PM"/>
    <s v="37540"/>
    <s v="15480"/>
    <s v="22060"/>
    <n v="22.06"/>
    <s v="RFID"/>
  </r>
  <r>
    <s v="32717"/>
    <x v="0"/>
    <s v="T311 EHH"/>
    <x v="1"/>
    <x v="3"/>
    <x v="1"/>
    <s v="MT"/>
    <x v="16"/>
    <s v="04/04/2026 11:16:56 PM"/>
    <s v="04/04/2026 11:21:40 PM"/>
    <s v="35660"/>
    <s v="15640"/>
    <s v="20020"/>
    <n v="20.02"/>
    <s v="RFID"/>
  </r>
  <r>
    <s v="32718"/>
    <x v="0"/>
    <s v="T293 EHH"/>
    <x v="1"/>
    <x v="3"/>
    <x v="1"/>
    <s v="MT"/>
    <x v="16"/>
    <s v="04/04/2026 11:26:01 PM"/>
    <s v="04/04/2026 11:30:21 PM"/>
    <s v="34820"/>
    <s v="14940"/>
    <s v="19880"/>
    <n v="19.88"/>
    <s v="RFID"/>
  </r>
  <r>
    <s v="32719"/>
    <x v="0"/>
    <s v="T311 EHH"/>
    <x v="1"/>
    <x v="3"/>
    <x v="1"/>
    <s v="MT"/>
    <x v="16"/>
    <s v="04/04/2026 11:29:29 PM"/>
    <s v="04/04/2026 11:33:52 PM"/>
    <s v="35160"/>
    <s v="15740"/>
    <s v="19420"/>
    <n v="19.420000000000002"/>
    <s v="RFID"/>
  </r>
  <r>
    <s v="32720"/>
    <x v="0"/>
    <s v="T290 EHH"/>
    <x v="1"/>
    <x v="3"/>
    <x v="1"/>
    <s v="MT"/>
    <x v="16"/>
    <s v="04/04/2026 11:35:02 PM"/>
    <s v="04/04/2026 11:40:36 PM"/>
    <s v="37720"/>
    <s v="15140"/>
    <s v="22580"/>
    <n v="22.58"/>
    <s v="RFID"/>
  </r>
  <r>
    <s v="32721"/>
    <x v="0"/>
    <s v="T293 EHH"/>
    <x v="1"/>
    <x v="3"/>
    <x v="1"/>
    <s v="MT"/>
    <x v="16"/>
    <s v="04/04/2026 11:38:12 PM"/>
    <s v="04/04/2026 11:43:39 PM"/>
    <s v="35140"/>
    <s v="14940"/>
    <s v="20200"/>
    <n v="20.2"/>
    <s v="RFID"/>
  </r>
  <r>
    <s v="32722"/>
    <x v="0"/>
    <s v="T311 EHH"/>
    <x v="1"/>
    <x v="3"/>
    <x v="1"/>
    <s v="MT"/>
    <x v="16"/>
    <s v="04/04/2026 11:42:34 PM"/>
    <s v="04/04/2026 11:46:50 PM"/>
    <s v="36400"/>
    <s v="15720"/>
    <s v="20680"/>
    <n v="20.68"/>
    <s v="RFID"/>
  </r>
  <r>
    <s v="32723"/>
    <x v="0"/>
    <s v="T290 EHH"/>
    <x v="1"/>
    <x v="3"/>
    <x v="1"/>
    <s v="MT"/>
    <x v="16"/>
    <s v="04/04/2026 11:46:00 PM"/>
    <s v="04/04/2026 11:51:44 PM"/>
    <s v="36040"/>
    <s v="15120"/>
    <s v="20920"/>
    <n v="20.92"/>
    <s v="RFID"/>
  </r>
  <r>
    <s v="32724"/>
    <x v="0"/>
    <s v="T293 EHH"/>
    <x v="1"/>
    <x v="3"/>
    <x v="1"/>
    <s v="MT"/>
    <x v="16"/>
    <s v="04/04/2026 11:49:31 PM"/>
    <s v="04/04/2026 11:55:29 PM"/>
    <s v="35180"/>
    <s v="14940"/>
    <s v="20240"/>
    <n v="20.239999999999998"/>
    <s v="RFID"/>
  </r>
  <r>
    <s v="32725"/>
    <x v="0"/>
    <s v="T311 EHH"/>
    <x v="1"/>
    <x v="3"/>
    <x v="1"/>
    <s v="MT"/>
    <x v="16"/>
    <s v="04/04/2026 11:54:04 PM"/>
    <s v="04/04/2026 11:58:17 PM"/>
    <s v="38760"/>
    <s v="15740"/>
    <s v="23020"/>
    <n v="23.02"/>
    <s v="RFID"/>
  </r>
  <r>
    <s v="32726"/>
    <x v="0"/>
    <s v="T290 EHH"/>
    <x v="1"/>
    <x v="3"/>
    <x v="1"/>
    <s v="MT"/>
    <x v="16"/>
    <s v="04/04/2026 11:59:53 PM"/>
    <s v="05/04/2026 12:06:40 AM"/>
    <s v="38080"/>
    <s v="15240"/>
    <s v="22840"/>
    <n v="22.84"/>
    <s v="RFID"/>
  </r>
  <r>
    <s v="32727"/>
    <x v="0"/>
    <s v="T293 EHH"/>
    <x v="1"/>
    <x v="3"/>
    <x v="1"/>
    <s v="MT"/>
    <x v="17"/>
    <s v="05/04/2026 12:04:29 AM"/>
    <s v="05/04/2026 12:10:21 AM"/>
    <s v="37920"/>
    <s v="14940"/>
    <s v="22980"/>
    <n v="22.98"/>
    <s v="RFID"/>
  </r>
  <r>
    <s v="32728"/>
    <x v="0"/>
    <s v="T311 EHH"/>
    <x v="1"/>
    <x v="3"/>
    <x v="1"/>
    <s v="MT"/>
    <x v="17"/>
    <s v="05/04/2026 12:09:26 AM"/>
    <s v="05/04/2026 12:13:38 AM"/>
    <s v="38800"/>
    <s v="15640"/>
    <s v="23160"/>
    <n v="23.16"/>
    <s v="RFID"/>
  </r>
  <r>
    <s v="32729"/>
    <x v="0"/>
    <s v="T293 EHH"/>
    <x v="1"/>
    <x v="3"/>
    <x v="1"/>
    <s v="MT"/>
    <x v="17"/>
    <s v="05/04/2026 12:16:01 AM"/>
    <s v="05/04/2026 12:20:07 AM"/>
    <s v="33260"/>
    <s v="14940"/>
    <s v="18320"/>
    <n v="18.32"/>
    <s v="RFID"/>
  </r>
  <r>
    <s v="32730"/>
    <x v="0"/>
    <s v="T311 EHH"/>
    <x v="1"/>
    <x v="3"/>
    <x v="1"/>
    <s v="MT"/>
    <x v="17"/>
    <s v="05/04/2026 12:20:57 AM"/>
    <s v="05/04/2026 12:24:59 AM"/>
    <s v="34860"/>
    <s v="15640"/>
    <s v="19220"/>
    <n v="19.22"/>
    <s v="RFID"/>
  </r>
  <r>
    <s v="32731"/>
    <x v="0"/>
    <s v="T290 EHH"/>
    <x v="1"/>
    <x v="3"/>
    <x v="1"/>
    <s v="MT"/>
    <x v="17"/>
    <s v="05/04/2026 12:26:10 AM"/>
    <s v="05/04/2026 12:32:01 AM"/>
    <s v="35440"/>
    <s v="15220"/>
    <s v="20220"/>
    <n v="20.22"/>
    <s v="RFID"/>
  </r>
  <r>
    <s v="32732"/>
    <x v="0"/>
    <s v="T293 EHH"/>
    <x v="1"/>
    <x v="3"/>
    <x v="1"/>
    <s v="MT"/>
    <x v="17"/>
    <s v="05/04/2026 12:30:12 AM"/>
    <s v="05/04/2026 12:35:57 AM"/>
    <s v="35440"/>
    <s v="14940"/>
    <s v="20500"/>
    <n v="20.5"/>
    <s v="RFID"/>
  </r>
  <r>
    <s v="32733"/>
    <x v="0"/>
    <s v="T311 EHH"/>
    <x v="1"/>
    <x v="3"/>
    <x v="1"/>
    <s v="MT"/>
    <x v="17"/>
    <s v="05/04/2026 12:33:42 AM"/>
    <s v="05/04/2026 12:37:46 AM"/>
    <s v="35780"/>
    <s v="15640"/>
    <s v="20140"/>
    <n v="20.14"/>
    <s v="RFID"/>
  </r>
  <r>
    <s v="32734"/>
    <x v="0"/>
    <s v="T290 EHH"/>
    <x v="1"/>
    <x v="3"/>
    <x v="1"/>
    <s v="MT"/>
    <x v="17"/>
    <s v="05/04/2026 12:38:50 AM"/>
    <s v="05/04/2026 12:44:55 AM"/>
    <s v="38360"/>
    <s v="15220"/>
    <s v="23140"/>
    <n v="23.14"/>
    <s v="RFID"/>
  </r>
  <r>
    <s v="32735"/>
    <x v="0"/>
    <s v="T293 EHH"/>
    <x v="1"/>
    <x v="3"/>
    <x v="1"/>
    <s v="MT"/>
    <x v="17"/>
    <s v="05/04/2026 12:43:02 AM"/>
    <s v="05/04/2026 12:47:25 AM"/>
    <s v="34260"/>
    <s v="14940"/>
    <s v="19320"/>
    <n v="19.32"/>
    <s v="RFID"/>
  </r>
  <r>
    <s v="32736"/>
    <x v="0"/>
    <s v="T311 EHH"/>
    <x v="1"/>
    <x v="3"/>
    <x v="1"/>
    <s v="MT"/>
    <x v="17"/>
    <s v="05/04/2026 12:46:16 AM"/>
    <s v="05/04/2026 12:50:14 AM"/>
    <s v="36020"/>
    <s v="15640"/>
    <s v="20380"/>
    <n v="20.38"/>
    <s v="RFID"/>
  </r>
  <r>
    <s v="32737"/>
    <x v="0"/>
    <s v="T290 EHH"/>
    <x v="1"/>
    <x v="3"/>
    <x v="1"/>
    <s v="MT"/>
    <x v="17"/>
    <s v="05/04/2026 12:51:33 AM"/>
    <s v="05/04/2026 12:57:01 AM"/>
    <s v="37640"/>
    <s v="15220"/>
    <s v="22420"/>
    <n v="22.42"/>
    <s v="RFID"/>
  </r>
  <r>
    <s v="32738"/>
    <x v="0"/>
    <s v="T293 EHH"/>
    <x v="1"/>
    <x v="3"/>
    <x v="1"/>
    <s v="MT"/>
    <x v="17"/>
    <s v="05/04/2026 12:58:03 AM"/>
    <s v="05/04/2026 01:03:01 AM"/>
    <s v="40900"/>
    <s v="14920"/>
    <s v="25980"/>
    <n v="25.98"/>
    <s v="RFID"/>
  </r>
  <r>
    <s v="32739"/>
    <x v="0"/>
    <s v="T311 EHH"/>
    <x v="1"/>
    <x v="3"/>
    <x v="1"/>
    <s v="MT"/>
    <x v="17"/>
    <s v="05/04/2026 01:02:12 AM"/>
    <s v="05/04/2026 01:07:11 AM"/>
    <s v="37540"/>
    <s v="15640"/>
    <s v="21900"/>
    <n v="21.9"/>
    <s v="RFID"/>
  </r>
  <r>
    <s v="32740"/>
    <x v="0"/>
    <s v="T290 EHH"/>
    <x v="1"/>
    <x v="3"/>
    <x v="1"/>
    <s v="MT"/>
    <x v="17"/>
    <s v="05/04/2026 01:06:16 AM"/>
    <s v="05/04/2026 01:12:13 AM"/>
    <s v="37800"/>
    <s v="15220"/>
    <s v="22580"/>
    <n v="22.58"/>
    <s v="RFID"/>
  </r>
  <r>
    <s v="32741"/>
    <x v="0"/>
    <s v="T293 EHH"/>
    <x v="1"/>
    <x v="3"/>
    <x v="1"/>
    <s v="MT"/>
    <x v="17"/>
    <s v="05/04/2026 01:11:19 AM"/>
    <s v="05/04/2026 01:16:56 AM"/>
    <s v="38700"/>
    <s v="14920"/>
    <s v="23780"/>
    <n v="23.78"/>
    <s v="RFID"/>
  </r>
  <r>
    <s v="32742"/>
    <x v="0"/>
    <s v="T311 EHH"/>
    <x v="1"/>
    <x v="3"/>
    <x v="1"/>
    <s v="MT"/>
    <x v="17"/>
    <s v="05/04/2026 01:16:09 AM"/>
    <s v="05/04/2026 01:20:13 AM"/>
    <s v="38800"/>
    <s v="15300"/>
    <s v="23500"/>
    <n v="23.5"/>
    <s v="RFID"/>
  </r>
  <r>
    <s v="32743"/>
    <x v="0"/>
    <s v="T290 EHH"/>
    <x v="1"/>
    <x v="3"/>
    <x v="1"/>
    <s v="MT"/>
    <x v="17"/>
    <s v="05/04/2026 01:20:59 AM"/>
    <s v="05/04/2026 01:26:23 AM"/>
    <s v="38980"/>
    <s v="15320"/>
    <s v="23660"/>
    <n v="23.66"/>
    <s v="RFID"/>
  </r>
  <r>
    <s v="32744"/>
    <x v="0"/>
    <s v="T293 EHH"/>
    <x v="1"/>
    <x v="3"/>
    <x v="1"/>
    <s v="MT"/>
    <x v="17"/>
    <s v="05/04/2026 01:24:39 AM"/>
    <s v="05/04/2026 01:58:57 AM"/>
    <s v="37700"/>
    <s v="14940"/>
    <s v="22760"/>
    <n v="22.76"/>
    <s v="RFID"/>
  </r>
  <r>
    <s v="32745"/>
    <x v="0"/>
    <s v="T311 EHH"/>
    <x v="1"/>
    <x v="3"/>
    <x v="1"/>
    <s v="MT"/>
    <x v="17"/>
    <s v="05/04/2026 01:28:56 AM"/>
    <s v="05/04/2026 02:01:10 AM"/>
    <s v="36480"/>
    <s v="15760"/>
    <s v="20720"/>
    <n v="20.72"/>
    <s v="RFID"/>
  </r>
  <r>
    <s v="32746"/>
    <x v="0"/>
    <s v="T290 EHH"/>
    <x v="1"/>
    <x v="3"/>
    <x v="1"/>
    <s v="MT"/>
    <x v="17"/>
    <s v="05/04/2026 01:33:13 AM"/>
    <s v="05/04/2026 02:03:47 AM"/>
    <s v="37900"/>
    <s v="15140"/>
    <s v="22760"/>
    <n v="22.76"/>
    <s v="RFID"/>
  </r>
  <r>
    <s v="32747"/>
    <x v="0"/>
    <s v="T293 EHH"/>
    <x v="1"/>
    <x v="3"/>
    <x v="1"/>
    <s v="MT"/>
    <x v="17"/>
    <s v="05/04/2026 02:07:24 AM"/>
    <s v="05/04/2026 02:11:24 AM"/>
    <s v="36040"/>
    <s v="14940"/>
    <s v="21100"/>
    <n v="21.1"/>
    <s v="RFID"/>
  </r>
  <r>
    <s v="32748"/>
    <x v="0"/>
    <s v="T311 EHH"/>
    <x v="1"/>
    <x v="3"/>
    <x v="1"/>
    <s v="MT"/>
    <x v="17"/>
    <s v="05/04/2026 02:12:17 AM"/>
    <s v="05/04/2026 02:16:31 AM"/>
    <s v="38780"/>
    <s v="15780"/>
    <s v="23000"/>
    <n v="23"/>
    <s v="RFID"/>
  </r>
  <r>
    <s v="32749"/>
    <x v="0"/>
    <s v="T293 EHH"/>
    <x v="1"/>
    <x v="3"/>
    <x v="1"/>
    <s v="MT"/>
    <x v="17"/>
    <s v="05/04/2026 02:17:23 AM"/>
    <s v="05/04/2026 02:21:39 AM"/>
    <s v="40780"/>
    <s v="14940"/>
    <s v="25840"/>
    <n v="25.84"/>
    <s v="RFID"/>
  </r>
  <r>
    <s v="32750"/>
    <x v="0"/>
    <s v="T311 EHH"/>
    <x v="1"/>
    <x v="3"/>
    <x v="1"/>
    <s v="MT"/>
    <x v="17"/>
    <s v="05/04/2026 02:22:31 AM"/>
    <s v="05/04/2026 02:28:32 AM"/>
    <s v="37180"/>
    <s v="15760"/>
    <s v="21420"/>
    <n v="21.42"/>
    <s v="RFID"/>
  </r>
  <r>
    <s v="32751"/>
    <x v="0"/>
    <s v="T293 EHH"/>
    <x v="1"/>
    <x v="3"/>
    <x v="1"/>
    <s v="MT"/>
    <x v="17"/>
    <s v="05/04/2026 02:26:41 AM"/>
    <s v="05/04/2026 02:31:17 AM"/>
    <s v="37720"/>
    <s v="14920"/>
    <s v="22800"/>
    <n v="22.8"/>
    <s v="RFID"/>
  </r>
  <r>
    <s v="32752"/>
    <x v="0"/>
    <s v="T311 EHH"/>
    <x v="1"/>
    <x v="3"/>
    <x v="1"/>
    <s v="MT"/>
    <x v="17"/>
    <s v="05/04/2026 02:33:33 AM"/>
    <s v="05/04/2026 02:46:42 AM"/>
    <s v="35200"/>
    <s v="16020"/>
    <s v="19180"/>
    <n v="19.18"/>
    <s v="RFID"/>
  </r>
  <r>
    <s v="32753"/>
    <x v="0"/>
    <s v="T293 EHH"/>
    <x v="1"/>
    <x v="3"/>
    <x v="1"/>
    <s v="MT"/>
    <x v="17"/>
    <s v="05/04/2026 02:39:49 AM"/>
    <s v="05/04/2026 02:59:08 AM"/>
    <s v="34860"/>
    <s v="14920"/>
    <s v="19940"/>
    <n v="19.940000000000001"/>
    <s v="RFID"/>
  </r>
  <r>
    <s v="32754"/>
    <x v="0"/>
    <s v="T293 EHH"/>
    <x v="1"/>
    <x v="3"/>
    <x v="1"/>
    <s v="MT"/>
    <x v="17"/>
    <s v="05/04/2026 03:02:39 AM"/>
    <s v="05/04/2026 04:15:52 AM"/>
    <s v="14920"/>
    <s v="14980"/>
    <s v="60"/>
    <n v="0.06"/>
    <s v="RFID"/>
  </r>
  <r>
    <s v="32755"/>
    <x v="0"/>
    <s v="T311 EHH"/>
    <x v="0"/>
    <x v="7"/>
    <x v="0"/>
    <s v="MT"/>
    <x v="17"/>
    <s v="05/04/2026 03:31:00 AM"/>
    <s v="05/04/2026 03:34:33 AM"/>
    <s v="36900"/>
    <s v="15660"/>
    <s v="21240"/>
    <n v="21.24"/>
    <s v="RFID"/>
  </r>
  <r>
    <s v="32756"/>
    <x v="0"/>
    <s v="T312 EHH"/>
    <x v="0"/>
    <x v="7"/>
    <x v="0"/>
    <s v="MT"/>
    <x v="17"/>
    <s v="05/04/2026 03:32:37 AM"/>
    <s v="05/04/2026 03:37:25 AM"/>
    <s v="37760"/>
    <s v="15780"/>
    <s v="21980"/>
    <n v="21.98"/>
    <s v="RFID"/>
  </r>
  <r>
    <s v="32757"/>
    <x v="0"/>
    <s v="T311 EHH"/>
    <x v="1"/>
    <x v="3"/>
    <x v="1"/>
    <s v="MT"/>
    <x v="17"/>
    <s v="05/04/2026 03:42:30 AM"/>
    <s v="05/04/2026 03:48:15 AM"/>
    <s v="35460"/>
    <s v="15640"/>
    <s v="19820"/>
    <n v="19.82"/>
    <s v="RFID"/>
  </r>
  <r>
    <s v="32758"/>
    <x v="0"/>
    <s v="T312 EHH"/>
    <x v="1"/>
    <x v="3"/>
    <x v="1"/>
    <s v="MT"/>
    <x v="17"/>
    <s v="05/04/2026 03:47:22 AM"/>
    <s v="05/04/2026 03:53:19 AM"/>
    <s v="36560"/>
    <s v="15880"/>
    <s v="20680"/>
    <n v="20.68"/>
    <s v="RFID"/>
  </r>
  <r>
    <s v="32759"/>
    <x v="0"/>
    <s v="T311 EHH"/>
    <x v="1"/>
    <x v="3"/>
    <x v="1"/>
    <s v="MT"/>
    <x v="17"/>
    <s v="05/04/2026 03:57:03 AM"/>
    <s v="05/04/2026 04:01:58 AM"/>
    <s v="38540"/>
    <s v="15640"/>
    <s v="22900"/>
    <n v="22.9"/>
    <s v="RFID"/>
  </r>
  <r>
    <s v="32760"/>
    <x v="0"/>
    <s v="T311 EHH"/>
    <x v="1"/>
    <x v="3"/>
    <x v="1"/>
    <s v="MT"/>
    <x v="17"/>
    <s v="05/04/2026 04:11:22 AM"/>
    <s v="05/04/2026 04:17:05 AM"/>
    <s v="38700"/>
    <s v="15640"/>
    <s v="23060"/>
    <n v="23.06"/>
    <s v="RFID"/>
  </r>
  <r>
    <s v="32761"/>
    <x v="0"/>
    <s v="T293 EHH"/>
    <x v="1"/>
    <x v="3"/>
    <x v="1"/>
    <s v="MT"/>
    <x v="17"/>
    <s v="05/04/2026 04:21:51 AM"/>
    <s v="05/04/2026 04:27:39 AM"/>
    <s v="35720"/>
    <s v="15000"/>
    <s v="20720"/>
    <n v="20.72"/>
    <s v="RFID"/>
  </r>
  <r>
    <s v="32762"/>
    <x v="0"/>
    <s v="T293 EHH"/>
    <x v="0"/>
    <x v="7"/>
    <x v="0"/>
    <s v="MT"/>
    <x v="17"/>
    <s v="05/04/2026 05:04:49 AM"/>
    <s v="05/04/2026 06:18:57 AM"/>
    <s v="36040"/>
    <s v="14900"/>
    <s v="21140"/>
    <n v="21.14"/>
    <s v="RFID"/>
  </r>
  <r>
    <s v="32763"/>
    <x v="0"/>
    <s v="T312 EHH"/>
    <x v="0"/>
    <x v="5"/>
    <x v="0"/>
    <s v="MT"/>
    <x v="17"/>
    <s v="05/04/2026 06:11:33 AM"/>
    <s v="05/04/2026 06:20:04 AM"/>
    <s v="35600"/>
    <s v="15820"/>
    <s v="19780"/>
    <n v="19.78"/>
    <s v="RFID"/>
  </r>
  <r>
    <s v="32764"/>
    <x v="0"/>
    <s v="T311 EHH"/>
    <x v="0"/>
    <x v="7"/>
    <x v="0"/>
    <s v="MT"/>
    <x v="17"/>
    <s v="05/04/2026 06:17:05 AM"/>
    <s v="05/04/2026 06:21:19 AM"/>
    <s v="35080"/>
    <s v="15620"/>
    <s v="19460"/>
    <n v="19.46"/>
    <s v="RFID"/>
  </r>
  <r>
    <s v="32765"/>
    <x v="0"/>
    <s v="T293 EHH"/>
    <x v="0"/>
    <x v="0"/>
    <x v="1"/>
    <s v="MT"/>
    <x v="17"/>
    <s v="05/04/2026 06:35:03 AM"/>
    <s v="05/04/2026 06:40:41 AM"/>
    <s v="37440"/>
    <s v="15000"/>
    <s v="22440"/>
    <n v="22.44"/>
    <s v="RFID"/>
  </r>
  <r>
    <s v="32766"/>
    <x v="0"/>
    <s v="T311 EHH"/>
    <x v="0"/>
    <x v="0"/>
    <x v="1"/>
    <s v="MT"/>
    <x v="17"/>
    <s v="05/04/2026 06:39:26 AM"/>
    <s v="05/04/2026 06:42:59 AM"/>
    <s v="39540"/>
    <s v="15620"/>
    <s v="23920"/>
    <n v="23.92"/>
    <s v="RFID"/>
  </r>
  <r>
    <s v="32767"/>
    <x v="0"/>
    <s v="T312 EHH"/>
    <x v="0"/>
    <x v="0"/>
    <x v="1"/>
    <s v="MT"/>
    <x v="17"/>
    <s v="05/04/2026 06:44:58 AM"/>
    <s v="05/04/2026 06:48:56 AM"/>
    <s v="41120"/>
    <s v="15640"/>
    <s v="25480"/>
    <n v="25.48"/>
    <s v="RFID"/>
  </r>
  <r>
    <s v="32768"/>
    <x v="0"/>
    <s v="T293 EHH"/>
    <x v="0"/>
    <x v="0"/>
    <x v="1"/>
    <s v="MT"/>
    <x v="17"/>
    <s v="05/04/2026 06:51:08 AM"/>
    <s v="05/04/2026 06:56:18 AM"/>
    <s v="39880"/>
    <s v="14980"/>
    <s v="24900"/>
    <n v="24.9"/>
    <s v="RFID"/>
  </r>
  <r>
    <s v="32769"/>
    <x v="0"/>
    <s v="T311 EHH"/>
    <x v="0"/>
    <x v="0"/>
    <x v="1"/>
    <s v="MT"/>
    <x v="17"/>
    <s v="05/04/2026 06:55:12 AM"/>
    <s v="05/04/2026 06:58:31 AM"/>
    <s v="41980"/>
    <s v="15620"/>
    <s v="26360"/>
    <n v="26.36"/>
    <s v="RFID"/>
  </r>
  <r>
    <s v="32770"/>
    <x v="0"/>
    <s v="T312 EHH"/>
    <x v="0"/>
    <x v="0"/>
    <x v="1"/>
    <s v="MT"/>
    <x v="17"/>
    <s v="05/04/2026 06:59:53 AM"/>
    <s v="05/04/2026 07:04:31 AM"/>
    <s v="42380"/>
    <s v="15640"/>
    <s v="26740"/>
    <n v="26.74"/>
    <s v="RFID"/>
  </r>
  <r>
    <s v="32771"/>
    <x v="0"/>
    <s v="T293 EHH"/>
    <x v="0"/>
    <x v="0"/>
    <x v="1"/>
    <s v="MT"/>
    <x v="17"/>
    <s v="05/04/2026 07:07:22 AM"/>
    <s v="05/04/2026 07:12:44 AM"/>
    <s v="42000"/>
    <s v="15000"/>
    <s v="27000"/>
    <n v="27"/>
    <s v="RFID"/>
  </r>
  <r>
    <s v="32772"/>
    <x v="0"/>
    <s v="T311 EHH"/>
    <x v="0"/>
    <x v="0"/>
    <x v="1"/>
    <s v="MT"/>
    <x v="17"/>
    <s v="05/04/2026 07:11:37 AM"/>
    <s v="05/04/2026 07:14:55 AM"/>
    <s v="41140"/>
    <s v="15620"/>
    <s v="25520"/>
    <n v="25.52"/>
    <s v="RFID"/>
  </r>
  <r>
    <s v="32773"/>
    <x v="0"/>
    <s v="T295 EHH"/>
    <x v="0"/>
    <x v="4"/>
    <x v="0"/>
    <s v="MT"/>
    <x v="17"/>
    <s v="05/04/2026 09:03:19 AM"/>
    <s v="05/04/2026 09:14:15 AM"/>
    <s v="34480"/>
    <s v="15180"/>
    <s v="19300"/>
    <n v="19.3"/>
    <s v="RFID"/>
  </r>
  <r>
    <s v="32774"/>
    <x v="0"/>
    <s v="T293 EHH"/>
    <x v="0"/>
    <x v="4"/>
    <x v="0"/>
    <s v="MT"/>
    <x v="17"/>
    <s v="05/04/2026 09:04:37 AM"/>
    <s v="05/04/2026 09:18:01 AM"/>
    <s v="34080"/>
    <s v="14900"/>
    <s v="19180"/>
    <n v="19.18"/>
    <s v="RFID"/>
  </r>
  <r>
    <s v="32775"/>
    <x v="0"/>
    <s v="T312 EHH"/>
    <x v="0"/>
    <x v="4"/>
    <x v="0"/>
    <s v="MT"/>
    <x v="17"/>
    <s v="05/04/2026 09:07:55 AM"/>
    <s v="05/04/2026 09:20:03 AM"/>
    <s v="36020"/>
    <s v="15740"/>
    <s v="20280"/>
    <n v="20.28"/>
    <s v="RFID"/>
  </r>
  <r>
    <s v="32776"/>
    <x v="0"/>
    <s v="T311 EHH"/>
    <x v="0"/>
    <x v="4"/>
    <x v="0"/>
    <s v="MT"/>
    <x v="17"/>
    <s v="05/04/2026 09:12:56 AM"/>
    <s v="05/04/2026 09:33:09 AM"/>
    <s v="34860"/>
    <s v="15640"/>
    <s v="19220"/>
    <n v="19.22"/>
    <s v="RFID"/>
  </r>
  <r>
    <s v="32777"/>
    <x v="0"/>
    <s v="T304 EHH"/>
    <x v="0"/>
    <x v="4"/>
    <x v="0"/>
    <s v="MT"/>
    <x v="17"/>
    <s v="05/04/2026 09:16:59 AM"/>
    <s v="05/04/2026 09:29:13 AM"/>
    <s v="35220"/>
    <s v="15920"/>
    <s v="19300"/>
    <n v="19.3"/>
    <s v="RFID"/>
  </r>
  <r>
    <s v="32778"/>
    <x v="0"/>
    <s v="T290 EHH"/>
    <x v="0"/>
    <x v="4"/>
    <x v="0"/>
    <s v="MT"/>
    <x v="17"/>
    <s v="05/04/2026 09:24:35 AM"/>
    <s v="05/04/2026 09:36:54 AM"/>
    <s v="40100"/>
    <s v="15160"/>
    <s v="24940"/>
    <n v="24.94"/>
    <s v="RFID"/>
  </r>
  <r>
    <s v="32779"/>
    <x v="0"/>
    <s v="T295 EHH"/>
    <x v="0"/>
    <x v="4"/>
    <x v="0"/>
    <s v="MT"/>
    <x v="17"/>
    <s v="05/04/2026 09:30:38 AM"/>
    <s v="05/04/2026 09:48:10 AM"/>
    <s v="36380"/>
    <s v="15280"/>
    <s v="21100"/>
    <n v="21.1"/>
    <s v="RFID"/>
  </r>
  <r>
    <s v="32780"/>
    <x v="0"/>
    <s v="T312 EHH"/>
    <x v="0"/>
    <x v="4"/>
    <x v="0"/>
    <s v="MT"/>
    <x v="17"/>
    <s v="05/04/2026 09:35:43 AM"/>
    <s v="05/04/2026 09:53:08 AM"/>
    <s v="35300"/>
    <s v="15780"/>
    <s v="19520"/>
    <n v="19.52"/>
    <s v="RFID"/>
  </r>
  <r>
    <s v="32781"/>
    <x v="0"/>
    <s v="T293 EHH"/>
    <x v="0"/>
    <x v="4"/>
    <x v="0"/>
    <s v="MT"/>
    <x v="17"/>
    <s v="05/04/2026 09:40:26 AM"/>
    <s v="05/04/2026 09:57:57 AM"/>
    <s v="34720"/>
    <s v="14920"/>
    <s v="19800"/>
    <n v="19.8"/>
    <s v="RFID"/>
  </r>
  <r>
    <s v="32782"/>
    <x v="0"/>
    <s v="T304 EHH"/>
    <x v="0"/>
    <x v="4"/>
    <x v="0"/>
    <s v="MT"/>
    <x v="17"/>
    <s v="05/04/2026 09:43:40 AM"/>
    <s v="05/04/2026 10:03:08 AM"/>
    <s v="36180"/>
    <s v="15900"/>
    <s v="20280"/>
    <n v="20.28"/>
    <s v="RFID"/>
  </r>
  <r>
    <s v="32783"/>
    <x v="0"/>
    <s v="T311 EHH"/>
    <x v="0"/>
    <x v="4"/>
    <x v="0"/>
    <s v="MT"/>
    <x v="17"/>
    <s v="05/04/2026 09:47:02 AM"/>
    <s v="05/04/2026 10:02:18 AM"/>
    <s v="34440"/>
    <s v="15740"/>
    <s v="18700"/>
    <n v="18.7"/>
    <s v="RFID"/>
  </r>
  <r>
    <s v="32784"/>
    <x v="0"/>
    <s v="T290 EHH"/>
    <x v="0"/>
    <x v="4"/>
    <x v="0"/>
    <s v="MT"/>
    <x v="17"/>
    <s v="05/04/2026 09:51:17 AM"/>
    <s v="05/04/2026 10:05:53 AM"/>
    <s v="34060"/>
    <s v="15280"/>
    <s v="18780"/>
    <n v="18.78"/>
    <s v="RFID"/>
  </r>
  <r>
    <s v="32785"/>
    <x v="0"/>
    <s v="T295 EHH"/>
    <x v="0"/>
    <x v="4"/>
    <x v="0"/>
    <s v="MT"/>
    <x v="17"/>
    <s v="05/04/2026 10:01:20 AM"/>
    <s v="05/04/2026 10:11:54 AM"/>
    <s v="36860"/>
    <s v="15440"/>
    <s v="21420"/>
    <n v="21.42"/>
    <s v="RFID"/>
  </r>
  <r>
    <s v="32786"/>
    <x v="0"/>
    <s v="T312 EHH"/>
    <x v="0"/>
    <x v="4"/>
    <x v="0"/>
    <s v="MT"/>
    <x v="17"/>
    <s v="05/04/2026 10:10:33 AM"/>
    <s v="05/04/2026 10:28:16 AM"/>
    <s v="36080"/>
    <s v="15820"/>
    <s v="20260"/>
    <n v="20.260000000000002"/>
    <s v="RFID"/>
  </r>
  <r>
    <s v="32787"/>
    <x v="0"/>
    <s v="T293 EHH"/>
    <x v="0"/>
    <x v="4"/>
    <x v="0"/>
    <s v="MT"/>
    <x v="17"/>
    <s v="05/04/2026 10:13:08 AM"/>
    <s v="05/04/2026 10:23:59 AM"/>
    <s v="34420"/>
    <s v="15020"/>
    <s v="19400"/>
    <n v="19.399999999999999"/>
    <s v="RFID"/>
  </r>
  <r>
    <s v="32788"/>
    <x v="0"/>
    <s v="T311 EHH"/>
    <x v="0"/>
    <x v="4"/>
    <x v="0"/>
    <s v="MT"/>
    <x v="17"/>
    <s v="05/04/2026 10:17:24 AM"/>
    <s v="05/04/2026 10:31:57 AM"/>
    <s v="36360"/>
    <s v="15880"/>
    <s v="20480"/>
    <n v="20.48"/>
    <s v="RFID"/>
  </r>
  <r>
    <s v="32789"/>
    <x v="0"/>
    <s v="T304 EHH"/>
    <x v="0"/>
    <x v="4"/>
    <x v="0"/>
    <s v="MT"/>
    <x v="17"/>
    <s v="05/04/2026 10:21:12 AM"/>
    <s v="05/04/2026 10:34:10 AM"/>
    <s v="35740"/>
    <s v="15900"/>
    <s v="19840"/>
    <n v="19.84"/>
    <s v="RFID"/>
  </r>
  <r>
    <s v="32790"/>
    <x v="0"/>
    <s v="T290 EHH"/>
    <x v="0"/>
    <x v="4"/>
    <x v="0"/>
    <s v="MT"/>
    <x v="17"/>
    <s v="05/04/2026 10:25:08 AM"/>
    <s v="05/04/2026 10:42:54 AM"/>
    <s v="34720"/>
    <s v="15220"/>
    <s v="19500"/>
    <n v="19.5"/>
    <s v="RFID"/>
  </r>
  <r>
    <s v="32791"/>
    <x v="0"/>
    <s v="T295 EHH"/>
    <x v="0"/>
    <x v="4"/>
    <x v="0"/>
    <s v="MT"/>
    <x v="17"/>
    <s v="05/04/2026 10:29:31 AM"/>
    <s v="05/04/2026 10:43:38 AM"/>
    <s v="36120"/>
    <s v="15500"/>
    <s v="20620"/>
    <n v="20.62"/>
    <s v="RFID"/>
  </r>
  <r>
    <s v="32792"/>
    <x v="0"/>
    <s v="T293 EHH"/>
    <x v="0"/>
    <x v="4"/>
    <x v="0"/>
    <s v="MT"/>
    <x v="17"/>
    <s v="05/04/2026 10:36:35 AM"/>
    <s v="05/04/2026 10:49:14 AM"/>
    <s v="32400"/>
    <s v="15020"/>
    <s v="17380"/>
    <n v="17.38"/>
    <s v="RFID"/>
  </r>
  <r>
    <s v="32793"/>
    <x v="0"/>
    <s v="T312 EHH"/>
    <x v="0"/>
    <x v="4"/>
    <x v="0"/>
    <s v="MT"/>
    <x v="17"/>
    <s v="05/04/2026 10:41:51 AM"/>
    <s v="05/04/2026 10:55:07 AM"/>
    <s v="35100"/>
    <s v="15920"/>
    <s v="19180"/>
    <n v="19.18"/>
    <s v="RFID"/>
  </r>
  <r>
    <s v="32794"/>
    <x v="0"/>
    <s v="T311 EHH"/>
    <x v="0"/>
    <x v="4"/>
    <x v="0"/>
    <s v="MT"/>
    <x v="17"/>
    <s v="05/04/2026 10:50:16 AM"/>
    <s v="05/04/2026 11:02:44 AM"/>
    <s v="34420"/>
    <s v="15900"/>
    <s v="18520"/>
    <n v="18.52"/>
    <s v="RFID"/>
  </r>
  <r>
    <s v="32795"/>
    <x v="0"/>
    <s v="T304 EHH"/>
    <x v="0"/>
    <x v="4"/>
    <x v="0"/>
    <s v="MT"/>
    <x v="17"/>
    <s v="05/04/2026 10:53:56 AM"/>
    <s v="05/04/2026 11:09:50 AM"/>
    <s v="39660"/>
    <s v="15940"/>
    <s v="23720"/>
    <n v="23.72"/>
    <s v="RFID"/>
  </r>
  <r>
    <s v="32796"/>
    <x v="0"/>
    <s v="T290 EHH"/>
    <x v="0"/>
    <x v="4"/>
    <x v="0"/>
    <s v="MT"/>
    <x v="17"/>
    <s v="05/04/2026 11:00:14 AM"/>
    <s v="05/04/2026 11:11:16 AM"/>
    <s v="34800"/>
    <s v="15260"/>
    <s v="19540"/>
    <n v="19.54"/>
    <s v="RFID"/>
  </r>
  <r>
    <s v="32797"/>
    <x v="0"/>
    <s v="T295 EHH"/>
    <x v="0"/>
    <x v="4"/>
    <x v="0"/>
    <s v="MT"/>
    <x v="17"/>
    <s v="05/04/2026 11:04:37 AM"/>
    <s v="05/04/2026 11:15:27 AM"/>
    <s v="34300"/>
    <s v="16380"/>
    <s v="17920"/>
    <n v="17.920000000000002"/>
    <s v="RFID"/>
  </r>
  <r>
    <s v="32798"/>
    <x v="0"/>
    <s v="T293 EHH"/>
    <x v="0"/>
    <x v="4"/>
    <x v="0"/>
    <s v="MT"/>
    <x v="17"/>
    <s v="05/04/2026 11:05:55 AM"/>
    <s v="05/04/2026 11:20:11 AM"/>
    <s v="34760"/>
    <s v="15020"/>
    <s v="19740"/>
    <n v="19.739999999999998"/>
    <s v="RFID"/>
  </r>
  <r>
    <s v="32799"/>
    <x v="0"/>
    <s v="T312 EHH"/>
    <x v="0"/>
    <x v="4"/>
    <x v="0"/>
    <s v="MT"/>
    <x v="17"/>
    <s v="05/04/2026 11:08:40 AM"/>
    <s v="05/04/2026 11:25:07 AM"/>
    <s v="33580"/>
    <s v="15820"/>
    <s v="17760"/>
    <n v="17.760000000000002"/>
    <s v="RFID"/>
  </r>
  <r>
    <s v="32800"/>
    <x v="0"/>
    <s v="T311 EHH"/>
    <x v="0"/>
    <x v="7"/>
    <x v="0"/>
    <s v="MT"/>
    <x v="17"/>
    <s v="05/04/2026 11:35:05 AM"/>
    <s v="05/04/2026 11:39:33 AM"/>
    <s v="35720"/>
    <s v="15900"/>
    <s v="19820"/>
    <n v="19.82"/>
    <s v="RFID"/>
  </r>
  <r>
    <s v="32801"/>
    <x v="0"/>
    <s v="T295 EHH"/>
    <x v="0"/>
    <x v="7"/>
    <x v="0"/>
    <s v="MT"/>
    <x v="17"/>
    <s v="05/04/2026 11:38:10 AM"/>
    <s v="05/04/2026 11:43:20 AM"/>
    <s v="35840"/>
    <s v="16420"/>
    <s v="19420"/>
    <n v="19.420000000000002"/>
    <s v="RFID"/>
  </r>
  <r>
    <s v="32802"/>
    <x v="0"/>
    <s v="T290 EHH"/>
    <x v="0"/>
    <x v="7"/>
    <x v="0"/>
    <s v="MT"/>
    <x v="17"/>
    <s v="05/04/2026 11:41:10 AM"/>
    <s v="05/04/2026 11:46:03 AM"/>
    <s v="37540"/>
    <s v="15260"/>
    <s v="22280"/>
    <n v="22.28"/>
    <s v="RFID"/>
  </r>
  <r>
    <s v="32803"/>
    <x v="0"/>
    <s v="T293 EHH"/>
    <x v="0"/>
    <x v="7"/>
    <x v="0"/>
    <s v="MT"/>
    <x v="17"/>
    <s v="05/04/2026 11:47:27 AM"/>
    <s v="05/04/2026 11:51:13 AM"/>
    <s v="30220"/>
    <s v="15020"/>
    <s v="15200"/>
    <n v="15.2"/>
    <s v="RFID"/>
  </r>
  <r>
    <s v="32804"/>
    <x v="0"/>
    <s v="T312 EHH"/>
    <x v="0"/>
    <x v="7"/>
    <x v="0"/>
    <s v="MT"/>
    <x v="17"/>
    <s v="05/04/2026 11:49:00 AM"/>
    <s v="05/04/2026 11:56:15 AM"/>
    <s v="36080"/>
    <s v="15940"/>
    <s v="20140"/>
    <n v="20.14"/>
    <s v="RFID"/>
  </r>
  <r>
    <s v="32805"/>
    <x v="0"/>
    <s v="T311 EHH"/>
    <x v="0"/>
    <x v="7"/>
    <x v="0"/>
    <s v="MT"/>
    <x v="17"/>
    <s v="05/04/2026 11:55:10 AM"/>
    <s v="05/04/2026 11:58:36 AM"/>
    <s v="36860"/>
    <s v="15840"/>
    <s v="21020"/>
    <n v="21.02"/>
    <s v="RFID"/>
  </r>
  <r>
    <s v="32806"/>
    <x v="0"/>
    <s v="T295 EHH"/>
    <x v="0"/>
    <x v="7"/>
    <x v="0"/>
    <s v="MT"/>
    <x v="17"/>
    <s v="05/04/2026 12:00:12 PM"/>
    <s v="05/04/2026 12:04:44 PM"/>
    <s v="36740"/>
    <s v="16400"/>
    <s v="20340"/>
    <n v="20.34"/>
    <s v="RFID"/>
  </r>
  <r>
    <s v="32807"/>
    <x v="0"/>
    <s v="T290 EHH"/>
    <x v="0"/>
    <x v="7"/>
    <x v="0"/>
    <s v="MT"/>
    <x v="17"/>
    <s v="05/04/2026 12:02:50 PM"/>
    <s v="05/04/2026 12:06:03 PM"/>
    <s v="36940"/>
    <s v="15240"/>
    <s v="21700"/>
    <n v="21.7"/>
    <s v="RFID"/>
  </r>
  <r>
    <s v="32808"/>
    <x v="0"/>
    <s v="T304 EHH"/>
    <x v="0"/>
    <x v="7"/>
    <x v="0"/>
    <s v="MT"/>
    <x v="17"/>
    <s v="05/04/2026 12:07:44 PM"/>
    <s v="05/04/2026 12:12:50 PM"/>
    <s v="35340"/>
    <s v="15920"/>
    <s v="19420"/>
    <n v="19.420000000000002"/>
    <s v="RFID"/>
  </r>
  <r>
    <s v="32809"/>
    <x v="0"/>
    <s v="T293 EHH"/>
    <x v="0"/>
    <x v="7"/>
    <x v="0"/>
    <s v="MT"/>
    <x v="17"/>
    <s v="05/04/2026 12:11:38 PM"/>
    <s v="05/04/2026 12:15:35 PM"/>
    <s v="36020"/>
    <s v="15020"/>
    <s v="21000"/>
    <n v="21"/>
    <s v="RFID"/>
  </r>
  <r>
    <s v="32810"/>
    <x v="0"/>
    <s v="T312 EHH"/>
    <x v="0"/>
    <x v="7"/>
    <x v="0"/>
    <s v="MT"/>
    <x v="17"/>
    <s v="05/04/2026 12:14:19 PM"/>
    <s v="05/04/2026 12:18:36 PM"/>
    <s v="35680"/>
    <s v="15820"/>
    <s v="19860"/>
    <n v="19.86"/>
    <s v="RFID"/>
  </r>
  <r>
    <s v="32811"/>
    <x v="0"/>
    <s v="T311 EHH"/>
    <x v="0"/>
    <x v="7"/>
    <x v="0"/>
    <s v="MT"/>
    <x v="17"/>
    <s v="05/04/2026 12:17:36 PM"/>
    <s v="05/04/2026 12:22:22 PM"/>
    <s v="35260"/>
    <s v="15840"/>
    <s v="19420"/>
    <n v="19.420000000000002"/>
    <s v="RFID"/>
  </r>
  <r>
    <s v="32812"/>
    <x v="0"/>
    <s v="T295 EHH"/>
    <x v="0"/>
    <x v="7"/>
    <x v="0"/>
    <s v="MT"/>
    <x v="17"/>
    <s v="05/04/2026 12:21:07 PM"/>
    <s v="05/04/2026 12:25:45 PM"/>
    <s v="35760"/>
    <s v="16380"/>
    <s v="19380"/>
    <n v="19.38"/>
    <s v="RFID"/>
  </r>
  <r>
    <s v="32813"/>
    <x v="0"/>
    <s v="T290 EHH"/>
    <x v="0"/>
    <x v="7"/>
    <x v="0"/>
    <s v="MT"/>
    <x v="17"/>
    <s v="05/04/2026 12:23:13 PM"/>
    <s v="05/04/2026 12:26:35 PM"/>
    <s v="34900"/>
    <s v="15240"/>
    <s v="19660"/>
    <n v="19.66"/>
    <s v="RFID"/>
  </r>
  <r>
    <s v="32814"/>
    <x v="0"/>
    <s v="T304 EHH"/>
    <x v="0"/>
    <x v="7"/>
    <x v="0"/>
    <s v="MT"/>
    <x v="17"/>
    <s v="05/04/2026 12:28:23 PM"/>
    <s v="05/04/2026 12:33:00 PM"/>
    <s v="35600"/>
    <s v="15900"/>
    <s v="19700"/>
    <n v="19.7"/>
    <s v="RFID"/>
  </r>
  <r>
    <s v="32815"/>
    <x v="0"/>
    <s v="T293 EHH"/>
    <x v="0"/>
    <x v="7"/>
    <x v="0"/>
    <s v="MT"/>
    <x v="17"/>
    <s v="05/04/2026 12:31:50 PM"/>
    <s v="05/04/2026 12:35:29 PM"/>
    <s v="33340"/>
    <s v="15020"/>
    <s v="18320"/>
    <n v="18.32"/>
    <s v="RFID"/>
  </r>
  <r>
    <s v="32816"/>
    <x v="0"/>
    <s v="T312 EHH"/>
    <x v="0"/>
    <x v="7"/>
    <x v="0"/>
    <s v="MT"/>
    <x v="17"/>
    <s v="05/04/2026 12:36:59 PM"/>
    <s v="05/04/2026 12:41:41 PM"/>
    <s v="34940"/>
    <s v="15800"/>
    <s v="19140"/>
    <n v="19.14"/>
    <s v="RFID"/>
  </r>
  <r>
    <s v="32817"/>
    <x v="0"/>
    <s v="T311 EHH"/>
    <x v="0"/>
    <x v="7"/>
    <x v="0"/>
    <s v="MT"/>
    <x v="17"/>
    <s v="05/04/2026 12:39:30 PM"/>
    <s v="05/04/2026 12:44:15 PM"/>
    <s v="34740"/>
    <s v="15820"/>
    <s v="18920"/>
    <n v="18.920000000000002"/>
    <s v="RFID"/>
  </r>
  <r>
    <s v="32818"/>
    <x v="0"/>
    <s v="T295 EHH"/>
    <x v="0"/>
    <x v="7"/>
    <x v="0"/>
    <s v="MT"/>
    <x v="17"/>
    <s v="05/04/2026 12:46:27 PM"/>
    <s v="05/04/2026 12:50:49 PM"/>
    <s v="34740"/>
    <s v="16540"/>
    <s v="18200"/>
    <n v="18.2"/>
    <s v="RFID"/>
  </r>
  <r>
    <s v="32819"/>
    <x v="0"/>
    <s v="T290 EHH"/>
    <x v="0"/>
    <x v="7"/>
    <x v="0"/>
    <s v="MT"/>
    <x v="17"/>
    <s v="05/04/2026 12:52:10 PM"/>
    <s v="05/04/2026 12:55:34 PM"/>
    <s v="35160"/>
    <s v="15240"/>
    <s v="19920"/>
    <n v="19.920000000000002"/>
    <s v="RFID"/>
  </r>
  <r>
    <s v="32820"/>
    <x v="0"/>
    <s v="T293 EHH"/>
    <x v="0"/>
    <x v="7"/>
    <x v="0"/>
    <s v="MT"/>
    <x v="17"/>
    <s v="05/04/2026 12:53:25 PM"/>
    <s v="05/04/2026 12:56:38 PM"/>
    <s v="34640"/>
    <s v="15020"/>
    <s v="19620"/>
    <n v="19.62"/>
    <s v="RFID"/>
  </r>
  <r>
    <s v="32821"/>
    <x v="0"/>
    <s v="T295 EHH"/>
    <x v="0"/>
    <x v="5"/>
    <x v="0"/>
    <s v="MT"/>
    <x v="17"/>
    <s v="05/04/2026 02:20:50 PM"/>
    <s v="05/04/2026 02:30:29 PM"/>
    <s v="36140"/>
    <s v="16360"/>
    <s v="19780"/>
    <n v="19.78"/>
    <s v="RFID"/>
  </r>
  <r>
    <s v="32822"/>
    <x v="0"/>
    <s v="T311 EHH"/>
    <x v="0"/>
    <x v="5"/>
    <x v="0"/>
    <s v="MT"/>
    <x v="17"/>
    <s v="05/04/2026 02:23:39 PM"/>
    <s v="05/04/2026 02:37:20 PM"/>
    <s v="35680"/>
    <s v="15820"/>
    <s v="19860"/>
    <n v="19.86"/>
    <s v="RFID"/>
  </r>
  <r>
    <s v="32823"/>
    <x v="0"/>
    <s v="T293 EHH"/>
    <x v="0"/>
    <x v="5"/>
    <x v="0"/>
    <s v="MT"/>
    <x v="17"/>
    <s v="05/04/2026 02:26:47 PM"/>
    <s v="05/04/2026 02:33:08 PM"/>
    <s v="32900"/>
    <s v="14960"/>
    <s v="17940"/>
    <n v="17.940000000000001"/>
    <s v="RFID"/>
  </r>
  <r>
    <s v="32824"/>
    <x v="0"/>
    <s v="T304 EHH"/>
    <x v="0"/>
    <x v="5"/>
    <x v="0"/>
    <s v="MT"/>
    <x v="17"/>
    <s v="05/04/2026 02:31:51 PM"/>
    <s v="05/04/2026 02:39:32 PM"/>
    <s v="35640"/>
    <s v="15900"/>
    <s v="19740"/>
    <n v="19.739999999999998"/>
    <s v="RFID"/>
  </r>
  <r>
    <s v="32825"/>
    <x v="0"/>
    <s v="T299 EHH"/>
    <x v="0"/>
    <x v="5"/>
    <x v="0"/>
    <s v="MT"/>
    <x v="17"/>
    <s v="05/04/2026 02:35:17 PM"/>
    <s v="05/04/2026 02:40:12 PM"/>
    <s v="34900"/>
    <s v="15260"/>
    <s v="19640"/>
    <n v="19.64"/>
    <s v="RFID"/>
  </r>
  <r>
    <s v="32827"/>
    <x v="0"/>
    <s v="T312 EHH"/>
    <x v="0"/>
    <x v="5"/>
    <x v="0"/>
    <s v="MT"/>
    <x v="17"/>
    <s v="05/04/2026 02:38:25 PM"/>
    <s v="05/04/2026 02:43:13 PM"/>
    <s v="35840"/>
    <s v="15780"/>
    <s v="20060"/>
    <n v="20.059999999999999"/>
    <s v="RFID"/>
  </r>
  <r>
    <s v="32828"/>
    <x v="0"/>
    <s v="T295 EHH"/>
    <x v="0"/>
    <x v="5"/>
    <x v="0"/>
    <s v="MT"/>
    <x v="17"/>
    <s v="05/04/2026 02:44:57 PM"/>
    <s v="05/04/2026 02:50:53 PM"/>
    <s v="35300"/>
    <s v="16480"/>
    <s v="18820"/>
    <n v="18.82"/>
    <s v="RFID"/>
  </r>
  <r>
    <s v="32829"/>
    <x v="0"/>
    <s v="T311 EHH"/>
    <x v="0"/>
    <x v="5"/>
    <x v="0"/>
    <s v="MT"/>
    <x v="17"/>
    <s v="05/04/2026 02:53:15 PM"/>
    <s v="05/04/2026 02:58:52 PM"/>
    <s v="34800"/>
    <s v="15820"/>
    <s v="18980"/>
    <n v="18.98"/>
    <s v="RFID"/>
  </r>
  <r>
    <s v="32830"/>
    <x v="0"/>
    <s v="T304 EHH"/>
    <x v="0"/>
    <x v="5"/>
    <x v="0"/>
    <s v="MT"/>
    <x v="17"/>
    <s v="05/04/2026 02:56:14 PM"/>
    <s v="05/04/2026 03:01:12 PM"/>
    <s v="35620"/>
    <s v="15960"/>
    <s v="19660"/>
    <n v="19.66"/>
    <s v="RFID"/>
  </r>
  <r>
    <s v="32831"/>
    <x v="0"/>
    <s v="T312 EHH"/>
    <x v="0"/>
    <x v="5"/>
    <x v="0"/>
    <s v="MT"/>
    <x v="17"/>
    <s v="05/04/2026 03:02:45 PM"/>
    <s v="05/04/2026 03:09:39 PM"/>
    <s v="35280"/>
    <s v="15780"/>
    <s v="19500"/>
    <n v="19.5"/>
    <s v="RFID"/>
  </r>
  <r>
    <s v="32832"/>
    <x v="0"/>
    <s v="T299 EHH"/>
    <x v="0"/>
    <x v="5"/>
    <x v="0"/>
    <s v="MT"/>
    <x v="17"/>
    <s v="05/04/2026 03:05:17 PM"/>
    <s v="05/04/2026 03:10:23 PM"/>
    <s v="34700"/>
    <s v="15380"/>
    <s v="19320"/>
    <n v="19.32"/>
    <s v="RFID"/>
  </r>
  <r>
    <s v="32833"/>
    <x v="0"/>
    <s v="T295 EHH"/>
    <x v="0"/>
    <x v="5"/>
    <x v="0"/>
    <s v="MT"/>
    <x v="17"/>
    <s v="05/04/2026 03:08:30 PM"/>
    <s v="05/04/2026 03:13:51 PM"/>
    <s v="35380"/>
    <s v="16720"/>
    <s v="18660"/>
    <n v="18.66"/>
    <s v="RFID"/>
  </r>
  <r>
    <s v="32834"/>
    <x v="0"/>
    <s v="T311 EHH"/>
    <x v="0"/>
    <x v="7"/>
    <x v="0"/>
    <s v="MT"/>
    <x v="17"/>
    <s v="05/04/2026 03:12:37 PM"/>
    <s v="05/04/2026 03:16:27 PM"/>
    <s v="34920"/>
    <s v="15840"/>
    <s v="19080"/>
    <n v="19.079999999999998"/>
    <s v="RFID"/>
  </r>
  <r>
    <s v="32835"/>
    <x v="0"/>
    <s v="T304 EHH"/>
    <x v="0"/>
    <x v="7"/>
    <x v="0"/>
    <s v="MT"/>
    <x v="17"/>
    <s v="05/04/2026 03:17:40 PM"/>
    <s v="05/04/2026 03:21:40 PM"/>
    <s v="35700"/>
    <s v="15900"/>
    <s v="19800"/>
    <n v="19.8"/>
    <s v="RFID"/>
  </r>
  <r>
    <s v="32836"/>
    <x v="0"/>
    <s v="T293 EHH"/>
    <x v="0"/>
    <x v="7"/>
    <x v="0"/>
    <s v="MT"/>
    <x v="17"/>
    <s v="05/04/2026 03:20:32 PM"/>
    <s v="05/04/2026 03:23:42 PM"/>
    <s v="34560"/>
    <s v="14960"/>
    <s v="19600"/>
    <n v="19.600000000000001"/>
    <s v="RFID"/>
  </r>
  <r>
    <s v="32837"/>
    <x v="0"/>
    <s v="T312 EHH"/>
    <x v="0"/>
    <x v="7"/>
    <x v="0"/>
    <s v="MT"/>
    <x v="17"/>
    <s v="05/04/2026 03:25:03 PM"/>
    <s v="05/04/2026 03:28:50 PM"/>
    <s v="35480"/>
    <s v="16020"/>
    <s v="19460"/>
    <n v="19.46"/>
    <s v="RFID"/>
  </r>
  <r>
    <s v="32838"/>
    <x v="0"/>
    <s v="T299 EHH"/>
    <x v="0"/>
    <x v="7"/>
    <x v="0"/>
    <s v="MT"/>
    <x v="17"/>
    <s v="05/04/2026 03:26:56 PM"/>
    <s v="05/04/2026 03:30:42 PM"/>
    <s v="34460"/>
    <s v="15340"/>
    <s v="19120"/>
    <n v="19.12"/>
    <s v="RFID"/>
  </r>
  <r>
    <s v="32839"/>
    <x v="0"/>
    <s v="T295 EHH"/>
    <x v="0"/>
    <x v="7"/>
    <x v="0"/>
    <s v="MT"/>
    <x v="17"/>
    <s v="05/04/2026 03:31:59 PM"/>
    <s v="05/04/2026 03:36:09 PM"/>
    <s v="31240"/>
    <s v="16420"/>
    <s v="14820"/>
    <n v="14.82"/>
    <s v="RFID"/>
  </r>
  <r>
    <s v="32840"/>
    <x v="0"/>
    <s v="T311 EHH"/>
    <x v="0"/>
    <x v="7"/>
    <x v="0"/>
    <s v="MT"/>
    <x v="17"/>
    <s v="05/04/2026 03:33:33 PM"/>
    <s v="05/04/2026 03:38:49 PM"/>
    <s v="30940"/>
    <s v="15980"/>
    <s v="14960"/>
    <n v="14.96"/>
    <s v="RFID"/>
  </r>
  <r>
    <s v="32841"/>
    <x v="0"/>
    <s v="T304 EHH"/>
    <x v="0"/>
    <x v="7"/>
    <x v="0"/>
    <s v="MT"/>
    <x v="17"/>
    <s v="05/04/2026 03:37:40 PM"/>
    <s v="05/04/2026 03:42:50 PM"/>
    <s v="35020"/>
    <s v="15980"/>
    <s v="19040"/>
    <n v="19.04"/>
    <s v="RFID"/>
  </r>
  <r>
    <s v="32842"/>
    <x v="0"/>
    <s v="T293 EHH"/>
    <x v="0"/>
    <x v="7"/>
    <x v="0"/>
    <s v="MT"/>
    <x v="17"/>
    <s v="05/04/2026 03:40:20 PM"/>
    <s v="05/04/2026 03:45:45 PM"/>
    <s v="34260"/>
    <s v="15040"/>
    <s v="19220"/>
    <n v="19.22"/>
    <s v="RFID"/>
  </r>
  <r>
    <s v="32843"/>
    <x v="0"/>
    <s v="T312 EHH"/>
    <x v="0"/>
    <x v="7"/>
    <x v="0"/>
    <s v="MT"/>
    <x v="17"/>
    <s v="05/04/2026 03:44:32 PM"/>
    <s v="05/04/2026 03:48:08 PM"/>
    <s v="34220"/>
    <s v="16020"/>
    <s v="18200"/>
    <n v="18.2"/>
    <s v="RFID"/>
  </r>
  <r>
    <s v="32844"/>
    <x v="0"/>
    <s v="T299 EHH"/>
    <x v="0"/>
    <x v="7"/>
    <x v="0"/>
    <s v="MT"/>
    <x v="17"/>
    <s v="05/04/2026 03:49:49 PM"/>
    <s v="05/04/2026 03:53:33 PM"/>
    <s v="33060"/>
    <s v="15940"/>
    <s v="17120"/>
    <n v="17.12"/>
    <s v="RFID"/>
  </r>
  <r>
    <s v="32845"/>
    <x v="0"/>
    <s v="T295 EHH"/>
    <x v="0"/>
    <x v="7"/>
    <x v="0"/>
    <s v="MT"/>
    <x v="17"/>
    <s v="05/04/2026 03:54:41 PM"/>
    <s v="05/04/2026 03:58:40 PM"/>
    <s v="34340"/>
    <s v="16560"/>
    <s v="17780"/>
    <n v="17.78"/>
    <s v="RFID"/>
  </r>
  <r>
    <s v="32846"/>
    <x v="0"/>
    <s v="T311 EHH"/>
    <x v="0"/>
    <x v="7"/>
    <x v="0"/>
    <s v="MT"/>
    <x v="17"/>
    <s v="05/04/2026 04:04:20 PM"/>
    <s v="05/04/2026 04:08:37 PM"/>
    <s v="35420"/>
    <s v="16020"/>
    <s v="19400"/>
    <n v="19.399999999999999"/>
    <s v="RFID"/>
  </r>
  <r>
    <s v="32847"/>
    <x v="0"/>
    <s v="T304 EHH"/>
    <x v="0"/>
    <x v="7"/>
    <x v="0"/>
    <s v="MT"/>
    <x v="17"/>
    <s v="05/04/2026 04:07:29 PM"/>
    <s v="05/04/2026 04:12:55 PM"/>
    <s v="32620"/>
    <s v="15820"/>
    <s v="16800"/>
    <n v="16.8"/>
    <s v="RFID"/>
  </r>
  <r>
    <s v="32848"/>
    <x v="0"/>
    <s v="T293 EHH"/>
    <x v="0"/>
    <x v="7"/>
    <x v="0"/>
    <s v="MT"/>
    <x v="17"/>
    <s v="05/04/2026 04:11:23 PM"/>
    <s v="05/04/2026 04:15:25 PM"/>
    <s v="32700"/>
    <s v="14980"/>
    <s v="17720"/>
    <n v="17.72"/>
    <s v="RFID"/>
  </r>
  <r>
    <s v="32849"/>
    <x v="0"/>
    <s v="T299 EHH"/>
    <x v="0"/>
    <x v="7"/>
    <x v="0"/>
    <s v="MT"/>
    <x v="17"/>
    <s v="05/04/2026 04:17:46 PM"/>
    <s v="05/04/2026 04:23:34 PM"/>
    <s v="36380"/>
    <s v="15300"/>
    <s v="21080"/>
    <n v="21.08"/>
    <s v="RFID"/>
  </r>
  <r>
    <s v="32850"/>
    <x v="0"/>
    <s v="T295 EHH"/>
    <x v="0"/>
    <x v="7"/>
    <x v="0"/>
    <s v="MT"/>
    <x v="17"/>
    <s v="05/04/2026 04:22:30 PM"/>
    <s v="05/04/2026 04:26:30 PM"/>
    <s v="39700"/>
    <s v="16540"/>
    <s v="23160"/>
    <n v="23.16"/>
    <s v="RFID"/>
  </r>
  <r>
    <s v="32851"/>
    <x v="0"/>
    <s v="T312 EHH"/>
    <x v="0"/>
    <x v="7"/>
    <x v="0"/>
    <s v="MT"/>
    <x v="17"/>
    <s v="05/04/2026 04:25:18 PM"/>
    <s v="05/04/2026 04:30:39 PM"/>
    <s v="35160"/>
    <s v="16000"/>
    <s v="19160"/>
    <n v="19.16"/>
    <s v="RFID"/>
  </r>
  <r>
    <s v="32852"/>
    <x v="0"/>
    <s v="T304 EHH"/>
    <x v="0"/>
    <x v="7"/>
    <x v="0"/>
    <s v="MT"/>
    <x v="17"/>
    <s v="05/04/2026 04:29:21 PM"/>
    <s v="05/04/2026 04:34:14 PM"/>
    <s v="35360"/>
    <s v="15820"/>
    <s v="19540"/>
    <n v="19.54"/>
    <s v="RFID"/>
  </r>
  <r>
    <s v="32853"/>
    <x v="0"/>
    <s v="T293 EHH"/>
    <x v="0"/>
    <x v="7"/>
    <x v="0"/>
    <s v="MT"/>
    <x v="17"/>
    <s v="05/04/2026 04:33:04 PM"/>
    <s v="05/04/2026 04:37:04 PM"/>
    <s v="33380"/>
    <s v="15020"/>
    <s v="18360"/>
    <n v="18.36"/>
    <s v="RFID"/>
  </r>
  <r>
    <s v="32854"/>
    <x v="0"/>
    <s v="T311 EHH"/>
    <x v="0"/>
    <x v="7"/>
    <x v="0"/>
    <s v="MT"/>
    <x v="17"/>
    <s v="05/04/2026 04:35:35 PM"/>
    <s v="05/04/2026 04:40:37 PM"/>
    <s v="34560"/>
    <s v="16080"/>
    <s v="18480"/>
    <n v="18.48"/>
    <s v="RFID"/>
  </r>
  <r>
    <s v="32855"/>
    <x v="0"/>
    <s v="T299 EHH"/>
    <x v="0"/>
    <x v="7"/>
    <x v="0"/>
    <s v="MT"/>
    <x v="17"/>
    <s v="05/04/2026 04:38:42 PM"/>
    <s v="05/04/2026 04:43:28 PM"/>
    <s v="33840"/>
    <s v="15300"/>
    <s v="18540"/>
    <n v="18.54"/>
    <s v="RFID"/>
  </r>
  <r>
    <s v="32856"/>
    <x v="0"/>
    <s v="T295 EHH"/>
    <x v="0"/>
    <x v="7"/>
    <x v="0"/>
    <s v="MT"/>
    <x v="17"/>
    <s v="05/04/2026 04:42:29 PM"/>
    <s v="05/04/2026 04:46:38 PM"/>
    <s v="35120"/>
    <s v="16560"/>
    <s v="18560"/>
    <n v="18.559999999999999"/>
    <s v="RFID"/>
  </r>
  <r>
    <s v="32857"/>
    <x v="0"/>
    <s v="T312 EHH"/>
    <x v="0"/>
    <x v="7"/>
    <x v="0"/>
    <s v="MT"/>
    <x v="17"/>
    <s v="05/04/2026 04:45:22 PM"/>
    <s v="05/04/2026 04:50:38 PM"/>
    <s v="34380"/>
    <s v="16000"/>
    <s v="18380"/>
    <n v="18.38"/>
    <s v="RFID"/>
  </r>
  <r>
    <s v="32858"/>
    <x v="0"/>
    <s v="T304 EHH"/>
    <x v="0"/>
    <x v="7"/>
    <x v="0"/>
    <s v="MT"/>
    <x v="17"/>
    <s v="05/04/2026 04:49:35 PM"/>
    <s v="05/04/2026 04:53:14 PM"/>
    <s v="33940"/>
    <s v="15820"/>
    <s v="18120"/>
    <n v="18.12"/>
    <s v="RFID"/>
  </r>
  <r>
    <s v="32859"/>
    <x v="0"/>
    <s v="T293 EHH"/>
    <x v="0"/>
    <x v="7"/>
    <x v="0"/>
    <s v="MT"/>
    <x v="17"/>
    <s v="05/04/2026 04:55:47 PM"/>
    <s v="05/04/2026 04:59:36 PM"/>
    <s v="37740"/>
    <s v="14940"/>
    <s v="22800"/>
    <n v="22.8"/>
    <s v="RFID"/>
  </r>
  <r>
    <s v="32860"/>
    <x v="0"/>
    <s v="T311 EHH"/>
    <x v="0"/>
    <x v="7"/>
    <x v="0"/>
    <s v="MT"/>
    <x v="17"/>
    <s v="05/04/2026 05:01:39 PM"/>
    <s v="05/04/2026 05:05:26 PM"/>
    <s v="36260"/>
    <s v="16060"/>
    <s v="20200"/>
    <n v="20.2"/>
    <s v="RFID"/>
  </r>
  <r>
    <s v="32861"/>
    <x v="0"/>
    <s v="T299 EHH"/>
    <x v="0"/>
    <x v="7"/>
    <x v="0"/>
    <s v="MT"/>
    <x v="17"/>
    <s v="05/04/2026 05:03:49 PM"/>
    <s v="05/04/2026 05:09:16 PM"/>
    <s v="34860"/>
    <s v="15300"/>
    <s v="19560"/>
    <n v="19.559999999999999"/>
    <s v="RFID"/>
  </r>
  <r>
    <s v="32862"/>
    <x v="0"/>
    <s v="T295 EHH"/>
    <x v="0"/>
    <x v="7"/>
    <x v="0"/>
    <s v="MT"/>
    <x v="17"/>
    <s v="05/04/2026 05:08:16 PM"/>
    <s v="05/04/2026 05:11:59 PM"/>
    <s v="34640"/>
    <s v="16620"/>
    <s v="18020"/>
    <n v="18.02"/>
    <s v="RFID"/>
  </r>
  <r>
    <s v="32863"/>
    <x v="0"/>
    <s v="T312 EHH"/>
    <x v="0"/>
    <x v="7"/>
    <x v="0"/>
    <s v="MT"/>
    <x v="17"/>
    <s v="05/04/2026 05:13:43 PM"/>
    <s v="05/04/2026 05:17:39 PM"/>
    <s v="36780"/>
    <s v="16040"/>
    <s v="20740"/>
    <n v="20.74"/>
    <s v="RFID"/>
  </r>
  <r>
    <s v="32864"/>
    <x v="0"/>
    <s v="T304 EHH"/>
    <x v="0"/>
    <x v="7"/>
    <x v="0"/>
    <s v="MT"/>
    <x v="17"/>
    <s v="05/04/2026 05:15:55 PM"/>
    <s v="05/04/2026 05:19:53 PM"/>
    <s v="36280"/>
    <s v="15740"/>
    <s v="20540"/>
    <n v="20.54"/>
    <s v="RFID"/>
  </r>
  <r>
    <s v="32865"/>
    <x v="0"/>
    <s v="T293 EHH"/>
    <x v="0"/>
    <x v="7"/>
    <x v="0"/>
    <s v="MT"/>
    <x v="17"/>
    <s v="05/04/2026 05:22:40 PM"/>
    <s v="05/04/2026 05:27:30 PM"/>
    <s v="34760"/>
    <s v="14940"/>
    <s v="19820"/>
    <n v="19.82"/>
    <s v="RFID"/>
  </r>
  <r>
    <s v="32866"/>
    <x v="0"/>
    <s v="T311 EHH"/>
    <x v="0"/>
    <x v="7"/>
    <x v="0"/>
    <s v="MT"/>
    <x v="17"/>
    <s v="05/04/2026 05:24:23 PM"/>
    <s v="05/04/2026 05:28:21 PM"/>
    <s v="35940"/>
    <s v="16060"/>
    <s v="19880"/>
    <n v="19.88"/>
    <s v="RFID"/>
  </r>
  <r>
    <s v="32867"/>
    <x v="0"/>
    <s v="T299 EHH"/>
    <x v="0"/>
    <x v="7"/>
    <x v="0"/>
    <s v="MT"/>
    <x v="17"/>
    <s v="05/04/2026 05:26:22 PM"/>
    <s v="05/04/2026 05:31:10 PM"/>
    <s v="35440"/>
    <s v="15380"/>
    <s v="20060"/>
    <n v="20.059999999999999"/>
    <s v="RFID"/>
  </r>
  <r>
    <s v="32868"/>
    <x v="0"/>
    <s v="T295 EHH"/>
    <x v="0"/>
    <x v="7"/>
    <x v="0"/>
    <s v="MT"/>
    <x v="17"/>
    <s v="05/04/2026 05:32:56 PM"/>
    <s v="05/04/2026 05:36:13 PM"/>
    <s v="37140"/>
    <s v="16640"/>
    <s v="20500"/>
    <n v="20.5"/>
    <s v="RFID"/>
  </r>
  <r>
    <s v="32869"/>
    <x v="0"/>
    <s v="T312 EHH"/>
    <x v="0"/>
    <x v="7"/>
    <x v="0"/>
    <s v="MT"/>
    <x v="17"/>
    <s v="05/04/2026 05:37:55 PM"/>
    <s v="05/04/2026 05:43:33 PM"/>
    <s v="36540"/>
    <s v="16080"/>
    <s v="20460"/>
    <n v="20.46"/>
    <s v="RFID"/>
  </r>
  <r>
    <s v="32870"/>
    <x v="0"/>
    <s v="T304 EHH"/>
    <x v="0"/>
    <x v="7"/>
    <x v="0"/>
    <s v="MT"/>
    <x v="17"/>
    <s v="05/04/2026 05:42:23 PM"/>
    <s v="05/04/2026 05:46:21 PM"/>
    <s v="36800"/>
    <s v="15720"/>
    <s v="21080"/>
    <n v="21.08"/>
    <s v="RFID"/>
  </r>
  <r>
    <s v="32871"/>
    <x v="0"/>
    <s v="T293 EHH"/>
    <x v="0"/>
    <x v="7"/>
    <x v="0"/>
    <s v="MT"/>
    <x v="17"/>
    <s v="05/04/2026 05:48:11 PM"/>
    <s v="05/04/2026 05:51:21 PM"/>
    <s v="32920"/>
    <s v="14900"/>
    <s v="18020"/>
    <n v="18.02"/>
    <s v="RFID"/>
  </r>
  <r>
    <s v="32872"/>
    <x v="0"/>
    <s v="T311 EHH"/>
    <x v="0"/>
    <x v="7"/>
    <x v="0"/>
    <s v="MT"/>
    <x v="17"/>
    <s v="05/04/2026 05:54:01 PM"/>
    <s v="05/04/2026 05:58:02 PM"/>
    <s v="34820"/>
    <s v="16140"/>
    <s v="18680"/>
    <n v="18.68"/>
    <s v="RFID"/>
  </r>
  <r>
    <s v="32873"/>
    <x v="0"/>
    <s v="T299 EHH"/>
    <x v="0"/>
    <x v="7"/>
    <x v="0"/>
    <s v="MT"/>
    <x v="17"/>
    <s v="05/04/2026 06:00:19 PM"/>
    <s v="05/04/2026 06:04:34 PM"/>
    <s v="34160"/>
    <s v="15280"/>
    <s v="18880"/>
    <n v="18.88"/>
    <s v="RFID"/>
  </r>
  <r>
    <s v="32874"/>
    <x v="0"/>
    <s v="T295 EHH"/>
    <x v="0"/>
    <x v="7"/>
    <x v="0"/>
    <s v="MT"/>
    <x v="17"/>
    <s v="05/04/2026 06:07:53 PM"/>
    <s v="05/04/2026 06:11:42 PM"/>
    <s v="34980"/>
    <s v="16600"/>
    <s v="18380"/>
    <n v="18.38"/>
    <s v="RFID"/>
  </r>
  <r>
    <s v="32875"/>
    <x v="0"/>
    <s v="T312 EHH"/>
    <x v="0"/>
    <x v="7"/>
    <x v="0"/>
    <s v="MT"/>
    <x v="17"/>
    <s v="05/04/2026 06:08:50 PM"/>
    <s v="05/04/2026 06:14:32 PM"/>
    <s v="34420"/>
    <s v="16060"/>
    <s v="18360"/>
    <n v="18.36"/>
    <s v="RFID"/>
  </r>
  <r>
    <s v="32876"/>
    <x v="0"/>
    <s v="T304 EHH"/>
    <x v="0"/>
    <x v="7"/>
    <x v="0"/>
    <s v="MT"/>
    <x v="17"/>
    <s v="05/04/2026 06:12:42 PM"/>
    <s v="05/04/2026 06:16:48 PM"/>
    <s v="33360"/>
    <s v="15760"/>
    <s v="17600"/>
    <n v="17.600000000000001"/>
    <s v="RFID"/>
  </r>
  <r>
    <s v="32877"/>
    <x v="0"/>
    <s v="T293 EHH"/>
    <x v="0"/>
    <x v="7"/>
    <x v="0"/>
    <s v="MT"/>
    <x v="17"/>
    <s v="05/04/2026 06:22:34 PM"/>
    <s v="05/04/2026 06:26:19 PM"/>
    <s v="34380"/>
    <s v="15000"/>
    <s v="19380"/>
    <n v="19.38"/>
    <s v="RFID"/>
  </r>
  <r>
    <s v="32878"/>
    <x v="0"/>
    <s v="T311 EHH"/>
    <x v="0"/>
    <x v="7"/>
    <x v="0"/>
    <s v="MT"/>
    <x v="17"/>
    <s v="05/04/2026 06:23:26 PM"/>
    <s v="05/04/2026 06:27:22 PM"/>
    <s v="31120"/>
    <s v="16060"/>
    <s v="15060"/>
    <n v="15.06"/>
    <s v="RFID"/>
  </r>
  <r>
    <s v="32879"/>
    <x v="0"/>
    <s v="T299 EHH"/>
    <x v="0"/>
    <x v="7"/>
    <x v="0"/>
    <s v="MT"/>
    <x v="17"/>
    <s v="05/04/2026 06:28:28 PM"/>
    <s v="05/04/2026 06:32:30 PM"/>
    <s v="35480"/>
    <s v="15300"/>
    <s v="20180"/>
    <n v="20.18"/>
    <s v="RFID"/>
  </r>
  <r>
    <s v="32880"/>
    <x v="0"/>
    <s v="T295 EHH"/>
    <x v="0"/>
    <x v="7"/>
    <x v="0"/>
    <s v="MT"/>
    <x v="17"/>
    <s v="05/04/2026 06:30:52 PM"/>
    <s v="05/04/2026 06:34:19 PM"/>
    <s v="37540"/>
    <s v="16600"/>
    <s v="20940"/>
    <n v="20.94"/>
    <s v="RFID"/>
  </r>
  <r>
    <s v="32881"/>
    <x v="0"/>
    <s v="T312 EHH"/>
    <x v="0"/>
    <x v="7"/>
    <x v="0"/>
    <s v="MT"/>
    <x v="17"/>
    <s v="05/04/2026 06:35:29 PM"/>
    <s v="05/04/2026 06:41:00 PM"/>
    <s v="35120"/>
    <s v="16040"/>
    <s v="19080"/>
    <n v="19.079999999999998"/>
    <s v="RFID"/>
  </r>
  <r>
    <s v="32882"/>
    <x v="0"/>
    <s v="T304 EHH"/>
    <x v="0"/>
    <x v="7"/>
    <x v="0"/>
    <s v="MT"/>
    <x v="17"/>
    <s v="05/04/2026 06:39:53 PM"/>
    <s v="05/04/2026 06:44:18 PM"/>
    <s v="37000"/>
    <s v="15740"/>
    <s v="21260"/>
    <n v="21.26"/>
    <s v="RFID"/>
  </r>
  <r>
    <s v="32883"/>
    <x v="0"/>
    <s v="T311 EHH"/>
    <x v="0"/>
    <x v="7"/>
    <x v="0"/>
    <s v="MT"/>
    <x v="17"/>
    <s v="05/04/2026 06:42:51 PM"/>
    <s v="05/04/2026 06:47:39 PM"/>
    <s v="35720"/>
    <s v="16040"/>
    <s v="19680"/>
    <n v="19.68"/>
    <s v="RFID"/>
  </r>
  <r>
    <s v="32884"/>
    <x v="0"/>
    <s v="T293 EHH"/>
    <x v="0"/>
    <x v="7"/>
    <x v="0"/>
    <s v="MT"/>
    <x v="17"/>
    <s v="05/04/2026 06:46:31 PM"/>
    <s v="05/04/2026 06:51:51 PM"/>
    <s v="34160"/>
    <s v="14940"/>
    <s v="19220"/>
    <n v="19.22"/>
    <s v="RFID"/>
  </r>
  <r>
    <s v="32885"/>
    <x v="0"/>
    <s v="T299 EHH"/>
    <x v="0"/>
    <x v="7"/>
    <x v="0"/>
    <s v="MT"/>
    <x v="17"/>
    <s v="05/04/2026 06:53:04 PM"/>
    <s v="05/04/2026 06:57:55 PM"/>
    <s v="36280"/>
    <s v="16520"/>
    <s v="19760"/>
    <n v="19.760000000000002"/>
    <s v="RFID"/>
  </r>
  <r>
    <s v="32886"/>
    <x v="0"/>
    <s v="T295 EHH"/>
    <x v="0"/>
    <x v="7"/>
    <x v="0"/>
    <s v="MT"/>
    <x v="17"/>
    <s v="05/04/2026 06:56:46 PM"/>
    <s v="05/04/2026 07:01:06 PM"/>
    <s v="37600"/>
    <s v="16700"/>
    <s v="20900"/>
    <n v="20.9"/>
    <s v="RFID"/>
  </r>
  <r>
    <s v="32887"/>
    <x v="0"/>
    <s v="T312 EHH"/>
    <x v="0"/>
    <x v="7"/>
    <x v="0"/>
    <s v="MT"/>
    <x v="17"/>
    <s v="05/04/2026 07:00:00 PM"/>
    <s v="05/04/2026 07:04:01 PM"/>
    <s v="35260"/>
    <s v="16100"/>
    <s v="19160"/>
    <n v="19.16"/>
    <s v="RFID"/>
  </r>
  <r>
    <s v="32888"/>
    <x v="0"/>
    <s v="T304 EHH"/>
    <x v="0"/>
    <x v="7"/>
    <x v="0"/>
    <s v="MT"/>
    <x v="17"/>
    <s v="05/04/2026 07:07:45 PM"/>
    <s v="05/04/2026 07:11:48 PM"/>
    <s v="38000"/>
    <s v="15740"/>
    <s v="22260"/>
    <n v="22.26"/>
    <s v="RFID"/>
  </r>
  <r>
    <s v="32889"/>
    <x v="0"/>
    <s v="T311 EHH"/>
    <x v="0"/>
    <x v="7"/>
    <x v="0"/>
    <s v="MT"/>
    <x v="17"/>
    <s v="05/04/2026 07:15:21 PM"/>
    <s v="05/04/2026 07:19:52 PM"/>
    <s v="36220"/>
    <s v="16020"/>
    <s v="20200"/>
    <n v="20.2"/>
    <s v="RFID"/>
  </r>
  <r>
    <s v="32890"/>
    <x v="0"/>
    <s v="T293 EHH"/>
    <x v="0"/>
    <x v="7"/>
    <x v="0"/>
    <s v="MT"/>
    <x v="17"/>
    <s v="05/04/2026 07:18:34 PM"/>
    <s v="05/04/2026 07:22:44 PM"/>
    <s v="38960"/>
    <s v="14940"/>
    <s v="24020"/>
    <n v="24.02"/>
    <s v="RFID"/>
  </r>
  <r>
    <s v="32891"/>
    <x v="0"/>
    <s v="T293 EHH"/>
    <x v="0"/>
    <x v="0"/>
    <x v="1"/>
    <s v="MT"/>
    <x v="17"/>
    <s v="05/04/2026 09:10:16 PM"/>
    <s v="05/04/2026 09:40:45 PM"/>
    <s v="39020"/>
    <s v="14920"/>
    <s v="24100"/>
    <n v="24.1"/>
    <s v="RFID"/>
  </r>
  <r>
    <s v="32892"/>
    <x v="0"/>
    <s v="T312 EHH"/>
    <x v="0"/>
    <x v="0"/>
    <x v="1"/>
    <s v="MT"/>
    <x v="17"/>
    <s v="05/04/2026 09:39:10 PM"/>
    <s v="05/04/2026 09:43:19 PM"/>
    <s v="41920"/>
    <s v="16040"/>
    <s v="25880"/>
    <n v="25.88"/>
    <s v="RFID"/>
  </r>
  <r>
    <s v="32893"/>
    <x v="0"/>
    <s v="T311 EHH"/>
    <x v="0"/>
    <x v="0"/>
    <x v="1"/>
    <s v="MT"/>
    <x v="17"/>
    <s v="05/04/2026 09:45:19 PM"/>
    <s v="05/04/2026 09:49:01 PM"/>
    <s v="44620"/>
    <s v="16180"/>
    <s v="28440"/>
    <n v="28.44"/>
    <s v="RFID"/>
  </r>
  <r>
    <s v="32894"/>
    <x v="0"/>
    <s v="T293 EHH"/>
    <x v="0"/>
    <x v="0"/>
    <x v="1"/>
    <s v="MT"/>
    <x v="17"/>
    <s v="05/04/2026 09:55:12 PM"/>
    <s v="05/04/2026 10:02:35 PM"/>
    <s v="46160"/>
    <s v="14920"/>
    <s v="31240"/>
    <n v="31.24"/>
    <s v="RFID"/>
  </r>
  <r>
    <s v="32895"/>
    <x v="0"/>
    <s v="T312 EHH"/>
    <x v="0"/>
    <x v="0"/>
    <x v="1"/>
    <s v="MT"/>
    <x v="17"/>
    <s v="05/04/2026 09:56:16 PM"/>
    <s v="05/04/2026 10:00:02 PM"/>
    <s v="41720"/>
    <s v="16060"/>
    <s v="25660"/>
    <n v="25.66"/>
    <s v="RFID"/>
  </r>
  <r>
    <s v="32896"/>
    <x v="0"/>
    <s v="T311 EHH"/>
    <x v="0"/>
    <x v="0"/>
    <x v="1"/>
    <s v="MT"/>
    <x v="17"/>
    <s v="05/04/2026 10:01:14 PM"/>
    <s v="05/04/2026 10:04:40 PM"/>
    <s v="43740"/>
    <s v="16180"/>
    <s v="27560"/>
    <n v="27.56"/>
    <s v="RFID"/>
  </r>
  <r>
    <s v="32897"/>
    <x v="0"/>
    <s v="T312 EHH"/>
    <x v="0"/>
    <x v="0"/>
    <x v="1"/>
    <s v="MT"/>
    <x v="17"/>
    <s v="05/04/2026 10:07:53 PM"/>
    <s v="05/04/2026 10:12:31 PM"/>
    <s v="42060"/>
    <s v="16040"/>
    <s v="26020"/>
    <n v="26.02"/>
    <s v="RFID"/>
  </r>
  <r>
    <s v="32898"/>
    <x v="0"/>
    <s v="T293 EHH"/>
    <x v="0"/>
    <x v="0"/>
    <x v="1"/>
    <s v="MT"/>
    <x v="17"/>
    <s v="05/04/2026 10:14:23 PM"/>
    <s v="05/04/2026 10:19:43 PM"/>
    <s v="41020"/>
    <s v="14920"/>
    <s v="26100"/>
    <n v="26.1"/>
    <s v="RFID"/>
  </r>
  <r>
    <s v="32899"/>
    <x v="0"/>
    <s v="T311 EHH"/>
    <x v="0"/>
    <x v="0"/>
    <x v="1"/>
    <s v="MT"/>
    <x v="17"/>
    <s v="05/04/2026 10:18:18 PM"/>
    <s v="05/04/2026 10:21:39 PM"/>
    <s v="44280"/>
    <s v="16160"/>
    <s v="28120"/>
    <n v="28.12"/>
    <s v="RFID"/>
  </r>
  <r>
    <s v="32900"/>
    <x v="0"/>
    <s v="T312 EHH"/>
    <x v="0"/>
    <x v="0"/>
    <x v="1"/>
    <s v="MT"/>
    <x v="17"/>
    <s v="05/04/2026 10:23:15 PM"/>
    <s v="05/04/2026 10:38:37 PM"/>
    <s v="45020"/>
    <s v="16020"/>
    <s v="29000"/>
    <n v="29"/>
    <s v="RFID"/>
  </r>
  <r>
    <s v="32901"/>
    <x v="0"/>
    <s v="T293 EHH"/>
    <x v="0"/>
    <x v="0"/>
    <x v="1"/>
    <s v="MT"/>
    <x v="17"/>
    <s v="05/04/2026 10:32:32 PM"/>
    <s v="05/04/2026 10:37:13 PM"/>
    <s v="45780"/>
    <s v="14920"/>
    <s v="30860"/>
    <n v="30.86"/>
    <s v="RFID"/>
  </r>
  <r>
    <s v="32902"/>
    <x v="0"/>
    <s v="T311 EHH"/>
    <x v="0"/>
    <x v="0"/>
    <x v="1"/>
    <s v="MT"/>
    <x v="17"/>
    <s v="05/04/2026 10:35:37 PM"/>
    <s v="05/04/2026 10:44:20 PM"/>
    <s v="36640"/>
    <s v="16160"/>
    <s v="20480"/>
    <n v="20.48"/>
    <s v="RFID"/>
  </r>
  <r>
    <s v="32903"/>
    <x v="0"/>
    <s v="T293 EHH"/>
    <x v="0"/>
    <x v="0"/>
    <x v="1"/>
    <s v="MT"/>
    <x v="17"/>
    <s v="05/04/2026 10:50:36 PM"/>
    <s v="05/04/2026 10:55:23 PM"/>
    <s v="42740"/>
    <s v="14940"/>
    <s v="27800"/>
    <n v="27.8"/>
    <s v="RFID"/>
  </r>
  <r>
    <s v="32904"/>
    <x v="0"/>
    <s v="T312 EHH"/>
    <x v="0"/>
    <x v="0"/>
    <x v="1"/>
    <s v="MT"/>
    <x v="17"/>
    <s v="05/04/2026 10:57:35 PM"/>
    <s v="05/04/2026 11:01:14 PM"/>
    <s v="39720"/>
    <s v="16040"/>
    <s v="23680"/>
    <n v="23.68"/>
    <s v="RFID"/>
  </r>
  <r>
    <s v="32905"/>
    <x v="0"/>
    <s v="T311 EHH"/>
    <x v="0"/>
    <x v="0"/>
    <x v="1"/>
    <s v="MT"/>
    <x v="17"/>
    <s v="05/04/2026 11:02:56 PM"/>
    <s v="05/04/2026 11:06:21 PM"/>
    <s v="42960"/>
    <s v="16060"/>
    <s v="26900"/>
    <n v="26.9"/>
    <s v="RFID"/>
  </r>
  <r>
    <s v="32906"/>
    <x v="0"/>
    <s v="T293 EHH"/>
    <x v="0"/>
    <x v="0"/>
    <x v="1"/>
    <s v="MT"/>
    <x v="17"/>
    <s v="05/04/2026 11:17:01 PM"/>
    <s v="05/04/2026 11:22:22 PM"/>
    <s v="43880"/>
    <s v="14940"/>
    <s v="28940"/>
    <n v="28.94"/>
    <s v="RFID"/>
  </r>
  <r>
    <s v="32907"/>
    <x v="0"/>
    <s v="T312 EHH"/>
    <x v="0"/>
    <x v="0"/>
    <x v="1"/>
    <s v="MT"/>
    <x v="17"/>
    <s v="05/04/2026 11:24:21 PM"/>
    <s v="05/04/2026 11:28:24 PM"/>
    <s v="41480"/>
    <s v="16120"/>
    <s v="25360"/>
    <n v="25.36"/>
    <s v="RFID"/>
  </r>
  <r>
    <s v="32908"/>
    <x v="0"/>
    <s v="T311 EHH"/>
    <x v="0"/>
    <x v="7"/>
    <x v="1"/>
    <s v="MT"/>
    <x v="18"/>
    <s v="06/04/2026 01:35:03 AM"/>
    <s v="06/04/2026 01:40:10 AM"/>
    <s v="36620"/>
    <s v="16320"/>
    <s v="20300"/>
    <n v="20.3"/>
    <s v="RFID"/>
  </r>
  <r>
    <s v="32909"/>
    <x v="0"/>
    <s v="T312 EHH"/>
    <x v="0"/>
    <x v="7"/>
    <x v="1"/>
    <s v="MT"/>
    <x v="18"/>
    <s v="06/04/2026 01:38:43 AM"/>
    <s v="06/04/2026 01:42:33 AM"/>
    <s v="36980"/>
    <s v="16020"/>
    <s v="20960"/>
    <n v="20.96"/>
    <s v="RFID"/>
  </r>
  <r>
    <s v="32910"/>
    <x v="0"/>
    <s v="T293 EHH"/>
    <x v="0"/>
    <x v="7"/>
    <x v="1"/>
    <s v="MT"/>
    <x v="18"/>
    <s v="06/04/2026 01:45:38 AM"/>
    <s v="06/04/2026 01:48:16 AM"/>
    <s v="35060"/>
    <s v="15720"/>
    <s v="19340"/>
    <n v="19.34"/>
    <s v="RFID"/>
  </r>
  <r>
    <s v="32911"/>
    <x v="0"/>
    <s v="T299 EHH"/>
    <x v="0"/>
    <x v="7"/>
    <x v="1"/>
    <s v="MT"/>
    <x v="18"/>
    <s v="06/04/2026 01:50:56 AM"/>
    <s v="06/04/2026 01:55:33 AM"/>
    <s v="36200"/>
    <s v="15340"/>
    <s v="20860"/>
    <n v="20.86"/>
    <s v="RFID"/>
  </r>
  <r>
    <s v="32912"/>
    <x v="0"/>
    <s v="T311 EHH"/>
    <x v="0"/>
    <x v="7"/>
    <x v="1"/>
    <s v="MT"/>
    <x v="18"/>
    <s v="06/04/2026 01:54:23 AM"/>
    <s v="06/04/2026 01:57:20 AM"/>
    <s v="35340"/>
    <s v="16180"/>
    <s v="19160"/>
    <n v="19.16"/>
    <s v="RFID"/>
  </r>
  <r>
    <s v="32913"/>
    <x v="0"/>
    <s v="T312 EHH"/>
    <x v="0"/>
    <x v="7"/>
    <x v="1"/>
    <s v="MT"/>
    <x v="18"/>
    <s v="06/04/2026 01:59:20 AM"/>
    <s v="06/04/2026 02:02:33 AM"/>
    <s v="35340"/>
    <s v="16020"/>
    <s v="19320"/>
    <n v="19.32"/>
    <s v="RFID"/>
  </r>
  <r>
    <s v="32914"/>
    <x v="0"/>
    <s v="T293 EHH"/>
    <x v="0"/>
    <x v="7"/>
    <x v="1"/>
    <s v="MT"/>
    <x v="18"/>
    <s v="06/04/2026 02:03:23 AM"/>
    <s v="06/04/2026 02:06:20 AM"/>
    <s v="33520"/>
    <s v="14920"/>
    <s v="18600"/>
    <n v="18.600000000000001"/>
    <s v="RFID"/>
  </r>
  <r>
    <s v="32915"/>
    <x v="0"/>
    <s v="T299 EHH"/>
    <x v="0"/>
    <x v="7"/>
    <x v="1"/>
    <s v="MT"/>
    <x v="18"/>
    <s v="06/04/2026 02:14:06 AM"/>
    <s v="06/04/2026 02:17:44 AM"/>
    <s v="37660"/>
    <s v="15320"/>
    <s v="22340"/>
    <n v="22.34"/>
    <s v="RFID"/>
  </r>
  <r>
    <s v="32916"/>
    <x v="0"/>
    <s v="T311 EHH"/>
    <x v="0"/>
    <x v="7"/>
    <x v="1"/>
    <s v="MT"/>
    <x v="18"/>
    <s v="06/04/2026 02:16:30 AM"/>
    <s v="06/04/2026 02:19:31 AM"/>
    <s v="34780"/>
    <s v="16120"/>
    <s v="18660"/>
    <n v="18.66"/>
    <s v="RFID"/>
  </r>
  <r>
    <s v="32917"/>
    <x v="0"/>
    <s v="T312 EHH"/>
    <x v="0"/>
    <x v="7"/>
    <x v="1"/>
    <s v="MT"/>
    <x v="18"/>
    <s v="06/04/2026 02:22:02 AM"/>
    <s v="06/04/2026 02:25:36 AM"/>
    <s v="39340"/>
    <s v="16000"/>
    <s v="23340"/>
    <n v="23.34"/>
    <s v="RFID"/>
  </r>
  <r>
    <s v="32918"/>
    <x v="0"/>
    <s v="T293 EHH"/>
    <x v="0"/>
    <x v="7"/>
    <x v="1"/>
    <s v="MT"/>
    <x v="18"/>
    <s v="06/04/2026 02:26:43 AM"/>
    <s v="06/04/2026 02:31:34 AM"/>
    <s v="35860"/>
    <s v="14920"/>
    <s v="20940"/>
    <n v="20.94"/>
    <s v="RFID"/>
  </r>
  <r>
    <s v="32919"/>
    <x v="0"/>
    <s v="T299 EHH"/>
    <x v="0"/>
    <x v="7"/>
    <x v="1"/>
    <s v="MT"/>
    <x v="18"/>
    <s v="06/04/2026 02:35:33 AM"/>
    <s v="06/04/2026 02:39:58 AM"/>
    <s v="36560"/>
    <s v="15320"/>
    <s v="21240"/>
    <n v="21.24"/>
    <s v="RFID"/>
  </r>
  <r>
    <s v="32920"/>
    <x v="0"/>
    <s v="T311 EHH"/>
    <x v="0"/>
    <x v="7"/>
    <x v="1"/>
    <s v="MT"/>
    <x v="18"/>
    <s v="06/04/2026 02:38:47 AM"/>
    <s v="06/04/2026 02:42:13 AM"/>
    <s v="34460"/>
    <s v="16100"/>
    <s v="18360"/>
    <n v="18.36"/>
    <s v="RFID"/>
  </r>
  <r>
    <s v="32921"/>
    <x v="0"/>
    <s v="T312 EHH"/>
    <x v="0"/>
    <x v="7"/>
    <x v="1"/>
    <s v="MT"/>
    <x v="18"/>
    <s v="06/04/2026 02:47:21 AM"/>
    <s v="06/04/2026 02:50:32 AM"/>
    <s v="33360"/>
    <s v="16040"/>
    <s v="17320"/>
    <n v="17.32"/>
    <s v="RFID"/>
  </r>
  <r>
    <s v="32922"/>
    <x v="0"/>
    <s v="T293 EHH"/>
    <x v="0"/>
    <x v="7"/>
    <x v="1"/>
    <s v="MT"/>
    <x v="18"/>
    <s v="06/04/2026 02:53:43 AM"/>
    <s v="06/04/2026 02:57:19 AM"/>
    <s v="35020"/>
    <s v="14920"/>
    <s v="20100"/>
    <n v="20.100000000000001"/>
    <s v="RFID"/>
  </r>
  <r>
    <s v="32923"/>
    <x v="0"/>
    <s v="T299 EHH"/>
    <x v="0"/>
    <x v="7"/>
    <x v="1"/>
    <s v="MT"/>
    <x v="18"/>
    <s v="06/04/2026 02:59:10 AM"/>
    <s v="06/04/2026 03:12:27 AM"/>
    <s v="35840"/>
    <s v="15220"/>
    <s v="20620"/>
    <n v="20.62"/>
    <s v="RFID"/>
  </r>
  <r>
    <s v="32924"/>
    <x v="0"/>
    <s v="T311 EHH"/>
    <x v="0"/>
    <x v="7"/>
    <x v="1"/>
    <s v="MT"/>
    <x v="18"/>
    <s v="06/04/2026 03:02:30 AM"/>
    <s v="06/04/2026 03:05:57 AM"/>
    <s v="35900"/>
    <s v="16020"/>
    <s v="19880"/>
    <n v="19.88"/>
    <s v="RFID"/>
  </r>
  <r>
    <s v="32925"/>
    <x v="0"/>
    <s v="T312 EHH"/>
    <x v="0"/>
    <x v="7"/>
    <x v="1"/>
    <s v="MT"/>
    <x v="18"/>
    <s v="06/04/2026 03:06:50 AM"/>
    <s v="06/04/2026 03:09:55 AM"/>
    <s v="35520"/>
    <s v="16060"/>
    <s v="19460"/>
    <n v="19.46"/>
    <s v="RFID"/>
  </r>
  <r>
    <s v="32926"/>
    <x v="0"/>
    <s v="T293 EHH"/>
    <x v="0"/>
    <x v="7"/>
    <x v="1"/>
    <s v="MT"/>
    <x v="18"/>
    <s v="06/04/2026 03:11:07 AM"/>
    <s v="06/04/2026 03:14:26 AM"/>
    <s v="37660"/>
    <s v="14880"/>
    <s v="22780"/>
    <n v="22.78"/>
    <s v="RFID"/>
  </r>
  <r>
    <s v="32927"/>
    <x v="0"/>
    <s v="T311 EHH"/>
    <x v="0"/>
    <x v="7"/>
    <x v="1"/>
    <s v="MT"/>
    <x v="18"/>
    <s v="06/04/2026 03:20:58 AM"/>
    <s v="06/04/2026 03:24:04 AM"/>
    <s v="35460"/>
    <s v="16020"/>
    <s v="19440"/>
    <n v="19.440000000000001"/>
    <s v="RFID"/>
  </r>
  <r>
    <s v="32928"/>
    <x v="0"/>
    <s v="T312 EHH"/>
    <x v="0"/>
    <x v="7"/>
    <x v="1"/>
    <s v="MT"/>
    <x v="18"/>
    <s v="06/04/2026 03:25:25 AM"/>
    <s v="06/04/2026 03:28:39 AM"/>
    <s v="35820"/>
    <s v="16040"/>
    <s v="19780"/>
    <n v="19.78"/>
    <s v="RFID"/>
  </r>
  <r>
    <s v="32929"/>
    <x v="0"/>
    <s v="T299 EHH"/>
    <x v="0"/>
    <x v="7"/>
    <x v="1"/>
    <s v="MT"/>
    <x v="18"/>
    <s v="06/04/2026 03:30:53 AM"/>
    <s v="06/04/2026 03:35:24 AM"/>
    <s v="33580"/>
    <s v="15300"/>
    <s v="18280"/>
    <n v="18.28"/>
    <s v="RFID"/>
  </r>
  <r>
    <s v="32930"/>
    <x v="0"/>
    <s v="T293 EHH"/>
    <x v="0"/>
    <x v="7"/>
    <x v="1"/>
    <s v="MT"/>
    <x v="18"/>
    <s v="06/04/2026 03:34:12 AM"/>
    <s v="06/04/2026 03:38:48 AM"/>
    <s v="36400"/>
    <s v="14880"/>
    <s v="21520"/>
    <n v="21.52"/>
    <s v="RFID"/>
  </r>
  <r>
    <s v="32931"/>
    <x v="0"/>
    <s v="T311 EHH"/>
    <x v="0"/>
    <x v="7"/>
    <x v="1"/>
    <s v="MT"/>
    <x v="18"/>
    <s v="06/04/2026 03:41:08 AM"/>
    <s v="06/04/2026 03:44:23 AM"/>
    <s v="36960"/>
    <s v="16000"/>
    <s v="20960"/>
    <n v="20.96"/>
    <s v="RFID"/>
  </r>
  <r>
    <s v="32932"/>
    <x v="0"/>
    <s v="T312 EHH"/>
    <x v="0"/>
    <x v="7"/>
    <x v="1"/>
    <s v="MT"/>
    <x v="18"/>
    <s v="06/04/2026 03:48:33 AM"/>
    <s v="06/04/2026 03:51:49 AM"/>
    <s v="38580"/>
    <s v="16020"/>
    <s v="22560"/>
    <n v="22.56"/>
    <s v="RFID"/>
  </r>
  <r>
    <s v="32933"/>
    <x v="0"/>
    <s v="T299 EHH"/>
    <x v="0"/>
    <x v="7"/>
    <x v="1"/>
    <s v="MT"/>
    <x v="18"/>
    <s v="06/04/2026 03:58:07 AM"/>
    <s v="06/04/2026 04:02:19 AM"/>
    <s v="37780"/>
    <s v="15300"/>
    <s v="22480"/>
    <n v="22.48"/>
    <s v="RFID"/>
  </r>
  <r>
    <s v="32934"/>
    <x v="0"/>
    <s v="T293 EHH"/>
    <x v="0"/>
    <x v="7"/>
    <x v="1"/>
    <s v="MT"/>
    <x v="18"/>
    <s v="06/04/2026 04:04:37 AM"/>
    <s v="06/04/2026 04:08:31 AM"/>
    <s v="40800"/>
    <s v="14880"/>
    <s v="25920"/>
    <n v="25.92"/>
    <s v="RFID"/>
  </r>
  <r>
    <s v="32935"/>
    <x v="0"/>
    <s v="T311 EHH"/>
    <x v="0"/>
    <x v="7"/>
    <x v="1"/>
    <s v="MT"/>
    <x v="18"/>
    <s v="06/04/2026 04:09:59 AM"/>
    <s v="06/04/2026 04:13:13 AM"/>
    <s v="37040"/>
    <s v="16020"/>
    <s v="21020"/>
    <n v="21.02"/>
    <s v="RFID"/>
  </r>
  <r>
    <s v="32936"/>
    <x v="0"/>
    <s v="T312 EHH"/>
    <x v="0"/>
    <x v="7"/>
    <x v="1"/>
    <s v="MT"/>
    <x v="18"/>
    <s v="06/04/2026 04:15:57 AM"/>
    <s v="06/04/2026 04:33:14 AM"/>
    <s v="35520"/>
    <s v="15980"/>
    <s v="19540"/>
    <n v="19.54"/>
    <s v="RFID"/>
  </r>
  <r>
    <s v="32937"/>
    <x v="0"/>
    <s v="T299 EHH"/>
    <x v="0"/>
    <x v="7"/>
    <x v="1"/>
    <s v="MT"/>
    <x v="18"/>
    <s v="06/04/2026 04:23:44 AM"/>
    <s v="06/04/2026 04:28:09 AM"/>
    <s v="40260"/>
    <s v="15300"/>
    <s v="24960"/>
    <n v="24.96"/>
    <s v="RFID"/>
  </r>
  <r>
    <s v="32938"/>
    <x v="0"/>
    <s v="T293 EHH"/>
    <x v="0"/>
    <x v="7"/>
    <x v="1"/>
    <s v="MT"/>
    <x v="18"/>
    <s v="06/04/2026 04:26:55 AM"/>
    <s v="06/04/2026 04:29:54 AM"/>
    <s v="35580"/>
    <s v="14860"/>
    <s v="20720"/>
    <n v="20.72"/>
    <s v="RFID"/>
  </r>
  <r>
    <s v="32939"/>
    <x v="0"/>
    <s v="T311 EHH"/>
    <x v="0"/>
    <x v="7"/>
    <x v="1"/>
    <s v="MT"/>
    <x v="18"/>
    <s v="06/04/2026 04:32:18 AM"/>
    <s v="06/04/2026 04:37:29 AM"/>
    <s v="37140"/>
    <s v="16000"/>
    <s v="21140"/>
    <n v="21.14"/>
    <s v="RFID"/>
  </r>
  <r>
    <s v="32940"/>
    <x v="0"/>
    <s v="T299 EHH"/>
    <x v="0"/>
    <x v="7"/>
    <x v="1"/>
    <s v="MT"/>
    <x v="18"/>
    <s v="06/04/2026 04:51:30 AM"/>
    <s v="06/04/2026 04:56:11 AM"/>
    <s v="42760"/>
    <s v="15300"/>
    <s v="27460"/>
    <n v="27.46"/>
    <s v="RFID"/>
  </r>
  <r>
    <s v="32941"/>
    <x v="0"/>
    <s v="T312 EHH"/>
    <x v="0"/>
    <x v="7"/>
    <x v="1"/>
    <s v="MT"/>
    <x v="18"/>
    <s v="06/04/2026 04:55:00 AM"/>
    <s v="06/04/2026 04:58:03 AM"/>
    <s v="39220"/>
    <s v="16120"/>
    <s v="23100"/>
    <n v="23.1"/>
    <s v="RFID"/>
  </r>
  <r>
    <s v="32942"/>
    <x v="0"/>
    <s v="T311 EHH"/>
    <x v="0"/>
    <x v="7"/>
    <x v="1"/>
    <s v="MT"/>
    <x v="18"/>
    <s v="06/04/2026 05:04:22 AM"/>
    <s v="06/04/2026 05:09:09 AM"/>
    <s v="39320"/>
    <s v="16100"/>
    <s v="23220"/>
    <n v="23.22"/>
    <s v="RFID"/>
  </r>
  <r>
    <s v="32943"/>
    <x v="0"/>
    <s v="T299 EHH"/>
    <x v="0"/>
    <x v="7"/>
    <x v="1"/>
    <s v="MT"/>
    <x v="18"/>
    <s v="06/04/2026 05:29:05 AM"/>
    <s v="06/04/2026 05:32:56 AM"/>
    <s v="35940"/>
    <s v="15300"/>
    <s v="20640"/>
    <n v="20.64"/>
    <s v="RFID"/>
  </r>
  <r>
    <s v="32944"/>
    <x v="0"/>
    <s v="T304 EHH"/>
    <x v="0"/>
    <x v="4"/>
    <x v="0"/>
    <s v="MT"/>
    <x v="18"/>
    <s v="06/04/2026 09:03:36 AM"/>
    <s v="06/04/2026 09:15:33 AM"/>
    <s v="35720"/>
    <s v="15680"/>
    <s v="20040"/>
    <n v="20.04"/>
    <s v="RFID"/>
  </r>
  <r>
    <s v="32945"/>
    <x v="0"/>
    <s v="T312 EHH"/>
    <x v="0"/>
    <x v="4"/>
    <x v="0"/>
    <s v="MT"/>
    <x v="18"/>
    <s v="06/04/2026 09:08:25 AM"/>
    <s v="06/04/2026 09:20:42 AM"/>
    <s v="36120"/>
    <s v="16000"/>
    <s v="20120"/>
    <n v="20.12"/>
    <s v="RFID"/>
  </r>
  <r>
    <s v="32946"/>
    <x v="0"/>
    <s v="T293 EHH"/>
    <x v="0"/>
    <x v="4"/>
    <x v="0"/>
    <s v="MT"/>
    <x v="18"/>
    <s v="06/04/2026 09:14:13 AM"/>
    <s v="06/04/2026 09:27:04 AM"/>
    <s v="34980"/>
    <s v="14880"/>
    <s v="20100"/>
    <n v="20.100000000000001"/>
    <s v="RFID"/>
  </r>
  <r>
    <s v="32947"/>
    <x v="0"/>
    <s v="T295 EHH"/>
    <x v="0"/>
    <x v="7"/>
    <x v="0"/>
    <s v="MT"/>
    <x v="18"/>
    <s v="06/04/2026 09:17:32 AM"/>
    <s v="06/04/2026 09:35:29 AM"/>
    <s v="37360"/>
    <s v="16700"/>
    <s v="20660"/>
    <n v="20.66"/>
    <s v="RFID"/>
  </r>
  <r>
    <s v="32948"/>
    <x v="0"/>
    <s v="T299 EHH"/>
    <x v="0"/>
    <x v="7"/>
    <x v="0"/>
    <s v="MT"/>
    <x v="18"/>
    <s v="06/04/2026 09:21:56 AM"/>
    <s v="06/04/2026 09:47:50 AM"/>
    <s v="36040"/>
    <s v="15220"/>
    <s v="20820"/>
    <n v="20.82"/>
    <s v="RFID"/>
  </r>
  <r>
    <s v="32949"/>
    <x v="0"/>
    <s v="T311 EHH"/>
    <x v="0"/>
    <x v="4"/>
    <x v="0"/>
    <s v="MT"/>
    <x v="18"/>
    <s v="06/04/2026 09:25:47 AM"/>
    <s v="06/04/2026 09:41:55 AM"/>
    <s v="35660"/>
    <s v="16140"/>
    <s v="19520"/>
    <n v="19.52"/>
    <s v="RFID"/>
  </r>
  <r>
    <s v="32950"/>
    <x v="0"/>
    <s v="T304 EHH"/>
    <x v="0"/>
    <x v="4"/>
    <x v="0"/>
    <s v="MT"/>
    <x v="18"/>
    <s v="06/04/2026 09:30:42 AM"/>
    <s v="06/04/2026 09:50:58 AM"/>
    <s v="35240"/>
    <s v="15660"/>
    <s v="19580"/>
    <n v="19.579999999999998"/>
    <s v="RFID"/>
  </r>
  <r>
    <s v="32951"/>
    <x v="0"/>
    <s v="T306 EHH"/>
    <x v="0"/>
    <x v="4"/>
    <x v="0"/>
    <s v="MT"/>
    <x v="18"/>
    <s v="06/04/2026 09:34:25 AM"/>
    <s v="06/04/2026 09:51:50 AM"/>
    <s v="36660"/>
    <s v="17780"/>
    <s v="18880"/>
    <n v="18.88"/>
    <s v="RFID"/>
  </r>
  <r>
    <s v="32952"/>
    <x v="0"/>
    <s v="T312 EHH"/>
    <x v="0"/>
    <x v="4"/>
    <x v="0"/>
    <s v="MT"/>
    <x v="18"/>
    <s v="06/04/2026 09:38:04 AM"/>
    <s v="06/04/2026 09:52:38 AM"/>
    <s v="35400"/>
    <s v="15980"/>
    <s v="19420"/>
    <n v="19.420000000000002"/>
    <s v="RFID"/>
  </r>
  <r>
    <s v="32953"/>
    <x v="0"/>
    <s v="T293 EHH"/>
    <x v="0"/>
    <x v="4"/>
    <x v="0"/>
    <s v="MT"/>
    <x v="18"/>
    <s v="06/04/2026 09:48:57 AM"/>
    <s v="06/04/2026 10:05:35 AM"/>
    <s v="35780"/>
    <s v="14920"/>
    <s v="20860"/>
    <n v="20.86"/>
    <s v="RFID"/>
  </r>
  <r>
    <s v="32954"/>
    <x v="0"/>
    <s v="T295 EHH"/>
    <x v="0"/>
    <x v="4"/>
    <x v="0"/>
    <s v="MT"/>
    <x v="18"/>
    <s v="06/04/2026 09:49:51 AM"/>
    <s v="06/04/2026 10:04:44 AM"/>
    <s v="37220"/>
    <s v="16700"/>
    <s v="20520"/>
    <n v="20.52"/>
    <s v="RFID"/>
  </r>
  <r>
    <s v="32955"/>
    <x v="0"/>
    <s v="T311 EHH"/>
    <x v="0"/>
    <x v="4"/>
    <x v="0"/>
    <s v="MT"/>
    <x v="18"/>
    <s v="06/04/2026 09:56:04 AM"/>
    <s v="06/04/2026 10:08:30 AM"/>
    <s v="35200"/>
    <s v="16120"/>
    <s v="19080"/>
    <n v="19.079999999999998"/>
    <s v="RFID"/>
  </r>
  <r>
    <s v="32956"/>
    <x v="0"/>
    <s v="T299 EHH"/>
    <x v="0"/>
    <x v="7"/>
    <x v="0"/>
    <s v="MT"/>
    <x v="18"/>
    <s v="06/04/2026 10:00:35 AM"/>
    <s v="06/04/2026 10:19:00 AM"/>
    <s v="35860"/>
    <s v="15220"/>
    <s v="20640"/>
    <n v="20.64"/>
    <s v="RFID"/>
  </r>
  <r>
    <s v="32957"/>
    <x v="0"/>
    <s v="T304 EHH"/>
    <x v="0"/>
    <x v="4"/>
    <x v="0"/>
    <s v="MT"/>
    <x v="18"/>
    <s v="06/04/2026 10:03:38 AM"/>
    <s v="06/04/2026 10:19:47 AM"/>
    <s v="35000"/>
    <s v="15660"/>
    <s v="19340"/>
    <n v="19.34"/>
    <s v="RFID"/>
  </r>
  <r>
    <s v="32958"/>
    <x v="0"/>
    <s v="T306 EHH"/>
    <x v="0"/>
    <x v="4"/>
    <x v="0"/>
    <s v="MT"/>
    <x v="18"/>
    <s v="06/04/2026 10:07:13 AM"/>
    <s v="06/04/2026 10:20:42 AM"/>
    <s v="36640"/>
    <s v="17640"/>
    <s v="19000"/>
    <n v="19"/>
    <s v="RFID"/>
  </r>
  <r>
    <s v="32959"/>
    <x v="0"/>
    <s v="T312 EHH"/>
    <x v="0"/>
    <x v="4"/>
    <x v="0"/>
    <s v="MT"/>
    <x v="18"/>
    <s v="06/04/2026 10:12:01 AM"/>
    <s v="06/04/2026 10:30:34 AM"/>
    <s v="34700"/>
    <s v="15980"/>
    <s v="18720"/>
    <n v="18.72"/>
    <s v="RFID"/>
  </r>
  <r>
    <s v="32960"/>
    <x v="0"/>
    <s v="T295 EHH"/>
    <x v="0"/>
    <x v="4"/>
    <x v="0"/>
    <s v="MT"/>
    <x v="18"/>
    <s v="06/04/2026 10:17:42 AM"/>
    <s v="06/04/2026 11:31:51 AM"/>
    <s v="35580"/>
    <s v="14460"/>
    <s v="21120"/>
    <n v="21.12"/>
    <s v="RFID"/>
  </r>
  <r>
    <s v="32961"/>
    <x v="0"/>
    <s v="T293 EHH"/>
    <x v="0"/>
    <x v="4"/>
    <x v="0"/>
    <s v="MT"/>
    <x v="18"/>
    <s v="06/04/2026 10:22:12 AM"/>
    <s v="06/04/2026 10:42:08 AM"/>
    <s v="37380"/>
    <s v="14880"/>
    <s v="22500"/>
    <n v="22.5"/>
    <s v="RFID"/>
  </r>
  <r>
    <s v="32962"/>
    <x v="0"/>
    <s v="T311 EHH"/>
    <x v="0"/>
    <x v="4"/>
    <x v="0"/>
    <s v="MT"/>
    <x v="18"/>
    <s v="06/04/2026 10:25:58 AM"/>
    <s v="06/04/2026 10:45:54 AM"/>
    <s v="35780"/>
    <s v="16120"/>
    <s v="19660"/>
    <n v="19.66"/>
    <s v="RFID"/>
  </r>
  <r>
    <s v="32963"/>
    <x v="0"/>
    <s v="T304 EHH"/>
    <x v="0"/>
    <x v="4"/>
    <x v="0"/>
    <s v="MT"/>
    <x v="18"/>
    <s v="06/04/2026 10:32:19 AM"/>
    <s v="06/04/2026 11:16:03 AM"/>
    <s v="35940"/>
    <s v="15660"/>
    <s v="20280"/>
    <n v="20.28"/>
    <s v="RFID"/>
  </r>
  <r>
    <s v="32964"/>
    <x v="0"/>
    <s v="T299 EHH"/>
    <x v="0"/>
    <x v="4"/>
    <x v="0"/>
    <s v="MT"/>
    <x v="18"/>
    <s v="06/04/2026 10:36:01 AM"/>
    <s v="06/04/2026 10:50:06 AM"/>
    <s v="35140"/>
    <s v="15260"/>
    <s v="19880"/>
    <n v="19.88"/>
    <s v="RFID"/>
  </r>
  <r>
    <s v="32965"/>
    <x v="0"/>
    <s v="T306 EHH"/>
    <x v="0"/>
    <x v="4"/>
    <x v="0"/>
    <s v="MT"/>
    <x v="18"/>
    <s v="06/04/2026 10:38:58 AM"/>
    <s v="06/04/2026 10:53:44 AM"/>
    <s v="35340"/>
    <s v="17660"/>
    <s v="17680"/>
    <n v="17.68"/>
    <s v="RFID"/>
  </r>
  <r>
    <s v="32966"/>
    <x v="0"/>
    <s v="T312 EHH"/>
    <x v="0"/>
    <x v="4"/>
    <x v="0"/>
    <s v="MT"/>
    <x v="18"/>
    <s v="06/04/2026 10:43:26 AM"/>
    <s v="06/04/2026 10:59:22 AM"/>
    <s v="36440"/>
    <s v="15980"/>
    <s v="20460"/>
    <n v="20.46"/>
    <s v="RFID"/>
  </r>
  <r>
    <s v="32967"/>
    <x v="0"/>
    <s v="T293 EHH"/>
    <x v="0"/>
    <x v="4"/>
    <x v="0"/>
    <s v="MT"/>
    <x v="18"/>
    <s v="06/04/2026 11:00:42 AM"/>
    <s v="06/04/2026 11:12:10 AM"/>
    <s v="38300"/>
    <s v="14960"/>
    <s v="23340"/>
    <n v="23.34"/>
    <s v="RFID"/>
  </r>
  <r>
    <s v="32968"/>
    <x v="0"/>
    <s v="T311 EHH"/>
    <x v="0"/>
    <x v="5"/>
    <x v="0"/>
    <s v="MT"/>
    <x v="19"/>
    <s v="7/4/2026 4:21"/>
    <s v="7/4/2026 4:26"/>
    <s v="36560"/>
    <s v="15900"/>
    <s v="20660"/>
    <n v="20.66"/>
    <s v="RFID"/>
  </r>
  <r>
    <s v="32969"/>
    <x v="0"/>
    <s v="T299 EHH"/>
    <x v="0"/>
    <x v="5"/>
    <x v="0"/>
    <s v="MT"/>
    <x v="19"/>
    <s v="7/4/2026 4:25"/>
    <s v="7/4/2026 4:30"/>
    <s v="34520"/>
    <s v="15120"/>
    <s v="19400"/>
    <n v="19.399999999999999"/>
    <s v="RFID"/>
  </r>
  <r>
    <s v="32970"/>
    <x v="0"/>
    <s v="T312 EHH"/>
    <x v="0"/>
    <x v="5"/>
    <x v="0"/>
    <s v="MT"/>
    <x v="19"/>
    <s v="7/4/2026 4:31"/>
    <s v="7/4/2026 4:36"/>
    <s v="34800"/>
    <s v="14600"/>
    <s v="20200"/>
    <n v="20.2"/>
    <s v="RFID"/>
  </r>
  <r>
    <s v="32971"/>
    <x v="0"/>
    <s v="T293 EHH"/>
    <x v="0"/>
    <x v="5"/>
    <x v="0"/>
    <s v="MT"/>
    <x v="19"/>
    <s v="7/4/2026 4:34"/>
    <s v="7/4/2026 4:38"/>
    <s v="35500"/>
    <s v="14880"/>
    <s v="20620"/>
    <n v="20.62"/>
    <s v="RFID"/>
  </r>
  <r>
    <s v="32972"/>
    <x v="0"/>
    <s v="T311 EHH"/>
    <x v="0"/>
    <x v="5"/>
    <x v="0"/>
    <s v="MT"/>
    <x v="19"/>
    <s v="7/4/2026 4:40"/>
    <s v="7/4/2026 4:44"/>
    <s v="35480"/>
    <s v="15940"/>
    <s v="19540"/>
    <n v="19.54"/>
    <s v="RFID"/>
  </r>
  <r>
    <s v="32973"/>
    <x v="0"/>
    <s v="T299 EHH"/>
    <x v="0"/>
    <x v="5"/>
    <x v="0"/>
    <s v="MT"/>
    <x v="19"/>
    <s v="7/4/2026 4:45"/>
    <s v="7/4/2026 4:50"/>
    <s v="35140"/>
    <s v="15180"/>
    <s v="19960"/>
    <n v="19.96"/>
    <s v="RFID"/>
  </r>
  <r>
    <s v="32974"/>
    <x v="0"/>
    <s v="T312 EHH"/>
    <x v="0"/>
    <x v="5"/>
    <x v="0"/>
    <s v="MT"/>
    <x v="19"/>
    <s v="7/4/2026 4:48"/>
    <s v="7/4/2026 4:51"/>
    <s v="34720"/>
    <s v="14860"/>
    <s v="19860"/>
    <n v="19.86"/>
    <s v="RFID"/>
  </r>
  <r>
    <s v="32975"/>
    <x v="0"/>
    <s v="T293 EHH"/>
    <x v="0"/>
    <x v="5"/>
    <x v="0"/>
    <s v="MT"/>
    <x v="19"/>
    <s v="7/4/2026 4:52"/>
    <s v="7/4/2026 4:59"/>
    <s v="36140"/>
    <s v="14900"/>
    <s v="21240"/>
    <n v="21.24"/>
    <s v="RFID"/>
  </r>
  <r>
    <s v="32976"/>
    <x v="0"/>
    <s v="T311 EHH"/>
    <x v="0"/>
    <x v="5"/>
    <x v="0"/>
    <s v="MT"/>
    <x v="19"/>
    <s v="7/4/2026 5:00"/>
    <s v="7/4/2026 5:16"/>
    <s v="36220"/>
    <s v="16020"/>
    <s v="20200"/>
    <n v="20.2"/>
    <s v="RFID"/>
  </r>
  <r>
    <s v="32977"/>
    <x v="0"/>
    <s v="T299 EHH"/>
    <x v="0"/>
    <x v="5"/>
    <x v="0"/>
    <s v="MT"/>
    <x v="19"/>
    <s v="7/4/2026 5:05"/>
    <s v="7/4/2026 5:13"/>
    <s v="34760"/>
    <s v="15540"/>
    <s v="19220"/>
    <n v="19.22"/>
    <s v="RFID"/>
  </r>
  <r>
    <s v="32978"/>
    <x v="0"/>
    <s v="T312 EHH"/>
    <x v="0"/>
    <x v="5"/>
    <x v="0"/>
    <s v="MT"/>
    <x v="19"/>
    <s v="7/4/2026 5:15"/>
    <s v="7/4/2026 5:20"/>
    <s v="34020"/>
    <s v="15380"/>
    <s v="18640"/>
    <n v="18.64"/>
    <s v="RFID"/>
  </r>
  <r>
    <s v="32979"/>
    <x v="0"/>
    <s v="T293 EHH"/>
    <x v="0"/>
    <x v="5"/>
    <x v="0"/>
    <s v="MT"/>
    <x v="19"/>
    <s v="7/4/2026 5:19"/>
    <s v="7/4/2026 5:38"/>
    <s v="33180"/>
    <s v="15680"/>
    <s v="17500"/>
    <n v="17.5"/>
    <s v="RFID"/>
  </r>
  <r>
    <s v="32980"/>
    <x v="0"/>
    <s v="T299 EHH"/>
    <x v="0"/>
    <x v="5"/>
    <x v="0"/>
    <s v="MT"/>
    <x v="19"/>
    <s v="7/4/2026 5:36"/>
    <s v="7/4/2026 5:42"/>
    <s v="33900"/>
    <s v="15560"/>
    <s v="18340"/>
    <n v="18.34"/>
    <s v="RFID"/>
  </r>
  <r>
    <s v="32981"/>
    <x v="0"/>
    <s v="T311 EHH"/>
    <x v="0"/>
    <x v="5"/>
    <x v="0"/>
    <s v="MT"/>
    <x v="19"/>
    <s v="7/4/2026 5:37"/>
    <s v="7/4/2026 5:45"/>
    <s v="34940"/>
    <s v="17520"/>
    <s v="17420"/>
    <n v="17.420000000000002"/>
    <s v="RFID"/>
  </r>
  <r>
    <s v="32982"/>
    <x v="0"/>
    <s v="T312 EHH"/>
    <x v="0"/>
    <x v="5"/>
    <x v="0"/>
    <s v="MT"/>
    <x v="19"/>
    <s v="7/4/2026 5:40"/>
    <s v="7/4/2026 5:49"/>
    <s v="34820"/>
    <s v="16660"/>
    <s v="18160"/>
    <n v="18.16"/>
    <s v="RFID"/>
  </r>
  <r>
    <s v="32983"/>
    <x v="0"/>
    <s v="T293 EHH"/>
    <x v="0"/>
    <x v="5"/>
    <x v="0"/>
    <s v="MT"/>
    <x v="19"/>
    <s v="7/4/2026 5:56"/>
    <s v="7/4/2026 6:00"/>
    <s v="36340"/>
    <s v="16540"/>
    <s v="19800"/>
    <n v="19.8"/>
    <s v="RFID"/>
  </r>
  <r>
    <s v="32984"/>
    <x v="0"/>
    <s v="T299 EHH"/>
    <x v="0"/>
    <x v="5"/>
    <x v="0"/>
    <s v="MT"/>
    <x v="19"/>
    <s v="7/4/2026 6:06"/>
    <s v="7/4/2026 6:11"/>
    <s v="34380"/>
    <s v="17200"/>
    <s v="17180"/>
    <n v="17.18"/>
    <s v="RFID"/>
  </r>
  <r>
    <s v="32985"/>
    <x v="0"/>
    <s v="T311 EHH"/>
    <x v="0"/>
    <x v="5"/>
    <x v="0"/>
    <s v="MT"/>
    <x v="19"/>
    <s v="7/4/2026 6:09"/>
    <s v="7/4/2026 6:15"/>
    <s v="34840"/>
    <s v="17800"/>
    <s v="17040"/>
    <n v="17.04"/>
    <s v="RFID"/>
  </r>
  <r>
    <s v="32986"/>
    <x v="0"/>
    <s v="T312 EHH"/>
    <x v="0"/>
    <x v="5"/>
    <x v="0"/>
    <s v="MT"/>
    <x v="19"/>
    <s v="7/4/2026 6:13"/>
    <s v="7/4/2026 6:22"/>
    <s v="36100"/>
    <s v="15600"/>
    <s v="20500"/>
    <n v="20.5"/>
    <s v="RFID"/>
  </r>
  <r>
    <s v="32987"/>
    <x v="0"/>
    <s v="T293 EHH"/>
    <x v="0"/>
    <x v="5"/>
    <x v="0"/>
    <s v="MT"/>
    <x v="19"/>
    <s v="7/4/2026 6:21"/>
    <s v="7/4/2026 6:40"/>
    <s v="34900"/>
    <s v="17120"/>
    <s v="17780"/>
    <n v="17.78"/>
    <s v="RFID"/>
  </r>
  <r>
    <s v="32988"/>
    <x v="0"/>
    <s v="T299 EHH"/>
    <x v="0"/>
    <x v="5"/>
    <x v="0"/>
    <s v="MT"/>
    <x v="19"/>
    <s v="7/4/2026 6:37"/>
    <s v="7/4/2026 6:47"/>
    <s v="36520"/>
    <s v="15920"/>
    <s v="20600"/>
    <n v="20.6"/>
    <s v="RFID"/>
  </r>
  <r>
    <s v="32989"/>
    <x v="0"/>
    <s v="T311 EHH"/>
    <x v="0"/>
    <x v="5"/>
    <x v="0"/>
    <s v="MT"/>
    <x v="19"/>
    <s v="7/4/2026 6:38"/>
    <s v="7/4/2026 6:48"/>
    <s v="36580"/>
    <s v="20020"/>
    <s v="16560"/>
    <n v="16.559999999999999"/>
    <s v="RFID"/>
  </r>
  <r>
    <s v="32990"/>
    <x v="0"/>
    <s v="T312 EHH"/>
    <x v="0"/>
    <x v="5"/>
    <x v="0"/>
    <s v="MT"/>
    <x v="19"/>
    <s v="7/4/2026 6:45"/>
    <s v="7/4/2026 6:55"/>
    <s v="37400"/>
    <s v="16200"/>
    <s v="21200"/>
    <n v="21.2"/>
    <s v="RFID"/>
  </r>
  <r>
    <s v="32991"/>
    <x v="0"/>
    <s v="T293 EHH"/>
    <x v="0"/>
    <x v="5"/>
    <x v="0"/>
    <s v="MT"/>
    <x v="19"/>
    <s v="7/4/2026 6:56"/>
    <s v="7/4/2026 7:12"/>
    <s v="36040"/>
    <s v="17080"/>
    <s v="18960"/>
    <n v="18.96"/>
    <s v="RFID"/>
  </r>
  <r>
    <s v="32992"/>
    <x v="0"/>
    <s v="T299 EHH"/>
    <x v="0"/>
    <x v="5"/>
    <x v="0"/>
    <s v="MT"/>
    <x v="19"/>
    <s v="7/4/2026 7:08"/>
    <s v="7/4/2026 7:18"/>
    <s v="34040"/>
    <s v="15860"/>
    <s v="18180"/>
    <n v="18.18"/>
    <s v="RFID"/>
  </r>
  <r>
    <s v="32993"/>
    <x v="0"/>
    <s v="T311 EHH"/>
    <x v="0"/>
    <x v="5"/>
    <x v="0"/>
    <s v="MT"/>
    <x v="19"/>
    <s v="7/4/2026 7:09"/>
    <s v="7/4/2026 7:19"/>
    <s v="34500"/>
    <s v="20100"/>
    <s v="14400"/>
    <n v="14.4"/>
    <s v="RFID"/>
  </r>
  <r>
    <s v="32994"/>
    <x v="0"/>
    <s v="T312 EHH"/>
    <x v="1"/>
    <x v="3"/>
    <x v="0"/>
    <s v="MT"/>
    <x v="19"/>
    <s v="7/4/2026 7:16"/>
    <s v="7/4/2026 7:29"/>
    <s v="37880"/>
    <s v="16840"/>
    <s v="21040"/>
    <n v="21.04"/>
    <s v="RFID"/>
  </r>
  <r>
    <s v="32995"/>
    <x v="0"/>
    <s v="T293 EHH"/>
    <x v="1"/>
    <x v="3"/>
    <x v="0"/>
    <s v="MT"/>
    <x v="19"/>
    <s v="7/4/2026 7:19"/>
    <s v="7/4/2026 7:30"/>
    <s v="37440"/>
    <s v="17140"/>
    <s v="20300"/>
    <n v="20.3"/>
    <s v="RFID"/>
  </r>
  <r>
    <s v="32996"/>
    <x v="0"/>
    <s v="T299 EHH"/>
    <x v="1"/>
    <x v="3"/>
    <x v="0"/>
    <s v="MT"/>
    <x v="19"/>
    <s v="7/4/2026 7:24"/>
    <s v="7/4/2026 7:31"/>
    <s v="36860"/>
    <s v="15980"/>
    <s v="20880"/>
    <n v="20.88"/>
    <s v="RFID"/>
  </r>
  <r>
    <s v="32997"/>
    <x v="0"/>
    <s v="T311 EHH"/>
    <x v="1"/>
    <x v="3"/>
    <x v="0"/>
    <s v="MT"/>
    <x v="19"/>
    <s v="7/4/2026 7:28"/>
    <s v="7/4/2026 7:35"/>
    <s v="36120"/>
    <s v="15500"/>
    <s v="20620"/>
    <n v="20.62"/>
    <s v="RFID"/>
  </r>
  <r>
    <s v="32998"/>
    <x v="0"/>
    <s v="T311 EHH"/>
    <x v="0"/>
    <x v="5"/>
    <x v="1"/>
    <s v="MT"/>
    <x v="19"/>
    <s v="7/4/2026 9:02"/>
    <s v="7/4/2026 9:26"/>
    <s v="32760"/>
    <s v="15520"/>
    <s v="17240"/>
    <n v="17.239999999999998"/>
    <s v="RFID"/>
  </r>
  <r>
    <s v="32999"/>
    <x v="0"/>
    <s v="T306 EHH"/>
    <x v="0"/>
    <x v="5"/>
    <x v="1"/>
    <s v="MT"/>
    <x v="19"/>
    <s v="7/4/2026 9:03"/>
    <s v="7/4/2026 9:27"/>
    <s v="36840"/>
    <s v="16880"/>
    <s v="19960"/>
    <n v="19.96"/>
    <s v="RFID"/>
  </r>
  <r>
    <s v="33000"/>
    <x v="0"/>
    <s v="T304 EHH"/>
    <x v="0"/>
    <x v="5"/>
    <x v="1"/>
    <s v="MT"/>
    <x v="19"/>
    <s v="7/4/2026 9:08"/>
    <s v="7/4/2026 9:29"/>
    <s v="36180"/>
    <s v="16160"/>
    <s v="20020"/>
    <n v="20.02"/>
    <s v="RFID"/>
  </r>
  <r>
    <s v="33001"/>
    <x v="0"/>
    <s v="T299 EHH"/>
    <x v="0"/>
    <x v="5"/>
    <x v="1"/>
    <s v="MT"/>
    <x v="19"/>
    <s v="7/4/2026 9:16"/>
    <s v="7/4/2026 9:32"/>
    <s v="36940"/>
    <s v="15920"/>
    <s v="21020"/>
    <n v="21.02"/>
    <s v="RFID"/>
  </r>
  <r>
    <s v="33002"/>
    <x v="0"/>
    <s v="T312 EHH"/>
    <x v="0"/>
    <x v="5"/>
    <x v="1"/>
    <s v="MT"/>
    <x v="19"/>
    <s v="7/4/2026 9:19"/>
    <s v="7/4/2026 9:35"/>
    <s v="37660"/>
    <s v="16780"/>
    <s v="20880"/>
    <n v="20.88"/>
    <s v="RFID"/>
  </r>
  <r>
    <s v="33003"/>
    <x v="0"/>
    <s v="T293 EHH"/>
    <x v="0"/>
    <x v="5"/>
    <x v="1"/>
    <s v="MT"/>
    <x v="19"/>
    <s v="7/4/2026 9:42"/>
    <s v="7/4/2026 9:57"/>
    <s v="38480"/>
    <s v="15280"/>
    <s v="23200"/>
    <n v="23.2"/>
    <s v="RFID"/>
  </r>
  <r>
    <s v="33004"/>
    <x v="0"/>
    <s v="T295 EHH"/>
    <x v="0"/>
    <x v="2"/>
    <x v="1"/>
    <s v="MT"/>
    <x v="19"/>
    <s v="7/4/2026 9:48"/>
    <s v="7/4/2026 9:55"/>
    <s v="37600"/>
    <s v="14740"/>
    <s v="22860"/>
    <n v="22.86"/>
    <s v="RFID"/>
  </r>
  <r>
    <s v="33005"/>
    <x v="0"/>
    <s v="T306 EHH"/>
    <x v="0"/>
    <x v="2"/>
    <x v="1"/>
    <s v="MT"/>
    <x v="19"/>
    <s v="7/4/2026 9:52"/>
    <s v="7/4/2026 10:04"/>
    <s v="43340"/>
    <s v="16920"/>
    <s v="26420"/>
    <n v="26.42"/>
    <s v="RFID"/>
  </r>
  <r>
    <s v="33006"/>
    <x v="0"/>
    <s v="T304 EHH"/>
    <x v="0"/>
    <x v="2"/>
    <x v="1"/>
    <s v="MT"/>
    <x v="19"/>
    <s v="7/4/2026 9:56"/>
    <s v="7/4/2026 10:06"/>
    <s v="41040"/>
    <s v="16200"/>
    <s v="24840"/>
    <n v="24.84"/>
    <s v="RFID"/>
  </r>
  <r>
    <s v="33007"/>
    <x v="0"/>
    <s v="T299 EHH"/>
    <x v="0"/>
    <x v="2"/>
    <x v="1"/>
    <s v="MT"/>
    <x v="19"/>
    <s v="7/4/2026 10:02"/>
    <s v="7/4/2026 10:11"/>
    <s v="41640"/>
    <s v="15980"/>
    <s v="25660"/>
    <n v="25.66"/>
    <s v="RFID"/>
  </r>
  <r>
    <s v="33008"/>
    <x v="0"/>
    <s v="T306 EHH"/>
    <x v="0"/>
    <x v="2"/>
    <x v="1"/>
    <s v="MT"/>
    <x v="19"/>
    <s v="7/4/2026 10:12"/>
    <s v="7/4/2026 10:17"/>
    <s v="38500"/>
    <s v="17580"/>
    <s v="20920"/>
    <n v="20.92"/>
    <s v="RFID"/>
  </r>
  <r>
    <s v="33009"/>
    <x v="0"/>
    <s v="T304 EHH"/>
    <x v="0"/>
    <x v="2"/>
    <x v="1"/>
    <s v="MT"/>
    <x v="19"/>
    <s v="7/4/2026 10:16"/>
    <s v="7/4/2026 10:22"/>
    <s v="40180"/>
    <s v="16240"/>
    <s v="23940"/>
    <n v="23.94"/>
    <s v="RFID"/>
  </r>
  <r>
    <s v="33010"/>
    <x v="0"/>
    <s v="T299 EHH"/>
    <x v="0"/>
    <x v="2"/>
    <x v="1"/>
    <s v="MT"/>
    <x v="19"/>
    <s v="7/4/2026 10:23"/>
    <s v="7/4/2026 10:28"/>
    <s v="39480"/>
    <s v="15900"/>
    <s v="23580"/>
    <n v="23.58"/>
    <s v="RFID"/>
  </r>
  <r>
    <s v="33011"/>
    <x v="0"/>
    <s v="T306 EHH"/>
    <x v="0"/>
    <x v="2"/>
    <x v="1"/>
    <s v="MT"/>
    <x v="19"/>
    <s v="7/4/2026 10:30"/>
    <s v="7/4/2026 10:36"/>
    <s v="38700"/>
    <s v="17540"/>
    <s v="21160"/>
    <n v="21.16"/>
    <s v="RFID"/>
  </r>
  <r>
    <s v="33012"/>
    <x v="0"/>
    <s v="T304 EHH"/>
    <x v="0"/>
    <x v="2"/>
    <x v="1"/>
    <s v="MT"/>
    <x v="19"/>
    <s v="7/4/2026 10:35"/>
    <s v="7/4/2026 10:41"/>
    <s v="39380"/>
    <s v="16220"/>
    <s v="23160"/>
    <n v="23.16"/>
    <s v="RFID"/>
  </r>
  <r>
    <s v="33013"/>
    <x v="0"/>
    <s v="T299 EHH"/>
    <x v="0"/>
    <x v="2"/>
    <x v="1"/>
    <s v="MT"/>
    <x v="19"/>
    <s v="7/4/2026 10:40"/>
    <s v="7/4/2026 10:46"/>
    <s v="39680"/>
    <s v="15880"/>
    <s v="23800"/>
    <n v="23.8"/>
    <s v="RFID"/>
  </r>
  <r>
    <s v="33014"/>
    <x v="0"/>
    <s v="T306 EHH"/>
    <x v="0"/>
    <x v="2"/>
    <x v="1"/>
    <s v="MT"/>
    <x v="19"/>
    <s v="7/4/2026 10:48"/>
    <s v="7/4/2026 10:52"/>
    <s v="41500"/>
    <s v="17760"/>
    <s v="23740"/>
    <n v="23.74"/>
    <s v="RFID"/>
  </r>
  <r>
    <s v="33015"/>
    <x v="0"/>
    <s v="T304 EHH"/>
    <x v="0"/>
    <x v="2"/>
    <x v="1"/>
    <s v="MT"/>
    <x v="19"/>
    <s v="7/4/2026 10:53"/>
    <s v="7/4/2026 10:59"/>
    <s v="39520"/>
    <s v="16200"/>
    <s v="23320"/>
    <n v="23.32"/>
    <s v="RFID"/>
  </r>
  <r>
    <s v="33016"/>
    <x v="0"/>
    <s v="T299 EHH"/>
    <x v="0"/>
    <x v="2"/>
    <x v="1"/>
    <s v="MT"/>
    <x v="19"/>
    <s v="7/4/2026 10:58"/>
    <s v="7/4/2026 11:03"/>
    <s v="40460"/>
    <s v="15900"/>
    <s v="24560"/>
    <n v="24.56"/>
    <s v="RFID"/>
  </r>
  <r>
    <s v="33017"/>
    <x v="0"/>
    <s v="T306 EHH"/>
    <x v="0"/>
    <x v="2"/>
    <x v="1"/>
    <s v="MT"/>
    <x v="19"/>
    <s v="7/4/2026 11:02"/>
    <s v="7/4/2026 11:08"/>
    <s v="39300"/>
    <s v="17820"/>
    <s v="21480"/>
    <n v="21.48"/>
    <s v="RFID"/>
  </r>
  <r>
    <s v="33018"/>
    <x v="0"/>
    <s v="T304 EHH"/>
    <x v="0"/>
    <x v="2"/>
    <x v="1"/>
    <s v="MT"/>
    <x v="19"/>
    <s v="7/4/2026 11:09"/>
    <s v="7/4/2026 11:14"/>
    <s v="40600"/>
    <s v="16120"/>
    <s v="24480"/>
    <n v="24.48"/>
    <s v="RFID"/>
  </r>
  <r>
    <s v="33019"/>
    <x v="0"/>
    <s v="T299 EHH"/>
    <x v="0"/>
    <x v="2"/>
    <x v="1"/>
    <s v="MT"/>
    <x v="19"/>
    <s v="7/4/2026 11:12"/>
    <s v="7/4/2026 11:19"/>
    <s v="37920"/>
    <s v="15940"/>
    <s v="21980"/>
    <n v="21.98"/>
    <s v="RFID"/>
  </r>
  <r>
    <s v="33020"/>
    <x v="0"/>
    <s v="T306 EHH"/>
    <x v="0"/>
    <x v="2"/>
    <x v="1"/>
    <s v="MT"/>
    <x v="19"/>
    <s v="7/4/2026 11:18"/>
    <s v="7/4/2026 11:23"/>
    <s v="41040"/>
    <s v="17820"/>
    <s v="23220"/>
    <n v="23.22"/>
    <s v="RFID"/>
  </r>
  <r>
    <s v="33021"/>
    <x v="0"/>
    <s v="T304 EHH"/>
    <x v="0"/>
    <x v="2"/>
    <x v="1"/>
    <s v="MT"/>
    <x v="19"/>
    <s v="7/4/2026 11:24"/>
    <s v="7/4/2026 11:30"/>
    <s v="41120"/>
    <s v="16200"/>
    <s v="24920"/>
    <n v="24.92"/>
    <s v="RFID"/>
  </r>
  <r>
    <s v="33022"/>
    <x v="0"/>
    <s v="T306 EHH"/>
    <x v="1"/>
    <x v="3"/>
    <x v="1"/>
    <s v="MT"/>
    <x v="19"/>
    <s v="7/4/2026 11:51"/>
    <s v="7/4/2026 11:56"/>
    <s v="41680"/>
    <s v="17820"/>
    <s v="23860"/>
    <n v="23.86"/>
    <s v="RFID"/>
  </r>
  <r>
    <s v="33023"/>
    <x v="0"/>
    <s v="T304 EHH"/>
    <x v="1"/>
    <x v="3"/>
    <x v="1"/>
    <s v="MT"/>
    <x v="19"/>
    <s v="7/4/2026 11:54"/>
    <s v="7/4/2026 12:00"/>
    <s v="37800"/>
    <s v="14580"/>
    <s v="23220"/>
    <n v="23.22"/>
    <s v="RFID"/>
  </r>
  <r>
    <s v="33024"/>
    <x v="0"/>
    <s v="T299 EHH"/>
    <x v="1"/>
    <x v="3"/>
    <x v="1"/>
    <s v="MT"/>
    <x v="19"/>
    <s v="7/4/2026 11:59"/>
    <s v="7/4/2026 12:05"/>
    <s v="37880"/>
    <s v="15900"/>
    <s v="21980"/>
    <n v="21.98"/>
    <s v="RFID"/>
  </r>
  <r>
    <s v="33025"/>
    <x v="0"/>
    <s v="T306 EHH"/>
    <x v="1"/>
    <x v="3"/>
    <x v="1"/>
    <s v="MT"/>
    <x v="19"/>
    <s v="7/4/2026 12:02"/>
    <s v="7/4/2026 12:08"/>
    <s v="41440"/>
    <s v="17820"/>
    <s v="23620"/>
    <n v="23.62"/>
    <s v="RFID"/>
  </r>
  <r>
    <s v="33026"/>
    <x v="0"/>
    <s v="T304 EHH"/>
    <x v="1"/>
    <x v="3"/>
    <x v="1"/>
    <s v="MT"/>
    <x v="19"/>
    <s v="7/4/2026 12:07"/>
    <s v="7/4/2026 12:13"/>
    <s v="42320"/>
    <s v="14580"/>
    <s v="27740"/>
    <n v="27.74"/>
    <s v="RFID"/>
  </r>
  <r>
    <s v="33027"/>
    <x v="0"/>
    <s v="T299 EHH"/>
    <x v="1"/>
    <x v="3"/>
    <x v="1"/>
    <s v="MT"/>
    <x v="19"/>
    <s v="7/4/2026 12:11"/>
    <s v="7/4/2026 12:16"/>
    <s v="43520"/>
    <s v="15900"/>
    <s v="27620"/>
    <n v="27.62"/>
    <s v="RFID"/>
  </r>
  <r>
    <s v="33028"/>
    <x v="0"/>
    <s v="T306 EHH"/>
    <x v="1"/>
    <x v="3"/>
    <x v="1"/>
    <s v="MT"/>
    <x v="19"/>
    <s v="7/4/2026 12:14"/>
    <s v="7/4/2026 12:19"/>
    <s v="43520"/>
    <s v="17820"/>
    <s v="25700"/>
    <n v="25.7"/>
    <s v="RFID"/>
  </r>
  <r>
    <s v="33029"/>
    <x v="0"/>
    <s v="T304 EHH"/>
    <x v="1"/>
    <x v="3"/>
    <x v="1"/>
    <s v="MT"/>
    <x v="19"/>
    <s v="7/4/2026 12:23"/>
    <s v="7/4/2026 12:28"/>
    <s v="39660"/>
    <s v="14580"/>
    <s v="25080"/>
    <n v="25.08"/>
    <s v="RFID"/>
  </r>
  <r>
    <s v="33030"/>
    <x v="0"/>
    <s v="T299 EHH"/>
    <x v="1"/>
    <x v="3"/>
    <x v="1"/>
    <s v="MT"/>
    <x v="19"/>
    <s v="7/4/2026 12:29"/>
    <s v="7/4/2026 12:34"/>
    <s v="40760"/>
    <s v="15880"/>
    <s v="24880"/>
    <n v="24.88"/>
    <s v="RFID"/>
  </r>
  <r>
    <s v="33031"/>
    <x v="0"/>
    <s v="T306 EHH"/>
    <x v="1"/>
    <x v="3"/>
    <x v="1"/>
    <s v="MT"/>
    <x v="19"/>
    <s v="7/4/2026 12:33"/>
    <s v="7/4/2026 12:38"/>
    <s v="42860"/>
    <s v="17820"/>
    <s v="25040"/>
    <n v="25.04"/>
    <s v="RFID"/>
  </r>
  <r>
    <s v="33032"/>
    <x v="0"/>
    <s v="T304 EHH"/>
    <x v="1"/>
    <x v="3"/>
    <x v="1"/>
    <s v="MT"/>
    <x v="19"/>
    <s v="7/4/2026 12:37"/>
    <s v="7/4/2026 12:42"/>
    <s v="42040"/>
    <s v="14480"/>
    <s v="27560"/>
    <n v="27.56"/>
    <s v="RFID"/>
  </r>
  <r>
    <s v="33033"/>
    <x v="0"/>
    <s v="T299 EHH"/>
    <x v="1"/>
    <x v="3"/>
    <x v="1"/>
    <s v="MT"/>
    <x v="19"/>
    <s v="7/4/2026 12:41"/>
    <s v="7/4/2026 12:47"/>
    <s v="39760"/>
    <s v="15900"/>
    <s v="23860"/>
    <n v="23.86"/>
    <s v="RFID"/>
  </r>
  <r>
    <s v="33034"/>
    <x v="0"/>
    <s v="T306 EHH"/>
    <x v="1"/>
    <x v="3"/>
    <x v="1"/>
    <s v="MT"/>
    <x v="19"/>
    <s v="7/4/2026 12:44"/>
    <s v="7/4/2026 12:51"/>
    <s v="38700"/>
    <s v="17920"/>
    <s v="20780"/>
    <n v="20.78"/>
    <s v="RFID"/>
  </r>
  <r>
    <s v="33035"/>
    <x v="0"/>
    <s v="T304 EHH"/>
    <x v="1"/>
    <x v="3"/>
    <x v="1"/>
    <s v="MT"/>
    <x v="19"/>
    <s v="7/4/2026 12:50"/>
    <s v="7/4/2026 12:54"/>
    <s v="44100"/>
    <s v="14560"/>
    <s v="29540"/>
    <n v="29.54"/>
    <s v="RFID"/>
  </r>
  <r>
    <s v="33036"/>
    <x v="0"/>
    <s v="T304 EHH"/>
    <x v="1"/>
    <x v="3"/>
    <x v="1"/>
    <s v="MT"/>
    <x v="19"/>
    <s v="7/4/2026 14:18"/>
    <s v="7/4/2026 14:25"/>
    <s v="36460"/>
    <s v="14540"/>
    <s v="21920"/>
    <n v="21.92"/>
    <s v="RFID"/>
  </r>
  <r>
    <s v="33037"/>
    <x v="0"/>
    <s v="T306 EHH"/>
    <x v="1"/>
    <x v="3"/>
    <x v="1"/>
    <s v="MT"/>
    <x v="19"/>
    <s v="7/4/2026 14:22"/>
    <s v="7/4/2026 14:34"/>
    <s v="41680"/>
    <s v="17980"/>
    <s v="23700"/>
    <n v="23.7"/>
    <s v="RFID"/>
  </r>
  <r>
    <s v="33038"/>
    <x v="0"/>
    <s v="T299 EHH"/>
    <x v="1"/>
    <x v="3"/>
    <x v="1"/>
    <s v="MT"/>
    <x v="19"/>
    <s v="7/4/2026 14:27"/>
    <s v="7/4/2026 14:36"/>
    <s v="42120"/>
    <s v="15860"/>
    <s v="26260"/>
    <n v="26.26"/>
    <s v="RFID"/>
  </r>
  <r>
    <s v="33039"/>
    <x v="0"/>
    <s v="T304 EHH"/>
    <x v="1"/>
    <x v="3"/>
    <x v="1"/>
    <s v="MT"/>
    <x v="19"/>
    <s v="7/4/2026 14:31"/>
    <s v="7/4/2026 14:39"/>
    <s v="39880"/>
    <s v="14540"/>
    <s v="25340"/>
    <n v="25.34"/>
    <s v="RFID"/>
  </r>
  <r>
    <s v="33040"/>
    <x v="0"/>
    <s v="T306 EHH"/>
    <x v="1"/>
    <x v="3"/>
    <x v="1"/>
    <s v="MT"/>
    <x v="19"/>
    <s v="7/4/2026 14:40"/>
    <s v="7/4/2026 14:45"/>
    <s v="42460"/>
    <s v="17980"/>
    <s v="24480"/>
    <n v="24.48"/>
    <s v="RFID"/>
  </r>
  <r>
    <s v="33041"/>
    <x v="0"/>
    <s v="T299 EHH"/>
    <x v="1"/>
    <x v="3"/>
    <x v="1"/>
    <s v="MT"/>
    <x v="19"/>
    <s v="7/4/2026 14:44"/>
    <s v="7/4/2026 14:49"/>
    <s v="40380"/>
    <s v="10080"/>
    <s v="30300"/>
    <n v="30.3"/>
    <s v="RFID"/>
  </r>
  <r>
    <s v="33042"/>
    <x v="0"/>
    <s v="T304 EHH"/>
    <x v="1"/>
    <x v="3"/>
    <x v="1"/>
    <s v="MT"/>
    <x v="19"/>
    <s v="7/4/2026 14:47"/>
    <s v="7/4/2026 14:53"/>
    <s v="41280"/>
    <s v="14540"/>
    <s v="26740"/>
    <n v="26.74"/>
    <s v="RFID"/>
  </r>
  <r>
    <s v="33043"/>
    <x v="0"/>
    <s v="T306 EHH"/>
    <x v="1"/>
    <x v="3"/>
    <x v="1"/>
    <s v="MT"/>
    <x v="19"/>
    <s v="7/4/2026 14:54"/>
    <s v="7/4/2026 15:02"/>
    <s v="42040"/>
    <s v="15080"/>
    <s v="26960"/>
    <n v="26.96"/>
    <s v="RFID"/>
  </r>
  <r>
    <s v="33044"/>
    <x v="0"/>
    <s v="T312 EHH"/>
    <x v="1"/>
    <x v="3"/>
    <x v="1"/>
    <s v="MT"/>
    <x v="19"/>
    <s v="7/4/2026 14:59"/>
    <s v="7/4/2026 15:04"/>
    <s v="43080"/>
    <s v="15000"/>
    <s v="28080"/>
    <n v="28.08"/>
    <s v="RFID"/>
  </r>
  <r>
    <s v="33045"/>
    <x v="0"/>
    <s v="T304 EHH"/>
    <x v="1"/>
    <x v="3"/>
    <x v="1"/>
    <s v="MT"/>
    <x v="19"/>
    <s v="7/4/2026 15:02"/>
    <s v="7/4/2026 15:08"/>
    <s v="37480"/>
    <s v="14540"/>
    <s v="22940"/>
    <n v="22.94"/>
    <s v="RFID"/>
  </r>
  <r>
    <s v="33046"/>
    <x v="0"/>
    <s v="T299 EHH"/>
    <x v="1"/>
    <x v="3"/>
    <x v="1"/>
    <s v="MT"/>
    <x v="19"/>
    <s v="7/4/2026 15:06"/>
    <s v="7/4/2026 15:11"/>
    <s v="41600"/>
    <s v="15840"/>
    <s v="25760"/>
    <n v="25.76"/>
    <s v="RFID"/>
  </r>
  <r>
    <s v="33047"/>
    <x v="0"/>
    <s v="T306 EHH"/>
    <x v="1"/>
    <x v="3"/>
    <x v="1"/>
    <s v="MT"/>
    <x v="19"/>
    <s v="7/4/2026 15:09"/>
    <s v="7/4/2026 15:17"/>
    <s v="39680"/>
    <s v="14760"/>
    <s v="24920"/>
    <n v="24.92"/>
    <s v="RFID"/>
  </r>
  <r>
    <s v="33048"/>
    <x v="0"/>
    <s v="T312 EHH"/>
    <x v="1"/>
    <x v="3"/>
    <x v="1"/>
    <s v="MT"/>
    <x v="19"/>
    <s v="7/4/2026 15:13"/>
    <s v="7/4/2026 15:22"/>
    <s v="41280"/>
    <s v="15000"/>
    <s v="26280"/>
    <n v="26.28"/>
    <s v="RFID"/>
  </r>
  <r>
    <s v="33049"/>
    <x v="0"/>
    <s v="T304 EHH"/>
    <x v="1"/>
    <x v="3"/>
    <x v="1"/>
    <s v="MT"/>
    <x v="19"/>
    <s v="7/4/2026 15:16"/>
    <s v="7/4/2026 15:25"/>
    <s v="41260"/>
    <s v="14520"/>
    <s v="26740"/>
    <n v="26.74"/>
    <s v="RFID"/>
  </r>
  <r>
    <s v="33050"/>
    <x v="0"/>
    <s v="T299 EHH"/>
    <x v="1"/>
    <x v="3"/>
    <x v="1"/>
    <s v="MT"/>
    <x v="19"/>
    <s v="7/4/2026 15:20"/>
    <s v="7/4/2026 15:31"/>
    <s v="44920"/>
    <s v="15840"/>
    <s v="29080"/>
    <n v="29.08"/>
    <s v="RFID"/>
  </r>
  <r>
    <s v="33051"/>
    <x v="0"/>
    <s v="T306 EHH"/>
    <x v="1"/>
    <x v="3"/>
    <x v="1"/>
    <s v="MT"/>
    <x v="19"/>
    <s v="7/4/2026 15:25"/>
    <s v="7/4/2026 15:34"/>
    <s v="33940"/>
    <s v="14680"/>
    <s v="19260"/>
    <n v="19.260000000000002"/>
    <s v="RFID"/>
  </r>
  <r>
    <s v="33052"/>
    <x v="0"/>
    <s v="T312 EHH"/>
    <x v="1"/>
    <x v="3"/>
    <x v="1"/>
    <s v="MT"/>
    <x v="19"/>
    <s v="7/4/2026 15:30"/>
    <s v="7/4/2026 15:44"/>
    <s v="42580"/>
    <s v="14980"/>
    <s v="27600"/>
    <n v="27.6"/>
    <s v="RFID"/>
  </r>
  <r>
    <s v="33053"/>
    <x v="0"/>
    <s v="T304 EHH"/>
    <x v="1"/>
    <x v="3"/>
    <x v="1"/>
    <s v="MT"/>
    <x v="19"/>
    <s v="7/4/2026 15:33"/>
    <s v="7/4/2026 15:48"/>
    <s v="41300"/>
    <s v="14520"/>
    <s v="26780"/>
    <n v="26.78"/>
    <s v="RFID"/>
  </r>
  <r>
    <s v="33054"/>
    <x v="0"/>
    <s v="T299 EHH"/>
    <x v="1"/>
    <x v="3"/>
    <x v="1"/>
    <s v="MT"/>
    <x v="19"/>
    <s v="7/4/2026 15:40"/>
    <s v="7/4/2026 16:22"/>
    <s v="42200"/>
    <s v="15820"/>
    <s v="26380"/>
    <n v="26.38"/>
    <s v="RFID"/>
  </r>
  <r>
    <s v="33055"/>
    <x v="0"/>
    <s v="T306 EHH"/>
    <x v="1"/>
    <x v="3"/>
    <x v="1"/>
    <s v="MT"/>
    <x v="19"/>
    <s v="7/4/2026 15:47"/>
    <s v="7/4/2026 16:23"/>
    <s v="39320"/>
    <s v="14680"/>
    <s v="24640"/>
    <n v="24.64"/>
    <s v="RFID"/>
  </r>
  <r>
    <s v="33056"/>
    <x v="0"/>
    <s v="T304 EHH"/>
    <x v="1"/>
    <x v="3"/>
    <x v="1"/>
    <s v="MT"/>
    <x v="19"/>
    <s v="7/4/2026 16:30"/>
    <s v="7/4/2026 16:36"/>
    <s v="40020"/>
    <s v="14460"/>
    <s v="25560"/>
    <n v="25.56"/>
    <s v="RFID"/>
  </r>
  <r>
    <s v="33057"/>
    <x v="0"/>
    <s v="T299 EHH"/>
    <x v="1"/>
    <x v="3"/>
    <x v="1"/>
    <s v="MT"/>
    <x v="19"/>
    <s v="7/4/2026 16:34"/>
    <s v="7/4/2026 16:40"/>
    <s v="39960"/>
    <s v="15860"/>
    <s v="24100"/>
    <n v="24.1"/>
    <s v="RFID"/>
  </r>
  <r>
    <s v="33058"/>
    <x v="0"/>
    <s v="T306 EHH"/>
    <x v="1"/>
    <x v="3"/>
    <x v="1"/>
    <s v="MT"/>
    <x v="19"/>
    <s v="7/4/2026 16:39"/>
    <s v="7/4/2026 16:45"/>
    <s v="42240"/>
    <s v="14660"/>
    <s v="27580"/>
    <n v="27.58"/>
    <s v="RFID"/>
  </r>
  <r>
    <s v="33059"/>
    <x v="0"/>
    <s v="T304 EHH"/>
    <x v="1"/>
    <x v="3"/>
    <x v="1"/>
    <s v="MT"/>
    <x v="19"/>
    <s v="7/4/2026 16:43"/>
    <s v="7/4/2026 16:49"/>
    <s v="41660"/>
    <s v="14580"/>
    <s v="27080"/>
    <n v="27.08"/>
    <s v="RFID"/>
  </r>
  <r>
    <s v="33060"/>
    <x v="0"/>
    <s v="T299 EHH"/>
    <x v="1"/>
    <x v="3"/>
    <x v="1"/>
    <s v="MT"/>
    <x v="19"/>
    <s v="7/4/2026 16:47"/>
    <s v="7/4/2026 16:53"/>
    <s v="41160"/>
    <s v="15840"/>
    <s v="25320"/>
    <n v="25.32"/>
    <s v="RFID"/>
  </r>
  <r>
    <s v="33061"/>
    <x v="0"/>
    <s v="T312 EHH"/>
    <x v="1"/>
    <x v="3"/>
    <x v="1"/>
    <s v="MT"/>
    <x v="19"/>
    <s v="7/4/2026 16:51"/>
    <s v="7/4/2026 16:57"/>
    <s v="39940"/>
    <s v="14940"/>
    <s v="25000"/>
    <n v="25"/>
    <s v="RFID"/>
  </r>
  <r>
    <s v="33062"/>
    <x v="0"/>
    <s v="T306 EHH"/>
    <x v="1"/>
    <x v="3"/>
    <x v="1"/>
    <s v="MT"/>
    <x v="19"/>
    <s v="7/4/2026 16:55"/>
    <s v="7/4/2026 17:17"/>
    <s v="44080"/>
    <s v="14700"/>
    <s v="29380"/>
    <n v="29.38"/>
    <s v="RFID"/>
  </r>
  <r>
    <s v="33063"/>
    <x v="0"/>
    <s v="T304 EHH"/>
    <x v="1"/>
    <x v="3"/>
    <x v="1"/>
    <s v="MT"/>
    <x v="19"/>
    <s v="7/4/2026 16:58"/>
    <s v="7/4/2026 17:20"/>
    <s v="43760"/>
    <s v="14580"/>
    <s v="29180"/>
    <n v="29.18"/>
    <s v="RFID"/>
  </r>
  <r>
    <s v="33064"/>
    <x v="0"/>
    <s v="T299 EHH"/>
    <x v="1"/>
    <x v="3"/>
    <x v="1"/>
    <s v="MT"/>
    <x v="19"/>
    <s v="7/4/2026 17:02"/>
    <s v="7/4/2026 17:26"/>
    <s v="42380"/>
    <s v="15840"/>
    <s v="26540"/>
    <n v="26.54"/>
    <s v="RFID"/>
  </r>
  <r>
    <s v="33065"/>
    <x v="0"/>
    <s v="T312 EHH"/>
    <x v="1"/>
    <x v="3"/>
    <x v="1"/>
    <s v="MT"/>
    <x v="19"/>
    <s v="7/4/2026 17:05"/>
    <s v="7/4/2026 17:22"/>
    <s v="44260"/>
    <s v="14960"/>
    <s v="29300"/>
    <n v="29.3"/>
    <s v="RFID"/>
  </r>
  <r>
    <s v="33066"/>
    <x v="0"/>
    <s v="T306 EHH"/>
    <x v="1"/>
    <x v="3"/>
    <x v="1"/>
    <s v="MT"/>
    <x v="19"/>
    <s v="7/4/2026 17:23"/>
    <s v="7/4/2026 17:39"/>
    <s v="42840"/>
    <s v="14860"/>
    <s v="27980"/>
    <n v="27.98"/>
    <s v="RFID"/>
  </r>
  <r>
    <s v="33067"/>
    <x v="0"/>
    <s v="T304 EHH"/>
    <x v="1"/>
    <x v="3"/>
    <x v="1"/>
    <s v="MT"/>
    <x v="19"/>
    <s v="7/4/2026 17:27"/>
    <s v="7/4/2026 17:46"/>
    <s v="39520"/>
    <s v="14540"/>
    <s v="24980"/>
    <n v="24.98"/>
    <s v="RFID"/>
  </r>
  <r>
    <s v="33068"/>
    <x v="0"/>
    <s v="T312 EHH"/>
    <x v="1"/>
    <x v="3"/>
    <x v="1"/>
    <s v="MT"/>
    <x v="19"/>
    <s v="7/4/2026 17:31"/>
    <s v="7/4/2026 17:51"/>
    <s v="40900"/>
    <s v="15000"/>
    <s v="25900"/>
    <n v="25.9"/>
    <s v="RFID"/>
  </r>
  <r>
    <s v="33069"/>
    <x v="0"/>
    <s v="T299 EHH"/>
    <x v="1"/>
    <x v="3"/>
    <x v="1"/>
    <s v="MT"/>
    <x v="19"/>
    <s v="7/4/2026 17:36"/>
    <s v="7/4/2026 17:52"/>
    <s v="46000"/>
    <s v="15840"/>
    <s v="30160"/>
    <n v="30.16"/>
    <s v="RFID"/>
  </r>
  <r>
    <s v="33070"/>
    <x v="0"/>
    <s v="T306 EHH"/>
    <x v="1"/>
    <x v="3"/>
    <x v="1"/>
    <s v="MT"/>
    <x v="19"/>
    <s v="7/4/2026 17:45"/>
    <s v="7/4/2026 17:53"/>
    <s v="43080"/>
    <s v="14880"/>
    <s v="28200"/>
    <n v="28.2"/>
    <s v="RFID"/>
  </r>
  <r>
    <s v="33071"/>
    <x v="0"/>
    <s v="T312 EHH"/>
    <x v="1"/>
    <x v="3"/>
    <x v="0"/>
    <s v="MT"/>
    <x v="19"/>
    <s v="7/4/2026 17:58"/>
    <s v="7/4/2026 18:04"/>
    <s v="39240"/>
    <s v="14940"/>
    <s v="24300"/>
    <n v="24.3"/>
    <s v="RFID"/>
  </r>
  <r>
    <s v="33072"/>
    <x v="0"/>
    <s v="T299 EHH"/>
    <x v="1"/>
    <x v="3"/>
    <x v="0"/>
    <s v="MT"/>
    <x v="19"/>
    <s v="7/4/2026 18:02"/>
    <s v="7/4/2026 18:08"/>
    <s v="43200"/>
    <s v="15820"/>
    <s v="27380"/>
    <n v="27.38"/>
    <s v="RFID"/>
  </r>
  <r>
    <s v="33073"/>
    <x v="0"/>
    <s v="T306 EHH"/>
    <x v="1"/>
    <x v="3"/>
    <x v="0"/>
    <s v="MT"/>
    <x v="19"/>
    <s v="7/4/2026 18:05"/>
    <s v="7/4/2026 18:11"/>
    <s v="40600"/>
    <s v="14860"/>
    <s v="25740"/>
    <n v="25.74"/>
    <s v="RFID"/>
  </r>
  <r>
    <s v="33074"/>
    <x v="0"/>
    <s v="T304 EHH"/>
    <x v="1"/>
    <x v="3"/>
    <x v="0"/>
    <s v="MT"/>
    <x v="19"/>
    <s v="7/4/2026 18:12"/>
    <s v="7/4/2026 18:18"/>
    <s v="39320"/>
    <s v="14560"/>
    <s v="24760"/>
    <n v="24.76"/>
    <s v="RFID"/>
  </r>
  <r>
    <s v="33075"/>
    <x v="0"/>
    <s v="T312 EHH"/>
    <x v="1"/>
    <x v="3"/>
    <x v="0"/>
    <s v="MT"/>
    <x v="19"/>
    <s v="7/4/2026 18:21"/>
    <s v="7/4/2026 18:26"/>
    <s v="42860"/>
    <s v="14960"/>
    <s v="27900"/>
    <n v="27.9"/>
    <s v="RFID"/>
  </r>
  <r>
    <s v="33076"/>
    <x v="0"/>
    <s v="T299 EHH"/>
    <x v="1"/>
    <x v="3"/>
    <x v="0"/>
    <s v="MT"/>
    <x v="19"/>
    <s v="7/4/2026 18:23"/>
    <s v="7/4/2026 18:31"/>
    <s v="35840"/>
    <s v="15820"/>
    <s v="20020"/>
    <n v="20.02"/>
    <s v="RFID"/>
  </r>
  <r>
    <s v="33077"/>
    <x v="0"/>
    <s v="T306 EHH"/>
    <x v="1"/>
    <x v="3"/>
    <x v="0"/>
    <s v="MT"/>
    <x v="19"/>
    <s v="7/4/2026 18:27"/>
    <s v="7/4/2026 18:33"/>
    <s v="40840"/>
    <s v="14880"/>
    <s v="25960"/>
    <n v="25.96"/>
    <s v="RFID"/>
  </r>
  <r>
    <s v="33078"/>
    <x v="0"/>
    <s v="T304 EHH"/>
    <x v="1"/>
    <x v="3"/>
    <x v="0"/>
    <s v="MT"/>
    <x v="19"/>
    <s v="7/4/2026 18:32"/>
    <s v="7/4/2026 18:38"/>
    <s v="38920"/>
    <s v="14640"/>
    <s v="24280"/>
    <n v="24.28"/>
    <s v="RFID"/>
  </r>
  <r>
    <s v="33079"/>
    <x v="0"/>
    <s v="T312 EHH"/>
    <x v="1"/>
    <x v="3"/>
    <x v="0"/>
    <s v="MT"/>
    <x v="19"/>
    <s v="7/4/2026 18:36"/>
    <s v="7/4/2026 18:40"/>
    <s v="40180"/>
    <s v="14660"/>
    <s v="25520"/>
    <n v="25.52"/>
    <s v="RFID"/>
  </r>
  <r>
    <s v="33080"/>
    <x v="0"/>
    <s v="T299 EHH"/>
    <x v="1"/>
    <x v="3"/>
    <x v="0"/>
    <s v="MT"/>
    <x v="19"/>
    <s v="7/4/2026 18:38"/>
    <s v="7/4/2026 18:43"/>
    <s v="41100"/>
    <s v="15820"/>
    <s v="25280"/>
    <n v="25.28"/>
    <s v="RFID"/>
  </r>
  <r>
    <s v="33081"/>
    <x v="0"/>
    <s v="T306 EHH"/>
    <x v="1"/>
    <x v="3"/>
    <x v="0"/>
    <s v="MT"/>
    <x v="19"/>
    <s v="7/4/2026 18:41"/>
    <s v="7/4/2026 18:46"/>
    <s v="40140"/>
    <s v="14980"/>
    <s v="25160"/>
    <n v="25.16"/>
    <s v="RFID"/>
  </r>
  <r>
    <s v="33082"/>
    <x v="0"/>
    <s v="T304 EHH"/>
    <x v="1"/>
    <x v="3"/>
    <x v="0"/>
    <s v="MT"/>
    <x v="19"/>
    <s v="7/4/2026 18:45"/>
    <s v="7/4/2026 19:17"/>
    <s v="40500"/>
    <s v="14640"/>
    <s v="25860"/>
    <n v="25.86"/>
    <s v="RFID"/>
  </r>
  <r>
    <s v="33083"/>
    <x v="0"/>
    <s v="T312 EHH"/>
    <x v="1"/>
    <x v="3"/>
    <x v="0"/>
    <s v="MT"/>
    <x v="19"/>
    <s v="7/4/2026 18:51"/>
    <s v="7/4/2026 19:16"/>
    <s v="39220"/>
    <s v="15020"/>
    <s v="24200"/>
    <n v="24.2"/>
    <s v="RFID"/>
  </r>
  <r>
    <s v="33084"/>
    <x v="0"/>
    <s v="T299 EHH"/>
    <x v="1"/>
    <x v="3"/>
    <x v="0"/>
    <s v="MT"/>
    <x v="19"/>
    <s v="7/4/2026 18:55"/>
    <s v="7/4/2026 19:14"/>
    <s v="40880"/>
    <s v="15820"/>
    <s v="25060"/>
    <n v="25.06"/>
    <s v="RFID"/>
  </r>
  <r>
    <s v="33085"/>
    <x v="0"/>
    <s v="T306 EHH"/>
    <x v="1"/>
    <x v="3"/>
    <x v="0"/>
    <s v="MT"/>
    <x v="19"/>
    <s v="7/4/2026 18:59"/>
    <s v="7/4/2026 19:16"/>
    <s v="42540"/>
    <s v="15040"/>
    <s v="27500"/>
    <n v="27.5"/>
    <s v="RFID"/>
  </r>
  <r>
    <s v="33086"/>
    <x v="0"/>
    <s v="T311 EHH"/>
    <x v="1"/>
    <x v="3"/>
    <x v="0"/>
    <s v="MT"/>
    <x v="19"/>
    <s v="7/4/2026 20:47"/>
    <s v="7/4/2026 20:54"/>
    <s v="38420"/>
    <s v="15380"/>
    <s v="23040"/>
    <n v="23.04"/>
    <s v="RFID"/>
  </r>
  <r>
    <s v="33087"/>
    <x v="0"/>
    <s v="T304 EHH"/>
    <x v="1"/>
    <x v="3"/>
    <x v="0"/>
    <s v="MT"/>
    <x v="19"/>
    <s v="7/4/2026 20:50"/>
    <s v="7/4/2026 21:09"/>
    <s v="38800"/>
    <s v="14600"/>
    <s v="24200"/>
    <n v="24.2"/>
    <s v="RFID"/>
  </r>
  <r>
    <s v="33088"/>
    <x v="0"/>
    <s v="T293 EHH"/>
    <x v="1"/>
    <x v="3"/>
    <x v="0"/>
    <s v="MT"/>
    <x v="19"/>
    <s v="7/4/2026 20:53"/>
    <s v="7/4/2026 21:11"/>
    <s v="38880"/>
    <s v="15960"/>
    <s v="22920"/>
    <n v="22.92"/>
    <s v="RFID"/>
  </r>
  <r>
    <s v="33089"/>
    <x v="0"/>
    <s v="T306 EHH"/>
    <x v="1"/>
    <x v="3"/>
    <x v="0"/>
    <s v="MT"/>
    <x v="19"/>
    <s v="7/4/2026 20:58"/>
    <s v="7/4/2026 21:12"/>
    <s v="38700"/>
    <s v="14640"/>
    <s v="24060"/>
    <n v="24.06"/>
    <s v="RFID"/>
  </r>
  <r>
    <s v="33090"/>
    <x v="0"/>
    <s v="T311 EHH"/>
    <x v="1"/>
    <x v="3"/>
    <x v="0"/>
    <s v="MT"/>
    <x v="19"/>
    <s v="7/4/2026 21:01"/>
    <s v="7/4/2026 21:14"/>
    <s v="41360"/>
    <s v="15480"/>
    <s v="25880"/>
    <n v="25.88"/>
    <s v="RFID"/>
  </r>
  <r>
    <s v="33091"/>
    <x v="0"/>
    <s v="T312 EHH"/>
    <x v="1"/>
    <x v="3"/>
    <x v="0"/>
    <s v="MT"/>
    <x v="19"/>
    <s v="7/4/2026 21:08"/>
    <s v="7/4/2026 21:15"/>
    <s v="41420"/>
    <s v="15060"/>
    <s v="26360"/>
    <n v="26.36"/>
    <s v="RFID"/>
  </r>
  <r>
    <s v="33092"/>
    <x v="0"/>
    <s v="T304 EHH"/>
    <x v="1"/>
    <x v="3"/>
    <x v="0"/>
    <s v="MT"/>
    <x v="19"/>
    <s v="7/4/2026 21:52"/>
    <s v="7/4/2026 22:04"/>
    <s v="38080"/>
    <s v="14800"/>
    <s v="23280"/>
    <n v="23.28"/>
    <s v="RFID"/>
  </r>
  <r>
    <s v="33093"/>
    <x v="0"/>
    <s v="T306 EHH"/>
    <x v="1"/>
    <x v="3"/>
    <x v="0"/>
    <s v="MT"/>
    <x v="19"/>
    <s v="7/4/2026 22:06"/>
    <s v="7/4/2026 22:23"/>
    <s v="37380"/>
    <s v="14940"/>
    <s v="22440"/>
    <n v="22.44"/>
    <s v="RFID"/>
  </r>
  <r>
    <s v="33094"/>
    <x v="0"/>
    <s v="T311 EHH"/>
    <x v="1"/>
    <x v="3"/>
    <x v="0"/>
    <s v="MT"/>
    <x v="19"/>
    <s v="7/4/2026 22:11"/>
    <s v="7/4/2026 22:30"/>
    <s v="37940"/>
    <s v="15520"/>
    <s v="22420"/>
    <n v="22.42"/>
    <s v="RFID"/>
  </r>
  <r>
    <s v="33095"/>
    <x v="0"/>
    <s v="T312 EHH"/>
    <x v="0"/>
    <x v="2"/>
    <x v="1"/>
    <s v="MT"/>
    <x v="19"/>
    <s v="7/4/2026 22:14"/>
    <s v="7/4/2026 22:29"/>
    <s v="36720"/>
    <s v="16960"/>
    <s v="19760"/>
    <n v="19.760000000000002"/>
    <s v="RFID"/>
  </r>
  <r>
    <s v="33096"/>
    <x v="0"/>
    <s v="T293 EHH"/>
    <x v="0"/>
    <x v="7"/>
    <x v="1"/>
    <s v="MT"/>
    <x v="19"/>
    <s v="7/4/2026 22:21"/>
    <s v="7/4/2026 22:31"/>
    <s v="35620"/>
    <s v="16720"/>
    <s v="18900"/>
    <n v="18.899999999999999"/>
    <s v="RFID"/>
  </r>
  <r>
    <s v="33097"/>
    <x v="0"/>
    <s v="T304 EHH"/>
    <x v="0"/>
    <x v="7"/>
    <x v="1"/>
    <s v="MT"/>
    <x v="19"/>
    <s v="7/4/2026 22:26"/>
    <s v="7/4/2026 22:36"/>
    <s v="36140"/>
    <s v="15020"/>
    <s v="21120"/>
    <n v="21.12"/>
    <s v="RFID"/>
  </r>
  <r>
    <s v="33098"/>
    <x v="0"/>
    <s v="T306 EHH"/>
    <x v="1"/>
    <x v="3"/>
    <x v="0"/>
    <s v="MT"/>
    <x v="19"/>
    <s v="7/4/2026 22:33"/>
    <s v="7/4/2026 22:41"/>
    <s v="40600"/>
    <s v="14860"/>
    <s v="25740"/>
    <n v="25.74"/>
    <s v="RFID"/>
  </r>
  <r>
    <s v="33099"/>
    <x v="0"/>
    <s v="T311 EHH"/>
    <x v="1"/>
    <x v="3"/>
    <x v="0"/>
    <s v="MT"/>
    <x v="19"/>
    <s v="7/4/2026 22:39"/>
    <s v="7/4/2026 22:46"/>
    <s v="40600"/>
    <s v="15520"/>
    <s v="25080"/>
    <n v="25.08"/>
    <s v="RFID"/>
  </r>
  <r>
    <s v="33100"/>
    <x v="0"/>
    <s v="T306 EHH"/>
    <x v="1"/>
    <x v="3"/>
    <x v="0"/>
    <s v="MT"/>
    <x v="19"/>
    <s v="7/4/2026 22:53"/>
    <s v="7/4/2026 23:05"/>
    <s v="41760"/>
    <s v="15000"/>
    <s v="26760"/>
    <n v="26.76"/>
    <s v="RFID"/>
  </r>
  <r>
    <s v="33101"/>
    <x v="0"/>
    <s v="T311 EHH"/>
    <x v="1"/>
    <x v="3"/>
    <x v="0"/>
    <s v="MT"/>
    <x v="19"/>
    <s v="7/4/2026 22:54"/>
    <s v="7/4/2026 23:38"/>
    <s v="45460"/>
    <s v="15600"/>
    <s v="29860"/>
    <n v="29.86"/>
    <s v="RFID"/>
  </r>
  <r>
    <s v="33102"/>
    <x v="0"/>
    <s v="T312 EHH"/>
    <x v="0"/>
    <x v="7"/>
    <x v="1"/>
    <s v="MT"/>
    <x v="19"/>
    <s v="7/4/2026 22:57"/>
    <s v="7/4/2026 23:03"/>
    <s v="36460"/>
    <s v="15900"/>
    <s v="20560"/>
    <n v="20.56"/>
    <s v="RFID"/>
  </r>
  <r>
    <s v="33103"/>
    <x v="0"/>
    <s v="T293 EHH"/>
    <x v="0"/>
    <x v="7"/>
    <x v="1"/>
    <s v="MT"/>
    <x v="19"/>
    <s v="7/4/2026 22:58"/>
    <s v="7/4/2026 23:04"/>
    <s v="37800"/>
    <s v="17280"/>
    <s v="20520"/>
    <n v="20.52"/>
    <s v="RFID"/>
  </r>
  <r>
    <s v="33104"/>
    <x v="0"/>
    <s v="T304 EHH"/>
    <x v="0"/>
    <x v="7"/>
    <x v="1"/>
    <s v="MT"/>
    <x v="19"/>
    <s v="7/4/2026 23:01"/>
    <s v="7/4/2026 23:08"/>
    <s v="36400"/>
    <s v="15400"/>
    <s v="21000"/>
    <n v="21"/>
    <s v="RFID"/>
  </r>
  <r>
    <s v="33105"/>
    <x v="0"/>
    <s v="T312 EHH"/>
    <x v="1"/>
    <x v="3"/>
    <x v="0"/>
    <s v="MT"/>
    <x v="19"/>
    <s v="7/4/2026 23:40"/>
    <s v="7/4/2026 23:48"/>
    <s v="41660"/>
    <s v="15980"/>
    <s v="25680"/>
    <n v="25.68"/>
    <s v="RFID"/>
  </r>
  <r>
    <s v="33106"/>
    <x v="0"/>
    <s v="T293 EHH"/>
    <x v="1"/>
    <x v="3"/>
    <x v="0"/>
    <s v="MT"/>
    <x v="19"/>
    <s v="7/4/2026 23:41"/>
    <s v="7/4/2026 23:51"/>
    <s v="39340"/>
    <s v="16740"/>
    <s v="22600"/>
    <n v="22.6"/>
    <s v="RFID"/>
  </r>
  <r>
    <s v="33107"/>
    <x v="0"/>
    <s v="T304 EHH"/>
    <x v="1"/>
    <x v="3"/>
    <x v="0"/>
    <s v="MT"/>
    <x v="19"/>
    <s v="7/4/2026 23:44"/>
    <s v="7/4/2026 23:49"/>
    <s v="38500"/>
    <s v="15360"/>
    <s v="23140"/>
    <n v="23.14"/>
    <s v="RFID"/>
  </r>
  <r>
    <s v="33108"/>
    <x v="0"/>
    <s v="T306 EHH"/>
    <x v="1"/>
    <x v="3"/>
    <x v="0"/>
    <s v="MT"/>
    <x v="19"/>
    <s v="7/4/2026 23:46"/>
    <s v="7/4/2026 23:53"/>
    <s v="39300"/>
    <s v="15020"/>
    <s v="24280"/>
    <n v="24.28"/>
    <s v="RFID"/>
  </r>
  <r>
    <s v="33109"/>
    <x v="0"/>
    <s v="T311 EHH"/>
    <x v="1"/>
    <x v="3"/>
    <x v="0"/>
    <s v="MT"/>
    <x v="19"/>
    <s v="7/4/2026 23:47"/>
    <s v="7/4/2026 23:55"/>
    <s v="43120"/>
    <s v="15580"/>
    <s v="27540"/>
    <n v="27.54"/>
    <s v="RFID"/>
  </r>
  <r>
    <s v="33110"/>
    <x v="0"/>
    <s v="T312 EHH"/>
    <x v="1"/>
    <x v="3"/>
    <x v="0"/>
    <s v="MT"/>
    <x v="19"/>
    <s v="7/4/2026 23:54"/>
    <s v="7/4/2026 23:59"/>
    <s v="40520"/>
    <s v="16000"/>
    <s v="24520"/>
    <n v="24.52"/>
    <s v="RFID"/>
  </r>
  <r>
    <s v="33111"/>
    <x v="0"/>
    <s v="T293 EHH"/>
    <x v="1"/>
    <x v="3"/>
    <x v="0"/>
    <s v="MT"/>
    <x v="19"/>
    <s v="7/4/2026 23:58"/>
    <s v="8/4/2026 0:08"/>
    <s v="39080"/>
    <s v="17200"/>
    <s v="21880"/>
    <n v="21.88"/>
    <s v="RFID"/>
  </r>
  <r>
    <s v="33112"/>
    <x v="0"/>
    <s v="T306 EHH"/>
    <x v="1"/>
    <x v="3"/>
    <x v="0"/>
    <s v="MT"/>
    <x v="20"/>
    <s v="08/04/2026 12:01:35 AM"/>
    <s v="08/04/2026 12:09:46 AM"/>
    <s v="40340"/>
    <s v="15060"/>
    <s v="25280"/>
    <n v="25.28"/>
    <s v="RFID"/>
  </r>
  <r>
    <s v="33113"/>
    <x v="0"/>
    <s v="T311 EHH"/>
    <x v="0"/>
    <x v="7"/>
    <x v="1"/>
    <s v="MT"/>
    <x v="20"/>
    <s v="08/04/2026 12:15:58 AM"/>
    <s v="08/04/2026 12:21:18 AM"/>
    <s v="40000"/>
    <s v="15660"/>
    <s v="24340"/>
    <n v="24.34"/>
    <s v="RFID"/>
  </r>
  <r>
    <s v="33114"/>
    <x v="0"/>
    <s v="T304 EHH"/>
    <x v="0"/>
    <x v="7"/>
    <x v="1"/>
    <s v="MT"/>
    <x v="20"/>
    <s v="08/04/2026 12:19:46 AM"/>
    <s v="08/04/2026 12:23:58 AM"/>
    <s v="39800"/>
    <s v="15480"/>
    <s v="24320"/>
    <n v="24.32"/>
    <s v="RFID"/>
  </r>
  <r>
    <s v="33115"/>
    <x v="0"/>
    <s v="T312 EHH"/>
    <x v="0"/>
    <x v="7"/>
    <x v="1"/>
    <s v="MT"/>
    <x v="20"/>
    <s v="08/04/2026 12:22:43 AM"/>
    <s v="08/04/2026 12:25:56 AM"/>
    <s v="40360"/>
    <s v="16940"/>
    <s v="23420"/>
    <n v="23.42"/>
    <s v="RFID"/>
  </r>
  <r>
    <s v="33116"/>
    <x v="0"/>
    <s v="T293 EHH"/>
    <x v="0"/>
    <x v="7"/>
    <x v="1"/>
    <s v="MT"/>
    <x v="20"/>
    <s v="08/04/2026 12:29:46 AM"/>
    <s v="08/04/2026 12:35:01 AM"/>
    <s v="37240"/>
    <s v="16740"/>
    <s v="20500"/>
    <n v="20.5"/>
    <s v="RFID"/>
  </r>
  <r>
    <s v="33117"/>
    <x v="0"/>
    <s v="T306 EHH"/>
    <x v="0"/>
    <x v="7"/>
    <x v="1"/>
    <s v="MT"/>
    <x v="20"/>
    <s v="08/04/2026 12:33:34 AM"/>
    <s v="08/04/2026 12:36:53 AM"/>
    <s v="36680"/>
    <s v="15180"/>
    <s v="21500"/>
    <n v="21.5"/>
    <s v="RFID"/>
  </r>
  <r>
    <s v="33118"/>
    <x v="0"/>
    <s v="T311 EHH"/>
    <x v="0"/>
    <x v="7"/>
    <x v="1"/>
    <s v="MT"/>
    <x v="20"/>
    <s v="08/04/2026 12:38:44 AM"/>
    <s v="08/04/2026 12:43:02 AM"/>
    <s v="38700"/>
    <s v="15640"/>
    <s v="23060"/>
    <n v="23.06"/>
    <s v="RFID"/>
  </r>
  <r>
    <s v="33119"/>
    <x v="0"/>
    <s v="T304 EHH"/>
    <x v="0"/>
    <x v="7"/>
    <x v="1"/>
    <s v="MT"/>
    <x v="20"/>
    <s v="08/04/2026 12:41:52 AM"/>
    <s v="08/04/2026 12:45:03 AM"/>
    <s v="38840"/>
    <s v="15520"/>
    <s v="23320"/>
    <n v="23.32"/>
    <s v="RFID"/>
  </r>
  <r>
    <s v="33120"/>
    <x v="0"/>
    <s v="T312 EHH"/>
    <x v="0"/>
    <x v="7"/>
    <x v="1"/>
    <s v="MT"/>
    <x v="20"/>
    <s v="08/04/2026 12:47:05 AM"/>
    <s v="08/04/2026 12:50:54 AM"/>
    <s v="39600"/>
    <s v="16000"/>
    <s v="23600"/>
    <n v="23.6"/>
    <s v="RFID"/>
  </r>
  <r>
    <s v="33121"/>
    <x v="0"/>
    <s v="T293 EHH"/>
    <x v="0"/>
    <x v="7"/>
    <x v="1"/>
    <s v="MT"/>
    <x v="20"/>
    <s v="08/04/2026 12:53:59 AM"/>
    <s v="08/04/2026 12:58:37 AM"/>
    <s v="38960"/>
    <s v="16760"/>
    <s v="22200"/>
    <n v="22.2"/>
    <s v="RFID"/>
  </r>
  <r>
    <s v="33122"/>
    <x v="0"/>
    <s v="T306 EHH"/>
    <x v="0"/>
    <x v="7"/>
    <x v="1"/>
    <s v="MT"/>
    <x v="20"/>
    <s v="08/04/2026 12:59:51 AM"/>
    <s v="08/04/2026 01:03:27 AM"/>
    <s v="37360"/>
    <s v="15180"/>
    <s v="22180"/>
    <n v="22.18"/>
    <s v="RFID"/>
  </r>
  <r>
    <s v="33123"/>
    <x v="0"/>
    <s v="T311 EHH"/>
    <x v="0"/>
    <x v="7"/>
    <x v="1"/>
    <s v="MT"/>
    <x v="20"/>
    <s v="08/04/2026 01:02:22 AM"/>
    <s v="08/04/2026 01:06:52 AM"/>
    <s v="38100"/>
    <s v="15640"/>
    <s v="22460"/>
    <n v="22.46"/>
    <s v="RFID"/>
  </r>
  <r>
    <s v="33124"/>
    <x v="0"/>
    <s v="T304 EHH"/>
    <x v="0"/>
    <x v="7"/>
    <x v="1"/>
    <s v="MT"/>
    <x v="20"/>
    <s v="08/04/2026 01:09:30 AM"/>
    <s v="08/04/2026 01:13:44 AM"/>
    <s v="37840"/>
    <s v="15500"/>
    <s v="22340"/>
    <n v="22.34"/>
    <s v="RFID"/>
  </r>
  <r>
    <s v="33125"/>
    <x v="0"/>
    <s v="T312 EHH"/>
    <x v="0"/>
    <x v="7"/>
    <x v="1"/>
    <s v="MT"/>
    <x v="20"/>
    <s v="08/04/2026 01:11:18 AM"/>
    <s v="08/04/2026 01:15:25 AM"/>
    <s v="40460"/>
    <s v="15960"/>
    <s v="24500"/>
    <n v="24.5"/>
    <s v="RFID"/>
  </r>
  <r>
    <s v="33126"/>
    <x v="0"/>
    <s v="T293 EHH"/>
    <x v="0"/>
    <x v="7"/>
    <x v="1"/>
    <s v="MT"/>
    <x v="20"/>
    <s v="08/04/2026 01:19:05 AM"/>
    <s v="08/04/2026 01:22:55 AM"/>
    <s v="36720"/>
    <s v="16700"/>
    <s v="20020"/>
    <n v="20.02"/>
    <s v="RFID"/>
  </r>
  <r>
    <s v="33127"/>
    <x v="0"/>
    <s v="T306 EHH"/>
    <x v="0"/>
    <x v="7"/>
    <x v="1"/>
    <s v="MT"/>
    <x v="20"/>
    <s v="08/04/2026 01:26:06 AM"/>
    <s v="08/04/2026 01:47:20 AM"/>
    <s v="37600"/>
    <s v="15380"/>
    <s v="22220"/>
    <n v="22.22"/>
    <s v="RFID"/>
  </r>
  <r>
    <s v="33128"/>
    <x v="0"/>
    <s v="T311 EHH"/>
    <x v="0"/>
    <x v="7"/>
    <x v="1"/>
    <s v="MT"/>
    <x v="20"/>
    <s v="08/04/2026 01:27:36 AM"/>
    <s v="08/04/2026 01:48:15 AM"/>
    <s v="37820"/>
    <s v="15600"/>
    <s v="22220"/>
    <n v="22.22"/>
    <s v="RFID"/>
  </r>
  <r>
    <s v="33129"/>
    <x v="0"/>
    <s v="T304 EHH"/>
    <x v="0"/>
    <x v="7"/>
    <x v="1"/>
    <s v="MT"/>
    <x v="20"/>
    <s v="08/04/2026 01:49:51 AM"/>
    <s v="08/04/2026 01:54:08 AM"/>
    <s v="37320"/>
    <s v="15520"/>
    <s v="21800"/>
    <n v="21.8"/>
    <s v="RFID"/>
  </r>
  <r>
    <s v="33130"/>
    <x v="0"/>
    <s v="T312 EHH"/>
    <x v="0"/>
    <x v="7"/>
    <x v="1"/>
    <s v="MT"/>
    <x v="20"/>
    <s v="08/04/2026 01:50:51 AM"/>
    <s v="08/04/2026 01:55:05 AM"/>
    <s v="37800"/>
    <s v="16500"/>
    <s v="21300"/>
    <n v="21.3"/>
    <s v="RFID"/>
  </r>
  <r>
    <s v="33131"/>
    <x v="0"/>
    <s v="T293 EHH"/>
    <x v="0"/>
    <x v="7"/>
    <x v="1"/>
    <s v="MT"/>
    <x v="20"/>
    <s v="08/04/2026 01:52:11 AM"/>
    <s v="08/04/2026 01:57:38 AM"/>
    <s v="37460"/>
    <s v="16900"/>
    <s v="20560"/>
    <n v="20.56"/>
    <s v="RFID"/>
  </r>
  <r>
    <s v="33132"/>
    <x v="0"/>
    <s v="T311 EHH"/>
    <x v="0"/>
    <x v="7"/>
    <x v="1"/>
    <s v="MT"/>
    <x v="20"/>
    <s v="08/04/2026 02:04:44 AM"/>
    <s v="08/04/2026 02:08:10 AM"/>
    <s v="37480"/>
    <s v="15540"/>
    <s v="21940"/>
    <n v="21.94"/>
    <s v="RFID"/>
  </r>
  <r>
    <s v="33133"/>
    <x v="0"/>
    <s v="T306 EHH"/>
    <x v="0"/>
    <x v="7"/>
    <x v="1"/>
    <s v="MT"/>
    <x v="20"/>
    <s v="08/04/2026 02:11:48 AM"/>
    <s v="08/04/2026 02:14:58 AM"/>
    <s v="37360"/>
    <s v="15580"/>
    <s v="21780"/>
    <n v="21.78"/>
    <s v="RFID"/>
  </r>
  <r>
    <s v="33134"/>
    <x v="0"/>
    <s v="T304 EHH"/>
    <x v="0"/>
    <x v="7"/>
    <x v="1"/>
    <s v="MT"/>
    <x v="20"/>
    <s v="08/04/2026 02:16:11 AM"/>
    <s v="08/04/2026 02:20:21 AM"/>
    <s v="37040"/>
    <s v="15500"/>
    <s v="21540"/>
    <n v="21.54"/>
    <s v="RFID"/>
  </r>
  <r>
    <s v="33135"/>
    <x v="0"/>
    <s v="T312 EHH"/>
    <x v="0"/>
    <x v="7"/>
    <x v="1"/>
    <s v="MT"/>
    <x v="20"/>
    <s v="08/04/2026 02:17:48 AM"/>
    <s v="08/04/2026 02:22:12 AM"/>
    <s v="37400"/>
    <s v="16840"/>
    <s v="20560"/>
    <n v="20.56"/>
    <s v="RFID"/>
  </r>
  <r>
    <s v="33136"/>
    <x v="0"/>
    <s v="T293 EHH"/>
    <x v="0"/>
    <x v="7"/>
    <x v="1"/>
    <s v="MT"/>
    <x v="20"/>
    <s v="08/04/2026 02:24:37 AM"/>
    <s v="08/04/2026 02:27:59 AM"/>
    <s v="36780"/>
    <s v="17000"/>
    <s v="19780"/>
    <n v="19.78"/>
    <s v="RFID"/>
  </r>
  <r>
    <s v="33137"/>
    <x v="0"/>
    <s v="T311 EHH"/>
    <x v="0"/>
    <x v="7"/>
    <x v="1"/>
    <s v="MT"/>
    <x v="20"/>
    <s v="08/04/2026 02:29:08 AM"/>
    <s v="08/04/2026 02:33:42 AM"/>
    <s v="38600"/>
    <s v="15580"/>
    <s v="23020"/>
    <n v="23.02"/>
    <s v="RFID"/>
  </r>
  <r>
    <s v="33138"/>
    <x v="0"/>
    <s v="T304 EHH"/>
    <x v="0"/>
    <x v="7"/>
    <x v="1"/>
    <s v="MT"/>
    <x v="20"/>
    <s v="08/04/2026 02:40:34 AM"/>
    <s v="08/04/2026 02:45:18 AM"/>
    <s v="36960"/>
    <s v="15560"/>
    <s v="21400"/>
    <n v="21.4"/>
    <s v="RFID"/>
  </r>
  <r>
    <s v="33139"/>
    <x v="0"/>
    <s v="T312 EHH"/>
    <x v="0"/>
    <x v="7"/>
    <x v="1"/>
    <s v="MT"/>
    <x v="20"/>
    <s v="08/04/2026 02:47:27 AM"/>
    <s v="08/04/2026 02:51:49 AM"/>
    <s v="36640"/>
    <s v="17140"/>
    <s v="19500"/>
    <n v="19.5"/>
    <s v="RFID"/>
  </r>
  <r>
    <s v="33140"/>
    <x v="0"/>
    <s v="T306 EHH"/>
    <x v="0"/>
    <x v="7"/>
    <x v="1"/>
    <s v="MT"/>
    <x v="20"/>
    <s v="08/04/2026 02:50:37 AM"/>
    <s v="08/04/2026 02:53:47 AM"/>
    <s v="35080"/>
    <s v="15940"/>
    <s v="19140"/>
    <n v="19.14"/>
    <s v="RFID"/>
  </r>
  <r>
    <s v="33141"/>
    <x v="0"/>
    <s v="T311 EHH"/>
    <x v="0"/>
    <x v="7"/>
    <x v="1"/>
    <s v="MT"/>
    <x v="20"/>
    <s v="08/04/2026 02:54:50 AM"/>
    <s v="08/04/2026 02:58:23 AM"/>
    <s v="34360"/>
    <s v="15560"/>
    <s v="18800"/>
    <n v="18.8"/>
    <s v="RFID"/>
  </r>
  <r>
    <s v="33142"/>
    <x v="0"/>
    <s v="T293 EHH"/>
    <x v="0"/>
    <x v="7"/>
    <x v="1"/>
    <s v="MT"/>
    <x v="20"/>
    <s v="08/04/2026 03:01:26 AM"/>
    <s v="08/04/2026 03:04:41 AM"/>
    <s v="37680"/>
    <s v="16980"/>
    <s v="20700"/>
    <n v="20.7"/>
    <s v="RFID"/>
  </r>
  <r>
    <s v="33143"/>
    <x v="0"/>
    <s v="T304 EHH"/>
    <x v="0"/>
    <x v="7"/>
    <x v="1"/>
    <s v="MT"/>
    <x v="20"/>
    <s v="08/04/2026 03:07:49 AM"/>
    <s v="08/04/2026 03:12:37 AM"/>
    <s v="36320"/>
    <s v="15500"/>
    <s v="20820"/>
    <n v="20.82"/>
    <s v="RFID"/>
  </r>
  <r>
    <s v="33144"/>
    <x v="0"/>
    <s v="T312 EHH"/>
    <x v="0"/>
    <x v="7"/>
    <x v="1"/>
    <s v="MT"/>
    <x v="20"/>
    <s v="08/04/2026 03:11:27 AM"/>
    <s v="08/04/2026 03:16:23 AM"/>
    <s v="38040"/>
    <s v="17560"/>
    <s v="20480"/>
    <n v="20.48"/>
    <s v="RFID"/>
  </r>
  <r>
    <s v="33145"/>
    <x v="0"/>
    <s v="T311 EHH"/>
    <x v="0"/>
    <x v="7"/>
    <x v="1"/>
    <s v="MT"/>
    <x v="20"/>
    <s v="08/04/2026 03:17:26 AM"/>
    <s v="08/04/2026 03:21:22 AM"/>
    <s v="35580"/>
    <s v="15800"/>
    <s v="19780"/>
    <n v="19.78"/>
    <s v="RFID"/>
  </r>
  <r>
    <s v="33146"/>
    <x v="0"/>
    <s v="T306 EHH"/>
    <x v="0"/>
    <x v="7"/>
    <x v="1"/>
    <s v="MT"/>
    <x v="20"/>
    <s v="08/04/2026 03:23:40 AM"/>
    <s v="08/04/2026 03:26:52 AM"/>
    <s v="36020"/>
    <s v="15660"/>
    <s v="20360"/>
    <n v="20.36"/>
    <s v="RFID"/>
  </r>
  <r>
    <s v="33147"/>
    <x v="0"/>
    <s v="T293 EHH"/>
    <x v="0"/>
    <x v="7"/>
    <x v="1"/>
    <s v="MT"/>
    <x v="20"/>
    <s v="08/04/2026 03:28:50 AM"/>
    <s v="08/04/2026 03:32:00 AM"/>
    <s v="36960"/>
    <s v="17160"/>
    <s v="19800"/>
    <n v="19.8"/>
    <s v="RFID"/>
  </r>
  <r>
    <s v="33148"/>
    <x v="0"/>
    <s v="T304 EHH"/>
    <x v="0"/>
    <x v="7"/>
    <x v="1"/>
    <s v="MT"/>
    <x v="20"/>
    <s v="08/04/2026 03:36:06 AM"/>
    <s v="08/04/2026 03:40:54 AM"/>
    <s v="36780"/>
    <s v="15520"/>
    <s v="21260"/>
    <n v="21.26"/>
    <s v="RFID"/>
  </r>
  <r>
    <s v="33149"/>
    <x v="0"/>
    <s v="T311 EHH"/>
    <x v="1"/>
    <x v="3"/>
    <x v="0"/>
    <s v="MT"/>
    <x v="20"/>
    <s v="08/04/2026 03:38:41 AM"/>
    <s v="08/04/2026 03:43:25 AM"/>
    <s v="39600"/>
    <s v="15520"/>
    <s v="24080"/>
    <n v="24.08"/>
    <s v="RFID"/>
  </r>
  <r>
    <s v="33150"/>
    <x v="0"/>
    <s v="T293 EHH"/>
    <x v="1"/>
    <x v="3"/>
    <x v="0"/>
    <s v="MT"/>
    <x v="20"/>
    <s v="08/04/2026 03:45:17 AM"/>
    <s v="08/04/2026 03:51:20 AM"/>
    <s v="37940"/>
    <s v="17180"/>
    <s v="20760"/>
    <n v="20.76"/>
    <s v="RFID"/>
  </r>
  <r>
    <s v="33151"/>
    <x v="0"/>
    <s v="T304 EHH"/>
    <x v="1"/>
    <x v="3"/>
    <x v="0"/>
    <s v="MT"/>
    <x v="20"/>
    <s v="08/04/2026 03:48:08 AM"/>
    <s v="08/04/2026 03:53:35 AM"/>
    <s v="37540"/>
    <s v="15540"/>
    <s v="22000"/>
    <n v="22"/>
    <s v="RFID"/>
  </r>
  <r>
    <s v="33152"/>
    <x v="0"/>
    <s v="T311 EHH"/>
    <x v="1"/>
    <x v="3"/>
    <x v="0"/>
    <s v="MT"/>
    <x v="20"/>
    <s v="08/04/2026 03:52:41 AM"/>
    <s v="08/04/2026 03:57:38 AM"/>
    <s v="43260"/>
    <s v="15600"/>
    <s v="27660"/>
    <n v="27.66"/>
    <s v="RFID"/>
  </r>
  <r>
    <s v="33153"/>
    <x v="0"/>
    <s v="T293 EHH"/>
    <x v="1"/>
    <x v="3"/>
    <x v="0"/>
    <s v="MT"/>
    <x v="20"/>
    <s v="08/04/2026 03:56:33 AM"/>
    <s v="08/04/2026 04:02:09 AM"/>
    <s v="40420"/>
    <s v="17380"/>
    <s v="23040"/>
    <n v="23.04"/>
    <s v="RFID"/>
  </r>
  <r>
    <s v="33154"/>
    <x v="0"/>
    <s v="T304 EHH"/>
    <x v="1"/>
    <x v="3"/>
    <x v="0"/>
    <s v="MT"/>
    <x v="20"/>
    <s v="08/04/2026 04:00:14 AM"/>
    <s v="08/04/2026 04:05:39 AM"/>
    <s v="40420"/>
    <s v="15560"/>
    <s v="24860"/>
    <n v="24.86"/>
    <s v="RFID"/>
  </r>
  <r>
    <s v="33155"/>
    <x v="0"/>
    <s v="T311 EHH"/>
    <x v="1"/>
    <x v="3"/>
    <x v="0"/>
    <s v="MT"/>
    <x v="20"/>
    <s v="08/04/2026 04:04:45 AM"/>
    <s v="08/04/2026 04:09:28 AM"/>
    <s v="43580"/>
    <s v="15620"/>
    <s v="27960"/>
    <n v="27.96"/>
    <s v="RFID"/>
  </r>
  <r>
    <s v="33156"/>
    <x v="0"/>
    <s v="T293 EHH"/>
    <x v="1"/>
    <x v="3"/>
    <x v="0"/>
    <s v="MT"/>
    <x v="20"/>
    <s v="08/04/2026 04:10:13 AM"/>
    <s v="08/04/2026 04:17:16 AM"/>
    <s v="40820"/>
    <s v="17400"/>
    <s v="23420"/>
    <n v="23.42"/>
    <s v="RFID"/>
  </r>
  <r>
    <s v="33157"/>
    <x v="0"/>
    <s v="T304 EHH"/>
    <x v="1"/>
    <x v="3"/>
    <x v="0"/>
    <s v="MT"/>
    <x v="20"/>
    <s v="08/04/2026 04:13:31 AM"/>
    <s v="08/04/2026 04:18:58 AM"/>
    <s v="41320"/>
    <s v="15580"/>
    <s v="25740"/>
    <n v="25.74"/>
    <s v="RFID"/>
  </r>
  <r>
    <s v="33158"/>
    <x v="0"/>
    <s v="T311 EHH"/>
    <x v="1"/>
    <x v="3"/>
    <x v="0"/>
    <s v="MT"/>
    <x v="20"/>
    <s v="08/04/2026 04:18:06 AM"/>
    <s v="08/04/2026 04:23:24 AM"/>
    <s v="45220"/>
    <s v="15640"/>
    <s v="29580"/>
    <n v="29.58"/>
    <s v="RFID"/>
  </r>
  <r>
    <s v="33159"/>
    <x v="0"/>
    <s v="T293 EHH"/>
    <x v="1"/>
    <x v="3"/>
    <x v="0"/>
    <s v="MT"/>
    <x v="20"/>
    <s v="08/04/2026 04:22:36 AM"/>
    <s v="08/04/2026 04:30:42 AM"/>
    <s v="39760"/>
    <s v="17380"/>
    <s v="22380"/>
    <n v="22.38"/>
    <s v="RFID"/>
  </r>
  <r>
    <s v="33160"/>
    <x v="0"/>
    <s v="T304 EHH"/>
    <x v="1"/>
    <x v="3"/>
    <x v="0"/>
    <s v="MT"/>
    <x v="20"/>
    <s v="08/04/2026 04:25:54 AM"/>
    <s v="08/04/2026 04:32:58 AM"/>
    <s v="42080"/>
    <s v="15580"/>
    <s v="26500"/>
    <n v="26.5"/>
    <s v="RFID"/>
  </r>
  <r>
    <s v="33161"/>
    <x v="0"/>
    <s v="T311 EHH"/>
    <x v="1"/>
    <x v="3"/>
    <x v="0"/>
    <s v="MT"/>
    <x v="20"/>
    <s v="08/04/2026 04:29:23 AM"/>
    <s v="08/04/2026 04:34:51 AM"/>
    <s v="43720"/>
    <s v="15660"/>
    <s v="28060"/>
    <n v="28.06"/>
    <s v="RFID"/>
  </r>
  <r>
    <s v="33162"/>
    <x v="0"/>
    <s v="T293 EHH"/>
    <x v="1"/>
    <x v="3"/>
    <x v="0"/>
    <s v="MT"/>
    <x v="20"/>
    <s v="08/04/2026 04:35:37 AM"/>
    <s v="08/04/2026 04:43:29 AM"/>
    <s v="39140"/>
    <s v="17420"/>
    <s v="21720"/>
    <n v="21.72"/>
    <s v="RFID"/>
  </r>
  <r>
    <s v="33163"/>
    <x v="0"/>
    <s v="T304 EHH"/>
    <x v="1"/>
    <x v="3"/>
    <x v="0"/>
    <s v="MT"/>
    <x v="20"/>
    <s v="08/04/2026 04:39:01 AM"/>
    <s v="08/04/2026 04:44:36 AM"/>
    <s v="38700"/>
    <s v="15600"/>
    <s v="23100"/>
    <n v="23.1"/>
    <s v="RFID"/>
  </r>
  <r>
    <s v="33164"/>
    <x v="0"/>
    <s v="T311 EHH"/>
    <x v="1"/>
    <x v="3"/>
    <x v="0"/>
    <s v="MT"/>
    <x v="20"/>
    <s v="08/04/2026 04:42:30 AM"/>
    <s v="08/04/2026 04:47:02 AM"/>
    <s v="42940"/>
    <s v="15680"/>
    <s v="27260"/>
    <n v="27.26"/>
    <s v="RFID"/>
  </r>
  <r>
    <s v="33165"/>
    <x v="0"/>
    <s v="T293 EHH"/>
    <x v="1"/>
    <x v="3"/>
    <x v="0"/>
    <s v="MT"/>
    <x v="20"/>
    <s v="08/04/2026 04:48:11 AM"/>
    <s v="08/04/2026 04:55:22 AM"/>
    <s v="38640"/>
    <s v="17440"/>
    <s v="21200"/>
    <n v="21.2"/>
    <s v="RFID"/>
  </r>
  <r>
    <s v="33166"/>
    <x v="0"/>
    <s v="T304 EHH"/>
    <x v="1"/>
    <x v="3"/>
    <x v="0"/>
    <s v="MT"/>
    <x v="20"/>
    <s v="08/04/2026 04:51:25 AM"/>
    <s v="08/04/2026 05:13:27 AM"/>
    <s v="40180"/>
    <s v="15600"/>
    <s v="24580"/>
    <n v="24.58"/>
    <s v="RFID"/>
  </r>
  <r>
    <s v="33167"/>
    <x v="0"/>
    <s v="T311 EHH"/>
    <x v="1"/>
    <x v="3"/>
    <x v="0"/>
    <s v="MT"/>
    <x v="20"/>
    <s v="08/04/2026 04:54:26 AM"/>
    <s v="08/04/2026 05:17:51 AM"/>
    <s v="40800"/>
    <s v="15640"/>
    <s v="25160"/>
    <n v="25.16"/>
    <s v="RFID"/>
  </r>
  <r>
    <s v="33168"/>
    <x v="0"/>
    <s v="T293 EHH"/>
    <x v="1"/>
    <x v="3"/>
    <x v="0"/>
    <s v="MT"/>
    <x v="20"/>
    <s v="08/04/2026 05:00:18 AM"/>
    <s v="08/04/2026 05:31:30 AM"/>
    <s v="39840"/>
    <s v="17520"/>
    <s v="22320"/>
    <n v="22.32"/>
    <s v="RFID"/>
  </r>
  <r>
    <s v="33169"/>
    <x v="0"/>
    <s v="T306 EHH"/>
    <x v="1"/>
    <x v="3"/>
    <x v="0"/>
    <s v="MT"/>
    <x v="20"/>
    <s v="08/04/2026 05:40:34 AM"/>
    <s v="08/04/2026 05:48:11 AM"/>
    <s v="39180"/>
    <s v="15640"/>
    <s v="23540"/>
    <n v="23.54"/>
    <s v="RFID"/>
  </r>
  <r>
    <s v="33170"/>
    <x v="0"/>
    <s v="T312 EHH"/>
    <x v="1"/>
    <x v="3"/>
    <x v="0"/>
    <s v="MT"/>
    <x v="20"/>
    <s v="08/04/2026 05:43:32 AM"/>
    <s v="08/04/2026 05:51:16 AM"/>
    <s v="39340"/>
    <s v="17360"/>
    <s v="21980"/>
    <n v="21.98"/>
    <s v="RFID"/>
  </r>
  <r>
    <s v="33171"/>
    <x v="0"/>
    <s v="T306 EHH"/>
    <x v="1"/>
    <x v="3"/>
    <x v="0"/>
    <s v="MT"/>
    <x v="20"/>
    <s v="08/04/2026 05:54:19 AM"/>
    <s v="08/04/2026 06:01:31 AM"/>
    <s v="37960"/>
    <s v="15660"/>
    <s v="22300"/>
    <n v="22.3"/>
    <s v="RFID"/>
  </r>
  <r>
    <s v="33172"/>
    <x v="0"/>
    <s v="T312 EHH"/>
    <x v="1"/>
    <x v="3"/>
    <x v="0"/>
    <s v="MT"/>
    <x v="20"/>
    <s v="08/04/2026 05:59:08 AM"/>
    <s v="08/04/2026 06:06:07 AM"/>
    <s v="40140"/>
    <s v="16280"/>
    <s v="23860"/>
    <n v="23.86"/>
    <s v="RFID"/>
  </r>
  <r>
    <s v="33173"/>
    <x v="0"/>
    <s v="T306 EHH"/>
    <x v="1"/>
    <x v="3"/>
    <x v="0"/>
    <s v="MT"/>
    <x v="20"/>
    <s v="08/04/2026 06:07:07 AM"/>
    <s v="08/04/2026 06:15:36 AM"/>
    <s v="40440"/>
    <s v="15940"/>
    <s v="24500"/>
    <n v="24.5"/>
    <s v="RFID"/>
  </r>
  <r>
    <s v="33174"/>
    <x v="0"/>
    <s v="T312 EHH"/>
    <x v="1"/>
    <x v="3"/>
    <x v="0"/>
    <s v="MT"/>
    <x v="20"/>
    <s v="08/04/2026 06:11:13 AM"/>
    <s v="08/04/2026 06:21:02 AM"/>
    <s v="40740"/>
    <s v="16560"/>
    <s v="24180"/>
    <n v="24.18"/>
    <s v="RFID"/>
  </r>
  <r>
    <s v="33175"/>
    <x v="0"/>
    <s v="T306 EHH"/>
    <x v="1"/>
    <x v="3"/>
    <x v="0"/>
    <s v="MT"/>
    <x v="20"/>
    <s v="08/04/2026 06:22:45 AM"/>
    <s v="08/04/2026 06:28:51 AM"/>
    <s v="42200"/>
    <s v="15260"/>
    <s v="26940"/>
    <n v="26.94"/>
    <s v="RFID"/>
  </r>
  <r>
    <s v="33176"/>
    <x v="0"/>
    <s v="T312 EHH"/>
    <x v="1"/>
    <x v="3"/>
    <x v="0"/>
    <s v="MT"/>
    <x v="20"/>
    <s v="08/04/2026 06:26:41 AM"/>
    <s v="08/04/2026 06:33:12 AM"/>
    <s v="40780"/>
    <s v="17140"/>
    <s v="23640"/>
    <n v="23.64"/>
    <s v="RFID"/>
  </r>
  <r>
    <s v="33177"/>
    <x v="0"/>
    <s v="T306 EHH"/>
    <x v="1"/>
    <x v="3"/>
    <x v="0"/>
    <s v="MT"/>
    <x v="20"/>
    <s v="08/04/2026 06:34:29 AM"/>
    <s v="08/04/2026 06:40:14 AM"/>
    <s v="37880"/>
    <s v="15900"/>
    <s v="21980"/>
    <n v="21.98"/>
    <s v="RFID"/>
  </r>
  <r>
    <s v="33178"/>
    <x v="0"/>
    <s v="T312 EHH"/>
    <x v="1"/>
    <x v="3"/>
    <x v="0"/>
    <s v="MT"/>
    <x v="20"/>
    <s v="08/04/2026 06:38:22 AM"/>
    <s v="08/04/2026 06:44:33 AM"/>
    <s v="39420"/>
    <s v="17620"/>
    <s v="21800"/>
    <n v="21.8"/>
    <s v="RFID"/>
  </r>
  <r>
    <s v="33179"/>
    <x v="0"/>
    <s v="T306 EHH"/>
    <x v="1"/>
    <x v="3"/>
    <x v="0"/>
    <s v="MT"/>
    <x v="20"/>
    <s v="08/04/2026 06:46:23 AM"/>
    <s v="08/04/2026 06:51:56 AM"/>
    <s v="40760"/>
    <s v="16180"/>
    <s v="24580"/>
    <n v="24.58"/>
    <s v="RFID"/>
  </r>
  <r>
    <s v="33180"/>
    <x v="0"/>
    <s v="T312 EHH"/>
    <x v="1"/>
    <x v="3"/>
    <x v="0"/>
    <s v="MT"/>
    <x v="20"/>
    <s v="08/04/2026 06:50:18 AM"/>
    <s v="08/04/2026 07:08:04 AM"/>
    <s v="42480"/>
    <s v="18020"/>
    <s v="24460"/>
    <n v="24.46"/>
    <s v="RFID"/>
  </r>
  <r>
    <s v="33181"/>
    <x v="0"/>
    <s v="T299 EHH"/>
    <x v="1"/>
    <x v="3"/>
    <x v="0"/>
    <s v="MT"/>
    <x v="20"/>
    <s v="08/04/2026 10:00:35 AM"/>
    <s v="08/04/2026 10:31:00 AM"/>
    <s v="32960"/>
    <s v="16840"/>
    <s v="16120"/>
    <n v="16.12"/>
    <s v="RFID"/>
  </r>
  <r>
    <s v="33182"/>
    <x v="0"/>
    <s v="T295 EHH"/>
    <x v="1"/>
    <x v="3"/>
    <x v="0"/>
    <s v="MT"/>
    <x v="20"/>
    <s v="08/04/2026 10:02:45 AM"/>
    <s v="08/04/2026 10:29:01 AM"/>
    <s v="33360"/>
    <s v="15240"/>
    <s v="18120"/>
    <n v="18.12"/>
    <s v="RFID"/>
  </r>
  <r>
    <s v="33183"/>
    <x v="0"/>
    <s v="T312 EHH"/>
    <x v="1"/>
    <x v="3"/>
    <x v="0"/>
    <s v="MT"/>
    <x v="20"/>
    <s v="08/04/2026 10:05:30 AM"/>
    <s v="08/04/2026 10:34:16 AM"/>
    <s v="35480"/>
    <s v="16600"/>
    <s v="18880"/>
    <n v="18.88"/>
    <s v="RFID"/>
  </r>
  <r>
    <s v="33184"/>
    <x v="0"/>
    <s v="T295 EHH"/>
    <x v="1"/>
    <x v="3"/>
    <x v="0"/>
    <s v="MT"/>
    <x v="20"/>
    <s v="08/04/2026 10:35:56 AM"/>
    <s v="08/04/2026 10:41:51 AM"/>
    <s v="34900"/>
    <s v="19040"/>
    <s v="15860"/>
    <n v="15.86"/>
    <s v="RFID"/>
  </r>
  <r>
    <s v="33185"/>
    <x v="0"/>
    <s v="T299 EHH"/>
    <x v="1"/>
    <x v="3"/>
    <x v="0"/>
    <s v="MT"/>
    <x v="20"/>
    <s v="08/04/2026 10:38:56 AM"/>
    <s v="08/04/2026 10:45:39 AM"/>
    <s v="35500"/>
    <s v="16700"/>
    <s v="18800"/>
    <n v="18.8"/>
    <s v="RFID"/>
  </r>
  <r>
    <s v="33186"/>
    <x v="0"/>
    <s v="T312 EHH"/>
    <x v="1"/>
    <x v="3"/>
    <x v="0"/>
    <s v="MT"/>
    <x v="20"/>
    <s v="08/04/2026 10:42:56 AM"/>
    <s v="08/04/2026 10:49:33 AM"/>
    <s v="36020"/>
    <s v="16700"/>
    <s v="19320"/>
    <n v="19.32"/>
    <s v="RFID"/>
  </r>
  <r>
    <s v="33187"/>
    <x v="0"/>
    <s v="T295 EHH"/>
    <x v="1"/>
    <x v="3"/>
    <x v="0"/>
    <s v="MT"/>
    <x v="20"/>
    <s v="08/04/2026 10:47:13 AM"/>
    <s v="08/04/2026 10:52:39 AM"/>
    <s v="34920"/>
    <s v="19900"/>
    <s v="15020"/>
    <n v="15.02"/>
    <s v="RFID"/>
  </r>
  <r>
    <s v="33188"/>
    <x v="0"/>
    <s v="T299 EHH"/>
    <x v="1"/>
    <x v="3"/>
    <x v="0"/>
    <s v="MT"/>
    <x v="20"/>
    <s v="08/04/2026 10:51:23 AM"/>
    <s v="08/04/2026 10:57:34 AM"/>
    <s v="35060"/>
    <s v="17480"/>
    <s v="17580"/>
    <n v="17.579999999999998"/>
    <s v="RFID"/>
  </r>
  <r>
    <s v="33189"/>
    <x v="0"/>
    <s v="T312 EHH"/>
    <x v="1"/>
    <x v="3"/>
    <x v="0"/>
    <s v="MT"/>
    <x v="20"/>
    <s v="08/04/2026 10:54:57 AM"/>
    <s v="08/04/2026 11:02:08 AM"/>
    <s v="35840"/>
    <s v="17160"/>
    <s v="18680"/>
    <n v="18.68"/>
    <s v="RFID"/>
  </r>
  <r>
    <s v="33190"/>
    <x v="0"/>
    <s v="T295 EHH"/>
    <x v="1"/>
    <x v="3"/>
    <x v="0"/>
    <s v="MT"/>
    <x v="20"/>
    <s v="08/04/2026 10:58:55 AM"/>
    <s v="08/04/2026 11:04:26 AM"/>
    <s v="36820"/>
    <s v="22360"/>
    <s v="14460"/>
    <n v="14.46"/>
    <s v="RFID"/>
  </r>
  <r>
    <s v="33191"/>
    <x v="0"/>
    <s v="T299 EHH"/>
    <x v="1"/>
    <x v="3"/>
    <x v="0"/>
    <s v="MT"/>
    <x v="20"/>
    <s v="08/04/2026 11:05:33 AM"/>
    <s v="08/04/2026 11:15:41 AM"/>
    <s v="36900"/>
    <s v="14940"/>
    <s v="21960"/>
    <n v="21.96"/>
    <s v="RFID"/>
  </r>
  <r>
    <s v="33192"/>
    <x v="0"/>
    <s v="T312 EHH"/>
    <x v="1"/>
    <x v="3"/>
    <x v="0"/>
    <s v="MT"/>
    <x v="20"/>
    <s v="08/04/2026 11:07:41 AM"/>
    <s v="08/04/2026 11:17:40 AM"/>
    <s v="35500"/>
    <s v="18560"/>
    <s v="16940"/>
    <n v="16.940000000000001"/>
    <s v="RFID"/>
  </r>
  <r>
    <s v="33193"/>
    <x v="0"/>
    <s v="T295 EHH"/>
    <x v="1"/>
    <x v="3"/>
    <x v="0"/>
    <s v="MT"/>
    <x v="20"/>
    <s v="08/04/2026 11:10:32 AM"/>
    <s v="08/04/2026 11:21:00 AM"/>
    <s v="36960"/>
    <s v="14660"/>
    <s v="22300"/>
    <n v="22.3"/>
    <s v="RFID"/>
  </r>
  <r>
    <s v="33194"/>
    <x v="0"/>
    <s v="T299 EHH"/>
    <x v="1"/>
    <x v="3"/>
    <x v="0"/>
    <s v="MT"/>
    <x v="20"/>
    <s v="08/04/2026 11:22:48 AM"/>
    <s v="08/04/2026 11:30:14 AM"/>
    <s v="33280"/>
    <s v="15320"/>
    <s v="17960"/>
    <n v="17.96"/>
    <s v="RFID"/>
  </r>
  <r>
    <s v="33195"/>
    <x v="0"/>
    <s v="T312 EHH"/>
    <x v="1"/>
    <x v="3"/>
    <x v="0"/>
    <s v="MT"/>
    <x v="20"/>
    <s v="08/04/2026 11:28:06 AM"/>
    <s v="08/04/2026 11:33:27 AM"/>
    <s v="33740"/>
    <s v="16720"/>
    <s v="17020"/>
    <n v="17.02"/>
    <s v="RFID"/>
  </r>
  <r>
    <s v="33196"/>
    <x v="0"/>
    <s v="T299 EHH"/>
    <x v="1"/>
    <x v="3"/>
    <x v="0"/>
    <s v="MT"/>
    <x v="20"/>
    <s v="08/04/2026 11:37:30 AM"/>
    <s v="08/04/2026 11:44:08 AM"/>
    <s v="34940"/>
    <s v="15520"/>
    <s v="19420"/>
    <n v="19.420000000000002"/>
    <s v="RFID"/>
  </r>
  <r>
    <s v="33197"/>
    <x v="0"/>
    <s v="T312 EHH"/>
    <x v="1"/>
    <x v="3"/>
    <x v="0"/>
    <s v="MT"/>
    <x v="20"/>
    <s v="08/04/2026 11:40:23 AM"/>
    <s v="08/04/2026 11:46:38 AM"/>
    <s v="35800"/>
    <s v="17000"/>
    <s v="18800"/>
    <n v="18.8"/>
    <s v="RFID"/>
  </r>
  <r>
    <s v="33198"/>
    <x v="0"/>
    <s v="T299 EHH"/>
    <x v="1"/>
    <x v="3"/>
    <x v="0"/>
    <s v="MT"/>
    <x v="20"/>
    <s v="08/04/2026 11:50:19 AM"/>
    <s v="08/04/2026 11:57:26 AM"/>
    <s v="36020"/>
    <s v="15720"/>
    <s v="20300"/>
    <n v="20.3"/>
    <s v="RFID"/>
  </r>
  <r>
    <s v="33199"/>
    <x v="0"/>
    <s v="T312 EHH"/>
    <x v="1"/>
    <x v="3"/>
    <x v="0"/>
    <s v="MT"/>
    <x v="20"/>
    <s v="08/04/2026 11:53:29 AM"/>
    <s v="08/04/2026 11:59:33 AM"/>
    <s v="36680"/>
    <s v="17780"/>
    <s v="18900"/>
    <n v="18.899999999999999"/>
    <s v="RFID"/>
  </r>
  <r>
    <s v="33200"/>
    <x v="0"/>
    <s v="T311 EHH"/>
    <x v="1"/>
    <x v="3"/>
    <x v="0"/>
    <s v="MT"/>
    <x v="20"/>
    <s v="08/04/2026 12:01:29 PM"/>
    <s v="08/04/2026 12:08:20 PM"/>
    <s v="35180"/>
    <s v="16660"/>
    <s v="18520"/>
    <n v="18.52"/>
    <s v="RFID"/>
  </r>
  <r>
    <s v="33201"/>
    <x v="0"/>
    <s v="T312 EHH"/>
    <x v="1"/>
    <x v="3"/>
    <x v="0"/>
    <s v="MT"/>
    <x v="20"/>
    <s v="08/04/2026 02:21:27 PM"/>
    <s v="08/04/2026 02:29:22 PM"/>
    <s v="38780"/>
    <s v="18420"/>
    <s v="20360"/>
    <n v="20.36"/>
    <s v="RFID"/>
  </r>
  <r>
    <s v="33202"/>
    <x v="0"/>
    <s v="T311 EHH"/>
    <x v="1"/>
    <x v="3"/>
    <x v="0"/>
    <s v="MT"/>
    <x v="20"/>
    <s v="08/04/2026 02:27:30 PM"/>
    <s v="08/04/2026 02:32:35 PM"/>
    <s v="35740"/>
    <s v="17400"/>
    <s v="18340"/>
    <n v="18.34"/>
    <s v="RFID"/>
  </r>
  <r>
    <s v="33203"/>
    <x v="0"/>
    <s v="T312 EHH"/>
    <x v="1"/>
    <x v="3"/>
    <x v="0"/>
    <s v="MT"/>
    <x v="20"/>
    <s v="08/04/2026 02:34:42 PM"/>
    <s v="08/04/2026 02:40:56 PM"/>
    <s v="38580"/>
    <s v="18720"/>
    <s v="19860"/>
    <n v="19.86"/>
    <s v="RFID"/>
  </r>
  <r>
    <s v="33204"/>
    <x v="0"/>
    <s v="T311 EHH"/>
    <x v="1"/>
    <x v="3"/>
    <x v="0"/>
    <s v="MT"/>
    <x v="20"/>
    <s v="08/04/2026 02:38:18 PM"/>
    <s v="08/04/2026 02:43:47 PM"/>
    <s v="37420"/>
    <s v="18840"/>
    <s v="18580"/>
    <n v="18.579999999999998"/>
    <s v="RFID"/>
  </r>
  <r>
    <s v="33205"/>
    <x v="0"/>
    <s v="T299 EHH"/>
    <x v="1"/>
    <x v="3"/>
    <x v="0"/>
    <s v="MT"/>
    <x v="20"/>
    <s v="08/04/2026 02:42:06 PM"/>
    <s v="08/04/2026 02:48:28 PM"/>
    <s v="35800"/>
    <s v="16680"/>
    <s v="19120"/>
    <n v="19.12"/>
    <s v="RFID"/>
  </r>
  <r>
    <s v="33206"/>
    <x v="0"/>
    <s v="T312 EHH"/>
    <x v="1"/>
    <x v="3"/>
    <x v="0"/>
    <s v="MT"/>
    <x v="20"/>
    <s v="08/04/2026 02:46:03 PM"/>
    <s v="08/04/2026 02:53:11 PM"/>
    <s v="38940"/>
    <s v="19260"/>
    <s v="19680"/>
    <n v="19.68"/>
    <s v="RFID"/>
  </r>
  <r>
    <s v="33207"/>
    <x v="0"/>
    <s v="T311 EHH"/>
    <x v="1"/>
    <x v="3"/>
    <x v="0"/>
    <s v="MT"/>
    <x v="20"/>
    <s v="08/04/2026 02:49:42 PM"/>
    <s v="08/04/2026 02:55:19 PM"/>
    <s v="36680"/>
    <s v="19360"/>
    <s v="17320"/>
    <n v="17.32"/>
    <s v="RFID"/>
  </r>
  <r>
    <s v="33208"/>
    <x v="0"/>
    <s v="T299 EHH"/>
    <x v="1"/>
    <x v="3"/>
    <x v="0"/>
    <s v="MT"/>
    <x v="20"/>
    <s v="08/04/2026 02:54:20 PM"/>
    <s v="08/04/2026 02:59:35 PM"/>
    <s v="36040"/>
    <s v="16960"/>
    <s v="19080"/>
    <n v="19.079999999999998"/>
    <s v="RFID"/>
  </r>
  <r>
    <s v="33209"/>
    <x v="0"/>
    <s v="T312 EHH"/>
    <x v="1"/>
    <x v="3"/>
    <x v="0"/>
    <s v="MT"/>
    <x v="20"/>
    <s v="08/04/2026 02:58:22 PM"/>
    <s v="08/04/2026 03:07:17 PM"/>
    <s v="36540"/>
    <s v="14980"/>
    <s v="21560"/>
    <n v="21.56"/>
    <s v="RFID"/>
  </r>
  <r>
    <s v="33210"/>
    <x v="0"/>
    <s v="T311 EHH"/>
    <x v="1"/>
    <x v="3"/>
    <x v="0"/>
    <s v="MT"/>
    <x v="20"/>
    <s v="08/04/2026 03:02:35 PM"/>
    <s v="08/04/2026 03:08:52 PM"/>
    <s v="36560"/>
    <s v="19940"/>
    <s v="16620"/>
    <n v="16.62"/>
    <s v="RFID"/>
  </r>
  <r>
    <s v="33211"/>
    <x v="0"/>
    <s v="T299 EHH"/>
    <x v="1"/>
    <x v="3"/>
    <x v="0"/>
    <s v="MT"/>
    <x v="20"/>
    <s v="08/04/2026 03:06:20 PM"/>
    <s v="08/04/2026 03:12:03 PM"/>
    <s v="34660"/>
    <s v="16840"/>
    <s v="17820"/>
    <n v="17.82"/>
    <s v="RFID"/>
  </r>
  <r>
    <s v="33212"/>
    <x v="0"/>
    <s v="T312 EHH"/>
    <x v="1"/>
    <x v="3"/>
    <x v="0"/>
    <s v="MT"/>
    <x v="20"/>
    <s v="08/04/2026 03:13:05 PM"/>
    <s v="08/04/2026 03:20:59 PM"/>
    <s v="36120"/>
    <s v="15480"/>
    <s v="20640"/>
    <n v="20.64"/>
    <s v="RFID"/>
  </r>
  <r>
    <s v="33213"/>
    <x v="0"/>
    <s v="T311 EHH"/>
    <x v="1"/>
    <x v="3"/>
    <x v="0"/>
    <s v="MT"/>
    <x v="20"/>
    <s v="08/04/2026 03:16:00 PM"/>
    <s v="08/04/2026 03:44:12 PM"/>
    <s v="37260"/>
    <s v="20660"/>
    <s v="16600"/>
    <n v="16.600000000000001"/>
    <s v="RFID"/>
  </r>
  <r>
    <s v="33214"/>
    <x v="0"/>
    <s v="T299 EHH"/>
    <x v="1"/>
    <x v="3"/>
    <x v="0"/>
    <s v="MT"/>
    <x v="20"/>
    <s v="08/04/2026 03:19:54 PM"/>
    <s v="08/04/2026 03:47:07 PM"/>
    <s v="33840"/>
    <s v="17460"/>
    <s v="16380"/>
    <n v="16.38"/>
    <s v="RFID"/>
  </r>
  <r>
    <s v="33215"/>
    <x v="0"/>
    <s v="T312 EHH"/>
    <x v="1"/>
    <x v="3"/>
    <x v="0"/>
    <s v="MT"/>
    <x v="20"/>
    <s v="08/04/2026 03:26:39 PM"/>
    <s v="08/04/2026 03:50:00 PM"/>
    <s v="35560"/>
    <s v="16340"/>
    <s v="19220"/>
    <n v="19.22"/>
    <s v="RFID"/>
  </r>
  <r>
    <s v="33216"/>
    <x v="0"/>
    <s v="T311 EHH"/>
    <x v="1"/>
    <x v="3"/>
    <x v="0"/>
    <s v="MT"/>
    <x v="20"/>
    <s v="08/04/2026 03:49:00 PM"/>
    <s v="08/04/2026 03:54:58 PM"/>
    <s v="36580"/>
    <s v="21060"/>
    <s v="15520"/>
    <n v="15.52"/>
    <s v="RFID"/>
  </r>
  <r>
    <s v="33217"/>
    <x v="0"/>
    <s v="T299 EHH"/>
    <x v="1"/>
    <x v="3"/>
    <x v="0"/>
    <s v="MT"/>
    <x v="20"/>
    <s v="08/04/2026 03:52:49 PM"/>
    <s v="08/04/2026 04:00:14 PM"/>
    <s v="38340"/>
    <s v="17480"/>
    <s v="20860"/>
    <n v="20.86"/>
    <s v="RFID"/>
  </r>
  <r>
    <s v="33218"/>
    <x v="0"/>
    <s v="T312 EHH"/>
    <x v="1"/>
    <x v="3"/>
    <x v="0"/>
    <s v="MT"/>
    <x v="20"/>
    <s v="08/04/2026 03:55:48 PM"/>
    <s v="08/04/2026 04:02:50 PM"/>
    <s v="37640"/>
    <s v="16420"/>
    <s v="21220"/>
    <n v="21.22"/>
    <s v="RFID"/>
  </r>
  <r>
    <s v="33219"/>
    <x v="0"/>
    <s v="T311 EHH"/>
    <x v="1"/>
    <x v="3"/>
    <x v="0"/>
    <s v="MT"/>
    <x v="20"/>
    <s v="08/04/2026 03:59:18 PM"/>
    <s v="08/04/2026 04:16:22 PM"/>
    <s v="36300"/>
    <s v="21100"/>
    <s v="15200"/>
    <n v="15.2"/>
    <s v="RFID"/>
  </r>
  <r>
    <s v="33220"/>
    <x v="0"/>
    <s v="T299 EHH"/>
    <x v="1"/>
    <x v="3"/>
    <x v="0"/>
    <s v="MT"/>
    <x v="20"/>
    <s v="08/04/2026 04:05:56 PM"/>
    <s v="08/04/2026 04:22:16 PM"/>
    <s v="34160"/>
    <s v="17480"/>
    <s v="16680"/>
    <n v="16.68"/>
    <s v="RFID"/>
  </r>
  <r>
    <s v="33221"/>
    <x v="0"/>
    <s v="T312 EHH"/>
    <x v="1"/>
    <x v="3"/>
    <x v="0"/>
    <s v="MT"/>
    <x v="20"/>
    <s v="08/04/2026 04:09:20 PM"/>
    <s v="08/04/2026 04:23:48 PM"/>
    <s v="37720"/>
    <s v="16760"/>
    <s v="20960"/>
    <n v="20.96"/>
    <s v="RFID"/>
  </r>
  <r>
    <s v="33222"/>
    <x v="0"/>
    <s v="T311 EHH"/>
    <x v="1"/>
    <x v="3"/>
    <x v="0"/>
    <s v="MT"/>
    <x v="20"/>
    <s v="08/04/2026 04:21:24 PM"/>
    <s v="08/04/2026 04:35:41 PM"/>
    <s v="37160"/>
    <s v="21480"/>
    <s v="15680"/>
    <n v="15.68"/>
    <s v="RFID"/>
  </r>
  <r>
    <s v="33223"/>
    <x v="0"/>
    <s v="T299 EHH"/>
    <x v="1"/>
    <x v="3"/>
    <x v="0"/>
    <s v="MT"/>
    <x v="20"/>
    <s v="08/04/2026 04:27:48 PM"/>
    <s v="08/04/2026 05:01:15 PM"/>
    <s v="36800"/>
    <s v="17520"/>
    <s v="19280"/>
    <n v="19.28"/>
    <s v="RFID"/>
  </r>
  <r>
    <s v="33224"/>
    <x v="0"/>
    <s v="T312 EHH"/>
    <x v="1"/>
    <x v="3"/>
    <x v="0"/>
    <s v="MT"/>
    <x v="20"/>
    <s v="08/04/2026 04:31:09 PM"/>
    <s v="08/04/2026 05:02:34 PM"/>
    <s v="37560"/>
    <s v="16940"/>
    <s v="20620"/>
    <n v="20.62"/>
    <s v="RFID"/>
  </r>
  <r>
    <s v="33225"/>
    <x v="0"/>
    <s v="T311 EHH"/>
    <x v="1"/>
    <x v="3"/>
    <x v="0"/>
    <s v="MT"/>
    <x v="20"/>
    <s v="08/04/2026 04:40:25 PM"/>
    <s v="08/04/2026 05:05:47 PM"/>
    <s v="37780"/>
    <s v="21660"/>
    <s v="16120"/>
    <n v="16.12"/>
    <s v="RFID"/>
  </r>
  <r>
    <s v="33226"/>
    <x v="0"/>
    <s v="T299 EHH"/>
    <x v="1"/>
    <x v="3"/>
    <x v="1"/>
    <s v="MT"/>
    <x v="20"/>
    <s v="08/04/2026 05:10:42 PM"/>
    <s v="08/04/2026 05:16:56 PM"/>
    <s v="33680"/>
    <s v="17540"/>
    <s v="16140"/>
    <n v="16.14"/>
    <s v="RFID"/>
  </r>
  <r>
    <s v="33227"/>
    <x v="0"/>
    <s v="T311 EHH"/>
    <x v="1"/>
    <x v="3"/>
    <x v="1"/>
    <s v="MT"/>
    <x v="20"/>
    <s v="08/04/2026 05:15:14 PM"/>
    <s v="08/04/2026 05:21:23 PM"/>
    <s v="37620"/>
    <s v="21600"/>
    <s v="16020"/>
    <n v="16.02"/>
    <s v="RFID"/>
  </r>
  <r>
    <s v="33228"/>
    <x v="0"/>
    <s v="T312 EHH"/>
    <x v="1"/>
    <x v="3"/>
    <x v="1"/>
    <s v="MT"/>
    <x v="20"/>
    <s v="08/04/2026 05:19:22 PM"/>
    <s v="08/04/2026 05:25:00 PM"/>
    <s v="37240"/>
    <s v="17260"/>
    <s v="19980"/>
    <n v="19.98"/>
    <s v="RFID"/>
  </r>
  <r>
    <s v="33229"/>
    <x v="0"/>
    <s v="T299 EHH"/>
    <x v="1"/>
    <x v="3"/>
    <x v="1"/>
    <s v="MT"/>
    <x v="20"/>
    <s v="08/04/2026 05:22:46 PM"/>
    <s v="08/04/2026 05:29:33 PM"/>
    <s v="35900"/>
    <s v="17540"/>
    <s v="18360"/>
    <n v="18.36"/>
    <s v="RFID"/>
  </r>
  <r>
    <s v="33230"/>
    <x v="0"/>
    <s v="T311 EHH"/>
    <x v="1"/>
    <x v="3"/>
    <x v="1"/>
    <s v="MT"/>
    <x v="20"/>
    <s v="08/04/2026 05:31:48 PM"/>
    <s v="08/04/2026 05:40:10 PM"/>
    <s v="36180"/>
    <s v="17240"/>
    <s v="18940"/>
    <n v="18.940000000000001"/>
    <s v="RFID"/>
  </r>
  <r>
    <s v="33231"/>
    <x v="0"/>
    <s v="T312 EHH"/>
    <x v="1"/>
    <x v="3"/>
    <x v="1"/>
    <s v="MT"/>
    <x v="20"/>
    <s v="08/04/2026 05:35:33 PM"/>
    <s v="08/04/2026 05:41:40 PM"/>
    <s v="37240"/>
    <s v="17260"/>
    <s v="19980"/>
    <n v="19.98"/>
    <s v="RFID"/>
  </r>
  <r>
    <s v="33232"/>
    <x v="0"/>
    <s v="T299 EHH"/>
    <x v="1"/>
    <x v="3"/>
    <x v="1"/>
    <s v="MT"/>
    <x v="20"/>
    <s v="08/04/2026 05:39:10 PM"/>
    <s v="08/04/2026 05:45:47 PM"/>
    <s v="34640"/>
    <s v="17480"/>
    <s v="17160"/>
    <n v="17.16"/>
    <s v="RFID"/>
  </r>
  <r>
    <s v="33233"/>
    <x v="0"/>
    <s v="T311 EHH"/>
    <x v="1"/>
    <x v="3"/>
    <x v="1"/>
    <s v="MT"/>
    <x v="20"/>
    <s v="08/04/2026 05:44:52 PM"/>
    <s v="08/04/2026 05:51:51 PM"/>
    <s v="34900"/>
    <s v="17800"/>
    <s v="17100"/>
    <n v="17.100000000000001"/>
    <s v="RFID"/>
  </r>
  <r>
    <s v="33234"/>
    <x v="0"/>
    <s v="T312 EHH"/>
    <x v="1"/>
    <x v="3"/>
    <x v="1"/>
    <s v="MT"/>
    <x v="20"/>
    <s v="08/04/2026 05:48:12 PM"/>
    <s v="08/04/2026 05:53:54 PM"/>
    <s v="37760"/>
    <s v="17260"/>
    <s v="20500"/>
    <n v="20.5"/>
    <s v="RFID"/>
  </r>
  <r>
    <s v="33235"/>
    <x v="0"/>
    <s v="T299 EHH"/>
    <x v="1"/>
    <x v="3"/>
    <x v="1"/>
    <s v="MT"/>
    <x v="20"/>
    <s v="08/04/2026 05:52:49 PM"/>
    <s v="08/04/2026 05:59:42 PM"/>
    <s v="37880"/>
    <s v="17420"/>
    <s v="20460"/>
    <n v="20.46"/>
    <s v="RFID"/>
  </r>
  <r>
    <s v="33236"/>
    <x v="0"/>
    <s v="T311 EHH"/>
    <x v="1"/>
    <x v="3"/>
    <x v="1"/>
    <s v="MT"/>
    <x v="20"/>
    <s v="08/04/2026 05:57:00 PM"/>
    <s v="08/04/2026 06:04:21 PM"/>
    <s v="36680"/>
    <s v="17780"/>
    <s v="18900"/>
    <n v="18.899999999999999"/>
    <s v="RFID"/>
  </r>
  <r>
    <s v="33237"/>
    <x v="0"/>
    <s v="T312 EHH"/>
    <x v="1"/>
    <x v="3"/>
    <x v="1"/>
    <s v="MT"/>
    <x v="20"/>
    <s v="08/04/2026 06:00:42 PM"/>
    <s v="08/04/2026 06:07:22 PM"/>
    <s v="37180"/>
    <s v="17380"/>
    <s v="19800"/>
    <n v="19.8"/>
    <s v="RFID"/>
  </r>
  <r>
    <s v="33238"/>
    <x v="0"/>
    <s v="T299 EHH"/>
    <x v="1"/>
    <x v="3"/>
    <x v="1"/>
    <s v="MT"/>
    <x v="20"/>
    <s v="08/04/2026 06:05:21 PM"/>
    <s v="08/04/2026 06:12:32 PM"/>
    <s v="34480"/>
    <s v="17420"/>
    <s v="17060"/>
    <n v="17.059999999999999"/>
    <s v="RFID"/>
  </r>
  <r>
    <s v="33239"/>
    <x v="0"/>
    <s v="T311 EHH"/>
    <x v="1"/>
    <x v="3"/>
    <x v="1"/>
    <s v="MT"/>
    <x v="20"/>
    <s v="08/04/2026 06:09:10 PM"/>
    <s v="08/04/2026 06:15:41 PM"/>
    <s v="34760"/>
    <s v="18020"/>
    <s v="16740"/>
    <n v="16.739999999999998"/>
    <s v="RFID"/>
  </r>
  <r>
    <s v="33240"/>
    <x v="0"/>
    <s v="T312 EHH"/>
    <x v="1"/>
    <x v="3"/>
    <x v="1"/>
    <s v="MT"/>
    <x v="20"/>
    <s v="08/04/2026 06:13:35 PM"/>
    <s v="08/04/2026 06:19:14 PM"/>
    <s v="37300"/>
    <s v="17500"/>
    <s v="19800"/>
    <n v="19.8"/>
    <s v="RFID"/>
  </r>
  <r>
    <s v="33241"/>
    <x v="0"/>
    <s v="T299 EHH"/>
    <x v="1"/>
    <x v="3"/>
    <x v="1"/>
    <s v="MT"/>
    <x v="20"/>
    <s v="08/04/2026 06:22:06 PM"/>
    <s v="08/04/2026 06:27:26 PM"/>
    <s v="32720"/>
    <s v="15980"/>
    <s v="16740"/>
    <n v="16.739999999999998"/>
    <s v="RFID"/>
  </r>
  <r>
    <s v="33242"/>
    <x v="0"/>
    <s v="T311 EHH"/>
    <x v="1"/>
    <x v="3"/>
    <x v="1"/>
    <s v="MT"/>
    <x v="20"/>
    <s v="08/04/2026 06:25:30 PM"/>
    <s v="08/04/2026 06:31:51 PM"/>
    <s v="35300"/>
    <s v="18120"/>
    <s v="17180"/>
    <n v="17.18"/>
    <s v="RFID"/>
  </r>
  <r>
    <s v="33243"/>
    <x v="0"/>
    <s v="T312 EHH"/>
    <x v="1"/>
    <x v="3"/>
    <x v="1"/>
    <s v="MT"/>
    <x v="20"/>
    <s v="08/04/2026 06:28:30 PM"/>
    <s v="08/04/2026 06:36:10 PM"/>
    <s v="36180"/>
    <s v="17440"/>
    <s v="18740"/>
    <n v="18.739999999999998"/>
    <s v="RFID"/>
  </r>
  <r>
    <s v="33244"/>
    <x v="0"/>
    <s v="T299 EHH"/>
    <x v="1"/>
    <x v="3"/>
    <x v="1"/>
    <s v="MT"/>
    <x v="20"/>
    <s v="08/04/2026 06:33:50 PM"/>
    <s v="08/04/2026 06:40:42 PM"/>
    <s v="34600"/>
    <s v="16280"/>
    <s v="18320"/>
    <n v="18.32"/>
    <s v="RFID"/>
  </r>
  <r>
    <s v="33245"/>
    <x v="0"/>
    <s v="T311 EHH"/>
    <x v="1"/>
    <x v="3"/>
    <x v="1"/>
    <s v="MT"/>
    <x v="20"/>
    <s v="08/04/2026 06:37:53 PM"/>
    <s v="08/04/2026 06:44:51 PM"/>
    <s v="34700"/>
    <s v="18060"/>
    <s v="16640"/>
    <n v="16.64"/>
    <s v="RFID"/>
  </r>
  <r>
    <s v="33246"/>
    <x v="0"/>
    <s v="T312 EHH"/>
    <x v="1"/>
    <x v="3"/>
    <x v="1"/>
    <s v="MT"/>
    <x v="20"/>
    <s v="08/04/2026 06:46:16 PM"/>
    <s v="08/04/2026 06:51:27 PM"/>
    <s v="34580"/>
    <s v="15500"/>
    <s v="19080"/>
    <n v="19.079999999999998"/>
    <s v="RFID"/>
  </r>
  <r>
    <s v="33247"/>
    <x v="0"/>
    <s v="T299 EHH"/>
    <x v="1"/>
    <x v="3"/>
    <x v="1"/>
    <s v="MT"/>
    <x v="20"/>
    <s v="08/04/2026 06:50:15 PM"/>
    <s v="08/04/2026 06:56:09 PM"/>
    <s v="35560"/>
    <s v="16420"/>
    <s v="19140"/>
    <n v="19.14"/>
    <s v="RFID"/>
  </r>
  <r>
    <s v="33248"/>
    <x v="0"/>
    <s v="T311 EHH"/>
    <x v="1"/>
    <x v="3"/>
    <x v="1"/>
    <s v="MT"/>
    <x v="20"/>
    <s v="08/04/2026 06:54:33 PM"/>
    <s v="08/04/2026 07:00:33 PM"/>
    <s v="37080"/>
    <s v="18220"/>
    <s v="18860"/>
    <n v="18.86"/>
    <s v="RFID"/>
  </r>
  <r>
    <s v="33249"/>
    <x v="0"/>
    <s v="T312 EHH"/>
    <x v="1"/>
    <x v="3"/>
    <x v="1"/>
    <s v="MT"/>
    <x v="20"/>
    <s v="08/04/2026 06:58:12 PM"/>
    <s v="08/04/2026 07:04:11 PM"/>
    <s v="34940"/>
    <s v="15980"/>
    <s v="18960"/>
    <n v="18.96"/>
    <s v="RFID"/>
  </r>
  <r>
    <s v="33250"/>
    <x v="0"/>
    <s v="T299 EHH"/>
    <x v="1"/>
    <x v="3"/>
    <x v="1"/>
    <s v="MT"/>
    <x v="20"/>
    <s v="08/04/2026 07:05:54 PM"/>
    <s v="08/04/2026 07:11:54 PM"/>
    <s v="34040"/>
    <s v="16880"/>
    <s v="17160"/>
    <n v="17.16"/>
    <s v="RFID"/>
  </r>
  <r>
    <s v="33251"/>
    <x v="0"/>
    <s v="T311 EHH"/>
    <x v="1"/>
    <x v="3"/>
    <x v="1"/>
    <s v="MT"/>
    <x v="20"/>
    <s v="08/04/2026 07:10:04 PM"/>
    <s v="08/04/2026 07:17:18 PM"/>
    <s v="37300"/>
    <s v="21460"/>
    <s v="15840"/>
    <n v="15.84"/>
    <s v="RFID"/>
  </r>
  <r>
    <s v="33252"/>
    <x v="0"/>
    <s v="T312 EHH"/>
    <x v="1"/>
    <x v="3"/>
    <x v="1"/>
    <s v="MT"/>
    <x v="20"/>
    <s v="08/04/2026 07:14:37 PM"/>
    <s v="08/04/2026 07:21:00 PM"/>
    <s v="37280"/>
    <s v="16140"/>
    <s v="21140"/>
    <n v="21.14"/>
    <s v="RFID"/>
  </r>
  <r>
    <s v="33253"/>
    <x v="0"/>
    <s v="T299 EHH"/>
    <x v="1"/>
    <x v="3"/>
    <x v="1"/>
    <s v="MT"/>
    <x v="20"/>
    <s v="08/04/2026 07:19:35 PM"/>
    <s v="08/04/2026 07:26:59 PM"/>
    <s v="36660"/>
    <s v="16980"/>
    <s v="19680"/>
    <n v="19.68"/>
    <s v="RFID"/>
  </r>
  <r>
    <s v="33254"/>
    <x v="0"/>
    <s v="T311 EHH"/>
    <x v="1"/>
    <x v="3"/>
    <x v="1"/>
    <s v="MT"/>
    <x v="20"/>
    <s v="08/04/2026 07:22:25 PM"/>
    <s v="08/04/2026 07:29:53 PM"/>
    <s v="36160"/>
    <s v="21500"/>
    <s v="14660"/>
    <n v="14.66"/>
    <s v="RFID"/>
  </r>
  <r>
    <s v="33255"/>
    <x v="0"/>
    <s v="T312 EHH"/>
    <x v="1"/>
    <x v="3"/>
    <x v="1"/>
    <s v="MT"/>
    <x v="20"/>
    <s v="08/04/2026 07:26:11 PM"/>
    <s v="08/04/2026 07:32:26 PM"/>
    <s v="36900"/>
    <s v="16260"/>
    <s v="20640"/>
    <n v="20.64"/>
    <s v="RFID"/>
  </r>
  <r>
    <s v="33256"/>
    <x v="0"/>
    <s v="T299 EHH"/>
    <x v="1"/>
    <x v="3"/>
    <x v="1"/>
    <s v="MT"/>
    <x v="20"/>
    <s v="08/04/2026 07:33:36 PM"/>
    <s v="08/04/2026 07:39:14 PM"/>
    <s v="36340"/>
    <s v="17200"/>
    <s v="19140"/>
    <n v="19.14"/>
    <s v="RFID"/>
  </r>
  <r>
    <s v="33257"/>
    <x v="0"/>
    <s v="T311 EHH"/>
    <x v="1"/>
    <x v="3"/>
    <x v="1"/>
    <s v="MT"/>
    <x v="20"/>
    <s v="08/04/2026 07:35:37 PM"/>
    <s v="08/04/2026 07:42:32 PM"/>
    <s v="38040"/>
    <s v="18320"/>
    <s v="19720"/>
    <n v="19.72"/>
    <s v="RFID"/>
  </r>
  <r>
    <s v="33258"/>
    <x v="0"/>
    <s v="T306 EHH"/>
    <x v="1"/>
    <x v="3"/>
    <x v="0"/>
    <s v="MT"/>
    <x v="20"/>
    <s v="08/04/2026 08:24:23 PM"/>
    <s v="08/04/2026 08:32:37 PM"/>
    <s v="39760"/>
    <s v="17020"/>
    <s v="22740"/>
    <n v="22.74"/>
    <s v="RFID"/>
  </r>
  <r>
    <s v="33259"/>
    <x v="0"/>
    <s v="T312 EHH"/>
    <x v="1"/>
    <x v="3"/>
    <x v="0"/>
    <s v="MT"/>
    <x v="20"/>
    <s v="08/04/2026 08:26:18 PM"/>
    <s v="08/04/2026 08:35:19 PM"/>
    <s v="41560"/>
    <s v="17100"/>
    <s v="24460"/>
    <n v="24.46"/>
    <s v="RFID"/>
  </r>
  <r>
    <s v="33260"/>
    <x v="0"/>
    <s v="T311 EHH"/>
    <x v="1"/>
    <x v="3"/>
    <x v="0"/>
    <s v="MT"/>
    <x v="20"/>
    <s v="08/04/2026 08:31:28 PM"/>
    <s v="08/04/2026 08:55:58 PM"/>
    <s v="38740"/>
    <s v="17180"/>
    <s v="21560"/>
    <n v="21.56"/>
    <s v="RFID"/>
  </r>
  <r>
    <s v="33261"/>
    <x v="0"/>
    <s v="T304 EHH"/>
    <x v="1"/>
    <x v="3"/>
    <x v="0"/>
    <s v="MT"/>
    <x v="20"/>
    <s v="08/04/2026 08:34:23 PM"/>
    <s v="08/04/2026 08:58:16 PM"/>
    <s v="41060"/>
    <s v="17940"/>
    <s v="23120"/>
    <n v="23.12"/>
    <s v="RFID"/>
  </r>
  <r>
    <s v="33262"/>
    <x v="0"/>
    <s v="T306 EHH"/>
    <x v="1"/>
    <x v="3"/>
    <x v="0"/>
    <s v="MT"/>
    <x v="20"/>
    <s v="08/04/2026 08:40:56 PM"/>
    <s v="08/04/2026 09:00:41 PM"/>
    <s v="41760"/>
    <s v="17200"/>
    <s v="24560"/>
    <n v="24.56"/>
    <s v="RFID"/>
  </r>
  <r>
    <s v="33263"/>
    <x v="0"/>
    <s v="T312 EHH"/>
    <x v="1"/>
    <x v="3"/>
    <x v="0"/>
    <s v="MT"/>
    <x v="20"/>
    <s v="08/04/2026 09:03:18 PM"/>
    <s v="08/04/2026 09:09:00 PM"/>
    <s v="41800"/>
    <s v="15760"/>
    <s v="26040"/>
    <n v="26.04"/>
    <s v="RFID"/>
  </r>
  <r>
    <s v="33264"/>
    <x v="0"/>
    <s v="T311 EHH"/>
    <x v="1"/>
    <x v="3"/>
    <x v="0"/>
    <s v="MT"/>
    <x v="20"/>
    <s v="08/04/2026 09:07:53 PM"/>
    <s v="08/04/2026 09:15:30 PM"/>
    <s v="40960"/>
    <s v="19940"/>
    <s v="21020"/>
    <n v="21.02"/>
    <s v="RFID"/>
  </r>
  <r>
    <s v="33265"/>
    <x v="0"/>
    <s v="T306 EHH"/>
    <x v="1"/>
    <x v="3"/>
    <x v="0"/>
    <s v="MT"/>
    <x v="20"/>
    <s v="08/04/2026 09:14:32 PM"/>
    <s v="08/04/2026 09:21:03 PM"/>
    <s v="40920"/>
    <s v="17280"/>
    <s v="23640"/>
    <n v="23.64"/>
    <s v="RFID"/>
  </r>
  <r>
    <s v="33266"/>
    <x v="0"/>
    <s v="T312 EHH"/>
    <x v="1"/>
    <x v="3"/>
    <x v="0"/>
    <s v="MT"/>
    <x v="20"/>
    <s v="08/04/2026 09:17:45 PM"/>
    <s v="08/04/2026 09:24:33 PM"/>
    <s v="41620"/>
    <s v="16100"/>
    <s v="25520"/>
    <n v="25.52"/>
    <s v="RFID"/>
  </r>
  <r>
    <s v="33267"/>
    <x v="0"/>
    <s v="T311 EHH"/>
    <x v="1"/>
    <x v="3"/>
    <x v="0"/>
    <s v="MT"/>
    <x v="20"/>
    <s v="08/04/2026 09:23:10 PM"/>
    <s v="08/04/2026 09:28:16 PM"/>
    <s v="40280"/>
    <s v="17260"/>
    <s v="23020"/>
    <n v="23.02"/>
    <s v="RFID"/>
  </r>
  <r>
    <s v="33268"/>
    <x v="0"/>
    <s v="T306 EHH"/>
    <x v="1"/>
    <x v="3"/>
    <x v="0"/>
    <s v="MT"/>
    <x v="20"/>
    <s v="08/04/2026 09:27:21 PM"/>
    <s v="08/04/2026 09:34:04 PM"/>
    <s v="40580"/>
    <s v="17280"/>
    <s v="23300"/>
    <n v="23.3"/>
    <s v="RFID"/>
  </r>
  <r>
    <s v="33269"/>
    <x v="0"/>
    <s v="T312 EHH"/>
    <x v="1"/>
    <x v="3"/>
    <x v="0"/>
    <s v="MT"/>
    <x v="20"/>
    <s v="08/04/2026 09:30:26 PM"/>
    <s v="08/04/2026 09:35:44 PM"/>
    <s v="40320"/>
    <s v="16240"/>
    <s v="24080"/>
    <n v="24.08"/>
    <s v="RFID"/>
  </r>
  <r>
    <s v="33270"/>
    <x v="0"/>
    <s v="T311 EHH"/>
    <x v="1"/>
    <x v="3"/>
    <x v="0"/>
    <s v="MT"/>
    <x v="20"/>
    <s v="08/04/2026 09:34:57 PM"/>
    <s v="08/04/2026 09:39:56 PM"/>
    <s v="40500"/>
    <s v="17980"/>
    <s v="22520"/>
    <n v="22.52"/>
    <s v="RFID"/>
  </r>
  <r>
    <s v="33271"/>
    <x v="0"/>
    <s v="T306 EHH"/>
    <x v="1"/>
    <x v="3"/>
    <x v="0"/>
    <s v="MT"/>
    <x v="20"/>
    <s v="08/04/2026 09:40:48 PM"/>
    <s v="08/04/2026 09:47:55 PM"/>
    <s v="40320"/>
    <s v="17340"/>
    <s v="22980"/>
    <n v="22.98"/>
    <s v="RFID"/>
  </r>
  <r>
    <s v="33272"/>
    <x v="0"/>
    <s v="T312 EHH"/>
    <x v="1"/>
    <x v="3"/>
    <x v="0"/>
    <s v="MT"/>
    <x v="20"/>
    <s v="08/04/2026 09:44:16 PM"/>
    <s v="08/04/2026 09:50:33 PM"/>
    <s v="38880"/>
    <s v="16560"/>
    <s v="22320"/>
    <n v="22.32"/>
    <s v="RFID"/>
  </r>
  <r>
    <s v="33273"/>
    <x v="0"/>
    <s v="T311 EHH"/>
    <x v="1"/>
    <x v="3"/>
    <x v="0"/>
    <s v="MT"/>
    <x v="20"/>
    <s v="08/04/2026 09:47:00 PM"/>
    <s v="08/04/2026 09:51:45 PM"/>
    <s v="38920"/>
    <s v="18080"/>
    <s v="20840"/>
    <n v="20.84"/>
    <s v="RFID"/>
  </r>
  <r>
    <s v="33274"/>
    <x v="0"/>
    <s v="T306 EHH"/>
    <x v="1"/>
    <x v="3"/>
    <x v="0"/>
    <s v="MT"/>
    <x v="20"/>
    <s v="08/04/2026 09:53:22 PM"/>
    <s v="08/04/2026 09:59:56 PM"/>
    <s v="37380"/>
    <s v="17380"/>
    <s v="20000"/>
    <n v="20"/>
    <s v="RFID"/>
  </r>
  <r>
    <s v="33275"/>
    <x v="0"/>
    <s v="T312 EHH"/>
    <x v="1"/>
    <x v="3"/>
    <x v="0"/>
    <s v="MT"/>
    <x v="20"/>
    <s v="08/04/2026 09:57:18 PM"/>
    <s v="08/04/2026 10:29:54 PM"/>
    <s v="40140"/>
    <s v="16660"/>
    <s v="23480"/>
    <n v="23.48"/>
    <s v="RFID"/>
  </r>
  <r>
    <s v="33276"/>
    <x v="0"/>
    <s v="T311 EHH"/>
    <x v="1"/>
    <x v="3"/>
    <x v="0"/>
    <s v="MT"/>
    <x v="20"/>
    <s v="08/04/2026 10:00:43 PM"/>
    <s v="08/04/2026 10:28:08 PM"/>
    <s v="39420"/>
    <s v="18440"/>
    <s v="20980"/>
    <n v="20.98"/>
    <s v="RFID"/>
  </r>
  <r>
    <s v="33277"/>
    <x v="0"/>
    <s v="T304 EHH"/>
    <x v="1"/>
    <x v="3"/>
    <x v="0"/>
    <s v="MT"/>
    <x v="20"/>
    <s v="08/04/2026 10:26:15 PM"/>
    <s v="08/04/2026 10:34:00 PM"/>
    <s v="41360"/>
    <s v="15880"/>
    <s v="25480"/>
    <n v="25.48"/>
    <s v="RFID"/>
  </r>
  <r>
    <s v="33278"/>
    <x v="0"/>
    <s v="T311 EHH"/>
    <x v="1"/>
    <x v="3"/>
    <x v="0"/>
    <s v="MT"/>
    <x v="20"/>
    <s v="08/04/2026 10:33:02 PM"/>
    <s v="08/04/2026 10:38:30 PM"/>
    <s v="39840"/>
    <s v="19000"/>
    <s v="20840"/>
    <n v="20.84"/>
    <s v="RFID"/>
  </r>
  <r>
    <s v="33279"/>
    <x v="0"/>
    <s v="T312 EHH"/>
    <x v="1"/>
    <x v="3"/>
    <x v="0"/>
    <s v="MT"/>
    <x v="20"/>
    <s v="08/04/2026 10:37:31 PM"/>
    <s v="08/04/2026 10:43:00 PM"/>
    <s v="41500"/>
    <s v="16880"/>
    <s v="24620"/>
    <n v="24.62"/>
    <s v="RFID"/>
  </r>
  <r>
    <s v="33280"/>
    <x v="0"/>
    <s v="T304 EHH"/>
    <x v="1"/>
    <x v="3"/>
    <x v="0"/>
    <s v="MT"/>
    <x v="20"/>
    <s v="08/04/2026 10:42:03 PM"/>
    <s v="08/04/2026 10:48:24 PM"/>
    <s v="41500"/>
    <s v="17380"/>
    <s v="24120"/>
    <n v="24.12"/>
    <s v="RFID"/>
  </r>
  <r>
    <s v="33281"/>
    <x v="0"/>
    <s v="T311 EHH"/>
    <x v="1"/>
    <x v="3"/>
    <x v="0"/>
    <s v="MT"/>
    <x v="20"/>
    <s v="08/04/2026 10:47:22 PM"/>
    <s v="08/04/2026 10:52:26 PM"/>
    <s v="40080"/>
    <s v="16120"/>
    <s v="23960"/>
    <n v="23.96"/>
    <s v="RFID"/>
  </r>
  <r>
    <s v="33282"/>
    <x v="0"/>
    <s v="T312 EHH"/>
    <x v="1"/>
    <x v="3"/>
    <x v="0"/>
    <s v="MT"/>
    <x v="20"/>
    <s v="08/04/2026 10:51:30 PM"/>
    <s v="08/04/2026 10:56:44 PM"/>
    <s v="39300"/>
    <s v="17060"/>
    <s v="22240"/>
    <n v="22.24"/>
    <s v="RFID"/>
  </r>
  <r>
    <s v="33283"/>
    <x v="0"/>
    <s v="T304 EHH"/>
    <x v="1"/>
    <x v="3"/>
    <x v="0"/>
    <s v="MT"/>
    <x v="20"/>
    <s v="08/04/2026 10:55:26 PM"/>
    <s v="08/04/2026 11:01:47 PM"/>
    <s v="40020"/>
    <s v="18020"/>
    <s v="22000"/>
    <n v="22"/>
    <s v="RFID"/>
  </r>
  <r>
    <s v="33284"/>
    <x v="0"/>
    <s v="T311 EHH"/>
    <x v="1"/>
    <x v="3"/>
    <x v="0"/>
    <s v="MT"/>
    <x v="20"/>
    <s v="08/04/2026 10:58:14 PM"/>
    <s v="08/04/2026 11:02:37 PM"/>
    <s v="39940"/>
    <s v="16440"/>
    <s v="23500"/>
    <n v="23.5"/>
    <s v="RFID"/>
  </r>
  <r>
    <s v="33285"/>
    <x v="0"/>
    <s v="T312 EHH"/>
    <x v="1"/>
    <x v="3"/>
    <x v="0"/>
    <s v="MT"/>
    <x v="20"/>
    <s v="08/04/2026 11:03:37 PM"/>
    <s v="08/04/2026 11:09:30 PM"/>
    <s v="40160"/>
    <s v="17100"/>
    <s v="23060"/>
    <n v="23.06"/>
    <s v="RFID"/>
  </r>
  <r>
    <s v="33286"/>
    <x v="0"/>
    <s v="T304 EHH"/>
    <x v="1"/>
    <x v="3"/>
    <x v="0"/>
    <s v="MT"/>
    <x v="20"/>
    <s v="08/04/2026 11:08:16 PM"/>
    <s v="08/04/2026 11:13:31 PM"/>
    <s v="40740"/>
    <s v="18180"/>
    <s v="22560"/>
    <n v="22.56"/>
    <s v="RFID"/>
  </r>
  <r>
    <s v="33287"/>
    <x v="0"/>
    <s v="T311 EHH"/>
    <x v="1"/>
    <x v="3"/>
    <x v="0"/>
    <s v="MT"/>
    <x v="20"/>
    <s v="08/04/2026 11:11:19 PM"/>
    <s v="08/04/2026 11:16:12 PM"/>
    <s v="41980"/>
    <s v="16540"/>
    <s v="25440"/>
    <n v="25.44"/>
    <s v="RFID"/>
  </r>
  <r>
    <s v="33288"/>
    <x v="0"/>
    <s v="T312 EHH"/>
    <x v="1"/>
    <x v="3"/>
    <x v="0"/>
    <s v="MT"/>
    <x v="20"/>
    <s v="08/04/2026 11:19:30 PM"/>
    <s v="08/04/2026 11:28:20 PM"/>
    <s v="38720"/>
    <s v="15720"/>
    <s v="23000"/>
    <n v="23"/>
    <s v="RFID"/>
  </r>
  <r>
    <s v="33289"/>
    <x v="0"/>
    <s v="T304 EHH"/>
    <x v="1"/>
    <x v="3"/>
    <x v="0"/>
    <s v="MT"/>
    <x v="20"/>
    <s v="08/04/2026 11:22:13 PM"/>
    <s v="08/04/2026 11:50:21 PM"/>
    <s v="39720"/>
    <s v="22780"/>
    <s v="16940"/>
    <n v="16.940000000000001"/>
    <s v="RFID"/>
  </r>
  <r>
    <s v="33290"/>
    <x v="0"/>
    <s v="T311 EHH"/>
    <x v="1"/>
    <x v="3"/>
    <x v="0"/>
    <s v="MT"/>
    <x v="20"/>
    <s v="08/04/2026 11:25:07 PM"/>
    <s v="09/04/2026 12:43:50 AM"/>
    <s v="40860"/>
    <s v="16960"/>
    <s v="23900"/>
    <n v="23.9"/>
    <s v="RFID"/>
  </r>
  <r>
    <s v="33291"/>
    <x v="0"/>
    <s v="T312 EHH"/>
    <x v="1"/>
    <x v="3"/>
    <x v="0"/>
    <s v="MT"/>
    <x v="20"/>
    <s v="08/04/2026 11:34:01 PM"/>
    <s v="09/04/2026 12:45:58 AM"/>
    <s v="40260"/>
    <s v="15580"/>
    <s v="24680"/>
    <n v="24.68"/>
    <s v="RFID"/>
  </r>
  <r>
    <s v="33292"/>
    <x v="0"/>
    <s v="T304 EHH"/>
    <x v="1"/>
    <x v="3"/>
    <x v="0"/>
    <s v="MT"/>
    <x v="21"/>
    <s v="09/04/2026 12:00:44 AM"/>
    <s v="09/04/2026 12:49:06 AM"/>
    <s v="42260"/>
    <s v="18100"/>
    <s v="24160"/>
    <n v="24.16"/>
    <s v="RFID"/>
  </r>
  <r>
    <s v="33293"/>
    <x v="0"/>
    <s v="T311 EHH"/>
    <x v="1"/>
    <x v="3"/>
    <x v="0"/>
    <s v="MT"/>
    <x v="21"/>
    <s v="09/04/2026 12:53:48 AM"/>
    <s v="09/04/2026 01:01:13 AM"/>
    <s v="37880"/>
    <s v="18280"/>
    <s v="19600"/>
    <n v="19.600000000000001"/>
    <s v="RFID"/>
  </r>
  <r>
    <s v="33294"/>
    <x v="0"/>
    <s v="T312 EHH"/>
    <x v="1"/>
    <x v="3"/>
    <x v="0"/>
    <s v="MT"/>
    <x v="21"/>
    <s v="09/04/2026 12:58:42 AM"/>
    <s v="09/04/2026 01:05:38 AM"/>
    <s v="41700"/>
    <s v="16000"/>
    <s v="25700"/>
    <n v="25.7"/>
    <s v="RFID"/>
  </r>
  <r>
    <s v="33295"/>
    <x v="0"/>
    <s v="T304 EHH"/>
    <x v="1"/>
    <x v="3"/>
    <x v="0"/>
    <s v="MT"/>
    <x v="21"/>
    <s v="09/04/2026 01:04:41 AM"/>
    <s v="09/04/2026 01:17:02 AM"/>
    <s v="40420"/>
    <s v="18400"/>
    <s v="22020"/>
    <n v="22.02"/>
    <s v="RFID"/>
  </r>
  <r>
    <s v="33296"/>
    <x v="0"/>
    <s v="T311 EHH"/>
    <x v="1"/>
    <x v="3"/>
    <x v="0"/>
    <s v="MT"/>
    <x v="21"/>
    <s v="09/04/2026 01:15:30 AM"/>
    <s v="09/04/2026 01:23:21 AM"/>
    <s v="42300"/>
    <s v="18400"/>
    <s v="23900"/>
    <n v="23.9"/>
    <s v="RFID"/>
  </r>
  <r>
    <s v="33297"/>
    <x v="0"/>
    <s v="T312 EHH"/>
    <x v="1"/>
    <x v="3"/>
    <x v="0"/>
    <s v="MT"/>
    <x v="21"/>
    <s v="09/04/2026 01:18:17 AM"/>
    <s v="09/04/2026 01:24:24 AM"/>
    <s v="39600"/>
    <s v="17100"/>
    <s v="22500"/>
    <n v="22.5"/>
    <s v="RFID"/>
  </r>
  <r>
    <s v="33298"/>
    <x v="0"/>
    <s v="T304 EHH"/>
    <x v="1"/>
    <x v="3"/>
    <x v="0"/>
    <s v="MT"/>
    <x v="21"/>
    <s v="09/04/2026 01:22:28 AM"/>
    <s v="09/04/2026 01:28:55 AM"/>
    <s v="40060"/>
    <s v="18840"/>
    <s v="21220"/>
    <n v="21.22"/>
    <s v="RFID"/>
  </r>
  <r>
    <s v="33299"/>
    <x v="0"/>
    <s v="T311 EHH"/>
    <x v="1"/>
    <x v="3"/>
    <x v="0"/>
    <s v="MT"/>
    <x v="21"/>
    <s v="09/04/2026 01:33:13 AM"/>
    <s v="09/04/2026 01:39:43 AM"/>
    <s v="39520"/>
    <s v="15760"/>
    <s v="23760"/>
    <n v="23.76"/>
    <s v="RFID"/>
  </r>
  <r>
    <s v="33300"/>
    <x v="0"/>
    <s v="T312 EHH"/>
    <x v="1"/>
    <x v="3"/>
    <x v="0"/>
    <s v="MT"/>
    <x v="21"/>
    <s v="09/04/2026 01:40:41 AM"/>
    <s v="09/04/2026 01:47:06 AM"/>
    <s v="40980"/>
    <s v="17300"/>
    <s v="23680"/>
    <n v="23.68"/>
    <s v="RFID"/>
  </r>
  <r>
    <s v="33301"/>
    <x v="0"/>
    <s v="T304 EHH"/>
    <x v="1"/>
    <x v="3"/>
    <x v="0"/>
    <s v="MT"/>
    <x v="21"/>
    <s v="09/04/2026 01:45:57 AM"/>
    <s v="09/04/2026 01:53:00 AM"/>
    <s v="39420"/>
    <s v="19360"/>
    <s v="20060"/>
    <n v="20.059999999999999"/>
    <s v="RFID"/>
  </r>
  <r>
    <s v="33302"/>
    <x v="0"/>
    <s v="T311 EHH"/>
    <x v="1"/>
    <x v="3"/>
    <x v="0"/>
    <s v="MT"/>
    <x v="21"/>
    <s v="09/04/2026 01:50:07 AM"/>
    <s v="09/04/2026 02:05:12 AM"/>
    <s v="39880"/>
    <s v="15800"/>
    <s v="24080"/>
    <n v="24.08"/>
    <s v="RFID"/>
  </r>
  <r>
    <s v="33303"/>
    <x v="0"/>
    <s v="T304 EHH"/>
    <x v="1"/>
    <x v="3"/>
    <x v="0"/>
    <s v="MT"/>
    <x v="21"/>
    <s v="09/04/2026 02:04:17 AM"/>
    <s v="09/04/2026 02:15:04 AM"/>
    <s v="38580"/>
    <s v="20000"/>
    <s v="18580"/>
    <n v="18.579999999999998"/>
    <s v="RFID"/>
  </r>
  <r>
    <s v="33304"/>
    <x v="0"/>
    <s v="T312 EHH"/>
    <x v="1"/>
    <x v="3"/>
    <x v="0"/>
    <s v="MT"/>
    <x v="21"/>
    <s v="09/04/2026 02:06:54 AM"/>
    <s v="09/04/2026 02:52:40 AM"/>
    <s v="40660"/>
    <s v="17960"/>
    <s v="22700"/>
    <n v="22.7"/>
    <s v="RFID"/>
  </r>
  <r>
    <s v="33305"/>
    <x v="0"/>
    <s v="T311 EHH"/>
    <x v="1"/>
    <x v="3"/>
    <x v="0"/>
    <s v="MT"/>
    <x v="21"/>
    <s v="09/04/2026 02:15:54 AM"/>
    <s v="09/04/2026 02:56:33 AM"/>
    <s v="39500"/>
    <s v="16000"/>
    <s v="23500"/>
    <n v="23.5"/>
    <s v="RFID"/>
  </r>
  <r>
    <s v="33306"/>
    <x v="0"/>
    <s v="T311 EHH"/>
    <x v="1"/>
    <x v="3"/>
    <x v="0"/>
    <s v="MT"/>
    <x v="21"/>
    <s v="09/04/2026 03:11:42 AM"/>
    <s v="09/04/2026 03:17:31 AM"/>
    <s v="39840"/>
    <s v="16100"/>
    <s v="23740"/>
    <n v="23.74"/>
    <s v="RFID"/>
  </r>
  <r>
    <s v="33307"/>
    <x v="0"/>
    <s v="T312 EHH"/>
    <x v="1"/>
    <x v="3"/>
    <x v="0"/>
    <s v="MT"/>
    <x v="21"/>
    <s v="09/04/2026 03:15:32 AM"/>
    <s v="09/04/2026 03:21:36 AM"/>
    <s v="41300"/>
    <s v="18260"/>
    <s v="23040"/>
    <n v="23.04"/>
    <s v="RFID"/>
  </r>
  <r>
    <s v="33308"/>
    <x v="0"/>
    <s v="T304 EHH"/>
    <x v="1"/>
    <x v="3"/>
    <x v="0"/>
    <s v="MT"/>
    <x v="21"/>
    <s v="09/04/2026 03:18:48 AM"/>
    <s v="09/04/2026 03:25:32 AM"/>
    <s v="39660"/>
    <s v="20460"/>
    <s v="19200"/>
    <n v="19.2"/>
    <s v="RFID"/>
  </r>
  <r>
    <s v="33309"/>
    <x v="0"/>
    <s v="T311 EHH"/>
    <x v="1"/>
    <x v="3"/>
    <x v="0"/>
    <s v="MT"/>
    <x v="21"/>
    <s v="09/04/2026 03:23:49 AM"/>
    <s v="09/04/2026 03:30:48 AM"/>
    <s v="40180"/>
    <s v="16140"/>
    <s v="24040"/>
    <n v="24.04"/>
    <s v="RFID"/>
  </r>
  <r>
    <s v="33310"/>
    <x v="0"/>
    <s v="T312 EHH"/>
    <x v="1"/>
    <x v="3"/>
    <x v="0"/>
    <s v="MT"/>
    <x v="21"/>
    <s v="09/04/2026 03:28:40 AM"/>
    <s v="09/04/2026 03:34:01 AM"/>
    <s v="41720"/>
    <s v="17780"/>
    <s v="23940"/>
    <n v="23.94"/>
    <s v="RFID"/>
  </r>
  <r>
    <s v="33311"/>
    <x v="0"/>
    <s v="T304 EHH"/>
    <x v="1"/>
    <x v="3"/>
    <x v="0"/>
    <s v="MT"/>
    <x v="21"/>
    <s v="09/04/2026 03:34:51 AM"/>
    <s v="09/04/2026 03:40:37 AM"/>
    <s v="42200"/>
    <s v="15300"/>
    <s v="26900"/>
    <n v="26.9"/>
    <s v="RFID"/>
  </r>
  <r>
    <s v="33312"/>
    <x v="0"/>
    <s v="T311 EHH"/>
    <x v="1"/>
    <x v="3"/>
    <x v="0"/>
    <s v="MT"/>
    <x v="21"/>
    <s v="09/04/2026 03:38:02 AM"/>
    <s v="09/04/2026 03:47:51 AM"/>
    <s v="41700"/>
    <s v="16260"/>
    <s v="25440"/>
    <n v="25.44"/>
    <s v="RFID"/>
  </r>
  <r>
    <s v="33313"/>
    <x v="0"/>
    <s v="T312 EHH"/>
    <x v="1"/>
    <x v="3"/>
    <x v="0"/>
    <s v="MT"/>
    <x v="21"/>
    <s v="09/04/2026 03:41:30 AM"/>
    <s v="09/04/2026 03:49:46 AM"/>
    <s v="42600"/>
    <s v="18260"/>
    <s v="24340"/>
    <n v="24.34"/>
    <s v="RFID"/>
  </r>
  <r>
    <s v="33314"/>
    <x v="0"/>
    <s v="T304 EHH"/>
    <x v="1"/>
    <x v="3"/>
    <x v="0"/>
    <s v="MT"/>
    <x v="21"/>
    <s v="09/04/2026 03:48:51 AM"/>
    <s v="09/04/2026 03:55:23 AM"/>
    <s v="39800"/>
    <s v="15560"/>
    <s v="24240"/>
    <n v="24.24"/>
    <s v="RFID"/>
  </r>
  <r>
    <s v="33315"/>
    <x v="0"/>
    <s v="T311 EHH"/>
    <x v="1"/>
    <x v="3"/>
    <x v="0"/>
    <s v="MT"/>
    <x v="21"/>
    <s v="09/04/2026 03:53:48 AM"/>
    <s v="09/04/2026 04:01:07 AM"/>
    <s v="41940"/>
    <s v="16360"/>
    <s v="25580"/>
    <n v="25.58"/>
    <s v="RFID"/>
  </r>
  <r>
    <s v="33316"/>
    <x v="0"/>
    <s v="T312 EHH"/>
    <x v="1"/>
    <x v="3"/>
    <x v="0"/>
    <s v="MT"/>
    <x v="21"/>
    <s v="09/04/2026 03:57:18 AM"/>
    <s v="09/04/2026 04:03:25 AM"/>
    <s v="42860"/>
    <s v="18500"/>
    <s v="24360"/>
    <n v="24.36"/>
    <s v="RFID"/>
  </r>
  <r>
    <s v="33317"/>
    <x v="0"/>
    <s v="T304 EHH"/>
    <x v="1"/>
    <x v="3"/>
    <x v="0"/>
    <s v="MT"/>
    <x v="21"/>
    <s v="09/04/2026 04:02:06 AM"/>
    <s v="09/04/2026 04:09:00 AM"/>
    <s v="40480"/>
    <s v="15600"/>
    <s v="24880"/>
    <n v="24.88"/>
    <s v="RFID"/>
  </r>
  <r>
    <s v="33318"/>
    <x v="0"/>
    <s v="T311 EHH"/>
    <x v="1"/>
    <x v="3"/>
    <x v="0"/>
    <s v="MT"/>
    <x v="21"/>
    <s v="09/04/2026 04:07:35 AM"/>
    <s v="09/04/2026 04:14:51 AM"/>
    <s v="38540"/>
    <s v="16460"/>
    <s v="22080"/>
    <n v="22.08"/>
    <s v="RFID"/>
  </r>
  <r>
    <s v="33319"/>
    <x v="0"/>
    <s v="T312 EHH"/>
    <x v="1"/>
    <x v="3"/>
    <x v="0"/>
    <s v="MT"/>
    <x v="21"/>
    <s v="09/04/2026 04:11:55 AM"/>
    <s v="09/04/2026 04:18:41 AM"/>
    <s v="39800"/>
    <s v="18780"/>
    <s v="21020"/>
    <n v="21.02"/>
    <s v="RFID"/>
  </r>
  <r>
    <s v="33320"/>
    <x v="0"/>
    <s v="T304 EHH"/>
    <x v="1"/>
    <x v="3"/>
    <x v="0"/>
    <s v="MT"/>
    <x v="21"/>
    <s v="09/04/2026 04:17:16 AM"/>
    <s v="09/04/2026 06:08:17 AM"/>
    <s v="38280"/>
    <s v="15900"/>
    <s v="22380"/>
    <n v="22.38"/>
    <s v="RFID"/>
  </r>
  <r>
    <s v="33321"/>
    <x v="0"/>
    <s v="T312 EHH"/>
    <x v="1"/>
    <x v="3"/>
    <x v="0"/>
    <s v="MT"/>
    <x v="21"/>
    <s v="09/04/2026 06:21:38 AM"/>
    <s v="09/04/2026 06:27:36 AM"/>
    <s v="40100"/>
    <s v="19340"/>
    <s v="20760"/>
    <n v="20.76"/>
    <s v="RFID"/>
  </r>
  <r>
    <s v="33322"/>
    <x v="0"/>
    <s v="T311 EHH"/>
    <x v="1"/>
    <x v="3"/>
    <x v="0"/>
    <s v="MT"/>
    <x v="21"/>
    <s v="09/04/2026 06:30:33 AM"/>
    <s v="09/04/2026 06:35:02 AM"/>
    <s v="41280"/>
    <s v="16740"/>
    <s v="24540"/>
    <n v="24.54"/>
    <s v="RFID"/>
  </r>
  <r>
    <s v="33323"/>
    <x v="0"/>
    <s v="T304 EHH"/>
    <x v="1"/>
    <x v="3"/>
    <x v="0"/>
    <s v="MT"/>
    <x v="21"/>
    <s v="09/04/2026 06:32:54 AM"/>
    <s v="09/04/2026 06:38:07 AM"/>
    <s v="37460"/>
    <s v="15820"/>
    <s v="21640"/>
    <n v="21.64"/>
    <s v="RFID"/>
  </r>
  <r>
    <s v="33324"/>
    <x v="0"/>
    <s v="T312 EHH"/>
    <x v="1"/>
    <x v="3"/>
    <x v="0"/>
    <s v="MT"/>
    <x v="21"/>
    <s v="09/04/2026 06:36:52 AM"/>
    <s v="09/04/2026 06:42:35 AM"/>
    <s v="40540"/>
    <s v="19520"/>
    <s v="21020"/>
    <n v="21.02"/>
    <s v="RFID"/>
  </r>
  <r>
    <s v="33325"/>
    <x v="0"/>
    <s v="T311 EHH"/>
    <x v="1"/>
    <x v="3"/>
    <x v="0"/>
    <s v="MT"/>
    <x v="21"/>
    <s v="09/04/2026 06:40:55 AM"/>
    <s v="09/04/2026 06:45:28 AM"/>
    <s v="39960"/>
    <s v="17300"/>
    <s v="22660"/>
    <n v="22.66"/>
    <s v="RFID"/>
  </r>
  <r>
    <s v="33326"/>
    <x v="0"/>
    <s v="T304 EHH"/>
    <x v="1"/>
    <x v="3"/>
    <x v="0"/>
    <s v="MT"/>
    <x v="21"/>
    <s v="09/04/2026 06:44:41 AM"/>
    <s v="09/04/2026 06:49:54 AM"/>
    <s v="36700"/>
    <s v="15760"/>
    <s v="20940"/>
    <n v="20.94"/>
    <s v="RFID"/>
  </r>
  <r>
    <s v="33327"/>
    <x v="0"/>
    <s v="T312 EHH"/>
    <x v="1"/>
    <x v="3"/>
    <x v="0"/>
    <s v="MT"/>
    <x v="21"/>
    <s v="09/04/2026 06:48:36 AM"/>
    <s v="09/04/2026 06:54:42 AM"/>
    <s v="40760"/>
    <s v="19960"/>
    <s v="20800"/>
    <n v="20.8"/>
    <s v="RFID"/>
  </r>
  <r>
    <s v="33328"/>
    <x v="0"/>
    <s v="T311 EHH"/>
    <x v="1"/>
    <x v="3"/>
    <x v="0"/>
    <s v="MT"/>
    <x v="21"/>
    <s v="09/04/2026 06:51:47 AM"/>
    <s v="09/04/2026 06:57:00 AM"/>
    <s v="38320"/>
    <s v="18760"/>
    <s v="19560"/>
    <n v="19.559999999999999"/>
    <s v="RFID"/>
  </r>
  <r>
    <s v="33329"/>
    <x v="0"/>
    <s v="T304 EHH"/>
    <x v="1"/>
    <x v="3"/>
    <x v="0"/>
    <s v="MT"/>
    <x v="21"/>
    <s v="09/04/2026 06:56:00 AM"/>
    <s v="09/04/2026 07:02:01 AM"/>
    <s v="39680"/>
    <s v="15820"/>
    <s v="23860"/>
    <n v="23.86"/>
    <s v="RFID"/>
  </r>
  <r>
    <s v="33330"/>
    <x v="0"/>
    <s v="T312 EHH"/>
    <x v="1"/>
    <x v="3"/>
    <x v="0"/>
    <s v="MT"/>
    <x v="21"/>
    <s v="09/04/2026 07:01:04 AM"/>
    <s v="09/04/2026 07:06:40 AM"/>
    <s v="39860"/>
    <s v="20280"/>
    <s v="19580"/>
    <n v="19.579999999999998"/>
    <s v="RFID"/>
  </r>
  <r>
    <s v="33331"/>
    <x v="0"/>
    <s v="T311 EHH"/>
    <x v="1"/>
    <x v="3"/>
    <x v="0"/>
    <s v="MT"/>
    <x v="21"/>
    <s v="09/04/2026 07:04:53 AM"/>
    <s v="09/04/2026 07:09:11 AM"/>
    <s v="39140"/>
    <s v="17840"/>
    <s v="21300"/>
    <n v="21.3"/>
    <s v="RFID"/>
  </r>
  <r>
    <s v="33332"/>
    <x v="0"/>
    <s v="T304 EHH"/>
    <x v="1"/>
    <x v="3"/>
    <x v="0"/>
    <s v="MT"/>
    <x v="21"/>
    <s v="09/04/2026 07:07:45 AM"/>
    <s v="09/04/2026 07:12:56 AM"/>
    <s v="39820"/>
    <s v="15860"/>
    <s v="23960"/>
    <n v="23.96"/>
    <s v="RFID"/>
  </r>
  <r>
    <s v="33333"/>
    <x v="0"/>
    <s v="T312 EHH"/>
    <x v="1"/>
    <x v="3"/>
    <x v="0"/>
    <s v="MT"/>
    <x v="21"/>
    <s v="09/04/2026 07:14:04 AM"/>
    <s v="09/04/2026 07:24:19 AM"/>
    <s v="37840"/>
    <s v="17680"/>
    <s v="20160"/>
    <n v="20.16"/>
    <s v="RFID"/>
  </r>
  <r>
    <s v="33334"/>
    <x v="0"/>
    <s v="T311 EHH"/>
    <x v="1"/>
    <x v="3"/>
    <x v="0"/>
    <s v="MT"/>
    <x v="21"/>
    <s v="09/04/2026 07:16:43 AM"/>
    <s v="09/04/2026 07:27:53 AM"/>
    <s v="39240"/>
    <s v="18340"/>
    <s v="20900"/>
    <n v="20.9"/>
    <s v="RFID"/>
  </r>
  <r>
    <s v="33335"/>
    <x v="0"/>
    <s v="T304 EHH"/>
    <x v="1"/>
    <x v="3"/>
    <x v="0"/>
    <s v="MT"/>
    <x v="21"/>
    <s v="09/04/2026 07:20:56 AM"/>
    <s v="09/04/2026 07:27:00 AM"/>
    <s v="39200"/>
    <s v="15900"/>
    <s v="23300"/>
    <n v="23.3"/>
    <s v="RFID"/>
  </r>
  <r>
    <s v="33336"/>
    <x v="0"/>
    <s v="T312 EHH"/>
    <x v="1"/>
    <x v="3"/>
    <x v="0"/>
    <s v="MT"/>
    <x v="21"/>
    <s v="09/04/2026 08:38:44 AM"/>
    <s v="09/04/2026 08:47:08 AM"/>
    <s v="36720"/>
    <s v="15620"/>
    <s v="21100"/>
    <n v="21.1"/>
    <s v="RFID"/>
  </r>
  <r>
    <s v="33337"/>
    <x v="0"/>
    <s v="T304 EHH"/>
    <x v="1"/>
    <x v="3"/>
    <x v="0"/>
    <s v="MT"/>
    <x v="21"/>
    <s v="09/04/2026 08:42:25 AM"/>
    <s v="09/04/2026 08:50:24 AM"/>
    <s v="36120"/>
    <s v="15860"/>
    <s v="20260"/>
    <n v="20.260000000000002"/>
    <s v="RFID"/>
  </r>
  <r>
    <s v="33338"/>
    <x v="0"/>
    <s v="T311 EHH"/>
    <x v="1"/>
    <x v="3"/>
    <x v="0"/>
    <s v="MT"/>
    <x v="21"/>
    <s v="09/04/2026 08:46:09 AM"/>
    <s v="09/04/2026 08:53:15 AM"/>
    <s v="36400"/>
    <s v="18560"/>
    <s v="17840"/>
    <n v="17.84"/>
    <s v="RFID"/>
  </r>
  <r>
    <s v="33339"/>
    <x v="0"/>
    <s v="T312 EHH"/>
    <x v="1"/>
    <x v="3"/>
    <x v="0"/>
    <s v="MT"/>
    <x v="21"/>
    <s v="09/04/2026 08:54:07 AM"/>
    <s v="09/04/2026 08:59:45 AM"/>
    <s v="35480"/>
    <s v="16020"/>
    <s v="19460"/>
    <n v="19.46"/>
    <s v="RFID"/>
  </r>
  <r>
    <s v="33340"/>
    <x v="0"/>
    <s v="T304 EHH"/>
    <x v="1"/>
    <x v="3"/>
    <x v="0"/>
    <s v="MT"/>
    <x v="21"/>
    <s v="09/04/2026 08:57:27 AM"/>
    <s v="09/04/2026 09:14:37 AM"/>
    <s v="35260"/>
    <s v="15880"/>
    <s v="19380"/>
    <n v="19.38"/>
    <s v="RFID"/>
  </r>
  <r>
    <s v="33341"/>
    <x v="0"/>
    <s v="T311 EHH"/>
    <x v="1"/>
    <x v="3"/>
    <x v="0"/>
    <s v="MT"/>
    <x v="21"/>
    <s v="09/04/2026 09:05:14 AM"/>
    <s v="09/04/2026 09:15:52 AM"/>
    <s v="35300"/>
    <s v="15520"/>
    <s v="19780"/>
    <n v="19.78"/>
    <s v="RFID"/>
  </r>
  <r>
    <s v="33342"/>
    <x v="0"/>
    <s v="T312 EHH"/>
    <x v="1"/>
    <x v="3"/>
    <x v="0"/>
    <s v="MT"/>
    <x v="21"/>
    <s v="09/04/2026 09:19:04 AM"/>
    <s v="09/04/2026 09:24:32 AM"/>
    <s v="35220"/>
    <s v="15640"/>
    <s v="19580"/>
    <n v="19.579999999999998"/>
    <s v="RFID"/>
  </r>
  <r>
    <s v="33343"/>
    <x v="0"/>
    <s v="T304 EHH"/>
    <x v="1"/>
    <x v="3"/>
    <x v="0"/>
    <s v="MT"/>
    <x v="21"/>
    <s v="09/04/2026 09:23:07 AM"/>
    <s v="09/04/2026 09:29:22 AM"/>
    <s v="34720"/>
    <s v="15900"/>
    <s v="18820"/>
    <n v="18.82"/>
    <s v="RFID"/>
  </r>
  <r>
    <s v="33344"/>
    <x v="0"/>
    <s v="T311 EHH"/>
    <x v="1"/>
    <x v="3"/>
    <x v="0"/>
    <s v="MT"/>
    <x v="21"/>
    <s v="09/04/2026 09:27:22 AM"/>
    <s v="09/04/2026 09:32:31 AM"/>
    <s v="34660"/>
    <s v="15600"/>
    <s v="19060"/>
    <n v="19.059999999999999"/>
    <s v="RFID"/>
  </r>
  <r>
    <s v="33345"/>
    <x v="0"/>
    <s v="T312 EHH"/>
    <x v="1"/>
    <x v="3"/>
    <x v="0"/>
    <s v="MT"/>
    <x v="21"/>
    <s v="09/04/2026 09:31:35 AM"/>
    <s v="09/04/2026 09:38:14 AM"/>
    <s v="34440"/>
    <s v="15660"/>
    <s v="18780"/>
    <n v="18.78"/>
    <s v="RFID"/>
  </r>
  <r>
    <s v="33346"/>
    <x v="0"/>
    <s v="T304 EHH"/>
    <x v="1"/>
    <x v="3"/>
    <x v="0"/>
    <s v="MT"/>
    <x v="21"/>
    <s v="09/04/2026 09:35:24 AM"/>
    <s v="09/04/2026 09:41:33 AM"/>
    <s v="33600"/>
    <s v="15900"/>
    <s v="17700"/>
    <n v="17.7"/>
    <s v="RFID"/>
  </r>
  <r>
    <s v="33347"/>
    <x v="0"/>
    <s v="T311 EHH"/>
    <x v="1"/>
    <x v="3"/>
    <x v="0"/>
    <s v="MT"/>
    <x v="21"/>
    <s v="09/04/2026 09:39:11 AM"/>
    <s v="09/04/2026 09:43:59 AM"/>
    <s v="34760"/>
    <s v="15600"/>
    <s v="19160"/>
    <n v="19.16"/>
    <s v="RFID"/>
  </r>
  <r>
    <s v="33348"/>
    <x v="0"/>
    <s v="T312 EHH"/>
    <x v="1"/>
    <x v="3"/>
    <x v="0"/>
    <s v="MT"/>
    <x v="21"/>
    <s v="09/04/2026 09:44:49 AM"/>
    <s v="09/04/2026 09:49:50 AM"/>
    <s v="34600"/>
    <s v="15720"/>
    <s v="18880"/>
    <n v="18.88"/>
    <s v="RFID"/>
  </r>
  <r>
    <s v="33349"/>
    <x v="0"/>
    <s v="T304 EHH"/>
    <x v="1"/>
    <x v="3"/>
    <x v="0"/>
    <s v="MT"/>
    <x v="21"/>
    <s v="09/04/2026 09:48:43 AM"/>
    <s v="09/04/2026 09:54:56 AM"/>
    <s v="33900"/>
    <s v="15920"/>
    <s v="17980"/>
    <n v="17.98"/>
    <s v="RFID"/>
  </r>
  <r>
    <s v="33350"/>
    <x v="0"/>
    <s v="T311 EHH"/>
    <x v="1"/>
    <x v="3"/>
    <x v="0"/>
    <s v="MT"/>
    <x v="21"/>
    <s v="09/04/2026 09:52:31 AM"/>
    <s v="09/04/2026 09:58:19 AM"/>
    <s v="33660"/>
    <s v="15740"/>
    <s v="17920"/>
    <n v="17.920000000000002"/>
    <s v="RFID"/>
  </r>
  <r>
    <s v="33351"/>
    <x v="0"/>
    <s v="T312 EHH"/>
    <x v="1"/>
    <x v="3"/>
    <x v="0"/>
    <s v="MT"/>
    <x v="21"/>
    <s v="09/04/2026 09:55:56 AM"/>
    <s v="09/04/2026 10:41:25 AM"/>
    <s v="32020"/>
    <s v="15800"/>
    <s v="16220"/>
    <n v="16.22"/>
    <s v="RFID"/>
  </r>
  <r>
    <s v="33352"/>
    <x v="0"/>
    <s v="T304 EHH"/>
    <x v="1"/>
    <x v="3"/>
    <x v="0"/>
    <s v="MT"/>
    <x v="21"/>
    <s v="09/04/2026 10:01:40 AM"/>
    <s v="09/04/2026 10:44:23 AM"/>
    <s v="37520"/>
    <s v="15920"/>
    <s v="21600"/>
    <n v="21.6"/>
    <s v="RFID"/>
  </r>
  <r>
    <s v="33353"/>
    <x v="0"/>
    <s v="T311 EHH"/>
    <x v="1"/>
    <x v="3"/>
    <x v="0"/>
    <s v="MT"/>
    <x v="21"/>
    <s v="09/04/2026 10:48:12 AM"/>
    <s v="09/04/2026 10:53:48 AM"/>
    <s v="34840"/>
    <s v="15680"/>
    <s v="19160"/>
    <n v="19.16"/>
    <s v="RFID"/>
  </r>
  <r>
    <s v="33354"/>
    <x v="0"/>
    <s v="T312 EHH"/>
    <x v="1"/>
    <x v="3"/>
    <x v="0"/>
    <s v="MT"/>
    <x v="21"/>
    <s v="09/04/2026 10:52:43 AM"/>
    <s v="09/04/2026 10:59:15 AM"/>
    <s v="36580"/>
    <s v="15820"/>
    <s v="20760"/>
    <n v="20.76"/>
    <s v="RFID"/>
  </r>
  <r>
    <s v="33355"/>
    <x v="0"/>
    <s v="T304 EHH"/>
    <x v="1"/>
    <x v="3"/>
    <x v="0"/>
    <s v="MT"/>
    <x v="21"/>
    <s v="09/04/2026 10:57:01 AM"/>
    <s v="09/04/2026 11:03:00 AM"/>
    <s v="36180"/>
    <s v="15920"/>
    <s v="20260"/>
    <n v="20.260000000000002"/>
    <s v="RFID"/>
  </r>
  <r>
    <s v="33356"/>
    <x v="0"/>
    <s v="T312 EHH"/>
    <x v="1"/>
    <x v="3"/>
    <x v="0"/>
    <s v="MT"/>
    <x v="21"/>
    <s v="09/04/2026 11:05:08 AM"/>
    <s v="09/04/2026 11:10:24 AM"/>
    <s v="36060"/>
    <s v="15800"/>
    <s v="20260"/>
    <n v="20.260000000000002"/>
    <s v="RFID"/>
  </r>
  <r>
    <s v="33357"/>
    <x v="0"/>
    <s v="T304 EHH"/>
    <x v="1"/>
    <x v="3"/>
    <x v="0"/>
    <s v="MT"/>
    <x v="21"/>
    <s v="09/04/2026 11:09:34 AM"/>
    <s v="09/04/2026 11:30:43 AM"/>
    <s v="37020"/>
    <s v="16020"/>
    <s v="21000"/>
    <n v="21"/>
    <s v="RFID"/>
  </r>
  <r>
    <s v="33358"/>
    <x v="0"/>
    <s v="T312 EHH"/>
    <x v="1"/>
    <x v="3"/>
    <x v="0"/>
    <s v="MT"/>
    <x v="21"/>
    <s v="09/04/2026 11:16:43 AM"/>
    <s v="09/04/2026 11:31:37 AM"/>
    <s v="35280"/>
    <s v="15820"/>
    <s v="19460"/>
    <n v="19.46"/>
    <s v="RFID"/>
  </r>
  <r>
    <s v="33359"/>
    <x v="0"/>
    <s v="T295 EHH"/>
    <x v="1"/>
    <x v="3"/>
    <x v="0"/>
    <s v="MT"/>
    <x v="21"/>
    <s v="09/04/2026 11:20:58 AM"/>
    <s v="09/04/2026 11:34:24 AM"/>
    <s v="33540"/>
    <s v="14820"/>
    <s v="18720"/>
    <n v="18.72"/>
    <s v="RFID"/>
  </r>
  <r>
    <s v="33360"/>
    <x v="0"/>
    <s v="T304 EHH"/>
    <x v="1"/>
    <x v="3"/>
    <x v="0"/>
    <s v="MT"/>
    <x v="21"/>
    <s v="09/04/2026 11:37:20 AM"/>
    <s v="09/04/2026 11:43:30 AM"/>
    <s v="34620"/>
    <s v="16000"/>
    <s v="18620"/>
    <n v="18.62"/>
    <s v="RFID"/>
  </r>
  <r>
    <s v="33361"/>
    <x v="0"/>
    <s v="T312 EHH"/>
    <x v="1"/>
    <x v="3"/>
    <x v="0"/>
    <s v="MT"/>
    <x v="21"/>
    <s v="09/04/2026 11:41:20 AM"/>
    <s v="09/04/2026 11:46:42 AM"/>
    <s v="35200"/>
    <s v="15820"/>
    <s v="19380"/>
    <n v="19.38"/>
    <s v="RFID"/>
  </r>
  <r>
    <s v="33362"/>
    <x v="0"/>
    <s v="T295 EHH"/>
    <x v="1"/>
    <x v="3"/>
    <x v="0"/>
    <s v="MT"/>
    <x v="21"/>
    <s v="09/04/2026 11:44:46 AM"/>
    <s v="09/04/2026 11:49:33 AM"/>
    <s v="33860"/>
    <s v="14980"/>
    <s v="18880"/>
    <n v="18.88"/>
    <s v="RFID"/>
  </r>
  <r>
    <s v="33363"/>
    <x v="0"/>
    <s v="T304 EHH"/>
    <x v="1"/>
    <x v="3"/>
    <x v="0"/>
    <s v="MT"/>
    <x v="21"/>
    <s v="09/04/2026 11:50:38 AM"/>
    <s v="09/04/2026 12:10:11 PM"/>
    <s v="33820"/>
    <s v="15980"/>
    <s v="17840"/>
    <n v="17.84"/>
    <s v="RFID"/>
  </r>
  <r>
    <s v="33364"/>
    <x v="0"/>
    <s v="T312 EHH"/>
    <x v="1"/>
    <x v="3"/>
    <x v="0"/>
    <s v="MT"/>
    <x v="21"/>
    <s v="09/04/2026 11:53:46 AM"/>
    <s v="09/04/2026 12:11:36 PM"/>
    <s v="33140"/>
    <s v="15740"/>
    <s v="17400"/>
    <n v="17.399999999999999"/>
    <s v="RFID"/>
  </r>
  <r>
    <s v="33365"/>
    <x v="0"/>
    <s v="T295 EHH"/>
    <x v="1"/>
    <x v="3"/>
    <x v="0"/>
    <s v="MT"/>
    <x v="21"/>
    <s v="09/04/2026 12:04:00 PM"/>
    <s v="09/04/2026 12:12:27 PM"/>
    <s v="32980"/>
    <s v="15100"/>
    <s v="17880"/>
    <n v="17.88"/>
    <s v="RFID"/>
  </r>
  <r>
    <s v="33366"/>
    <x v="0"/>
    <s v="T304 EHH"/>
    <x v="1"/>
    <x v="3"/>
    <x v="0"/>
    <s v="MT"/>
    <x v="21"/>
    <s v="09/04/2026 06:10:28 PM"/>
    <s v="09/04/2026 06:15:48 PM"/>
    <s v="32700"/>
    <s v="16620"/>
    <s v="16080"/>
    <n v="16.079999999999998"/>
    <s v="RFID"/>
  </r>
  <r>
    <s v="33367"/>
    <x v="0"/>
    <s v="T312 EHH"/>
    <x v="1"/>
    <x v="3"/>
    <x v="0"/>
    <s v="MT"/>
    <x v="21"/>
    <s v="09/04/2026 06:13:44 PM"/>
    <s v="09/04/2026 06:18:09 PM"/>
    <s v="34060"/>
    <s v="18360"/>
    <s v="15700"/>
    <n v="15.7"/>
    <s v="RFID"/>
  </r>
  <r>
    <s v="33368"/>
    <x v="0"/>
    <s v="T304 EHH"/>
    <x v="1"/>
    <x v="3"/>
    <x v="0"/>
    <s v="MT"/>
    <x v="21"/>
    <s v="09/04/2026 06:21:48 PM"/>
    <s v="09/04/2026 06:27:46 PM"/>
    <s v="34380"/>
    <s v="16680"/>
    <s v="17700"/>
    <n v="17.7"/>
    <s v="RFID"/>
  </r>
  <r>
    <s v="33369"/>
    <x v="0"/>
    <s v="T312 EHH"/>
    <x v="1"/>
    <x v="3"/>
    <x v="0"/>
    <s v="MT"/>
    <x v="21"/>
    <s v="09/04/2026 06:26:50 PM"/>
    <s v="09/04/2026 06:32:10 PM"/>
    <s v="35740"/>
    <s v="18860"/>
    <s v="16880"/>
    <n v="16.88"/>
    <s v="RFID"/>
  </r>
  <r>
    <s v="33370"/>
    <x v="0"/>
    <s v="T304 EHH"/>
    <x v="1"/>
    <x v="3"/>
    <x v="0"/>
    <s v="MT"/>
    <x v="21"/>
    <s v="09/04/2026 06:33:35 PM"/>
    <s v="09/04/2026 06:40:10 PM"/>
    <s v="34200"/>
    <s v="16680"/>
    <s v="17520"/>
    <n v="17.52"/>
    <s v="RFID"/>
  </r>
  <r>
    <s v="33371"/>
    <x v="0"/>
    <s v="T312 EHH"/>
    <x v="1"/>
    <x v="3"/>
    <x v="0"/>
    <s v="MT"/>
    <x v="21"/>
    <s v="09/04/2026 06:38:57 PM"/>
    <s v="09/04/2026 06:48:23 PM"/>
    <s v="36220"/>
    <s v="16100"/>
    <s v="20120"/>
    <n v="20.12"/>
    <s v="RFID"/>
  </r>
  <r>
    <s v="33372"/>
    <x v="0"/>
    <s v="T304 EHH"/>
    <x v="1"/>
    <x v="3"/>
    <x v="0"/>
    <s v="MT"/>
    <x v="21"/>
    <s v="09/04/2026 06:45:49 PM"/>
    <s v="09/04/2026 06:51:34 PM"/>
    <s v="34420"/>
    <s v="16760"/>
    <s v="17660"/>
    <n v="17.66"/>
    <s v="RFID"/>
  </r>
  <r>
    <s v="33373"/>
    <x v="0"/>
    <s v="T312 EHH"/>
    <x v="1"/>
    <x v="3"/>
    <x v="0"/>
    <s v="MT"/>
    <x v="21"/>
    <s v="09/04/2026 06:55:00 PM"/>
    <s v="09/04/2026 06:59:46 PM"/>
    <s v="33780"/>
    <s v="15540"/>
    <s v="18240"/>
    <n v="18.239999999999998"/>
    <s v="RFID"/>
  </r>
  <r>
    <s v="33374"/>
    <x v="0"/>
    <s v="T304 EHH"/>
    <x v="1"/>
    <x v="3"/>
    <x v="0"/>
    <s v="MT"/>
    <x v="21"/>
    <s v="09/04/2026 06:58:43 PM"/>
    <s v="09/04/2026 07:04:16 PM"/>
    <s v="33840"/>
    <s v="16960"/>
    <s v="16880"/>
    <n v="16.88"/>
    <s v="RFID"/>
  </r>
  <r>
    <s v="33375"/>
    <x v="0"/>
    <s v="T312 EHH"/>
    <x v="1"/>
    <x v="3"/>
    <x v="0"/>
    <s v="MT"/>
    <x v="21"/>
    <s v="09/04/2026 07:05:57 PM"/>
    <s v="09/04/2026 07:12:12 PM"/>
    <s v="35160"/>
    <s v="15540"/>
    <s v="19620"/>
    <n v="19.62"/>
    <s v="RFID"/>
  </r>
  <r>
    <s v="33376"/>
    <x v="0"/>
    <s v="T304 EHH"/>
    <x v="1"/>
    <x v="3"/>
    <x v="0"/>
    <s v="MT"/>
    <x v="21"/>
    <s v="09/04/2026 07:14:43 PM"/>
    <s v="09/04/2026 07:21:12 PM"/>
    <s v="35140"/>
    <s v="15540"/>
    <s v="19600"/>
    <n v="19.600000000000001"/>
    <s v="RFID"/>
  </r>
  <r>
    <s v="33377"/>
    <x v="0"/>
    <s v="T312 EHH"/>
    <x v="0"/>
    <x v="2"/>
    <x v="0"/>
    <s v="MT"/>
    <x v="21"/>
    <s v="09/04/2026 09:51:29 PM"/>
    <s v="09/04/2026 10:28:21 PM"/>
    <s v="35160"/>
    <s v="15860"/>
    <s v="19300"/>
    <n v="19.3"/>
    <s v="RFID"/>
  </r>
  <r>
    <s v="33378"/>
    <x v="0"/>
    <s v="T304 EHH"/>
    <x v="0"/>
    <x v="2"/>
    <x v="0"/>
    <s v="MT"/>
    <x v="21"/>
    <s v="09/04/2026 09:56:12 PM"/>
    <s v="09/04/2026 10:30:32 PM"/>
    <s v="39880"/>
    <s v="15740"/>
    <s v="24140"/>
    <n v="24.14"/>
    <s v="RFID"/>
  </r>
  <r>
    <s v="33379"/>
    <x v="0"/>
    <s v="T311 EHH"/>
    <x v="0"/>
    <x v="2"/>
    <x v="0"/>
    <s v="MT"/>
    <x v="21"/>
    <s v="09/04/2026 10:01:17 PM"/>
    <s v="09/04/2026 10:34:50 PM"/>
    <s v="38560"/>
    <s v="15760"/>
    <s v="22800"/>
    <n v="22.8"/>
    <s v="RFID"/>
  </r>
  <r>
    <s v="33380"/>
    <x v="0"/>
    <s v="T312 EHH"/>
    <x v="0"/>
    <x v="2"/>
    <x v="0"/>
    <s v="MT"/>
    <x v="21"/>
    <s v="09/04/2026 10:39:13 PM"/>
    <s v="09/04/2026 10:45:47 PM"/>
    <s v="36960"/>
    <s v="15960"/>
    <s v="21000"/>
    <n v="21"/>
    <s v="RFID"/>
  </r>
  <r>
    <s v="33381"/>
    <x v="0"/>
    <s v="T304 EHH"/>
    <x v="0"/>
    <x v="2"/>
    <x v="0"/>
    <s v="MT"/>
    <x v="21"/>
    <s v="09/04/2026 10:44:29 PM"/>
    <s v="09/04/2026 10:51:24 PM"/>
    <s v="35660"/>
    <s v="15840"/>
    <s v="19820"/>
    <n v="19.82"/>
    <s v="RFID"/>
  </r>
  <r>
    <s v="33382"/>
    <x v="0"/>
    <s v="T311 EHH"/>
    <x v="0"/>
    <x v="2"/>
    <x v="0"/>
    <s v="MT"/>
    <x v="21"/>
    <s v="09/04/2026 10:50:10 PM"/>
    <s v="09/04/2026 10:55:39 PM"/>
    <s v="36660"/>
    <s v="15820"/>
    <s v="20840"/>
    <n v="20.84"/>
    <s v="RFID"/>
  </r>
  <r>
    <s v="33383"/>
    <x v="0"/>
    <s v="T312 EHH"/>
    <x v="0"/>
    <x v="2"/>
    <x v="0"/>
    <s v="MT"/>
    <x v="21"/>
    <s v="09/04/2026 10:56:45 PM"/>
    <s v="10/04/2026 12:11:00 AM"/>
    <s v="36040"/>
    <s v="16500"/>
    <s v="19540"/>
    <n v="19.54"/>
    <s v="RFID"/>
  </r>
  <r>
    <s v="33384"/>
    <x v="0"/>
    <s v="T304 EHH"/>
    <x v="0"/>
    <x v="2"/>
    <x v="0"/>
    <s v="MT"/>
    <x v="21"/>
    <s v="09/04/2026 11:01:37 PM"/>
    <s v="10/04/2026 12:15:36 AM"/>
    <s v="40600"/>
    <s v="16240"/>
    <s v="24360"/>
    <n v="24.36"/>
    <s v="RFID"/>
  </r>
  <r>
    <s v="33385"/>
    <x v="0"/>
    <s v="T311 EHH"/>
    <x v="0"/>
    <x v="2"/>
    <x v="0"/>
    <s v="MT"/>
    <x v="21"/>
    <s v="09/04/2026 11:07:39 PM"/>
    <s v="10/04/2026 12:17:52 AM"/>
    <s v="36960"/>
    <s v="16140"/>
    <s v="20820"/>
    <n v="20.82"/>
    <s v="RFID"/>
  </r>
  <r>
    <s v="MN09042601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02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03"/>
    <x v="0"/>
    <s v="T295 EHH"/>
    <x v="1"/>
    <x v="3"/>
    <x v="0"/>
    <s v="MT"/>
    <x v="21"/>
    <s v="09/04/2026 11:07:39 PM"/>
    <s v="09/04/2026 11:07:39 PM"/>
    <s v="36140"/>
    <s v="16140"/>
    <s v="20000"/>
    <n v="20"/>
    <s v=""/>
  </r>
  <r>
    <s v="MN09042604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05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06"/>
    <x v="0"/>
    <s v="T295 EHH"/>
    <x v="1"/>
    <x v="3"/>
    <x v="0"/>
    <s v="MT"/>
    <x v="21"/>
    <s v="09/04/2026 11:07:39 PM"/>
    <s v="09/04/2026 11:07:39 PM"/>
    <s v="36140"/>
    <s v="16140"/>
    <s v="20000"/>
    <n v="20"/>
    <s v=""/>
  </r>
  <r>
    <s v="MN09042607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08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09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10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11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12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13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14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15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16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17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18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19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20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21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22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23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24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25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26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27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28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29"/>
    <x v="0"/>
    <s v="T295 EHH"/>
    <x v="1"/>
    <x v="3"/>
    <x v="0"/>
    <s v="MT"/>
    <x v="21"/>
    <s v="09/04/2026 11:07:39 PM"/>
    <s v="09/04/2026 11:07:39 PM"/>
    <s v="36140"/>
    <s v="16140"/>
    <s v="20000"/>
    <n v="20"/>
    <s v=""/>
  </r>
  <r>
    <s v="MN09042630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31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32"/>
    <x v="0"/>
    <s v="T295 EHH"/>
    <x v="1"/>
    <x v="3"/>
    <x v="0"/>
    <s v="MT"/>
    <x v="21"/>
    <s v="09/04/2026 11:07:39 PM"/>
    <s v="09/04/2026 11:07:39 PM"/>
    <s v="36140"/>
    <s v="16140"/>
    <s v="20000"/>
    <n v="20"/>
    <s v=""/>
  </r>
  <r>
    <s v="MN09042633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34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35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36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37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38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39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40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41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42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43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44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45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46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47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48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49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50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51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52"/>
    <x v="0"/>
    <s v="T311 EHH"/>
    <x v="1"/>
    <x v="3"/>
    <x v="0"/>
    <s v="MT"/>
    <x v="21"/>
    <s v="09/04/2026 11:07:39 PM"/>
    <s v="09/04/2026 11:07:39 PM"/>
    <s v="36140"/>
    <s v="16140"/>
    <s v="20000"/>
    <n v="20"/>
    <s v=""/>
  </r>
  <r>
    <s v="MN09042653"/>
    <x v="0"/>
    <s v="T304 EHH"/>
    <x v="1"/>
    <x v="3"/>
    <x v="0"/>
    <s v="MT"/>
    <x v="21"/>
    <s v="09/04/2026 11:07:39 PM"/>
    <s v="09/04/2026 11:07:39 PM"/>
    <s v="36140"/>
    <s v="16140"/>
    <s v="20000"/>
    <n v="20"/>
    <s v=""/>
  </r>
  <r>
    <s v="MN09042654"/>
    <x v="0"/>
    <s v="T312 EHH"/>
    <x v="1"/>
    <x v="3"/>
    <x v="0"/>
    <s v="MT"/>
    <x v="21"/>
    <s v="09/04/2026 11:07:39 PM"/>
    <s v="09/04/2026 11:07:39 PM"/>
    <s v="36140"/>
    <s v="16140"/>
    <s v="20000"/>
    <n v="20"/>
    <s v=""/>
  </r>
  <r>
    <s v="MN09042655"/>
    <x v="0"/>
    <s v="T295 EHH"/>
    <x v="1"/>
    <x v="1"/>
    <x v="0"/>
    <s v="MT"/>
    <x v="21"/>
    <s v="09/04/2026 11:07:39 PM"/>
    <s v="09/04/2026 11:07:39 PM"/>
    <s v="36140"/>
    <s v="16140"/>
    <s v="20000"/>
    <n v="20"/>
    <s v=""/>
  </r>
  <r>
    <s v="MN09042656"/>
    <x v="0"/>
    <s v="T304 EHH"/>
    <x v="1"/>
    <x v="1"/>
    <x v="0"/>
    <s v="MT"/>
    <x v="21"/>
    <s v="09/04/2026 11:07:39 PM"/>
    <s v="09/04/2026 11:07:39 PM"/>
    <s v="36140"/>
    <s v="16140"/>
    <s v="20000"/>
    <n v="20"/>
    <s v=""/>
  </r>
  <r>
    <s v="MN09042657"/>
    <x v="0"/>
    <s v="T312 EHH"/>
    <x v="1"/>
    <x v="1"/>
    <x v="0"/>
    <s v="MT"/>
    <x v="21"/>
    <s v="09/04/2026 11:07:39 PM"/>
    <s v="09/04/2026 11:07:39 PM"/>
    <s v="36140"/>
    <s v="16140"/>
    <s v="20000"/>
    <n v="20"/>
    <s v=""/>
  </r>
  <r>
    <s v="MN09042658"/>
    <x v="0"/>
    <s v="T295 EHH"/>
    <x v="1"/>
    <x v="1"/>
    <x v="0"/>
    <s v="MT"/>
    <x v="21"/>
    <s v="09/04/2026 11:07:39 PM"/>
    <s v="09/04/2026 11:07:39 PM"/>
    <s v="36140"/>
    <s v="16140"/>
    <s v="20000"/>
    <n v="20"/>
    <s v=""/>
  </r>
  <r>
    <s v="MN09042659"/>
    <x v="0"/>
    <s v="T304 EHH"/>
    <x v="1"/>
    <x v="1"/>
    <x v="0"/>
    <s v="MT"/>
    <x v="21"/>
    <s v="09/04/2026 11:07:39 PM"/>
    <s v="09/04/2026 11:07:39 PM"/>
    <s v="36140"/>
    <s v="16140"/>
    <s v="20000"/>
    <n v="20"/>
    <s v=""/>
  </r>
  <r>
    <s v="MN09042660"/>
    <x v="0"/>
    <s v="T312 EHH"/>
    <x v="1"/>
    <x v="1"/>
    <x v="0"/>
    <s v="MT"/>
    <x v="21"/>
    <s v="09/04/2026 11:07:39 PM"/>
    <s v="09/04/2026 11:07:39 PM"/>
    <s v="36140"/>
    <s v="16140"/>
    <s v="20000"/>
    <n v="20"/>
    <s v=""/>
  </r>
  <r>
    <s v="MNWS290326"/>
    <x v="0"/>
    <s v="Remieli"/>
    <x v="0"/>
    <x v="8"/>
    <x v="4"/>
    <s v="MT"/>
    <x v="22"/>
    <s v="29/3/2026  6:00:00 AM"/>
    <s v="29/3/2026  6:00:00 PM"/>
    <s v="2340000"/>
    <s v="1000000"/>
    <s v="1340000"/>
    <n v="1340"/>
    <s v=""/>
  </r>
  <r>
    <s v="MNWS010426"/>
    <x v="0"/>
    <s v="Remieli"/>
    <x v="0"/>
    <x v="8"/>
    <x v="4"/>
    <s v="MT"/>
    <x v="0"/>
    <s v="1/4/2026 6:00"/>
    <s v="1/4/2026 18:00"/>
    <s v="2500000"/>
    <s v="1000000"/>
    <s v="1500000"/>
    <n v="1500"/>
    <s v=""/>
  </r>
  <r>
    <s v="MNWS020426"/>
    <x v="0"/>
    <s v="Remieli"/>
    <x v="0"/>
    <x v="8"/>
    <x v="4"/>
    <s v="MT"/>
    <x v="11"/>
    <s v="2/4/2026 6:00"/>
    <s v="2/4/2026 18:00"/>
    <s v="3300000"/>
    <s v="1000000"/>
    <s v="2300000"/>
    <n v="2300"/>
    <s v=""/>
  </r>
  <r>
    <s v="MNWS030426"/>
    <x v="0"/>
    <s v="Remieli"/>
    <x v="0"/>
    <x v="8"/>
    <x v="4"/>
    <s v="MT"/>
    <x v="14"/>
    <s v="3/4/2026 6:00"/>
    <s v="3/4/2026 18:00"/>
    <s v="3140000"/>
    <s v="1000000"/>
    <s v="2140000"/>
    <n v="2140"/>
    <s v=""/>
  </r>
  <r>
    <s v="MNWS040426"/>
    <x v="0"/>
    <s v="Remieli"/>
    <x v="0"/>
    <x v="8"/>
    <x v="4"/>
    <s v="MT"/>
    <x v="16"/>
    <s v="4/4/2026 6:00"/>
    <s v="4/4/2026 18:00"/>
    <s v="2140000"/>
    <s v="1000000"/>
    <s v="1140000"/>
    <n v="1140"/>
    <s v=""/>
  </r>
  <r>
    <s v="MNWS060426"/>
    <x v="0"/>
    <s v="Remieli"/>
    <x v="0"/>
    <x v="8"/>
    <x v="4"/>
    <s v="MT"/>
    <x v="18"/>
    <s v="6/4/2026 6:00"/>
    <s v="6/4/2026 18:00"/>
    <s v="3220000"/>
    <s v="1000000"/>
    <s v="2220000"/>
    <n v="2220"/>
    <s v=""/>
  </r>
  <r>
    <s v="MNWS070426"/>
    <x v="0"/>
    <s v="Remieli"/>
    <x v="0"/>
    <x v="8"/>
    <x v="4"/>
    <s v="MT"/>
    <x v="19"/>
    <s v="7/4/2026 6:00"/>
    <s v="7/4/2026 18:00"/>
    <s v="2420000"/>
    <s v="1000000"/>
    <s v="1420000"/>
    <n v="1420"/>
    <s v=""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  <r>
    <m/>
    <x v="2"/>
    <m/>
    <x v="2"/>
    <x v="9"/>
    <x v="5"/>
    <m/>
    <x v="2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_UploadedData" cacheId="58" applyNumberFormats="0" applyBorderFormats="0" applyFontFormats="0" applyPatternFormats="0" applyAlignmentFormats="0" applyWidthHeightFormats="1" dataCaption="Values" updatedVersion="6" minRefreshableVersion="5" useAutoFormatting="1" itemPrintTitles="1" createdVersion="8" indent="0" compact="0" compactData="0" multipleFieldFilters="0">
  <location ref="A3:G12" firstHeaderRow="1" firstDataRow="2" firstDataCol="2" rowPageCount="1" colPageCount="1"/>
  <pivotFields count="15">
    <pivotField compact="0" outline="0" showAll="0"/>
    <pivotField axis="axisPage" compact="0" outline="0" showAll="0">
      <items count="91">
        <item x="0"/>
        <item x="2"/>
        <item m="1" x="12"/>
        <item x="1"/>
        <item m="1" x="3"/>
        <item m="1" x="83"/>
        <item m="1" x="41"/>
        <item m="1" x="70"/>
        <item m="1" x="69"/>
        <item m="1" x="22"/>
        <item m="1" x="30"/>
        <item m="1" x="88"/>
        <item m="1" x="55"/>
        <item m="1" x="67"/>
        <item m="1" x="9"/>
        <item m="1" x="23"/>
        <item m="1" x="10"/>
        <item m="1" x="6"/>
        <item m="1" x="18"/>
        <item m="1" x="38"/>
        <item m="1" x="53"/>
        <item m="1" x="75"/>
        <item m="1" x="71"/>
        <item m="1" x="43"/>
        <item m="1" x="39"/>
        <item m="1" x="78"/>
        <item m="1" x="73"/>
        <item m="1" x="32"/>
        <item m="1" x="63"/>
        <item m="1" x="36"/>
        <item m="1" x="57"/>
        <item m="1" x="19"/>
        <item m="1" x="80"/>
        <item m="1" x="44"/>
        <item m="1" x="56"/>
        <item m="1" x="33"/>
        <item m="1" x="26"/>
        <item m="1" x="61"/>
        <item m="1" x="54"/>
        <item m="1" x="68"/>
        <item m="1" x="29"/>
        <item m="1" x="64"/>
        <item m="1" x="15"/>
        <item m="1" x="27"/>
        <item m="1" x="58"/>
        <item m="1" x="20"/>
        <item m="1" x="16"/>
        <item m="1" x="28"/>
        <item m="1" x="17"/>
        <item m="1" x="60"/>
        <item m="1" x="50"/>
        <item m="1" x="4"/>
        <item m="1" x="85"/>
        <item m="1" x="34"/>
        <item m="1" x="8"/>
        <item m="1" x="7"/>
        <item m="1" x="40"/>
        <item m="1" x="14"/>
        <item m="1" x="74"/>
        <item m="1" x="5"/>
        <item m="1" x="42"/>
        <item m="1" x="35"/>
        <item m="1" x="59"/>
        <item m="1" x="77"/>
        <item m="1" x="24"/>
        <item m="1" x="86"/>
        <item m="1" x="13"/>
        <item m="1" x="31"/>
        <item m="1" x="11"/>
        <item m="1" x="52"/>
        <item m="1" x="48"/>
        <item m="1" x="66"/>
        <item m="1" x="89"/>
        <item m="1" x="46"/>
        <item m="1" x="76"/>
        <item m="1" x="45"/>
        <item m="1" x="79"/>
        <item m="1" x="37"/>
        <item m="1" x="72"/>
        <item m="1" x="84"/>
        <item m="1" x="25"/>
        <item m="1" x="62"/>
        <item m="1" x="49"/>
        <item m="1" x="51"/>
        <item m="1" x="65"/>
        <item m="1" x="82"/>
        <item m="1" x="87"/>
        <item m="1" x="21"/>
        <item m="1" x="81"/>
        <item m="1" x="47"/>
        <item t="default"/>
      </items>
    </pivotField>
    <pivotField compact="0" outline="0" showAll="0"/>
    <pivotField axis="axisRow" compact="0" outline="0" showAll="0">
      <items count="16">
        <item x="1"/>
        <item x="0"/>
        <item x="2"/>
        <item m="1" x="7"/>
        <item m="1" x="3"/>
        <item m="1" x="8"/>
        <item m="1" x="4"/>
        <item m="1" x="9"/>
        <item m="1" x="12"/>
        <item m="1" x="6"/>
        <item m="1" x="5"/>
        <item m="1" x="13"/>
        <item m="1" x="14"/>
        <item m="1" x="10"/>
        <item m="1" x="11"/>
        <item t="default"/>
      </items>
    </pivotField>
    <pivotField axis="axisRow" compact="0" outline="0" showAll="0">
      <items count="15">
        <item x="2"/>
        <item x="0"/>
        <item x="5"/>
        <item x="1"/>
        <item x="3"/>
        <item x="9"/>
        <item m="1" x="11"/>
        <item x="7"/>
        <item x="8"/>
        <item x="4"/>
        <item m="1" x="10"/>
        <item m="1" x="12"/>
        <item m="1" x="13"/>
        <item x="6"/>
        <item t="default"/>
      </items>
    </pivotField>
    <pivotField axis="axisCol" compact="0" outline="0" showAll="0">
      <items count="11">
        <item x="1"/>
        <item x="0"/>
        <item x="5"/>
        <item m="1" x="8"/>
        <item x="4"/>
        <item x="2"/>
        <item x="3"/>
        <item m="1" x="6"/>
        <item m="1" x="9"/>
        <item m="1" x="7"/>
        <item t="default"/>
      </items>
    </pivotField>
    <pivotField compact="0" outline="0" showAll="0"/>
    <pivotField compact="0" outline="0" showAll="0">
      <items count="25">
        <item x="22"/>
        <item x="15"/>
        <item x="0"/>
        <item x="11"/>
        <item x="14"/>
        <item x="16"/>
        <item x="17"/>
        <item x="18"/>
        <item x="19"/>
        <item x="20"/>
        <item x="21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8">
    <i>
      <x/>
      <x v="3"/>
    </i>
    <i r="1">
      <x v="4"/>
    </i>
    <i t="default">
      <x/>
    </i>
    <i>
      <x v="1"/>
      <x/>
    </i>
    <i r="1">
      <x v="1"/>
    </i>
    <i r="1">
      <x v="13"/>
    </i>
    <i t="default">
      <x v="1"/>
    </i>
    <i t="grand">
      <x/>
    </i>
  </rowItems>
  <colFields count="1">
    <field x="5"/>
  </colFields>
  <colItems count="5">
    <i>
      <x/>
    </i>
    <i>
      <x v="1"/>
    </i>
    <i>
      <x v="5"/>
    </i>
    <i>
      <x v="6"/>
    </i>
    <i t="grand">
      <x/>
    </i>
  </colItems>
  <pageFields count="1">
    <pageField fld="1" item="0" hier="-1"/>
  </pageFields>
  <dataFields count="1">
    <dataField name="Sum of Net_Qty" fld="13" baseField="0" baseItem="0"/>
  </dataFields>
  <pivotTableStyleInfo name="PivotStyleLight17" showRowHeaders="1" showColHeaders="1" showRowStripes="0" showColStripes="0" showLastColumn="1"/>
  <filters count="1">
    <filter fld="7" type="dateBetween" evalOrder="-1" id="68" name="GrossDate">
      <autoFilter ref="A1">
        <filterColumn colId="0">
          <customFilters and="1">
            <customFilter operator="greaterThanOrEqual" val="46128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Ticket_No" tableColumnId="31"/>
      <queryTableField id="2" name="Vendor" tableColumnId="32"/>
      <queryTableField id="3" name="Vehicle_No" tableColumnId="33"/>
      <queryTableField id="4" name="Transfer Type" tableColumnId="34"/>
      <queryTableField id="5" name="Movement Type" tableColumnId="35"/>
      <queryTableField id="6" name="Input Product" tableColumnId="36"/>
      <queryTableField id="7" name="UOM" tableColumnId="37"/>
      <queryTableField id="8" name="GrossDate" tableColumnId="38"/>
      <queryTableField id="9" name="GrossDate &amp; Time" tableColumnId="39"/>
      <queryTableField id="10" name="TareDate &amp; Time" tableColumnId="40"/>
      <queryTableField id="11" name="Gross Wt(Kg)" tableColumnId="41"/>
      <queryTableField id="12" name="Tare Wt(Kg)" tableColumnId="42"/>
      <queryTableField id="13" name="NetWt(Kg)" tableColumnId="43"/>
      <queryTableField id="14" name="Net_Qty" tableColumnId="44"/>
      <queryTableField id="15" name="Reader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6" name="Query1" displayName="Query1" ref="A1:O9975" tableType="queryTable" totalsRowShown="0">
  <autoFilter ref="A1:O9975"/>
  <tableColumns count="15">
    <tableColumn id="31" uniqueName="31" name="Ticket_No" queryTableFieldId="1" dataDxfId="2"/>
    <tableColumn id="32" uniqueName="32" name="Vendor" queryTableFieldId="2"/>
    <tableColumn id="33" uniqueName="33" name="Vehicle_No" queryTableFieldId="3"/>
    <tableColumn id="34" uniqueName="34" name="Transfer Type" queryTableFieldId="4"/>
    <tableColumn id="35" uniqueName="35" name="Movement Type" queryTableFieldId="5"/>
    <tableColumn id="36" uniqueName="36" name="Input Product" queryTableFieldId="6"/>
    <tableColumn id="37" uniqueName="37" name="UOM" queryTableFieldId="7"/>
    <tableColumn id="38" uniqueName="38" name="GrossDate" queryTableFieldId="8" dataDxfId="1"/>
    <tableColumn id="39" uniqueName="39" name="GrossDate &amp; Time" queryTableFieldId="9"/>
    <tableColumn id="40" uniqueName="40" name="TareDate &amp; Time" queryTableFieldId="10"/>
    <tableColumn id="41" uniqueName="41" name="Gross Wt(Kg)" queryTableFieldId="11"/>
    <tableColumn id="42" uniqueName="42" name="Tare Wt(Kg)" queryTableFieldId="12"/>
    <tableColumn id="43" uniqueName="43" name="NetWt(Kg)" queryTableFieldId="13"/>
    <tableColumn id="44" uniqueName="44" name="Net_Qty" queryTableFieldId="14" dataDxfId="0"/>
    <tableColumn id="45" uniqueName="45" name="Reade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GrossDate1" sourceName="GrossDate">
  <pivotTables>
    <pivotTable tabId="170" name="PivotTable_UploadedData"/>
  </pivotTables>
  <state minimalRefreshVersion="6" lastRefreshVersion="6" pivotCacheId="1035835300" filterType="dateBetween">
    <selection startDate="2026-04-16T00:00:00" endDate="2026-04-30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GrossDate" cache="NativeTimeline_GrossDate1" caption="GrossDate" level="3" selectionLevel="3" scrollPosition="2026-03-31T00:00:00" style="TimeSlicerStyleLight2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0F7BAA-1F91-40E9-9EFE-6CA8F992996D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T81"/>
  <sheetViews>
    <sheetView showZeros="0" workbookViewId="0">
      <pane xSplit="2" ySplit="4" topLeftCell="C5" activePane="bottomRight" state="frozen"/>
      <selection pane="topRight"/>
      <selection pane="bottomLeft"/>
      <selection pane="bottomRight" activeCell="L4" sqref="L4"/>
    </sheetView>
  </sheetViews>
  <sheetFormatPr defaultColWidth="9" defaultRowHeight="15"/>
  <cols>
    <col min="1" max="1" width="11.85546875" customWidth="1"/>
    <col min="2" max="2" width="15" customWidth="1"/>
    <col min="3" max="3" width="13.7109375" customWidth="1"/>
    <col min="4" max="4" width="14" customWidth="1"/>
    <col min="5" max="5" width="15.28515625" customWidth="1"/>
    <col min="6" max="6" width="12.5703125" customWidth="1"/>
    <col min="7" max="7" width="15.7109375" customWidth="1"/>
    <col min="8" max="8" width="11.5703125" customWidth="1"/>
    <col min="9" max="12" width="10.5703125" customWidth="1"/>
    <col min="13" max="13" width="11.7109375" customWidth="1"/>
    <col min="14" max="15" width="10.5703125" customWidth="1"/>
    <col min="16" max="16" width="11.5703125" customWidth="1"/>
    <col min="17" max="19" width="10.5703125" customWidth="1"/>
    <col min="20" max="20" width="10.42578125" customWidth="1"/>
    <col min="21" max="21" width="10.5703125" customWidth="1"/>
  </cols>
  <sheetData>
    <row r="1" spans="1:20">
      <c r="A1" s="120"/>
      <c r="B1" s="120"/>
      <c r="C1" s="120"/>
      <c r="D1" s="120"/>
      <c r="E1" s="120"/>
      <c r="F1" s="120"/>
      <c r="G1" s="120"/>
      <c r="H1" s="120"/>
    </row>
    <row r="2" spans="1:20">
      <c r="A2" s="120"/>
      <c r="B2" s="120"/>
      <c r="C2" s="120"/>
      <c r="D2" s="120"/>
      <c r="E2" s="120"/>
      <c r="F2" s="120"/>
      <c r="G2" s="120"/>
      <c r="H2" s="120"/>
    </row>
    <row r="3" spans="1:20">
      <c r="A3" s="120"/>
      <c r="B3" s="167" t="s">
        <v>257</v>
      </c>
      <c r="C3" s="167"/>
      <c r="D3" s="167"/>
      <c r="E3" s="167"/>
      <c r="F3" s="167"/>
      <c r="G3" s="120"/>
      <c r="H3" s="120"/>
    </row>
    <row r="4" spans="1:20" ht="45">
      <c r="A4" s="120"/>
      <c r="B4" s="125" t="s">
        <v>0</v>
      </c>
      <c r="C4" s="126" t="s">
        <v>256</v>
      </c>
      <c r="D4" s="125" t="s">
        <v>1</v>
      </c>
      <c r="E4" s="126" t="s">
        <v>2</v>
      </c>
      <c r="F4" s="127" t="s">
        <v>3</v>
      </c>
      <c r="G4" s="128" t="s">
        <v>4</v>
      </c>
      <c r="H4" s="129" t="s">
        <v>5</v>
      </c>
    </row>
    <row r="5" spans="1:20" ht="15.75">
      <c r="A5" s="120"/>
      <c r="B5" s="130" t="s">
        <v>6</v>
      </c>
      <c r="C5" s="119">
        <v>44414.57</v>
      </c>
      <c r="D5" s="137">
        <f>'DAILY TMH April 2026'!D36+'DAILY TMH April 2026'!G36</f>
        <v>9930.9599999999991</v>
      </c>
      <c r="E5" s="138">
        <f>'DAILY TMH April 2026'!H36+'DAILY TMH April 2026'!I36</f>
        <v>10607.639999999998</v>
      </c>
      <c r="F5" s="139">
        <f t="shared" ref="F5:F10" si="0">(C5+D5)-E5</f>
        <v>43737.89</v>
      </c>
      <c r="G5" s="140"/>
      <c r="H5" s="141">
        <f t="shared" ref="H5:H10" si="1">F5-G5</f>
        <v>43737.89</v>
      </c>
      <c r="I5" s="121"/>
    </row>
    <row r="6" spans="1:20" ht="15.75">
      <c r="A6" s="120"/>
      <c r="B6" s="130" t="s">
        <v>7</v>
      </c>
      <c r="C6" s="119">
        <v>394234.2</v>
      </c>
      <c r="D6" s="137">
        <f>'DAILY TMH April 2026'!L36+'DAILY TMH April 2026'!O36</f>
        <v>7225.9</v>
      </c>
      <c r="E6" s="138">
        <f>'DAILY TMH April 2026'!P36+'DAILY TMH April 2026'!Q36+'DAILY TMH April 2026'!R36</f>
        <v>19464.900000000001</v>
      </c>
      <c r="F6" s="139">
        <f t="shared" si="0"/>
        <v>381995.2</v>
      </c>
      <c r="G6" s="140"/>
      <c r="H6" s="141">
        <f t="shared" si="1"/>
        <v>381995.2</v>
      </c>
      <c r="I6" s="121"/>
    </row>
    <row r="7" spans="1:20" ht="15.75">
      <c r="A7" s="120"/>
      <c r="B7" s="131" t="s">
        <v>8</v>
      </c>
      <c r="C7" s="119">
        <v>9895.6200000000008</v>
      </c>
      <c r="D7" s="137">
        <f>'DAILY TMH April 2026'!AH36</f>
        <v>0</v>
      </c>
      <c r="E7" s="138">
        <f>'DAILY TMH April 2026'!AI36</f>
        <v>0</v>
      </c>
      <c r="F7" s="139">
        <f t="shared" si="0"/>
        <v>9895.6200000000008</v>
      </c>
      <c r="G7" s="140"/>
      <c r="H7" s="141">
        <f t="shared" si="1"/>
        <v>9895.6200000000008</v>
      </c>
      <c r="I7" s="121"/>
    </row>
    <row r="8" spans="1:20" ht="15.75">
      <c r="A8" s="120"/>
      <c r="B8" s="130" t="s">
        <v>9</v>
      </c>
      <c r="C8" s="119">
        <v>11123.38</v>
      </c>
      <c r="D8" s="137">
        <f>'DAILY TMH April 2026'!W36+'DAILY TMH April 2026'!AA36</f>
        <v>0</v>
      </c>
      <c r="E8" s="138">
        <f>'DAILY TMH April 2026'!AC36+'DAILY TMH April 2026'!AD36+'DAILY TMH April 2026'!AE36</f>
        <v>594.1400000000001</v>
      </c>
      <c r="F8" s="139">
        <f t="shared" si="0"/>
        <v>10529.24</v>
      </c>
      <c r="G8" s="140"/>
      <c r="H8" s="141">
        <f t="shared" si="1"/>
        <v>10529.24</v>
      </c>
      <c r="I8" s="121"/>
    </row>
    <row r="9" spans="1:20">
      <c r="A9" s="120"/>
      <c r="B9" s="130" t="s">
        <v>10</v>
      </c>
      <c r="C9" s="119">
        <v>148.76</v>
      </c>
      <c r="D9" s="137">
        <f>'DAILY TMH April 2026'!AT36</f>
        <v>0</v>
      </c>
      <c r="E9" s="138">
        <f>'DAILY TMH April 2026'!AR36+'DAILY TMH April 2026'!AS36</f>
        <v>137.76</v>
      </c>
      <c r="F9" s="139">
        <f t="shared" si="0"/>
        <v>11</v>
      </c>
      <c r="G9" s="142"/>
      <c r="H9" s="141">
        <f t="shared" si="1"/>
        <v>11</v>
      </c>
      <c r="I9" s="121"/>
    </row>
    <row r="10" spans="1:20" ht="15.75">
      <c r="A10" s="120"/>
      <c r="B10" s="132"/>
      <c r="C10" s="119"/>
      <c r="D10" s="119"/>
      <c r="E10" s="143">
        <f>'DAILY TMH April 2026'!S36+'DAILY TMH April 2026'!T36</f>
        <v>0</v>
      </c>
      <c r="F10" s="139">
        <f t="shared" si="0"/>
        <v>0</v>
      </c>
      <c r="G10" s="140"/>
      <c r="H10" s="141">
        <f t="shared" si="1"/>
        <v>0</v>
      </c>
      <c r="I10" s="121"/>
    </row>
    <row r="11" spans="1:20">
      <c r="A11" s="120"/>
      <c r="B11" s="120"/>
      <c r="C11" s="120"/>
      <c r="D11" s="120"/>
      <c r="E11" s="120"/>
      <c r="F11" s="120"/>
      <c r="G11" s="120"/>
      <c r="H11" s="120"/>
    </row>
    <row r="12" spans="1:20">
      <c r="A12" s="174" t="s">
        <v>12</v>
      </c>
      <c r="B12" s="168" t="s">
        <v>137</v>
      </c>
      <c r="C12" s="169"/>
      <c r="D12" s="169"/>
      <c r="E12" s="169"/>
      <c r="F12" s="169"/>
      <c r="G12" s="169"/>
      <c r="H12" s="170"/>
      <c r="I12" s="122"/>
      <c r="R12" s="118"/>
      <c r="S12" s="118"/>
      <c r="T12" s="118"/>
    </row>
    <row r="13" spans="1:20">
      <c r="A13" s="175"/>
      <c r="B13" s="133" t="s">
        <v>6</v>
      </c>
      <c r="C13" s="133" t="s">
        <v>7</v>
      </c>
      <c r="D13" s="133" t="s">
        <v>13</v>
      </c>
      <c r="E13" s="133" t="s">
        <v>11</v>
      </c>
      <c r="F13" s="133" t="s">
        <v>14</v>
      </c>
      <c r="G13" s="133" t="s">
        <v>15</v>
      </c>
      <c r="H13" s="133" t="s">
        <v>10</v>
      </c>
      <c r="I13" s="122"/>
    </row>
    <row r="14" spans="1:20">
      <c r="A14" s="148">
        <f>'DAILY TMH April 2026'!A5</f>
        <v>46113</v>
      </c>
      <c r="B14" s="119">
        <f>'DAILY TMH April 2026'!B5+'DAILY TMH April 2026'!H5+'DAILY TMH April 2026'!C5+'DAILY TMH April 2026'!I5+'DAILY TMH April 2026'!E5+'DAILY TMH April 2026'!F5</f>
        <v>0</v>
      </c>
      <c r="C14" s="119">
        <f>'DAILY TMH April 2026'!J5+'DAILY TMH April 2026'!P5+'DAILY TMH April 2026'!K5+'DAILY TMH April 2026'!Q5+'DAILY TMH April 2026'!M5+'DAILY TMH April 2026'!N5</f>
        <v>401.14000000000004</v>
      </c>
      <c r="D14" s="138">
        <f>'DAILY TMH April 2026'!U5+'DAILY TMH April 2026'!AC5+'DAILY TMH April 2026'!V5+'DAILY TMH April 2026'!AE5+'DAILY TMH April 2026'!Y5+'DAILY TMH April 2026'!Z5</f>
        <v>0</v>
      </c>
      <c r="E14" s="138">
        <f>'DAILY TMH April 2026'!S5</f>
        <v>0</v>
      </c>
      <c r="F14" s="138">
        <f>'DAILY TMH April 2026'!AF5+'DAILY TMH April 2026'!AI5+'DAILY TMH April 2026'!AG5</f>
        <v>0</v>
      </c>
      <c r="G14" s="144">
        <f>'DAILY TMH April 2026'!AP5+'DAILY TMH April 2026'!AQ5</f>
        <v>0</v>
      </c>
      <c r="H14" s="144">
        <f>'DAILY TMH April 2026'!AS5</f>
        <v>0</v>
      </c>
      <c r="I14" s="122"/>
    </row>
    <row r="15" spans="1:20">
      <c r="A15" s="148">
        <f>'DAILY TMH April 2026'!A6</f>
        <v>46114</v>
      </c>
      <c r="B15" s="119">
        <f>'DAILY TMH April 2026'!B6+'DAILY TMH April 2026'!H6+'DAILY TMH April 2026'!C6+'DAILY TMH April 2026'!I6+'DAILY TMH April 2026'!E6+'DAILY TMH April 2026'!F6</f>
        <v>0</v>
      </c>
      <c r="C15" s="119">
        <f>'DAILY TMH April 2026'!J6+'DAILY TMH April 2026'!P6+'DAILY TMH April 2026'!K6+'DAILY TMH April 2026'!Q6+'DAILY TMH April 2026'!M6+'DAILY TMH April 2026'!N6</f>
        <v>808.48000000000013</v>
      </c>
      <c r="D15" s="138">
        <f>'DAILY TMH April 2026'!U6+'DAILY TMH April 2026'!AC6+'DAILY TMH April 2026'!V6+'DAILY TMH April 2026'!AE6+'DAILY TMH April 2026'!Y6+'DAILY TMH April 2026'!Z6</f>
        <v>0</v>
      </c>
      <c r="E15" s="138">
        <f>'DAILY TMH April 2026'!S6</f>
        <v>0</v>
      </c>
      <c r="F15" s="138">
        <f>'DAILY TMH April 2026'!AF6+'DAILY TMH April 2026'!AI6+'DAILY TMH April 2026'!AG6</f>
        <v>0</v>
      </c>
      <c r="G15" s="144">
        <f>'DAILY TMH April 2026'!AP6+'DAILY TMH April 2026'!AQ6</f>
        <v>0</v>
      </c>
      <c r="H15" s="144">
        <f>'DAILY TMH April 2026'!AS6</f>
        <v>0</v>
      </c>
      <c r="I15" s="122"/>
    </row>
    <row r="16" spans="1:20">
      <c r="A16" s="148">
        <f>'DAILY TMH April 2026'!A7</f>
        <v>46115</v>
      </c>
      <c r="B16" s="119">
        <f>'DAILY TMH April 2026'!B7+'DAILY TMH April 2026'!H7+'DAILY TMH April 2026'!C7+'DAILY TMH April 2026'!I7+'DAILY TMH April 2026'!E7+'DAILY TMH April 2026'!F7</f>
        <v>0</v>
      </c>
      <c r="C16" s="119">
        <f>'DAILY TMH April 2026'!J7+'DAILY TMH April 2026'!P7+'DAILY TMH April 2026'!K7+'DAILY TMH April 2026'!Q7+'DAILY TMH April 2026'!M7+'DAILY TMH April 2026'!N7</f>
        <v>239.08</v>
      </c>
      <c r="D16" s="138">
        <f>'DAILY TMH April 2026'!U7+'DAILY TMH April 2026'!AC7+'DAILY TMH April 2026'!V7+'DAILY TMH April 2026'!AE7+'DAILY TMH April 2026'!Y7+'DAILY TMH April 2026'!Z7</f>
        <v>0</v>
      </c>
      <c r="E16" s="138">
        <f>'DAILY TMH April 2026'!S7</f>
        <v>0</v>
      </c>
      <c r="F16" s="138">
        <f>'DAILY TMH April 2026'!AF7+'DAILY TMH April 2026'!AI7+'DAILY TMH April 2026'!AG7</f>
        <v>0</v>
      </c>
      <c r="G16" s="144">
        <f>'DAILY TMH April 2026'!AP7+'DAILY TMH April 2026'!AQ7</f>
        <v>0</v>
      </c>
      <c r="H16" s="144">
        <f>'DAILY TMH April 2026'!AS7</f>
        <v>0</v>
      </c>
      <c r="I16" s="122"/>
    </row>
    <row r="17" spans="1:9">
      <c r="A17" s="148">
        <f>'DAILY TMH April 2026'!A8</f>
        <v>46116</v>
      </c>
      <c r="B17" s="119">
        <f>'DAILY TMH April 2026'!B8+'DAILY TMH April 2026'!H8+'DAILY TMH April 2026'!C8+'DAILY TMH April 2026'!I8+'DAILY TMH April 2026'!E8+'DAILY TMH April 2026'!F8</f>
        <v>1286.4000000000001</v>
      </c>
      <c r="C17" s="119">
        <f>'DAILY TMH April 2026'!J8+'DAILY TMH April 2026'!P8+'DAILY TMH April 2026'!K8+'DAILY TMH April 2026'!Q8+'DAILY TMH April 2026'!M8+'DAILY TMH April 2026'!N8</f>
        <v>879.50000000000011</v>
      </c>
      <c r="D17" s="138">
        <f>'DAILY TMH April 2026'!U8+'DAILY TMH April 2026'!AC8+'DAILY TMH April 2026'!V8+'DAILY TMH April 2026'!AE8+'DAILY TMH April 2026'!Y8+'DAILY TMH April 2026'!Z8</f>
        <v>0</v>
      </c>
      <c r="E17" s="138">
        <f>'DAILY TMH April 2026'!S8</f>
        <v>0</v>
      </c>
      <c r="F17" s="138">
        <f>'DAILY TMH April 2026'!AF8+'DAILY TMH April 2026'!AI8+'DAILY TMH April 2026'!AG8</f>
        <v>0</v>
      </c>
      <c r="G17" s="144">
        <f>'DAILY TMH April 2026'!AP8+'DAILY TMH April 2026'!AQ8</f>
        <v>0</v>
      </c>
      <c r="H17" s="144">
        <f>'DAILY TMH April 2026'!AS8</f>
        <v>0</v>
      </c>
      <c r="I17" s="122"/>
    </row>
    <row r="18" spans="1:9">
      <c r="A18" s="148">
        <f>'DAILY TMH April 2026'!A9</f>
        <v>46117</v>
      </c>
      <c r="B18" s="119">
        <f>'DAILY TMH April 2026'!B9+'DAILY TMH April 2026'!H9+'DAILY TMH April 2026'!C9+'DAILY TMH April 2026'!I9+'DAILY TMH April 2026'!E9+'DAILY TMH April 2026'!F9</f>
        <v>697.95999999999981</v>
      </c>
      <c r="C18" s="119">
        <f>'DAILY TMH April 2026'!J9+'DAILY TMH April 2026'!P9+'DAILY TMH April 2026'!K9+'DAILY TMH April 2026'!Q9+'DAILY TMH April 2026'!M9+'DAILY TMH April 2026'!N9</f>
        <v>787.41999999999985</v>
      </c>
      <c r="D18" s="138">
        <f>'DAILY TMH April 2026'!U9+'DAILY TMH April 2026'!AC9+'DAILY TMH April 2026'!V9+'DAILY TMH April 2026'!AE9+'DAILY TMH April 2026'!Y9+'DAILY TMH April 2026'!Z9</f>
        <v>0</v>
      </c>
      <c r="E18" s="138">
        <f>'DAILY TMH April 2026'!S9</f>
        <v>0</v>
      </c>
      <c r="F18" s="138">
        <f>'DAILY TMH April 2026'!AF9+'DAILY TMH April 2026'!AI9+'DAILY TMH April 2026'!AG9</f>
        <v>0</v>
      </c>
      <c r="G18" s="144">
        <f>'DAILY TMH April 2026'!AP9+'DAILY TMH April 2026'!AQ9</f>
        <v>0</v>
      </c>
      <c r="H18" s="144">
        <f>'DAILY TMH April 2026'!AS9</f>
        <v>0</v>
      </c>
      <c r="I18" s="122"/>
    </row>
    <row r="19" spans="1:9">
      <c r="A19" s="148">
        <f>'DAILY TMH April 2026'!A10</f>
        <v>46118</v>
      </c>
      <c r="B19" s="119">
        <f>'DAILY TMH April 2026'!B10+'DAILY TMH April 2026'!H10+'DAILY TMH April 2026'!C10+'DAILY TMH April 2026'!I10+'DAILY TMH April 2026'!E10+'DAILY TMH April 2026'!F10</f>
        <v>0</v>
      </c>
      <c r="C19" s="119">
        <f>'DAILY TMH April 2026'!J10+'DAILY TMH April 2026'!P10+'DAILY TMH April 2026'!K10+'DAILY TMH April 2026'!Q10+'DAILY TMH April 2026'!M10+'DAILY TMH April 2026'!N10</f>
        <v>420.09999999999997</v>
      </c>
      <c r="D19" s="138">
        <f>'DAILY TMH April 2026'!U10+'DAILY TMH April 2026'!AC10+'DAILY TMH April 2026'!V10+'DAILY TMH April 2026'!AE10+'DAILY TMH April 2026'!Y10+'DAILY TMH April 2026'!Z10</f>
        <v>0</v>
      </c>
      <c r="E19" s="138">
        <f>'DAILY TMH April 2026'!S10</f>
        <v>0</v>
      </c>
      <c r="F19" s="138">
        <f>'DAILY TMH April 2026'!AF10+'DAILY TMH April 2026'!AI10+'DAILY TMH April 2026'!AG10</f>
        <v>0</v>
      </c>
      <c r="G19" s="144">
        <f>'DAILY TMH April 2026'!AP10+'DAILY TMH April 2026'!AQ10</f>
        <v>0</v>
      </c>
      <c r="H19" s="144">
        <f>'DAILY TMH April 2026'!AS10</f>
        <v>0</v>
      </c>
      <c r="I19" s="122"/>
    </row>
    <row r="20" spans="1:9">
      <c r="A20" s="148">
        <f>'DAILY TMH April 2026'!A11</f>
        <v>46119</v>
      </c>
      <c r="B20" s="119">
        <f>'DAILY TMH April 2026'!B11+'DAILY TMH April 2026'!H11+'DAILY TMH April 2026'!C11+'DAILY TMH April 2026'!I11+'DAILY TMH April 2026'!E11+'DAILY TMH April 2026'!F11</f>
        <v>1837.0200000000004</v>
      </c>
      <c r="C20" s="119">
        <f>'DAILY TMH April 2026'!J11+'DAILY TMH April 2026'!P11+'DAILY TMH April 2026'!K11+'DAILY TMH April 2026'!Q11+'DAILY TMH April 2026'!M11+'DAILY TMH April 2026'!N11</f>
        <v>1446.6</v>
      </c>
      <c r="D20" s="138">
        <f>'DAILY TMH April 2026'!U11+'DAILY TMH April 2026'!AC11+'DAILY TMH April 2026'!V11+'DAILY TMH April 2026'!AE11+'DAILY TMH April 2026'!Y11+'DAILY TMH April 2026'!Z11</f>
        <v>0</v>
      </c>
      <c r="E20" s="138">
        <f>'DAILY TMH April 2026'!S11</f>
        <v>0</v>
      </c>
      <c r="F20" s="138">
        <f>'DAILY TMH April 2026'!AF11+'DAILY TMH April 2026'!AI11+'DAILY TMH April 2026'!AG11</f>
        <v>0</v>
      </c>
      <c r="G20" s="144">
        <f>'DAILY TMH April 2026'!AP11+'DAILY TMH April 2026'!AQ11</f>
        <v>0</v>
      </c>
      <c r="H20" s="144">
        <f>'DAILY TMH April 2026'!AS11</f>
        <v>0</v>
      </c>
      <c r="I20" s="122"/>
    </row>
    <row r="21" spans="1:9">
      <c r="A21" s="148">
        <f>'DAILY TMH April 2026'!A12</f>
        <v>46120</v>
      </c>
      <c r="B21" s="119">
        <f>'DAILY TMH April 2026'!B12+'DAILY TMH April 2026'!H12+'DAILY TMH April 2026'!C12+'DAILY TMH April 2026'!I12+'DAILY TMH April 2026'!E12+'DAILY TMH April 2026'!F12</f>
        <v>588.57999999999993</v>
      </c>
      <c r="C21" s="119">
        <f>'DAILY TMH April 2026'!J12+'DAILY TMH April 2026'!P12+'DAILY TMH April 2026'!K12+'DAILY TMH April 2026'!Q12+'DAILY TMH April 2026'!M12+'DAILY TMH April 2026'!N12</f>
        <v>2411.2199999999984</v>
      </c>
      <c r="D21" s="138">
        <f>'DAILY TMH April 2026'!U12+'DAILY TMH April 2026'!AC12+'DAILY TMH April 2026'!V12+'DAILY TMH April 2026'!AE12+'DAILY TMH April 2026'!Y12+'DAILY TMH April 2026'!Z12</f>
        <v>0</v>
      </c>
      <c r="E21" s="138">
        <f>'DAILY TMH April 2026'!S12</f>
        <v>0</v>
      </c>
      <c r="F21" s="138">
        <f>'DAILY TMH April 2026'!AF12+'DAILY TMH April 2026'!AI12+'DAILY TMH April 2026'!AG12</f>
        <v>0</v>
      </c>
      <c r="G21" s="144">
        <f>'DAILY TMH April 2026'!AP12+'DAILY TMH April 2026'!AQ12</f>
        <v>0</v>
      </c>
      <c r="H21" s="144">
        <f>'DAILY TMH April 2026'!AS12</f>
        <v>0</v>
      </c>
      <c r="I21" s="122"/>
    </row>
    <row r="22" spans="1:9">
      <c r="A22" s="148">
        <f>'DAILY TMH April 2026'!A13</f>
        <v>46121</v>
      </c>
      <c r="B22" s="119">
        <f>'DAILY TMH April 2026'!B13+'DAILY TMH April 2026'!H13+'DAILY TMH April 2026'!C13+'DAILY TMH April 2026'!I13+'DAILY TMH April 2026'!E13+'DAILY TMH April 2026'!F13</f>
        <v>0</v>
      </c>
      <c r="C22" s="119">
        <f>'DAILY TMH April 2026'!J13+'DAILY TMH April 2026'!P13+'DAILY TMH April 2026'!K13+'DAILY TMH April 2026'!Q13+'DAILY TMH April 2026'!M13+'DAILY TMH April 2026'!N13</f>
        <v>3157.38</v>
      </c>
      <c r="D22" s="138">
        <f>'DAILY TMH April 2026'!U13+'DAILY TMH April 2026'!AC13+'DAILY TMH April 2026'!V13+'DAILY TMH April 2026'!AE13+'DAILY TMH April 2026'!Y13+'DAILY TMH April 2026'!Z13</f>
        <v>0</v>
      </c>
      <c r="E22" s="138">
        <f>'DAILY TMH April 2026'!S13</f>
        <v>0</v>
      </c>
      <c r="F22" s="138">
        <f>'DAILY TMH April 2026'!AF13+'DAILY TMH April 2026'!AI13+'DAILY TMH April 2026'!AG13</f>
        <v>0</v>
      </c>
      <c r="G22" s="144">
        <f>'DAILY TMH April 2026'!AP13+'DAILY TMH April 2026'!AQ13</f>
        <v>0</v>
      </c>
      <c r="H22" s="144">
        <f>'DAILY TMH April 2026'!AS13</f>
        <v>0</v>
      </c>
      <c r="I22" s="122"/>
    </row>
    <row r="23" spans="1:9">
      <c r="A23" s="148">
        <f>'DAILY TMH April 2026'!A14</f>
        <v>46122</v>
      </c>
      <c r="B23" s="119">
        <f>'DAILY TMH April 2026'!B14+'DAILY TMH April 2026'!H14+'DAILY TMH April 2026'!C14+'DAILY TMH April 2026'!I14+'DAILY TMH April 2026'!E14+'DAILY TMH April 2026'!F14</f>
        <v>1458.1399999999996</v>
      </c>
      <c r="C23" s="119">
        <f>'DAILY TMH April 2026'!J14+'DAILY TMH April 2026'!P14+'DAILY TMH April 2026'!K14+'DAILY TMH April 2026'!Q14+'DAILY TMH April 2026'!M14+'DAILY TMH April 2026'!N14</f>
        <v>1302.4600000000003</v>
      </c>
      <c r="D23" s="138">
        <f>'DAILY TMH April 2026'!U14+'DAILY TMH April 2026'!AC14+'DAILY TMH April 2026'!V14+'DAILY TMH April 2026'!AE14+'DAILY TMH April 2026'!Y14+'DAILY TMH April 2026'!Z14</f>
        <v>0</v>
      </c>
      <c r="E23" s="138">
        <f>'DAILY TMH April 2026'!S14</f>
        <v>0</v>
      </c>
      <c r="F23" s="138">
        <f>'DAILY TMH April 2026'!AF14+'DAILY TMH April 2026'!AI14+'DAILY TMH April 2026'!AG14</f>
        <v>0</v>
      </c>
      <c r="G23" s="144">
        <f>'DAILY TMH April 2026'!AP14+'DAILY TMH April 2026'!AQ14</f>
        <v>0</v>
      </c>
      <c r="H23" s="144">
        <f>'DAILY TMH April 2026'!AS14</f>
        <v>0</v>
      </c>
      <c r="I23" s="122"/>
    </row>
    <row r="24" spans="1:9">
      <c r="A24" s="148">
        <f>'DAILY TMH April 2026'!A15</f>
        <v>46123</v>
      </c>
      <c r="B24" s="119">
        <f>'DAILY TMH April 2026'!B15+'DAILY TMH April 2026'!H15+'DAILY TMH April 2026'!C15+'DAILY TMH April 2026'!I15+'DAILY TMH April 2026'!E15+'DAILY TMH April 2026'!F15</f>
        <v>1032.8400000000001</v>
      </c>
      <c r="C24" s="119">
        <f>'DAILY TMH April 2026'!J15+'DAILY TMH April 2026'!P15+'DAILY TMH April 2026'!K15+'DAILY TMH April 2026'!Q15+'DAILY TMH April 2026'!M15+'DAILY TMH April 2026'!N15</f>
        <v>2249.4600000000014</v>
      </c>
      <c r="D24" s="138">
        <f>'DAILY TMH April 2026'!U15+'DAILY TMH April 2026'!AC15+'DAILY TMH April 2026'!V15+'DAILY TMH April 2026'!AE15+'DAILY TMH April 2026'!Y15+'DAILY TMH April 2026'!Z15</f>
        <v>0</v>
      </c>
      <c r="E24" s="138">
        <f>'DAILY TMH April 2026'!S15</f>
        <v>0</v>
      </c>
      <c r="F24" s="138">
        <f>'DAILY TMH April 2026'!AF15+'DAILY TMH April 2026'!AI15+'DAILY TMH April 2026'!AG15</f>
        <v>0</v>
      </c>
      <c r="G24" s="144">
        <f>'DAILY TMH April 2026'!AP15+'DAILY TMH April 2026'!AQ15</f>
        <v>0</v>
      </c>
      <c r="H24" s="144">
        <f>'DAILY TMH April 2026'!AS15</f>
        <v>0</v>
      </c>
      <c r="I24" s="122"/>
    </row>
    <row r="25" spans="1:9">
      <c r="A25" s="148">
        <f>'DAILY TMH April 2026'!A16</f>
        <v>46124</v>
      </c>
      <c r="B25" s="119">
        <f>'DAILY TMH April 2026'!B16+'DAILY TMH April 2026'!H16+'DAILY TMH April 2026'!C16+'DAILY TMH April 2026'!I16+'DAILY TMH April 2026'!E16+'DAILY TMH April 2026'!F16</f>
        <v>1071.7</v>
      </c>
      <c r="C25" s="119">
        <f>'DAILY TMH April 2026'!J16+'DAILY TMH April 2026'!P16+'DAILY TMH April 2026'!K16+'DAILY TMH April 2026'!Q16+'DAILY TMH April 2026'!M16+'DAILY TMH April 2026'!N16</f>
        <v>1827.2399999999998</v>
      </c>
      <c r="D25" s="138">
        <f>'DAILY TMH April 2026'!U16+'DAILY TMH April 2026'!AC16+'DAILY TMH April 2026'!V16+'DAILY TMH April 2026'!AE16+'DAILY TMH April 2026'!Y16+'DAILY TMH April 2026'!Z16</f>
        <v>0</v>
      </c>
      <c r="E25" s="138">
        <f>'DAILY TMH April 2026'!S16</f>
        <v>0</v>
      </c>
      <c r="F25" s="138">
        <f>'DAILY TMH April 2026'!AF16+'DAILY TMH April 2026'!AI16+'DAILY TMH April 2026'!AG16</f>
        <v>0</v>
      </c>
      <c r="G25" s="144">
        <f>'DAILY TMH April 2026'!AP16+'DAILY TMH April 2026'!AQ16</f>
        <v>0</v>
      </c>
      <c r="H25" s="144">
        <f>'DAILY TMH April 2026'!AS16</f>
        <v>0</v>
      </c>
      <c r="I25" s="122"/>
    </row>
    <row r="26" spans="1:9">
      <c r="A26" s="148">
        <f>'DAILY TMH April 2026'!A17</f>
        <v>46125</v>
      </c>
      <c r="B26" s="119">
        <f>'DAILY TMH April 2026'!B17+'DAILY TMH April 2026'!H17+'DAILY TMH April 2026'!C17+'DAILY TMH April 2026'!I17+'DAILY TMH April 2026'!E17+'DAILY TMH April 2026'!F17</f>
        <v>0</v>
      </c>
      <c r="C26" s="119">
        <f>'DAILY TMH April 2026'!J17+'DAILY TMH April 2026'!P17+'DAILY TMH April 2026'!K17+'DAILY TMH April 2026'!Q17+'DAILY TMH April 2026'!M17+'DAILY TMH April 2026'!N17</f>
        <v>2390.2599999999993</v>
      </c>
      <c r="D26" s="138">
        <f>'DAILY TMH April 2026'!U17+'DAILY TMH April 2026'!AC17+'DAILY TMH April 2026'!V17+'DAILY TMH April 2026'!AE17+'DAILY TMH April 2026'!Y17+'DAILY TMH April 2026'!Z17</f>
        <v>0</v>
      </c>
      <c r="E26" s="138">
        <f>'DAILY TMH April 2026'!S17</f>
        <v>0</v>
      </c>
      <c r="F26" s="138">
        <f>'DAILY TMH April 2026'!AF17+'DAILY TMH April 2026'!AI17+'DAILY TMH April 2026'!AG17</f>
        <v>0</v>
      </c>
      <c r="G26" s="144">
        <f>'DAILY TMH April 2026'!AP17+'DAILY TMH April 2026'!AQ17</f>
        <v>0</v>
      </c>
      <c r="H26" s="144">
        <f>'DAILY TMH April 2026'!AS17</f>
        <v>0</v>
      </c>
      <c r="I26" s="122"/>
    </row>
    <row r="27" spans="1:9">
      <c r="A27" s="148">
        <f>'DAILY TMH April 2026'!A18</f>
        <v>46126</v>
      </c>
      <c r="B27" s="119">
        <f>'DAILY TMH April 2026'!B18+'DAILY TMH April 2026'!H18+'DAILY TMH April 2026'!C18+'DAILY TMH April 2026'!I18+'DAILY TMH April 2026'!E18+'DAILY TMH April 2026'!F18</f>
        <v>0</v>
      </c>
      <c r="C27" s="119">
        <f>'DAILY TMH April 2026'!J18+'DAILY TMH April 2026'!P18+'DAILY TMH April 2026'!K18+'DAILY TMH April 2026'!Q18+'DAILY TMH April 2026'!M18+'DAILY TMH April 2026'!N18</f>
        <v>2389.2600000000002</v>
      </c>
      <c r="D27" s="138">
        <f>'DAILY TMH April 2026'!U18+'DAILY TMH April 2026'!AC18+'DAILY TMH April 2026'!V18+'DAILY TMH April 2026'!AE18+'DAILY TMH April 2026'!Y18+'DAILY TMH April 2026'!Z18</f>
        <v>0</v>
      </c>
      <c r="E27" s="138">
        <f>'DAILY TMH April 2026'!S18</f>
        <v>0</v>
      </c>
      <c r="F27" s="138">
        <f>'DAILY TMH April 2026'!AF18+'DAILY TMH April 2026'!AI18+'DAILY TMH April 2026'!AG18</f>
        <v>0</v>
      </c>
      <c r="G27" s="144">
        <f>'DAILY TMH April 2026'!AP18+'DAILY TMH April 2026'!AQ18</f>
        <v>0</v>
      </c>
      <c r="H27" s="144">
        <f>'DAILY TMH April 2026'!AS18</f>
        <v>0</v>
      </c>
      <c r="I27" s="122"/>
    </row>
    <row r="28" spans="1:9">
      <c r="A28" s="148">
        <f>'DAILY TMH April 2026'!A19</f>
        <v>46127</v>
      </c>
      <c r="B28" s="119">
        <f>'DAILY TMH April 2026'!B19+'DAILY TMH April 2026'!H19+'DAILY TMH April 2026'!C19+'DAILY TMH April 2026'!I19+'DAILY TMH April 2026'!E19+'DAILY TMH April 2026'!F19</f>
        <v>926.16</v>
      </c>
      <c r="C28" s="119">
        <f>'DAILY TMH April 2026'!J19+'DAILY TMH April 2026'!P19+'DAILY TMH April 2026'!K19+'DAILY TMH April 2026'!Q19+'DAILY TMH April 2026'!M19+'DAILY TMH April 2026'!N19</f>
        <v>1252.42</v>
      </c>
      <c r="D28" s="138">
        <f>'DAILY TMH April 2026'!U19+'DAILY TMH April 2026'!AC19+'DAILY TMH April 2026'!V19+'DAILY TMH April 2026'!AE19+'DAILY TMH April 2026'!Y19+'DAILY TMH April 2026'!Z19</f>
        <v>0</v>
      </c>
      <c r="E28" s="138">
        <f>'DAILY TMH April 2026'!S19</f>
        <v>0</v>
      </c>
      <c r="F28" s="138">
        <f>'DAILY TMH April 2026'!AF19+'DAILY TMH April 2026'!AI19+'DAILY TMH April 2026'!AG19</f>
        <v>0</v>
      </c>
      <c r="G28" s="144">
        <f>'DAILY TMH April 2026'!AP19+'DAILY TMH April 2026'!AQ19</f>
        <v>0</v>
      </c>
      <c r="H28" s="144">
        <f>'DAILY TMH April 2026'!AS19</f>
        <v>0</v>
      </c>
      <c r="I28" s="122"/>
    </row>
    <row r="29" spans="1:9">
      <c r="A29" s="148">
        <f>'DAILY TMH April 2026'!A20</f>
        <v>46128</v>
      </c>
      <c r="B29" s="119">
        <f>'DAILY TMH April 2026'!B20+'DAILY TMH April 2026'!H20+'DAILY TMH April 2026'!C20+'DAILY TMH April 2026'!I20+'DAILY TMH April 2026'!E20+'DAILY TMH April 2026'!F20</f>
        <v>1284.46</v>
      </c>
      <c r="C29" s="119">
        <f>'DAILY TMH April 2026'!J20+'DAILY TMH April 2026'!P20+'DAILY TMH April 2026'!K20+'DAILY TMH April 2026'!Q20+'DAILY TMH April 2026'!M20+'DAILY TMH April 2026'!N20</f>
        <v>1488.7</v>
      </c>
      <c r="D29" s="138">
        <f>'DAILY TMH April 2026'!U20+'DAILY TMH April 2026'!AC20+'DAILY TMH April 2026'!V20+'DAILY TMH April 2026'!AE20+'DAILY TMH April 2026'!Y20+'DAILY TMH April 2026'!Z20</f>
        <v>100</v>
      </c>
      <c r="E29" s="138">
        <f>'DAILY TMH April 2026'!S20</f>
        <v>0</v>
      </c>
      <c r="F29" s="138">
        <f>'DAILY TMH April 2026'!AF20+'DAILY TMH April 2026'!AI20+'DAILY TMH April 2026'!AG20</f>
        <v>0</v>
      </c>
      <c r="G29" s="144">
        <f>'DAILY TMH April 2026'!AP20+'DAILY TMH April 2026'!AQ20</f>
        <v>0</v>
      </c>
      <c r="H29" s="144">
        <f>'DAILY TMH April 2026'!AS20</f>
        <v>0</v>
      </c>
      <c r="I29" s="122"/>
    </row>
    <row r="30" spans="1:9">
      <c r="A30" s="148">
        <f>'DAILY TMH April 2026'!A21</f>
        <v>46129</v>
      </c>
      <c r="B30" s="119">
        <f>'DAILY TMH April 2026'!B21+'DAILY TMH April 2026'!H21+'DAILY TMH April 2026'!C21+'DAILY TMH April 2026'!I21+'DAILY TMH April 2026'!E21+'DAILY TMH April 2026'!F21</f>
        <v>295.01999999999992</v>
      </c>
      <c r="C30" s="119">
        <f>'DAILY TMH April 2026'!J21+'DAILY TMH April 2026'!P21+'DAILY TMH April 2026'!K21+'DAILY TMH April 2026'!Q21+'DAILY TMH April 2026'!M21+'DAILY TMH April 2026'!N21</f>
        <v>2219.62</v>
      </c>
      <c r="D30" s="138">
        <f>'DAILY TMH April 2026'!U21+'DAILY TMH April 2026'!AC21+'DAILY TMH April 2026'!V21+'DAILY TMH April 2026'!AE21+'DAILY TMH April 2026'!Y21+'DAILY TMH April 2026'!Z21</f>
        <v>0</v>
      </c>
      <c r="E30" s="138">
        <f>'DAILY TMH April 2026'!S21</f>
        <v>0</v>
      </c>
      <c r="F30" s="138">
        <f>'DAILY TMH April 2026'!AF21+'DAILY TMH April 2026'!AI21+'DAILY TMH April 2026'!AG21</f>
        <v>0</v>
      </c>
      <c r="G30" s="144">
        <f>'DAILY TMH April 2026'!AP21+'DAILY TMH April 2026'!AQ21</f>
        <v>0</v>
      </c>
      <c r="H30" s="144">
        <f>'DAILY TMH April 2026'!AS21</f>
        <v>0</v>
      </c>
      <c r="I30" s="122"/>
    </row>
    <row r="31" spans="1:9">
      <c r="A31" s="148">
        <f>'DAILY TMH April 2026'!A22</f>
        <v>46130</v>
      </c>
      <c r="B31" s="119">
        <f>'DAILY TMH April 2026'!B22+'DAILY TMH April 2026'!H22+'DAILY TMH April 2026'!C22+'DAILY TMH April 2026'!I22+'DAILY TMH April 2026'!E22+'DAILY TMH April 2026'!F22</f>
        <v>1353.7000000000003</v>
      </c>
      <c r="C31" s="119">
        <f>'DAILY TMH April 2026'!J22+'DAILY TMH April 2026'!P22+'DAILY TMH April 2026'!K22+'DAILY TMH April 2026'!Q22+'DAILY TMH April 2026'!M22+'DAILY TMH April 2026'!N22</f>
        <v>853.6400000000001</v>
      </c>
      <c r="D31" s="138">
        <f>'DAILY TMH April 2026'!U22+'DAILY TMH April 2026'!AC22+'DAILY TMH April 2026'!V22+'DAILY TMH April 2026'!AE22+'DAILY TMH April 2026'!Y22+'DAILY TMH April 2026'!Z22</f>
        <v>314.56000000000006</v>
      </c>
      <c r="E31" s="138">
        <f>'DAILY TMH April 2026'!S22</f>
        <v>0</v>
      </c>
      <c r="F31" s="138">
        <f>'DAILY TMH April 2026'!AF22+'DAILY TMH April 2026'!AI22+'DAILY TMH April 2026'!AG22</f>
        <v>0</v>
      </c>
      <c r="G31" s="144">
        <f>'DAILY TMH April 2026'!AP22+'DAILY TMH April 2026'!AQ22</f>
        <v>0</v>
      </c>
      <c r="H31" s="144">
        <f>'DAILY TMH April 2026'!AS22</f>
        <v>0</v>
      </c>
      <c r="I31" s="122"/>
    </row>
    <row r="32" spans="1:9">
      <c r="A32" s="148">
        <f>'DAILY TMH April 2026'!A23</f>
        <v>46131</v>
      </c>
      <c r="B32" s="119">
        <f>'DAILY TMH April 2026'!B23+'DAILY TMH April 2026'!H23+'DAILY TMH April 2026'!C23+'DAILY TMH April 2026'!I23+'DAILY TMH April 2026'!E23+'DAILY TMH April 2026'!F23</f>
        <v>2799.8</v>
      </c>
      <c r="C32" s="119">
        <f>'DAILY TMH April 2026'!J23+'DAILY TMH April 2026'!P23+'DAILY TMH April 2026'!K23+'DAILY TMH April 2026'!Q23+'DAILY TMH April 2026'!M23+'DAILY TMH April 2026'!N23</f>
        <v>852.25999999999988</v>
      </c>
      <c r="D32" s="138">
        <f>'DAILY TMH April 2026'!U23+'DAILY TMH April 2026'!AC23+'DAILY TMH April 2026'!V23+'DAILY TMH April 2026'!AE23+'DAILY TMH April 2026'!Y23+'DAILY TMH April 2026'!Z23</f>
        <v>61.34</v>
      </c>
      <c r="E32" s="138">
        <f>'DAILY TMH April 2026'!S23</f>
        <v>0</v>
      </c>
      <c r="F32" s="138">
        <f>'DAILY TMH April 2026'!AF23+'DAILY TMH April 2026'!AI23+'DAILY TMH April 2026'!AG23</f>
        <v>0</v>
      </c>
      <c r="G32" s="144">
        <f>'DAILY TMH April 2026'!AP23+'DAILY TMH April 2026'!AQ23</f>
        <v>0</v>
      </c>
      <c r="H32" s="144">
        <f>'DAILY TMH April 2026'!AS23</f>
        <v>92.54</v>
      </c>
      <c r="I32" s="122"/>
    </row>
    <row r="33" spans="1:9">
      <c r="A33" s="148">
        <f>'DAILY TMH April 2026'!A24</f>
        <v>46132</v>
      </c>
      <c r="B33" s="119">
        <f>'DAILY TMH April 2026'!B24+'DAILY TMH April 2026'!H24+'DAILY TMH April 2026'!C24+'DAILY TMH April 2026'!I24+'DAILY TMH April 2026'!E24+'DAILY TMH April 2026'!F24</f>
        <v>1451.9200000000005</v>
      </c>
      <c r="C33" s="119">
        <f>'DAILY TMH April 2026'!J24+'DAILY TMH April 2026'!P24+'DAILY TMH April 2026'!K24+'DAILY TMH April 2026'!Q24+'DAILY TMH April 2026'!M24+'DAILY TMH April 2026'!N24</f>
        <v>1355</v>
      </c>
      <c r="D33" s="138">
        <f>'DAILY TMH April 2026'!U24+'DAILY TMH April 2026'!AC24+'DAILY TMH April 2026'!V24+'DAILY TMH April 2026'!AE24+'DAILY TMH April 2026'!Y24+'DAILY TMH April 2026'!Z24</f>
        <v>0</v>
      </c>
      <c r="E33" s="138">
        <f>'DAILY TMH April 2026'!S24</f>
        <v>0</v>
      </c>
      <c r="F33" s="138">
        <f>'DAILY TMH April 2026'!AF24+'DAILY TMH April 2026'!AI24+'DAILY TMH April 2026'!AG24</f>
        <v>0</v>
      </c>
      <c r="G33" s="144">
        <f>'DAILY TMH April 2026'!AP24+'DAILY TMH April 2026'!AQ24</f>
        <v>0</v>
      </c>
      <c r="H33" s="144">
        <f>'DAILY TMH April 2026'!AS24</f>
        <v>0</v>
      </c>
      <c r="I33" s="122"/>
    </row>
    <row r="34" spans="1:9">
      <c r="A34" s="148">
        <f>'DAILY TMH April 2026'!A25</f>
        <v>46133</v>
      </c>
      <c r="B34" s="119">
        <f>'DAILY TMH April 2026'!B25+'DAILY TMH April 2026'!H25+'DAILY TMH April 2026'!C25+'DAILY TMH April 2026'!I25+'DAILY TMH April 2026'!E25+'DAILY TMH April 2026'!F25</f>
        <v>3063.9600000000005</v>
      </c>
      <c r="C34" s="119">
        <f>'DAILY TMH April 2026'!J25+'DAILY TMH April 2026'!P25+'DAILY TMH April 2026'!K25+'DAILY TMH April 2026'!Q25+'DAILY TMH April 2026'!M25+'DAILY TMH April 2026'!N25</f>
        <v>0</v>
      </c>
      <c r="D34" s="138">
        <f>'DAILY TMH April 2026'!U25+'DAILY TMH April 2026'!AC25+'DAILY TMH April 2026'!V25+'DAILY TMH April 2026'!AE25+'DAILY TMH April 2026'!Y25+'DAILY TMH April 2026'!Z25</f>
        <v>118.24000000000001</v>
      </c>
      <c r="E34" s="138">
        <f>'DAILY TMH April 2026'!S25</f>
        <v>0</v>
      </c>
      <c r="F34" s="138">
        <f>'DAILY TMH April 2026'!AF25+'DAILY TMH April 2026'!AI25+'DAILY TMH April 2026'!AG25</f>
        <v>0</v>
      </c>
      <c r="G34" s="144">
        <f>'DAILY TMH April 2026'!AP25+'DAILY TMH April 2026'!AQ25</f>
        <v>0</v>
      </c>
      <c r="H34" s="144">
        <f>'DAILY TMH April 2026'!AS25</f>
        <v>45.22</v>
      </c>
      <c r="I34" s="122"/>
    </row>
    <row r="35" spans="1:9">
      <c r="A35" s="148">
        <f>'DAILY TMH April 2026'!A26</f>
        <v>46134</v>
      </c>
      <c r="B35" s="119">
        <f>'DAILY TMH April 2026'!B26+'DAILY TMH April 2026'!H26+'DAILY TMH April 2026'!C26+'DAILY TMH April 2026'!I26+'DAILY TMH April 2026'!E26+'DAILY TMH April 2026'!F26</f>
        <v>0</v>
      </c>
      <c r="C35" s="119">
        <f>'DAILY TMH April 2026'!J26+'DAILY TMH April 2026'!P26+'DAILY TMH April 2026'!K26+'DAILY TMH April 2026'!Q26+'DAILY TMH April 2026'!M26+'DAILY TMH April 2026'!N26</f>
        <v>0</v>
      </c>
      <c r="D35" s="138">
        <f>'DAILY TMH April 2026'!U26+'DAILY TMH April 2026'!AC26+'DAILY TMH April 2026'!V26+'DAILY TMH April 2026'!AE26+'DAILY TMH April 2026'!Y26+'DAILY TMH April 2026'!Z26</f>
        <v>0</v>
      </c>
      <c r="E35" s="138">
        <f>'DAILY TMH April 2026'!S26</f>
        <v>0</v>
      </c>
      <c r="F35" s="138">
        <f>'DAILY TMH April 2026'!AF26+'DAILY TMH April 2026'!AI26+'DAILY TMH April 2026'!AG26</f>
        <v>0</v>
      </c>
      <c r="G35" s="144">
        <f>'DAILY TMH April 2026'!AP26+'DAILY TMH April 2026'!AQ26</f>
        <v>0</v>
      </c>
      <c r="H35" s="144">
        <f>'DAILY TMH April 2026'!AS26</f>
        <v>0</v>
      </c>
      <c r="I35" s="122"/>
    </row>
    <row r="36" spans="1:9">
      <c r="A36" s="148">
        <f>'DAILY TMH April 2026'!A27</f>
        <v>46135</v>
      </c>
      <c r="B36" s="119">
        <f>'DAILY TMH April 2026'!B27+'DAILY TMH April 2026'!H27+'DAILY TMH April 2026'!C27+'DAILY TMH April 2026'!I27+'DAILY TMH April 2026'!E27+'DAILY TMH April 2026'!F27</f>
        <v>0</v>
      </c>
      <c r="C36" s="119">
        <f>'DAILY TMH April 2026'!J27+'DAILY TMH April 2026'!P27+'DAILY TMH April 2026'!K27+'DAILY TMH April 2026'!Q27+'DAILY TMH April 2026'!M27+'DAILY TMH April 2026'!N27</f>
        <v>0</v>
      </c>
      <c r="D36" s="138">
        <f>'DAILY TMH April 2026'!U27+'DAILY TMH April 2026'!AC27+'DAILY TMH April 2026'!V27+'DAILY TMH April 2026'!AE27+'DAILY TMH April 2026'!Y27+'DAILY TMH April 2026'!Z27</f>
        <v>0</v>
      </c>
      <c r="E36" s="138">
        <f>'DAILY TMH April 2026'!S27</f>
        <v>0</v>
      </c>
      <c r="F36" s="138">
        <f>'DAILY TMH April 2026'!AF27+'DAILY TMH April 2026'!AI27+'DAILY TMH April 2026'!AG27</f>
        <v>0</v>
      </c>
      <c r="G36" s="144">
        <f>'DAILY TMH April 2026'!AP27+'DAILY TMH April 2026'!AQ27</f>
        <v>0</v>
      </c>
      <c r="H36" s="144">
        <f>'DAILY TMH April 2026'!AS27</f>
        <v>0</v>
      </c>
      <c r="I36" s="122"/>
    </row>
    <row r="37" spans="1:9">
      <c r="A37" s="148">
        <f>'DAILY TMH April 2026'!A28</f>
        <v>46136</v>
      </c>
      <c r="B37" s="119">
        <f>'DAILY TMH April 2026'!B28+'DAILY TMH April 2026'!H28+'DAILY TMH April 2026'!C28+'DAILY TMH April 2026'!I28+'DAILY TMH April 2026'!E28+'DAILY TMH April 2026'!F28</f>
        <v>0</v>
      </c>
      <c r="C37" s="119">
        <f>'DAILY TMH April 2026'!J28+'DAILY TMH April 2026'!P28+'DAILY TMH April 2026'!K28+'DAILY TMH April 2026'!Q28+'DAILY TMH April 2026'!M28+'DAILY TMH April 2026'!N28</f>
        <v>0</v>
      </c>
      <c r="D37" s="138">
        <f>'DAILY TMH April 2026'!U28+'DAILY TMH April 2026'!AC28+'DAILY TMH April 2026'!V28+'DAILY TMH April 2026'!AE28+'DAILY TMH April 2026'!Y28+'DAILY TMH April 2026'!Z28</f>
        <v>0</v>
      </c>
      <c r="E37" s="138">
        <f>'DAILY TMH April 2026'!S28</f>
        <v>0</v>
      </c>
      <c r="F37" s="138">
        <f>'DAILY TMH April 2026'!AF28+'DAILY TMH April 2026'!AI28+'DAILY TMH April 2026'!AG28</f>
        <v>0</v>
      </c>
      <c r="G37" s="144">
        <f>'DAILY TMH April 2026'!AP28+'DAILY TMH April 2026'!AQ28</f>
        <v>0</v>
      </c>
      <c r="H37" s="144">
        <f>'DAILY TMH April 2026'!AS28</f>
        <v>0</v>
      </c>
      <c r="I37" s="122"/>
    </row>
    <row r="38" spans="1:9">
      <c r="A38" s="148">
        <f>'DAILY TMH April 2026'!A29</f>
        <v>46137</v>
      </c>
      <c r="B38" s="119">
        <f>'DAILY TMH April 2026'!B29+'DAILY TMH April 2026'!H29+'DAILY TMH April 2026'!C29+'DAILY TMH April 2026'!I29+'DAILY TMH April 2026'!E29+'DAILY TMH April 2026'!F29</f>
        <v>0</v>
      </c>
      <c r="C38" s="119">
        <f>'DAILY TMH April 2026'!J29+'DAILY TMH April 2026'!P29+'DAILY TMH April 2026'!K29+'DAILY TMH April 2026'!Q29+'DAILY TMH April 2026'!M29+'DAILY TMH April 2026'!N29</f>
        <v>0</v>
      </c>
      <c r="D38" s="138">
        <f>'DAILY TMH April 2026'!U29+'DAILY TMH April 2026'!AC29+'DAILY TMH April 2026'!V29+'DAILY TMH April 2026'!AE29+'DAILY TMH April 2026'!Y29+'DAILY TMH April 2026'!Z29</f>
        <v>0</v>
      </c>
      <c r="E38" s="138">
        <f>'DAILY TMH April 2026'!S29</f>
        <v>0</v>
      </c>
      <c r="F38" s="138">
        <f>'DAILY TMH April 2026'!AF29+'DAILY TMH April 2026'!AI29+'DAILY TMH April 2026'!AG29</f>
        <v>0</v>
      </c>
      <c r="G38" s="144">
        <f>'DAILY TMH April 2026'!AP29+'DAILY TMH April 2026'!AQ29</f>
        <v>0</v>
      </c>
      <c r="H38" s="144">
        <f>'DAILY TMH April 2026'!AS29</f>
        <v>0</v>
      </c>
      <c r="I38" s="122"/>
    </row>
    <row r="39" spans="1:9">
      <c r="A39" s="148">
        <f>'DAILY TMH April 2026'!A30</f>
        <v>46138</v>
      </c>
      <c r="B39" s="119">
        <f>'DAILY TMH April 2026'!B30+'DAILY TMH April 2026'!H30+'DAILY TMH April 2026'!C30+'DAILY TMH April 2026'!I30+'DAILY TMH April 2026'!E30+'DAILY TMH April 2026'!F30</f>
        <v>0</v>
      </c>
      <c r="C39" s="119">
        <f>'DAILY TMH April 2026'!J30+'DAILY TMH April 2026'!P30+'DAILY TMH April 2026'!K30+'DAILY TMH April 2026'!Q30+'DAILY TMH April 2026'!M30+'DAILY TMH April 2026'!N30</f>
        <v>0</v>
      </c>
      <c r="D39" s="138">
        <f>'DAILY TMH April 2026'!U30+'DAILY TMH April 2026'!AC30+'DAILY TMH April 2026'!V30+'DAILY TMH April 2026'!AE30+'DAILY TMH April 2026'!Y30+'DAILY TMH April 2026'!Z30</f>
        <v>0</v>
      </c>
      <c r="E39" s="138">
        <f>'DAILY TMH April 2026'!S30</f>
        <v>0</v>
      </c>
      <c r="F39" s="138">
        <f>'DAILY TMH April 2026'!AF30+'DAILY TMH April 2026'!AI30+'DAILY TMH April 2026'!AG30</f>
        <v>0</v>
      </c>
      <c r="G39" s="144">
        <f>'DAILY TMH April 2026'!AP30+'DAILY TMH April 2026'!AQ30</f>
        <v>0</v>
      </c>
      <c r="H39" s="144">
        <f>'DAILY TMH April 2026'!AS30</f>
        <v>0</v>
      </c>
      <c r="I39" s="122"/>
    </row>
    <row r="40" spans="1:9">
      <c r="A40" s="148">
        <f>'DAILY TMH April 2026'!A31</f>
        <v>46139</v>
      </c>
      <c r="B40" s="119">
        <f>'DAILY TMH April 2026'!B31+'DAILY TMH April 2026'!H31+'DAILY TMH April 2026'!C31+'DAILY TMH April 2026'!I31+'DAILY TMH April 2026'!E31+'DAILY TMH April 2026'!F31</f>
        <v>0</v>
      </c>
      <c r="C40" s="119">
        <f>'DAILY TMH April 2026'!J31+'DAILY TMH April 2026'!P31+'DAILY TMH April 2026'!K31+'DAILY TMH April 2026'!Q31+'DAILY TMH April 2026'!M31+'DAILY TMH April 2026'!N31</f>
        <v>0</v>
      </c>
      <c r="D40" s="138">
        <f>'DAILY TMH April 2026'!U31+'DAILY TMH April 2026'!AC31+'DAILY TMH April 2026'!V31+'DAILY TMH April 2026'!AE31+'DAILY TMH April 2026'!Y31+'DAILY TMH April 2026'!Z31</f>
        <v>0</v>
      </c>
      <c r="E40" s="138">
        <f>'DAILY TMH April 2026'!S31</f>
        <v>0</v>
      </c>
      <c r="F40" s="138">
        <f>'DAILY TMH April 2026'!AF31+'DAILY TMH April 2026'!AI31+'DAILY TMH April 2026'!AG31</f>
        <v>0</v>
      </c>
      <c r="G40" s="144">
        <f>'DAILY TMH April 2026'!AP31+'DAILY TMH April 2026'!AQ31</f>
        <v>0</v>
      </c>
      <c r="H40" s="144">
        <f>'DAILY TMH April 2026'!AS31</f>
        <v>0</v>
      </c>
      <c r="I40" s="122"/>
    </row>
    <row r="41" spans="1:9">
      <c r="A41" s="148">
        <f>'DAILY TMH April 2026'!A32</f>
        <v>46140</v>
      </c>
      <c r="B41" s="119">
        <f>'DAILY TMH April 2026'!B32+'DAILY TMH April 2026'!H32+'DAILY TMH April 2026'!C32+'DAILY TMH April 2026'!I32+'DAILY TMH April 2026'!E32+'DAILY TMH April 2026'!F32</f>
        <v>0</v>
      </c>
      <c r="C41" s="119">
        <f>'DAILY TMH April 2026'!J32+'DAILY TMH April 2026'!P32+'DAILY TMH April 2026'!K32+'DAILY TMH April 2026'!Q32+'DAILY TMH April 2026'!M32+'DAILY TMH April 2026'!N32</f>
        <v>0</v>
      </c>
      <c r="D41" s="138">
        <f>'DAILY TMH April 2026'!U32+'DAILY TMH April 2026'!AC32+'DAILY TMH April 2026'!V32+'DAILY TMH April 2026'!AE32+'DAILY TMH April 2026'!Y32+'DAILY TMH April 2026'!Z32</f>
        <v>0</v>
      </c>
      <c r="E41" s="138">
        <f>'DAILY TMH April 2026'!S32</f>
        <v>0</v>
      </c>
      <c r="F41" s="138">
        <f>'DAILY TMH April 2026'!AF32+'DAILY TMH April 2026'!AI32+'DAILY TMH April 2026'!AG32</f>
        <v>0</v>
      </c>
      <c r="G41" s="144">
        <f>'DAILY TMH April 2026'!AP32+'DAILY TMH April 2026'!AQ32</f>
        <v>0</v>
      </c>
      <c r="H41" s="144">
        <f>'DAILY TMH April 2026'!AS32</f>
        <v>0</v>
      </c>
      <c r="I41" s="122"/>
    </row>
    <row r="42" spans="1:9">
      <c r="A42" s="148">
        <f>'DAILY TMH April 2026'!A33</f>
        <v>46141</v>
      </c>
      <c r="B42" s="119">
        <f>'DAILY TMH April 2026'!B33+'DAILY TMH April 2026'!H33+'DAILY TMH April 2026'!C33+'DAILY TMH April 2026'!I33+'DAILY TMH April 2026'!E33+'DAILY TMH April 2026'!F33</f>
        <v>0</v>
      </c>
      <c r="C42" s="119">
        <f>'DAILY TMH April 2026'!J33+'DAILY TMH April 2026'!P33+'DAILY TMH April 2026'!K33+'DAILY TMH April 2026'!Q33+'DAILY TMH April 2026'!M33+'DAILY TMH April 2026'!N33</f>
        <v>0</v>
      </c>
      <c r="D42" s="138">
        <f>'DAILY TMH April 2026'!U33+'DAILY TMH April 2026'!AC33+'DAILY TMH April 2026'!V33+'DAILY TMH April 2026'!AE33+'DAILY TMH April 2026'!Y33+'DAILY TMH April 2026'!Z33</f>
        <v>0</v>
      </c>
      <c r="E42" s="138">
        <f>'DAILY TMH April 2026'!S33</f>
        <v>0</v>
      </c>
      <c r="F42" s="138">
        <f>'DAILY TMH April 2026'!AF33+'DAILY TMH April 2026'!AI33+'DAILY TMH April 2026'!AG33</f>
        <v>0</v>
      </c>
      <c r="G42" s="144">
        <f>'DAILY TMH April 2026'!AP33+'DAILY TMH April 2026'!AQ33</f>
        <v>0</v>
      </c>
      <c r="H42" s="144">
        <f>'DAILY TMH April 2026'!AS33</f>
        <v>0</v>
      </c>
      <c r="I42" s="122"/>
    </row>
    <row r="43" spans="1:9">
      <c r="A43" s="148">
        <f>'DAILY TMH April 2026'!A34</f>
        <v>46142</v>
      </c>
      <c r="B43" s="119">
        <f>'DAILY TMH April 2026'!B34+'DAILY TMH April 2026'!H34+'DAILY TMH April 2026'!C34+'DAILY TMH April 2026'!I34+'DAILY TMH April 2026'!E34+'DAILY TMH April 2026'!F34</f>
        <v>0</v>
      </c>
      <c r="C43" s="119">
        <f>'DAILY TMH April 2026'!J34+'DAILY TMH April 2026'!P34+'DAILY TMH April 2026'!K34+'DAILY TMH April 2026'!Q34+'DAILY TMH April 2026'!M34+'DAILY TMH April 2026'!N34</f>
        <v>0</v>
      </c>
      <c r="D43" s="138">
        <f>'DAILY TMH April 2026'!U34+'DAILY TMH April 2026'!AC34+'DAILY TMH April 2026'!V34+'DAILY TMH April 2026'!AE34+'DAILY TMH April 2026'!Y34+'DAILY TMH April 2026'!Z34</f>
        <v>0</v>
      </c>
      <c r="E43" s="138">
        <f>'DAILY TMH April 2026'!S34</f>
        <v>0</v>
      </c>
      <c r="F43" s="138">
        <f>'DAILY TMH April 2026'!AF34+'DAILY TMH April 2026'!AI34+'DAILY TMH April 2026'!AG34</f>
        <v>0</v>
      </c>
      <c r="G43" s="144">
        <f>'DAILY TMH April 2026'!AP34+'DAILY TMH April 2026'!AQ34</f>
        <v>0</v>
      </c>
      <c r="H43" s="144">
        <f>'DAILY TMH April 2026'!AS34</f>
        <v>0</v>
      </c>
      <c r="I43" s="122"/>
    </row>
    <row r="44" spans="1:9">
      <c r="A44" s="148">
        <f>'DAILY TMH April 2026'!A35</f>
        <v>0</v>
      </c>
      <c r="B44" s="119">
        <f>'DAILY TMH April 2026'!B35+'DAILY TMH April 2026'!H35+'DAILY TMH April 2026'!C35+'DAILY TMH April 2026'!I35+'DAILY TMH April 2026'!E35+'DAILY TMH April 2026'!F35</f>
        <v>0</v>
      </c>
      <c r="C44" s="119">
        <f>'DAILY TMH April 2026'!J35+'DAILY TMH April 2026'!P35+'DAILY TMH April 2026'!K35+'DAILY TMH April 2026'!Q35+'DAILY TMH April 2026'!M35+'DAILY TMH April 2026'!N35</f>
        <v>0</v>
      </c>
      <c r="D44" s="138">
        <f>'DAILY TMH April 2026'!U35+'DAILY TMH April 2026'!AC35+'DAILY TMH April 2026'!V35+'DAILY TMH April 2026'!AE35+'DAILY TMH April 2026'!Y35+'DAILY TMH April 2026'!Z35</f>
        <v>0</v>
      </c>
      <c r="E44" s="138">
        <f>'DAILY TMH April 2026'!S35</f>
        <v>0</v>
      </c>
      <c r="F44" s="138">
        <f>'DAILY TMH April 2026'!AF35+'DAILY TMH April 2026'!AI35+'DAILY TMH April 2026'!AG35</f>
        <v>0</v>
      </c>
      <c r="G44" s="144">
        <f>'DAILY TMH April 2026'!AP35+'DAILY TMH April 2026'!AQ35</f>
        <v>0</v>
      </c>
      <c r="H44" s="144">
        <f>'DAILY TMH April 2026'!AS35</f>
        <v>0</v>
      </c>
      <c r="I44" s="122"/>
    </row>
    <row r="45" spans="1:9">
      <c r="A45" s="134"/>
      <c r="B45" s="144">
        <f>SUM(B14:B44)</f>
        <v>19147.66</v>
      </c>
      <c r="C45" s="144">
        <f t="shared" ref="C45:H45" si="2">SUM(C14:C44)</f>
        <v>28731.239999999994</v>
      </c>
      <c r="D45" s="144">
        <f t="shared" si="2"/>
        <v>594.1400000000001</v>
      </c>
      <c r="E45" s="144">
        <f t="shared" si="2"/>
        <v>0</v>
      </c>
      <c r="F45" s="144">
        <f t="shared" si="2"/>
        <v>0</v>
      </c>
      <c r="G45" s="144">
        <f t="shared" si="2"/>
        <v>0</v>
      </c>
      <c r="H45" s="144">
        <f t="shared" si="2"/>
        <v>137.76</v>
      </c>
      <c r="I45" s="122"/>
    </row>
    <row r="46" spans="1:9">
      <c r="A46" s="135"/>
      <c r="B46" s="144">
        <f t="shared" ref="B46:H46" si="3">B45</f>
        <v>19147.66</v>
      </c>
      <c r="C46" s="144">
        <f t="shared" si="3"/>
        <v>28731.239999999994</v>
      </c>
      <c r="D46" s="144">
        <f t="shared" si="3"/>
        <v>594.1400000000001</v>
      </c>
      <c r="E46" s="144">
        <f t="shared" si="3"/>
        <v>0</v>
      </c>
      <c r="F46" s="144">
        <f t="shared" si="3"/>
        <v>0</v>
      </c>
      <c r="G46" s="144">
        <f t="shared" si="3"/>
        <v>0</v>
      </c>
      <c r="H46" s="144">
        <f t="shared" si="3"/>
        <v>137.76</v>
      </c>
      <c r="I46" s="122"/>
    </row>
    <row r="47" spans="1:9">
      <c r="A47" s="135"/>
      <c r="B47" s="145">
        <f t="shared" ref="B47:H47" si="4">B46/SUM($B$46:$H$46)</f>
        <v>0.39389724094234208</v>
      </c>
      <c r="C47" s="145">
        <f t="shared" si="4"/>
        <v>0.59104643412574975</v>
      </c>
      <c r="D47" s="145">
        <f t="shared" si="4"/>
        <v>1.2222386794704061E-2</v>
      </c>
      <c r="E47" s="145">
        <f t="shared" si="4"/>
        <v>0</v>
      </c>
      <c r="F47" s="145">
        <f t="shared" si="4"/>
        <v>0</v>
      </c>
      <c r="G47" s="145">
        <f t="shared" si="4"/>
        <v>0</v>
      </c>
      <c r="H47" s="145">
        <f t="shared" si="4"/>
        <v>2.8339381372040782E-3</v>
      </c>
      <c r="I47" s="122"/>
    </row>
    <row r="48" spans="1:9">
      <c r="A48" s="176" t="s">
        <v>12</v>
      </c>
      <c r="B48" s="171" t="s">
        <v>16</v>
      </c>
      <c r="C48" s="172"/>
      <c r="D48" s="172"/>
      <c r="E48" s="172"/>
      <c r="F48" s="173"/>
      <c r="G48" s="141"/>
      <c r="H48" s="141"/>
      <c r="I48" s="122"/>
    </row>
    <row r="49" spans="1:9">
      <c r="A49" s="176"/>
      <c r="B49" s="146" t="s">
        <v>6</v>
      </c>
      <c r="C49" s="146" t="s">
        <v>7</v>
      </c>
      <c r="D49" s="146" t="s">
        <v>13</v>
      </c>
      <c r="E49" s="146" t="s">
        <v>14</v>
      </c>
      <c r="F49" s="146" t="s">
        <v>10</v>
      </c>
      <c r="G49" s="147"/>
      <c r="H49" s="141"/>
      <c r="I49" s="122"/>
    </row>
    <row r="50" spans="1:9">
      <c r="A50" s="148">
        <f>'DAILY TMH April 2026'!A5</f>
        <v>46113</v>
      </c>
      <c r="B50" s="144">
        <f>C5</f>
        <v>44414.57</v>
      </c>
      <c r="C50" s="144">
        <f>C6</f>
        <v>394234.2</v>
      </c>
      <c r="D50" s="144">
        <f>C8</f>
        <v>11123.38</v>
      </c>
      <c r="E50" s="144">
        <f>C7</f>
        <v>9895.6200000000008</v>
      </c>
      <c r="F50" s="144">
        <f>C9</f>
        <v>148.76</v>
      </c>
      <c r="G50" s="147"/>
      <c r="H50" s="141"/>
      <c r="I50" s="122"/>
    </row>
    <row r="51" spans="1:9">
      <c r="A51" s="148">
        <f>'DAILY TMH April 2026'!A6</f>
        <v>46114</v>
      </c>
      <c r="B51" s="144">
        <f>(B50+'DAILY TMH April 2026'!D5+'DAILY TMH April 2026'!G5)-('DAILY TMH April 2026'!H5+'DAILY TMH April 2026'!I5)</f>
        <v>44414.57</v>
      </c>
      <c r="C51" s="144">
        <f>(C50+'DAILY TMH April 2026'!L5+'DAILY TMH April 2026'!O5)-('DAILY TMH April 2026'!P5+'DAILY TMH April 2026'!Q5+'DAILY TMH April 2026'!R5+'DAILY TMH April 2026'!AW5+'DAILY TMH April 2026'!AX5+'DAILY TMH April 2026'!AY5)</f>
        <v>394511.46</v>
      </c>
      <c r="D51" s="144">
        <f>(D50+'DAILY TMH April 2026'!W5+'DAILY TMH April 2026'!AA5)-('DAILY TMH April 2026'!AC5+'DAILY TMH April 2026'!AD5+'DAILY TMH April 2026'!AE5)</f>
        <v>11123.38</v>
      </c>
      <c r="E51" s="144">
        <f>(E50+'DAILY TMH April 2026'!AH5)-('DAILY TMH April 2026'!AI5)</f>
        <v>9895.6200000000008</v>
      </c>
      <c r="F51" s="144">
        <f>(F50+'DAILY TMH April 2026'!AT5)-'DAILY TMH April 2026'!AR5-'DAILY TMH April 2026'!AS5</f>
        <v>148.76</v>
      </c>
      <c r="G51" s="147"/>
      <c r="H51" s="141"/>
      <c r="I51" s="122"/>
    </row>
    <row r="52" spans="1:9">
      <c r="A52" s="148">
        <f>'DAILY TMH April 2026'!A7</f>
        <v>46115</v>
      </c>
      <c r="B52" s="144">
        <f>(B51+'DAILY TMH April 2026'!D6+'DAILY TMH April 2026'!G6)-('DAILY TMH April 2026'!H6+'DAILY TMH April 2026'!I6)</f>
        <v>44414.57</v>
      </c>
      <c r="C52" s="144">
        <f>(C51+'DAILY TMH April 2026'!L6+'DAILY TMH April 2026'!O6)-('DAILY TMH April 2026'!P6+'DAILY TMH April 2026'!Q6+'DAILY TMH April 2026'!R6+'DAILY TMH April 2026'!AW6+'DAILY TMH April 2026'!AX6+'DAILY TMH April 2026'!AY6)</f>
        <v>394428.42000000004</v>
      </c>
      <c r="D52" s="144">
        <f>(D51+'DAILY TMH April 2026'!W6+'DAILY TMH April 2026'!AA6)-('DAILY TMH April 2026'!AC6+'DAILY TMH April 2026'!AD6+'DAILY TMH April 2026'!AE6)</f>
        <v>11123.38</v>
      </c>
      <c r="E52" s="144">
        <f>(E51+'DAILY TMH April 2026'!AH6)-('DAILY TMH April 2026'!AI6)</f>
        <v>9895.6200000000008</v>
      </c>
      <c r="F52" s="144">
        <f>(F51+'DAILY TMH April 2026'!AT6)-'DAILY TMH April 2026'!AR6-'DAILY TMH April 2026'!AS6</f>
        <v>148.76</v>
      </c>
      <c r="G52" s="147"/>
      <c r="H52" s="141"/>
      <c r="I52" s="122"/>
    </row>
    <row r="53" spans="1:9">
      <c r="A53" s="148">
        <f>'DAILY TMH April 2026'!A8</f>
        <v>46116</v>
      </c>
      <c r="B53" s="144">
        <f>(B52+'DAILY TMH April 2026'!D7+'DAILY TMH April 2026'!G7)-('DAILY TMH April 2026'!H7+'DAILY TMH April 2026'!I7)</f>
        <v>44765.31</v>
      </c>
      <c r="C53" s="144">
        <f>(C52+'DAILY TMH April 2026'!L7+'DAILY TMH April 2026'!O7)-('DAILY TMH April 2026'!P7+'DAILY TMH April 2026'!Q7+'DAILY TMH April 2026'!R7+'DAILY TMH April 2026'!AW7+'DAILY TMH April 2026'!AX7+'DAILY TMH April 2026'!AY7)</f>
        <v>395085.88000000006</v>
      </c>
      <c r="D53" s="144">
        <f>(D52+'DAILY TMH April 2026'!W7+'DAILY TMH April 2026'!AA7)-('DAILY TMH April 2026'!AC7+'DAILY TMH April 2026'!AD7+'DAILY TMH April 2026'!AE7)</f>
        <v>11123.38</v>
      </c>
      <c r="E53" s="144">
        <f>(E52+'DAILY TMH April 2026'!AH7)-('DAILY TMH April 2026'!AI7)</f>
        <v>9895.6200000000008</v>
      </c>
      <c r="F53" s="144">
        <f>(F52+'DAILY TMH April 2026'!AT7)-'DAILY TMH April 2026'!AR7-'DAILY TMH April 2026'!AS7</f>
        <v>148.76</v>
      </c>
      <c r="G53" s="147"/>
      <c r="H53" s="141"/>
      <c r="I53" s="122"/>
    </row>
    <row r="54" spans="1:9">
      <c r="A54" s="148">
        <f>'DAILY TMH April 2026'!A9</f>
        <v>46117</v>
      </c>
      <c r="B54" s="144">
        <f>(B53+'DAILY TMH April 2026'!D8+'DAILY TMH April 2026'!G8)-('DAILY TMH April 2026'!H8+'DAILY TMH April 2026'!I8)</f>
        <v>45547.01</v>
      </c>
      <c r="C54" s="144">
        <f>(C53+'DAILY TMH April 2026'!L8+'DAILY TMH April 2026'!O8)-('DAILY TMH April 2026'!P8+'DAILY TMH April 2026'!Q8+'DAILY TMH April 2026'!R8+'DAILY TMH April 2026'!AW8+'DAILY TMH April 2026'!AX8+'DAILY TMH April 2026'!AY8)</f>
        <v>395085.88000000006</v>
      </c>
      <c r="D54" s="144">
        <f>(D53+'DAILY TMH April 2026'!W8+'DAILY TMH April 2026'!AA8)-('DAILY TMH April 2026'!AC8+'DAILY TMH April 2026'!AD8+'DAILY TMH April 2026'!AE8)</f>
        <v>11123.38</v>
      </c>
      <c r="E54" s="144">
        <f>(E53+'DAILY TMH April 2026'!AH8)-('DAILY TMH April 2026'!AI8)</f>
        <v>9895.6200000000008</v>
      </c>
      <c r="F54" s="144">
        <f>(F53+'DAILY TMH April 2026'!AT8)-'DAILY TMH April 2026'!AR8-'DAILY TMH April 2026'!AS8</f>
        <v>148.76</v>
      </c>
      <c r="G54" s="147"/>
      <c r="H54" s="141"/>
      <c r="I54" s="122"/>
    </row>
    <row r="55" spans="1:9">
      <c r="A55" s="148">
        <f>'DAILY TMH April 2026'!A10</f>
        <v>46118</v>
      </c>
      <c r="B55" s="144">
        <f>(B54+'DAILY TMH April 2026'!D9+'DAILY TMH April 2026'!G9)-('DAILY TMH April 2026'!H9+'DAILY TMH April 2026'!I9)</f>
        <v>45507.55</v>
      </c>
      <c r="C55" s="144">
        <f>(C54+'DAILY TMH April 2026'!L9+'DAILY TMH April 2026'!O9)-('DAILY TMH April 2026'!P9+'DAILY TMH April 2026'!Q9+'DAILY TMH April 2026'!R9+'DAILY TMH April 2026'!AW9+'DAILY TMH April 2026'!AX9+'DAILY TMH April 2026'!AY9)</f>
        <v>396682.36000000004</v>
      </c>
      <c r="D55" s="144">
        <f>(D54+'DAILY TMH April 2026'!W9+'DAILY TMH April 2026'!AA9)-('DAILY TMH April 2026'!AC9+'DAILY TMH April 2026'!AD9+'DAILY TMH April 2026'!AE9)</f>
        <v>11123.38</v>
      </c>
      <c r="E55" s="144">
        <f>(E54+'DAILY TMH April 2026'!AH9)-('DAILY TMH April 2026'!AI9)</f>
        <v>9895.6200000000008</v>
      </c>
      <c r="F55" s="144">
        <f>(F54+'DAILY TMH April 2026'!AT9)-'DAILY TMH April 2026'!AR9-'DAILY TMH April 2026'!AS9</f>
        <v>148.76</v>
      </c>
      <c r="G55" s="147"/>
      <c r="H55" s="141"/>
      <c r="I55" s="122"/>
    </row>
    <row r="56" spans="1:9">
      <c r="A56" s="148">
        <f>'DAILY TMH April 2026'!A11</f>
        <v>46119</v>
      </c>
      <c r="B56" s="144">
        <f>(B55+'DAILY TMH April 2026'!D10+'DAILY TMH April 2026'!G10)-('DAILY TMH April 2026'!H10+'DAILY TMH April 2026'!I10)</f>
        <v>46263.87</v>
      </c>
      <c r="C56" s="144">
        <f>(C55+'DAILY TMH April 2026'!L10+'DAILY TMH April 2026'!O10)-('DAILY TMH April 2026'!P10+'DAILY TMH April 2026'!Q10+'DAILY TMH April 2026'!R10+'DAILY TMH April 2026'!AW10+'DAILY TMH April 2026'!AX10+'DAILY TMH April 2026'!AY10)</f>
        <v>396744.48000000004</v>
      </c>
      <c r="D56" s="144">
        <f>(D55+'DAILY TMH April 2026'!W10+'DAILY TMH April 2026'!AA10)-('DAILY TMH April 2026'!AC10+'DAILY TMH April 2026'!AD10+'DAILY TMH April 2026'!AE10)</f>
        <v>11123.38</v>
      </c>
      <c r="E56" s="144">
        <f>(E55+'DAILY TMH April 2026'!AH10)-('DAILY TMH April 2026'!AI10)</f>
        <v>9895.6200000000008</v>
      </c>
      <c r="F56" s="144">
        <f>(F55+'DAILY TMH April 2026'!AT10)-'DAILY TMH April 2026'!AR10-'DAILY TMH April 2026'!AS10</f>
        <v>148.76</v>
      </c>
      <c r="G56" s="147"/>
      <c r="H56" s="141"/>
      <c r="I56" s="122"/>
    </row>
    <row r="57" spans="1:9">
      <c r="A57" s="148">
        <f>'DAILY TMH April 2026'!A12</f>
        <v>46120</v>
      </c>
      <c r="B57" s="144">
        <f>(B56+'DAILY TMH April 2026'!D11+'DAILY TMH April 2026'!G11)-('DAILY TMH April 2026'!H11+'DAILY TMH April 2026'!I11)</f>
        <v>45095.07</v>
      </c>
      <c r="C57" s="144">
        <f>(C56+'DAILY TMH April 2026'!L11+'DAILY TMH April 2026'!O11)-('DAILY TMH April 2026'!P11+'DAILY TMH April 2026'!Q11+'DAILY TMH April 2026'!R11+'DAILY TMH April 2026'!AW11+'DAILY TMH April 2026'!AX11+'DAILY TMH April 2026'!AY11)</f>
        <v>395791.04000000004</v>
      </c>
      <c r="D57" s="144">
        <f>(D56+'DAILY TMH April 2026'!W11+'DAILY TMH April 2026'!AA11)-('DAILY TMH April 2026'!AC11+'DAILY TMH April 2026'!AD11+'DAILY TMH April 2026'!AE11)</f>
        <v>11123.38</v>
      </c>
      <c r="E57" s="144">
        <f>(E56+'DAILY TMH April 2026'!AH11)-('DAILY TMH April 2026'!AI11)</f>
        <v>9895.6200000000008</v>
      </c>
      <c r="F57" s="144">
        <f>(F56+'DAILY TMH April 2026'!AT11)-'DAILY TMH April 2026'!AR11-'DAILY TMH April 2026'!AS11</f>
        <v>148.76</v>
      </c>
      <c r="G57" s="147"/>
      <c r="H57" s="141"/>
      <c r="I57" s="122"/>
    </row>
    <row r="58" spans="1:9">
      <c r="A58" s="148">
        <f>'DAILY TMH April 2026'!A13</f>
        <v>46121</v>
      </c>
      <c r="B58" s="144">
        <f>(B57+'DAILY TMH April 2026'!D12+'DAILY TMH April 2026'!G12)-('DAILY TMH April 2026'!H12+'DAILY TMH April 2026'!I12)</f>
        <v>45283.009999999995</v>
      </c>
      <c r="C58" s="144">
        <f>(C57+'DAILY TMH April 2026'!L12+'DAILY TMH April 2026'!O12)-('DAILY TMH April 2026'!P12+'DAILY TMH April 2026'!Q12+'DAILY TMH April 2026'!R12+'DAILY TMH April 2026'!AW12+'DAILY TMH April 2026'!AX12+'DAILY TMH April 2026'!AY12)</f>
        <v>393379.82000000007</v>
      </c>
      <c r="D58" s="144">
        <f>(D57+'DAILY TMH April 2026'!W12+'DAILY TMH April 2026'!AA12)-('DAILY TMH April 2026'!AC12+'DAILY TMH April 2026'!AD12+'DAILY TMH April 2026'!AE12)</f>
        <v>11123.38</v>
      </c>
      <c r="E58" s="144">
        <f>(E57+'DAILY TMH April 2026'!AH12)-('DAILY TMH April 2026'!AI12)</f>
        <v>9895.6200000000008</v>
      </c>
      <c r="F58" s="144">
        <f>(F57+'DAILY TMH April 2026'!AT12)-'DAILY TMH April 2026'!AR12-'DAILY TMH April 2026'!AS12</f>
        <v>148.76</v>
      </c>
      <c r="G58" s="147"/>
      <c r="H58" s="141"/>
      <c r="I58" s="122"/>
    </row>
    <row r="59" spans="1:9">
      <c r="A59" s="148">
        <f>'DAILY TMH April 2026'!A14</f>
        <v>46122</v>
      </c>
      <c r="B59" s="144">
        <f>(B58+'DAILY TMH April 2026'!D13+'DAILY TMH April 2026'!G13)-('DAILY TMH April 2026'!H13+'DAILY TMH April 2026'!I13)</f>
        <v>45283.009999999995</v>
      </c>
      <c r="C59" s="144">
        <f>(C58+'DAILY TMH April 2026'!L13+'DAILY TMH April 2026'!O13)-('DAILY TMH April 2026'!P13+'DAILY TMH April 2026'!Q13+'DAILY TMH April 2026'!R13+'DAILY TMH April 2026'!AW13+'DAILY TMH April 2026'!AX13+'DAILY TMH April 2026'!AY13)</f>
        <v>390415.06000000006</v>
      </c>
      <c r="D59" s="144">
        <f>(D58+'DAILY TMH April 2026'!W13+'DAILY TMH April 2026'!AA13)-('DAILY TMH April 2026'!AC13+'DAILY TMH April 2026'!AD13+'DAILY TMH April 2026'!AE13)</f>
        <v>11123.38</v>
      </c>
      <c r="E59" s="144">
        <f>(E58+'DAILY TMH April 2026'!AH13)-('DAILY TMH April 2026'!AI13)</f>
        <v>9895.6200000000008</v>
      </c>
      <c r="F59" s="144">
        <f>(F58+'DAILY TMH April 2026'!AT13)-'DAILY TMH April 2026'!AR13-'DAILY TMH April 2026'!AS13</f>
        <v>148.76</v>
      </c>
      <c r="G59" s="147"/>
      <c r="H59" s="141"/>
      <c r="I59" s="122"/>
    </row>
    <row r="60" spans="1:9">
      <c r="A60" s="148">
        <f>'DAILY TMH April 2026'!A15</f>
        <v>46123</v>
      </c>
      <c r="B60" s="144">
        <f>(B59+'DAILY TMH April 2026'!D14+'DAILY TMH April 2026'!G14)-('DAILY TMH April 2026'!H14+'DAILY TMH April 2026'!I14)</f>
        <v>43824.869999999995</v>
      </c>
      <c r="C60" s="144">
        <f>(C59+'DAILY TMH April 2026'!L14+'DAILY TMH April 2026'!O14)-('DAILY TMH April 2026'!P14+'DAILY TMH April 2026'!Q14+'DAILY TMH April 2026'!R14+'DAILY TMH April 2026'!AW14+'DAILY TMH April 2026'!AX14+'DAILY TMH April 2026'!AY14)</f>
        <v>389232.84000000008</v>
      </c>
      <c r="D60" s="144">
        <f>(D59+'DAILY TMH April 2026'!W14+'DAILY TMH April 2026'!AA14)-('DAILY TMH April 2026'!AC14+'DAILY TMH April 2026'!AD14+'DAILY TMH April 2026'!AE14)</f>
        <v>11123.38</v>
      </c>
      <c r="E60" s="144">
        <f>(E59+'DAILY TMH April 2026'!AH14)-('DAILY TMH April 2026'!AI14)</f>
        <v>9895.6200000000008</v>
      </c>
      <c r="F60" s="144">
        <f>(F59+'DAILY TMH April 2026'!AT14)-'DAILY TMH April 2026'!AR14-'DAILY TMH April 2026'!AS14</f>
        <v>148.76</v>
      </c>
      <c r="G60" s="147"/>
      <c r="H60" s="141"/>
      <c r="I60" s="122"/>
    </row>
    <row r="61" spans="1:9">
      <c r="A61" s="148">
        <f>'DAILY TMH April 2026'!A16</f>
        <v>46124</v>
      </c>
      <c r="B61" s="144">
        <f>(B60+'DAILY TMH April 2026'!D15+'DAILY TMH April 2026'!G15)-('DAILY TMH April 2026'!H15+'DAILY TMH April 2026'!I15)</f>
        <v>42792.03</v>
      </c>
      <c r="C61" s="144">
        <f>(C60+'DAILY TMH April 2026'!L15+'DAILY TMH April 2026'!O15)-('DAILY TMH April 2026'!P15+'DAILY TMH April 2026'!Q15+'DAILY TMH April 2026'!R15+'DAILY TMH April 2026'!AW15+'DAILY TMH April 2026'!AX15+'DAILY TMH April 2026'!AY15)</f>
        <v>386983.38000000006</v>
      </c>
      <c r="D61" s="144">
        <f>(D60+'DAILY TMH April 2026'!W15+'DAILY TMH April 2026'!AA15)-('DAILY TMH April 2026'!AC15+'DAILY TMH April 2026'!AD15+'DAILY TMH April 2026'!AE15)</f>
        <v>11123.38</v>
      </c>
      <c r="E61" s="144">
        <f>(E60+'DAILY TMH April 2026'!AH15)-('DAILY TMH April 2026'!AI15)</f>
        <v>9895.6200000000008</v>
      </c>
      <c r="F61" s="144">
        <f>(F60+'DAILY TMH April 2026'!AT15)-'DAILY TMH April 2026'!AR15-'DAILY TMH April 2026'!AS15</f>
        <v>148.76</v>
      </c>
      <c r="G61" s="147"/>
      <c r="H61" s="141"/>
      <c r="I61" s="122"/>
    </row>
    <row r="62" spans="1:9">
      <c r="A62" s="148">
        <f>'DAILY TMH April 2026'!A17</f>
        <v>46125</v>
      </c>
      <c r="B62" s="144">
        <f>(B61+'DAILY TMH April 2026'!D16+'DAILY TMH April 2026'!G16)-('DAILY TMH April 2026'!H16+'DAILY TMH April 2026'!I16)</f>
        <v>42301.17</v>
      </c>
      <c r="C62" s="144">
        <f>(C61+'DAILY TMH April 2026'!L16+'DAILY TMH April 2026'!O16)-('DAILY TMH April 2026'!P16+'DAILY TMH April 2026'!Q16+'DAILY TMH April 2026'!R16+'DAILY TMH April 2026'!AW16+'DAILY TMH April 2026'!AX16+'DAILY TMH April 2026'!AY16)</f>
        <v>385288.20000000007</v>
      </c>
      <c r="D62" s="144">
        <f>(D61+'DAILY TMH April 2026'!W16+'DAILY TMH April 2026'!AA16)-('DAILY TMH April 2026'!AC16+'DAILY TMH April 2026'!AD16+'DAILY TMH April 2026'!AE16)</f>
        <v>11123.38</v>
      </c>
      <c r="E62" s="144">
        <f>(E61+'DAILY TMH April 2026'!AH16)-('DAILY TMH April 2026'!AI16)</f>
        <v>9895.6200000000008</v>
      </c>
      <c r="F62" s="144">
        <f>(F61+'DAILY TMH April 2026'!AT16)-'DAILY TMH April 2026'!AR16-'DAILY TMH April 2026'!AS16</f>
        <v>148.76</v>
      </c>
      <c r="G62" s="147"/>
      <c r="H62" s="141"/>
      <c r="I62" s="122"/>
    </row>
    <row r="63" spans="1:9">
      <c r="A63" s="148">
        <f>'DAILY TMH April 2026'!A18</f>
        <v>46126</v>
      </c>
      <c r="B63" s="144">
        <f>(B62+'DAILY TMH April 2026'!D17+'DAILY TMH April 2026'!G17)-('DAILY TMH April 2026'!H17+'DAILY TMH April 2026'!I17)</f>
        <v>42301.17</v>
      </c>
      <c r="C63" s="144">
        <f>(C62+'DAILY TMH April 2026'!L17+'DAILY TMH April 2026'!O17)-('DAILY TMH April 2026'!P17+'DAILY TMH April 2026'!Q17+'DAILY TMH April 2026'!R17+'DAILY TMH April 2026'!AW17+'DAILY TMH April 2026'!AX17+'DAILY TMH April 2026'!AY17)</f>
        <v>384105.9200000001</v>
      </c>
      <c r="D63" s="144">
        <f>(D62+'DAILY TMH April 2026'!W17+'DAILY TMH April 2026'!AA17)-('DAILY TMH April 2026'!AC17+'DAILY TMH April 2026'!AD17+'DAILY TMH April 2026'!AE17)</f>
        <v>11123.38</v>
      </c>
      <c r="E63" s="144">
        <f>(E62+'DAILY TMH April 2026'!AH17)-('DAILY TMH April 2026'!AI17)</f>
        <v>9895.6200000000008</v>
      </c>
      <c r="F63" s="144">
        <f>(F62+'DAILY TMH April 2026'!AT17)-'DAILY TMH April 2026'!AR17-'DAILY TMH April 2026'!AS17</f>
        <v>148.76</v>
      </c>
      <c r="G63" s="147"/>
      <c r="H63" s="141"/>
      <c r="I63" s="122"/>
    </row>
    <row r="64" spans="1:9">
      <c r="A64" s="148">
        <f>'DAILY TMH April 2026'!A19</f>
        <v>46127</v>
      </c>
      <c r="B64" s="144">
        <f>(B63+'DAILY TMH April 2026'!D18+'DAILY TMH April 2026'!G18)-('DAILY TMH April 2026'!H18+'DAILY TMH April 2026'!I18)</f>
        <v>42301.17</v>
      </c>
      <c r="C64" s="144">
        <f>(C63+'DAILY TMH April 2026'!L18+'DAILY TMH April 2026'!O18)-('DAILY TMH April 2026'!P18+'DAILY TMH April 2026'!Q18+'DAILY TMH April 2026'!R18+'DAILY TMH April 2026'!AW18+'DAILY TMH April 2026'!AX18+'DAILY TMH April 2026'!AY18)</f>
        <v>382904.9800000001</v>
      </c>
      <c r="D64" s="144">
        <f>(D63+'DAILY TMH April 2026'!W18+'DAILY TMH April 2026'!AA18)-('DAILY TMH April 2026'!AC18+'DAILY TMH April 2026'!AD18+'DAILY TMH April 2026'!AE18)</f>
        <v>11123.38</v>
      </c>
      <c r="E64" s="144">
        <f>(E63+'DAILY TMH April 2026'!AH18)-('DAILY TMH April 2026'!AI18)</f>
        <v>9895.6200000000008</v>
      </c>
      <c r="F64" s="144">
        <f>(F63+'DAILY TMH April 2026'!AT18)-'DAILY TMH April 2026'!AR18-'DAILY TMH April 2026'!AS18</f>
        <v>148.76</v>
      </c>
      <c r="G64" s="147"/>
      <c r="H64" s="141"/>
      <c r="I64" s="122"/>
    </row>
    <row r="65" spans="1:9">
      <c r="A65" s="148">
        <f>'DAILY TMH April 2026'!A20</f>
        <v>46128</v>
      </c>
      <c r="B65" s="144">
        <f>(B64+'DAILY TMH April 2026'!D19+'DAILY TMH April 2026'!G19)-('DAILY TMH April 2026'!H19+'DAILY TMH April 2026'!I19)</f>
        <v>41504.049999999996</v>
      </c>
      <c r="C65" s="144">
        <f>(C64+'DAILY TMH April 2026'!L19+'DAILY TMH April 2026'!O19)-('DAILY TMH April 2026'!P19+'DAILY TMH April 2026'!Q19+'DAILY TMH April 2026'!R19+'DAILY TMH April 2026'!AW19+'DAILY TMH April 2026'!AX19+'DAILY TMH April 2026'!AY19)</f>
        <v>382407.88000000006</v>
      </c>
      <c r="D65" s="144">
        <f>(D64+'DAILY TMH April 2026'!W19+'DAILY TMH April 2026'!AA19)-('DAILY TMH April 2026'!AC19+'DAILY TMH April 2026'!AD19+'DAILY TMH April 2026'!AE19)</f>
        <v>11123.38</v>
      </c>
      <c r="E65" s="144">
        <f>(E64+'DAILY TMH April 2026'!AH19)-('DAILY TMH April 2026'!AI19)</f>
        <v>9895.6200000000008</v>
      </c>
      <c r="F65" s="144">
        <f>(F64+'DAILY TMH April 2026'!AT19)-'DAILY TMH April 2026'!AR19-'DAILY TMH April 2026'!AS19</f>
        <v>148.76</v>
      </c>
      <c r="G65" s="147"/>
      <c r="H65" s="141"/>
      <c r="I65" s="122"/>
    </row>
    <row r="66" spans="1:9">
      <c r="A66" s="148">
        <f>'DAILY TMH April 2026'!A21</f>
        <v>46129</v>
      </c>
      <c r="B66" s="144">
        <f>(B65+'DAILY TMH April 2026'!D20+'DAILY TMH April 2026'!G20)-('DAILY TMH April 2026'!H20+'DAILY TMH April 2026'!I20)</f>
        <v>41147.609999999993</v>
      </c>
      <c r="C66" s="144">
        <f>(C65+'DAILY TMH April 2026'!L20+'DAILY TMH April 2026'!O20)-('DAILY TMH April 2026'!P20+'DAILY TMH April 2026'!Q20+'DAILY TMH April 2026'!R20+'DAILY TMH April 2026'!AW20+'DAILY TMH April 2026'!AX20+'DAILY TMH April 2026'!AY20)</f>
        <v>381470.40000000008</v>
      </c>
      <c r="D66" s="144">
        <f>(D65+'DAILY TMH April 2026'!W20+'DAILY TMH April 2026'!AA20)-('DAILY TMH April 2026'!AC20+'DAILY TMH April 2026'!AD20+'DAILY TMH April 2026'!AE20)</f>
        <v>11023.38</v>
      </c>
      <c r="E66" s="144">
        <f>(E65+'DAILY TMH April 2026'!AH20)-('DAILY TMH April 2026'!AI20)</f>
        <v>9895.6200000000008</v>
      </c>
      <c r="F66" s="144">
        <f>(F65+'DAILY TMH April 2026'!AT20)-'DAILY TMH April 2026'!AR20-'DAILY TMH April 2026'!AS20</f>
        <v>148.76</v>
      </c>
      <c r="G66" s="147"/>
      <c r="H66" s="141"/>
      <c r="I66" s="122"/>
    </row>
    <row r="67" spans="1:9">
      <c r="A67" s="148">
        <f>'DAILY TMH April 2026'!A22</f>
        <v>46130</v>
      </c>
      <c r="B67" s="144">
        <f>(B66+'DAILY TMH April 2026'!D21+'DAILY TMH April 2026'!G21)-('DAILY TMH April 2026'!H21+'DAILY TMH April 2026'!I21)</f>
        <v>41269.07</v>
      </c>
      <c r="C67" s="144">
        <f>(C66+'DAILY TMH April 2026'!L21+'DAILY TMH April 2026'!O21)-('DAILY TMH April 2026'!P21+'DAILY TMH April 2026'!Q21+'DAILY TMH April 2026'!R21+'DAILY TMH April 2026'!AW21+'DAILY TMH April 2026'!AX21+'DAILY TMH April 2026'!AY21)</f>
        <v>382660.3600000001</v>
      </c>
      <c r="D67" s="144">
        <f>(D66+'DAILY TMH April 2026'!W21+'DAILY TMH April 2026'!AA21)-('DAILY TMH April 2026'!AC21+'DAILY TMH April 2026'!AD21+'DAILY TMH April 2026'!AE21)</f>
        <v>11023.38</v>
      </c>
      <c r="E67" s="144">
        <f>(E66+'DAILY TMH April 2026'!AH21)-('DAILY TMH April 2026'!AI21)</f>
        <v>9895.6200000000008</v>
      </c>
      <c r="F67" s="144">
        <f>(F66+'DAILY TMH April 2026'!AT21)-'DAILY TMH April 2026'!AR21-'DAILY TMH April 2026'!AS21</f>
        <v>148.76</v>
      </c>
      <c r="G67" s="147"/>
      <c r="H67" s="141"/>
      <c r="I67" s="122"/>
    </row>
    <row r="68" spans="1:9">
      <c r="A68" s="148">
        <f>'DAILY TMH April 2026'!A23</f>
        <v>46131</v>
      </c>
      <c r="B68" s="144">
        <f>(B67+'DAILY TMH April 2026'!D22+'DAILY TMH April 2026'!G22)-('DAILY TMH April 2026'!H22+'DAILY TMH April 2026'!I22)</f>
        <v>40947.67</v>
      </c>
      <c r="C68" s="144">
        <f>(C67+'DAILY TMH April 2026'!L22+'DAILY TMH April 2026'!O22)-('DAILY TMH April 2026'!P22+'DAILY TMH April 2026'!Q22+'DAILY TMH April 2026'!R22+'DAILY TMH April 2026'!AW22+'DAILY TMH April 2026'!AX22+'DAILY TMH April 2026'!AY22)</f>
        <v>382983.82000000012</v>
      </c>
      <c r="D68" s="144">
        <f>(D67+'DAILY TMH April 2026'!W22+'DAILY TMH April 2026'!AA22)-('DAILY TMH April 2026'!AC22+'DAILY TMH April 2026'!AD22+'DAILY TMH April 2026'!AE22)</f>
        <v>10708.82</v>
      </c>
      <c r="E68" s="144">
        <f>(E67+'DAILY TMH April 2026'!AH22)-('DAILY TMH April 2026'!AI22)</f>
        <v>9895.6200000000008</v>
      </c>
      <c r="F68" s="144">
        <f>(F67+'DAILY TMH April 2026'!AT22)-'DAILY TMH April 2026'!AR22-'DAILY TMH April 2026'!AS22</f>
        <v>148.76</v>
      </c>
      <c r="G68" s="147"/>
      <c r="H68" s="141"/>
      <c r="I68" s="122"/>
    </row>
    <row r="69" spans="1:9">
      <c r="A69" s="148">
        <f>'DAILY TMH April 2026'!A24</f>
        <v>46132</v>
      </c>
      <c r="B69" s="144">
        <f>(B68+'DAILY TMH April 2026'!D23+'DAILY TMH April 2026'!G23)-('DAILY TMH April 2026'!H23+'DAILY TMH April 2026'!I23)</f>
        <v>40803.81</v>
      </c>
      <c r="C69" s="144">
        <f>(C68+'DAILY TMH April 2026'!L23+'DAILY TMH April 2026'!O23)-('DAILY TMH April 2026'!P23+'DAILY TMH April 2026'!Q23+'DAILY TMH April 2026'!R23+'DAILY TMH April 2026'!AW23+'DAILY TMH April 2026'!AX23+'DAILY TMH April 2026'!AY23)</f>
        <v>383061.54000000015</v>
      </c>
      <c r="D69" s="144">
        <f>(D68+'DAILY TMH April 2026'!W23+'DAILY TMH April 2026'!AA23)-('DAILY TMH April 2026'!AC23+'DAILY TMH April 2026'!AD23+'DAILY TMH April 2026'!AE23)</f>
        <v>10647.48</v>
      </c>
      <c r="E69" s="144">
        <f>(E68+'DAILY TMH April 2026'!AH23)-('DAILY TMH April 2026'!AI23)</f>
        <v>9895.6200000000008</v>
      </c>
      <c r="F69" s="144">
        <f>(F68+'DAILY TMH April 2026'!AT23)-'DAILY TMH April 2026'!AR23-'DAILY TMH April 2026'!AS23</f>
        <v>56.219999999999985</v>
      </c>
      <c r="G69" s="147"/>
      <c r="H69" s="141"/>
      <c r="I69" s="122"/>
    </row>
    <row r="70" spans="1:9">
      <c r="A70" s="148">
        <f>'DAILY TMH April 2026'!A25</f>
        <v>46133</v>
      </c>
      <c r="B70" s="144">
        <f>(B69+'DAILY TMH April 2026'!D24+'DAILY TMH April 2026'!G24)-('DAILY TMH April 2026'!H24+'DAILY TMH April 2026'!I24)</f>
        <v>42954.67</v>
      </c>
      <c r="C70" s="144">
        <f>(C69+'DAILY TMH April 2026'!L24+'DAILY TMH April 2026'!O24)-('DAILY TMH April 2026'!P24+'DAILY TMH April 2026'!Q24+'DAILY TMH April 2026'!R24+'DAILY TMH April 2026'!AW24+'DAILY TMH April 2026'!AX24+'DAILY TMH April 2026'!AY24)</f>
        <v>381995.20000000013</v>
      </c>
      <c r="D70" s="144">
        <f>(D69+'DAILY TMH April 2026'!W24+'DAILY TMH April 2026'!AA24)-('DAILY TMH April 2026'!AC24+'DAILY TMH April 2026'!AD24+'DAILY TMH April 2026'!AE24)</f>
        <v>10647.48</v>
      </c>
      <c r="E70" s="144">
        <f>(E69+'DAILY TMH April 2026'!AH24)-('DAILY TMH April 2026'!AI24)</f>
        <v>9895.6200000000008</v>
      </c>
      <c r="F70" s="144">
        <f>(F69+'DAILY TMH April 2026'!AT24)-'DAILY TMH April 2026'!AR24-'DAILY TMH April 2026'!AS24</f>
        <v>56.219999999999985</v>
      </c>
      <c r="G70" s="147"/>
      <c r="H70" s="141"/>
      <c r="I70" s="122"/>
    </row>
    <row r="71" spans="1:9">
      <c r="A71" s="148">
        <f>'DAILY TMH April 2026'!A26</f>
        <v>46134</v>
      </c>
      <c r="B71" s="144">
        <f>(B70+'DAILY TMH April 2026'!D25+'DAILY TMH April 2026'!G25)-('DAILY TMH April 2026'!H25+'DAILY TMH April 2026'!I25)</f>
        <v>43737.89</v>
      </c>
      <c r="C71" s="144">
        <f>(C70+'DAILY TMH April 2026'!L25+'DAILY TMH April 2026'!O25)-('DAILY TMH April 2026'!P25+'DAILY TMH April 2026'!Q25+'DAILY TMH April 2026'!R25+'DAILY TMH April 2026'!AW25+'DAILY TMH April 2026'!AX25+'DAILY TMH April 2026'!AY25)</f>
        <v>381995.20000000013</v>
      </c>
      <c r="D71" s="144">
        <f>(D70+'DAILY TMH April 2026'!W25+'DAILY TMH April 2026'!AA25)-('DAILY TMH April 2026'!AC25+'DAILY TMH April 2026'!AD25+'DAILY TMH April 2026'!AE25)</f>
        <v>10529.24</v>
      </c>
      <c r="E71" s="144">
        <f>(E70+'DAILY TMH April 2026'!AH25)-('DAILY TMH April 2026'!AI25)</f>
        <v>9895.6200000000008</v>
      </c>
      <c r="F71" s="144">
        <f>(F70+'DAILY TMH April 2026'!AT25)-'DAILY TMH April 2026'!AR25-'DAILY TMH April 2026'!AS25</f>
        <v>10.999999999999986</v>
      </c>
      <c r="G71" s="147"/>
      <c r="H71" s="141"/>
      <c r="I71" s="122"/>
    </row>
    <row r="72" spans="1:9">
      <c r="A72" s="148">
        <f>'DAILY TMH April 2026'!A27</f>
        <v>46135</v>
      </c>
      <c r="B72" s="144">
        <f>(B71+'DAILY TMH April 2026'!D26+'DAILY TMH April 2026'!G26)-('DAILY TMH April 2026'!H26+'DAILY TMH April 2026'!I26)</f>
        <v>43737.89</v>
      </c>
      <c r="C72" s="144">
        <f>(C71+'DAILY TMH April 2026'!L26+'DAILY TMH April 2026'!O26)-('DAILY TMH April 2026'!P26+'DAILY TMH April 2026'!Q26+'DAILY TMH April 2026'!R26+'DAILY TMH April 2026'!AW26+'DAILY TMH April 2026'!AX26+'DAILY TMH April 2026'!AY26)</f>
        <v>381995.20000000013</v>
      </c>
      <c r="D72" s="144">
        <f>(D71+'DAILY TMH April 2026'!W26+'DAILY TMH April 2026'!AA26)-('DAILY TMH April 2026'!AC26+'DAILY TMH April 2026'!AD26+'DAILY TMH April 2026'!AE26)</f>
        <v>10529.24</v>
      </c>
      <c r="E72" s="144">
        <f>(E71+'DAILY TMH April 2026'!AH26)-('DAILY TMH April 2026'!AI26)</f>
        <v>9895.6200000000008</v>
      </c>
      <c r="F72" s="144">
        <f>(F71+'DAILY TMH April 2026'!AT26)-'DAILY TMH April 2026'!AR26-'DAILY TMH April 2026'!AS26</f>
        <v>10.999999999999986</v>
      </c>
      <c r="G72" s="147"/>
      <c r="H72" s="141"/>
      <c r="I72" s="122"/>
    </row>
    <row r="73" spans="1:9">
      <c r="A73" s="148">
        <f>'DAILY TMH April 2026'!A28</f>
        <v>46136</v>
      </c>
      <c r="B73" s="144">
        <f>(B72+'DAILY TMH April 2026'!D27+'DAILY TMH April 2026'!G27)-('DAILY TMH April 2026'!H27+'DAILY TMH April 2026'!I27)</f>
        <v>43737.89</v>
      </c>
      <c r="C73" s="144">
        <f>(C72+'DAILY TMH April 2026'!L27+'DAILY TMH April 2026'!O27)-('DAILY TMH April 2026'!P27+'DAILY TMH April 2026'!Q27+'DAILY TMH April 2026'!R27+'DAILY TMH April 2026'!AW27+'DAILY TMH April 2026'!AX27+'DAILY TMH April 2026'!AY27)</f>
        <v>381995.20000000013</v>
      </c>
      <c r="D73" s="144">
        <f>(D72+'DAILY TMH April 2026'!W27+'DAILY TMH April 2026'!AA27)-('DAILY TMH April 2026'!AC27+'DAILY TMH April 2026'!AD27+'DAILY TMH April 2026'!AE27)</f>
        <v>10529.24</v>
      </c>
      <c r="E73" s="144">
        <f>(E72+'DAILY TMH April 2026'!AH27)-('DAILY TMH April 2026'!AI27)</f>
        <v>9895.6200000000008</v>
      </c>
      <c r="F73" s="144">
        <f>(F72+'DAILY TMH April 2026'!AT27)-'DAILY TMH April 2026'!AR27-'DAILY TMH April 2026'!AS27</f>
        <v>10.999999999999986</v>
      </c>
      <c r="G73" s="147"/>
      <c r="H73" s="141"/>
      <c r="I73" s="122"/>
    </row>
    <row r="74" spans="1:9">
      <c r="A74" s="148">
        <f>'DAILY TMH April 2026'!A29</f>
        <v>46137</v>
      </c>
      <c r="B74" s="144">
        <f>(B73+'DAILY TMH April 2026'!D28+'DAILY TMH April 2026'!G28)-('DAILY TMH April 2026'!H28+'DAILY TMH April 2026'!I28)</f>
        <v>43737.89</v>
      </c>
      <c r="C74" s="144">
        <f>(C73+'DAILY TMH April 2026'!L28+'DAILY TMH April 2026'!O28)-('DAILY TMH April 2026'!P28+'DAILY TMH April 2026'!Q28+'DAILY TMH April 2026'!R28+'DAILY TMH April 2026'!AW28+'DAILY TMH April 2026'!AX28+'DAILY TMH April 2026'!AY28)</f>
        <v>381995.20000000013</v>
      </c>
      <c r="D74" s="144">
        <f>(D73+'DAILY TMH April 2026'!W28+'DAILY TMH April 2026'!AA28)-('DAILY TMH April 2026'!AC28+'DAILY TMH April 2026'!AD28+'DAILY TMH April 2026'!AE28)</f>
        <v>10529.24</v>
      </c>
      <c r="E74" s="144">
        <f>(E73+'DAILY TMH April 2026'!AH28)-('DAILY TMH April 2026'!AI28)</f>
        <v>9895.6200000000008</v>
      </c>
      <c r="F74" s="144">
        <f>(F73+'DAILY TMH April 2026'!AT28)-'DAILY TMH April 2026'!AR28-'DAILY TMH April 2026'!AS28</f>
        <v>10.999999999999986</v>
      </c>
      <c r="G74" s="147"/>
      <c r="H74" s="141"/>
      <c r="I74" s="122"/>
    </row>
    <row r="75" spans="1:9">
      <c r="A75" s="148">
        <f>'DAILY TMH April 2026'!A30</f>
        <v>46138</v>
      </c>
      <c r="B75" s="144">
        <f>(B74+'DAILY TMH April 2026'!D29+'DAILY TMH April 2026'!G29)-('DAILY TMH April 2026'!H29+'DAILY TMH April 2026'!I29)</f>
        <v>43737.89</v>
      </c>
      <c r="C75" s="144">
        <f>(C74+'DAILY TMH April 2026'!L29+'DAILY TMH April 2026'!O29)-('DAILY TMH April 2026'!P29+'DAILY TMH April 2026'!Q29+'DAILY TMH April 2026'!R29+'DAILY TMH April 2026'!AW29+'DAILY TMH April 2026'!AX29+'DAILY TMH April 2026'!AY29)</f>
        <v>381995.20000000013</v>
      </c>
      <c r="D75" s="144">
        <f>(D74+'DAILY TMH April 2026'!W29+'DAILY TMH April 2026'!AA29)-('DAILY TMH April 2026'!AC29+'DAILY TMH April 2026'!AD29+'DAILY TMH April 2026'!AE29)</f>
        <v>10529.24</v>
      </c>
      <c r="E75" s="144">
        <f>(E74+'DAILY TMH April 2026'!AH29)-('DAILY TMH April 2026'!AI29)</f>
        <v>9895.6200000000008</v>
      </c>
      <c r="F75" s="144">
        <f>(F74+'DAILY TMH April 2026'!AT29)-'DAILY TMH April 2026'!AR29-'DAILY TMH April 2026'!AS29</f>
        <v>10.999999999999986</v>
      </c>
      <c r="G75" s="147"/>
      <c r="H75" s="141"/>
      <c r="I75" s="122"/>
    </row>
    <row r="76" spans="1:9">
      <c r="A76" s="148">
        <f>'DAILY TMH April 2026'!A31</f>
        <v>46139</v>
      </c>
      <c r="B76" s="144">
        <f>(B75+'DAILY TMH April 2026'!D30+'DAILY TMH April 2026'!G30)-('DAILY TMH April 2026'!H30+'DAILY TMH April 2026'!I30)</f>
        <v>43737.89</v>
      </c>
      <c r="C76" s="144">
        <f>(C75+'DAILY TMH April 2026'!L30+'DAILY TMH April 2026'!O30)-('DAILY TMH April 2026'!P30+'DAILY TMH April 2026'!Q30+'DAILY TMH April 2026'!R30+'DAILY TMH April 2026'!AW30+'DAILY TMH April 2026'!AX30+'DAILY TMH April 2026'!AY30)</f>
        <v>381995.20000000013</v>
      </c>
      <c r="D76" s="144">
        <f>(D75+'DAILY TMH April 2026'!W30+'DAILY TMH April 2026'!AA30)-('DAILY TMH April 2026'!AC30+'DAILY TMH April 2026'!AD30+'DAILY TMH April 2026'!AE30)</f>
        <v>10529.24</v>
      </c>
      <c r="E76" s="144">
        <f>(E75+'DAILY TMH April 2026'!AH30)-('DAILY TMH April 2026'!AI30)</f>
        <v>9895.6200000000008</v>
      </c>
      <c r="F76" s="144">
        <f>(F75+'DAILY TMH April 2026'!AT30)-'DAILY TMH April 2026'!AR30-'DAILY TMH April 2026'!AS30</f>
        <v>10.999999999999986</v>
      </c>
      <c r="G76" s="147"/>
      <c r="H76" s="141"/>
      <c r="I76" s="122"/>
    </row>
    <row r="77" spans="1:9">
      <c r="A77" s="148">
        <f>'DAILY TMH April 2026'!A32</f>
        <v>46140</v>
      </c>
      <c r="B77" s="144">
        <f>(B76+'DAILY TMH April 2026'!D31+'DAILY TMH April 2026'!G31)-('DAILY TMH April 2026'!H31+'DAILY TMH April 2026'!I31)</f>
        <v>43737.89</v>
      </c>
      <c r="C77" s="144">
        <f>(C76+'DAILY TMH April 2026'!L31+'DAILY TMH April 2026'!O31)-('DAILY TMH April 2026'!P31+'DAILY TMH April 2026'!Q31+'DAILY TMH April 2026'!R31+'DAILY TMH April 2026'!AW31+'DAILY TMH April 2026'!AX31+'DAILY TMH April 2026'!AY31)</f>
        <v>381995.20000000013</v>
      </c>
      <c r="D77" s="144">
        <f>(D76+'DAILY TMH April 2026'!W31+'DAILY TMH April 2026'!AA31)-('DAILY TMH April 2026'!AC31+'DAILY TMH April 2026'!AD31+'DAILY TMH April 2026'!AE31)</f>
        <v>10529.24</v>
      </c>
      <c r="E77" s="144">
        <f>(E76+'DAILY TMH April 2026'!AH31)-('DAILY TMH April 2026'!AI31)</f>
        <v>9895.6200000000008</v>
      </c>
      <c r="F77" s="144">
        <f>(F76+'DAILY TMH April 2026'!AT31)-'DAILY TMH April 2026'!AR31-'DAILY TMH April 2026'!AS31</f>
        <v>10.999999999999986</v>
      </c>
      <c r="G77" s="147"/>
      <c r="H77" s="141"/>
      <c r="I77" s="122"/>
    </row>
    <row r="78" spans="1:9">
      <c r="A78" s="148">
        <f>'DAILY TMH April 2026'!A33</f>
        <v>46141</v>
      </c>
      <c r="B78" s="144">
        <f>(B77+'DAILY TMH April 2026'!D32+'DAILY TMH April 2026'!G32)-('DAILY TMH April 2026'!H32+'DAILY TMH April 2026'!I32)</f>
        <v>43737.89</v>
      </c>
      <c r="C78" s="144">
        <f>(C77+'DAILY TMH April 2026'!L32+'DAILY TMH April 2026'!O32)-('DAILY TMH April 2026'!P32+'DAILY TMH April 2026'!Q32+'DAILY TMH April 2026'!R32+'DAILY TMH April 2026'!AW32+'DAILY TMH April 2026'!AX32+'DAILY TMH April 2026'!AY32)</f>
        <v>381995.20000000013</v>
      </c>
      <c r="D78" s="144">
        <f>(D77+'DAILY TMH April 2026'!W32+'DAILY TMH April 2026'!AA32)-('DAILY TMH April 2026'!AC32+'DAILY TMH April 2026'!AD32+'DAILY TMH April 2026'!AE32)</f>
        <v>10529.24</v>
      </c>
      <c r="E78" s="144">
        <f>(E77+'DAILY TMH April 2026'!AH32)-('DAILY TMH April 2026'!AI32)</f>
        <v>9895.6200000000008</v>
      </c>
      <c r="F78" s="144">
        <f>(F77+'DAILY TMH April 2026'!AT32)-'DAILY TMH April 2026'!AR32-'DAILY TMH April 2026'!AS32</f>
        <v>10.999999999999986</v>
      </c>
      <c r="G78" s="147"/>
      <c r="H78" s="141"/>
      <c r="I78" s="122"/>
    </row>
    <row r="79" spans="1:9">
      <c r="A79" s="148">
        <f>'DAILY TMH April 2026'!A34</f>
        <v>46142</v>
      </c>
      <c r="B79" s="144">
        <f>(B78+'DAILY TMH April 2026'!D33+'DAILY TMH April 2026'!G33)-('DAILY TMH April 2026'!H33+'DAILY TMH April 2026'!I33)</f>
        <v>43737.89</v>
      </c>
      <c r="C79" s="144">
        <f>(C78+'DAILY TMH April 2026'!L33+'DAILY TMH April 2026'!O33)-('DAILY TMH April 2026'!P33+'DAILY TMH April 2026'!Q33+'DAILY TMH April 2026'!R33+'DAILY TMH April 2026'!AW33+'DAILY TMH April 2026'!AX33+'DAILY TMH April 2026'!AY33)</f>
        <v>381995.20000000013</v>
      </c>
      <c r="D79" s="144">
        <f>(D78+'DAILY TMH April 2026'!W33+'DAILY TMH April 2026'!AA33)-('DAILY TMH April 2026'!AC33+'DAILY TMH April 2026'!AD33+'DAILY TMH April 2026'!AE33)</f>
        <v>10529.24</v>
      </c>
      <c r="E79" s="144">
        <f>(E78+'DAILY TMH April 2026'!AH33)-('DAILY TMH April 2026'!AI33)</f>
        <v>9895.6200000000008</v>
      </c>
      <c r="F79" s="144">
        <f>(F78+'DAILY TMH April 2026'!AT33)-'DAILY TMH April 2026'!AR33-'DAILY TMH April 2026'!AS33</f>
        <v>10.999999999999986</v>
      </c>
      <c r="G79" s="147"/>
      <c r="H79" s="141"/>
      <c r="I79" s="122"/>
    </row>
    <row r="80" spans="1:9">
      <c r="A80" s="148">
        <f>'DAILY TMH April 2026'!A35</f>
        <v>0</v>
      </c>
      <c r="B80" s="144">
        <f>(B79+'DAILY TMH April 2026'!D34+'DAILY TMH April 2026'!G34)-('DAILY TMH April 2026'!H34+'DAILY TMH April 2026'!I34)</f>
        <v>43737.89</v>
      </c>
      <c r="C80" s="144">
        <f>(C79+'DAILY TMH April 2026'!L34+'DAILY TMH April 2026'!O34)-('DAILY TMH April 2026'!P34+'DAILY TMH April 2026'!Q34+'DAILY TMH April 2026'!R34+'DAILY TMH April 2026'!AW34+'DAILY TMH April 2026'!AX34+'DAILY TMH April 2026'!AY34)</f>
        <v>381995.20000000013</v>
      </c>
      <c r="D80" s="144">
        <f>(D79+'DAILY TMH April 2026'!W34+'DAILY TMH April 2026'!AA34)-('DAILY TMH April 2026'!AC34+'DAILY TMH April 2026'!AD34+'DAILY TMH April 2026'!AE34)</f>
        <v>10529.24</v>
      </c>
      <c r="E80" s="144">
        <f>(E79+'DAILY TMH April 2026'!AH34)-('DAILY TMH April 2026'!AI34)</f>
        <v>9895.6200000000008</v>
      </c>
      <c r="F80" s="144">
        <f>(F79+'DAILY TMH April 2026'!AT34)-'DAILY TMH April 2026'!AR34-'DAILY TMH April 2026'!AS34</f>
        <v>10.999999999999986</v>
      </c>
      <c r="G80" s="147"/>
      <c r="H80" s="141"/>
      <c r="I80" s="122"/>
    </row>
    <row r="81" spans="1:9">
      <c r="A81" s="136"/>
      <c r="B81" s="144">
        <f>(B80+'DAILY TMH April 2026'!D35)-('DAILY TMH April 2026'!H35+'DAILY TMH April 2026'!I35)</f>
        <v>43737.89</v>
      </c>
      <c r="C81" s="144">
        <f>(C80+'DAILY TMH April 2026'!L35)-('DAILY TMH April 2026'!P35+'DAILY TMH April 2026'!Q35+'DAILY TMH April 2026'!R35+'DAILY TMH April 2026'!AW35+'DAILY TMH April 2026'!AX35+'DAILY TMH April 2026'!AY35)</f>
        <v>381995.20000000013</v>
      </c>
      <c r="D81" s="144">
        <f>(D80+'DAILY TMH April 2026'!W35)-('DAILY TMH April 2026'!AC35+'DAILY TMH April 2026'!AD35+'DAILY TMH April 2026'!AE35)</f>
        <v>10529.24</v>
      </c>
      <c r="E81" s="144">
        <f>(E80+'DAILY TMH April 2026'!AH35)-('DAILY TMH April 2026'!AI35)</f>
        <v>9895.6200000000008</v>
      </c>
      <c r="F81" s="144">
        <f>(F80+'DAILY TMH April 2026'!AT35)-'DAILY TMH April 2026'!AR35-'DAILY TMH April 2026'!AS35</f>
        <v>10.999999999999986</v>
      </c>
      <c r="G81" s="147"/>
      <c r="H81" s="141"/>
      <c r="I81" s="122"/>
    </row>
  </sheetData>
  <sheetProtection algorithmName="SHA-512" hashValue="AXyIvCIyRLET7D4nwQOjBGm43Kqxgj9OF92SugG4dGW6dwAuKe7LW1+ZQbFYs4f8vthU0SZwHRbVf/PrgWDRrw==" saltValue="4JyIBd36sO46QBMltlXWhw==" spinCount="100000" sheet="1" objects="1" scenarios="1"/>
  <mergeCells count="5">
    <mergeCell ref="B3:F3"/>
    <mergeCell ref="B12:H12"/>
    <mergeCell ref="B48:F48"/>
    <mergeCell ref="A12:A13"/>
    <mergeCell ref="A48:A49"/>
  </mergeCells>
  <pageMargins left="0.7" right="0.7" top="0.75" bottom="0.75" header="0.3" footer="0.3"/>
  <pageSetup paperSize="9" scale="7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48"/>
  <sheetViews>
    <sheetView workbookViewId="0">
      <pane xSplit="2" ySplit="2" topLeftCell="C3" activePane="bottomRight" state="frozen"/>
      <selection pane="topRight"/>
      <selection pane="bottomLeft"/>
      <selection pane="bottomRight" activeCell="F11" sqref="F11"/>
    </sheetView>
  </sheetViews>
  <sheetFormatPr defaultColWidth="9.140625" defaultRowHeight="15"/>
  <cols>
    <col min="1" max="1" width="17.140625" style="149" customWidth="1"/>
    <col min="2" max="2" width="16.42578125" style="149" customWidth="1"/>
    <col min="3" max="3" width="12.28515625" style="149" customWidth="1"/>
    <col min="4" max="14" width="12" style="149" customWidth="1"/>
    <col min="15" max="15" width="11.5703125" style="149" customWidth="1"/>
    <col min="16" max="16384" width="9.140625" style="149"/>
  </cols>
  <sheetData>
    <row r="1" spans="1:16">
      <c r="B1" s="181" t="s">
        <v>255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6" s="150" customFormat="1">
      <c r="B2" s="151"/>
      <c r="C2" s="151">
        <v>46113</v>
      </c>
      <c r="D2" s="151">
        <v>46143</v>
      </c>
      <c r="E2" s="151">
        <v>46174</v>
      </c>
      <c r="F2" s="151">
        <v>46204</v>
      </c>
      <c r="G2" s="151">
        <v>46235</v>
      </c>
      <c r="H2" s="151">
        <v>46266</v>
      </c>
      <c r="I2" s="151">
        <v>46296</v>
      </c>
      <c r="J2" s="151">
        <v>46327</v>
      </c>
      <c r="K2" s="151">
        <v>46357</v>
      </c>
      <c r="L2" s="151">
        <v>46388</v>
      </c>
      <c r="M2" s="151">
        <v>46419</v>
      </c>
      <c r="N2" s="151">
        <v>46447</v>
      </c>
      <c r="O2" s="152" t="s">
        <v>17</v>
      </c>
    </row>
    <row r="3" spans="1:16" ht="15" customHeight="1">
      <c r="A3" s="182" t="s">
        <v>18</v>
      </c>
      <c r="B3" s="117" t="s">
        <v>6</v>
      </c>
      <c r="C3" s="153">
        <f>'DAILY TMH April 2026'!$D36</f>
        <v>3018.2200000000003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>
        <f>SUM(C3:N3)</f>
        <v>3018.2200000000003</v>
      </c>
    </row>
    <row r="4" spans="1:16">
      <c r="A4" s="183"/>
      <c r="B4" s="117" t="s">
        <v>7</v>
      </c>
      <c r="C4" s="153">
        <f>'DAILY TMH April 2026'!$L36</f>
        <v>1935.5400000000004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4">
        <f t="shared" ref="O4:O48" si="0">SUM(C4:N4)</f>
        <v>1935.5400000000004</v>
      </c>
    </row>
    <row r="5" spans="1:16">
      <c r="A5" s="183"/>
      <c r="B5" s="117" t="s">
        <v>8</v>
      </c>
      <c r="C5" s="155">
        <f>'DAILY TMH April 2026'!$AH36</f>
        <v>0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4">
        <f t="shared" si="0"/>
        <v>0</v>
      </c>
    </row>
    <row r="6" spans="1:16">
      <c r="A6" s="183"/>
      <c r="B6" s="117" t="s">
        <v>9</v>
      </c>
      <c r="C6" s="153">
        <f>'DAILY TMH April 2026'!$W36</f>
        <v>0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4">
        <f t="shared" si="0"/>
        <v>0</v>
      </c>
    </row>
    <row r="7" spans="1:16">
      <c r="A7" s="183"/>
      <c r="B7" s="117" t="s">
        <v>10</v>
      </c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>
        <f t="shared" si="0"/>
        <v>0</v>
      </c>
    </row>
    <row r="8" spans="1:16">
      <c r="A8" s="183"/>
      <c r="B8" s="117" t="s">
        <v>11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>
        <f t="shared" si="0"/>
        <v>0</v>
      </c>
    </row>
    <row r="9" spans="1:16">
      <c r="A9" s="156"/>
      <c r="B9" s="117"/>
      <c r="C9" s="154">
        <f t="shared" ref="C9" si="1">+C3+C4+C5+C6+C7+C8</f>
        <v>4953.76</v>
      </c>
      <c r="D9" s="154">
        <f t="shared" ref="D9:N9" si="2">+D3+D4+D5+D6+D7+D8</f>
        <v>0</v>
      </c>
      <c r="E9" s="154">
        <f t="shared" si="2"/>
        <v>0</v>
      </c>
      <c r="F9" s="154">
        <f t="shared" si="2"/>
        <v>0</v>
      </c>
      <c r="G9" s="154">
        <f t="shared" si="2"/>
        <v>0</v>
      </c>
      <c r="H9" s="154">
        <f t="shared" si="2"/>
        <v>0</v>
      </c>
      <c r="I9" s="154">
        <f t="shared" si="2"/>
        <v>0</v>
      </c>
      <c r="J9" s="154">
        <f t="shared" si="2"/>
        <v>0</v>
      </c>
      <c r="K9" s="154">
        <f t="shared" si="2"/>
        <v>0</v>
      </c>
      <c r="L9" s="154">
        <f t="shared" si="2"/>
        <v>0</v>
      </c>
      <c r="M9" s="154">
        <f t="shared" si="2"/>
        <v>0</v>
      </c>
      <c r="N9" s="154">
        <f t="shared" si="2"/>
        <v>0</v>
      </c>
      <c r="O9" s="154">
        <f t="shared" si="0"/>
        <v>4953.76</v>
      </c>
    </row>
    <row r="10" spans="1:16"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4"/>
      <c r="P10" s="157"/>
    </row>
    <row r="11" spans="1:16">
      <c r="A11" s="177" t="s">
        <v>19</v>
      </c>
      <c r="B11" s="117" t="s">
        <v>6</v>
      </c>
      <c r="C11" s="153">
        <f>'DAILY TMH April 2026'!$B36</f>
        <v>1157.8799999999999</v>
      </c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4">
        <f t="shared" si="0"/>
        <v>1157.8799999999999</v>
      </c>
    </row>
    <row r="12" spans="1:16">
      <c r="A12" s="177"/>
      <c r="B12" s="117" t="s">
        <v>7</v>
      </c>
      <c r="C12" s="153">
        <f>'DAILY TMH April 2026'!$J36</f>
        <v>2448.7600000000002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4">
        <f t="shared" si="0"/>
        <v>2448.7600000000002</v>
      </c>
    </row>
    <row r="13" spans="1:16">
      <c r="A13" s="177"/>
      <c r="B13" s="117" t="s">
        <v>8</v>
      </c>
      <c r="C13" s="153">
        <f>'DAILY TMH April 2026'!$AF36</f>
        <v>0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>
        <f t="shared" si="0"/>
        <v>0</v>
      </c>
    </row>
    <row r="14" spans="1:16">
      <c r="A14" s="177"/>
      <c r="B14" s="117" t="s">
        <v>13</v>
      </c>
      <c r="C14" s="153">
        <f>'DAILY TMH April 2026'!$U36</f>
        <v>0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4">
        <f t="shared" si="0"/>
        <v>0</v>
      </c>
    </row>
    <row r="15" spans="1:16">
      <c r="A15" s="156"/>
      <c r="B15" s="117" t="s">
        <v>10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>
        <f t="shared" si="0"/>
        <v>0</v>
      </c>
    </row>
    <row r="16" spans="1:16">
      <c r="A16" s="156"/>
      <c r="C16" s="154">
        <f t="shared" ref="C16" si="3">+C11+C12+C13+C14+C15</f>
        <v>3606.6400000000003</v>
      </c>
      <c r="D16" s="154">
        <f t="shared" ref="D16:N16" si="4">+D11+D12+D13+D14+D15</f>
        <v>0</v>
      </c>
      <c r="E16" s="154">
        <f t="shared" si="4"/>
        <v>0</v>
      </c>
      <c r="F16" s="154">
        <f t="shared" si="4"/>
        <v>0</v>
      </c>
      <c r="G16" s="154">
        <f t="shared" si="4"/>
        <v>0</v>
      </c>
      <c r="H16" s="154">
        <f t="shared" si="4"/>
        <v>0</v>
      </c>
      <c r="I16" s="154">
        <f t="shared" si="4"/>
        <v>0</v>
      </c>
      <c r="J16" s="154">
        <f t="shared" si="4"/>
        <v>0</v>
      </c>
      <c r="K16" s="154">
        <f t="shared" si="4"/>
        <v>0</v>
      </c>
      <c r="L16" s="154">
        <f t="shared" si="4"/>
        <v>0</v>
      </c>
      <c r="M16" s="154">
        <f t="shared" si="4"/>
        <v>0</v>
      </c>
      <c r="N16" s="154">
        <f t="shared" si="4"/>
        <v>0</v>
      </c>
      <c r="O16" s="154">
        <f t="shared" si="0"/>
        <v>3606.6400000000003</v>
      </c>
    </row>
    <row r="17" spans="1:19"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4"/>
    </row>
    <row r="18" spans="1:19">
      <c r="A18" s="177" t="s">
        <v>20</v>
      </c>
      <c r="B18" s="117" t="s">
        <v>6</v>
      </c>
      <c r="C18" s="153">
        <f>'DAILY TMH April 2026'!$C36</f>
        <v>0</v>
      </c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4">
        <f t="shared" si="0"/>
        <v>0</v>
      </c>
    </row>
    <row r="19" spans="1:19">
      <c r="A19" s="177"/>
      <c r="B19" s="117" t="s">
        <v>7</v>
      </c>
      <c r="C19" s="153">
        <f>'DAILY TMH April 2026'!$K36</f>
        <v>1567.56</v>
      </c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4">
        <f t="shared" si="0"/>
        <v>1567.56</v>
      </c>
    </row>
    <row r="20" spans="1:19">
      <c r="A20" s="177"/>
      <c r="B20" s="117" t="s">
        <v>21</v>
      </c>
      <c r="C20" s="153">
        <f>'DAILY TMH April 2026'!$AG36</f>
        <v>0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4">
        <f t="shared" si="0"/>
        <v>0</v>
      </c>
    </row>
    <row r="21" spans="1:19">
      <c r="A21" s="177"/>
      <c r="B21" s="117" t="s">
        <v>13</v>
      </c>
      <c r="C21" s="153">
        <f>'DAILY TMH April 2026'!$V36</f>
        <v>0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4">
        <f t="shared" si="0"/>
        <v>0</v>
      </c>
    </row>
    <row r="22" spans="1:19">
      <c r="A22" s="156"/>
      <c r="B22" s="117" t="s">
        <v>10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>
        <f t="shared" si="0"/>
        <v>0</v>
      </c>
    </row>
    <row r="23" spans="1:19">
      <c r="A23" s="156"/>
      <c r="C23" s="154">
        <f t="shared" ref="C23" si="5">+C18+C19+C20+C21+C22</f>
        <v>1567.56</v>
      </c>
      <c r="D23" s="154">
        <f t="shared" ref="D23:N23" si="6">+D18+D19+D20+D21+D22</f>
        <v>0</v>
      </c>
      <c r="E23" s="154">
        <f t="shared" si="6"/>
        <v>0</v>
      </c>
      <c r="F23" s="154">
        <f t="shared" si="6"/>
        <v>0</v>
      </c>
      <c r="G23" s="154">
        <f t="shared" si="6"/>
        <v>0</v>
      </c>
      <c r="H23" s="154">
        <f t="shared" si="6"/>
        <v>0</v>
      </c>
      <c r="I23" s="154">
        <f t="shared" si="6"/>
        <v>0</v>
      </c>
      <c r="J23" s="154">
        <f t="shared" si="6"/>
        <v>0</v>
      </c>
      <c r="K23" s="154">
        <f t="shared" si="6"/>
        <v>0</v>
      </c>
      <c r="L23" s="154">
        <f t="shared" si="6"/>
        <v>0</v>
      </c>
      <c r="M23" s="154">
        <f t="shared" si="6"/>
        <v>0</v>
      </c>
      <c r="N23" s="154">
        <f t="shared" si="6"/>
        <v>0</v>
      </c>
      <c r="O23" s="154">
        <f t="shared" si="0"/>
        <v>1567.56</v>
      </c>
    </row>
    <row r="24" spans="1:19"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4"/>
    </row>
    <row r="25" spans="1:19">
      <c r="A25" s="177" t="s">
        <v>22</v>
      </c>
      <c r="B25" s="117" t="s">
        <v>6</v>
      </c>
      <c r="C25" s="153">
        <f>'DAILY TMH April 2026'!$H36</f>
        <v>9985.7199999999975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4">
        <f t="shared" si="0"/>
        <v>9985.7199999999975</v>
      </c>
    </row>
    <row r="26" spans="1:19">
      <c r="A26" s="177"/>
      <c r="B26" s="117" t="s">
        <v>7</v>
      </c>
      <c r="C26" s="153">
        <f>'DAILY TMH April 2026'!$P36</f>
        <v>18797.68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>
        <f t="shared" si="0"/>
        <v>18797.68</v>
      </c>
    </row>
    <row r="27" spans="1:19">
      <c r="A27" s="177"/>
      <c r="B27" s="117" t="s">
        <v>8</v>
      </c>
      <c r="C27" s="155">
        <f>'DAILY TMH April 2026'!$AI36</f>
        <v>0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4">
        <f t="shared" si="0"/>
        <v>0</v>
      </c>
    </row>
    <row r="28" spans="1:19">
      <c r="A28" s="177"/>
      <c r="B28" s="117" t="s">
        <v>13</v>
      </c>
      <c r="C28" s="153">
        <f>'DAILY TMH April 2026'!$AC36</f>
        <v>432.80000000000007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4">
        <f t="shared" si="0"/>
        <v>432.80000000000007</v>
      </c>
    </row>
    <row r="29" spans="1:19">
      <c r="A29" s="177"/>
      <c r="B29" s="158" t="s">
        <v>23</v>
      </c>
      <c r="C29" s="159">
        <f>'DAILY TMH April 2026'!$S36</f>
        <v>0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4">
        <f t="shared" si="0"/>
        <v>0</v>
      </c>
    </row>
    <row r="30" spans="1:19">
      <c r="A30" s="177"/>
      <c r="B30" s="117" t="s">
        <v>10</v>
      </c>
      <c r="C30" s="155">
        <f>'DAILY TMH April 2026'!$AS36</f>
        <v>137.76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4">
        <f t="shared" si="0"/>
        <v>137.76</v>
      </c>
    </row>
    <row r="31" spans="1:19">
      <c r="B31" s="117"/>
      <c r="C31" s="154">
        <f t="shared" ref="C31" si="7">+C25+C26+C27+C28+C29+C30</f>
        <v>29353.959999999995</v>
      </c>
      <c r="D31" s="154">
        <f t="shared" ref="D31:N31" si="8">+D25+D26+D27+D28+D29+D30</f>
        <v>0</v>
      </c>
      <c r="E31" s="154">
        <f t="shared" si="8"/>
        <v>0</v>
      </c>
      <c r="F31" s="154">
        <f t="shared" si="8"/>
        <v>0</v>
      </c>
      <c r="G31" s="154">
        <f t="shared" si="8"/>
        <v>0</v>
      </c>
      <c r="H31" s="154">
        <f t="shared" si="8"/>
        <v>0</v>
      </c>
      <c r="I31" s="154">
        <f t="shared" si="8"/>
        <v>0</v>
      </c>
      <c r="J31" s="154">
        <f t="shared" si="8"/>
        <v>0</v>
      </c>
      <c r="K31" s="154">
        <f t="shared" si="8"/>
        <v>0</v>
      </c>
      <c r="L31" s="154">
        <f t="shared" si="8"/>
        <v>0</v>
      </c>
      <c r="M31" s="154">
        <f t="shared" si="8"/>
        <v>0</v>
      </c>
      <c r="N31" s="154">
        <f t="shared" si="8"/>
        <v>0</v>
      </c>
      <c r="O31" s="154">
        <f t="shared" si="0"/>
        <v>29353.959999999995</v>
      </c>
    </row>
    <row r="32" spans="1:19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4"/>
      <c r="P32" s="157"/>
      <c r="Q32" s="157"/>
      <c r="R32" s="157"/>
      <c r="S32" s="157"/>
    </row>
    <row r="33" spans="1:15">
      <c r="A33" s="177" t="s">
        <v>24</v>
      </c>
      <c r="B33" s="117" t="s">
        <v>6</v>
      </c>
      <c r="C33" s="153">
        <f>'DAILY TMH April 2026'!$I36</f>
        <v>621.91999999999996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>
        <f t="shared" si="0"/>
        <v>621.91999999999996</v>
      </c>
    </row>
    <row r="34" spans="1:15">
      <c r="A34" s="177"/>
      <c r="B34" s="117" t="s">
        <v>7</v>
      </c>
      <c r="C34" s="153">
        <f>'DAILY TMH April 2026'!$Q36</f>
        <v>667.22</v>
      </c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4">
        <f t="shared" si="0"/>
        <v>667.22</v>
      </c>
    </row>
    <row r="35" spans="1:15">
      <c r="A35" s="177"/>
      <c r="B35" s="117" t="s">
        <v>8</v>
      </c>
      <c r="C35" s="153">
        <f>'DAILY TMH April 2026'!$AM36</f>
        <v>0</v>
      </c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4">
        <f t="shared" si="0"/>
        <v>0</v>
      </c>
    </row>
    <row r="36" spans="1:15">
      <c r="A36" s="177"/>
      <c r="B36" s="117" t="s">
        <v>13</v>
      </c>
      <c r="C36" s="153">
        <f>'DAILY TMH April 2026'!$AE36</f>
        <v>161.34</v>
      </c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4">
        <f t="shared" si="0"/>
        <v>161.34</v>
      </c>
    </row>
    <row r="37" spans="1:15">
      <c r="A37" s="177"/>
      <c r="B37" s="158" t="s">
        <v>23</v>
      </c>
      <c r="C37" s="159">
        <f>'DAILY TMH April 2026'!$T36</f>
        <v>0</v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4">
        <f t="shared" si="0"/>
        <v>0</v>
      </c>
    </row>
    <row r="38" spans="1:15">
      <c r="A38" s="177"/>
      <c r="B38" s="117" t="s">
        <v>10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4">
        <f t="shared" si="0"/>
        <v>0</v>
      </c>
    </row>
    <row r="39" spans="1:15">
      <c r="B39" s="117"/>
      <c r="C39" s="154">
        <f t="shared" ref="C39" si="9">+C33+C34+C35+C36+C37+C38</f>
        <v>1450.4799999999998</v>
      </c>
      <c r="D39" s="154">
        <f t="shared" ref="D39:N39" si="10">+D33+D34+D35+D36+D37+D38</f>
        <v>0</v>
      </c>
      <c r="E39" s="154">
        <f t="shared" si="10"/>
        <v>0</v>
      </c>
      <c r="F39" s="154">
        <f t="shared" si="10"/>
        <v>0</v>
      </c>
      <c r="G39" s="154">
        <f t="shared" si="10"/>
        <v>0</v>
      </c>
      <c r="H39" s="154">
        <f t="shared" si="10"/>
        <v>0</v>
      </c>
      <c r="I39" s="154">
        <f t="shared" si="10"/>
        <v>0</v>
      </c>
      <c r="J39" s="154">
        <f t="shared" si="10"/>
        <v>0</v>
      </c>
      <c r="K39" s="154">
        <f t="shared" si="10"/>
        <v>0</v>
      </c>
      <c r="L39" s="154">
        <f t="shared" si="10"/>
        <v>0</v>
      </c>
      <c r="M39" s="154">
        <f t="shared" si="10"/>
        <v>0</v>
      </c>
      <c r="N39" s="154">
        <f t="shared" si="10"/>
        <v>0</v>
      </c>
      <c r="O39" s="154">
        <f t="shared" si="0"/>
        <v>1450.4799999999998</v>
      </c>
    </row>
    <row r="40" spans="1:15">
      <c r="O40" s="154"/>
    </row>
    <row r="41" spans="1:15" s="162" customFormat="1" ht="15" customHeight="1">
      <c r="A41" s="160" t="s">
        <v>25</v>
      </c>
      <c r="B41" s="161" t="s">
        <v>15</v>
      </c>
      <c r="C41" s="161">
        <f>'DAILY TMH April 2026'!$AP36+'DAILY TMH April 2026'!$AQ36</f>
        <v>0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54">
        <f t="shared" si="0"/>
        <v>0</v>
      </c>
    </row>
    <row r="42" spans="1:15" s="162" customFormat="1" ht="15" customHeight="1">
      <c r="A42" s="163"/>
      <c r="B42" s="164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54">
        <f t="shared" si="0"/>
        <v>0</v>
      </c>
    </row>
    <row r="43" spans="1:15">
      <c r="A43" s="178" t="s">
        <v>26</v>
      </c>
      <c r="B43" s="117" t="s">
        <v>6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54">
        <f t="shared" si="0"/>
        <v>0</v>
      </c>
    </row>
    <row r="44" spans="1:15">
      <c r="A44" s="179"/>
      <c r="B44" s="117" t="s">
        <v>7</v>
      </c>
      <c r="C44" s="117">
        <f>'DAILY TMH April 2026'!$R36+'DAILY TMH April 2026'!$AX36+'DAILY TMH April 2026'!$AY36+'DAILY TMH April 2026'!$AX36</f>
        <v>0</v>
      </c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54">
        <f t="shared" si="0"/>
        <v>0</v>
      </c>
    </row>
    <row r="45" spans="1:15">
      <c r="A45" s="179"/>
      <c r="B45" s="117" t="s">
        <v>21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54">
        <f t="shared" si="0"/>
        <v>0</v>
      </c>
    </row>
    <row r="46" spans="1:15">
      <c r="A46" s="179"/>
      <c r="B46" s="117" t="s">
        <v>27</v>
      </c>
      <c r="C46" s="117">
        <f>'DAILY TMH April 2026'!$AD36+'DAILY TMH April 2026'!$X36</f>
        <v>0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54">
        <f t="shared" si="0"/>
        <v>0</v>
      </c>
    </row>
    <row r="47" spans="1:15">
      <c r="A47" s="180"/>
      <c r="B47" s="117" t="s">
        <v>10</v>
      </c>
      <c r="C47" s="117">
        <f>'DAILY TMH April 2026'!$AR36</f>
        <v>0</v>
      </c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54">
        <f t="shared" si="0"/>
        <v>0</v>
      </c>
    </row>
    <row r="48" spans="1:15">
      <c r="C48" s="117">
        <f t="shared" ref="C48" si="11">+C43+C44+C45+C46+C47</f>
        <v>0</v>
      </c>
      <c r="D48" s="117">
        <f t="shared" ref="D48:N48" si="12">+D43+D44+D45+D46+D47</f>
        <v>0</v>
      </c>
      <c r="E48" s="117">
        <f t="shared" si="12"/>
        <v>0</v>
      </c>
      <c r="F48" s="117">
        <f t="shared" si="12"/>
        <v>0</v>
      </c>
      <c r="G48" s="117">
        <f t="shared" si="12"/>
        <v>0</v>
      </c>
      <c r="H48" s="117">
        <f t="shared" si="12"/>
        <v>0</v>
      </c>
      <c r="I48" s="117">
        <f t="shared" si="12"/>
        <v>0</v>
      </c>
      <c r="J48" s="117">
        <f t="shared" si="12"/>
        <v>0</v>
      </c>
      <c r="K48" s="117">
        <f t="shared" si="12"/>
        <v>0</v>
      </c>
      <c r="L48" s="117">
        <f t="shared" si="12"/>
        <v>0</v>
      </c>
      <c r="M48" s="117">
        <f t="shared" si="12"/>
        <v>0</v>
      </c>
      <c r="N48" s="117">
        <f t="shared" si="12"/>
        <v>0</v>
      </c>
      <c r="O48" s="154">
        <f t="shared" si="0"/>
        <v>0</v>
      </c>
    </row>
  </sheetData>
  <sheetProtection algorithmName="SHA-512" hashValue="Eg8ofw7lgdcQLN+GS1AWREpkCDF3i8YBsd6NydGoBUWwDqVcmtXdfhf9tSWOoNI0HxBum/IsKxsJdaNkh7aUjQ==" saltValue="P3WsA39MZu7vc+gPWw1bCg==" spinCount="100000" sheet="1" objects="1" scenarios="1"/>
  <mergeCells count="7">
    <mergeCell ref="A33:A38"/>
    <mergeCell ref="A43:A47"/>
    <mergeCell ref="B1:O1"/>
    <mergeCell ref="A3:A8"/>
    <mergeCell ref="A11:A14"/>
    <mergeCell ref="A18:A21"/>
    <mergeCell ref="A25:A3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48"/>
  <sheetViews>
    <sheetView workbookViewId="0">
      <pane xSplit="2" ySplit="2" topLeftCell="C3" activePane="bottomRight" state="frozen"/>
      <selection pane="topRight"/>
      <selection pane="bottomLeft"/>
      <selection pane="bottomRight" activeCell="E12" sqref="E12"/>
    </sheetView>
  </sheetViews>
  <sheetFormatPr defaultColWidth="9.140625" defaultRowHeight="15"/>
  <cols>
    <col min="1" max="1" width="17.140625" style="149" customWidth="1"/>
    <col min="2" max="2" width="16.42578125" style="149" customWidth="1"/>
    <col min="3" max="3" width="12.28515625" style="149" customWidth="1"/>
    <col min="4" max="14" width="12" style="149" customWidth="1"/>
    <col min="15" max="15" width="11.5703125" style="149" customWidth="1"/>
    <col min="16" max="16384" width="9.140625" style="149"/>
  </cols>
  <sheetData>
    <row r="1" spans="1:16">
      <c r="B1" s="181" t="s">
        <v>255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6" s="150" customFormat="1">
      <c r="B2" s="151"/>
      <c r="C2" s="151">
        <v>46113</v>
      </c>
      <c r="D2" s="151">
        <v>46143</v>
      </c>
      <c r="E2" s="151">
        <v>46174</v>
      </c>
      <c r="F2" s="151">
        <v>46204</v>
      </c>
      <c r="G2" s="151">
        <v>46235</v>
      </c>
      <c r="H2" s="151">
        <v>46266</v>
      </c>
      <c r="I2" s="151">
        <v>46296</v>
      </c>
      <c r="J2" s="151">
        <v>46327</v>
      </c>
      <c r="K2" s="151">
        <v>46357</v>
      </c>
      <c r="L2" s="151">
        <v>46388</v>
      </c>
      <c r="M2" s="151">
        <v>46419</v>
      </c>
      <c r="N2" s="151">
        <v>46447</v>
      </c>
      <c r="O2" s="152" t="s">
        <v>17</v>
      </c>
    </row>
    <row r="3" spans="1:16" ht="15" customHeight="1">
      <c r="A3" s="182" t="s">
        <v>18</v>
      </c>
      <c r="B3" s="117" t="s">
        <v>6</v>
      </c>
      <c r="C3" s="153">
        <f>'DAILY TMH April 2026'!$G36</f>
        <v>6912.7399999999989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>
        <f>SUM(C3:N3)</f>
        <v>6912.7399999999989</v>
      </c>
    </row>
    <row r="4" spans="1:16">
      <c r="A4" s="183"/>
      <c r="B4" s="117" t="s">
        <v>7</v>
      </c>
      <c r="C4" s="153">
        <f>'DAILY TMH April 2026'!$O36</f>
        <v>5290.36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4">
        <f t="shared" ref="O4:O48" si="0">SUM(C4:N4)</f>
        <v>5290.36</v>
      </c>
    </row>
    <row r="5" spans="1:16">
      <c r="A5" s="183"/>
      <c r="B5" s="117" t="s">
        <v>8</v>
      </c>
      <c r="C5" s="155">
        <f>'DAILY TMH April 2026'!$O37</f>
        <v>0</v>
      </c>
      <c r="D5" s="155"/>
      <c r="E5" s="155"/>
      <c r="F5" s="155"/>
      <c r="G5" s="155"/>
      <c r="H5" s="155"/>
      <c r="I5" s="155"/>
      <c r="J5" s="155"/>
      <c r="K5" s="155"/>
      <c r="L5" s="153"/>
      <c r="M5" s="153"/>
      <c r="N5" s="153"/>
      <c r="O5" s="154">
        <f t="shared" si="0"/>
        <v>0</v>
      </c>
    </row>
    <row r="6" spans="1:16">
      <c r="A6" s="183"/>
      <c r="B6" s="117" t="s">
        <v>9</v>
      </c>
      <c r="C6" s="153">
        <f>'DAILY TMH April 2026'!$AA36</f>
        <v>0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4">
        <f t="shared" si="0"/>
        <v>0</v>
      </c>
    </row>
    <row r="7" spans="1:16">
      <c r="A7" s="183"/>
      <c r="B7" s="117" t="s">
        <v>10</v>
      </c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>
        <f t="shared" si="0"/>
        <v>0</v>
      </c>
    </row>
    <row r="8" spans="1:16">
      <c r="A8" s="183"/>
      <c r="B8" s="117" t="s">
        <v>11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>
        <f t="shared" si="0"/>
        <v>0</v>
      </c>
    </row>
    <row r="9" spans="1:16">
      <c r="A9" s="156"/>
      <c r="B9" s="117"/>
      <c r="C9" s="154">
        <f t="shared" ref="C9" si="1">+C3+C4+C5+C6+C7+C8</f>
        <v>12203.099999999999</v>
      </c>
      <c r="D9" s="154">
        <f t="shared" ref="D9:N9" si="2">+D3+D4+D5+D6+D7+D8</f>
        <v>0</v>
      </c>
      <c r="E9" s="154">
        <f t="shared" si="2"/>
        <v>0</v>
      </c>
      <c r="F9" s="154">
        <f t="shared" si="2"/>
        <v>0</v>
      </c>
      <c r="G9" s="154">
        <f t="shared" si="2"/>
        <v>0</v>
      </c>
      <c r="H9" s="154">
        <f t="shared" si="2"/>
        <v>0</v>
      </c>
      <c r="I9" s="154">
        <f t="shared" si="2"/>
        <v>0</v>
      </c>
      <c r="J9" s="154">
        <f t="shared" si="2"/>
        <v>0</v>
      </c>
      <c r="K9" s="154">
        <f t="shared" si="2"/>
        <v>0</v>
      </c>
      <c r="L9" s="154">
        <f t="shared" si="2"/>
        <v>0</v>
      </c>
      <c r="M9" s="154">
        <f t="shared" si="2"/>
        <v>0</v>
      </c>
      <c r="N9" s="154">
        <f t="shared" si="2"/>
        <v>0</v>
      </c>
      <c r="O9" s="154">
        <f t="shared" si="0"/>
        <v>12203.099999999999</v>
      </c>
    </row>
    <row r="10" spans="1:16"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4"/>
      <c r="P10" s="157"/>
    </row>
    <row r="11" spans="1:16">
      <c r="A11" s="177" t="s">
        <v>19</v>
      </c>
      <c r="B11" s="117" t="s">
        <v>6</v>
      </c>
      <c r="C11" s="153">
        <f>'DAILY TMH April 2026'!$E36</f>
        <v>5898.1400000000012</v>
      </c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4">
        <f t="shared" si="0"/>
        <v>5898.1400000000012</v>
      </c>
    </row>
    <row r="12" spans="1:16">
      <c r="A12" s="177"/>
      <c r="B12" s="117" t="s">
        <v>7</v>
      </c>
      <c r="C12" s="153">
        <f>'DAILY TMH April 2026'!$M36</f>
        <v>4803.74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4">
        <f t="shared" si="0"/>
        <v>4803.74</v>
      </c>
    </row>
    <row r="13" spans="1:16">
      <c r="A13" s="177"/>
      <c r="B13" s="117" t="s">
        <v>8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>
        <f t="shared" si="0"/>
        <v>0</v>
      </c>
    </row>
    <row r="14" spans="1:16">
      <c r="A14" s="177"/>
      <c r="B14" s="117" t="s">
        <v>13</v>
      </c>
      <c r="C14" s="153">
        <f>'DAILY TMH April 2026'!$Y36</f>
        <v>0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4">
        <f t="shared" si="0"/>
        <v>0</v>
      </c>
    </row>
    <row r="15" spans="1:16">
      <c r="A15" s="156"/>
      <c r="B15" s="117" t="s">
        <v>10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>
        <f t="shared" si="0"/>
        <v>0</v>
      </c>
    </row>
    <row r="16" spans="1:16">
      <c r="A16" s="156"/>
      <c r="C16" s="154">
        <f t="shared" ref="C16" si="3">+C11+C12+C13+C14+C15</f>
        <v>10701.880000000001</v>
      </c>
      <c r="D16" s="154">
        <f t="shared" ref="D16:N16" si="4">+D11+D12+D13+D14+D15</f>
        <v>0</v>
      </c>
      <c r="E16" s="154">
        <f t="shared" si="4"/>
        <v>0</v>
      </c>
      <c r="F16" s="154">
        <f t="shared" si="4"/>
        <v>0</v>
      </c>
      <c r="G16" s="154">
        <f t="shared" si="4"/>
        <v>0</v>
      </c>
      <c r="H16" s="154">
        <f t="shared" si="4"/>
        <v>0</v>
      </c>
      <c r="I16" s="154">
        <f t="shared" si="4"/>
        <v>0</v>
      </c>
      <c r="J16" s="154">
        <f t="shared" si="4"/>
        <v>0</v>
      </c>
      <c r="K16" s="154">
        <f t="shared" si="4"/>
        <v>0</v>
      </c>
      <c r="L16" s="154">
        <f t="shared" si="4"/>
        <v>0</v>
      </c>
      <c r="M16" s="154">
        <f t="shared" si="4"/>
        <v>0</v>
      </c>
      <c r="N16" s="154">
        <f t="shared" si="4"/>
        <v>0</v>
      </c>
      <c r="O16" s="154">
        <f t="shared" si="0"/>
        <v>10701.880000000001</v>
      </c>
    </row>
    <row r="17" spans="1:19"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4"/>
    </row>
    <row r="18" spans="1:19">
      <c r="A18" s="177" t="s">
        <v>20</v>
      </c>
      <c r="B18" s="117" t="s">
        <v>6</v>
      </c>
      <c r="C18" s="153">
        <f>'DAILY TMH April 2026'!$F36</f>
        <v>1483.9999999999998</v>
      </c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4">
        <f t="shared" si="0"/>
        <v>1483.9999999999998</v>
      </c>
    </row>
    <row r="19" spans="1:19">
      <c r="A19" s="177"/>
      <c r="B19" s="117" t="s">
        <v>7</v>
      </c>
      <c r="C19" s="153">
        <f>'DAILY TMH April 2026'!$N36</f>
        <v>446.28</v>
      </c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4">
        <f t="shared" si="0"/>
        <v>446.28</v>
      </c>
    </row>
    <row r="20" spans="1:19">
      <c r="A20" s="177"/>
      <c r="B20" s="117" t="s">
        <v>21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4">
        <f t="shared" si="0"/>
        <v>0</v>
      </c>
    </row>
    <row r="21" spans="1:19">
      <c r="A21" s="177"/>
      <c r="B21" s="117" t="s">
        <v>13</v>
      </c>
      <c r="C21" s="153">
        <f>'DAILY TMH April 2026'!$Z36</f>
        <v>0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4">
        <f t="shared" si="0"/>
        <v>0</v>
      </c>
    </row>
    <row r="22" spans="1:19">
      <c r="A22" s="156"/>
      <c r="B22" s="117" t="s">
        <v>10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>
        <f t="shared" si="0"/>
        <v>0</v>
      </c>
    </row>
    <row r="23" spans="1:19">
      <c r="A23" s="156"/>
      <c r="C23" s="154">
        <f t="shared" ref="C23" si="5">+C18+C19+C20+C21+C22</f>
        <v>1930.2799999999997</v>
      </c>
      <c r="D23" s="154">
        <f t="shared" ref="D23:N23" si="6">+D18+D19+D20+D21+D22</f>
        <v>0</v>
      </c>
      <c r="E23" s="154">
        <f t="shared" si="6"/>
        <v>0</v>
      </c>
      <c r="F23" s="154">
        <f t="shared" si="6"/>
        <v>0</v>
      </c>
      <c r="G23" s="154">
        <f t="shared" si="6"/>
        <v>0</v>
      </c>
      <c r="H23" s="154">
        <f t="shared" si="6"/>
        <v>0</v>
      </c>
      <c r="I23" s="154">
        <f t="shared" si="6"/>
        <v>0</v>
      </c>
      <c r="J23" s="154">
        <f t="shared" si="6"/>
        <v>0</v>
      </c>
      <c r="K23" s="154">
        <f t="shared" si="6"/>
        <v>0</v>
      </c>
      <c r="L23" s="154">
        <f t="shared" si="6"/>
        <v>0</v>
      </c>
      <c r="M23" s="154">
        <f t="shared" si="6"/>
        <v>0</v>
      </c>
      <c r="N23" s="154">
        <f t="shared" si="6"/>
        <v>0</v>
      </c>
      <c r="O23" s="154">
        <f t="shared" si="0"/>
        <v>1930.2799999999997</v>
      </c>
    </row>
    <row r="24" spans="1:19"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4"/>
    </row>
    <row r="25" spans="1:19">
      <c r="A25" s="177" t="s">
        <v>22</v>
      </c>
      <c r="B25" s="117" t="s">
        <v>6</v>
      </c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4">
        <f t="shared" si="0"/>
        <v>0</v>
      </c>
    </row>
    <row r="26" spans="1:19">
      <c r="A26" s="177"/>
      <c r="B26" s="117" t="s">
        <v>7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>
        <f t="shared" si="0"/>
        <v>0</v>
      </c>
    </row>
    <row r="27" spans="1:19">
      <c r="A27" s="177"/>
      <c r="B27" s="117" t="s">
        <v>8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4">
        <f t="shared" si="0"/>
        <v>0</v>
      </c>
    </row>
    <row r="28" spans="1:19">
      <c r="A28" s="177"/>
      <c r="B28" s="117" t="s">
        <v>13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4">
        <f t="shared" si="0"/>
        <v>0</v>
      </c>
    </row>
    <row r="29" spans="1:19">
      <c r="A29" s="177"/>
      <c r="B29" s="158" t="s">
        <v>23</v>
      </c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4">
        <f t="shared" si="0"/>
        <v>0</v>
      </c>
    </row>
    <row r="30" spans="1:19">
      <c r="A30" s="177"/>
      <c r="B30" s="117" t="s">
        <v>10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4">
        <f t="shared" si="0"/>
        <v>0</v>
      </c>
    </row>
    <row r="31" spans="1:19">
      <c r="B31" s="117"/>
      <c r="C31" s="154">
        <f t="shared" ref="C31" si="7">+C25+C26+C27+C28+C29+C30</f>
        <v>0</v>
      </c>
      <c r="D31" s="154">
        <f t="shared" ref="D31:N31" si="8">+D25+D26+D27+D28+D29+D30</f>
        <v>0</v>
      </c>
      <c r="E31" s="154">
        <f t="shared" si="8"/>
        <v>0</v>
      </c>
      <c r="F31" s="154">
        <f t="shared" si="8"/>
        <v>0</v>
      </c>
      <c r="G31" s="154">
        <f t="shared" si="8"/>
        <v>0</v>
      </c>
      <c r="H31" s="154">
        <f t="shared" si="8"/>
        <v>0</v>
      </c>
      <c r="I31" s="154">
        <f t="shared" si="8"/>
        <v>0</v>
      </c>
      <c r="J31" s="154">
        <f t="shared" si="8"/>
        <v>0</v>
      </c>
      <c r="K31" s="154">
        <f t="shared" si="8"/>
        <v>0</v>
      </c>
      <c r="L31" s="154">
        <f t="shared" si="8"/>
        <v>0</v>
      </c>
      <c r="M31" s="154">
        <f t="shared" si="8"/>
        <v>0</v>
      </c>
      <c r="N31" s="154">
        <f t="shared" si="8"/>
        <v>0</v>
      </c>
      <c r="O31" s="154">
        <f t="shared" si="0"/>
        <v>0</v>
      </c>
    </row>
    <row r="32" spans="1:19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4"/>
      <c r="P32" s="157"/>
      <c r="Q32" s="157"/>
      <c r="R32" s="157"/>
      <c r="S32" s="157"/>
    </row>
    <row r="33" spans="1:21">
      <c r="A33" s="177" t="s">
        <v>24</v>
      </c>
      <c r="B33" s="117" t="s">
        <v>6</v>
      </c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>
        <f t="shared" si="0"/>
        <v>0</v>
      </c>
    </row>
    <row r="34" spans="1:21">
      <c r="A34" s="177"/>
      <c r="B34" s="117" t="s">
        <v>7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4">
        <f t="shared" si="0"/>
        <v>0</v>
      </c>
    </row>
    <row r="35" spans="1:21">
      <c r="A35" s="177"/>
      <c r="B35" s="117" t="s">
        <v>8</v>
      </c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4">
        <f t="shared" si="0"/>
        <v>0</v>
      </c>
    </row>
    <row r="36" spans="1:21">
      <c r="A36" s="177"/>
      <c r="B36" s="117" t="s">
        <v>13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4">
        <f t="shared" si="0"/>
        <v>0</v>
      </c>
    </row>
    <row r="37" spans="1:21">
      <c r="A37" s="177"/>
      <c r="B37" s="158" t="s">
        <v>23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4">
        <f t="shared" si="0"/>
        <v>0</v>
      </c>
      <c r="U37" s="149" t="e">
        <f>'MTD &amp; YTD for Supply(NORTH)'!#REF!</f>
        <v>#REF!</v>
      </c>
    </row>
    <row r="38" spans="1:21">
      <c r="A38" s="177"/>
      <c r="B38" s="117" t="s">
        <v>10</v>
      </c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4">
        <f t="shared" si="0"/>
        <v>0</v>
      </c>
    </row>
    <row r="39" spans="1:21">
      <c r="B39" s="117"/>
      <c r="C39" s="154">
        <f t="shared" ref="C39" si="9">+C33+C34+C35+C36+C37+C38</f>
        <v>0</v>
      </c>
      <c r="D39" s="154">
        <f t="shared" ref="D39:N39" si="10">+D33+D34+D35+D36+D37+D38</f>
        <v>0</v>
      </c>
      <c r="E39" s="154">
        <f t="shared" si="10"/>
        <v>0</v>
      </c>
      <c r="F39" s="154">
        <f t="shared" si="10"/>
        <v>0</v>
      </c>
      <c r="G39" s="154">
        <f t="shared" si="10"/>
        <v>0</v>
      </c>
      <c r="H39" s="154">
        <f t="shared" si="10"/>
        <v>0</v>
      </c>
      <c r="I39" s="154">
        <f t="shared" si="10"/>
        <v>0</v>
      </c>
      <c r="J39" s="154">
        <f t="shared" si="10"/>
        <v>0</v>
      </c>
      <c r="K39" s="154">
        <f t="shared" si="10"/>
        <v>0</v>
      </c>
      <c r="L39" s="154">
        <f t="shared" si="10"/>
        <v>0</v>
      </c>
      <c r="M39" s="154">
        <f t="shared" si="10"/>
        <v>0</v>
      </c>
      <c r="N39" s="154">
        <f t="shared" si="10"/>
        <v>0</v>
      </c>
      <c r="O39" s="154">
        <f t="shared" si="0"/>
        <v>0</v>
      </c>
    </row>
    <row r="40" spans="1:21">
      <c r="O40" s="154"/>
    </row>
    <row r="41" spans="1:21" s="162" customFormat="1" ht="15" customHeight="1">
      <c r="A41" s="160" t="s">
        <v>25</v>
      </c>
      <c r="B41" s="161" t="s">
        <v>15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54">
        <f t="shared" si="0"/>
        <v>0</v>
      </c>
    </row>
    <row r="42" spans="1:21" s="162" customFormat="1" ht="15" customHeight="1">
      <c r="A42" s="163"/>
      <c r="B42" s="164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54">
        <f t="shared" si="0"/>
        <v>0</v>
      </c>
    </row>
    <row r="43" spans="1:21">
      <c r="A43" s="178" t="s">
        <v>26</v>
      </c>
      <c r="B43" s="117" t="s">
        <v>6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54">
        <f t="shared" si="0"/>
        <v>0</v>
      </c>
    </row>
    <row r="44" spans="1:21">
      <c r="A44" s="179"/>
      <c r="B44" s="117" t="s">
        <v>7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54">
        <f t="shared" si="0"/>
        <v>0</v>
      </c>
    </row>
    <row r="45" spans="1:21">
      <c r="A45" s="179"/>
      <c r="B45" s="117" t="s">
        <v>21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54">
        <f t="shared" si="0"/>
        <v>0</v>
      </c>
    </row>
    <row r="46" spans="1:21">
      <c r="A46" s="179"/>
      <c r="B46" s="117" t="s">
        <v>27</v>
      </c>
      <c r="C46" s="117">
        <f>'DAILY TMH April 2026'!$AB36</f>
        <v>10720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54">
        <f t="shared" si="0"/>
        <v>10720</v>
      </c>
    </row>
    <row r="47" spans="1:21">
      <c r="A47" s="180"/>
      <c r="B47" s="117" t="s">
        <v>10</v>
      </c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54">
        <f t="shared" si="0"/>
        <v>0</v>
      </c>
    </row>
    <row r="48" spans="1:21">
      <c r="C48" s="117">
        <f t="shared" ref="C48" si="11">+C43+C44+C45+C46+C47</f>
        <v>10720</v>
      </c>
      <c r="D48" s="117">
        <f t="shared" ref="D48:N48" si="12">+D43+D44+D45+D46+D47</f>
        <v>0</v>
      </c>
      <c r="E48" s="117">
        <f t="shared" si="12"/>
        <v>0</v>
      </c>
      <c r="F48" s="117">
        <f t="shared" si="12"/>
        <v>0</v>
      </c>
      <c r="G48" s="117">
        <f t="shared" si="12"/>
        <v>0</v>
      </c>
      <c r="H48" s="117">
        <f t="shared" si="12"/>
        <v>0</v>
      </c>
      <c r="I48" s="117">
        <f t="shared" si="12"/>
        <v>0</v>
      </c>
      <c r="J48" s="117">
        <f t="shared" si="12"/>
        <v>0</v>
      </c>
      <c r="K48" s="117">
        <f t="shared" si="12"/>
        <v>0</v>
      </c>
      <c r="L48" s="117">
        <f t="shared" si="12"/>
        <v>0</v>
      </c>
      <c r="M48" s="117">
        <f t="shared" si="12"/>
        <v>0</v>
      </c>
      <c r="N48" s="117">
        <f t="shared" si="12"/>
        <v>0</v>
      </c>
      <c r="O48" s="154">
        <f t="shared" si="0"/>
        <v>10720</v>
      </c>
    </row>
  </sheetData>
  <sheetProtection algorithmName="SHA-512" hashValue="rFntHLWk3OInoj14ez+dxW7PDkHBZYFWSHjCHhWTQUI+wxB/h8CHwCIrVUW8JjODwW+1OxVqDVrljye6xhtmDw==" saltValue="BvXh+NIw41irmCYn/uprTA==" spinCount="100000" sheet="1" objects="1" scenarios="1"/>
  <mergeCells count="7">
    <mergeCell ref="A33:A38"/>
    <mergeCell ref="A43:A47"/>
    <mergeCell ref="B1:O1"/>
    <mergeCell ref="A3:A8"/>
    <mergeCell ref="A11:A14"/>
    <mergeCell ref="A18:A21"/>
    <mergeCell ref="A25:A3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BJ56"/>
  <sheetViews>
    <sheetView showZeros="0" tabSelected="1" zoomScaleNormal="100" workbookViewId="0">
      <pane xSplit="1" ySplit="4" topLeftCell="B17" activePane="bottomRight" state="frozen"/>
      <selection pane="topRight"/>
      <selection pane="bottomLeft"/>
      <selection pane="bottomRight" activeCell="J25" sqref="J25"/>
    </sheetView>
  </sheetViews>
  <sheetFormatPr defaultColWidth="9.140625" defaultRowHeight="15"/>
  <cols>
    <col min="1" max="1" width="11.85546875" style="68" customWidth="1"/>
    <col min="2" max="2" width="10.5703125" style="69" customWidth="1"/>
    <col min="3" max="3" width="12.85546875" style="69" customWidth="1"/>
    <col min="4" max="7" width="11.85546875" style="69" customWidth="1"/>
    <col min="8" max="8" width="14.140625" style="69" customWidth="1"/>
    <col min="9" max="9" width="13.7109375" style="69" customWidth="1"/>
    <col min="10" max="10" width="13.85546875" style="69" customWidth="1"/>
    <col min="11" max="15" width="12.7109375" style="69" customWidth="1"/>
    <col min="16" max="16" width="11.28515625" style="70" customWidth="1"/>
    <col min="17" max="17" width="12.42578125" style="69" customWidth="1"/>
    <col min="18" max="18" width="11.5703125" style="69" customWidth="1"/>
    <col min="19" max="19" width="12.42578125" style="69" customWidth="1"/>
    <col min="20" max="21" width="10.5703125" style="69" customWidth="1"/>
    <col min="22" max="22" width="12.42578125" style="69" customWidth="1"/>
    <col min="23" max="23" width="12" style="69" customWidth="1"/>
    <col min="24" max="28" width="13" style="69" customWidth="1"/>
    <col min="29" max="29" width="13.42578125" style="69" customWidth="1"/>
    <col min="30" max="30" width="12.85546875" style="69" customWidth="1"/>
    <col min="31" max="31" width="12.5703125" style="69" customWidth="1"/>
    <col min="32" max="32" width="12.42578125" style="69" customWidth="1"/>
    <col min="33" max="33" width="10.5703125" style="69" customWidth="1"/>
    <col min="34" max="34" width="12.42578125" style="69" customWidth="1"/>
    <col min="35" max="35" width="9.5703125" style="69" customWidth="1"/>
    <col min="36" max="36" width="12.42578125" style="69" customWidth="1"/>
    <col min="37" max="37" width="10.5703125" style="69" customWidth="1"/>
    <col min="38" max="38" width="12.7109375" style="69" customWidth="1"/>
    <col min="39" max="39" width="13.140625" style="69" customWidth="1"/>
    <col min="40" max="40" width="12.85546875" style="69" customWidth="1"/>
    <col min="41" max="41" width="12.42578125" style="69" customWidth="1"/>
    <col min="42" max="42" width="7.85546875" style="69" customWidth="1"/>
    <col min="43" max="43" width="12.140625" style="69" customWidth="1"/>
    <col min="44" max="45" width="11.28515625" style="69" customWidth="1"/>
    <col min="46" max="46" width="15.5703125" style="69" customWidth="1"/>
    <col min="47" max="47" width="12.7109375" style="69" customWidth="1"/>
    <col min="48" max="48" width="11.85546875" style="69" customWidth="1"/>
    <col min="49" max="49" width="13.85546875" style="69" customWidth="1"/>
    <col min="50" max="50" width="11.5703125" style="69" customWidth="1"/>
    <col min="51" max="51" width="13.85546875" style="69" customWidth="1"/>
    <col min="52" max="52" width="12.7109375" style="69" customWidth="1"/>
    <col min="53" max="53" width="11.5703125" style="69" customWidth="1"/>
    <col min="54" max="54" width="12.42578125" style="69" customWidth="1"/>
    <col min="55" max="55" width="11.5703125" style="69" customWidth="1"/>
    <col min="56" max="56" width="12.28515625" style="69" customWidth="1"/>
    <col min="57" max="57" width="13.42578125" style="69" customWidth="1"/>
    <col min="58" max="58" width="13.7109375" style="69" customWidth="1"/>
    <col min="59" max="61" width="17.5703125" style="69" customWidth="1"/>
    <col min="62" max="62" width="12.5703125" style="69" customWidth="1"/>
    <col min="63" max="63" width="12" style="69" customWidth="1"/>
    <col min="64" max="64" width="10.5703125" style="69" customWidth="1"/>
    <col min="65" max="16384" width="9.140625" style="69"/>
  </cols>
  <sheetData>
    <row r="1" spans="1:61">
      <c r="J1" s="217" t="s">
        <v>28</v>
      </c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BG1" s="120"/>
      <c r="BH1" s="120"/>
      <c r="BI1" s="120"/>
    </row>
    <row r="2" spans="1:61">
      <c r="D2" s="71"/>
      <c r="E2" s="71"/>
      <c r="F2" s="71"/>
      <c r="G2" s="71"/>
    </row>
    <row r="3" spans="1:61" ht="15" customHeight="1">
      <c r="A3" s="187" t="s">
        <v>29</v>
      </c>
      <c r="B3" s="193" t="s">
        <v>30</v>
      </c>
      <c r="C3" s="194"/>
      <c r="D3" s="195"/>
      <c r="E3" s="193" t="s">
        <v>31</v>
      </c>
      <c r="F3" s="194"/>
      <c r="G3" s="195"/>
      <c r="H3" s="193" t="s">
        <v>32</v>
      </c>
      <c r="I3" s="195"/>
      <c r="J3" s="193" t="s">
        <v>33</v>
      </c>
      <c r="K3" s="194"/>
      <c r="L3" s="195"/>
      <c r="M3" s="193" t="s">
        <v>34</v>
      </c>
      <c r="N3" s="194"/>
      <c r="O3" s="195"/>
      <c r="P3" s="193" t="s">
        <v>35</v>
      </c>
      <c r="Q3" s="194"/>
      <c r="R3" s="195"/>
      <c r="S3" s="193" t="s">
        <v>11</v>
      </c>
      <c r="T3" s="195"/>
      <c r="U3" s="193" t="s">
        <v>36</v>
      </c>
      <c r="V3" s="194"/>
      <c r="W3" s="194"/>
      <c r="X3" s="195"/>
      <c r="Y3" s="193" t="s">
        <v>37</v>
      </c>
      <c r="Z3" s="194"/>
      <c r="AA3" s="194"/>
      <c r="AB3" s="195"/>
      <c r="AC3" s="193" t="s">
        <v>38</v>
      </c>
      <c r="AD3" s="194"/>
      <c r="AE3" s="195"/>
      <c r="AF3" s="193" t="s">
        <v>39</v>
      </c>
      <c r="AG3" s="194"/>
      <c r="AH3" s="195"/>
      <c r="AI3" s="189" t="s">
        <v>40</v>
      </c>
      <c r="AJ3" s="193" t="s">
        <v>41</v>
      </c>
      <c r="AK3" s="194"/>
      <c r="AL3" s="195"/>
      <c r="AM3" s="189" t="s">
        <v>42</v>
      </c>
      <c r="AN3" s="100" t="s">
        <v>43</v>
      </c>
      <c r="AO3" s="104"/>
      <c r="AP3" s="196" t="s">
        <v>44</v>
      </c>
      <c r="AQ3" s="197"/>
      <c r="AR3" s="198" t="s">
        <v>45</v>
      </c>
      <c r="AS3" s="199"/>
      <c r="AT3" s="200"/>
      <c r="AU3" s="191" t="s">
        <v>46</v>
      </c>
      <c r="AV3" s="191" t="s">
        <v>47</v>
      </c>
      <c r="AW3" s="184" t="s">
        <v>48</v>
      </c>
      <c r="AX3" s="186" t="s">
        <v>49</v>
      </c>
      <c r="AY3" s="186" t="s">
        <v>50</v>
      </c>
      <c r="BA3" s="71"/>
    </row>
    <row r="4" spans="1:61" ht="45">
      <c r="A4" s="188"/>
      <c r="B4" s="72" t="s">
        <v>51</v>
      </c>
      <c r="C4" s="73" t="s">
        <v>52</v>
      </c>
      <c r="D4" s="74" t="s">
        <v>53</v>
      </c>
      <c r="E4" s="75" t="s">
        <v>51</v>
      </c>
      <c r="F4" s="76" t="s">
        <v>54</v>
      </c>
      <c r="G4" s="77" t="s">
        <v>53</v>
      </c>
      <c r="H4" s="78" t="s">
        <v>51</v>
      </c>
      <c r="I4" s="73" t="s">
        <v>52</v>
      </c>
      <c r="J4" s="72" t="s">
        <v>51</v>
      </c>
      <c r="K4" s="73" t="s">
        <v>54</v>
      </c>
      <c r="L4" s="74" t="s">
        <v>53</v>
      </c>
      <c r="M4" s="72" t="s">
        <v>51</v>
      </c>
      <c r="N4" s="88" t="s">
        <v>54</v>
      </c>
      <c r="O4" s="74" t="s">
        <v>53</v>
      </c>
      <c r="P4" s="72" t="s">
        <v>51</v>
      </c>
      <c r="Q4" s="73" t="s">
        <v>54</v>
      </c>
      <c r="R4" s="97" t="s">
        <v>55</v>
      </c>
      <c r="S4" s="72" t="s">
        <v>51</v>
      </c>
      <c r="T4" s="73" t="s">
        <v>54</v>
      </c>
      <c r="U4" s="72" t="s">
        <v>51</v>
      </c>
      <c r="V4" s="73" t="s">
        <v>54</v>
      </c>
      <c r="W4" s="98" t="s">
        <v>53</v>
      </c>
      <c r="X4" s="72" t="s">
        <v>56</v>
      </c>
      <c r="Y4" s="72" t="s">
        <v>51</v>
      </c>
      <c r="Z4" s="88" t="s">
        <v>54</v>
      </c>
      <c r="AA4" s="74" t="s">
        <v>53</v>
      </c>
      <c r="AB4" s="72" t="s">
        <v>56</v>
      </c>
      <c r="AC4" s="99" t="s">
        <v>51</v>
      </c>
      <c r="AD4" s="72" t="s">
        <v>57</v>
      </c>
      <c r="AE4" s="99" t="s">
        <v>54</v>
      </c>
      <c r="AF4" s="72" t="s">
        <v>51</v>
      </c>
      <c r="AG4" s="73" t="s">
        <v>54</v>
      </c>
      <c r="AH4" s="74" t="s">
        <v>58</v>
      </c>
      <c r="AI4" s="190"/>
      <c r="AJ4" s="72" t="s">
        <v>51</v>
      </c>
      <c r="AK4" s="73" t="s">
        <v>54</v>
      </c>
      <c r="AL4" s="74" t="s">
        <v>59</v>
      </c>
      <c r="AM4" s="190"/>
      <c r="AN4" s="101"/>
      <c r="AO4" s="105"/>
      <c r="AP4" s="106" t="s">
        <v>51</v>
      </c>
      <c r="AQ4" s="106" t="s">
        <v>60</v>
      </c>
      <c r="AR4" s="107" t="s">
        <v>61</v>
      </c>
      <c r="AS4" s="107" t="s">
        <v>62</v>
      </c>
      <c r="AT4" s="77" t="s">
        <v>63</v>
      </c>
      <c r="AU4" s="192"/>
      <c r="AV4" s="192"/>
      <c r="AW4" s="185"/>
      <c r="AX4" s="186"/>
      <c r="AY4" s="186"/>
      <c r="AZ4" s="64" t="s">
        <v>64</v>
      </c>
      <c r="BA4" s="64" t="s">
        <v>65</v>
      </c>
    </row>
    <row r="5" spans="1:61" s="63" customFormat="1">
      <c r="A5" s="79">
        <v>46113</v>
      </c>
      <c r="B5" s="80" cm="1">
        <f t="array" ref="B5">SUMPRODUCT((Uploaded_Data!$D$2:$D$59696="Production Transfers")*(Uploaded_Data!$E$2:$E$59696="South Mine to Pile (through Crusher)")*(Uploaded_Data!$F$2:$F$59696="HG")*((Uploaded_Data!$H$2:$H$59696=$A$5-1)+(Uploaded_Data!$H$2:$H$59696=$A$5))*Uploaded_Data!$N$2:$N$59696)</f>
        <v>0</v>
      </c>
      <c r="C5" s="80" cm="1">
        <f t="array" ref="C5">SUMPRODUCT((Uploaded_Data!$D$2:$D$59696="Production Transfers")*(Uploaded_Data!$E$2:$E$59696="South Mine to Direct Pile (Bypass Crusher)")*(Uploaded_Data!$F$2:$F$59696="HG")*((Uploaded_Data!$H$2:$H$59696=$A$5-1)+(Uploaded_Data!$H$2:$H$59696=$A$5))*Uploaded_Data!$N$2:$N$59696)</f>
        <v>0</v>
      </c>
      <c r="D5" s="80" cm="1">
        <f t="array" ref="D5">SUMPRODUCT((Uploaded_Data!$D$2:$D$59696="Production Transfers")*(Uploaded_Data!$E$2:$E$59696="South Mine to Stock Yard")*(Uploaded_Data!$F$2:$F$59696="HG")*((Uploaded_Data!$H$2:$H$59696=$A$5-1)+(Uploaded_Data!$H$2:$H$59696=$A$5))*Uploaded_Data!$N$2:$N$59696)</f>
        <v>0</v>
      </c>
      <c r="E5" s="80" cm="1">
        <f t="array" ref="E5">SUMPRODUCT((Uploaded_Data!$D$2:$D$59696="Production Transfers")*(Uploaded_Data!$E$2:$E$59696="North Mine to Pile (through Crusher)")*(Uploaded_Data!$F$2:$F$59696="HG")*((Uploaded_Data!$H$2:$H$59696=$A$5-1)+(Uploaded_Data!$H$2:$H$59696=$A$5))*Uploaded_Data!$N$2:$N$59696)</f>
        <v>0</v>
      </c>
      <c r="F5" s="80" cm="1">
        <f t="array" ref="F5">SUMPRODUCT((Uploaded_Data!$D$2:$D$59696="Production Transfers")*(Uploaded_Data!$E$2:$E$59696="North Mine to Direct Pile (Bypass Crusher)")*(Uploaded_Data!$F$2:$F$59696="HG")*((Uploaded_Data!$H$2:$H$59696=$A$5-1)+(Uploaded_Data!$H$2:$H$59696=$A$5))*Uploaded_Data!$N$2:$N$59696)</f>
        <v>0</v>
      </c>
      <c r="G5" s="80" cm="1">
        <f t="array" ref="G5">SUMPRODUCT((Uploaded_Data!$D$2:$D$59696="Production Transfers")*(Uploaded_Data!$E$2:$E$59696="North Mine to Stock Yard")*(Uploaded_Data!$F$2:$F$59696="HG")*((Uploaded_Data!$H$2:$H$59696=$A$5-1)+(Uploaded_Data!$H$2:$H$59696=$A$5))*Uploaded_Data!$N$2:$N$59696)</f>
        <v>0</v>
      </c>
      <c r="H5" s="120" cm="1">
        <f t="array" ref="H5">SUMPRODUCT((Uploaded_Data!$D$2:$D$59696="Internal Transfers")*(Uploaded_Data!$E$2:$E$59696="Stock Yard to Pile (through Crusher)")*(Uploaded_Data!$F$2:$F$59696="HG")*((Uploaded_Data!$H$2:$H$59696=$A$5-1)+(Uploaded_Data!$H$2:$H$59696=$A$5))*Uploaded_Data!$N$2:$N$59696)</f>
        <v>0</v>
      </c>
      <c r="I5" s="80" cm="1">
        <f t="array" ref="I5">SUMPRODUCT((Uploaded_Data!$D$2:$D$59696="Internal Transfers")*(Uploaded_Data!$E$2:$E$59696="Stock Yard to Direct Pile (Bypass Crusher)")*(Uploaded_Data!$F$2:$F$59696="HG")*((Uploaded_Data!$H$2:$H$59696=$A$5-1)+(Uploaded_Data!$H$2:$H$59696=$A$5))*Uploaded_Data!$N$2:$N$59696)</f>
        <v>0</v>
      </c>
      <c r="J5" s="80" cm="1">
        <f t="array" ref="J5">SUMPRODUCT((Uploaded_Data!$D$2:$D$59696="Production Transfers")*(Uploaded_Data!$E$2:$E$59696="South Mine to Pile (through Crusher)")*(Uploaded_Data!$F$2:$F$59696="LG1")*((Uploaded_Data!$H$2:$H$59696=$A$5-1)+(Uploaded_Data!$H$2:$H$59696=$A$5))*Uploaded_Data!$N$2:$N$59696)</f>
        <v>0</v>
      </c>
      <c r="K5" s="80" cm="1">
        <f t="array" ref="K5">SUMPRODUCT((Uploaded_Data!$D$2:$D$59696="Production Transfers")*(Uploaded_Data!$E$2:$E$59696="South Mine to Direct Pile (Bypass Crusher)")*(Uploaded_Data!$F$2:$F$59696="LG1")*((Uploaded_Data!$H$2:$H$59696=$A$5-1)+(Uploaded_Data!$H$2:$H$59696=$A$5))*Uploaded_Data!$N$2:$N$59696)</f>
        <v>0</v>
      </c>
      <c r="L5" s="80" cm="1">
        <f t="array" ref="L5">SUMPRODUCT((Uploaded_Data!$D$2:$D$59696="Production Transfers")*(Uploaded_Data!$E$2:$E$59696="South Mine to Stock Yard")*(Uploaded_Data!$F$2:$F$59696="LG1")*((Uploaded_Data!$H$2:$H$59696=$A$5-1)+(Uploaded_Data!$H$2:$H$59696=$A$5))*Uploaded_Data!$N$2:$N$59696)</f>
        <v>0</v>
      </c>
      <c r="M5" s="80" cm="1">
        <f t="array" ref="M5">SUMPRODUCT((Uploaded_Data!$D$2:$D$59696="Production Transfers")*(Uploaded_Data!$E$2:$E$59696="North Mine to Pile (through Crusher)")*(Uploaded_Data!$F$2:$F$59696="LG1")*((Uploaded_Data!$H$2:$H$59696=$A$5-1)+(Uploaded_Data!$H$2:$H$59696=$A$5))*Uploaded_Data!$N$2:$N$59696)</f>
        <v>0</v>
      </c>
      <c r="N5" s="80" cm="1">
        <f t="array" ref="N5">SUMPRODUCT((Uploaded_Data!$D$2:$D$59696="Production Transfers")*(Uploaded_Data!$E$2:$E$59696="North Mine to Direct Pile (Bypass Crusher)")*(Uploaded_Data!$F$2:$F$59696="LG1")*((Uploaded_Data!$H$2:$H$59696=$A$5-1)+(Uploaded_Data!$H$2:$H$59696=$A$5))*Uploaded_Data!$N$2:$N$59696)</f>
        <v>0</v>
      </c>
      <c r="O5" s="80" cm="1">
        <f t="array" ref="O5">SUMPRODUCT((Uploaded_Data!$D$2:$D$59696="Production Transfers")*(Uploaded_Data!$E$2:$E$59696="North Mine to Stock Yard")*(Uploaded_Data!$F$2:$F$59696="LG1")*((Uploaded_Data!$H$2:$H$59696=$A$5-1)+(Uploaded_Data!$H$2:$H$59696=$A$5))*Uploaded_Data!$N$2:$N$59696)</f>
        <v>678.40000000000009</v>
      </c>
      <c r="P5" s="80" cm="1">
        <f t="array" ref="P5">SUMPRODUCT((Uploaded_Data!$D$2:$D$59696="Internal Transfers")*(Uploaded_Data!$E$2:$E$59696="Stock Yard to Pile (through Crusher)")*(Uploaded_Data!$F$2:$F$59696="LG1")*((Uploaded_Data!$H$2:$H$59696=$A$5-1)+(Uploaded_Data!$H$2:$H$59696=$A$5))*Uploaded_Data!$N$2:$N$59696)</f>
        <v>0</v>
      </c>
      <c r="Q5" s="80" cm="1">
        <f t="array" ref="Q5">SUMPRODUCT((Uploaded_Data!$D$2:$D$59696="Internal Transfers")*(Uploaded_Data!$E$2:$E$59696="Stock Yard to Direct Pile (Bypass Crusher)")*(Uploaded_Data!$F$2:$F$59696="LG1")*((Uploaded_Data!$H$2:$H$59696=$A$5-1)+(Uploaded_Data!$H$2:$H$59696=$A$5))*Uploaded_Data!$N$2:$N$59696)</f>
        <v>401.14000000000004</v>
      </c>
      <c r="R5" s="80" cm="1">
        <f t="array" ref="R5">SUMPRODUCT((Uploaded_Data!$D$2:$D$59696="Internal Transfers")*(Uploaded_Data!$E$2:$E$59696="Stock Yard to Other Usages")*(Uploaded_Data!$F$2:$F$59696="LG1")*((Uploaded_Data!$H$2:$H$59696=$A$5-1)+(Uploaded_Data!$H$2:$H$59696=$A$5))*Uploaded_Data!$N$2:$N$59696)</f>
        <v>0</v>
      </c>
      <c r="S5" s="80" cm="1">
        <f t="array" ref="S5">SUMPRODUCT((Uploaded_Data!$D$2:$D$59696="Internal Transfers")*(Uploaded_Data!$E$2:$E$59696="Stock Yard to Pile (through Crusher)")*(Uploaded_Data!$F$2:$F$59696="LIMESTONE SPG")*((Uploaded_Data!$H$2:$H$59696=$A$5-1)+(Uploaded_Data!$H$2:$H$59696=$A$5))*Uploaded_Data!$N$2:$N$59696)</f>
        <v>0</v>
      </c>
      <c r="T5" s="80" cm="1">
        <f t="array" ref="T5">SUMPRODUCT((Uploaded_Data!$D$2:$D$59696="Internal Transfers")*(Uploaded_Data!$E$2:$E$59696="Stock Yard to Direct Pile (Bypass Crusher)")*(Uploaded_Data!$F$2:$F$59696="LIMESTONE SPG")*((Uploaded_Data!$H$2:$H$59696=$A$5-1)+(Uploaded_Data!$H$2:$H$59696=$A$5))*Uploaded_Data!$N$2:$N$59696)</f>
        <v>0</v>
      </c>
      <c r="U5" s="80" cm="1">
        <f t="array" ref="U5">SUMPRODUCT((Uploaded_Data!$D$2:$D$59696="Production Transfers")*(Uploaded_Data!$E$2:$E$59696="South Mine to Pile (through Crusher)")*(Uploaded_Data!$F$2:$F$59696="OB/CLAY")*((Uploaded_Data!$H$2:$H$59696=$A$5-1)+(Uploaded_Data!$H$2:$H$59696=$A$5))*Uploaded_Data!$N$2:$N$59696)</f>
        <v>0</v>
      </c>
      <c r="V5" s="80" cm="1">
        <f t="array" ref="V5">SUMPRODUCT((Uploaded_Data!$D$2:$D$59696="Production Transfers")*(Uploaded_Data!$E$2:$E$59696="South Mine to Direct Pile (Bypass Crusher)")*(Uploaded_Data!$F$2:$F$59696="OB/CLAY")*((Uploaded_Data!$H$2:$H$59696=$A$5-1)+(Uploaded_Data!$H$2:$H$59696=$A$5))*Uploaded_Data!$N$2:$N$59696)</f>
        <v>0</v>
      </c>
      <c r="W5" s="80" cm="1">
        <f t="array" ref="W5">SUMPRODUCT((Uploaded_Data!$D$2:$D$59696="Production Transfers")*(Uploaded_Data!$E$2:$E$59696="South Mine to Stock Yard")*(Uploaded_Data!$F$2:$F$59696="OB/CLAY")*((Uploaded_Data!$H$2:$H$59696=$A$5-1)+(Uploaded_Data!$H$2:$H$59696=$A$5))*Uploaded_Data!$N$2:$N$59696)</f>
        <v>0</v>
      </c>
      <c r="X5" s="80" cm="1">
        <f t="array" ref="X5">SUMPRODUCT((Uploaded_Data!$D$2:$D$59696="Production Transfers")*(Uploaded_Data!$E$2:$E$59696="South Mine to Golani Waste dump")*(Uploaded_Data!$F$2:$F$59696="WASTE")*((Uploaded_Data!$H$2:$H$59696=$A$5-1)+(Uploaded_Data!$H$2:$H$59696=$A$5))*Uploaded_Data!$N$2:$N$59696)</f>
        <v>0</v>
      </c>
      <c r="Y5" s="80" cm="1">
        <f t="array" ref="Y5">SUMPRODUCT((Uploaded_Data!$D$2:$D$59696="Production Transfers")*(Uploaded_Data!$E$2:$E$59696="North Mine to Pile (through Crusher)")*(Uploaded_Data!$F$2:$F$59696="OB/CLAY")*((Uploaded_Data!$H$2:$H$59696=$A$5-1)+(Uploaded_Data!$H$2:$H$59696=$A$5))*Uploaded_Data!$N$2:$N$59696)</f>
        <v>0</v>
      </c>
      <c r="Z5" s="80" cm="1">
        <f t="array" ref="Z5">SUMPRODUCT((Uploaded_Data!$D$2:$D$59696="Production Transfers")*(Uploaded_Data!$E$2:$E$59696="North Mine to Direct Pile (Bypass Crusher)")*(Uploaded_Data!$F$2:$F$59696="OB/CLAY")*((Uploaded_Data!$H$2:$H$59696=$A$5-1)+(Uploaded_Data!$H$2:$H$59696=$A$5))*Uploaded_Data!$N$2:$N$59696)</f>
        <v>0</v>
      </c>
      <c r="AA5" s="80" cm="1">
        <f t="array" ref="AA5">SUMPRODUCT((Uploaded_Data!$D$2:$D$59696="Production Transfers")*(Uploaded_Data!$E$2:$E$59696="North Mine to Stock Yard")*(Uploaded_Data!$F$2:$F$59696="OB/CLAY")*((Uploaded_Data!$H$2:$H$59696=$A$5-1)+(Uploaded_Data!$H$2:$H$59696=$A$5))*Uploaded_Data!$N$2:$N$59696)</f>
        <v>0</v>
      </c>
      <c r="AB5" s="80" cm="1">
        <f t="array" ref="AB5">SUMPRODUCT((Uploaded_Data!$D$2:$D$59696="Production Transfers")*(Uploaded_Data!$E$2:$E$59696="North Mine to Golani Waste dump")*(Uploaded_Data!$F$2:$F$59696="WASTE")*((Uploaded_Data!$H$2:$H$59696=$A$5-1)+(Uploaded_Data!$H$2:$H$59696=$A$5))*Uploaded_Data!$N$2:$N$59696)</f>
        <v>1500</v>
      </c>
      <c r="AC5" s="80" cm="1">
        <f t="array" ref="AC5">SUMPRODUCT((Uploaded_Data!$D$2:$D$59696="Internal Transfers")*(Uploaded_Data!$E$2:$E$59696="Stock Yard to Pile (through Crusher)")*(Uploaded_Data!$F$2:$F$59696="OB/CLAY")*((Uploaded_Data!$H$2:$H$59696=$A$5-1)+(Uploaded_Data!$H$2:$H$59696=$A$5))*Uploaded_Data!$N$2:$N$59696)</f>
        <v>0</v>
      </c>
      <c r="AD5" s="80" cm="1">
        <f t="array" ref="AD5">SUMPRODUCT((Uploaded_Data!$D$2:$D$59696="Internal Transfers")*(Uploaded_Data!$E$2:$E$59696="Stock Yard to Other Usages")*(Uploaded_Data!$F$2:$F$59696="OB/CLAY")*((Uploaded_Data!$H$2:$H$59696=$A$5-1)+(Uploaded_Data!$H$2:$H$59696=$A$5))*Uploaded_Data!$N$2:$N$59696)</f>
        <v>0</v>
      </c>
      <c r="AE5" s="80" cm="1">
        <f t="array" ref="AE5">SUMPRODUCT((Uploaded_Data!$D$2:$D$59696="Internal Transfers")*(Uploaded_Data!$E$2:$E$59696="Stock Yard to Direct Pile (Bypass Crusher)")*(Uploaded_Data!$F$2:$F$59696="OB/CLAY")*((Uploaded_Data!$H$2:$H$59696=$A$5-1)+(Uploaded_Data!$H$2:$H$59696=$A$5))*Uploaded_Data!$N$2:$N$59696)</f>
        <v>0</v>
      </c>
      <c r="AF5" s="80" cm="1">
        <f t="array" ref="AF5">SUMPRODUCT((Uploaded_Data!$D$2:$D$59696="Production Transfers")*(Uploaded_Data!$E$2:$E$59696="South Mine to Pile (through Crusher)")*(Uploaded_Data!$F$2:$F$59696="HGHMGO")*((Uploaded_Data!$H$2:$H$59696=$A$5-1)+(Uploaded_Data!$H$2:$H$59696=$A$5))*Uploaded_Data!$N$2:$N$59696)</f>
        <v>0</v>
      </c>
      <c r="AG5" s="80" cm="1">
        <f t="array" ref="AG5">SUMPRODUCT((Uploaded_Data!$D$2:$D$59696="Production Transfers")*(Uploaded_Data!$E$2:$E$59696="South Mine to Direct Pile (Bypass Crusher)")*(Uploaded_Data!$F$2:$F$59696="HGHMGO")*((Uploaded_Data!$H$2:$H$59696=$A$5-1)+(Uploaded_Data!$H$2:$H$59696=$A$5))*Uploaded_Data!$N$2:$N$59696)</f>
        <v>0</v>
      </c>
      <c r="AH5" s="80" cm="1">
        <f t="array" ref="AH5">SUMPRODUCT((Uploaded_Data!$D$2:$D$59696="Production Transfers")*(Uploaded_Data!$E$2:$E$59696="South Mine to Stock Yard")*(Uploaded_Data!$F$2:$F$59696="HGHMGO")*((Uploaded_Data!$H$2:$H$59696=$A$5-1)+(Uploaded_Data!$H$2:$H$59696=$A$5))*Uploaded_Data!$N$2:$N$59696)</f>
        <v>0</v>
      </c>
      <c r="AI5" s="80" cm="1">
        <f t="array" ref="AI5">SUMPRODUCT((Uploaded_Data!$D$2:$D$59696="Internal Transfers")*(Uploaded_Data!$E$2:$E$59696="Stock Yard to Pile (through Crusher)")*(Uploaded_Data!$F$2:$F$59696="HGHMGO")*((Uploaded_Data!$H$2:$H$59696=$A$5-1)+(Uploaded_Data!$H$2:$H$59696=$A$5))*Uploaded_Data!$N$2:$N$59696)</f>
        <v>0</v>
      </c>
      <c r="AJ5" s="80" cm="1">
        <f t="array" ref="AJ5">SUMPRODUCT((Uploaded_Data!$D$2:$D$59696="Production Transfers")*(Uploaded_Data!$E$2:$E$59696="South Mine to Pile (through Crusher)")*(Uploaded_Data!$F$2:$F$59696="LGHMGO")*((Uploaded_Data!$H$2:$H$59696=$A$5-1)+(Uploaded_Data!$H$2:$H$59696=$A$5))*Uploaded_Data!$N$2:$N$59696)</f>
        <v>0</v>
      </c>
      <c r="AK5" s="80" cm="1">
        <f t="array" ref="AK5">SUMPRODUCT((Uploaded_Data!$D$2:$D$59696="Production Transfers")*(Uploaded_Data!$E$2:$E$59696="South Mine to Direct Pile (Bypass Crusher)")*(Uploaded_Data!$F$2:$F$59696="LGHMGO")*((Uploaded_Data!$H$2:$H$59696=$A$5-1)+(Uploaded_Data!$H$2:$H$59696=$A$5))*Uploaded_Data!$N$2:$N$59696)</f>
        <v>0</v>
      </c>
      <c r="AL5" s="80" cm="1">
        <f t="array" ref="AL5">SUMPRODUCT((Uploaded_Data!$D$2:$D$59696="Production Transfers")*(Uploaded_Data!$E$2:$E$59696="South Mine to Stock Yard")*(Uploaded_Data!$F$2:$F$59696="LGHMGO")*((Uploaded_Data!$H$2:$H$59696=$A$5-1)+(Uploaded_Data!$H$2:$H$59696=$A$5))*Uploaded_Data!$N$2:$N$59696)</f>
        <v>0</v>
      </c>
      <c r="AM5" s="80" cm="1">
        <f t="array" ref="AM5">SUMPRODUCT((Uploaded_Data!$D$2:$D$59696="Internal Transfers")*(Uploaded_Data!$E$2:$E$59696="Stock Yard to Pile (through Crusher)")*(Uploaded_Data!$F$2:$F$59696="LGHMGO")*((Uploaded_Data!$H$2:$H$59696=$A$5-1)+(Uploaded_Data!$H$2:$H$59696=$A$5))*Uploaded_Data!$N$2:$N$59696)</f>
        <v>0</v>
      </c>
      <c r="AN5" s="102">
        <f t="shared" ref="AN5:AN35" si="0">SUM(B5:AM5)</f>
        <v>2579.54</v>
      </c>
      <c r="AO5" s="108"/>
      <c r="AP5" s="109" cm="1">
        <f t="array" ref="AP5">SUMPRODUCT((Uploaded_Data!$D$2:$D$59696="Internal Transfers")*(Uploaded_Data!$E$2:$E$59696="Stock Yard to Pile (through Crusher)")*(Uploaded_Data!$F$2:$F$59696="GYPSUM")*((Uploaded_Data!$H$2:$H$59696=$A$5-1)+(Uploaded_Data!$H$2:$H$59696=$A$5))*Uploaded_Data!$N$2:$N$59696)</f>
        <v>0</v>
      </c>
      <c r="AQ5" s="109" cm="1">
        <f t="array" ref="AQ5">SUMPRODUCT((Uploaded_Data!$D$2:$D$59696="Internal Transfers")*(Uploaded_Data!$E$2:$E$59696="Stock Yard to Direct Pile (Bypass Crusher)")*(Uploaded_Data!$F$2:$F$59696="GYPSUM")*((Uploaded_Data!$H$2:$H$59696=$A$5-1)+(Uploaded_Data!$H$2:$H$59696=$A$5))*Uploaded_Data!$N$2:$N$59696)</f>
        <v>0</v>
      </c>
      <c r="AR5" s="109" cm="1">
        <f t="array" ref="AR5">SUMPRODUCT((Uploaded_Data!$D$2:$D$59696="Internal Transfers")*(Uploaded_Data!$E$2:$E$59696="Stock Yard to Other Usages")*(Uploaded_Data!$F$2:$F$59696="ID Clay")*((Uploaded_Data!$H$2:$H$59696=$A$5-1)+(Uploaded_Data!$H$2:$H$59696=$A$5))*Uploaded_Data!$N$2:$N$59696)</f>
        <v>0</v>
      </c>
      <c r="AS5" s="109" cm="1">
        <f t="array" ref="AS5">SUMPRODUCT((Uploaded_Data!$D$2:$D$59696="Internal Transfers")*(Uploaded_Data!$E$2:$E$59696="Stock Yard to Direct Pile (Bypass Crusher)")*(Uploaded_Data!$F$2:$F$59696="ID Clay")*((Uploaded_Data!$H$2:$H$59696=$A$5-1)+(Uploaded_Data!$H$2:$H$59696=$A$5))*Uploaded_Data!$N$2:$N$59696)</f>
        <v>0</v>
      </c>
      <c r="AT5" s="109" cm="1">
        <f t="array" ref="AT5">SUMPRODUCT((Uploaded_Data!$D$2:$D$59696="Production Transfers")*(Uploaded_Data!$E$2:$E$59696="Kijaka Mine to Stock Yard")*(Uploaded_Data!$F$2:$F$59696="ID Clay")*((Uploaded_Data!$H$2:$H$59696=$A$5-1)+(Uploaded_Data!$H$2:$H$59696=$A$5))*Uploaded_Data!$N$2:$N$59696)</f>
        <v>0</v>
      </c>
      <c r="AU5" s="102">
        <f t="shared" ref="AU5:AU35" si="1">AN5+AP5+AQ5+AR5+AS5+AT5</f>
        <v>2579.54</v>
      </c>
      <c r="AV5" s="109">
        <f t="shared" ref="AV5:AV35" si="2">AU5-AB5-X5</f>
        <v>1079.54</v>
      </c>
      <c r="AW5" s="109"/>
      <c r="AX5" s="109"/>
      <c r="AY5" s="109"/>
      <c r="AZ5" s="110">
        <f t="shared" ref="AZ5:AZ35" si="3">B5+H5+J5+P5+U5+AC5+AF5+AJ5+AP5+S5+AI5+Y5+M5+E5</f>
        <v>0</v>
      </c>
      <c r="BA5" s="112">
        <f t="shared" ref="BA5:BA35" si="4">AU5</f>
        <v>2579.54</v>
      </c>
      <c r="BB5" s="110"/>
      <c r="BD5" s="113"/>
    </row>
    <row r="6" spans="1:61" s="63" customFormat="1">
      <c r="A6" s="79">
        <v>46114</v>
      </c>
      <c r="B6" s="80" cm="1">
        <f t="array" ref="B6">SUMPRODUCT((Uploaded_Data!$D$2:$D$59696="Production Transfers")*(Uploaded_Data!$E$2:$E$59696="South Mine to Pile (through Crusher)")*(Uploaded_Data!$F$2:$F$59696="HG")*(Uploaded_Data!$H$2:$H$59696=$A6)*Uploaded_Data!$N$2:$N$59696)</f>
        <v>0</v>
      </c>
      <c r="C6" s="80" cm="1">
        <f t="array" ref="C6">SUMPRODUCT((Uploaded_Data!$D$2:$D$59696="Production Transfers")*(Uploaded_Data!$E$2:$E$59696="South Mine to Direct Pile (Bypass Crusher)")*(Uploaded_Data!$F$2:$F$59696="HG")*(Uploaded_Data!$H$2:$H$59696=$A6)*Uploaded_Data!$N$2:$N$59696)</f>
        <v>0</v>
      </c>
      <c r="D6" s="80" cm="1">
        <f t="array" ref="D6">SUMPRODUCT((Uploaded_Data!$D$2:$D$59696="Production Transfers")*(Uploaded_Data!$E$2:$E$59696="South Mine to Stock Yard")*(Uploaded_Data!$F$2:$F$59696="HG")*(Uploaded_Data!$H$2:$H$59696=$A6)*Uploaded_Data!$N$2:$N$59696)</f>
        <v>0</v>
      </c>
      <c r="E6" s="80" cm="1">
        <f t="array" ref="E6">SUMPRODUCT((Uploaded_Data!$D$2:$D$59696="Production Transfers")*(Uploaded_Data!$E$2:$E$59696="North Mine to Pile (through Crusher)")*(Uploaded_Data!$F$2:$F$59696="HG")*(Uploaded_Data!$H$2:$H$59696=$A6)*Uploaded_Data!$N$2:$N$59696)</f>
        <v>0</v>
      </c>
      <c r="F6" s="80" cm="1">
        <f t="array" ref="F6">SUMPRODUCT((Uploaded_Data!$D$2:$D$59696="Production Transfers")*(Uploaded_Data!$E$2:$E$59696="North Mine to Direct Pile (Bypass Crusher)")*(Uploaded_Data!$F$2:$F$59696="HG")*(Uploaded_Data!$H$2:$H$59696=$A6)*Uploaded_Data!$N$2:$N$59696)</f>
        <v>0</v>
      </c>
      <c r="G6" s="80" cm="1">
        <f t="array" ref="G6">SUMPRODUCT((Uploaded_Data!$D$2:$D$59696="Production Transfers")*(Uploaded_Data!$E$2:$E$59696="North Mine to Stock Yard")*(Uploaded_Data!$F$2:$F$59696="HG")*(Uploaded_Data!$H$2:$H$59696=$A6)*Uploaded_Data!$N$2:$N$59696)</f>
        <v>0</v>
      </c>
      <c r="H6" s="80" cm="1">
        <f t="array" ref="H6">SUMPRODUCT((Uploaded_Data!$D$2:$D$59696="Internal Transfers")*(Uploaded_Data!$E$2:$E$59696="Stock Yard to Pile (through Crusher)")*(Uploaded_Data!$F$2:$F$59696="HG")*(Uploaded_Data!$H$2:$H$59696=$A6)*Uploaded_Data!$N$2:$N$59696)</f>
        <v>0</v>
      </c>
      <c r="I6" s="80" cm="1">
        <f t="array" ref="I6">SUMPRODUCT((Uploaded_Data!$D$2:$D$59696="Internal Transfers")*(Uploaded_Data!$E$2:$E$59696="Stock Yard to Direct Pile (Bypass Crusher)")*(Uploaded_Data!$F$2:$F$59696="HG")*(Uploaded_Data!$H$2:$H$59696=$A6)*Uploaded_Data!$N$2:$N$59696)</f>
        <v>0</v>
      </c>
      <c r="J6" s="80" cm="1">
        <f t="array" ref="J6">SUMPRODUCT((Uploaded_Data!$D$2:$D$59696="Production Transfers")*(Uploaded_Data!$E$2:$E$59696="South Mine to Pile (through Crusher)")*(Uploaded_Data!$F$2:$F$59696="LG1")*(Uploaded_Data!$H$2:$H$59696=$A6)*Uploaded_Data!$N$2:$N$59696)</f>
        <v>527.40000000000009</v>
      </c>
      <c r="K6" s="80" cm="1">
        <f t="array" ref="K6">SUMPRODUCT((Uploaded_Data!$D$2:$D$59696="Production Transfers")*(Uploaded_Data!$E$2:$E$59696="South Mine to Direct Pile (Bypass Crusher)")*(Uploaded_Data!$F$2:$F$59696="LG1")*(Uploaded_Data!$H$2:$H$59696=$A6)*Uploaded_Data!$N$2:$N$59696)</f>
        <v>198.04000000000005</v>
      </c>
      <c r="L6" s="80" cm="1">
        <f t="array" ref="L6">SUMPRODUCT((Uploaded_Data!$D$2:$D$59696="Production Transfers")*(Uploaded_Data!$E$2:$E$59696="South Mine to Stock Yard")*(Uploaded_Data!$F$2:$F$59696="LG1")*(Uploaded_Data!$H$2:$H$59696=$A6)*Uploaded_Data!$N$2:$N$59696)</f>
        <v>0</v>
      </c>
      <c r="M6" s="80" cm="1">
        <f t="array" ref="M6">SUMPRODUCT((Uploaded_Data!$D$2:$D$59696="Production Transfers")*(Uploaded_Data!$E$2:$E$59696="North Mine to Pile (through Crusher)")*(Uploaded_Data!$F$2:$F$59696="LG1")*(Uploaded_Data!$H$2:$H$59696=$A6)*Uploaded_Data!$N$2:$N$59696)</f>
        <v>0</v>
      </c>
      <c r="N6" s="80" cm="1">
        <f t="array" ref="N6">SUMPRODUCT((Uploaded_Data!$D$2:$D$59696="Production Transfers")*(Uploaded_Data!$E$2:$E$59696="North Mine to Direct Pile (Bypass Crusher)")*(Uploaded_Data!$F$2:$F$59696="LG1")*(Uploaded_Data!$H$2:$H$59696=$A6)*Uploaded_Data!$N$2:$N$59696)</f>
        <v>0</v>
      </c>
      <c r="O6" s="80" cm="1">
        <f t="array" ref="O6">SUMPRODUCT((Uploaded_Data!$D$2:$D$59696="Production Transfers")*(Uploaded_Data!$E$2:$E$59696="North Mine to Stock Yard")*(Uploaded_Data!$F$2:$F$59696="LG1")*(Uploaded_Data!$H$2:$H$59696=$A6)*Uploaded_Data!$N$2:$N$59696)</f>
        <v>0</v>
      </c>
      <c r="P6" s="80" cm="1">
        <f t="array" ref="P6">SUMPRODUCT((Uploaded_Data!$D$2:$D$59696="Internal Transfers")*(Uploaded_Data!$E$2:$E$59696="Stock Yard to Pile (through Crusher)")*(Uploaded_Data!$F$2:$F$59696="LG1")*(Uploaded_Data!$H$2:$H$59696=$A6)*Uploaded_Data!$N$2:$N$59696)</f>
        <v>41.38</v>
      </c>
      <c r="Q6" s="80" cm="1">
        <f t="array" ref="Q6">SUMPRODUCT((Uploaded_Data!$D$2:$D$59696="Internal Transfers")*(Uploaded_Data!$E$2:$E$59696="Stock Yard to Direct Pile (Bypass Crusher)")*(Uploaded_Data!$F$2:$F$59696="LG1")*(Uploaded_Data!$H$2:$H$59696=$A6)*Uploaded_Data!$N$2:$N$59696)</f>
        <v>41.66</v>
      </c>
      <c r="R6" s="80" cm="1">
        <f t="array" ref="R6">SUMPRODUCT((Uploaded_Data!$D$2:$D$59696="Internal Transfers")*(Uploaded_Data!$E$2:$E$59696="Stock Yard to Other Usages")*(Uploaded_Data!$F$2:$F$59696="LG1")*(Uploaded_Data!$H$2:$H$59696=$A6)*Uploaded_Data!$N$2:$N$59696)</f>
        <v>0</v>
      </c>
      <c r="S6" s="80" cm="1">
        <f t="array" ref="S6">SUMPRODUCT((Uploaded_Data!$D$2:$D$59696="Internal Transfers")*(Uploaded_Data!$E$2:$E$59696="Stock Yard to Pile (through Crusher)")*(Uploaded_Data!$F$2:$F$59696="LIMESTONE SPG")*(Uploaded_Data!$H$2:$H$59696=$A6)*Uploaded_Data!$N$2:$N$59696)</f>
        <v>0</v>
      </c>
      <c r="T6" s="80" cm="1">
        <f t="array" ref="T6">SUMPRODUCT((Uploaded_Data!$D$2:$D$59696="Internal Transfers")*(Uploaded_Data!$E$2:$E$59696="Stock Yard to Direct Pile (Bypass Crusher)")*(Uploaded_Data!$F$2:$F$59696="LIMESTONE SPG")*(Uploaded_Data!$H$2:$H$59696=$A6)*Uploaded_Data!$N$2:$N$59696)</f>
        <v>0</v>
      </c>
      <c r="U6" s="80" cm="1">
        <f t="array" ref="U6">SUMPRODUCT((Uploaded_Data!$D$2:$D$59696="Production Transfers")*(Uploaded_Data!$E$2:$E$59696="South Mine to Pile (through Crusher)")*(Uploaded_Data!$F$2:$F$59696="OB/CLAY")*(Uploaded_Data!$H$2:$H$59696=$A6)*Uploaded_Data!$N$2:$N$59696)</f>
        <v>0</v>
      </c>
      <c r="V6" s="80" cm="1">
        <f t="array" ref="V6">SUMPRODUCT((Uploaded_Data!$D$2:$D$59696="Production Transfers")*(Uploaded_Data!$E$2:$E$59696="South Mine to Direct Pile (Bypass Crusher)")*(Uploaded_Data!$F$2:$F$59696="OB/CLAY")*(Uploaded_Data!$H$2:$H$59696=$A6)*Uploaded_Data!$N$2:$N$59696)</f>
        <v>0</v>
      </c>
      <c r="W6" s="80" cm="1">
        <f t="array" ref="W6">SUMPRODUCT((Uploaded_Data!$D$2:$D$59696="Production Transfers")*(Uploaded_Data!$E$2:$E$59696="South Mine to Stock Yard")*(Uploaded_Data!$F$2:$F$59696="OB/CLAY")*(Uploaded_Data!$H$2:$H$59696=$A6)*Uploaded_Data!$N$2:$N$59696)</f>
        <v>0</v>
      </c>
      <c r="X6" s="80" cm="1">
        <f t="array" ref="X6">SUMPRODUCT((Uploaded_Data!$D$2:$D$59696="Production Transfers")*(Uploaded_Data!$E$2:$E$59696="South Mine to Golani Waste dump")*(Uploaded_Data!$F$2:$F$59696="WASTE")*(Uploaded_Data!$H$2:$H$59696=$A6)*Uploaded_Data!$N$2:$N$59696)</f>
        <v>0</v>
      </c>
      <c r="Y6" s="80" cm="1">
        <f t="array" ref="Y6">SUMPRODUCT((Uploaded_Data!$D$2:$D$59696="Production Transfers")*(Uploaded_Data!$E$2:$E$59696="North Mine to Pile (through Crusher)")*(Uploaded_Data!$F$2:$F$59696="OB/CLAY")*(Uploaded_Data!$H$2:$H$59696=$A6)*Uploaded_Data!$N$2:$N$59696)</f>
        <v>0</v>
      </c>
      <c r="Z6" s="80" cm="1">
        <f t="array" ref="Z6">SUMPRODUCT((Uploaded_Data!$D$2:$D$59696="Production Transfers")*(Uploaded_Data!$E$2:$E$59696="North Mine to Direct Pile (Bypass Crusher)")*(Uploaded_Data!$F$2:$F$59696="OB/CLAY")*(Uploaded_Data!$H$2:$H$59696=$A6)*Uploaded_Data!$N$2:$N$59696)</f>
        <v>0</v>
      </c>
      <c r="AA6" s="80" cm="1">
        <f t="array" ref="AA6">SUMPRODUCT((Uploaded_Data!$D$2:$D$59696="Production Transfers")*(Uploaded_Data!$E$2:$E$59696="North Mine to Stock Yard")*(Uploaded_Data!$F$2:$F$59696="OB/CLAY")*(Uploaded_Data!$H$2:$H$59696=$A6)*Uploaded_Data!$N$2:$N$59696)</f>
        <v>0</v>
      </c>
      <c r="AB6" s="80" cm="1">
        <f t="array" ref="AB6">SUMPRODUCT((Uploaded_Data!$D$2:$D$59696="Production Transfers")*(Uploaded_Data!$E$2:$E$59696="North Mine to Golani Waste dump")*(Uploaded_Data!$F$2:$F$59696="WASTE")*(Uploaded_Data!$H$2:$H$59696=$A6)*Uploaded_Data!$N$2:$N$59696)</f>
        <v>2300</v>
      </c>
      <c r="AC6" s="80" cm="1">
        <f t="array" ref="AC6">SUMPRODUCT((Uploaded_Data!$D$2:$D$59696="Internal Transfers")*(Uploaded_Data!$E$2:$E$59696="Stock Yard to Pile (through Crusher)")*(Uploaded_Data!$F$2:$F$59696="OB/CLAY")*(Uploaded_Data!$H$2:$H$59696=$A6)*Uploaded_Data!$N$2:$N$59696)</f>
        <v>0</v>
      </c>
      <c r="AD6" s="80" cm="1">
        <f t="array" ref="AD6">SUMPRODUCT((Uploaded_Data!$D$2:$D$59696="Internal Transfers")*(Uploaded_Data!$E$2:$E$59696="Stock Yard to Other Usages")*(Uploaded_Data!$F$2:$F$59696="OB/CLAY")*(Uploaded_Data!$H$2:$H$59696=$A6)*Uploaded_Data!$N$2:$N$59696)</f>
        <v>0</v>
      </c>
      <c r="AE6" s="80" cm="1">
        <f t="array" ref="AE6">SUMPRODUCT((Uploaded_Data!$D$2:$D$59696="Internal Transfers")*(Uploaded_Data!$E$2:$E$59696="Stock Yard to Direct Pile (Bypass Crusher)")*(Uploaded_Data!$F$2:$F$59696="OB/CLAY")*(Uploaded_Data!$H$2:$H$59696=$A6)*Uploaded_Data!$N$2:$N$59696)</f>
        <v>0</v>
      </c>
      <c r="AF6" s="80" cm="1">
        <f t="array" ref="AF6">SUMPRODUCT((Uploaded_Data!$D$2:$D$59696="Production Transfers")*(Uploaded_Data!$E$2:$E$59696="South Mine to Pile (through Crusher)")*(Uploaded_Data!$F$2:$F$59696="HGHMGO")*(Uploaded_Data!$H$2:$H$59696=$A6)*Uploaded_Data!$N$2:$N$59696)</f>
        <v>0</v>
      </c>
      <c r="AG6" s="80" cm="1">
        <f t="array" ref="AG6">SUMPRODUCT((Uploaded_Data!$D$2:$D$59696="Production Transfers")*(Uploaded_Data!$E$2:$E$59696="South Mine to Direct Pile (Bypass Crusher)")*(Uploaded_Data!$F$2:$F$59696="HGHMGO")*(Uploaded_Data!$H$2:$H$59696=$A6)*Uploaded_Data!$N$2:$N$59696)</f>
        <v>0</v>
      </c>
      <c r="AH6" s="80" cm="1">
        <f t="array" ref="AH6">SUMPRODUCT((Uploaded_Data!$D$2:$D$59696="Production Transfers")*(Uploaded_Data!$E$2:$E$59696="South Mine to Stock Yard")*(Uploaded_Data!$F$2:$F$59696="HGHMGO")*(Uploaded_Data!$H$2:$H$59696=$A6)*Uploaded_Data!$N$2:$N$59696)</f>
        <v>0</v>
      </c>
      <c r="AI6" s="80" cm="1">
        <f t="array" ref="AI6">SUMPRODUCT((Uploaded_Data!$D$2:$D$59696="Internal Transfers")*(Uploaded_Data!$E$2:$E$59696="Stock Yard to Pile (through Crusher)")*(Uploaded_Data!$F$2:$F$59696="HGHMGO")*(Uploaded_Data!$H$2:$H$59696=$A6)*Uploaded_Data!$N$2:$N$59696)</f>
        <v>0</v>
      </c>
      <c r="AJ6" s="80" cm="1">
        <f t="array" ref="AJ6">SUMPRODUCT((Uploaded_Data!$D$2:$D$59696="Production Transfers")*(Uploaded_Data!$E$2:$E$59696="South Mine to Pile (through Crusher)")*(Uploaded_Data!$F$2:$F$59696="LGHMGO")*(Uploaded_Data!$H$2:$H$59696=$A6)*Uploaded_Data!$N$2:$N$59696)</f>
        <v>0</v>
      </c>
      <c r="AK6" s="80" cm="1">
        <f t="array" ref="AK6">SUMPRODUCT((Uploaded_Data!$D$2:$D$59696="Production Transfers")*(Uploaded_Data!$E$2:$E$59696="South Mine to Direct Pile (Bypass Crusher)")*(Uploaded_Data!$F$2:$F$59696="LGHMGO")*(Uploaded_Data!$H$2:$H$59696=$A6)*Uploaded_Data!$N$2:$N$59696)</f>
        <v>0</v>
      </c>
      <c r="AL6" s="80" cm="1">
        <f t="array" ref="AL6">SUMPRODUCT((Uploaded_Data!$D$2:$D$59696="Production Transfers")*(Uploaded_Data!$E$2:$E$59696="South Mine to Stock Yard")*(Uploaded_Data!$F$2:$F$59696="LGHMGO")*(Uploaded_Data!$H$2:$H$59696=$A6)*Uploaded_Data!$N$2:$N$59696)</f>
        <v>0</v>
      </c>
      <c r="AM6" s="80" cm="1">
        <f t="array" ref="AM6">SUMPRODUCT((Uploaded_Data!$D$2:$D$59696="Internal Transfers")*(Uploaded_Data!$E$2:$E$59696="Stock Yard to Pile (through Crusher)")*(Uploaded_Data!$F$2:$F$59696="LGHMGO")*(Uploaded_Data!$H$2:$H$59696=$A6)*Uploaded_Data!$N$2:$N$59696)</f>
        <v>0</v>
      </c>
      <c r="AN6" s="102">
        <f t="shared" si="0"/>
        <v>3108.48</v>
      </c>
      <c r="AO6" s="108"/>
      <c r="AP6" s="109" cm="1">
        <f t="array" ref="AP6">SUMPRODUCT((Uploaded_Data!$D$2:$D$59696="Internal Transfers")*(Uploaded_Data!$E$2:$E$59696="Stock Yard to Pile (through Crusher)")*(Uploaded_Data!$F$2:$F$59696="GYPSUM")*(Uploaded_Data!$H$2:$H$59696=$A6)*Uploaded_Data!$N$2:$N$59696)</f>
        <v>0</v>
      </c>
      <c r="AQ6" s="109" cm="1">
        <f t="array" ref="AQ6">SUMPRODUCT((Uploaded_Data!$D$2:$D$59696="Internal Transfers")*(Uploaded_Data!$E$2:$E$59696="Stock Yard to Direct Pile (Bypass Crusher)")*(Uploaded_Data!$F$2:$F$59696="GYPSUM")*(Uploaded_Data!$H$2:$H$59696=$A6)*Uploaded_Data!$N$2:$N$59696)</f>
        <v>0</v>
      </c>
      <c r="AR6" s="109" cm="1">
        <f t="array" ref="AR6">SUMPRODUCT((Uploaded_Data!$D$2:$D$59696="Internal Transfers")*(Uploaded_Data!$E$2:$E$59696="Stock Yard to Other Usages")*(Uploaded_Data!$F$2:$F$59696="ID Clay")*(Uploaded_Data!$H$2:$H$59696=$A6)*Uploaded_Data!$N$2:$N$59696)</f>
        <v>0</v>
      </c>
      <c r="AS6" s="109" cm="1">
        <f t="array" ref="AS6">SUMPRODUCT((Uploaded_Data!$D$2:$D$59696="Internal Transfers")*(Uploaded_Data!$E$2:$E$59696="Stock Yard to Direct Pile (Bypass Crusher)")*(Uploaded_Data!$F$2:$F$59696="ID Clay")*(Uploaded_Data!$H$2:$H$59696=$A6)*Uploaded_Data!$N$2:$N$59696)</f>
        <v>0</v>
      </c>
      <c r="AT6" s="109" cm="1">
        <f t="array" ref="AT6">SUMPRODUCT((Uploaded_Data!$D$2:$D$59696="Production Transfers")*(Uploaded_Data!$E$2:$E$59696="Kijaka Mine to Stock Yard")*(Uploaded_Data!$F$2:$F$59696="ID Clay")*(Uploaded_Data!$H$2:$H$59696=$A6)*Uploaded_Data!$N$2:$N$59696)</f>
        <v>0</v>
      </c>
      <c r="AU6" s="102">
        <f t="shared" si="1"/>
        <v>3108.48</v>
      </c>
      <c r="AV6" s="109">
        <f t="shared" si="2"/>
        <v>808.48</v>
      </c>
      <c r="AW6" s="109"/>
      <c r="AX6" s="109"/>
      <c r="AY6" s="114"/>
      <c r="AZ6" s="110">
        <f t="shared" si="3"/>
        <v>568.78000000000009</v>
      </c>
      <c r="BA6" s="112">
        <f t="shared" si="4"/>
        <v>3108.48</v>
      </c>
      <c r="BB6" s="110"/>
    </row>
    <row r="7" spans="1:61" s="63" customFormat="1">
      <c r="A7" s="79">
        <v>46115</v>
      </c>
      <c r="B7" s="80" cm="1">
        <f t="array" ref="B7">SUMPRODUCT((Uploaded_Data!$D$2:$D$59696="Production Transfers")*(Uploaded_Data!$E$2:$E$59696="South Mine to Pile (through Crusher)")*(Uploaded_Data!$F$2:$F$59696="HG")*(Uploaded_Data!$H$2:$H$59696=$A7)*Uploaded_Data!$N$2:$N$59696)</f>
        <v>0</v>
      </c>
      <c r="C7" s="80" cm="1">
        <f t="array" ref="C7">SUMPRODUCT((Uploaded_Data!$D$2:$D$59696="Production Transfers")*(Uploaded_Data!$E$2:$E$59696="South Mine to Direct Pile (Bypass Crusher)")*(Uploaded_Data!$F$2:$F$59696="HG")*(Uploaded_Data!$H$2:$H$59696=$A7)*Uploaded_Data!$N$2:$N$59696)</f>
        <v>0</v>
      </c>
      <c r="D7" s="80" cm="1">
        <f t="array" ref="D7">SUMPRODUCT((Uploaded_Data!$D$2:$D$59696="Production Transfers")*(Uploaded_Data!$E$2:$E$59696="South Mine to Stock Yard")*(Uploaded_Data!$F$2:$F$59696="HG")*(Uploaded_Data!$H$2:$H$59696=$A7)*Uploaded_Data!$N$2:$N$59696)</f>
        <v>350.74</v>
      </c>
      <c r="E7" s="80" cm="1">
        <f t="array" ref="E7">SUMPRODUCT((Uploaded_Data!$D$2:$D$59696="Production Transfers")*(Uploaded_Data!$E$2:$E$59696="North Mine to Pile (through Crusher)")*(Uploaded_Data!$F$2:$F$59696="HG")*(Uploaded_Data!$H$2:$H$59696=$A7)*Uploaded_Data!$N$2:$N$59696)</f>
        <v>0</v>
      </c>
      <c r="F7" s="80" cm="1">
        <f t="array" ref="F7">SUMPRODUCT((Uploaded_Data!$D$2:$D$59696="Production Transfers")*(Uploaded_Data!$E$2:$E$59696="North Mine to Direct Pile (Bypass Crusher)")*(Uploaded_Data!$F$2:$F$59696="HG")*(Uploaded_Data!$H$2:$H$59696=$A7)*Uploaded_Data!$N$2:$N$59696)</f>
        <v>0</v>
      </c>
      <c r="G7" s="80" cm="1">
        <f t="array" ref="G7">SUMPRODUCT((Uploaded_Data!$D$2:$D$59696="Production Transfers")*(Uploaded_Data!$E$2:$E$59696="North Mine to Stock Yard")*(Uploaded_Data!$F$2:$F$59696="HG")*(Uploaded_Data!$H$2:$H$59696=$A7)*Uploaded_Data!$N$2:$N$59696)</f>
        <v>0</v>
      </c>
      <c r="H7" s="80" cm="1">
        <f t="array" ref="H7">SUMPRODUCT((Uploaded_Data!$D$2:$D$59696="Internal Transfers")*(Uploaded_Data!$E$2:$E$59696="Stock Yard to Pile (through Crusher)")*(Uploaded_Data!$F$2:$F$59696="HG")*(Uploaded_Data!$H$2:$H$59696=$A7)*Uploaded_Data!$N$2:$N$59696)</f>
        <v>0</v>
      </c>
      <c r="I7" s="80" cm="1">
        <f t="array" ref="I7">SUMPRODUCT((Uploaded_Data!$D$2:$D$59696="Internal Transfers")*(Uploaded_Data!$E$2:$E$59696="Stock Yard to Direct Pile (Bypass Crusher)")*(Uploaded_Data!$F$2:$F$59696="HG")*(Uploaded_Data!$H$2:$H$59696=$A7)*Uploaded_Data!$N$2:$N$59696)</f>
        <v>0</v>
      </c>
      <c r="J7" s="80" cm="1">
        <f t="array" ref="J7">SUMPRODUCT((Uploaded_Data!$D$2:$D$59696="Production Transfers")*(Uploaded_Data!$E$2:$E$59696="South Mine to Pile (through Crusher)")*(Uploaded_Data!$F$2:$F$59696="LG1")*(Uploaded_Data!$H$2:$H$59696=$A7)*Uploaded_Data!$N$2:$N$59696)</f>
        <v>0</v>
      </c>
      <c r="K7" s="80" cm="1">
        <f t="array" ref="K7">SUMPRODUCT((Uploaded_Data!$D$2:$D$59696="Production Transfers")*(Uploaded_Data!$E$2:$E$59696="South Mine to Direct Pile (Bypass Crusher)")*(Uploaded_Data!$F$2:$F$59696="LG1")*(Uploaded_Data!$H$2:$H$59696=$A7)*Uploaded_Data!$N$2:$N$59696)</f>
        <v>239.08</v>
      </c>
      <c r="L7" s="80" cm="1">
        <f t="array" ref="L7">SUMPRODUCT((Uploaded_Data!$D$2:$D$59696="Production Transfers")*(Uploaded_Data!$E$2:$E$59696="South Mine to Stock Yard")*(Uploaded_Data!$F$2:$F$59696="LG1")*(Uploaded_Data!$H$2:$H$59696=$A7)*Uploaded_Data!$N$2:$N$59696)</f>
        <v>276.94</v>
      </c>
      <c r="M7" s="80" cm="1">
        <f t="array" ref="M7">SUMPRODUCT((Uploaded_Data!$D$2:$D$59696="Production Transfers")*(Uploaded_Data!$E$2:$E$59696="North Mine to Pile (through Crusher)")*(Uploaded_Data!$F$2:$F$59696="LG1")*(Uploaded_Data!$H$2:$H$59696=$A7)*Uploaded_Data!$N$2:$N$59696)</f>
        <v>0</v>
      </c>
      <c r="N7" s="80" cm="1">
        <f t="array" ref="N7">SUMPRODUCT((Uploaded_Data!$D$2:$D$59696="Production Transfers")*(Uploaded_Data!$E$2:$E$59696="North Mine to Direct Pile (Bypass Crusher)")*(Uploaded_Data!$F$2:$F$59696="LG1")*(Uploaded_Data!$H$2:$H$59696=$A7)*Uploaded_Data!$N$2:$N$59696)</f>
        <v>0</v>
      </c>
      <c r="O7" s="80" cm="1">
        <f t="array" ref="O7">SUMPRODUCT((Uploaded_Data!$D$2:$D$59696="Production Transfers")*(Uploaded_Data!$E$2:$E$59696="North Mine to Stock Yard")*(Uploaded_Data!$F$2:$F$59696="LG1")*(Uploaded_Data!$H$2:$H$59696=$A7)*Uploaded_Data!$N$2:$N$59696)</f>
        <v>380.52000000000004</v>
      </c>
      <c r="P7" s="80" cm="1">
        <f t="array" ref="P7">SUMPRODUCT((Uploaded_Data!$D$2:$D$59696="Internal Transfers")*(Uploaded_Data!$E$2:$E$59696="Stock Yard to Pile (through Crusher)")*(Uploaded_Data!$F$2:$F$59696="LG1")*(Uploaded_Data!$H$2:$H$59696=$A7)*Uploaded_Data!$N$2:$N$59696)</f>
        <v>0</v>
      </c>
      <c r="Q7" s="80" cm="1">
        <f t="array" ref="Q7">SUMPRODUCT((Uploaded_Data!$D$2:$D$59696="Internal Transfers")*(Uploaded_Data!$E$2:$E$59696="Stock Yard to Direct Pile (Bypass Crusher)")*(Uploaded_Data!$F$2:$F$59696="LG1")*(Uploaded_Data!$H$2:$H$59696=$A7)*Uploaded_Data!$N$2:$N$59696)</f>
        <v>0</v>
      </c>
      <c r="R7" s="80" cm="1">
        <f t="array" ref="R7">SUMPRODUCT((Uploaded_Data!$D$2:$D$59696="Internal Transfers")*(Uploaded_Data!$E$2:$E$59696="Stock Yard to Other Usages")*(Uploaded_Data!$F$2:$F$59696="LG1")*(Uploaded_Data!$H$2:$H$59696=$A7)*Uploaded_Data!$N$2:$N$59696)</f>
        <v>0</v>
      </c>
      <c r="S7" s="80" cm="1">
        <f t="array" ref="S7">SUMPRODUCT((Uploaded_Data!$D$2:$D$59696="Internal Transfers")*(Uploaded_Data!$E$2:$E$59696="Stock Yard to Pile (through Crusher)")*(Uploaded_Data!$F$2:$F$59696="LIMESTONE SPG")*(Uploaded_Data!$H$2:$H$59696=$A7)*Uploaded_Data!$N$2:$N$59696)</f>
        <v>0</v>
      </c>
      <c r="T7" s="80" cm="1">
        <f t="array" ref="T7">SUMPRODUCT((Uploaded_Data!$D$2:$D$59696="Internal Transfers")*(Uploaded_Data!$E$2:$E$59696="Stock Yard to Direct Pile (Bypass Crusher)")*(Uploaded_Data!$F$2:$F$59696="LIMESTONE SPG")*(Uploaded_Data!$H$2:$H$59696=$A7)*Uploaded_Data!$N$2:$N$59696)</f>
        <v>0</v>
      </c>
      <c r="U7" s="80" cm="1">
        <f t="array" ref="U7">SUMPRODUCT((Uploaded_Data!$D$2:$D$59696="Production Transfers")*(Uploaded_Data!$E$2:$E$59696="South Mine to Pile (through Crusher)")*(Uploaded_Data!$F$2:$F$59696="OB/CLAY")*(Uploaded_Data!$H$2:$H$59696=$A7)*Uploaded_Data!$N$2:$N$59696)</f>
        <v>0</v>
      </c>
      <c r="V7" s="80" cm="1">
        <f t="array" ref="V7">SUMPRODUCT((Uploaded_Data!$D$2:$D$59696="Production Transfers")*(Uploaded_Data!$E$2:$E$59696="South Mine to Direct Pile (Bypass Crusher)")*(Uploaded_Data!$F$2:$F$59696="OB/CLAY")*(Uploaded_Data!$H$2:$H$59696=$A7)*Uploaded_Data!$N$2:$N$59696)</f>
        <v>0</v>
      </c>
      <c r="W7" s="80" cm="1">
        <f t="array" ref="W7">SUMPRODUCT((Uploaded_Data!$D$2:$D$59696="Production Transfers")*(Uploaded_Data!$E$2:$E$59696="South Mine to Stock Yard")*(Uploaded_Data!$F$2:$F$59696="OB/CLAY")*(Uploaded_Data!$H$2:$H$59696=$A7)*Uploaded_Data!$N$2:$N$59696)</f>
        <v>0</v>
      </c>
      <c r="X7" s="80" cm="1">
        <f t="array" ref="X7">SUMPRODUCT((Uploaded_Data!$D$2:$D$59696="Production Transfers")*(Uploaded_Data!$E$2:$E$59696="South Mine to Golani Waste dump")*(Uploaded_Data!$F$2:$F$59696="WASTE")*(Uploaded_Data!$H$2:$H$59696=$A7)*Uploaded_Data!$N$2:$N$59696)</f>
        <v>0</v>
      </c>
      <c r="Y7" s="80" cm="1">
        <f t="array" ref="Y7">SUMPRODUCT((Uploaded_Data!$D$2:$D$59696="Production Transfers")*(Uploaded_Data!$E$2:$E$59696="North Mine to Pile (through Crusher)")*(Uploaded_Data!$F$2:$F$59696="OB/CLAY")*(Uploaded_Data!$H$2:$H$59696=$A7)*Uploaded_Data!$N$2:$N$59696)</f>
        <v>0</v>
      </c>
      <c r="Z7" s="80" cm="1">
        <f t="array" ref="Z7">SUMPRODUCT((Uploaded_Data!$D$2:$D$59696="Production Transfers")*(Uploaded_Data!$E$2:$E$59696="North Mine to Direct Pile (Bypass Crusher)")*(Uploaded_Data!$F$2:$F$59696="OB/CLAY")*(Uploaded_Data!$H$2:$H$59696=$A7)*Uploaded_Data!$N$2:$N$59696)</f>
        <v>0</v>
      </c>
      <c r="AA7" s="80" cm="1">
        <f t="array" ref="AA7">SUMPRODUCT((Uploaded_Data!$D$2:$D$59696="Production Transfers")*(Uploaded_Data!$E$2:$E$59696="North Mine to Stock Yard")*(Uploaded_Data!$F$2:$F$59696="OB/CLAY")*(Uploaded_Data!$H$2:$H$59696=$A7)*Uploaded_Data!$N$2:$N$59696)</f>
        <v>0</v>
      </c>
      <c r="AB7" s="80" cm="1">
        <f t="array" ref="AB7">SUMPRODUCT((Uploaded_Data!$D$2:$D$59696="Production Transfers")*(Uploaded_Data!$E$2:$E$59696="North Mine to Golani Waste dump")*(Uploaded_Data!$F$2:$F$59696="WASTE")*(Uploaded_Data!$H$2:$H$59696=$A7)*Uploaded_Data!$N$2:$N$59696)</f>
        <v>2140</v>
      </c>
      <c r="AC7" s="80" cm="1">
        <f t="array" ref="AC7">SUMPRODUCT((Uploaded_Data!$D$2:$D$59696="Internal Transfers")*(Uploaded_Data!$E$2:$E$59696="Stock Yard to Pile (through Crusher)")*(Uploaded_Data!$F$2:$F$59696="OB/CLAY")*(Uploaded_Data!$H$2:$H$59696=$A7)*Uploaded_Data!$N$2:$N$59696)</f>
        <v>0</v>
      </c>
      <c r="AD7" s="80" cm="1">
        <f t="array" ref="AD7">SUMPRODUCT((Uploaded_Data!$D$2:$D$59696="Internal Transfers")*(Uploaded_Data!$E$2:$E$59696="Stock Yard to Other Usages")*(Uploaded_Data!$F$2:$F$59696="OB/CLAY")*(Uploaded_Data!$H$2:$H$59696=$A7)*Uploaded_Data!$N$2:$N$59696)</f>
        <v>0</v>
      </c>
      <c r="AE7" s="80" cm="1">
        <f t="array" ref="AE7">SUMPRODUCT((Uploaded_Data!$D$2:$D$59696="Internal Transfers")*(Uploaded_Data!$E$2:$E$59696="Stock Yard to Direct Pile (Bypass Crusher)")*(Uploaded_Data!$F$2:$F$59696="OB/CLAY")*(Uploaded_Data!$H$2:$H$59696=$A7)*Uploaded_Data!$N$2:$N$59696)</f>
        <v>0</v>
      </c>
      <c r="AF7" s="80" cm="1">
        <f t="array" ref="AF7">SUMPRODUCT((Uploaded_Data!$D$2:$D$59696="Production Transfers")*(Uploaded_Data!$E$2:$E$59696="South Mine to Pile (through Crusher)")*(Uploaded_Data!$F$2:$F$59696="HGHMGO")*(Uploaded_Data!$H$2:$H$59696=$A7)*Uploaded_Data!$N$2:$N$59696)</f>
        <v>0</v>
      </c>
      <c r="AG7" s="80" cm="1">
        <f t="array" ref="AG7">SUMPRODUCT((Uploaded_Data!$D$2:$D$59696="Production Transfers")*(Uploaded_Data!$E$2:$E$59696="South Mine to Direct Pile (Bypass Crusher)")*(Uploaded_Data!$F$2:$F$59696="HGHMGO")*(Uploaded_Data!$H$2:$H$59696=$A7)*Uploaded_Data!$N$2:$N$59696)</f>
        <v>0</v>
      </c>
      <c r="AH7" s="80" cm="1">
        <f t="array" ref="AH7">SUMPRODUCT((Uploaded_Data!$D$2:$D$59696="Production Transfers")*(Uploaded_Data!$E$2:$E$59696="South Mine to Stock Yard")*(Uploaded_Data!$F$2:$F$59696="HGHMGO")*(Uploaded_Data!$H$2:$H$59696=$A7)*Uploaded_Data!$N$2:$N$59696)</f>
        <v>0</v>
      </c>
      <c r="AI7" s="80" cm="1">
        <f t="array" ref="AI7">SUMPRODUCT((Uploaded_Data!$D$2:$D$59696="Internal Transfers")*(Uploaded_Data!$E$2:$E$59696="Stock Yard to Pile (through Crusher)")*(Uploaded_Data!$F$2:$F$59696="HGHMGO")*(Uploaded_Data!$H$2:$H$59696=$A7)*Uploaded_Data!$N$2:$N$59696)</f>
        <v>0</v>
      </c>
      <c r="AJ7" s="80" cm="1">
        <f t="array" ref="AJ7">SUMPRODUCT((Uploaded_Data!$D$2:$D$59696="Production Transfers")*(Uploaded_Data!$E$2:$E$59696="South Mine to Pile (through Crusher)")*(Uploaded_Data!$F$2:$F$59696="LGHMGO")*(Uploaded_Data!$H$2:$H$59696=$A7)*Uploaded_Data!$N$2:$N$59696)</f>
        <v>0</v>
      </c>
      <c r="AK7" s="80" cm="1">
        <f t="array" ref="AK7">SUMPRODUCT((Uploaded_Data!$D$2:$D$59696="Production Transfers")*(Uploaded_Data!$E$2:$E$59696="South Mine to Direct Pile (Bypass Crusher)")*(Uploaded_Data!$F$2:$F$59696="LGHMGO")*(Uploaded_Data!$H$2:$H$59696=$A7)*Uploaded_Data!$N$2:$N$59696)</f>
        <v>0</v>
      </c>
      <c r="AL7" s="80" cm="1">
        <f t="array" ref="AL7">SUMPRODUCT((Uploaded_Data!$D$2:$D$59696="Production Transfers")*(Uploaded_Data!$E$2:$E$59696="South Mine to Stock Yard")*(Uploaded_Data!$F$2:$F$59696="LGHMGO")*(Uploaded_Data!$H$2:$H$59696=$A7)*Uploaded_Data!$N$2:$N$59696)</f>
        <v>0</v>
      </c>
      <c r="AM7" s="80" cm="1">
        <f t="array" ref="AM7">SUMPRODUCT((Uploaded_Data!$D$2:$D$59696="Internal Transfers")*(Uploaded_Data!$E$2:$E$59696="Stock Yard to Pile (through Crusher)")*(Uploaded_Data!$F$2:$F$59696="LGHMGO")*(Uploaded_Data!$H$2:$H$59696=$A7)*Uploaded_Data!$N$2:$N$59696)</f>
        <v>0</v>
      </c>
      <c r="AN7" s="102">
        <f t="shared" si="0"/>
        <v>3387.2799999999997</v>
      </c>
      <c r="AO7" s="108"/>
      <c r="AP7" s="109" cm="1">
        <f t="array" ref="AP7">SUMPRODUCT((Uploaded_Data!$D$2:$D$59696="Internal Transfers")*(Uploaded_Data!$E$2:$E$59696="Stock Yard to Pile (through Crusher)")*(Uploaded_Data!$F$2:$F$59696="GYPSUM")*(Uploaded_Data!$H$2:$H$59696=$A7)*Uploaded_Data!$N$2:$N$59696)</f>
        <v>0</v>
      </c>
      <c r="AQ7" s="109" cm="1">
        <f t="array" ref="AQ7">SUMPRODUCT((Uploaded_Data!$D$2:$D$59696="Internal Transfers")*(Uploaded_Data!$E$2:$E$59696="Stock Yard to Direct Pile (Bypass Crusher)")*(Uploaded_Data!$F$2:$F$59696="GYPSUM")*(Uploaded_Data!$H$2:$H$59696=$A7)*Uploaded_Data!$N$2:$N$59696)</f>
        <v>0</v>
      </c>
      <c r="AR7" s="109" cm="1">
        <f t="array" ref="AR7">SUMPRODUCT((Uploaded_Data!$D$2:$D$59696="Internal Transfers")*(Uploaded_Data!$E$2:$E$59696="Stock Yard to Other Usages")*(Uploaded_Data!$F$2:$F$59696="ID Clay")*(Uploaded_Data!$H$2:$H$59696=$A7)*Uploaded_Data!$N$2:$N$59696)</f>
        <v>0</v>
      </c>
      <c r="AS7" s="109" cm="1">
        <f t="array" ref="AS7">SUMPRODUCT((Uploaded_Data!$D$2:$D$59696="Internal Transfers")*(Uploaded_Data!$E$2:$E$59696="Stock Yard to Direct Pile (Bypass Crusher)")*(Uploaded_Data!$F$2:$F$59696="ID Clay")*(Uploaded_Data!$H$2:$H$59696=$A7)*Uploaded_Data!$N$2:$N$59696)</f>
        <v>0</v>
      </c>
      <c r="AT7" s="109" cm="1">
        <f t="array" ref="AT7">SUMPRODUCT((Uploaded_Data!$D$2:$D$59696="Production Transfers")*(Uploaded_Data!$E$2:$E$59696="Kijaka Mine to Stock Yard")*(Uploaded_Data!$F$2:$F$59696="ID Clay")*(Uploaded_Data!$H$2:$H$59696=$A7)*Uploaded_Data!$N$2:$N$59696)</f>
        <v>0</v>
      </c>
      <c r="AU7" s="102">
        <f t="shared" si="1"/>
        <v>3387.2799999999997</v>
      </c>
      <c r="AV7" s="109">
        <f t="shared" si="2"/>
        <v>1247.2799999999997</v>
      </c>
      <c r="AW7" s="109"/>
      <c r="AX7" s="109"/>
      <c r="AY7" s="114"/>
      <c r="AZ7" s="110">
        <f t="shared" si="3"/>
        <v>0</v>
      </c>
      <c r="BA7" s="112">
        <f t="shared" si="4"/>
        <v>3387.2799999999997</v>
      </c>
      <c r="BB7" s="110"/>
    </row>
    <row r="8" spans="1:61" s="63" customFormat="1">
      <c r="A8" s="79">
        <v>46116</v>
      </c>
      <c r="B8" s="80" cm="1">
        <f t="array" ref="B8">SUMPRODUCT((Uploaded_Data!$D$2:$D$59696="Production Transfers")*(Uploaded_Data!$E$2:$E$59696="South Mine to Pile (through Crusher)")*(Uploaded_Data!$F$2:$F$59696="HG")*(Uploaded_Data!$H$2:$H$59696=$A8)*Uploaded_Data!$N$2:$N$59696)</f>
        <v>1035.56</v>
      </c>
      <c r="C8" s="80" cm="1">
        <f t="array" ref="C8">SUMPRODUCT((Uploaded_Data!$D$2:$D$59696="Production Transfers")*(Uploaded_Data!$E$2:$E$59696="South Mine to Direct Pile (Bypass Crusher)")*(Uploaded_Data!$F$2:$F$59696="HG")*(Uploaded_Data!$H$2:$H$59696=$A8)*Uploaded_Data!$N$2:$N$59696)</f>
        <v>0</v>
      </c>
      <c r="D8" s="80" cm="1">
        <f t="array" ref="D8">SUMPRODUCT((Uploaded_Data!$D$2:$D$59696="Production Transfers")*(Uploaded_Data!$E$2:$E$59696="South Mine to Stock Yard")*(Uploaded_Data!$F$2:$F$59696="HG")*(Uploaded_Data!$H$2:$H$59696=$A8)*Uploaded_Data!$N$2:$N$59696)</f>
        <v>1032.5400000000004</v>
      </c>
      <c r="E8" s="80" cm="1">
        <f t="array" ref="E8">SUMPRODUCT((Uploaded_Data!$D$2:$D$59696="Production Transfers")*(Uploaded_Data!$E$2:$E$59696="North Mine to Pile (through Crusher)")*(Uploaded_Data!$F$2:$F$59696="HG")*(Uploaded_Data!$H$2:$H$59696=$A8)*Uploaded_Data!$N$2:$N$59696)</f>
        <v>0</v>
      </c>
      <c r="F8" s="80" cm="1">
        <f t="array" ref="F8">SUMPRODUCT((Uploaded_Data!$D$2:$D$59696="Production Transfers")*(Uploaded_Data!$E$2:$E$59696="North Mine to Direct Pile (Bypass Crusher)")*(Uploaded_Data!$F$2:$F$59696="HG")*(Uploaded_Data!$H$2:$H$59696=$A8)*Uploaded_Data!$N$2:$N$59696)</f>
        <v>0</v>
      </c>
      <c r="G8" s="80" cm="1">
        <f t="array" ref="G8">SUMPRODUCT((Uploaded_Data!$D$2:$D$59696="Production Transfers")*(Uploaded_Data!$E$2:$E$59696="North Mine to Stock Yard")*(Uploaded_Data!$F$2:$F$59696="HG")*(Uploaded_Data!$H$2:$H$59696=$A8)*Uploaded_Data!$N$2:$N$59696)</f>
        <v>0</v>
      </c>
      <c r="H8" s="80" cm="1">
        <f t="array" ref="H8">SUMPRODUCT((Uploaded_Data!$D$2:$D$59696="Internal Transfers")*(Uploaded_Data!$E$2:$E$59696="Stock Yard to Pile (through Crusher)")*(Uploaded_Data!$F$2:$F$59696="HG")*(Uploaded_Data!$H$2:$H$59696=$A8)*Uploaded_Data!$N$2:$N$59696)</f>
        <v>250.84000000000003</v>
      </c>
      <c r="I8" s="80" cm="1">
        <f t="array" ref="I8">SUMPRODUCT((Uploaded_Data!$D$2:$D$59696="Internal Transfers")*(Uploaded_Data!$E$2:$E$59696="Stock Yard to Direct Pile (Bypass Crusher)")*(Uploaded_Data!$F$2:$F$59696="HG")*(Uploaded_Data!$H$2:$H$59696=$A8)*Uploaded_Data!$N$2:$N$59696)</f>
        <v>0</v>
      </c>
      <c r="J8" s="80" cm="1">
        <f t="array" ref="J8">SUMPRODUCT((Uploaded_Data!$D$2:$D$59696="Production Transfers")*(Uploaded_Data!$E$2:$E$59696="South Mine to Pile (through Crusher)")*(Uploaded_Data!$F$2:$F$59696="LG1")*(Uploaded_Data!$H$2:$H$59696=$A8)*Uploaded_Data!$N$2:$N$59696)</f>
        <v>879.50000000000011</v>
      </c>
      <c r="K8" s="80" cm="1">
        <f t="array" ref="K8">SUMPRODUCT((Uploaded_Data!$D$2:$D$59696="Production Transfers")*(Uploaded_Data!$E$2:$E$59696="South Mine to Direct Pile (Bypass Crusher)")*(Uploaded_Data!$F$2:$F$59696="LG1")*(Uploaded_Data!$H$2:$H$59696=$A8)*Uploaded_Data!$N$2:$N$59696)</f>
        <v>0</v>
      </c>
      <c r="L8" s="80" cm="1">
        <f t="array" ref="L8">SUMPRODUCT((Uploaded_Data!$D$2:$D$59696="Production Transfers")*(Uploaded_Data!$E$2:$E$59696="South Mine to Stock Yard")*(Uploaded_Data!$F$2:$F$59696="LG1")*(Uploaded_Data!$H$2:$H$59696=$A8)*Uploaded_Data!$N$2:$N$59696)</f>
        <v>0</v>
      </c>
      <c r="M8" s="80" cm="1">
        <f t="array" ref="M8">SUMPRODUCT((Uploaded_Data!$D$2:$D$59696="Production Transfers")*(Uploaded_Data!$E$2:$E$59696="North Mine to Pile (through Crusher)")*(Uploaded_Data!$F$2:$F$59696="LG1")*(Uploaded_Data!$H$2:$H$59696=$A8)*Uploaded_Data!$N$2:$N$59696)</f>
        <v>0</v>
      </c>
      <c r="N8" s="80" cm="1">
        <f t="array" ref="N8">SUMPRODUCT((Uploaded_Data!$D$2:$D$59696="Production Transfers")*(Uploaded_Data!$E$2:$E$59696="North Mine to Direct Pile (Bypass Crusher)")*(Uploaded_Data!$F$2:$F$59696="LG1")*(Uploaded_Data!$H$2:$H$59696=$A8)*Uploaded_Data!$N$2:$N$59696)</f>
        <v>0</v>
      </c>
      <c r="O8" s="80" cm="1">
        <f t="array" ref="O8">SUMPRODUCT((Uploaded_Data!$D$2:$D$59696="Production Transfers")*(Uploaded_Data!$E$2:$E$59696="North Mine to Stock Yard")*(Uploaded_Data!$F$2:$F$59696="LG1")*(Uploaded_Data!$H$2:$H$59696=$A8)*Uploaded_Data!$N$2:$N$59696)</f>
        <v>0</v>
      </c>
      <c r="P8" s="80" cm="1">
        <f t="array" ref="P8">SUMPRODUCT((Uploaded_Data!$D$2:$D$59696="Internal Transfers")*(Uploaded_Data!$E$2:$E$59696="Stock Yard to Pile (through Crusher)")*(Uploaded_Data!$F$2:$F$59696="LG1")*(Uploaded_Data!$H$2:$H$59696=$A8)*Uploaded_Data!$N$2:$N$59696)</f>
        <v>0</v>
      </c>
      <c r="Q8" s="80" cm="1">
        <f t="array" ref="Q8">SUMPRODUCT((Uploaded_Data!$D$2:$D$59696="Internal Transfers")*(Uploaded_Data!$E$2:$E$59696="Stock Yard to Direct Pile (Bypass Crusher)")*(Uploaded_Data!$F$2:$F$59696="LG1")*(Uploaded_Data!$H$2:$H$59696=$A8)*Uploaded_Data!$N$2:$N$59696)</f>
        <v>0</v>
      </c>
      <c r="R8" s="80" cm="1">
        <f t="array" ref="R8">SUMPRODUCT((Uploaded_Data!$D$2:$D$59696="Internal Transfers")*(Uploaded_Data!$E$2:$E$59696="Stock Yard to Other Usages")*(Uploaded_Data!$F$2:$F$59696="LG1")*(Uploaded_Data!$H$2:$H$59696=$A8)*Uploaded_Data!$N$2:$N$59696)</f>
        <v>0</v>
      </c>
      <c r="S8" s="80" cm="1">
        <f t="array" ref="S8">SUMPRODUCT((Uploaded_Data!$D$2:$D$59696="Internal Transfers")*(Uploaded_Data!$E$2:$E$59696="Stock Yard to Pile (through Crusher)")*(Uploaded_Data!$F$2:$F$59696="LIMESTONE SPG")*(Uploaded_Data!$H$2:$H$59696=$A8)*Uploaded_Data!$N$2:$N$59696)</f>
        <v>0</v>
      </c>
      <c r="T8" s="80" cm="1">
        <f t="array" ref="T8">SUMPRODUCT((Uploaded_Data!$D$2:$D$59696="Internal Transfers")*(Uploaded_Data!$E$2:$E$59696="Stock Yard to Direct Pile (Bypass Crusher)")*(Uploaded_Data!$F$2:$F$59696="LIMESTONE SPG")*(Uploaded_Data!$H$2:$H$59696=$A8)*Uploaded_Data!$N$2:$N$59696)</f>
        <v>0</v>
      </c>
      <c r="U8" s="80" cm="1">
        <f t="array" ref="U8">SUMPRODUCT((Uploaded_Data!$D$2:$D$59696="Production Transfers")*(Uploaded_Data!$E$2:$E$59696="South Mine to Pile (through Crusher)")*(Uploaded_Data!$F$2:$F$59696="OB/CLAY")*(Uploaded_Data!$H$2:$H$59696=$A8)*Uploaded_Data!$N$2:$N$59696)</f>
        <v>0</v>
      </c>
      <c r="V8" s="80" cm="1">
        <f t="array" ref="V8">SUMPRODUCT((Uploaded_Data!$D$2:$D$59696="Production Transfers")*(Uploaded_Data!$E$2:$E$59696="South Mine to Direct Pile (Bypass Crusher)")*(Uploaded_Data!$F$2:$F$59696="OB/CLAY")*(Uploaded_Data!$H$2:$H$59696=$A8)*Uploaded_Data!$N$2:$N$59696)</f>
        <v>0</v>
      </c>
      <c r="W8" s="80" cm="1">
        <f t="array" ref="W8">SUMPRODUCT((Uploaded_Data!$D$2:$D$59696="Production Transfers")*(Uploaded_Data!$E$2:$E$59696="South Mine to Stock Yard")*(Uploaded_Data!$F$2:$F$59696="OB/CLAY")*(Uploaded_Data!$H$2:$H$59696=$A8)*Uploaded_Data!$N$2:$N$59696)</f>
        <v>0</v>
      </c>
      <c r="X8" s="80" cm="1">
        <f t="array" ref="X8">SUMPRODUCT((Uploaded_Data!$D$2:$D$59696="Production Transfers")*(Uploaded_Data!$E$2:$E$59696="South Mine to Golani Waste dump")*(Uploaded_Data!$F$2:$F$59696="WASTE")*(Uploaded_Data!$H$2:$H$59696=$A8)*Uploaded_Data!$N$2:$N$59696)</f>
        <v>0</v>
      </c>
      <c r="Y8" s="80" cm="1">
        <f t="array" ref="Y8">SUMPRODUCT((Uploaded_Data!$D$2:$D$59696="Production Transfers")*(Uploaded_Data!$E$2:$E$59696="North Mine to Pile (through Crusher)")*(Uploaded_Data!$F$2:$F$59696="OB/CLAY")*(Uploaded_Data!$H$2:$H$59696=$A8)*Uploaded_Data!$N$2:$N$59696)</f>
        <v>0</v>
      </c>
      <c r="Z8" s="80" cm="1">
        <f t="array" ref="Z8">SUMPRODUCT((Uploaded_Data!$D$2:$D$59696="Production Transfers")*(Uploaded_Data!$E$2:$E$59696="North Mine to Direct Pile (Bypass Crusher)")*(Uploaded_Data!$F$2:$F$59696="OB/CLAY")*(Uploaded_Data!$H$2:$H$59696=$A8)*Uploaded_Data!$N$2:$N$59696)</f>
        <v>0</v>
      </c>
      <c r="AA8" s="80" cm="1">
        <f t="array" ref="AA8">SUMPRODUCT((Uploaded_Data!$D$2:$D$59696="Production Transfers")*(Uploaded_Data!$E$2:$E$59696="North Mine to Stock Yard")*(Uploaded_Data!$F$2:$F$59696="OB/CLAY")*(Uploaded_Data!$H$2:$H$59696=$A8)*Uploaded_Data!$N$2:$N$59696)</f>
        <v>0</v>
      </c>
      <c r="AB8" s="80" cm="1">
        <f t="array" ref="AB8">SUMPRODUCT((Uploaded_Data!$D$2:$D$59696="Production Transfers")*(Uploaded_Data!$E$2:$E$59696="North Mine to Golani Waste dump")*(Uploaded_Data!$F$2:$F$59696="WASTE")*(Uploaded_Data!$H$2:$H$59696=$A8)*Uploaded_Data!$N$2:$N$59696)</f>
        <v>1140</v>
      </c>
      <c r="AC8" s="80" cm="1">
        <f t="array" ref="AC8">SUMPRODUCT((Uploaded_Data!$D$2:$D$59696="Internal Transfers")*(Uploaded_Data!$E$2:$E$59696="Stock Yard to Pile (through Crusher)")*(Uploaded_Data!$F$2:$F$59696="OB/CLAY")*(Uploaded_Data!$H$2:$H$59696=$A8)*Uploaded_Data!$N$2:$N$59696)</f>
        <v>0</v>
      </c>
      <c r="AD8" s="80" cm="1">
        <f t="array" ref="AD8">SUMPRODUCT((Uploaded_Data!$D$2:$D$59696="Internal Transfers")*(Uploaded_Data!$E$2:$E$59696="Stock Yard to Other Usages")*(Uploaded_Data!$F$2:$F$59696="OB/CLAY")*(Uploaded_Data!$H$2:$H$59696=$A8)*Uploaded_Data!$N$2:$N$59696)</f>
        <v>0</v>
      </c>
      <c r="AE8" s="80" cm="1">
        <f t="array" ref="AE8">SUMPRODUCT((Uploaded_Data!$D$2:$D$59696="Internal Transfers")*(Uploaded_Data!$E$2:$E$59696="Stock Yard to Direct Pile (Bypass Crusher)")*(Uploaded_Data!$F$2:$F$59696="OB/CLAY")*(Uploaded_Data!$H$2:$H$59696=$A8)*Uploaded_Data!$N$2:$N$59696)</f>
        <v>0</v>
      </c>
      <c r="AF8" s="80" cm="1">
        <f t="array" ref="AF8">SUMPRODUCT((Uploaded_Data!$D$2:$D$59696="Production Transfers")*(Uploaded_Data!$E$2:$E$59696="South Mine to Pile (through Crusher)")*(Uploaded_Data!$F$2:$F$59696="HGHMGO")*(Uploaded_Data!$H$2:$H$59696=$A8)*Uploaded_Data!$N$2:$N$59696)</f>
        <v>0</v>
      </c>
      <c r="AG8" s="80" cm="1">
        <f t="array" ref="AG8">SUMPRODUCT((Uploaded_Data!$D$2:$D$59696="Production Transfers")*(Uploaded_Data!$E$2:$E$59696="South Mine to Direct Pile (Bypass Crusher)")*(Uploaded_Data!$F$2:$F$59696="HGHMGO")*(Uploaded_Data!$H$2:$H$59696=$A8)*Uploaded_Data!$N$2:$N$59696)</f>
        <v>0</v>
      </c>
      <c r="AH8" s="80" cm="1">
        <f t="array" ref="AH8">SUMPRODUCT((Uploaded_Data!$D$2:$D$59696="Production Transfers")*(Uploaded_Data!$E$2:$E$59696="South Mine to Stock Yard")*(Uploaded_Data!$F$2:$F$59696="HGHMGO")*(Uploaded_Data!$H$2:$H$59696=$A8)*Uploaded_Data!$N$2:$N$59696)</f>
        <v>0</v>
      </c>
      <c r="AI8" s="80" cm="1">
        <f t="array" ref="AI8">SUMPRODUCT((Uploaded_Data!$D$2:$D$59696="Internal Transfers")*(Uploaded_Data!$E$2:$E$59696="Stock Yard to Pile (through Crusher)")*(Uploaded_Data!$F$2:$F$59696="HGHMGO")*(Uploaded_Data!$H$2:$H$59696=$A8)*Uploaded_Data!$N$2:$N$59696)</f>
        <v>0</v>
      </c>
      <c r="AJ8" s="80" cm="1">
        <f t="array" ref="AJ8">SUMPRODUCT((Uploaded_Data!$D$2:$D$59696="Production Transfers")*(Uploaded_Data!$E$2:$E$59696="South Mine to Pile (through Crusher)")*(Uploaded_Data!$F$2:$F$59696="LGHMGO")*(Uploaded_Data!$H$2:$H$59696=$A8)*Uploaded_Data!$N$2:$N$59696)</f>
        <v>0</v>
      </c>
      <c r="AK8" s="80" cm="1">
        <f t="array" ref="AK8">SUMPRODUCT((Uploaded_Data!$D$2:$D$59696="Production Transfers")*(Uploaded_Data!$E$2:$E$59696="South Mine to Direct Pile (Bypass Crusher)")*(Uploaded_Data!$F$2:$F$59696="LGHMGO")*(Uploaded_Data!$H$2:$H$59696=$A8)*Uploaded_Data!$N$2:$N$59696)</f>
        <v>0</v>
      </c>
      <c r="AL8" s="80" cm="1">
        <f t="array" ref="AL8">SUMPRODUCT((Uploaded_Data!$D$2:$D$59696="Production Transfers")*(Uploaded_Data!$E$2:$E$59696="South Mine to Stock Yard")*(Uploaded_Data!$F$2:$F$59696="LGHMGO")*(Uploaded_Data!$H$2:$H$59696=$A8)*Uploaded_Data!$N$2:$N$59696)</f>
        <v>0</v>
      </c>
      <c r="AM8" s="80" cm="1">
        <f t="array" ref="AM8">SUMPRODUCT((Uploaded_Data!$D$2:$D$59696="Internal Transfers")*(Uploaded_Data!$E$2:$E$59696="Stock Yard to Pile (through Crusher)")*(Uploaded_Data!$F$2:$F$59696="LGHMGO")*(Uploaded_Data!$H$2:$H$59696=$A8)*Uploaded_Data!$N$2:$N$59696)</f>
        <v>0</v>
      </c>
      <c r="AN8" s="102">
        <f t="shared" si="0"/>
        <v>4338.4400000000005</v>
      </c>
      <c r="AO8" s="108"/>
      <c r="AP8" s="109" cm="1">
        <f t="array" ref="AP8">SUMPRODUCT((Uploaded_Data!$D$2:$D$59696="Internal Transfers")*(Uploaded_Data!$E$2:$E$59696="Stock Yard to Pile (through Crusher)")*(Uploaded_Data!$F$2:$F$59696="GYPSUM")*(Uploaded_Data!$H$2:$H$59696=$A8)*Uploaded_Data!$N$2:$N$59696)</f>
        <v>0</v>
      </c>
      <c r="AQ8" s="109" cm="1">
        <f t="array" ref="AQ8">SUMPRODUCT((Uploaded_Data!$D$2:$D$59696="Internal Transfers")*(Uploaded_Data!$E$2:$E$59696="Stock Yard to Direct Pile (Bypass Crusher)")*(Uploaded_Data!$F$2:$F$59696="GYPSUM")*(Uploaded_Data!$H$2:$H$59696=$A8)*Uploaded_Data!$N$2:$N$59696)</f>
        <v>0</v>
      </c>
      <c r="AR8" s="109" cm="1">
        <f t="array" ref="AR8">SUMPRODUCT((Uploaded_Data!$D$2:$D$59696="Internal Transfers")*(Uploaded_Data!$E$2:$E$59696="Stock Yard to Other Usages")*(Uploaded_Data!$F$2:$F$59696="ID Clay")*(Uploaded_Data!$H$2:$H$59696=$A8)*Uploaded_Data!$N$2:$N$59696)</f>
        <v>0</v>
      </c>
      <c r="AS8" s="109" cm="1">
        <f t="array" ref="AS8">SUMPRODUCT((Uploaded_Data!$D$2:$D$59696="Internal Transfers")*(Uploaded_Data!$E$2:$E$59696="Stock Yard to Direct Pile (Bypass Crusher)")*(Uploaded_Data!$F$2:$F$59696="ID Clay")*(Uploaded_Data!$H$2:$H$59696=$A8)*Uploaded_Data!$N$2:$N$59696)</f>
        <v>0</v>
      </c>
      <c r="AT8" s="109" cm="1">
        <f t="array" ref="AT8">SUMPRODUCT((Uploaded_Data!$D$2:$D$59696="Production Transfers")*(Uploaded_Data!$E$2:$E$59696="Kijaka Mine to Stock Yard")*(Uploaded_Data!$F$2:$F$59696="ID Clay")*(Uploaded_Data!$H$2:$H$59696=$A8)*Uploaded_Data!$N$2:$N$59696)</f>
        <v>0</v>
      </c>
      <c r="AU8" s="102">
        <f t="shared" si="1"/>
        <v>4338.4400000000005</v>
      </c>
      <c r="AV8" s="109">
        <f t="shared" si="2"/>
        <v>3198.4400000000005</v>
      </c>
      <c r="AW8" s="109"/>
      <c r="AX8" s="109"/>
      <c r="AY8" s="114"/>
      <c r="AZ8" s="110">
        <f t="shared" si="3"/>
        <v>2165.9</v>
      </c>
      <c r="BA8" s="112">
        <f t="shared" si="4"/>
        <v>4338.4400000000005</v>
      </c>
      <c r="BB8" s="110"/>
    </row>
    <row r="9" spans="1:61" s="63" customFormat="1" ht="12.75" customHeight="1">
      <c r="A9" s="79">
        <v>46117</v>
      </c>
      <c r="B9" s="80" cm="1">
        <f t="array" ref="B9">SUMPRODUCT((Uploaded_Data!$D$2:$D$59696="Production Transfers")*(Uploaded_Data!$E$2:$E$59696="South Mine to Pile (through Crusher)")*(Uploaded_Data!$F$2:$F$59696="HG")*(Uploaded_Data!$H$2:$H$59696=$A9)*Uploaded_Data!$N$2:$N$59696)</f>
        <v>0</v>
      </c>
      <c r="C9" s="80" cm="1">
        <f t="array" ref="C9">SUMPRODUCT((Uploaded_Data!$D$2:$D$59696="Production Transfers")*(Uploaded_Data!$E$2:$E$59696="South Mine to Direct Pile (Bypass Crusher)")*(Uploaded_Data!$F$2:$F$59696="HG")*(Uploaded_Data!$H$2:$H$59696=$A9)*Uploaded_Data!$N$2:$N$59696)</f>
        <v>0</v>
      </c>
      <c r="D9" s="80" cm="1">
        <f t="array" ref="D9">SUMPRODUCT((Uploaded_Data!$D$2:$D$59696="Production Transfers")*(Uploaded_Data!$E$2:$E$59696="South Mine to Stock Yard")*(Uploaded_Data!$F$2:$F$59696="HG")*(Uploaded_Data!$H$2:$H$59696=$A9)*Uploaded_Data!$N$2:$N$59696)</f>
        <v>0</v>
      </c>
      <c r="E9" s="80" cm="1">
        <f t="array" ref="E9">SUMPRODUCT((Uploaded_Data!$D$2:$D$59696="Production Transfers")*(Uploaded_Data!$E$2:$E$59696="North Mine to Pile (through Crusher)")*(Uploaded_Data!$F$2:$F$59696="HG")*(Uploaded_Data!$H$2:$H$59696=$A9)*Uploaded_Data!$N$2:$N$59696)</f>
        <v>0</v>
      </c>
      <c r="F9" s="80" cm="1">
        <f t="array" ref="F9">SUMPRODUCT((Uploaded_Data!$D$2:$D$59696="Production Transfers")*(Uploaded_Data!$E$2:$E$59696="North Mine to Direct Pile (Bypass Crusher)")*(Uploaded_Data!$F$2:$F$59696="HG")*(Uploaded_Data!$H$2:$H$59696=$A9)*Uploaded_Data!$N$2:$N$59696)</f>
        <v>0</v>
      </c>
      <c r="G9" s="80" cm="1">
        <f t="array" ref="G9">SUMPRODUCT((Uploaded_Data!$D$2:$D$59696="Production Transfers")*(Uploaded_Data!$E$2:$E$59696="North Mine to Stock Yard")*(Uploaded_Data!$F$2:$F$59696="HG")*(Uploaded_Data!$H$2:$H$59696=$A9)*Uploaded_Data!$N$2:$N$59696)</f>
        <v>658.5</v>
      </c>
      <c r="H9" s="80" cm="1">
        <f t="array" ref="H9">SUMPRODUCT((Uploaded_Data!$D$2:$D$59696="Internal Transfers")*(Uploaded_Data!$E$2:$E$59696="Stock Yard to Pile (through Crusher)")*(Uploaded_Data!$F$2:$F$59696="HG")*(Uploaded_Data!$H$2:$H$59696=$A9)*Uploaded_Data!$N$2:$N$59696)</f>
        <v>697.95999999999981</v>
      </c>
      <c r="I9" s="80" cm="1">
        <f t="array" ref="I9">SUMPRODUCT((Uploaded_Data!$D$2:$D$59696="Internal Transfers")*(Uploaded_Data!$E$2:$E$59696="Stock Yard to Direct Pile (Bypass Crusher)")*(Uploaded_Data!$F$2:$F$59696="HG")*(Uploaded_Data!$H$2:$H$59696=$A9)*Uploaded_Data!$N$2:$N$59696)</f>
        <v>0</v>
      </c>
      <c r="J9" s="80" cm="1">
        <f t="array" ref="J9">SUMPRODUCT((Uploaded_Data!$D$2:$D$59696="Production Transfers")*(Uploaded_Data!$E$2:$E$59696="South Mine to Pile (through Crusher)")*(Uploaded_Data!$F$2:$F$59696="LG1")*(Uploaded_Data!$H$2:$H$59696=$A9)*Uploaded_Data!$N$2:$N$59696)</f>
        <v>251.73999999999995</v>
      </c>
      <c r="K9" s="80" cm="1">
        <f t="array" ref="K9">SUMPRODUCT((Uploaded_Data!$D$2:$D$59696="Production Transfers")*(Uploaded_Data!$E$2:$E$59696="South Mine to Direct Pile (Bypass Crusher)")*(Uploaded_Data!$F$2:$F$59696="LG1")*(Uploaded_Data!$H$2:$H$59696=$A9)*Uploaded_Data!$N$2:$N$59696)</f>
        <v>535.67999999999995</v>
      </c>
      <c r="L9" s="80" cm="1">
        <f t="array" ref="L9">SUMPRODUCT((Uploaded_Data!$D$2:$D$59696="Production Transfers")*(Uploaded_Data!$E$2:$E$59696="South Mine to Stock Yard")*(Uploaded_Data!$F$2:$F$59696="LG1")*(Uploaded_Data!$H$2:$H$59696=$A9)*Uploaded_Data!$N$2:$N$59696)</f>
        <v>1596.4800000000002</v>
      </c>
      <c r="M9" s="80" cm="1">
        <f t="array" ref="M9">SUMPRODUCT((Uploaded_Data!$D$2:$D$59696="Production Transfers")*(Uploaded_Data!$E$2:$E$59696="North Mine to Pile (through Crusher)")*(Uploaded_Data!$F$2:$F$59696="LG1")*(Uploaded_Data!$H$2:$H$59696=$A9)*Uploaded_Data!$N$2:$N$59696)</f>
        <v>0</v>
      </c>
      <c r="N9" s="80" cm="1">
        <f t="array" ref="N9">SUMPRODUCT((Uploaded_Data!$D$2:$D$59696="Production Transfers")*(Uploaded_Data!$E$2:$E$59696="North Mine to Direct Pile (Bypass Crusher)")*(Uploaded_Data!$F$2:$F$59696="LG1")*(Uploaded_Data!$H$2:$H$59696=$A9)*Uploaded_Data!$N$2:$N$59696)</f>
        <v>0</v>
      </c>
      <c r="O9" s="80" cm="1">
        <f t="array" ref="O9">SUMPRODUCT((Uploaded_Data!$D$2:$D$59696="Production Transfers")*(Uploaded_Data!$E$2:$E$59696="North Mine to Stock Yard")*(Uploaded_Data!$F$2:$F$59696="LG1")*(Uploaded_Data!$H$2:$H$59696=$A9)*Uploaded_Data!$N$2:$N$59696)</f>
        <v>0</v>
      </c>
      <c r="P9" s="80" cm="1">
        <f t="array" ref="P9">SUMPRODUCT((Uploaded_Data!$D$2:$D$59696="Internal Transfers")*(Uploaded_Data!$E$2:$E$59696="Stock Yard to Pile (through Crusher)")*(Uploaded_Data!$F$2:$F$59696="LG1")*(Uploaded_Data!$H$2:$H$59696=$A9)*Uploaded_Data!$N$2:$N$59696)</f>
        <v>0</v>
      </c>
      <c r="Q9" s="80" cm="1">
        <f t="array" ref="Q9">SUMPRODUCT((Uploaded_Data!$D$2:$D$59696="Internal Transfers")*(Uploaded_Data!$E$2:$E$59696="Stock Yard to Direct Pile (Bypass Crusher)")*(Uploaded_Data!$F$2:$F$59696="LG1")*(Uploaded_Data!$H$2:$H$59696=$A9)*Uploaded_Data!$N$2:$N$59696)</f>
        <v>0</v>
      </c>
      <c r="R9" s="80" cm="1">
        <f t="array" ref="R9">SUMPRODUCT((Uploaded_Data!$D$2:$D$59696="Internal Transfers")*(Uploaded_Data!$E$2:$E$59696="Stock Yard to Other Usages")*(Uploaded_Data!$F$2:$F$59696="LG1")*(Uploaded_Data!$H$2:$H$59696=$A9)*Uploaded_Data!$N$2:$N$59696)</f>
        <v>0</v>
      </c>
      <c r="S9" s="80" cm="1">
        <f t="array" ref="S9">SUMPRODUCT((Uploaded_Data!$D$2:$D$59696="Internal Transfers")*(Uploaded_Data!$E$2:$E$59696="Stock Yard to Pile (through Crusher)")*(Uploaded_Data!$F$2:$F$59696="LIMESTONE SPG")*(Uploaded_Data!$H$2:$H$59696=$A9)*Uploaded_Data!$N$2:$N$59696)</f>
        <v>0</v>
      </c>
      <c r="T9" s="80" cm="1">
        <f t="array" ref="T9">SUMPRODUCT((Uploaded_Data!$D$2:$D$59696="Internal Transfers")*(Uploaded_Data!$E$2:$E$59696="Stock Yard to Direct Pile (Bypass Crusher)")*(Uploaded_Data!$F$2:$F$59696="LIMESTONE SPG")*(Uploaded_Data!$H$2:$H$59696=$A9)*Uploaded_Data!$N$2:$N$59696)</f>
        <v>0</v>
      </c>
      <c r="U9" s="80" cm="1">
        <f t="array" ref="U9">SUMPRODUCT((Uploaded_Data!$D$2:$D$59696="Production Transfers")*(Uploaded_Data!$E$2:$E$59696="South Mine to Pile (through Crusher)")*(Uploaded_Data!$F$2:$F$59696="OB/CLAY")*(Uploaded_Data!$H$2:$H$59696=$A9)*Uploaded_Data!$N$2:$N$59696)</f>
        <v>0</v>
      </c>
      <c r="V9" s="80" cm="1">
        <f t="array" ref="V9">SUMPRODUCT((Uploaded_Data!$D$2:$D$59696="Production Transfers")*(Uploaded_Data!$E$2:$E$59696="South Mine to Direct Pile (Bypass Crusher)")*(Uploaded_Data!$F$2:$F$59696="OB/CLAY")*(Uploaded_Data!$H$2:$H$59696=$A9)*Uploaded_Data!$N$2:$N$59696)</f>
        <v>0</v>
      </c>
      <c r="W9" s="80" cm="1">
        <f t="array" ref="W9">SUMPRODUCT((Uploaded_Data!$D$2:$D$59696="Production Transfers")*(Uploaded_Data!$E$2:$E$59696="South Mine to Stock Yard")*(Uploaded_Data!$F$2:$F$59696="OB/CLAY")*(Uploaded_Data!$H$2:$H$59696=$A9)*Uploaded_Data!$N$2:$N$59696)</f>
        <v>0</v>
      </c>
      <c r="X9" s="80" cm="1">
        <f t="array" ref="X9">SUMPRODUCT((Uploaded_Data!$D$2:$D$59696="Production Transfers")*(Uploaded_Data!$E$2:$E$59696="South Mine to Golani Waste dump")*(Uploaded_Data!$F$2:$F$59696="WASTE")*(Uploaded_Data!$H$2:$H$59696=$A9)*Uploaded_Data!$N$2:$N$59696)</f>
        <v>0</v>
      </c>
      <c r="Y9" s="80" cm="1">
        <f t="array" ref="Y9">SUMPRODUCT((Uploaded_Data!$D$2:$D$59696="Production Transfers")*(Uploaded_Data!$E$2:$E$59696="North Mine to Pile (through Crusher)")*(Uploaded_Data!$F$2:$F$59696="OB/CLAY")*(Uploaded_Data!$H$2:$H$59696=$A9)*Uploaded_Data!$N$2:$N$59696)</f>
        <v>0</v>
      </c>
      <c r="Z9" s="80" cm="1">
        <f t="array" ref="Z9">SUMPRODUCT((Uploaded_Data!$D$2:$D$59696="Production Transfers")*(Uploaded_Data!$E$2:$E$59696="North Mine to Direct Pile (Bypass Crusher)")*(Uploaded_Data!$F$2:$F$59696="OB/CLAY")*(Uploaded_Data!$H$2:$H$59696=$A9)*Uploaded_Data!$N$2:$N$59696)</f>
        <v>0</v>
      </c>
      <c r="AA9" s="80" cm="1">
        <f t="array" ref="AA9">SUMPRODUCT((Uploaded_Data!$D$2:$D$59696="Production Transfers")*(Uploaded_Data!$E$2:$E$59696="North Mine to Stock Yard")*(Uploaded_Data!$F$2:$F$59696="OB/CLAY")*(Uploaded_Data!$H$2:$H$59696=$A9)*Uploaded_Data!$N$2:$N$59696)</f>
        <v>0</v>
      </c>
      <c r="AB9" s="80" cm="1">
        <f t="array" ref="AB9">SUMPRODUCT((Uploaded_Data!$D$2:$D$59696="Production Transfers")*(Uploaded_Data!$E$2:$E$59696="North Mine to Golani Waste dump")*(Uploaded_Data!$F$2:$F$59696="WASTE")*(Uploaded_Data!$H$2:$H$59696=$A9)*Uploaded_Data!$N$2:$N$59696)</f>
        <v>0</v>
      </c>
      <c r="AC9" s="80" cm="1">
        <f t="array" ref="AC9">SUMPRODUCT((Uploaded_Data!$D$2:$D$59696="Internal Transfers")*(Uploaded_Data!$E$2:$E$59696="Stock Yard to Pile (through Crusher)")*(Uploaded_Data!$F$2:$F$59696="OB/CLAY")*(Uploaded_Data!$H$2:$H$59696=$A9)*Uploaded_Data!$N$2:$N$59696)</f>
        <v>0</v>
      </c>
      <c r="AD9" s="80" cm="1">
        <f t="array" ref="AD9">SUMPRODUCT((Uploaded_Data!$D$2:$D$59696="Internal Transfers")*(Uploaded_Data!$E$2:$E$59696="Stock Yard to Other Usages")*(Uploaded_Data!$F$2:$F$59696="OB/CLAY")*(Uploaded_Data!$H$2:$H$59696=$A9)*Uploaded_Data!$N$2:$N$59696)</f>
        <v>0</v>
      </c>
      <c r="AE9" s="80" cm="1">
        <f t="array" ref="AE9">SUMPRODUCT((Uploaded_Data!$D$2:$D$59696="Internal Transfers")*(Uploaded_Data!$E$2:$E$59696="Stock Yard to Direct Pile (Bypass Crusher)")*(Uploaded_Data!$F$2:$F$59696="OB/CLAY")*(Uploaded_Data!$H$2:$H$59696=$A9)*Uploaded_Data!$N$2:$N$59696)</f>
        <v>0</v>
      </c>
      <c r="AF9" s="80" cm="1">
        <f t="array" ref="AF9">SUMPRODUCT((Uploaded_Data!$D$2:$D$59696="Production Transfers")*(Uploaded_Data!$E$2:$E$59696="South Mine to Pile (through Crusher)")*(Uploaded_Data!$F$2:$F$59696="HGHMGO")*(Uploaded_Data!$H$2:$H$59696=$A9)*Uploaded_Data!$N$2:$N$59696)</f>
        <v>0</v>
      </c>
      <c r="AG9" s="80" cm="1">
        <f t="array" ref="AG9">SUMPRODUCT((Uploaded_Data!$D$2:$D$59696="Production Transfers")*(Uploaded_Data!$E$2:$E$59696="South Mine to Direct Pile (Bypass Crusher)")*(Uploaded_Data!$F$2:$F$59696="HGHMGO")*(Uploaded_Data!$H$2:$H$59696=$A9)*Uploaded_Data!$N$2:$N$59696)</f>
        <v>0</v>
      </c>
      <c r="AH9" s="80" cm="1">
        <f t="array" ref="AH9">SUMPRODUCT((Uploaded_Data!$D$2:$D$59696="Production Transfers")*(Uploaded_Data!$E$2:$E$59696="South Mine to Stock Yard")*(Uploaded_Data!$F$2:$F$59696="HGHMGO")*(Uploaded_Data!$H$2:$H$59696=$A9)*Uploaded_Data!$N$2:$N$59696)</f>
        <v>0</v>
      </c>
      <c r="AI9" s="80" cm="1">
        <f t="array" ref="AI9">SUMPRODUCT((Uploaded_Data!$D$2:$D$59696="Internal Transfers")*(Uploaded_Data!$E$2:$E$59696="Stock Yard to Pile (through Crusher)")*(Uploaded_Data!$F$2:$F$59696="HGHMGO")*(Uploaded_Data!$H$2:$H$59696=$A9)*Uploaded_Data!$N$2:$N$59696)</f>
        <v>0</v>
      </c>
      <c r="AJ9" s="80" cm="1">
        <f t="array" ref="AJ9">SUMPRODUCT((Uploaded_Data!$D$2:$D$59696="Production Transfers")*(Uploaded_Data!$E$2:$E$59696="South Mine to Pile (through Crusher)")*(Uploaded_Data!$F$2:$F$59696="LGHMGO")*(Uploaded_Data!$H$2:$H$59696=$A9)*Uploaded_Data!$N$2:$N$59696)</f>
        <v>0</v>
      </c>
      <c r="AK9" s="80" cm="1">
        <f t="array" ref="AK9">SUMPRODUCT((Uploaded_Data!$D$2:$D$59696="Production Transfers")*(Uploaded_Data!$E$2:$E$59696="South Mine to Direct Pile (Bypass Crusher)")*(Uploaded_Data!$F$2:$F$59696="LGHMGO")*(Uploaded_Data!$H$2:$H$59696=$A9)*Uploaded_Data!$N$2:$N$59696)</f>
        <v>0</v>
      </c>
      <c r="AL9" s="80" cm="1">
        <f t="array" ref="AL9">SUMPRODUCT((Uploaded_Data!$D$2:$D$59696="Production Transfers")*(Uploaded_Data!$E$2:$E$59696="South Mine to Stock Yard")*(Uploaded_Data!$F$2:$F$59696="LGHMGO")*(Uploaded_Data!$H$2:$H$59696=$A9)*Uploaded_Data!$N$2:$N$59696)</f>
        <v>0</v>
      </c>
      <c r="AM9" s="80" cm="1">
        <f t="array" ref="AM9">SUMPRODUCT((Uploaded_Data!$D$2:$D$59696="Internal Transfers")*(Uploaded_Data!$E$2:$E$59696="Stock Yard to Pile (through Crusher)")*(Uploaded_Data!$F$2:$F$59696="LGHMGO")*(Uploaded_Data!$H$2:$H$59696=$A9)*Uploaded_Data!$N$2:$N$59696)</f>
        <v>0</v>
      </c>
      <c r="AN9" s="102">
        <f t="shared" si="0"/>
        <v>3740.3599999999997</v>
      </c>
      <c r="AO9" s="108"/>
      <c r="AP9" s="109" cm="1">
        <f t="array" ref="AP9">SUMPRODUCT((Uploaded_Data!$D$2:$D$59696="Internal Transfers")*(Uploaded_Data!$E$2:$E$59696="Stock Yard to Pile (through Crusher)")*(Uploaded_Data!$F$2:$F$59696="GYPSUM")*(Uploaded_Data!$H$2:$H$59696=$A9)*Uploaded_Data!$N$2:$N$59696)</f>
        <v>0</v>
      </c>
      <c r="AQ9" s="109" cm="1">
        <f t="array" ref="AQ9">SUMPRODUCT((Uploaded_Data!$D$2:$D$59696="Internal Transfers")*(Uploaded_Data!$E$2:$E$59696="Stock Yard to Direct Pile (Bypass Crusher)")*(Uploaded_Data!$F$2:$F$59696="GYPSUM")*(Uploaded_Data!$H$2:$H$59696=$A9)*Uploaded_Data!$N$2:$N$59696)</f>
        <v>0</v>
      </c>
      <c r="AR9" s="109" cm="1">
        <f t="array" ref="AR9">SUMPRODUCT((Uploaded_Data!$D$2:$D$59696="Internal Transfers")*(Uploaded_Data!$E$2:$E$59696="Stock Yard to Other Usages")*(Uploaded_Data!$F$2:$F$59696="ID Clay")*(Uploaded_Data!$H$2:$H$59696=$A9)*Uploaded_Data!$N$2:$N$59696)</f>
        <v>0</v>
      </c>
      <c r="AS9" s="109" cm="1">
        <f t="array" ref="AS9">SUMPRODUCT((Uploaded_Data!$D$2:$D$59696="Internal Transfers")*(Uploaded_Data!$E$2:$E$59696="Stock Yard to Direct Pile (Bypass Crusher)")*(Uploaded_Data!$F$2:$F$59696="ID Clay")*(Uploaded_Data!$H$2:$H$59696=$A9)*Uploaded_Data!$N$2:$N$59696)</f>
        <v>0</v>
      </c>
      <c r="AT9" s="109" cm="1">
        <f t="array" ref="AT9">SUMPRODUCT((Uploaded_Data!$D$2:$D$59696="Production Transfers")*(Uploaded_Data!$E$2:$E$59696="Kijaka Mine to Stock Yard")*(Uploaded_Data!$F$2:$F$59696="ID Clay")*(Uploaded_Data!$H$2:$H$59696=$A9)*Uploaded_Data!$N$2:$N$59696)</f>
        <v>0</v>
      </c>
      <c r="AU9" s="102">
        <f t="shared" si="1"/>
        <v>3740.3599999999997</v>
      </c>
      <c r="AV9" s="109">
        <f t="shared" si="2"/>
        <v>3740.3599999999997</v>
      </c>
      <c r="AW9" s="109"/>
      <c r="AX9" s="109"/>
      <c r="AY9" s="114"/>
      <c r="AZ9" s="110">
        <f t="shared" si="3"/>
        <v>949.69999999999982</v>
      </c>
      <c r="BA9" s="112">
        <f t="shared" si="4"/>
        <v>3740.3599999999997</v>
      </c>
      <c r="BB9" s="110"/>
    </row>
    <row r="10" spans="1:61" s="63" customFormat="1">
      <c r="A10" s="79">
        <v>46118</v>
      </c>
      <c r="B10" s="80" cm="1">
        <f t="array" ref="B10">SUMPRODUCT((Uploaded_Data!$D$2:$D$59696="Production Transfers")*(Uploaded_Data!$E$2:$E$59696="South Mine to Pile (through Crusher)")*(Uploaded_Data!$F$2:$F$59696="HG")*(Uploaded_Data!$H$2:$H$59696=$A10)*Uploaded_Data!$N$2:$N$59696)</f>
        <v>0</v>
      </c>
      <c r="C10" s="80" cm="1">
        <f t="array" ref="C10">SUMPRODUCT((Uploaded_Data!$D$2:$D$59696="Production Transfers")*(Uploaded_Data!$E$2:$E$59696="South Mine to Direct Pile (Bypass Crusher)")*(Uploaded_Data!$F$2:$F$59696="HG")*(Uploaded_Data!$H$2:$H$59696=$A10)*Uploaded_Data!$N$2:$N$59696)</f>
        <v>0</v>
      </c>
      <c r="D10" s="80" cm="1">
        <f t="array" ref="D10">SUMPRODUCT((Uploaded_Data!$D$2:$D$59696="Production Transfers")*(Uploaded_Data!$E$2:$E$59696="South Mine to Stock Yard")*(Uploaded_Data!$F$2:$F$59696="HG")*(Uploaded_Data!$H$2:$H$59696=$A10)*Uploaded_Data!$N$2:$N$59696)</f>
        <v>756.32</v>
      </c>
      <c r="E10" s="80" cm="1">
        <f t="array" ref="E10">SUMPRODUCT((Uploaded_Data!$D$2:$D$59696="Production Transfers")*(Uploaded_Data!$E$2:$E$59696="North Mine to Pile (through Crusher)")*(Uploaded_Data!$F$2:$F$59696="HG")*(Uploaded_Data!$H$2:$H$59696=$A10)*Uploaded_Data!$N$2:$N$59696)</f>
        <v>0</v>
      </c>
      <c r="F10" s="80" cm="1">
        <f t="array" ref="F10">SUMPRODUCT((Uploaded_Data!$D$2:$D$59696="Production Transfers")*(Uploaded_Data!$E$2:$E$59696="North Mine to Direct Pile (Bypass Crusher)")*(Uploaded_Data!$F$2:$F$59696="HG")*(Uploaded_Data!$H$2:$H$59696=$A10)*Uploaded_Data!$N$2:$N$59696)</f>
        <v>0</v>
      </c>
      <c r="G10" s="80" cm="1">
        <f t="array" ref="G10">SUMPRODUCT((Uploaded_Data!$D$2:$D$59696="Production Transfers")*(Uploaded_Data!$E$2:$E$59696="North Mine to Stock Yard")*(Uploaded_Data!$F$2:$F$59696="HG")*(Uploaded_Data!$H$2:$H$59696=$A10)*Uploaded_Data!$N$2:$N$59696)</f>
        <v>0</v>
      </c>
      <c r="H10" s="80" cm="1">
        <f t="array" ref="H10">SUMPRODUCT((Uploaded_Data!$D$2:$D$59696="Internal Transfers")*(Uploaded_Data!$E$2:$E$59696="Stock Yard to Pile (through Crusher)")*(Uploaded_Data!$F$2:$F$59696="HG")*(Uploaded_Data!$H$2:$H$59696=$A10)*Uploaded_Data!$N$2:$N$59696)</f>
        <v>0</v>
      </c>
      <c r="I10" s="80" cm="1">
        <f t="array" ref="I10">SUMPRODUCT((Uploaded_Data!$D$2:$D$59696="Internal Transfers")*(Uploaded_Data!$E$2:$E$59696="Stock Yard to Direct Pile (Bypass Crusher)")*(Uploaded_Data!$F$2:$F$59696="HG")*(Uploaded_Data!$H$2:$H$59696=$A10)*Uploaded_Data!$N$2:$N$59696)</f>
        <v>0</v>
      </c>
      <c r="J10" s="80" cm="1">
        <f t="array" ref="J10">SUMPRODUCT((Uploaded_Data!$D$2:$D$59696="Production Transfers")*(Uploaded_Data!$E$2:$E$59696="South Mine to Pile (through Crusher)")*(Uploaded_Data!$F$2:$F$59696="LG1")*(Uploaded_Data!$H$2:$H$59696=$A10)*Uploaded_Data!$N$2:$N$59696)</f>
        <v>0</v>
      </c>
      <c r="K10" s="80" cm="1">
        <f t="array" ref="K10">SUMPRODUCT((Uploaded_Data!$D$2:$D$59696="Production Transfers")*(Uploaded_Data!$E$2:$E$59696="South Mine to Direct Pile (Bypass Crusher)")*(Uploaded_Data!$F$2:$F$59696="LG1")*(Uploaded_Data!$H$2:$H$59696=$A10)*Uploaded_Data!$N$2:$N$59696)</f>
        <v>420.09999999999997</v>
      </c>
      <c r="L10" s="80" cm="1">
        <f t="array" ref="L10">SUMPRODUCT((Uploaded_Data!$D$2:$D$59696="Production Transfers")*(Uploaded_Data!$E$2:$E$59696="South Mine to Stock Yard")*(Uploaded_Data!$F$2:$F$59696="LG1")*(Uploaded_Data!$H$2:$H$59696=$A10)*Uploaded_Data!$N$2:$N$59696)</f>
        <v>62.120000000000005</v>
      </c>
      <c r="M10" s="80" cm="1">
        <f t="array" ref="M10">SUMPRODUCT((Uploaded_Data!$D$2:$D$59696="Production Transfers")*(Uploaded_Data!$E$2:$E$59696="North Mine to Pile (through Crusher)")*(Uploaded_Data!$F$2:$F$59696="LG1")*(Uploaded_Data!$H$2:$H$59696=$A10)*Uploaded_Data!$N$2:$N$59696)</f>
        <v>0</v>
      </c>
      <c r="N10" s="80" cm="1">
        <f t="array" ref="N10">SUMPRODUCT((Uploaded_Data!$D$2:$D$59696="Production Transfers")*(Uploaded_Data!$E$2:$E$59696="North Mine to Direct Pile (Bypass Crusher)")*(Uploaded_Data!$F$2:$F$59696="LG1")*(Uploaded_Data!$H$2:$H$59696=$A10)*Uploaded_Data!$N$2:$N$59696)</f>
        <v>0</v>
      </c>
      <c r="O10" s="80" cm="1">
        <f t="array" ref="O10">SUMPRODUCT((Uploaded_Data!$D$2:$D$59696="Production Transfers")*(Uploaded_Data!$E$2:$E$59696="North Mine to Stock Yard")*(Uploaded_Data!$F$2:$F$59696="LG1")*(Uploaded_Data!$H$2:$H$59696=$A10)*Uploaded_Data!$N$2:$N$59696)</f>
        <v>0</v>
      </c>
      <c r="P10" s="80" cm="1">
        <f t="array" ref="P10">SUMPRODUCT((Uploaded_Data!$D$2:$D$59696="Internal Transfers")*(Uploaded_Data!$E$2:$E$59696="Stock Yard to Pile (through Crusher)")*(Uploaded_Data!$F$2:$F$59696="LG1")*(Uploaded_Data!$H$2:$H$59696=$A10)*Uploaded_Data!$N$2:$N$59696)</f>
        <v>0</v>
      </c>
      <c r="Q10" s="80" cm="1">
        <f t="array" ref="Q10">SUMPRODUCT((Uploaded_Data!$D$2:$D$59696="Internal Transfers")*(Uploaded_Data!$E$2:$E$59696="Stock Yard to Direct Pile (Bypass Crusher)")*(Uploaded_Data!$F$2:$F$59696="LG1")*(Uploaded_Data!$H$2:$H$59696=$A10)*Uploaded_Data!$N$2:$N$59696)</f>
        <v>0</v>
      </c>
      <c r="R10" s="80" cm="1">
        <f t="array" ref="R10">SUMPRODUCT((Uploaded_Data!$D$2:$D$59696="Internal Transfers")*(Uploaded_Data!$E$2:$E$59696="Stock Yard to Other Usages")*(Uploaded_Data!$F$2:$F$59696="LG1")*(Uploaded_Data!$H$2:$H$59696=$A10)*Uploaded_Data!$N$2:$N$59696)</f>
        <v>0</v>
      </c>
      <c r="S10" s="80" cm="1">
        <f t="array" ref="S10">SUMPRODUCT((Uploaded_Data!$D$2:$D$59696="Internal Transfers")*(Uploaded_Data!$E$2:$E$59696="Stock Yard to Pile (through Crusher)")*(Uploaded_Data!$F$2:$F$59696="LIMESTONE SPG")*(Uploaded_Data!$H$2:$H$59696=$A10)*Uploaded_Data!$N$2:$N$59696)</f>
        <v>0</v>
      </c>
      <c r="T10" s="80" cm="1">
        <f t="array" ref="T10">SUMPRODUCT((Uploaded_Data!$D$2:$D$59696="Internal Transfers")*(Uploaded_Data!$E$2:$E$59696="Stock Yard to Direct Pile (Bypass Crusher)")*(Uploaded_Data!$F$2:$F$59696="LIMESTONE SPG")*(Uploaded_Data!$H$2:$H$59696=$A10)*Uploaded_Data!$N$2:$N$59696)</f>
        <v>0</v>
      </c>
      <c r="U10" s="80" cm="1">
        <f t="array" ref="U10">SUMPRODUCT((Uploaded_Data!$D$2:$D$59696="Production Transfers")*(Uploaded_Data!$E$2:$E$59696="South Mine to Pile (through Crusher)")*(Uploaded_Data!$F$2:$F$59696="OB/CLAY")*(Uploaded_Data!$H$2:$H$59696=$A10)*Uploaded_Data!$N$2:$N$59696)</f>
        <v>0</v>
      </c>
      <c r="V10" s="80" cm="1">
        <f t="array" ref="V10">SUMPRODUCT((Uploaded_Data!$D$2:$D$59696="Production Transfers")*(Uploaded_Data!$E$2:$E$59696="South Mine to Direct Pile (Bypass Crusher)")*(Uploaded_Data!$F$2:$F$59696="OB/CLAY")*(Uploaded_Data!$H$2:$H$59696=$A10)*Uploaded_Data!$N$2:$N$59696)</f>
        <v>0</v>
      </c>
      <c r="W10" s="80" cm="1">
        <f t="array" ref="W10">SUMPRODUCT((Uploaded_Data!$D$2:$D$59696="Production Transfers")*(Uploaded_Data!$E$2:$E$59696="South Mine to Stock Yard")*(Uploaded_Data!$F$2:$F$59696="OB/CLAY")*(Uploaded_Data!$H$2:$H$59696=$A10)*Uploaded_Data!$N$2:$N$59696)</f>
        <v>0</v>
      </c>
      <c r="X10" s="80" cm="1">
        <f t="array" ref="X10">SUMPRODUCT((Uploaded_Data!$D$2:$D$59696="Production Transfers")*(Uploaded_Data!$E$2:$E$59696="South Mine to Golani Waste dump")*(Uploaded_Data!$F$2:$F$59696="WASTE")*(Uploaded_Data!$H$2:$H$59696=$A10)*Uploaded_Data!$N$2:$N$59696)</f>
        <v>0</v>
      </c>
      <c r="Y10" s="80" cm="1">
        <f t="array" ref="Y10">SUMPRODUCT((Uploaded_Data!$D$2:$D$59696="Production Transfers")*(Uploaded_Data!$E$2:$E$59696="North Mine to Pile (through Crusher)")*(Uploaded_Data!$F$2:$F$59696="OB/CLAY")*(Uploaded_Data!$H$2:$H$59696=$A10)*Uploaded_Data!$N$2:$N$59696)</f>
        <v>0</v>
      </c>
      <c r="Z10" s="80" cm="1">
        <f t="array" ref="Z10">SUMPRODUCT((Uploaded_Data!$D$2:$D$59696="Production Transfers")*(Uploaded_Data!$E$2:$E$59696="North Mine to Direct Pile (Bypass Crusher)")*(Uploaded_Data!$F$2:$F$59696="OB/CLAY")*(Uploaded_Data!$H$2:$H$59696=$A10)*Uploaded_Data!$N$2:$N$59696)</f>
        <v>0</v>
      </c>
      <c r="AA10" s="80" cm="1">
        <f t="array" ref="AA10">SUMPRODUCT((Uploaded_Data!$D$2:$D$59696="Production Transfers")*(Uploaded_Data!$E$2:$E$59696="North Mine to Stock Yard")*(Uploaded_Data!$F$2:$F$59696="OB/CLAY")*(Uploaded_Data!$H$2:$H$59696=$A10)*Uploaded_Data!$N$2:$N$59696)</f>
        <v>0</v>
      </c>
      <c r="AB10" s="80" cm="1">
        <f t="array" ref="AB10">SUMPRODUCT((Uploaded_Data!$D$2:$D$59696="Production Transfers")*(Uploaded_Data!$E$2:$E$59696="North Mine to Golani Waste dump")*(Uploaded_Data!$F$2:$F$59696="WASTE")*(Uploaded_Data!$H$2:$H$59696=$A10)*Uploaded_Data!$N$2:$N$59696)</f>
        <v>2220</v>
      </c>
      <c r="AC10" s="80" cm="1">
        <f t="array" ref="AC10">SUMPRODUCT((Uploaded_Data!$D$2:$D$59696="Internal Transfers")*(Uploaded_Data!$E$2:$E$59696="Stock Yard to Pile (through Crusher)")*(Uploaded_Data!$F$2:$F$59696="OB/CLAY")*(Uploaded_Data!$H$2:$H$59696=$A10)*Uploaded_Data!$N$2:$N$59696)</f>
        <v>0</v>
      </c>
      <c r="AD10" s="80" cm="1">
        <f t="array" ref="AD10">SUMPRODUCT((Uploaded_Data!$D$2:$D$59696="Internal Transfers")*(Uploaded_Data!$E$2:$E$59696="Stock Yard to Other Usages")*(Uploaded_Data!$F$2:$F$59696="OB/CLAY")*(Uploaded_Data!$H$2:$H$59696=$A10)*Uploaded_Data!$N$2:$N$59696)</f>
        <v>0</v>
      </c>
      <c r="AE10" s="80" cm="1">
        <f t="array" ref="AE10">SUMPRODUCT((Uploaded_Data!$D$2:$D$59696="Internal Transfers")*(Uploaded_Data!$E$2:$E$59696="Stock Yard to Direct Pile (Bypass Crusher)")*(Uploaded_Data!$F$2:$F$59696="OB/CLAY")*(Uploaded_Data!$H$2:$H$59696=$A10)*Uploaded_Data!$N$2:$N$59696)</f>
        <v>0</v>
      </c>
      <c r="AF10" s="80" cm="1">
        <f t="array" ref="AF10">SUMPRODUCT((Uploaded_Data!$D$2:$D$59696="Production Transfers")*(Uploaded_Data!$E$2:$E$59696="South Mine to Pile (through Crusher)")*(Uploaded_Data!$F$2:$F$59696="HGHMGO")*(Uploaded_Data!$H$2:$H$59696=$A10)*Uploaded_Data!$N$2:$N$59696)</f>
        <v>0</v>
      </c>
      <c r="AG10" s="80" cm="1">
        <f t="array" ref="AG10">SUMPRODUCT((Uploaded_Data!$D$2:$D$59696="Production Transfers")*(Uploaded_Data!$E$2:$E$59696="South Mine to Direct Pile (Bypass Crusher)")*(Uploaded_Data!$F$2:$F$59696="HGHMGO")*(Uploaded_Data!$H$2:$H$59696=$A10)*Uploaded_Data!$N$2:$N$59696)</f>
        <v>0</v>
      </c>
      <c r="AH10" s="80" cm="1">
        <f t="array" ref="AH10">SUMPRODUCT((Uploaded_Data!$D$2:$D$59696="Production Transfers")*(Uploaded_Data!$E$2:$E$59696="South Mine to Stock Yard")*(Uploaded_Data!$F$2:$F$59696="HGHMGO")*(Uploaded_Data!$H$2:$H$59696=$A10)*Uploaded_Data!$N$2:$N$59696)</f>
        <v>0</v>
      </c>
      <c r="AI10" s="80" cm="1">
        <f t="array" ref="AI10">SUMPRODUCT((Uploaded_Data!$D$2:$D$59696="Internal Transfers")*(Uploaded_Data!$E$2:$E$59696="Stock Yard to Pile (through Crusher)")*(Uploaded_Data!$F$2:$F$59696="HGHMGO")*(Uploaded_Data!$H$2:$H$59696=$A10)*Uploaded_Data!$N$2:$N$59696)</f>
        <v>0</v>
      </c>
      <c r="AJ10" s="80" cm="1">
        <f t="array" ref="AJ10">SUMPRODUCT((Uploaded_Data!$D$2:$D$59696="Production Transfers")*(Uploaded_Data!$E$2:$E$59696="South Mine to Pile (through Crusher)")*(Uploaded_Data!$F$2:$F$59696="LGHMGO")*(Uploaded_Data!$H$2:$H$59696=$A10)*Uploaded_Data!$N$2:$N$59696)</f>
        <v>0</v>
      </c>
      <c r="AK10" s="80" cm="1">
        <f t="array" ref="AK10">SUMPRODUCT((Uploaded_Data!$D$2:$D$59696="Production Transfers")*(Uploaded_Data!$E$2:$E$59696="South Mine to Direct Pile (Bypass Crusher)")*(Uploaded_Data!$F$2:$F$59696="LGHMGO")*(Uploaded_Data!$H$2:$H$59696=$A10)*Uploaded_Data!$N$2:$N$59696)</f>
        <v>0</v>
      </c>
      <c r="AL10" s="80" cm="1">
        <f t="array" ref="AL10">SUMPRODUCT((Uploaded_Data!$D$2:$D$59696="Production Transfers")*(Uploaded_Data!$E$2:$E$59696="South Mine to Stock Yard")*(Uploaded_Data!$F$2:$F$59696="LGHMGO")*(Uploaded_Data!$H$2:$H$59696=$A10)*Uploaded_Data!$N$2:$N$59696)</f>
        <v>0</v>
      </c>
      <c r="AM10" s="80" cm="1">
        <f t="array" ref="AM10">SUMPRODUCT((Uploaded_Data!$D$2:$D$59696="Internal Transfers")*(Uploaded_Data!$E$2:$E$59696="Stock Yard to Pile (through Crusher)")*(Uploaded_Data!$F$2:$F$59696="LGHMGO")*(Uploaded_Data!$H$2:$H$59696=$A10)*Uploaded_Data!$N$2:$N$59696)</f>
        <v>0</v>
      </c>
      <c r="AN10" s="102">
        <f t="shared" si="0"/>
        <v>3458.54</v>
      </c>
      <c r="AO10" s="108"/>
      <c r="AP10" s="109" cm="1">
        <f t="array" ref="AP10">SUMPRODUCT((Uploaded_Data!$D$2:$D$59696="Internal Transfers")*(Uploaded_Data!$E$2:$E$59696="Stock Yard to Pile (through Crusher)")*(Uploaded_Data!$F$2:$F$59696="GYPSUM")*(Uploaded_Data!$H$2:$H$59696=$A10)*Uploaded_Data!$N$2:$N$59696)</f>
        <v>0</v>
      </c>
      <c r="AQ10" s="109" cm="1">
        <f t="array" ref="AQ10">SUMPRODUCT((Uploaded_Data!$D$2:$D$59696="Internal Transfers")*(Uploaded_Data!$E$2:$E$59696="Stock Yard to Direct Pile (Bypass Crusher)")*(Uploaded_Data!$F$2:$F$59696="GYPSUM")*(Uploaded_Data!$H$2:$H$59696=$A10)*Uploaded_Data!$N$2:$N$59696)</f>
        <v>0</v>
      </c>
      <c r="AR10" s="109" cm="1">
        <f t="array" ref="AR10">SUMPRODUCT((Uploaded_Data!$D$2:$D$59696="Internal Transfers")*(Uploaded_Data!$E$2:$E$59696="Stock Yard to Other Usages")*(Uploaded_Data!$F$2:$F$59696="ID Clay")*(Uploaded_Data!$H$2:$H$59696=$A10)*Uploaded_Data!$N$2:$N$59696)</f>
        <v>0</v>
      </c>
      <c r="AS10" s="109" cm="1">
        <f t="array" ref="AS10">SUMPRODUCT((Uploaded_Data!$D$2:$D$59696="Internal Transfers")*(Uploaded_Data!$E$2:$E$59696="Stock Yard to Direct Pile (Bypass Crusher)")*(Uploaded_Data!$F$2:$F$59696="ID Clay")*(Uploaded_Data!$H$2:$H$59696=$A10)*Uploaded_Data!$N$2:$N$59696)</f>
        <v>0</v>
      </c>
      <c r="AT10" s="109" cm="1">
        <f t="array" ref="AT10">SUMPRODUCT((Uploaded_Data!$D$2:$D$59696="Production Transfers")*(Uploaded_Data!$E$2:$E$59696="Kijaka Mine to Stock Yard")*(Uploaded_Data!$F$2:$F$59696="ID Clay")*(Uploaded_Data!$H$2:$H$59696=$A10)*Uploaded_Data!$N$2:$N$59696)</f>
        <v>0</v>
      </c>
      <c r="AU10" s="102">
        <f t="shared" si="1"/>
        <v>3458.54</v>
      </c>
      <c r="AV10" s="109">
        <f t="shared" si="2"/>
        <v>1238.54</v>
      </c>
      <c r="AW10" s="109"/>
      <c r="AX10" s="109"/>
      <c r="AY10" s="114"/>
      <c r="AZ10" s="110">
        <f t="shared" si="3"/>
        <v>0</v>
      </c>
      <c r="BA10" s="112">
        <f t="shared" si="4"/>
        <v>3458.54</v>
      </c>
      <c r="BB10" s="110"/>
    </row>
    <row r="11" spans="1:61" s="63" customFormat="1">
      <c r="A11" s="79">
        <v>46119</v>
      </c>
      <c r="B11" s="80" cm="1">
        <f t="array" ref="B11">SUMPRODUCT((Uploaded_Data!$D$2:$D$59696="Production Transfers")*(Uploaded_Data!$E$2:$E$59696="South Mine to Pile (through Crusher)")*(Uploaded_Data!$F$2:$F$59696="HG")*(Uploaded_Data!$H$2:$H$59696=$A11)*Uploaded_Data!$N$2:$N$59696)</f>
        <v>122.32</v>
      </c>
      <c r="C11" s="80" cm="1">
        <f t="array" ref="C11">SUMPRODUCT((Uploaded_Data!$D$2:$D$59696="Production Transfers")*(Uploaded_Data!$E$2:$E$59696="South Mine to Direct Pile (Bypass Crusher)")*(Uploaded_Data!$F$2:$F$59696="HG")*(Uploaded_Data!$H$2:$H$59696=$A11)*Uploaded_Data!$N$2:$N$59696)</f>
        <v>0</v>
      </c>
      <c r="D11" s="80" cm="1">
        <f t="array" ref="D11">SUMPRODUCT((Uploaded_Data!$D$2:$D$59696="Production Transfers")*(Uploaded_Data!$E$2:$E$59696="South Mine to Stock Yard")*(Uploaded_Data!$F$2:$F$59696="HG")*(Uploaded_Data!$H$2:$H$59696=$A11)*Uploaded_Data!$N$2:$N$59696)</f>
        <v>102.1</v>
      </c>
      <c r="E11" s="80" cm="1">
        <f t="array" ref="E11">SUMPRODUCT((Uploaded_Data!$D$2:$D$59696="Production Transfers")*(Uploaded_Data!$E$2:$E$59696="North Mine to Pile (through Crusher)")*(Uploaded_Data!$F$2:$F$59696="HG")*(Uploaded_Data!$H$2:$H$59696=$A11)*Uploaded_Data!$N$2:$N$59696)</f>
        <v>443.80000000000013</v>
      </c>
      <c r="F11" s="80" cm="1">
        <f t="array" ref="F11">SUMPRODUCT((Uploaded_Data!$D$2:$D$59696="Production Transfers")*(Uploaded_Data!$E$2:$E$59696="North Mine to Direct Pile (Bypass Crusher)")*(Uploaded_Data!$F$2:$F$59696="HG")*(Uploaded_Data!$H$2:$H$59696=$A11)*Uploaded_Data!$N$2:$N$59696)</f>
        <v>0</v>
      </c>
      <c r="G11" s="80" cm="1">
        <f t="array" ref="G11">SUMPRODUCT((Uploaded_Data!$D$2:$D$59696="Production Transfers")*(Uploaded_Data!$E$2:$E$59696="North Mine to Stock Yard")*(Uploaded_Data!$F$2:$F$59696="HG")*(Uploaded_Data!$H$2:$H$59696=$A11)*Uploaded_Data!$N$2:$N$59696)</f>
        <v>0</v>
      </c>
      <c r="H11" s="80" cm="1">
        <f t="array" ref="H11">SUMPRODUCT((Uploaded_Data!$D$2:$D$59696="Internal Transfers")*(Uploaded_Data!$E$2:$E$59696="Stock Yard to Pile (through Crusher)")*(Uploaded_Data!$F$2:$F$59696="HG")*(Uploaded_Data!$H$2:$H$59696=$A11)*Uploaded_Data!$N$2:$N$59696)</f>
        <v>1270.9000000000003</v>
      </c>
      <c r="I11" s="80" cm="1">
        <f t="array" ref="I11">SUMPRODUCT((Uploaded_Data!$D$2:$D$59696="Internal Transfers")*(Uploaded_Data!$E$2:$E$59696="Stock Yard to Direct Pile (Bypass Crusher)")*(Uploaded_Data!$F$2:$F$59696="HG")*(Uploaded_Data!$H$2:$H$59696=$A11)*Uploaded_Data!$N$2:$N$59696)</f>
        <v>0</v>
      </c>
      <c r="J11" s="80" cm="1">
        <f t="array" ref="J11">SUMPRODUCT((Uploaded_Data!$D$2:$D$59696="Production Transfers")*(Uploaded_Data!$E$2:$E$59696="South Mine to Pile (through Crusher)")*(Uploaded_Data!$F$2:$F$59696="LG1")*(Uploaded_Data!$H$2:$H$59696=$A11)*Uploaded_Data!$N$2:$N$59696)</f>
        <v>493.16000000000008</v>
      </c>
      <c r="K11" s="80" cm="1">
        <f t="array" ref="K11">SUMPRODUCT((Uploaded_Data!$D$2:$D$59696="Production Transfers")*(Uploaded_Data!$E$2:$E$59696="South Mine to Direct Pile (Bypass Crusher)")*(Uploaded_Data!$F$2:$F$59696="LG1")*(Uploaded_Data!$H$2:$H$59696=$A11)*Uploaded_Data!$N$2:$N$59696)</f>
        <v>0</v>
      </c>
      <c r="L11" s="80" cm="1">
        <f t="array" ref="L11">SUMPRODUCT((Uploaded_Data!$D$2:$D$59696="Production Transfers")*(Uploaded_Data!$E$2:$E$59696="South Mine to Stock Yard")*(Uploaded_Data!$F$2:$F$59696="LG1")*(Uploaded_Data!$H$2:$H$59696=$A11)*Uploaded_Data!$N$2:$N$59696)</f>
        <v>0</v>
      </c>
      <c r="M11" s="80" cm="1">
        <f t="array" ref="M11">SUMPRODUCT((Uploaded_Data!$D$2:$D$59696="Production Transfers")*(Uploaded_Data!$E$2:$E$59696="North Mine to Pile (through Crusher)")*(Uploaded_Data!$F$2:$F$59696="LG1")*(Uploaded_Data!$H$2:$H$59696=$A11)*Uploaded_Data!$N$2:$N$59696)</f>
        <v>0</v>
      </c>
      <c r="N11" s="80" cm="1">
        <f t="array" ref="N11">SUMPRODUCT((Uploaded_Data!$D$2:$D$59696="Production Transfers")*(Uploaded_Data!$E$2:$E$59696="North Mine to Direct Pile (Bypass Crusher)")*(Uploaded_Data!$F$2:$F$59696="LG1")*(Uploaded_Data!$H$2:$H$59696=$A11)*Uploaded_Data!$N$2:$N$59696)</f>
        <v>0</v>
      </c>
      <c r="O11" s="80" cm="1">
        <f t="array" ref="O11">SUMPRODUCT((Uploaded_Data!$D$2:$D$59696="Production Transfers")*(Uploaded_Data!$E$2:$E$59696="North Mine to Stock Yard")*(Uploaded_Data!$F$2:$F$59696="LG1")*(Uploaded_Data!$H$2:$H$59696=$A11)*Uploaded_Data!$N$2:$N$59696)</f>
        <v>0</v>
      </c>
      <c r="P11" s="80" cm="1">
        <f t="array" ref="P11">SUMPRODUCT((Uploaded_Data!$D$2:$D$59696="Internal Transfers")*(Uploaded_Data!$E$2:$E$59696="Stock Yard to Pile (through Crusher)")*(Uploaded_Data!$F$2:$F$59696="LG1")*(Uploaded_Data!$H$2:$H$59696=$A11)*Uploaded_Data!$N$2:$N$59696)</f>
        <v>953.43999999999994</v>
      </c>
      <c r="Q11" s="80" cm="1">
        <f t="array" ref="Q11">SUMPRODUCT((Uploaded_Data!$D$2:$D$59696="Internal Transfers")*(Uploaded_Data!$E$2:$E$59696="Stock Yard to Direct Pile (Bypass Crusher)")*(Uploaded_Data!$F$2:$F$59696="LG1")*(Uploaded_Data!$H$2:$H$59696=$A11)*Uploaded_Data!$N$2:$N$59696)</f>
        <v>0</v>
      </c>
      <c r="R11" s="80" cm="1">
        <f t="array" ref="R11">SUMPRODUCT((Uploaded_Data!$D$2:$D$59696="Internal Transfers")*(Uploaded_Data!$E$2:$E$59696="Stock Yard to Other Usages")*(Uploaded_Data!$F$2:$F$59696="LG1")*(Uploaded_Data!$H$2:$H$59696=$A11)*Uploaded_Data!$N$2:$N$59696)</f>
        <v>0</v>
      </c>
      <c r="S11" s="80" cm="1">
        <f t="array" ref="S11">SUMPRODUCT((Uploaded_Data!$D$2:$D$59696="Internal Transfers")*(Uploaded_Data!$E$2:$E$59696="Stock Yard to Pile (through Crusher)")*(Uploaded_Data!$F$2:$F$59696="LIMESTONE SPG")*(Uploaded_Data!$H$2:$H$59696=$A11)*Uploaded_Data!$N$2:$N$59696)</f>
        <v>0</v>
      </c>
      <c r="T11" s="80" cm="1">
        <f t="array" ref="T11">SUMPRODUCT((Uploaded_Data!$D$2:$D$59696="Internal Transfers")*(Uploaded_Data!$E$2:$E$59696="Stock Yard to Direct Pile (Bypass Crusher)")*(Uploaded_Data!$F$2:$F$59696="LIMESTONE SPG")*(Uploaded_Data!$H$2:$H$59696=$A11)*Uploaded_Data!$N$2:$N$59696)</f>
        <v>0</v>
      </c>
      <c r="U11" s="80" cm="1">
        <f t="array" ref="U11">SUMPRODUCT((Uploaded_Data!$D$2:$D$59696="Production Transfers")*(Uploaded_Data!$E$2:$E$59696="South Mine to Pile (through Crusher)")*(Uploaded_Data!$F$2:$F$59696="OB/CLAY")*(Uploaded_Data!$H$2:$H$59696=$A11)*Uploaded_Data!$N$2:$N$59696)</f>
        <v>0</v>
      </c>
      <c r="V11" s="80" cm="1">
        <f t="array" ref="V11">SUMPRODUCT((Uploaded_Data!$D$2:$D$59696="Production Transfers")*(Uploaded_Data!$E$2:$E$59696="South Mine to Direct Pile (Bypass Crusher)")*(Uploaded_Data!$F$2:$F$59696="OB/CLAY")*(Uploaded_Data!$H$2:$H$59696=$A11)*Uploaded_Data!$N$2:$N$59696)</f>
        <v>0</v>
      </c>
      <c r="W11" s="80" cm="1">
        <f t="array" ref="W11">SUMPRODUCT((Uploaded_Data!$D$2:$D$59696="Production Transfers")*(Uploaded_Data!$E$2:$E$59696="South Mine to Stock Yard")*(Uploaded_Data!$F$2:$F$59696="OB/CLAY")*(Uploaded_Data!$H$2:$H$59696=$A11)*Uploaded_Data!$N$2:$N$59696)</f>
        <v>0</v>
      </c>
      <c r="X11" s="80" cm="1">
        <f t="array" ref="X11">SUMPRODUCT((Uploaded_Data!$D$2:$D$59696="Production Transfers")*(Uploaded_Data!$E$2:$E$59696="South Mine to Golani Waste dump")*(Uploaded_Data!$F$2:$F$59696="WASTE")*(Uploaded_Data!$H$2:$H$59696=$A11)*Uploaded_Data!$N$2:$N$59696)</f>
        <v>0</v>
      </c>
      <c r="Y11" s="80" cm="1">
        <f t="array" ref="Y11">SUMPRODUCT((Uploaded_Data!$D$2:$D$59696="Production Transfers")*(Uploaded_Data!$E$2:$E$59696="North Mine to Pile (through Crusher)")*(Uploaded_Data!$F$2:$F$59696="OB/CLAY")*(Uploaded_Data!$H$2:$H$59696=$A11)*Uploaded_Data!$N$2:$N$59696)</f>
        <v>0</v>
      </c>
      <c r="Z11" s="80" cm="1">
        <f t="array" ref="Z11">SUMPRODUCT((Uploaded_Data!$D$2:$D$59696="Production Transfers")*(Uploaded_Data!$E$2:$E$59696="North Mine to Direct Pile (Bypass Crusher)")*(Uploaded_Data!$F$2:$F$59696="OB/CLAY")*(Uploaded_Data!$H$2:$H$59696=$A11)*Uploaded_Data!$N$2:$N$59696)</f>
        <v>0</v>
      </c>
      <c r="AA11" s="80" cm="1">
        <f t="array" ref="AA11">SUMPRODUCT((Uploaded_Data!$D$2:$D$59696="Production Transfers")*(Uploaded_Data!$E$2:$E$59696="North Mine to Stock Yard")*(Uploaded_Data!$F$2:$F$59696="OB/CLAY")*(Uploaded_Data!$H$2:$H$59696=$A11)*Uploaded_Data!$N$2:$N$59696)</f>
        <v>0</v>
      </c>
      <c r="AB11" s="80" cm="1">
        <f t="array" ref="AB11">SUMPRODUCT((Uploaded_Data!$D$2:$D$59696="Production Transfers")*(Uploaded_Data!$E$2:$E$59696="North Mine to Golani Waste dump")*(Uploaded_Data!$F$2:$F$59696="WASTE")*(Uploaded_Data!$H$2:$H$59696=$A11)*Uploaded_Data!$N$2:$N$59696)</f>
        <v>1420</v>
      </c>
      <c r="AC11" s="80" cm="1">
        <f t="array" ref="AC11">SUMPRODUCT((Uploaded_Data!$D$2:$D$59696="Internal Transfers")*(Uploaded_Data!$E$2:$E$59696="Stock Yard to Pile (through Crusher)")*(Uploaded_Data!$F$2:$F$59696="OB/CLAY")*(Uploaded_Data!$H$2:$H$59696=$A11)*Uploaded_Data!$N$2:$N$59696)</f>
        <v>0</v>
      </c>
      <c r="AD11" s="80" cm="1">
        <f t="array" ref="AD11">SUMPRODUCT((Uploaded_Data!$D$2:$D$59696="Internal Transfers")*(Uploaded_Data!$E$2:$E$59696="Stock Yard to Other Usages")*(Uploaded_Data!$F$2:$F$59696="OB/CLAY")*(Uploaded_Data!$H$2:$H$59696=$A11)*Uploaded_Data!$N$2:$N$59696)</f>
        <v>0</v>
      </c>
      <c r="AE11" s="80" cm="1">
        <f t="array" ref="AE11">SUMPRODUCT((Uploaded_Data!$D$2:$D$59696="Internal Transfers")*(Uploaded_Data!$E$2:$E$59696="Stock Yard to Direct Pile (Bypass Crusher)")*(Uploaded_Data!$F$2:$F$59696="OB/CLAY")*(Uploaded_Data!$H$2:$H$59696=$A11)*Uploaded_Data!$N$2:$N$59696)</f>
        <v>0</v>
      </c>
      <c r="AF11" s="80" cm="1">
        <f t="array" ref="AF11">SUMPRODUCT((Uploaded_Data!$D$2:$D$59696="Production Transfers")*(Uploaded_Data!$E$2:$E$59696="South Mine to Pile (through Crusher)")*(Uploaded_Data!$F$2:$F$59696="HGHMGO")*(Uploaded_Data!$H$2:$H$59696=$A11)*Uploaded_Data!$N$2:$N$59696)</f>
        <v>0</v>
      </c>
      <c r="AG11" s="80" cm="1">
        <f t="array" ref="AG11">SUMPRODUCT((Uploaded_Data!$D$2:$D$59696="Production Transfers")*(Uploaded_Data!$E$2:$E$59696="South Mine to Direct Pile (Bypass Crusher)")*(Uploaded_Data!$F$2:$F$59696="HGHMGO")*(Uploaded_Data!$H$2:$H$59696=$A11)*Uploaded_Data!$N$2:$N$59696)</f>
        <v>0</v>
      </c>
      <c r="AH11" s="80" cm="1">
        <f t="array" ref="AH11">SUMPRODUCT((Uploaded_Data!$D$2:$D$59696="Production Transfers")*(Uploaded_Data!$E$2:$E$59696="South Mine to Stock Yard")*(Uploaded_Data!$F$2:$F$59696="HGHMGO")*(Uploaded_Data!$H$2:$H$59696=$A11)*Uploaded_Data!$N$2:$N$59696)</f>
        <v>0</v>
      </c>
      <c r="AI11" s="80" cm="1">
        <f t="array" ref="AI11">SUMPRODUCT((Uploaded_Data!$D$2:$D$59696="Internal Transfers")*(Uploaded_Data!$E$2:$E$59696="Stock Yard to Pile (through Crusher)")*(Uploaded_Data!$F$2:$F$59696="HGHMGO")*(Uploaded_Data!$H$2:$H$59696=$A11)*Uploaded_Data!$N$2:$N$59696)</f>
        <v>0</v>
      </c>
      <c r="AJ11" s="80" cm="1">
        <f t="array" ref="AJ11">SUMPRODUCT((Uploaded_Data!$D$2:$D$59696="Production Transfers")*(Uploaded_Data!$E$2:$E$59696="South Mine to Pile (through Crusher)")*(Uploaded_Data!$F$2:$F$59696="LGHMGO")*(Uploaded_Data!$H$2:$H$59696=$A11)*Uploaded_Data!$N$2:$N$59696)</f>
        <v>0</v>
      </c>
      <c r="AK11" s="80" cm="1">
        <f t="array" ref="AK11">SUMPRODUCT((Uploaded_Data!$D$2:$D$59696="Production Transfers")*(Uploaded_Data!$E$2:$E$59696="South Mine to Direct Pile (Bypass Crusher)")*(Uploaded_Data!$F$2:$F$59696="LGHMGO")*(Uploaded_Data!$H$2:$H$59696=$A11)*Uploaded_Data!$N$2:$N$59696)</f>
        <v>0</v>
      </c>
      <c r="AL11" s="80" cm="1">
        <f t="array" ref="AL11">SUMPRODUCT((Uploaded_Data!$D$2:$D$59696="Production Transfers")*(Uploaded_Data!$E$2:$E$59696="South Mine to Stock Yard")*(Uploaded_Data!$F$2:$F$59696="LGHMGO")*(Uploaded_Data!$H$2:$H$59696=$A11)*Uploaded_Data!$N$2:$N$59696)</f>
        <v>0</v>
      </c>
      <c r="AM11" s="80" cm="1">
        <f t="array" ref="AM11">SUMPRODUCT((Uploaded_Data!$D$2:$D$59696="Internal Transfers")*(Uploaded_Data!$E$2:$E$59696="Stock Yard to Pile (through Crusher)")*(Uploaded_Data!$F$2:$F$59696="LGHMGO")*(Uploaded_Data!$H$2:$H$59696=$A11)*Uploaded_Data!$N$2:$N$59696)</f>
        <v>0</v>
      </c>
      <c r="AN11" s="102">
        <f t="shared" si="0"/>
        <v>4805.7200000000012</v>
      </c>
      <c r="AO11" s="108"/>
      <c r="AP11" s="109" cm="1">
        <f t="array" ref="AP11">SUMPRODUCT((Uploaded_Data!$D$2:$D$59696="Internal Transfers")*(Uploaded_Data!$E$2:$E$59696="Stock Yard to Pile (through Crusher)")*(Uploaded_Data!$F$2:$F$59696="GYPSUM")*(Uploaded_Data!$H$2:$H$59696=$A11)*Uploaded_Data!$N$2:$N$59696)</f>
        <v>0</v>
      </c>
      <c r="AQ11" s="109" cm="1">
        <f t="array" ref="AQ11">SUMPRODUCT((Uploaded_Data!$D$2:$D$59696="Internal Transfers")*(Uploaded_Data!$E$2:$E$59696="Stock Yard to Direct Pile (Bypass Crusher)")*(Uploaded_Data!$F$2:$F$59696="GYPSUM")*(Uploaded_Data!$H$2:$H$59696=$A11)*Uploaded_Data!$N$2:$N$59696)</f>
        <v>0</v>
      </c>
      <c r="AR11" s="109" cm="1">
        <f t="array" ref="AR11">SUMPRODUCT((Uploaded_Data!$D$2:$D$59696="Internal Transfers")*(Uploaded_Data!$E$2:$E$59696="Stock Yard to Other Usages")*(Uploaded_Data!$F$2:$F$59696="ID Clay")*(Uploaded_Data!$H$2:$H$59696=$A11)*Uploaded_Data!$N$2:$N$59696)</f>
        <v>0</v>
      </c>
      <c r="AS11" s="109" cm="1">
        <f t="array" ref="AS11">SUMPRODUCT((Uploaded_Data!$D$2:$D$59696="Internal Transfers")*(Uploaded_Data!$E$2:$E$59696="Stock Yard to Direct Pile (Bypass Crusher)")*(Uploaded_Data!$F$2:$F$59696="ID Clay")*(Uploaded_Data!$H$2:$H$59696=$A11)*Uploaded_Data!$N$2:$N$59696)</f>
        <v>0</v>
      </c>
      <c r="AT11" s="109" cm="1">
        <f t="array" ref="AT11">SUMPRODUCT((Uploaded_Data!$D$2:$D$59696="Production Transfers")*(Uploaded_Data!$E$2:$E$59696="Kijaka Mine to Stock Yard")*(Uploaded_Data!$F$2:$F$59696="ID Clay")*(Uploaded_Data!$H$2:$H$59696=$A11)*Uploaded_Data!$N$2:$N$59696)</f>
        <v>0</v>
      </c>
      <c r="AU11" s="102">
        <f t="shared" si="1"/>
        <v>4805.7200000000012</v>
      </c>
      <c r="AV11" s="109">
        <f t="shared" si="2"/>
        <v>3385.7200000000012</v>
      </c>
      <c r="AW11" s="109"/>
      <c r="AX11" s="109"/>
      <c r="AY11" s="114"/>
      <c r="AZ11" s="110">
        <f t="shared" si="3"/>
        <v>3283.6200000000003</v>
      </c>
      <c r="BA11" s="112">
        <f t="shared" si="4"/>
        <v>4805.7200000000012</v>
      </c>
      <c r="BB11" s="110"/>
    </row>
    <row r="12" spans="1:61" s="63" customFormat="1">
      <c r="A12" s="79">
        <v>46120</v>
      </c>
      <c r="B12" s="80" cm="1">
        <f t="array" ref="B12">SUMPRODUCT((Uploaded_Data!$D$2:$D$59696="Production Transfers")*(Uploaded_Data!$E$2:$E$59696="South Mine to Pile (through Crusher)")*(Uploaded_Data!$F$2:$F$59696="HG")*(Uploaded_Data!$H$2:$H$59696=$A12)*Uploaded_Data!$N$2:$N$59696)</f>
        <v>0</v>
      </c>
      <c r="C12" s="80" cm="1">
        <f t="array" ref="C12">SUMPRODUCT((Uploaded_Data!$D$2:$D$59696="Production Transfers")*(Uploaded_Data!$E$2:$E$59696="South Mine to Direct Pile (Bypass Crusher)")*(Uploaded_Data!$F$2:$F$59696="HG")*(Uploaded_Data!$H$2:$H$59696=$A12)*Uploaded_Data!$N$2:$N$59696)</f>
        <v>0</v>
      </c>
      <c r="D12" s="80" cm="1">
        <f t="array" ref="D12">SUMPRODUCT((Uploaded_Data!$D$2:$D$59696="Production Transfers")*(Uploaded_Data!$E$2:$E$59696="South Mine to Stock Yard")*(Uploaded_Data!$F$2:$F$59696="HG")*(Uploaded_Data!$H$2:$H$59696=$A12)*Uploaded_Data!$N$2:$N$59696)</f>
        <v>776.51999999999987</v>
      </c>
      <c r="E12" s="80" cm="1">
        <f t="array" ref="E12">SUMPRODUCT((Uploaded_Data!$D$2:$D$59696="Production Transfers")*(Uploaded_Data!$E$2:$E$59696="North Mine to Pile (through Crusher)")*(Uploaded_Data!$F$2:$F$59696="HG")*(Uploaded_Data!$H$2:$H$59696=$A12)*Uploaded_Data!$N$2:$N$59696)</f>
        <v>0</v>
      </c>
      <c r="F12" s="80" cm="1">
        <f t="array" ref="F12">SUMPRODUCT((Uploaded_Data!$D$2:$D$59696="Production Transfers")*(Uploaded_Data!$E$2:$E$59696="North Mine to Direct Pile (Bypass Crusher)")*(Uploaded_Data!$F$2:$F$59696="HG")*(Uploaded_Data!$H$2:$H$59696=$A12)*Uploaded_Data!$N$2:$N$59696)</f>
        <v>0</v>
      </c>
      <c r="G12" s="80" cm="1">
        <f t="array" ref="G12">SUMPRODUCT((Uploaded_Data!$D$2:$D$59696="Production Transfers")*(Uploaded_Data!$E$2:$E$59696="North Mine to Stock Yard")*(Uploaded_Data!$F$2:$F$59696="HG")*(Uploaded_Data!$H$2:$H$59696=$A12)*Uploaded_Data!$N$2:$N$59696)</f>
        <v>0</v>
      </c>
      <c r="H12" s="80" cm="1">
        <f t="array" ref="H12">SUMPRODUCT((Uploaded_Data!$D$2:$D$59696="Internal Transfers")*(Uploaded_Data!$E$2:$E$59696="Stock Yard to Pile (through Crusher)")*(Uploaded_Data!$F$2:$F$59696="HG")*(Uploaded_Data!$H$2:$H$59696=$A12)*Uploaded_Data!$N$2:$N$59696)</f>
        <v>588.57999999999993</v>
      </c>
      <c r="I12" s="80" cm="1">
        <f t="array" ref="I12">SUMPRODUCT((Uploaded_Data!$D$2:$D$59696="Internal Transfers")*(Uploaded_Data!$E$2:$E$59696="Stock Yard to Direct Pile (Bypass Crusher)")*(Uploaded_Data!$F$2:$F$59696="HG")*(Uploaded_Data!$H$2:$H$59696=$A12)*Uploaded_Data!$N$2:$N$59696)</f>
        <v>0</v>
      </c>
      <c r="J12" s="80" cm="1">
        <f t="array" ref="J12">SUMPRODUCT((Uploaded_Data!$D$2:$D$59696="Production Transfers")*(Uploaded_Data!$E$2:$E$59696="South Mine to Pile (through Crusher)")*(Uploaded_Data!$F$2:$F$59696="LG1")*(Uploaded_Data!$H$2:$H$59696=$A12)*Uploaded_Data!$N$2:$N$59696)</f>
        <v>0</v>
      </c>
      <c r="K12" s="80" cm="1">
        <f t="array" ref="K12">SUMPRODUCT((Uploaded_Data!$D$2:$D$59696="Production Transfers")*(Uploaded_Data!$E$2:$E$59696="South Mine to Direct Pile (Bypass Crusher)")*(Uploaded_Data!$F$2:$F$59696="LG1")*(Uploaded_Data!$H$2:$H$59696=$A12)*Uploaded_Data!$N$2:$N$59696)</f>
        <v>0</v>
      </c>
      <c r="L12" s="80" cm="1">
        <f t="array" ref="L12">SUMPRODUCT((Uploaded_Data!$D$2:$D$59696="Production Transfers")*(Uploaded_Data!$E$2:$E$59696="South Mine to Stock Yard")*(Uploaded_Data!$F$2:$F$59696="LG1")*(Uploaded_Data!$H$2:$H$59696=$A12)*Uploaded_Data!$N$2:$N$59696)</f>
        <v>0</v>
      </c>
      <c r="M12" s="80" cm="1">
        <f t="array" ref="M12">SUMPRODUCT((Uploaded_Data!$D$2:$D$59696="Production Transfers")*(Uploaded_Data!$E$2:$E$59696="North Mine to Pile (through Crusher)")*(Uploaded_Data!$F$2:$F$59696="LG1")*(Uploaded_Data!$H$2:$H$59696=$A12)*Uploaded_Data!$N$2:$N$59696)</f>
        <v>0</v>
      </c>
      <c r="N12" s="80" cm="1">
        <f t="array" ref="N12">SUMPRODUCT((Uploaded_Data!$D$2:$D$59696="Production Transfers")*(Uploaded_Data!$E$2:$E$59696="North Mine to Direct Pile (Bypass Crusher)")*(Uploaded_Data!$F$2:$F$59696="LG1")*(Uploaded_Data!$H$2:$H$59696=$A12)*Uploaded_Data!$N$2:$N$59696)</f>
        <v>0</v>
      </c>
      <c r="O12" s="80" cm="1">
        <f t="array" ref="O12">SUMPRODUCT((Uploaded_Data!$D$2:$D$59696="Production Transfers")*(Uploaded_Data!$E$2:$E$59696="North Mine to Stock Yard")*(Uploaded_Data!$F$2:$F$59696="LG1")*(Uploaded_Data!$H$2:$H$59696=$A12)*Uploaded_Data!$N$2:$N$59696)</f>
        <v>0</v>
      </c>
      <c r="P12" s="80" cm="1">
        <f t="array" ref="P12">SUMPRODUCT((Uploaded_Data!$D$2:$D$59696="Internal Transfers")*(Uploaded_Data!$E$2:$E$59696="Stock Yard to Pile (through Crusher)")*(Uploaded_Data!$F$2:$F$59696="LG1")*(Uploaded_Data!$H$2:$H$59696=$A12)*Uploaded_Data!$N$2:$N$59696)</f>
        <v>2411.2199999999984</v>
      </c>
      <c r="Q12" s="80" cm="1">
        <f t="array" ref="Q12">SUMPRODUCT((Uploaded_Data!$D$2:$D$59696="Internal Transfers")*(Uploaded_Data!$E$2:$E$59696="Stock Yard to Direct Pile (Bypass Crusher)")*(Uploaded_Data!$F$2:$F$59696="LG1")*(Uploaded_Data!$H$2:$H$59696=$A12)*Uploaded_Data!$N$2:$N$59696)</f>
        <v>0</v>
      </c>
      <c r="R12" s="80" cm="1">
        <f t="array" ref="R12">SUMPRODUCT((Uploaded_Data!$D$2:$D$59696="Internal Transfers")*(Uploaded_Data!$E$2:$E$59696="Stock Yard to Other Usages")*(Uploaded_Data!$F$2:$F$59696="LG1")*(Uploaded_Data!$H$2:$H$59696=$A12)*Uploaded_Data!$N$2:$N$59696)</f>
        <v>0</v>
      </c>
      <c r="S12" s="80" cm="1">
        <f t="array" ref="S12">SUMPRODUCT((Uploaded_Data!$D$2:$D$59696="Internal Transfers")*(Uploaded_Data!$E$2:$E$59696="Stock Yard to Pile (through Crusher)")*(Uploaded_Data!$F$2:$F$59696="LIMESTONE SPG")*(Uploaded_Data!$H$2:$H$59696=$A12)*Uploaded_Data!$N$2:$N$59696)</f>
        <v>0</v>
      </c>
      <c r="T12" s="80" cm="1">
        <f t="array" ref="T12">SUMPRODUCT((Uploaded_Data!$D$2:$D$59696="Internal Transfers")*(Uploaded_Data!$E$2:$E$59696="Stock Yard to Direct Pile (Bypass Crusher)")*(Uploaded_Data!$F$2:$F$59696="LIMESTONE SPG")*(Uploaded_Data!$H$2:$H$59696=$A12)*Uploaded_Data!$N$2:$N$59696)</f>
        <v>0</v>
      </c>
      <c r="U12" s="80" cm="1">
        <f t="array" ref="U12">SUMPRODUCT((Uploaded_Data!$D$2:$D$59696="Production Transfers")*(Uploaded_Data!$E$2:$E$59696="South Mine to Pile (through Crusher)")*(Uploaded_Data!$F$2:$F$59696="OB/CLAY")*(Uploaded_Data!$H$2:$H$59696=$A12)*Uploaded_Data!$N$2:$N$59696)</f>
        <v>0</v>
      </c>
      <c r="V12" s="80" cm="1">
        <f t="array" ref="V12">SUMPRODUCT((Uploaded_Data!$D$2:$D$59696="Production Transfers")*(Uploaded_Data!$E$2:$E$59696="South Mine to Direct Pile (Bypass Crusher)")*(Uploaded_Data!$F$2:$F$59696="OB/CLAY")*(Uploaded_Data!$H$2:$H$59696=$A12)*Uploaded_Data!$N$2:$N$59696)</f>
        <v>0</v>
      </c>
      <c r="W12" s="80" cm="1">
        <f t="array" ref="W12">SUMPRODUCT((Uploaded_Data!$D$2:$D$59696="Production Transfers")*(Uploaded_Data!$E$2:$E$59696="South Mine to Stock Yard")*(Uploaded_Data!$F$2:$F$59696="OB/CLAY")*(Uploaded_Data!$H$2:$H$59696=$A12)*Uploaded_Data!$N$2:$N$59696)</f>
        <v>0</v>
      </c>
      <c r="X12" s="80" cm="1">
        <f t="array" ref="X12">SUMPRODUCT((Uploaded_Data!$D$2:$D$59696="Production Transfers")*(Uploaded_Data!$E$2:$E$59696="South Mine to Golani Waste dump")*(Uploaded_Data!$F$2:$F$59696="WASTE")*(Uploaded_Data!$H$2:$H$59696=$A12)*Uploaded_Data!$N$2:$N$59696)</f>
        <v>0</v>
      </c>
      <c r="Y12" s="80" cm="1">
        <f t="array" ref="Y12">SUMPRODUCT((Uploaded_Data!$D$2:$D$59696="Production Transfers")*(Uploaded_Data!$E$2:$E$59696="North Mine to Pile (through Crusher)")*(Uploaded_Data!$F$2:$F$59696="OB/CLAY")*(Uploaded_Data!$H$2:$H$59696=$A12)*Uploaded_Data!$N$2:$N$59696)</f>
        <v>0</v>
      </c>
      <c r="Z12" s="80" cm="1">
        <f t="array" ref="Z12">SUMPRODUCT((Uploaded_Data!$D$2:$D$59696="Production Transfers")*(Uploaded_Data!$E$2:$E$59696="North Mine to Direct Pile (Bypass Crusher)")*(Uploaded_Data!$F$2:$F$59696="OB/CLAY")*(Uploaded_Data!$H$2:$H$59696=$A12)*Uploaded_Data!$N$2:$N$59696)</f>
        <v>0</v>
      </c>
      <c r="AA12" s="80" cm="1">
        <f t="array" ref="AA12">SUMPRODUCT((Uploaded_Data!$D$2:$D$59696="Production Transfers")*(Uploaded_Data!$E$2:$E$59696="North Mine to Stock Yard")*(Uploaded_Data!$F$2:$F$59696="OB/CLAY")*(Uploaded_Data!$H$2:$H$59696=$A12)*Uploaded_Data!$N$2:$N$59696)</f>
        <v>0</v>
      </c>
      <c r="AB12" s="80" cm="1">
        <f t="array" ref="AB12">SUMPRODUCT((Uploaded_Data!$D$2:$D$59696="Production Transfers")*(Uploaded_Data!$E$2:$E$59696="North Mine to Golani Waste dump")*(Uploaded_Data!$F$2:$F$59696="WASTE")*(Uploaded_Data!$H$2:$H$59696=$A12)*Uploaded_Data!$N$2:$N$59696)</f>
        <v>0</v>
      </c>
      <c r="AC12" s="80" cm="1">
        <f t="array" ref="AC12">SUMPRODUCT((Uploaded_Data!$D$2:$D$59696="Internal Transfers")*(Uploaded_Data!$E$2:$E$59696="Stock Yard to Pile (through Crusher)")*(Uploaded_Data!$F$2:$F$59696="OB/CLAY")*(Uploaded_Data!$H$2:$H$59696=$A12)*Uploaded_Data!$N$2:$N$59696)</f>
        <v>0</v>
      </c>
      <c r="AD12" s="80" cm="1">
        <f t="array" ref="AD12">SUMPRODUCT((Uploaded_Data!$D$2:$D$59696="Internal Transfers")*(Uploaded_Data!$E$2:$E$59696="Stock Yard to Other Usages")*(Uploaded_Data!$F$2:$F$59696="OB/CLAY")*(Uploaded_Data!$H$2:$H$59696=$A12)*Uploaded_Data!$N$2:$N$59696)</f>
        <v>0</v>
      </c>
      <c r="AE12" s="80" cm="1">
        <f t="array" ref="AE12">SUMPRODUCT((Uploaded_Data!$D$2:$D$59696="Internal Transfers")*(Uploaded_Data!$E$2:$E$59696="Stock Yard to Direct Pile (Bypass Crusher)")*(Uploaded_Data!$F$2:$F$59696="OB/CLAY")*(Uploaded_Data!$H$2:$H$59696=$A12)*Uploaded_Data!$N$2:$N$59696)</f>
        <v>0</v>
      </c>
      <c r="AF12" s="80" cm="1">
        <f t="array" ref="AF12">SUMPRODUCT((Uploaded_Data!$D$2:$D$59696="Production Transfers")*(Uploaded_Data!$E$2:$E$59696="South Mine to Pile (through Crusher)")*(Uploaded_Data!$F$2:$F$59696="HGHMGO")*(Uploaded_Data!$H$2:$H$59696=$A12)*Uploaded_Data!$N$2:$N$59696)</f>
        <v>0</v>
      </c>
      <c r="AG12" s="80" cm="1">
        <f t="array" ref="AG12">SUMPRODUCT((Uploaded_Data!$D$2:$D$59696="Production Transfers")*(Uploaded_Data!$E$2:$E$59696="South Mine to Direct Pile (Bypass Crusher)")*(Uploaded_Data!$F$2:$F$59696="HGHMGO")*(Uploaded_Data!$H$2:$H$59696=$A12)*Uploaded_Data!$N$2:$N$59696)</f>
        <v>0</v>
      </c>
      <c r="AH12" s="80" cm="1">
        <f t="array" ref="AH12">SUMPRODUCT((Uploaded_Data!$D$2:$D$59696="Production Transfers")*(Uploaded_Data!$E$2:$E$59696="South Mine to Stock Yard")*(Uploaded_Data!$F$2:$F$59696="HGHMGO")*(Uploaded_Data!$H$2:$H$59696=$A12)*Uploaded_Data!$N$2:$N$59696)</f>
        <v>0</v>
      </c>
      <c r="AI12" s="80" cm="1">
        <f t="array" ref="AI12">SUMPRODUCT((Uploaded_Data!$D$2:$D$59696="Internal Transfers")*(Uploaded_Data!$E$2:$E$59696="Stock Yard to Pile (through Crusher)")*(Uploaded_Data!$F$2:$F$59696="HGHMGO")*(Uploaded_Data!$H$2:$H$59696=$A12)*Uploaded_Data!$N$2:$N$59696)</f>
        <v>0</v>
      </c>
      <c r="AJ12" s="80" cm="1">
        <f t="array" ref="AJ12">SUMPRODUCT((Uploaded_Data!$D$2:$D$59696="Production Transfers")*(Uploaded_Data!$E$2:$E$59696="South Mine to Pile (through Crusher)")*(Uploaded_Data!$F$2:$F$59696="LGHMGO")*(Uploaded_Data!$H$2:$H$59696=$A12)*Uploaded_Data!$N$2:$N$59696)</f>
        <v>0</v>
      </c>
      <c r="AK12" s="80" cm="1">
        <f t="array" ref="AK12">SUMPRODUCT((Uploaded_Data!$D$2:$D$59696="Production Transfers")*(Uploaded_Data!$E$2:$E$59696="South Mine to Direct Pile (Bypass Crusher)")*(Uploaded_Data!$F$2:$F$59696="LGHMGO")*(Uploaded_Data!$H$2:$H$59696=$A12)*Uploaded_Data!$N$2:$N$59696)</f>
        <v>0</v>
      </c>
      <c r="AL12" s="80" cm="1">
        <f t="array" ref="AL12">SUMPRODUCT((Uploaded_Data!$D$2:$D$59696="Production Transfers")*(Uploaded_Data!$E$2:$E$59696="South Mine to Stock Yard")*(Uploaded_Data!$F$2:$F$59696="LGHMGO")*(Uploaded_Data!$H$2:$H$59696=$A12)*Uploaded_Data!$N$2:$N$59696)</f>
        <v>0</v>
      </c>
      <c r="AM12" s="80" cm="1">
        <f t="array" ref="AM12">SUMPRODUCT((Uploaded_Data!$D$2:$D$59696="Internal Transfers")*(Uploaded_Data!$E$2:$E$59696="Stock Yard to Pile (through Crusher)")*(Uploaded_Data!$F$2:$F$59696="LGHMGO")*(Uploaded_Data!$H$2:$H$59696=$A12)*Uploaded_Data!$N$2:$N$59696)</f>
        <v>0</v>
      </c>
      <c r="AN12" s="102">
        <f t="shared" si="0"/>
        <v>3776.3199999999983</v>
      </c>
      <c r="AO12" s="108"/>
      <c r="AP12" s="109" cm="1">
        <f t="array" ref="AP12">SUMPRODUCT((Uploaded_Data!$D$2:$D$59696="Internal Transfers")*(Uploaded_Data!$E$2:$E$59696="Stock Yard to Pile (through Crusher)")*(Uploaded_Data!$F$2:$F$59696="GYPSUM")*(Uploaded_Data!$H$2:$H$59696=$A12)*Uploaded_Data!$N$2:$N$59696)</f>
        <v>0</v>
      </c>
      <c r="AQ12" s="109" cm="1">
        <f t="array" ref="AQ12">SUMPRODUCT((Uploaded_Data!$D$2:$D$59696="Internal Transfers")*(Uploaded_Data!$E$2:$E$59696="Stock Yard to Direct Pile (Bypass Crusher)")*(Uploaded_Data!$F$2:$F$59696="GYPSUM")*(Uploaded_Data!$H$2:$H$59696=$A12)*Uploaded_Data!$N$2:$N$59696)</f>
        <v>0</v>
      </c>
      <c r="AR12" s="109" cm="1">
        <f t="array" ref="AR12">SUMPRODUCT((Uploaded_Data!$D$2:$D$59696="Internal Transfers")*(Uploaded_Data!$E$2:$E$59696="Stock Yard to Other Usages")*(Uploaded_Data!$F$2:$F$59696="ID Clay")*(Uploaded_Data!$H$2:$H$59696=$A12)*Uploaded_Data!$N$2:$N$59696)</f>
        <v>0</v>
      </c>
      <c r="AS12" s="109" cm="1">
        <f t="array" ref="AS12">SUMPRODUCT((Uploaded_Data!$D$2:$D$59696="Internal Transfers")*(Uploaded_Data!$E$2:$E$59696="Stock Yard to Direct Pile (Bypass Crusher)")*(Uploaded_Data!$F$2:$F$59696="ID Clay")*(Uploaded_Data!$H$2:$H$59696=$A12)*Uploaded_Data!$N$2:$N$59696)</f>
        <v>0</v>
      </c>
      <c r="AT12" s="109" cm="1">
        <f t="array" ref="AT12">SUMPRODUCT((Uploaded_Data!$D$2:$D$59696="Production Transfers")*(Uploaded_Data!$E$2:$E$59696="Kijaka Mine to Stock Yard")*(Uploaded_Data!$F$2:$F$59696="ID Clay")*(Uploaded_Data!$H$2:$H$59696=$A12)*Uploaded_Data!$N$2:$N$59696)</f>
        <v>0</v>
      </c>
      <c r="AU12" s="102">
        <f t="shared" si="1"/>
        <v>3776.3199999999983</v>
      </c>
      <c r="AV12" s="109">
        <f t="shared" si="2"/>
        <v>3776.3199999999983</v>
      </c>
      <c r="AW12" s="109"/>
      <c r="AX12" s="109"/>
      <c r="AY12" s="114"/>
      <c r="AZ12" s="110">
        <f t="shared" si="3"/>
        <v>2999.7999999999984</v>
      </c>
      <c r="BA12" s="112">
        <f t="shared" si="4"/>
        <v>3776.3199999999983</v>
      </c>
      <c r="BB12" s="110"/>
    </row>
    <row r="13" spans="1:61" s="63" customFormat="1">
      <c r="A13" s="79">
        <v>46121</v>
      </c>
      <c r="B13" s="80" cm="1">
        <f t="array" ref="B13">SUMPRODUCT((Uploaded_Data!$D$2:$D$59696="Production Transfers")*(Uploaded_Data!$E$2:$E$59696="South Mine to Pile (through Crusher)")*(Uploaded_Data!$F$2:$F$59696="HG")*(Uploaded_Data!$H$2:$H$59696=$A13)*Uploaded_Data!$N$2:$N$59696)</f>
        <v>0</v>
      </c>
      <c r="C13" s="80" cm="1">
        <f t="array" ref="C13">SUMPRODUCT((Uploaded_Data!$D$2:$D$59696="Production Transfers")*(Uploaded_Data!$E$2:$E$59696="South Mine to Direct Pile (Bypass Crusher)")*(Uploaded_Data!$F$2:$F$59696="HG")*(Uploaded_Data!$H$2:$H$59696=$A13)*Uploaded_Data!$N$2:$N$59696)</f>
        <v>0</v>
      </c>
      <c r="D13" s="80" cm="1">
        <f t="array" ref="D13">SUMPRODUCT((Uploaded_Data!$D$2:$D$59696="Production Transfers")*(Uploaded_Data!$E$2:$E$59696="South Mine to Stock Yard")*(Uploaded_Data!$F$2:$F$59696="HG")*(Uploaded_Data!$H$2:$H$59696=$A13)*Uploaded_Data!$N$2:$N$59696)</f>
        <v>0</v>
      </c>
      <c r="E13" s="80" cm="1">
        <f t="array" ref="E13">SUMPRODUCT((Uploaded_Data!$D$2:$D$59696="Production Transfers")*(Uploaded_Data!$E$2:$E$59696="North Mine to Pile (through Crusher)")*(Uploaded_Data!$F$2:$F$59696="HG")*(Uploaded_Data!$H$2:$H$59696=$A13)*Uploaded_Data!$N$2:$N$59696)</f>
        <v>0</v>
      </c>
      <c r="F13" s="80" cm="1">
        <f t="array" ref="F13">SUMPRODUCT((Uploaded_Data!$D$2:$D$59696="Production Transfers")*(Uploaded_Data!$E$2:$E$59696="North Mine to Direct Pile (Bypass Crusher)")*(Uploaded_Data!$F$2:$F$59696="HG")*(Uploaded_Data!$H$2:$H$59696=$A13)*Uploaded_Data!$N$2:$N$59696)</f>
        <v>0</v>
      </c>
      <c r="G13" s="80" cm="1">
        <f t="array" ref="G13">SUMPRODUCT((Uploaded_Data!$D$2:$D$59696="Production Transfers")*(Uploaded_Data!$E$2:$E$59696="North Mine to Stock Yard")*(Uploaded_Data!$F$2:$F$59696="HG")*(Uploaded_Data!$H$2:$H$59696=$A13)*Uploaded_Data!$N$2:$N$59696)</f>
        <v>0</v>
      </c>
      <c r="H13" s="80" cm="1">
        <f t="array" ref="H13">SUMPRODUCT((Uploaded_Data!$D$2:$D$59696="Internal Transfers")*(Uploaded_Data!$E$2:$E$59696="Stock Yard to Pile (through Crusher)")*(Uploaded_Data!$F$2:$F$59696="HG")*(Uploaded_Data!$H$2:$H$59696=$A13)*Uploaded_Data!$N$2:$N$59696)</f>
        <v>0</v>
      </c>
      <c r="I13" s="80" cm="1">
        <f t="array" ref="I13">SUMPRODUCT((Uploaded_Data!$D$2:$D$59696="Internal Transfers")*(Uploaded_Data!$E$2:$E$59696="Stock Yard to Direct Pile (Bypass Crusher)")*(Uploaded_Data!$F$2:$F$59696="HG")*(Uploaded_Data!$H$2:$H$59696=$A13)*Uploaded_Data!$N$2:$N$59696)</f>
        <v>0</v>
      </c>
      <c r="J13" s="80" cm="1">
        <f t="array" ref="J13">SUMPRODUCT((Uploaded_Data!$D$2:$D$59696="Production Transfers")*(Uploaded_Data!$E$2:$E$59696="South Mine to Pile (through Crusher)")*(Uploaded_Data!$F$2:$F$59696="LG1")*(Uploaded_Data!$H$2:$H$59696=$A13)*Uploaded_Data!$N$2:$N$59696)</f>
        <v>0</v>
      </c>
      <c r="K13" s="80" cm="1">
        <f t="array" ref="K13">SUMPRODUCT((Uploaded_Data!$D$2:$D$59696="Production Transfers")*(Uploaded_Data!$E$2:$E$59696="South Mine to Direct Pile (Bypass Crusher)")*(Uploaded_Data!$F$2:$F$59696="LG1")*(Uploaded_Data!$H$2:$H$59696=$A13)*Uploaded_Data!$N$2:$N$59696)</f>
        <v>0</v>
      </c>
      <c r="L13" s="80" cm="1">
        <f t="array" ref="L13">SUMPRODUCT((Uploaded_Data!$D$2:$D$59696="Production Transfers")*(Uploaded_Data!$E$2:$E$59696="South Mine to Stock Yard")*(Uploaded_Data!$F$2:$F$59696="LG1")*(Uploaded_Data!$H$2:$H$59696=$A13)*Uploaded_Data!$N$2:$N$59696)</f>
        <v>0</v>
      </c>
      <c r="M13" s="80" cm="1">
        <f t="array" ref="M13">SUMPRODUCT((Uploaded_Data!$D$2:$D$59696="Production Transfers")*(Uploaded_Data!$E$2:$E$59696="North Mine to Pile (through Crusher)")*(Uploaded_Data!$F$2:$F$59696="LG1")*(Uploaded_Data!$H$2:$H$59696=$A13)*Uploaded_Data!$N$2:$N$59696)</f>
        <v>192.62</v>
      </c>
      <c r="N13" s="80" cm="1">
        <f t="array" ref="N13">SUMPRODUCT((Uploaded_Data!$D$2:$D$59696="Production Transfers")*(Uploaded_Data!$E$2:$E$59696="North Mine to Direct Pile (Bypass Crusher)")*(Uploaded_Data!$F$2:$F$59696="LG1")*(Uploaded_Data!$H$2:$H$59696=$A13)*Uploaded_Data!$N$2:$N$59696)</f>
        <v>0</v>
      </c>
      <c r="O13" s="80" cm="1">
        <f t="array" ref="O13">SUMPRODUCT((Uploaded_Data!$D$2:$D$59696="Production Transfers")*(Uploaded_Data!$E$2:$E$59696="North Mine to Stock Yard")*(Uploaded_Data!$F$2:$F$59696="LG1")*(Uploaded_Data!$H$2:$H$59696=$A13)*Uploaded_Data!$N$2:$N$59696)</f>
        <v>0</v>
      </c>
      <c r="P13" s="80" cm="1">
        <f t="array" ref="P13">SUMPRODUCT((Uploaded_Data!$D$2:$D$59696="Internal Transfers")*(Uploaded_Data!$E$2:$E$59696="Stock Yard to Pile (through Crusher)")*(Uploaded_Data!$F$2:$F$59696="LG1")*(Uploaded_Data!$H$2:$H$59696=$A13)*Uploaded_Data!$N$2:$N$59696)</f>
        <v>2844.76</v>
      </c>
      <c r="Q13" s="80" cm="1">
        <f t="array" ref="Q13">SUMPRODUCT((Uploaded_Data!$D$2:$D$59696="Internal Transfers")*(Uploaded_Data!$E$2:$E$59696="Stock Yard to Direct Pile (Bypass Crusher)")*(Uploaded_Data!$F$2:$F$59696="LG1")*(Uploaded_Data!$H$2:$H$59696=$A13)*Uploaded_Data!$N$2:$N$59696)</f>
        <v>120</v>
      </c>
      <c r="R13" s="80" cm="1">
        <f t="array" ref="R13">SUMPRODUCT((Uploaded_Data!$D$2:$D$59696="Internal Transfers")*(Uploaded_Data!$E$2:$E$59696="Stock Yard to Other Usages")*(Uploaded_Data!$F$2:$F$59696="LG1")*(Uploaded_Data!$H$2:$H$59696=$A13)*Uploaded_Data!$N$2:$N$59696)</f>
        <v>0</v>
      </c>
      <c r="S13" s="80" cm="1">
        <f t="array" ref="S13">SUMPRODUCT((Uploaded_Data!$D$2:$D$59696="Internal Transfers")*(Uploaded_Data!$E$2:$E$59696="Stock Yard to Pile (through Crusher)")*(Uploaded_Data!$F$2:$F$59696="LIMESTONE SPG")*(Uploaded_Data!$H$2:$H$59696=$A13)*Uploaded_Data!$N$2:$N$59696)</f>
        <v>0</v>
      </c>
      <c r="T13" s="80" cm="1">
        <f t="array" ref="T13">SUMPRODUCT((Uploaded_Data!$D$2:$D$59696="Internal Transfers")*(Uploaded_Data!$E$2:$E$59696="Stock Yard to Direct Pile (Bypass Crusher)")*(Uploaded_Data!$F$2:$F$59696="LIMESTONE SPG")*(Uploaded_Data!$H$2:$H$59696=$A13)*Uploaded_Data!$N$2:$N$59696)</f>
        <v>0</v>
      </c>
      <c r="U13" s="80" cm="1">
        <f t="array" ref="U13">SUMPRODUCT((Uploaded_Data!$D$2:$D$59696="Production Transfers")*(Uploaded_Data!$E$2:$E$59696="South Mine to Pile (through Crusher)")*(Uploaded_Data!$F$2:$F$59696="OB/CLAY")*(Uploaded_Data!$H$2:$H$59696=$A13)*Uploaded_Data!$N$2:$N$59696)</f>
        <v>0</v>
      </c>
      <c r="V13" s="80" cm="1">
        <f t="array" ref="V13">SUMPRODUCT((Uploaded_Data!$D$2:$D$59696="Production Transfers")*(Uploaded_Data!$E$2:$E$59696="South Mine to Direct Pile (Bypass Crusher)")*(Uploaded_Data!$F$2:$F$59696="OB/CLAY")*(Uploaded_Data!$H$2:$H$59696=$A13)*Uploaded_Data!$N$2:$N$59696)</f>
        <v>0</v>
      </c>
      <c r="W13" s="80" cm="1">
        <f t="array" ref="W13">SUMPRODUCT((Uploaded_Data!$D$2:$D$59696="Production Transfers")*(Uploaded_Data!$E$2:$E$59696="South Mine to Stock Yard")*(Uploaded_Data!$F$2:$F$59696="OB/CLAY")*(Uploaded_Data!$H$2:$H$59696=$A13)*Uploaded_Data!$N$2:$N$59696)</f>
        <v>0</v>
      </c>
      <c r="X13" s="80" cm="1">
        <f t="array" ref="X13">SUMPRODUCT((Uploaded_Data!$D$2:$D$59696="Production Transfers")*(Uploaded_Data!$E$2:$E$59696="South Mine to Golani Waste dump")*(Uploaded_Data!$F$2:$F$59696="WASTE")*(Uploaded_Data!$H$2:$H$59696=$A13)*Uploaded_Data!$N$2:$N$59696)</f>
        <v>0</v>
      </c>
      <c r="Y13" s="80" cm="1">
        <f t="array" ref="Y13">SUMPRODUCT((Uploaded_Data!$D$2:$D$59696="Production Transfers")*(Uploaded_Data!$E$2:$E$59696="North Mine to Pile (through Crusher)")*(Uploaded_Data!$F$2:$F$59696="OB/CLAY")*(Uploaded_Data!$H$2:$H$59696=$A13)*Uploaded_Data!$N$2:$N$59696)</f>
        <v>0</v>
      </c>
      <c r="Z13" s="80" cm="1">
        <f t="array" ref="Z13">SUMPRODUCT((Uploaded_Data!$D$2:$D$59696="Production Transfers")*(Uploaded_Data!$E$2:$E$59696="North Mine to Direct Pile (Bypass Crusher)")*(Uploaded_Data!$F$2:$F$59696="OB/CLAY")*(Uploaded_Data!$H$2:$H$59696=$A13)*Uploaded_Data!$N$2:$N$59696)</f>
        <v>0</v>
      </c>
      <c r="AA13" s="80" cm="1">
        <f t="array" ref="AA13">SUMPRODUCT((Uploaded_Data!$D$2:$D$59696="Production Transfers")*(Uploaded_Data!$E$2:$E$59696="North Mine to Stock Yard")*(Uploaded_Data!$F$2:$F$59696="OB/CLAY")*(Uploaded_Data!$H$2:$H$59696=$A13)*Uploaded_Data!$N$2:$N$59696)</f>
        <v>0</v>
      </c>
      <c r="AB13" s="80" cm="1">
        <f t="array" ref="AB13">SUMPRODUCT((Uploaded_Data!$D$2:$D$59696="Production Transfers")*(Uploaded_Data!$E$2:$E$59696="North Mine to Golani Waste dump")*(Uploaded_Data!$F$2:$F$59696="WASTE")*(Uploaded_Data!$H$2:$H$59696=$A13)*Uploaded_Data!$N$2:$N$59696)</f>
        <v>0</v>
      </c>
      <c r="AC13" s="80" cm="1">
        <f t="array" ref="AC13">SUMPRODUCT((Uploaded_Data!$D$2:$D$59696="Internal Transfers")*(Uploaded_Data!$E$2:$E$59696="Stock Yard to Pile (through Crusher)")*(Uploaded_Data!$F$2:$F$59696="OB/CLAY")*(Uploaded_Data!$H$2:$H$59696=$A13)*Uploaded_Data!$N$2:$N$59696)</f>
        <v>0</v>
      </c>
      <c r="AD13" s="80" cm="1">
        <f t="array" ref="AD13">SUMPRODUCT((Uploaded_Data!$D$2:$D$59696="Internal Transfers")*(Uploaded_Data!$E$2:$E$59696="Stock Yard to Other Usages")*(Uploaded_Data!$F$2:$F$59696="OB/CLAY")*(Uploaded_Data!$H$2:$H$59696=$A13)*Uploaded_Data!$N$2:$N$59696)</f>
        <v>0</v>
      </c>
      <c r="AE13" s="80" cm="1">
        <f t="array" ref="AE13">SUMPRODUCT((Uploaded_Data!$D$2:$D$59696="Internal Transfers")*(Uploaded_Data!$E$2:$E$59696="Stock Yard to Direct Pile (Bypass Crusher)")*(Uploaded_Data!$F$2:$F$59696="OB/CLAY")*(Uploaded_Data!$H$2:$H$59696=$A13)*Uploaded_Data!$N$2:$N$59696)</f>
        <v>0</v>
      </c>
      <c r="AF13" s="80" cm="1">
        <f t="array" ref="AF13">SUMPRODUCT((Uploaded_Data!$D$2:$D$59696="Production Transfers")*(Uploaded_Data!$E$2:$E$59696="South Mine to Pile (through Crusher)")*(Uploaded_Data!$F$2:$F$59696="HGHMGO")*(Uploaded_Data!$H$2:$H$59696=$A13)*Uploaded_Data!$N$2:$N$59696)</f>
        <v>0</v>
      </c>
      <c r="AG13" s="80" cm="1">
        <f t="array" ref="AG13">SUMPRODUCT((Uploaded_Data!$D$2:$D$59696="Production Transfers")*(Uploaded_Data!$E$2:$E$59696="South Mine to Direct Pile (Bypass Crusher)")*(Uploaded_Data!$F$2:$F$59696="HGHMGO")*(Uploaded_Data!$H$2:$H$59696=$A13)*Uploaded_Data!$N$2:$N$59696)</f>
        <v>0</v>
      </c>
      <c r="AH13" s="80" cm="1">
        <f t="array" ref="AH13">SUMPRODUCT((Uploaded_Data!$D$2:$D$59696="Production Transfers")*(Uploaded_Data!$E$2:$E$59696="South Mine to Stock Yard")*(Uploaded_Data!$F$2:$F$59696="HGHMGO")*(Uploaded_Data!$H$2:$H$59696=$A13)*Uploaded_Data!$N$2:$N$59696)</f>
        <v>0</v>
      </c>
      <c r="AI13" s="80" cm="1">
        <f t="array" ref="AI13">SUMPRODUCT((Uploaded_Data!$D$2:$D$59696="Internal Transfers")*(Uploaded_Data!$E$2:$E$59696="Stock Yard to Pile (through Crusher)")*(Uploaded_Data!$F$2:$F$59696="HGHMGO")*(Uploaded_Data!$H$2:$H$59696=$A13)*Uploaded_Data!$N$2:$N$59696)</f>
        <v>0</v>
      </c>
      <c r="AJ13" s="80" cm="1">
        <f t="array" ref="AJ13">SUMPRODUCT((Uploaded_Data!$D$2:$D$59696="Production Transfers")*(Uploaded_Data!$E$2:$E$59696="South Mine to Pile (through Crusher)")*(Uploaded_Data!$F$2:$F$59696="LGHMGO")*(Uploaded_Data!$H$2:$H$59696=$A13)*Uploaded_Data!$N$2:$N$59696)</f>
        <v>0</v>
      </c>
      <c r="AK13" s="80" cm="1">
        <f t="array" ref="AK13">SUMPRODUCT((Uploaded_Data!$D$2:$D$59696="Production Transfers")*(Uploaded_Data!$E$2:$E$59696="South Mine to Direct Pile (Bypass Crusher)")*(Uploaded_Data!$F$2:$F$59696="LGHMGO")*(Uploaded_Data!$H$2:$H$59696=$A13)*Uploaded_Data!$N$2:$N$59696)</f>
        <v>0</v>
      </c>
      <c r="AL13" s="80" cm="1">
        <f t="array" ref="AL13">SUMPRODUCT((Uploaded_Data!$D$2:$D$59696="Production Transfers")*(Uploaded_Data!$E$2:$E$59696="South Mine to Stock Yard")*(Uploaded_Data!$F$2:$F$59696="LGHMGO")*(Uploaded_Data!$H$2:$H$59696=$A13)*Uploaded_Data!$N$2:$N$59696)</f>
        <v>0</v>
      </c>
      <c r="AM13" s="80" cm="1">
        <f t="array" ref="AM13">SUMPRODUCT((Uploaded_Data!$D$2:$D$59696="Internal Transfers")*(Uploaded_Data!$E$2:$E$59696="Stock Yard to Pile (through Crusher)")*(Uploaded_Data!$F$2:$F$59696="LGHMGO")*(Uploaded_Data!$H$2:$H$59696=$A13)*Uploaded_Data!$N$2:$N$59696)</f>
        <v>0</v>
      </c>
      <c r="AN13" s="102">
        <f t="shared" si="0"/>
        <v>3157.38</v>
      </c>
      <c r="AO13" s="108"/>
      <c r="AP13" s="109" cm="1">
        <f t="array" ref="AP13">SUMPRODUCT((Uploaded_Data!$D$2:$D$59696="Internal Transfers")*(Uploaded_Data!$E$2:$E$59696="Stock Yard to Pile (through Crusher)")*(Uploaded_Data!$F$2:$F$59696="GYPSUM")*(Uploaded_Data!$H$2:$H$59696=$A13)*Uploaded_Data!$N$2:$N$59696)</f>
        <v>0</v>
      </c>
      <c r="AQ13" s="109" cm="1">
        <f t="array" ref="AQ13">SUMPRODUCT((Uploaded_Data!$D$2:$D$59696="Internal Transfers")*(Uploaded_Data!$E$2:$E$59696="Stock Yard to Direct Pile (Bypass Crusher)")*(Uploaded_Data!$F$2:$F$59696="GYPSUM")*(Uploaded_Data!$H$2:$H$59696=$A13)*Uploaded_Data!$N$2:$N$59696)</f>
        <v>0</v>
      </c>
      <c r="AR13" s="109" cm="1">
        <f t="array" ref="AR13">SUMPRODUCT((Uploaded_Data!$D$2:$D$59696="Internal Transfers")*(Uploaded_Data!$E$2:$E$59696="Stock Yard to Other Usages")*(Uploaded_Data!$F$2:$F$59696="ID Clay")*(Uploaded_Data!$H$2:$H$59696=$A13)*Uploaded_Data!$N$2:$N$59696)</f>
        <v>0</v>
      </c>
      <c r="AS13" s="109" cm="1">
        <f t="array" ref="AS13">SUMPRODUCT((Uploaded_Data!$D$2:$D$59696="Internal Transfers")*(Uploaded_Data!$E$2:$E$59696="Stock Yard to Direct Pile (Bypass Crusher)")*(Uploaded_Data!$F$2:$F$59696="ID Clay")*(Uploaded_Data!$H$2:$H$59696=$A13)*Uploaded_Data!$N$2:$N$59696)</f>
        <v>0</v>
      </c>
      <c r="AT13" s="109" cm="1">
        <f t="array" ref="AT13">SUMPRODUCT((Uploaded_Data!$D$2:$D$59696="Production Transfers")*(Uploaded_Data!$E$2:$E$59696="Kijaka Mine to Stock Yard")*(Uploaded_Data!$F$2:$F$59696="ID Clay")*(Uploaded_Data!$H$2:$H$59696=$A13)*Uploaded_Data!$N$2:$N$59696)</f>
        <v>0</v>
      </c>
      <c r="AU13" s="102">
        <f t="shared" si="1"/>
        <v>3157.38</v>
      </c>
      <c r="AV13" s="109">
        <f t="shared" si="2"/>
        <v>3157.38</v>
      </c>
      <c r="AW13" s="109"/>
      <c r="AX13" s="109"/>
      <c r="AY13" s="114"/>
      <c r="AZ13" s="110">
        <f t="shared" si="3"/>
        <v>3037.38</v>
      </c>
      <c r="BA13" s="112">
        <f t="shared" si="4"/>
        <v>3157.38</v>
      </c>
      <c r="BB13" s="110"/>
    </row>
    <row r="14" spans="1:61" s="63" customFormat="1">
      <c r="A14" s="79">
        <v>46122</v>
      </c>
      <c r="B14" s="80" cm="1">
        <f t="array" ref="B14">SUMPRODUCT((Uploaded_Data!$D$2:$D$59696="Production Transfers")*(Uploaded_Data!$E$2:$E$59696="South Mine to Pile (through Crusher)")*(Uploaded_Data!$F$2:$F$59696="HG")*(Uploaded_Data!$H$2:$H$59696=$A14)*Uploaded_Data!$N$2:$N$59696)</f>
        <v>0</v>
      </c>
      <c r="C14" s="80" cm="1">
        <f t="array" ref="C14">SUMPRODUCT((Uploaded_Data!$D$2:$D$59696="Production Transfers")*(Uploaded_Data!$E$2:$E$59696="South Mine to Direct Pile (Bypass Crusher)")*(Uploaded_Data!$F$2:$F$59696="HG")*(Uploaded_Data!$H$2:$H$59696=$A14)*Uploaded_Data!$N$2:$N$59696)</f>
        <v>0</v>
      </c>
      <c r="D14" s="80" cm="1">
        <f t="array" ref="D14">SUMPRODUCT((Uploaded_Data!$D$2:$D$59696="Production Transfers")*(Uploaded_Data!$E$2:$E$59696="South Mine to Stock Yard")*(Uploaded_Data!$F$2:$F$59696="HG")*(Uploaded_Data!$H$2:$H$59696=$A14)*Uploaded_Data!$N$2:$N$59696)</f>
        <v>0</v>
      </c>
      <c r="E14" s="80" cm="1">
        <f t="array" ref="E14">SUMPRODUCT((Uploaded_Data!$D$2:$D$59696="Production Transfers")*(Uploaded_Data!$E$2:$E$59696="North Mine to Pile (through Crusher)")*(Uploaded_Data!$F$2:$F$59696="HG")*(Uploaded_Data!$H$2:$H$59696=$A14)*Uploaded_Data!$N$2:$N$59696)</f>
        <v>0</v>
      </c>
      <c r="F14" s="80" cm="1">
        <f t="array" ref="F14">SUMPRODUCT((Uploaded_Data!$D$2:$D$59696="Production Transfers")*(Uploaded_Data!$E$2:$E$59696="North Mine to Direct Pile (Bypass Crusher)")*(Uploaded_Data!$F$2:$F$59696="HG")*(Uploaded_Data!$H$2:$H$59696=$A14)*Uploaded_Data!$N$2:$N$59696)</f>
        <v>0</v>
      </c>
      <c r="G14" s="80" cm="1">
        <f t="array" ref="G14">SUMPRODUCT((Uploaded_Data!$D$2:$D$59696="Production Transfers")*(Uploaded_Data!$E$2:$E$59696="North Mine to Stock Yard")*(Uploaded_Data!$F$2:$F$59696="HG")*(Uploaded_Data!$H$2:$H$59696=$A14)*Uploaded_Data!$N$2:$N$59696)</f>
        <v>0</v>
      </c>
      <c r="H14" s="80" cm="1">
        <f t="array" ref="H14">SUMPRODUCT((Uploaded_Data!$D$2:$D$59696="Internal Transfers")*(Uploaded_Data!$E$2:$E$59696="Stock Yard to Pile (through Crusher)")*(Uploaded_Data!$F$2:$F$59696="HG")*(Uploaded_Data!$H$2:$H$59696=$A14)*Uploaded_Data!$N$2:$N$59696)</f>
        <v>1458.1399999999996</v>
      </c>
      <c r="I14" s="80" cm="1">
        <f t="array" ref="I14">SUMPRODUCT((Uploaded_Data!$D$2:$D$59696="Internal Transfers")*(Uploaded_Data!$E$2:$E$59696="Stock Yard to Direct Pile (Bypass Crusher)")*(Uploaded_Data!$F$2:$F$59696="HG")*(Uploaded_Data!$H$2:$H$59696=$A14)*Uploaded_Data!$N$2:$N$59696)</f>
        <v>0</v>
      </c>
      <c r="J14" s="80" cm="1">
        <f t="array" ref="J14">SUMPRODUCT((Uploaded_Data!$D$2:$D$59696="Production Transfers")*(Uploaded_Data!$E$2:$E$59696="South Mine to Pile (through Crusher)")*(Uploaded_Data!$F$2:$F$59696="LG1")*(Uploaded_Data!$H$2:$H$59696=$A14)*Uploaded_Data!$N$2:$N$59696)</f>
        <v>0</v>
      </c>
      <c r="K14" s="80" cm="1">
        <f t="array" ref="K14">SUMPRODUCT((Uploaded_Data!$D$2:$D$59696="Production Transfers")*(Uploaded_Data!$E$2:$E$59696="South Mine to Direct Pile (Bypass Crusher)")*(Uploaded_Data!$F$2:$F$59696="LG1")*(Uploaded_Data!$H$2:$H$59696=$A14)*Uploaded_Data!$N$2:$N$59696)</f>
        <v>0</v>
      </c>
      <c r="L14" s="80" cm="1">
        <f t="array" ref="L14">SUMPRODUCT((Uploaded_Data!$D$2:$D$59696="Production Transfers")*(Uploaded_Data!$E$2:$E$59696="South Mine to Stock Yard")*(Uploaded_Data!$F$2:$F$59696="LG1")*(Uploaded_Data!$H$2:$H$59696=$A14)*Uploaded_Data!$N$2:$N$59696)</f>
        <v>0</v>
      </c>
      <c r="M14" s="80" cm="1">
        <f t="array" ref="M14">SUMPRODUCT((Uploaded_Data!$D$2:$D$59696="Production Transfers")*(Uploaded_Data!$E$2:$E$59696="North Mine to Pile (through Crusher)")*(Uploaded_Data!$F$2:$F$59696="LG1")*(Uploaded_Data!$H$2:$H$59696=$A14)*Uploaded_Data!$N$2:$N$59696)</f>
        <v>120.24</v>
      </c>
      <c r="N14" s="80" cm="1">
        <f t="array" ref="N14">SUMPRODUCT((Uploaded_Data!$D$2:$D$59696="Production Transfers")*(Uploaded_Data!$E$2:$E$59696="North Mine to Direct Pile (Bypass Crusher)")*(Uploaded_Data!$F$2:$F$59696="LG1")*(Uploaded_Data!$H$2:$H$59696=$A14)*Uploaded_Data!$N$2:$N$59696)</f>
        <v>0</v>
      </c>
      <c r="O14" s="80" cm="1">
        <f t="array" ref="O14">SUMPRODUCT((Uploaded_Data!$D$2:$D$59696="Production Transfers")*(Uploaded_Data!$E$2:$E$59696="North Mine to Stock Yard")*(Uploaded_Data!$F$2:$F$59696="LG1")*(Uploaded_Data!$H$2:$H$59696=$A14)*Uploaded_Data!$N$2:$N$59696)</f>
        <v>0</v>
      </c>
      <c r="P14" s="80" cm="1">
        <f t="array" ref="P14">SUMPRODUCT((Uploaded_Data!$D$2:$D$59696="Internal Transfers")*(Uploaded_Data!$E$2:$E$59696="Stock Yard to Pile (through Crusher)")*(Uploaded_Data!$F$2:$F$59696="LG1")*(Uploaded_Data!$H$2:$H$59696=$A14)*Uploaded_Data!$N$2:$N$59696)</f>
        <v>1182.2200000000003</v>
      </c>
      <c r="Q14" s="80" cm="1">
        <f t="array" ref="Q14">SUMPRODUCT((Uploaded_Data!$D$2:$D$59696="Internal Transfers")*(Uploaded_Data!$E$2:$E$59696="Stock Yard to Direct Pile (Bypass Crusher)")*(Uploaded_Data!$F$2:$F$59696="LG1")*(Uploaded_Data!$H$2:$H$59696=$A14)*Uploaded_Data!$N$2:$N$59696)</f>
        <v>0</v>
      </c>
      <c r="R14" s="80" cm="1">
        <f t="array" ref="R14">SUMPRODUCT((Uploaded_Data!$D$2:$D$59696="Internal Transfers")*(Uploaded_Data!$E$2:$E$59696="Stock Yard to Other Usages")*(Uploaded_Data!$F$2:$F$59696="LG1")*(Uploaded_Data!$H$2:$H$59696=$A14)*Uploaded_Data!$N$2:$N$59696)</f>
        <v>0</v>
      </c>
      <c r="S14" s="80" cm="1">
        <f t="array" ref="S14">SUMPRODUCT((Uploaded_Data!$D$2:$D$59696="Internal Transfers")*(Uploaded_Data!$E$2:$E$59696="Stock Yard to Pile (through Crusher)")*(Uploaded_Data!$F$2:$F$59696="LIMESTONE SPG")*(Uploaded_Data!$H$2:$H$59696=$A14)*Uploaded_Data!$N$2:$N$59696)</f>
        <v>0</v>
      </c>
      <c r="T14" s="80" cm="1">
        <f t="array" ref="T14">SUMPRODUCT((Uploaded_Data!$D$2:$D$59696="Internal Transfers")*(Uploaded_Data!$E$2:$E$59696="Stock Yard to Direct Pile (Bypass Crusher)")*(Uploaded_Data!$F$2:$F$59696="LIMESTONE SPG")*(Uploaded_Data!$H$2:$H$59696=$A14)*Uploaded_Data!$N$2:$N$59696)</f>
        <v>0</v>
      </c>
      <c r="U14" s="80" cm="1">
        <f t="array" ref="U14">SUMPRODUCT((Uploaded_Data!$D$2:$D$59696="Production Transfers")*(Uploaded_Data!$E$2:$E$59696="South Mine to Pile (through Crusher)")*(Uploaded_Data!$F$2:$F$59696="OB/CLAY")*(Uploaded_Data!$H$2:$H$59696=$A14)*Uploaded_Data!$N$2:$N$59696)</f>
        <v>0</v>
      </c>
      <c r="V14" s="80" cm="1">
        <f t="array" ref="V14">SUMPRODUCT((Uploaded_Data!$D$2:$D$59696="Production Transfers")*(Uploaded_Data!$E$2:$E$59696="South Mine to Direct Pile (Bypass Crusher)")*(Uploaded_Data!$F$2:$F$59696="OB/CLAY")*(Uploaded_Data!$H$2:$H$59696=$A14)*Uploaded_Data!$N$2:$N$59696)</f>
        <v>0</v>
      </c>
      <c r="W14" s="63" cm="1">
        <f t="array" ref="W14">SUMPRODUCT((Uploaded_Data!$D$2:$D$59696="Production Transfers")*(Uploaded_Data!$E$2:$E$59696="South Mine to Stock Yard")*(Uploaded_Data!$F$2:$F$59696="OB/CLAY")*(Uploaded_Data!$H$2:$H$59696=$A14)*Uploaded_Data!$N$2:$N$59696)</f>
        <v>0</v>
      </c>
      <c r="X14" s="80" cm="1">
        <f t="array" ref="X14">SUMPRODUCT((Uploaded_Data!$D$2:$D$59696="Production Transfers")*(Uploaded_Data!$E$2:$E$59696="South Mine to Golani Waste dump")*(Uploaded_Data!$F$2:$F$59696="WASTE")*(Uploaded_Data!$H$2:$H$59696=$A14)*Uploaded_Data!$N$2:$N$59696)</f>
        <v>0</v>
      </c>
      <c r="Y14" s="80" cm="1">
        <f t="array" ref="Y14">SUMPRODUCT((Uploaded_Data!$D$2:$D$59696="Production Transfers")*(Uploaded_Data!$E$2:$E$59696="North Mine to Pile (through Crusher)")*(Uploaded_Data!$F$2:$F$59696="OB/CLAY")*(Uploaded_Data!$H$2:$H$59696=$A14)*Uploaded_Data!$N$2:$N$59696)</f>
        <v>0</v>
      </c>
      <c r="Z14" s="80" cm="1">
        <f t="array" ref="Z14">SUMPRODUCT((Uploaded_Data!$D$2:$D$59696="Production Transfers")*(Uploaded_Data!$E$2:$E$59696="North Mine to Direct Pile (Bypass Crusher)")*(Uploaded_Data!$F$2:$F$59696="OB/CLAY")*(Uploaded_Data!$H$2:$H$59696=$A14)*Uploaded_Data!$N$2:$N$59696)</f>
        <v>0</v>
      </c>
      <c r="AA14" s="80" cm="1">
        <f t="array" ref="AA14">SUMPRODUCT((Uploaded_Data!$D$2:$D$59696="Production Transfers")*(Uploaded_Data!$E$2:$E$59696="North Mine to Stock Yard")*(Uploaded_Data!$F$2:$F$59696="OB/CLAY")*(Uploaded_Data!$H$2:$H$59696=$A14)*Uploaded_Data!$N$2:$N$59696)</f>
        <v>0</v>
      </c>
      <c r="AB14" s="80" cm="1">
        <f t="array" ref="AB14">SUMPRODUCT((Uploaded_Data!$D$2:$D$59696="Production Transfers")*(Uploaded_Data!$E$2:$E$59696="North Mine to Golani Waste dump")*(Uploaded_Data!$F$2:$F$59696="WASTE")*(Uploaded_Data!$H$2:$H$59696=$A14)*Uploaded_Data!$N$2:$N$59696)</f>
        <v>0</v>
      </c>
      <c r="AC14" s="80" cm="1">
        <f t="array" ref="AC14">SUMPRODUCT((Uploaded_Data!$D$2:$D$59696="Internal Transfers")*(Uploaded_Data!$E$2:$E$59696="Stock Yard to Pile (through Crusher)")*(Uploaded_Data!$F$2:$F$59696="OB/CLAY")*(Uploaded_Data!$H$2:$H$59696=$A14)*Uploaded_Data!$N$2:$N$59696)</f>
        <v>0</v>
      </c>
      <c r="AD14" s="80" cm="1">
        <f t="array" ref="AD14">SUMPRODUCT((Uploaded_Data!$D$2:$D$59696="Internal Transfers")*(Uploaded_Data!$E$2:$E$59696="Stock Yard to Other Usages")*(Uploaded_Data!$F$2:$F$59696="OB/CLAY")*(Uploaded_Data!$H$2:$H$59696=$A14)*Uploaded_Data!$N$2:$N$59696)</f>
        <v>0</v>
      </c>
      <c r="AE14" s="80" cm="1">
        <f t="array" ref="AE14">SUMPRODUCT((Uploaded_Data!$D$2:$D$59696="Internal Transfers")*(Uploaded_Data!$E$2:$E$59696="Stock Yard to Direct Pile (Bypass Crusher)")*(Uploaded_Data!$F$2:$F$59696="OB/CLAY")*(Uploaded_Data!$H$2:$H$59696=$A14)*Uploaded_Data!$N$2:$N$59696)</f>
        <v>0</v>
      </c>
      <c r="AF14" s="80" cm="1">
        <f t="array" ref="AF14">SUMPRODUCT((Uploaded_Data!$D$2:$D$59696="Production Transfers")*(Uploaded_Data!$E$2:$E$59696="South Mine to Pile (through Crusher)")*(Uploaded_Data!$F$2:$F$59696="HGHMGO")*(Uploaded_Data!$H$2:$H$59696=$A14)*Uploaded_Data!$N$2:$N$59696)</f>
        <v>0</v>
      </c>
      <c r="AG14" s="80" cm="1">
        <f t="array" ref="AG14">SUMPRODUCT((Uploaded_Data!$D$2:$D$59696="Production Transfers")*(Uploaded_Data!$E$2:$E$59696="South Mine to Direct Pile (Bypass Crusher)")*(Uploaded_Data!$F$2:$F$59696="HGHMGO")*(Uploaded_Data!$H$2:$H$59696=$A14)*Uploaded_Data!$N$2:$N$59696)</f>
        <v>0</v>
      </c>
      <c r="AH14" s="80" cm="1">
        <f t="array" ref="AH14">SUMPRODUCT((Uploaded_Data!$D$2:$D$59696="Production Transfers")*(Uploaded_Data!$E$2:$E$59696="South Mine to Stock Yard")*(Uploaded_Data!$F$2:$F$59696="HGHMGO")*(Uploaded_Data!$H$2:$H$59696=$A14)*Uploaded_Data!$N$2:$N$59696)</f>
        <v>0</v>
      </c>
      <c r="AI14" s="80" cm="1">
        <f t="array" ref="AI14">SUMPRODUCT((Uploaded_Data!$D$2:$D$59696="Internal Transfers")*(Uploaded_Data!$E$2:$E$59696="Stock Yard to Pile (through Crusher)")*(Uploaded_Data!$F$2:$F$59696="HGHMGO")*(Uploaded_Data!$H$2:$H$59696=$A14)*Uploaded_Data!$N$2:$N$59696)</f>
        <v>0</v>
      </c>
      <c r="AJ14" s="80" cm="1">
        <f t="array" ref="AJ14">SUMPRODUCT((Uploaded_Data!$D$2:$D$59696="Production Transfers")*(Uploaded_Data!$E$2:$E$59696="South Mine to Pile (through Crusher)")*(Uploaded_Data!$F$2:$F$59696="LGHMGO")*(Uploaded_Data!$H$2:$H$59696=$A14)*Uploaded_Data!$N$2:$N$59696)</f>
        <v>0</v>
      </c>
      <c r="AK14" s="80" cm="1">
        <f t="array" ref="AK14">SUMPRODUCT((Uploaded_Data!$D$2:$D$59696="Production Transfers")*(Uploaded_Data!$E$2:$E$59696="South Mine to Direct Pile (Bypass Crusher)")*(Uploaded_Data!$F$2:$F$59696="LGHMGO")*(Uploaded_Data!$H$2:$H$59696=$A14)*Uploaded_Data!$N$2:$N$59696)</f>
        <v>0</v>
      </c>
      <c r="AL14" s="80" cm="1">
        <f t="array" ref="AL14">SUMPRODUCT((Uploaded_Data!$D$2:$D$59696="Production Transfers")*(Uploaded_Data!$E$2:$E$59696="South Mine to Stock Yard")*(Uploaded_Data!$F$2:$F$59696="LGHMGO")*(Uploaded_Data!$H$2:$H$59696=$A14)*Uploaded_Data!$N$2:$N$59696)</f>
        <v>0</v>
      </c>
      <c r="AM14" s="80" cm="1">
        <f t="array" ref="AM14">SUMPRODUCT((Uploaded_Data!$D$2:$D$59696="Internal Transfers")*(Uploaded_Data!$E$2:$E$59696="Stock Yard to Pile (through Crusher)")*(Uploaded_Data!$F$2:$F$59696="LGHMGO")*(Uploaded_Data!$H$2:$H$59696=$A14)*Uploaded_Data!$N$2:$N$59696)</f>
        <v>0</v>
      </c>
      <c r="AN14" s="102">
        <f t="shared" si="0"/>
        <v>2760.6</v>
      </c>
      <c r="AO14" s="108"/>
      <c r="AP14" s="109" cm="1">
        <f t="array" ref="AP14">SUMPRODUCT((Uploaded_Data!$D$2:$D$59696="Internal Transfers")*(Uploaded_Data!$E$2:$E$59696="Stock Yard to Pile (through Crusher)")*(Uploaded_Data!$F$2:$F$59696="GYPSUM")*(Uploaded_Data!$H$2:$H$59696=$A14)*Uploaded_Data!$N$2:$N$59696)</f>
        <v>0</v>
      </c>
      <c r="AQ14" s="109" cm="1">
        <f t="array" ref="AQ14">SUMPRODUCT((Uploaded_Data!$D$2:$D$59696="Internal Transfers")*(Uploaded_Data!$E$2:$E$59696="Stock Yard to Direct Pile (Bypass Crusher)")*(Uploaded_Data!$F$2:$F$59696="GYPSUM")*(Uploaded_Data!$H$2:$H$59696=$A14)*Uploaded_Data!$N$2:$N$59696)</f>
        <v>0</v>
      </c>
      <c r="AR14" s="109" cm="1">
        <f t="array" ref="AR14">SUMPRODUCT((Uploaded_Data!$D$2:$D$59696="Internal Transfers")*(Uploaded_Data!$E$2:$E$59696="Stock Yard to Other Usages")*(Uploaded_Data!$F$2:$F$59696="ID Clay")*(Uploaded_Data!$H$2:$H$59696=$A14)*Uploaded_Data!$N$2:$N$59696)</f>
        <v>0</v>
      </c>
      <c r="AS14" s="109" cm="1">
        <f t="array" ref="AS14">SUMPRODUCT((Uploaded_Data!$D$2:$D$59696="Internal Transfers")*(Uploaded_Data!$E$2:$E$59696="Stock Yard to Direct Pile (Bypass Crusher)")*(Uploaded_Data!$F$2:$F$59696="ID Clay")*(Uploaded_Data!$H$2:$H$59696=$A14)*Uploaded_Data!$N$2:$N$59696)</f>
        <v>0</v>
      </c>
      <c r="AT14" s="109" cm="1">
        <f t="array" ref="AT14">SUMPRODUCT((Uploaded_Data!$D$2:$D$59696="Production Transfers")*(Uploaded_Data!$E$2:$E$59696="Kijaka Mine to Stock Yard")*(Uploaded_Data!$F$2:$F$59696="ID Clay")*(Uploaded_Data!$H$2:$H$59696=$A14)*Uploaded_Data!$N$2:$N$59696)</f>
        <v>0</v>
      </c>
      <c r="AU14" s="102">
        <f t="shared" si="1"/>
        <v>2760.6</v>
      </c>
      <c r="AV14" s="109">
        <f t="shared" si="2"/>
        <v>2760.6</v>
      </c>
      <c r="AW14" s="109"/>
      <c r="AX14" s="109"/>
      <c r="AY14" s="114"/>
      <c r="AZ14" s="110">
        <f t="shared" si="3"/>
        <v>2760.5999999999995</v>
      </c>
      <c r="BA14" s="112">
        <f t="shared" si="4"/>
        <v>2760.6</v>
      </c>
      <c r="BB14" s="110"/>
    </row>
    <row r="15" spans="1:61" s="63" customFormat="1">
      <c r="A15" s="79">
        <v>46123</v>
      </c>
      <c r="B15" s="80" cm="1">
        <f t="array" ref="B15">SUMPRODUCT((Uploaded_Data!$D$2:$D$59696="Production Transfers")*(Uploaded_Data!$E$2:$E$59696="South Mine to Pile (through Crusher)")*(Uploaded_Data!$F$2:$F$59696="HG")*(Uploaded_Data!$H$2:$H$59696=$A15)*Uploaded_Data!$N$2:$N$59696)</f>
        <v>0</v>
      </c>
      <c r="C15" s="80" cm="1">
        <f t="array" ref="C15">SUMPRODUCT((Uploaded_Data!$D$2:$D$59696="Production Transfers")*(Uploaded_Data!$E$2:$E$59696="South Mine to Direct Pile (Bypass Crusher)")*(Uploaded_Data!$F$2:$F$59696="HG")*(Uploaded_Data!$H$2:$H$59696=$A15)*Uploaded_Data!$N$2:$N$59696)</f>
        <v>0</v>
      </c>
      <c r="D15" s="80" cm="1">
        <f t="array" ref="D15">SUMPRODUCT((Uploaded_Data!$D$2:$D$59696="Production Transfers")*(Uploaded_Data!$E$2:$E$59696="South Mine to Stock Yard")*(Uploaded_Data!$F$2:$F$59696="HG")*(Uploaded_Data!$H$2:$H$59696=$A15)*Uploaded_Data!$N$2:$N$59696)</f>
        <v>0</v>
      </c>
      <c r="E15" s="80" cm="1">
        <f t="array" ref="E15">SUMPRODUCT((Uploaded_Data!$D$2:$D$59696="Production Transfers")*(Uploaded_Data!$E$2:$E$59696="North Mine to Pile (through Crusher)")*(Uploaded_Data!$F$2:$F$59696="HG")*(Uploaded_Data!$H$2:$H$59696=$A15)*Uploaded_Data!$N$2:$N$59696)</f>
        <v>0</v>
      </c>
      <c r="F15" s="80" cm="1">
        <f t="array" ref="F15">SUMPRODUCT((Uploaded_Data!$D$2:$D$59696="Production Transfers")*(Uploaded_Data!$E$2:$E$59696="North Mine to Direct Pile (Bypass Crusher)")*(Uploaded_Data!$F$2:$F$59696="HG")*(Uploaded_Data!$H$2:$H$59696=$A15)*Uploaded_Data!$N$2:$N$59696)</f>
        <v>0</v>
      </c>
      <c r="G15" s="80" cm="1">
        <f t="array" ref="G15">SUMPRODUCT((Uploaded_Data!$D$2:$D$59696="Production Transfers")*(Uploaded_Data!$E$2:$E$59696="North Mine to Stock Yard")*(Uploaded_Data!$F$2:$F$59696="HG")*(Uploaded_Data!$H$2:$H$59696=$A15)*Uploaded_Data!$N$2:$N$59696)</f>
        <v>0</v>
      </c>
      <c r="H15" s="80" cm="1">
        <f t="array" ref="H15">SUMPRODUCT((Uploaded_Data!$D$2:$D$59696="Internal Transfers")*(Uploaded_Data!$E$2:$E$59696="Stock Yard to Pile (through Crusher)")*(Uploaded_Data!$F$2:$F$59696="HG")*(Uploaded_Data!$H$2:$H$59696=$A15)*Uploaded_Data!$N$2:$N$59696)</f>
        <v>1032.8400000000001</v>
      </c>
      <c r="I15" s="80" cm="1">
        <f t="array" ref="I15">SUMPRODUCT((Uploaded_Data!$D$2:$D$59696="Internal Transfers")*(Uploaded_Data!$E$2:$E$59696="Stock Yard to Direct Pile (Bypass Crusher)")*(Uploaded_Data!$F$2:$F$59696="HG")*(Uploaded_Data!$H$2:$H$59696=$A15)*Uploaded_Data!$N$2:$N$59696)</f>
        <v>0</v>
      </c>
      <c r="J15" s="80" cm="1">
        <f t="array" ref="J15">SUMPRODUCT((Uploaded_Data!$D$2:$D$59696="Production Transfers")*(Uploaded_Data!$E$2:$E$59696="South Mine to Pile (through Crusher)")*(Uploaded_Data!$F$2:$F$59696="LG1")*(Uploaded_Data!$H$2:$H$59696=$A15)*Uploaded_Data!$N$2:$N$59696)</f>
        <v>0</v>
      </c>
      <c r="K15" s="80" cm="1">
        <f t="array" ref="K15">SUMPRODUCT((Uploaded_Data!$D$2:$D$59696="Production Transfers")*(Uploaded_Data!$E$2:$E$59696="South Mine to Direct Pile (Bypass Crusher)")*(Uploaded_Data!$F$2:$F$59696="LG1")*(Uploaded_Data!$H$2:$H$59696=$A15)*Uploaded_Data!$N$2:$N$59696)</f>
        <v>0</v>
      </c>
      <c r="L15" s="80" cm="1">
        <f t="array" ref="L15">SUMPRODUCT((Uploaded_Data!$D$2:$D$59696="Production Transfers")*(Uploaded_Data!$E$2:$E$59696="South Mine to Stock Yard")*(Uploaded_Data!$F$2:$F$59696="LG1")*(Uploaded_Data!$H$2:$H$59696=$A15)*Uploaded_Data!$N$2:$N$59696)</f>
        <v>0</v>
      </c>
      <c r="M15" s="80" cm="1">
        <f t="array" ref="M15">SUMPRODUCT((Uploaded_Data!$D$2:$D$59696="Production Transfers")*(Uploaded_Data!$E$2:$E$59696="North Mine to Pile (through Crusher)")*(Uploaded_Data!$F$2:$F$59696="LG1")*(Uploaded_Data!$H$2:$H$59696=$A15)*Uploaded_Data!$N$2:$N$59696)</f>
        <v>0</v>
      </c>
      <c r="N15" s="80" cm="1">
        <f t="array" ref="N15">SUMPRODUCT((Uploaded_Data!$D$2:$D$59696="Production Transfers")*(Uploaded_Data!$E$2:$E$59696="North Mine to Direct Pile (Bypass Crusher)")*(Uploaded_Data!$F$2:$F$59696="LG1")*(Uploaded_Data!$H$2:$H$59696=$A15)*Uploaded_Data!$N$2:$N$59696)</f>
        <v>0</v>
      </c>
      <c r="O15" s="80" cm="1">
        <f t="array" ref="O15">SUMPRODUCT((Uploaded_Data!$D$2:$D$59696="Production Transfers")*(Uploaded_Data!$E$2:$E$59696="North Mine to Stock Yard")*(Uploaded_Data!$F$2:$F$59696="LG1")*(Uploaded_Data!$H$2:$H$59696=$A15)*Uploaded_Data!$N$2:$N$59696)</f>
        <v>0</v>
      </c>
      <c r="P15" s="80" cm="1">
        <f t="array" ref="P15">SUMPRODUCT((Uploaded_Data!$D$2:$D$59696="Internal Transfers")*(Uploaded_Data!$E$2:$E$59696="Stock Yard to Pile (through Crusher)")*(Uploaded_Data!$F$2:$F$59696="LG1")*(Uploaded_Data!$H$2:$H$59696=$A15)*Uploaded_Data!$N$2:$N$59696)</f>
        <v>2249.4600000000014</v>
      </c>
      <c r="Q15" s="80" cm="1">
        <f t="array" ref="Q15">SUMPRODUCT((Uploaded_Data!$D$2:$D$59696="Internal Transfers")*(Uploaded_Data!$E$2:$E$59696="Stock Yard to Direct Pile (Bypass Crusher)")*(Uploaded_Data!$F$2:$F$59696="LG1")*(Uploaded_Data!$H$2:$H$59696=$A15)*Uploaded_Data!$N$2:$N$59696)</f>
        <v>0</v>
      </c>
      <c r="R15" s="80" cm="1">
        <f t="array" ref="R15">SUMPRODUCT((Uploaded_Data!$D$2:$D$59696="Internal Transfers")*(Uploaded_Data!$E$2:$E$59696="Stock Yard to Other Usages")*(Uploaded_Data!$F$2:$F$59696="LG1")*(Uploaded_Data!$H$2:$H$59696=$A15)*Uploaded_Data!$N$2:$N$59696)</f>
        <v>0</v>
      </c>
      <c r="S15" s="80" cm="1">
        <f t="array" ref="S15">SUMPRODUCT((Uploaded_Data!$D$2:$D$59696="Internal Transfers")*(Uploaded_Data!$E$2:$E$59696="Stock Yard to Pile (through Crusher)")*(Uploaded_Data!$F$2:$F$59696="LIMESTONE SPG")*(Uploaded_Data!$H$2:$H$59696=$A15)*Uploaded_Data!$N$2:$N$59696)</f>
        <v>0</v>
      </c>
      <c r="T15" s="80" cm="1">
        <f t="array" ref="T15">SUMPRODUCT((Uploaded_Data!$D$2:$D$59696="Internal Transfers")*(Uploaded_Data!$E$2:$E$59696="Stock Yard to Direct Pile (Bypass Crusher)")*(Uploaded_Data!$F$2:$F$59696="LIMESTONE SPG")*(Uploaded_Data!$H$2:$H$59696=$A15)*Uploaded_Data!$N$2:$N$59696)</f>
        <v>0</v>
      </c>
      <c r="U15" s="80" cm="1">
        <f t="array" ref="U15">SUMPRODUCT((Uploaded_Data!$D$2:$D$59696="Production Transfers")*(Uploaded_Data!$E$2:$E$59696="South Mine to Pile (through Crusher)")*(Uploaded_Data!$F$2:$F$59696="OB/CLAY")*(Uploaded_Data!$H$2:$H$59696=$A15)*Uploaded_Data!$N$2:$N$59696)</f>
        <v>0</v>
      </c>
      <c r="V15" s="80" cm="1">
        <f t="array" ref="V15">SUMPRODUCT((Uploaded_Data!$D$2:$D$59696="Production Transfers")*(Uploaded_Data!$E$2:$E$59696="South Mine to Direct Pile (Bypass Crusher)")*(Uploaded_Data!$F$2:$F$59696="OB/CLAY")*(Uploaded_Data!$H$2:$H$59696=$A15)*Uploaded_Data!$N$2:$N$59696)</f>
        <v>0</v>
      </c>
      <c r="W15" s="80" cm="1">
        <f t="array" ref="W15">SUMPRODUCT((Uploaded_Data!$D$2:$D$59696="Production Transfers")*(Uploaded_Data!$E$2:$E$59696="South Mine to Stock Yard")*(Uploaded_Data!$F$2:$F$59696="OB/CLAY")*(Uploaded_Data!$H$2:$H$59696=$A15)*Uploaded_Data!$N$2:$N$59696)</f>
        <v>0</v>
      </c>
      <c r="X15" s="80" cm="1">
        <f t="array" ref="X15">SUMPRODUCT((Uploaded_Data!$D$2:$D$59696="Production Transfers")*(Uploaded_Data!$E$2:$E$59696="South Mine to Golani Waste dump")*(Uploaded_Data!$F$2:$F$59696="WASTE")*(Uploaded_Data!$H$2:$H$59696=$A15)*Uploaded_Data!$N$2:$N$59696)</f>
        <v>0</v>
      </c>
      <c r="Y15" s="80" cm="1">
        <f t="array" ref="Y15">SUMPRODUCT((Uploaded_Data!$D$2:$D$59696="Production Transfers")*(Uploaded_Data!$E$2:$E$59696="North Mine to Pile (through Crusher)")*(Uploaded_Data!$F$2:$F$59696="OB/CLAY")*(Uploaded_Data!$H$2:$H$59696=$A15)*Uploaded_Data!$N$2:$N$59696)</f>
        <v>0</v>
      </c>
      <c r="Z15" s="80" cm="1">
        <f t="array" ref="Z15">SUMPRODUCT((Uploaded_Data!$D$2:$D$59696="Production Transfers")*(Uploaded_Data!$E$2:$E$59696="North Mine to Direct Pile (Bypass Crusher)")*(Uploaded_Data!$F$2:$F$59696="OB/CLAY")*(Uploaded_Data!$H$2:$H$59696=$A15)*Uploaded_Data!$N$2:$N$59696)</f>
        <v>0</v>
      </c>
      <c r="AA15" s="80" cm="1">
        <f t="array" ref="AA15">SUMPRODUCT((Uploaded_Data!$D$2:$D$59696="Production Transfers")*(Uploaded_Data!$E$2:$E$59696="North Mine to Stock Yard")*(Uploaded_Data!$F$2:$F$59696="OB/CLAY")*(Uploaded_Data!$H$2:$H$59696=$A15)*Uploaded_Data!$N$2:$N$59696)</f>
        <v>0</v>
      </c>
      <c r="AB15" s="80" cm="1">
        <f t="array" ref="AB15">SUMPRODUCT((Uploaded_Data!$D$2:$D$59696="Production Transfers")*(Uploaded_Data!$E$2:$E$59696="North Mine to Golani Waste dump")*(Uploaded_Data!$F$2:$F$59696="WASTE")*(Uploaded_Data!$H$2:$H$59696=$A15)*Uploaded_Data!$N$2:$N$59696)</f>
        <v>0</v>
      </c>
      <c r="AC15" s="80" cm="1">
        <f t="array" ref="AC15">SUMPRODUCT((Uploaded_Data!$D$2:$D$59696="Internal Transfers")*(Uploaded_Data!$E$2:$E$59696="Stock Yard to Pile (through Crusher)")*(Uploaded_Data!$F$2:$F$59696="OB/CLAY")*(Uploaded_Data!$H$2:$H$59696=$A15)*Uploaded_Data!$N$2:$N$59696)</f>
        <v>0</v>
      </c>
      <c r="AD15" s="80" cm="1">
        <f t="array" ref="AD15">SUMPRODUCT((Uploaded_Data!$D$2:$D$59696="Internal Transfers")*(Uploaded_Data!$E$2:$E$59696="Stock Yard to Other Usages")*(Uploaded_Data!$F$2:$F$59696="OB/CLAY")*(Uploaded_Data!$H$2:$H$59696=$A15)*Uploaded_Data!$N$2:$N$59696)</f>
        <v>0</v>
      </c>
      <c r="AE15" s="80" cm="1">
        <f t="array" ref="AE15">SUMPRODUCT((Uploaded_Data!$D$2:$D$59696="Internal Transfers")*(Uploaded_Data!$E$2:$E$59696="Stock Yard to Direct Pile (Bypass Crusher)")*(Uploaded_Data!$F$2:$F$59696="OB/CLAY")*(Uploaded_Data!$H$2:$H$59696=$A15)*Uploaded_Data!$N$2:$N$59696)</f>
        <v>0</v>
      </c>
      <c r="AF15" s="80" cm="1">
        <f t="array" ref="AF15">SUMPRODUCT((Uploaded_Data!$D$2:$D$59696="Production Transfers")*(Uploaded_Data!$E$2:$E$59696="South Mine to Pile (through Crusher)")*(Uploaded_Data!$F$2:$F$59696="HGHMGO")*(Uploaded_Data!$H$2:$H$59696=$A15)*Uploaded_Data!$N$2:$N$59696)</f>
        <v>0</v>
      </c>
      <c r="AG15" s="80" cm="1">
        <f t="array" ref="AG15">SUMPRODUCT((Uploaded_Data!$D$2:$D$59696="Production Transfers")*(Uploaded_Data!$E$2:$E$59696="South Mine to Direct Pile (Bypass Crusher)")*(Uploaded_Data!$F$2:$F$59696="HGHMGO")*(Uploaded_Data!$H$2:$H$59696=$A15)*Uploaded_Data!$N$2:$N$59696)</f>
        <v>0</v>
      </c>
      <c r="AH15" s="80" cm="1">
        <f t="array" ref="AH15">SUMPRODUCT((Uploaded_Data!$D$2:$D$59696="Production Transfers")*(Uploaded_Data!$E$2:$E$59696="South Mine to Stock Yard")*(Uploaded_Data!$F$2:$F$59696="HGHMGO")*(Uploaded_Data!$H$2:$H$59696=$A15)*Uploaded_Data!$N$2:$N$59696)</f>
        <v>0</v>
      </c>
      <c r="AI15" s="80" cm="1">
        <f t="array" ref="AI15">SUMPRODUCT((Uploaded_Data!$D$2:$D$59696="Internal Transfers")*(Uploaded_Data!$E$2:$E$59696="Stock Yard to Pile (through Crusher)")*(Uploaded_Data!$F$2:$F$59696="HGHMGO")*(Uploaded_Data!$H$2:$H$59696=$A15)*Uploaded_Data!$N$2:$N$59696)</f>
        <v>0</v>
      </c>
      <c r="AJ15" s="80" cm="1">
        <f t="array" ref="AJ15">SUMPRODUCT((Uploaded_Data!$D$2:$D$59696="Production Transfers")*(Uploaded_Data!$E$2:$E$59696="South Mine to Pile (through Crusher)")*(Uploaded_Data!$F$2:$F$59696="LGHMGO")*(Uploaded_Data!$H$2:$H$59696=$A15)*Uploaded_Data!$N$2:$N$59696)</f>
        <v>0</v>
      </c>
      <c r="AK15" s="80" cm="1">
        <f t="array" ref="AK15">SUMPRODUCT((Uploaded_Data!$D$2:$D$59696="Production Transfers")*(Uploaded_Data!$E$2:$E$59696="South Mine to Direct Pile (Bypass Crusher)")*(Uploaded_Data!$F$2:$F$59696="LGHMGO")*(Uploaded_Data!$H$2:$H$59696=$A15)*Uploaded_Data!$N$2:$N$59696)</f>
        <v>0</v>
      </c>
      <c r="AL15" s="80" cm="1">
        <f t="array" ref="AL15">SUMPRODUCT((Uploaded_Data!$D$2:$D$59696="Production Transfers")*(Uploaded_Data!$E$2:$E$59696="South Mine to Stock Yard")*(Uploaded_Data!$F$2:$F$59696="LGHMGO")*(Uploaded_Data!$H$2:$H$59696=$A15)*Uploaded_Data!$N$2:$N$59696)</f>
        <v>0</v>
      </c>
      <c r="AM15" s="80" cm="1">
        <f t="array" ref="AM15">SUMPRODUCT((Uploaded_Data!$D$2:$D$59696="Internal Transfers")*(Uploaded_Data!$E$2:$E$59696="Stock Yard to Pile (through Crusher)")*(Uploaded_Data!$F$2:$F$59696="LGHMGO")*(Uploaded_Data!$H$2:$H$59696=$A15)*Uploaded_Data!$N$2:$N$59696)</f>
        <v>0</v>
      </c>
      <c r="AN15" s="102">
        <f t="shared" si="0"/>
        <v>3282.3000000000015</v>
      </c>
      <c r="AO15" s="108"/>
      <c r="AP15" s="109" cm="1">
        <f t="array" ref="AP15">SUMPRODUCT((Uploaded_Data!$D$2:$D$59696="Internal Transfers")*(Uploaded_Data!$E$2:$E$59696="Stock Yard to Pile (through Crusher)")*(Uploaded_Data!$F$2:$F$59696="GYPSUM")*(Uploaded_Data!$H$2:$H$59696=$A15)*Uploaded_Data!$N$2:$N$59696)</f>
        <v>0</v>
      </c>
      <c r="AQ15" s="109" cm="1">
        <f t="array" ref="AQ15">SUMPRODUCT((Uploaded_Data!$D$2:$D$59696="Internal Transfers")*(Uploaded_Data!$E$2:$E$59696="Stock Yard to Direct Pile (Bypass Crusher)")*(Uploaded_Data!$F$2:$F$59696="GYPSUM")*(Uploaded_Data!$H$2:$H$59696=$A15)*Uploaded_Data!$N$2:$N$59696)</f>
        <v>0</v>
      </c>
      <c r="AR15" s="109" cm="1">
        <f t="array" ref="AR15">SUMPRODUCT((Uploaded_Data!$D$2:$D$59696="Internal Transfers")*(Uploaded_Data!$E$2:$E$59696="Stock Yard to Other Usages")*(Uploaded_Data!$F$2:$F$59696="ID Clay")*(Uploaded_Data!$H$2:$H$59696=$A15)*Uploaded_Data!$N$2:$N$59696)</f>
        <v>0</v>
      </c>
      <c r="AS15" s="109" cm="1">
        <f t="array" ref="AS15">SUMPRODUCT((Uploaded_Data!$D$2:$D$59696="Internal Transfers")*(Uploaded_Data!$E$2:$E$59696="Stock Yard to Direct Pile (Bypass Crusher)")*(Uploaded_Data!$F$2:$F$59696="ID Clay")*(Uploaded_Data!$H$2:$H$59696=$A15)*Uploaded_Data!$N$2:$N$59696)</f>
        <v>0</v>
      </c>
      <c r="AT15" s="109" cm="1">
        <f t="array" ref="AT15">SUMPRODUCT((Uploaded_Data!$D$2:$D$59696="Production Transfers")*(Uploaded_Data!$E$2:$E$59696="Kijaka Mine to Stock Yard")*(Uploaded_Data!$F$2:$F$59696="ID Clay")*(Uploaded_Data!$H$2:$H$59696=$A15)*Uploaded_Data!$N$2:$N$59696)</f>
        <v>0</v>
      </c>
      <c r="AU15" s="102">
        <f t="shared" si="1"/>
        <v>3282.3000000000015</v>
      </c>
      <c r="AV15" s="109">
        <f t="shared" si="2"/>
        <v>3282.3000000000015</v>
      </c>
      <c r="AW15" s="109"/>
      <c r="AX15" s="109"/>
      <c r="AY15" s="114"/>
      <c r="AZ15" s="110">
        <f t="shared" si="3"/>
        <v>3282.3000000000015</v>
      </c>
      <c r="BA15" s="112">
        <f t="shared" si="4"/>
        <v>3282.3000000000015</v>
      </c>
      <c r="BB15" s="110"/>
    </row>
    <row r="16" spans="1:61" s="63" customFormat="1">
      <c r="A16" s="79">
        <v>46124</v>
      </c>
      <c r="B16" s="80" cm="1">
        <f t="array" ref="B16">SUMPRODUCT((Uploaded_Data!$D$2:$D$59696="Production Transfers")*(Uploaded_Data!$E$2:$E$59696="South Mine to Pile (through Crusher)")*(Uploaded_Data!$F$2:$F$59696="HG")*(Uploaded_Data!$H$2:$H$59696=$A16)*Uploaded_Data!$N$2:$N$59696)</f>
        <v>0</v>
      </c>
      <c r="C16" s="80" cm="1">
        <f t="array" ref="C16">SUMPRODUCT((Uploaded_Data!$D$2:$D$59696="Production Transfers")*(Uploaded_Data!$E$2:$E$59696="South Mine to Direct Pile (Bypass Crusher)")*(Uploaded_Data!$F$2:$F$59696="HG")*(Uploaded_Data!$H$2:$H$59696=$A16)*Uploaded_Data!$N$2:$N$59696)</f>
        <v>0</v>
      </c>
      <c r="D16" s="80" cm="1">
        <f t="array" ref="D16">SUMPRODUCT((Uploaded_Data!$D$2:$D$59696="Production Transfers")*(Uploaded_Data!$E$2:$E$59696="South Mine to Stock Yard")*(Uploaded_Data!$F$2:$F$59696="HG")*(Uploaded_Data!$H$2:$H$59696=$A16)*Uploaded_Data!$N$2:$N$59696)</f>
        <v>0</v>
      </c>
      <c r="E16" s="80" cm="1">
        <f t="array" ref="E16">SUMPRODUCT((Uploaded_Data!$D$2:$D$59696="Production Transfers")*(Uploaded_Data!$E$2:$E$59696="North Mine to Pile (through Crusher)")*(Uploaded_Data!$F$2:$F$59696="HG")*(Uploaded_Data!$H$2:$H$59696=$A16)*Uploaded_Data!$N$2:$N$59696)</f>
        <v>417.76000000000005</v>
      </c>
      <c r="F16" s="80" cm="1">
        <f t="array" ref="F16">SUMPRODUCT((Uploaded_Data!$D$2:$D$59696="Production Transfers")*(Uploaded_Data!$E$2:$E$59696="North Mine to Direct Pile (Bypass Crusher)")*(Uploaded_Data!$F$2:$F$59696="HG")*(Uploaded_Data!$H$2:$H$59696=$A16)*Uploaded_Data!$N$2:$N$59696)</f>
        <v>0</v>
      </c>
      <c r="G16" s="80" cm="1">
        <f t="array" ref="G16">SUMPRODUCT((Uploaded_Data!$D$2:$D$59696="Production Transfers")*(Uploaded_Data!$E$2:$E$59696="North Mine to Stock Yard")*(Uploaded_Data!$F$2:$F$59696="HG")*(Uploaded_Data!$H$2:$H$59696=$A16)*Uploaded_Data!$N$2:$N$59696)</f>
        <v>163.07999999999998</v>
      </c>
      <c r="H16" s="80" cm="1">
        <f t="array" ref="H16">SUMPRODUCT((Uploaded_Data!$D$2:$D$59696="Internal Transfers")*(Uploaded_Data!$E$2:$E$59696="Stock Yard to Pile (through Crusher)")*(Uploaded_Data!$F$2:$F$59696="HG")*(Uploaded_Data!$H$2:$H$59696=$A16)*Uploaded_Data!$N$2:$N$59696)</f>
        <v>653.93999999999994</v>
      </c>
      <c r="I16" s="80" cm="1">
        <f t="array" ref="I16">SUMPRODUCT((Uploaded_Data!$D$2:$D$59696="Internal Transfers")*(Uploaded_Data!$E$2:$E$59696="Stock Yard to Direct Pile (Bypass Crusher)")*(Uploaded_Data!$F$2:$F$59696="HG")*(Uploaded_Data!$H$2:$H$59696=$A16)*Uploaded_Data!$N$2:$N$59696)</f>
        <v>0</v>
      </c>
      <c r="J16" s="80" cm="1">
        <f t="array" ref="J16">SUMPRODUCT((Uploaded_Data!$D$2:$D$59696="Production Transfers")*(Uploaded_Data!$E$2:$E$59696="South Mine to Pile (through Crusher)")*(Uploaded_Data!$F$2:$F$59696="LG1")*(Uploaded_Data!$H$2:$H$59696=$A16)*Uploaded_Data!$N$2:$N$59696)</f>
        <v>0</v>
      </c>
      <c r="K16" s="80" cm="1">
        <f t="array" ref="K16">SUMPRODUCT((Uploaded_Data!$D$2:$D$59696="Production Transfers")*(Uploaded_Data!$E$2:$E$59696="South Mine to Direct Pile (Bypass Crusher)")*(Uploaded_Data!$F$2:$F$59696="LG1")*(Uploaded_Data!$H$2:$H$59696=$A16)*Uploaded_Data!$N$2:$N$59696)</f>
        <v>0</v>
      </c>
      <c r="L16" s="80" cm="1">
        <f t="array" ref="L16">SUMPRODUCT((Uploaded_Data!$D$2:$D$59696="Production Transfers")*(Uploaded_Data!$E$2:$E$59696="South Mine to Stock Yard")*(Uploaded_Data!$F$2:$F$59696="LG1")*(Uploaded_Data!$H$2:$H$59696=$A16)*Uploaded_Data!$N$2:$N$59696)</f>
        <v>0</v>
      </c>
      <c r="M16" s="80" cm="1">
        <f t="array" ref="M16">SUMPRODUCT((Uploaded_Data!$D$2:$D$59696="Production Transfers")*(Uploaded_Data!$E$2:$E$59696="North Mine to Pile (through Crusher)")*(Uploaded_Data!$F$2:$F$59696="LG1")*(Uploaded_Data!$H$2:$H$59696=$A16)*Uploaded_Data!$N$2:$N$59696)</f>
        <v>132.06</v>
      </c>
      <c r="N16" s="80" cm="1">
        <f t="array" ref="N16">SUMPRODUCT((Uploaded_Data!$D$2:$D$59696="Production Transfers")*(Uploaded_Data!$E$2:$E$59696="North Mine to Direct Pile (Bypass Crusher)")*(Uploaded_Data!$F$2:$F$59696="LG1")*(Uploaded_Data!$H$2:$H$59696=$A16)*Uploaded_Data!$N$2:$N$59696)</f>
        <v>0</v>
      </c>
      <c r="O16" s="80" cm="1">
        <f t="array" ref="O16">SUMPRODUCT((Uploaded_Data!$D$2:$D$59696="Production Transfers")*(Uploaded_Data!$E$2:$E$59696="North Mine to Stock Yard")*(Uploaded_Data!$F$2:$F$59696="LG1")*(Uploaded_Data!$H$2:$H$59696=$A16)*Uploaded_Data!$N$2:$N$59696)</f>
        <v>0</v>
      </c>
      <c r="P16" s="80" cm="1">
        <f t="array" ref="P16">SUMPRODUCT((Uploaded_Data!$D$2:$D$59696="Internal Transfers")*(Uploaded_Data!$E$2:$E$59696="Stock Yard to Pile (through Crusher)")*(Uploaded_Data!$F$2:$F$59696="LG1")*(Uploaded_Data!$H$2:$H$59696=$A16)*Uploaded_Data!$N$2:$N$59696)</f>
        <v>1695.1799999999998</v>
      </c>
      <c r="Q16" s="80" cm="1">
        <f t="array" ref="Q16">SUMPRODUCT((Uploaded_Data!$D$2:$D$59696="Internal Transfers")*(Uploaded_Data!$E$2:$E$59696="Stock Yard to Direct Pile (Bypass Crusher)")*(Uploaded_Data!$F$2:$F$59696="LG1")*(Uploaded_Data!$H$2:$H$59696=$A16)*Uploaded_Data!$N$2:$N$59696)</f>
        <v>0</v>
      </c>
      <c r="R16" s="80" cm="1">
        <f t="array" ref="R16">SUMPRODUCT((Uploaded_Data!$D$2:$D$59696="Internal Transfers")*(Uploaded_Data!$E$2:$E$59696="Stock Yard to Other Usages")*(Uploaded_Data!$F$2:$F$59696="LG1")*(Uploaded_Data!$H$2:$H$59696=$A16)*Uploaded_Data!$N$2:$N$59696)</f>
        <v>0</v>
      </c>
      <c r="S16" s="80" cm="1">
        <f t="array" ref="S16">SUMPRODUCT((Uploaded_Data!$D$2:$D$59696="Internal Transfers")*(Uploaded_Data!$E$2:$E$59696="Stock Yard to Pile (through Crusher)")*(Uploaded_Data!$F$2:$F$59696="LIMESTONE SPG")*(Uploaded_Data!$H$2:$H$59696=$A16)*Uploaded_Data!$N$2:$N$59696)</f>
        <v>0</v>
      </c>
      <c r="T16" s="80" cm="1">
        <f t="array" ref="T16">SUMPRODUCT((Uploaded_Data!$D$2:$D$59696="Internal Transfers")*(Uploaded_Data!$E$2:$E$59696="Stock Yard to Direct Pile (Bypass Crusher)")*(Uploaded_Data!$F$2:$F$59696="LIMESTONE SPG")*(Uploaded_Data!$H$2:$H$59696=$A16)*Uploaded_Data!$N$2:$N$59696)</f>
        <v>0</v>
      </c>
      <c r="U16" s="80" cm="1">
        <f t="array" ref="U16">SUMPRODUCT((Uploaded_Data!$D$2:$D$59696="Production Transfers")*(Uploaded_Data!$E$2:$E$59696="South Mine to Pile (through Crusher)")*(Uploaded_Data!$F$2:$F$59696="OB/CLAY")*(Uploaded_Data!$H$2:$H$59696=$A16)*Uploaded_Data!$N$2:$N$59696)</f>
        <v>0</v>
      </c>
      <c r="V16" s="80" cm="1">
        <f t="array" ref="V16">SUMPRODUCT((Uploaded_Data!$D$2:$D$59696="Production Transfers")*(Uploaded_Data!$E$2:$E$59696="South Mine to Direct Pile (Bypass Crusher)")*(Uploaded_Data!$F$2:$F$59696="OB/CLAY")*(Uploaded_Data!$H$2:$H$59696=$A16)*Uploaded_Data!$N$2:$N$59696)</f>
        <v>0</v>
      </c>
      <c r="W16" s="80" cm="1">
        <f t="array" ref="W16">SUMPRODUCT((Uploaded_Data!$D$2:$D$59696="Production Transfers")*(Uploaded_Data!$E$2:$E$59696="South Mine to Stock Yard")*(Uploaded_Data!$F$2:$F$59696="OB/CLAY")*(Uploaded_Data!$H$2:$H$59696=$A16)*Uploaded_Data!$N$2:$N$59696)</f>
        <v>0</v>
      </c>
      <c r="X16" s="80" cm="1">
        <f t="array" ref="X16">SUMPRODUCT((Uploaded_Data!$D$2:$D$59696="Production Transfers")*(Uploaded_Data!$E$2:$E$59696="South Mine to Golani Waste dump")*(Uploaded_Data!$F$2:$F$59696="WASTE")*(Uploaded_Data!$H$2:$H$59696=$A16)*Uploaded_Data!$N$2:$N$59696)</f>
        <v>0</v>
      </c>
      <c r="Y16" s="80" cm="1">
        <f t="array" ref="Y16">SUMPRODUCT((Uploaded_Data!$D$2:$D$59696="Production Transfers")*(Uploaded_Data!$E$2:$E$59696="North Mine to Pile (through Crusher)")*(Uploaded_Data!$F$2:$F$59696="OB/CLAY")*(Uploaded_Data!$H$2:$H$59696=$A16)*Uploaded_Data!$N$2:$N$59696)</f>
        <v>0</v>
      </c>
      <c r="Z16" s="80" cm="1">
        <f t="array" ref="Z16">SUMPRODUCT((Uploaded_Data!$D$2:$D$59696="Production Transfers")*(Uploaded_Data!$E$2:$E$59696="North Mine to Direct Pile (Bypass Crusher)")*(Uploaded_Data!$F$2:$F$59696="OB/CLAY")*(Uploaded_Data!$H$2:$H$59696=$A16)*Uploaded_Data!$N$2:$N$59696)</f>
        <v>0</v>
      </c>
      <c r="AA16" s="80" cm="1">
        <f t="array" ref="AA16">SUMPRODUCT((Uploaded_Data!$D$2:$D$59696="Production Transfers")*(Uploaded_Data!$E$2:$E$59696="North Mine to Stock Yard")*(Uploaded_Data!$F$2:$F$59696="OB/CLAY")*(Uploaded_Data!$H$2:$H$59696=$A16)*Uploaded_Data!$N$2:$N$59696)</f>
        <v>0</v>
      </c>
      <c r="AB16" s="80" cm="1">
        <f t="array" ref="AB16">SUMPRODUCT((Uploaded_Data!$D$2:$D$59696="Production Transfers")*(Uploaded_Data!$E$2:$E$59696="North Mine to Golani Waste dump")*(Uploaded_Data!$F$2:$F$59696="WASTE")*(Uploaded_Data!$H$2:$H$59696=$A16)*Uploaded_Data!$N$2:$N$59696)</f>
        <v>0</v>
      </c>
      <c r="AC16" s="80" cm="1">
        <f t="array" ref="AC16">SUMPRODUCT((Uploaded_Data!$D$2:$D$59696="Internal Transfers")*(Uploaded_Data!$E$2:$E$59696="Stock Yard to Pile (through Crusher)")*(Uploaded_Data!$F$2:$F$59696="OB/CLAY")*(Uploaded_Data!$H$2:$H$59696=$A16)*Uploaded_Data!$N$2:$N$59696)</f>
        <v>0</v>
      </c>
      <c r="AD16" s="80" cm="1">
        <f t="array" ref="AD16">SUMPRODUCT((Uploaded_Data!$D$2:$D$59696="Internal Transfers")*(Uploaded_Data!$E$2:$E$59696="Stock Yard to Other Usages")*(Uploaded_Data!$F$2:$F$59696="OB/CLAY")*(Uploaded_Data!$H$2:$H$59696=$A16)*Uploaded_Data!$N$2:$N$59696)</f>
        <v>0</v>
      </c>
      <c r="AE16" s="80" cm="1">
        <f t="array" ref="AE16">SUMPRODUCT((Uploaded_Data!$D$2:$D$59696="Internal Transfers")*(Uploaded_Data!$E$2:$E$59696="Stock Yard to Direct Pile (Bypass Crusher)")*(Uploaded_Data!$F$2:$F$59696="OB/CLAY")*(Uploaded_Data!$H$2:$H$59696=$A16)*Uploaded_Data!$N$2:$N$59696)</f>
        <v>0</v>
      </c>
      <c r="AF16" s="80" cm="1">
        <f t="array" ref="AF16">SUMPRODUCT((Uploaded_Data!$D$2:$D$59696="Production Transfers")*(Uploaded_Data!$E$2:$E$59696="South Mine to Pile (through Crusher)")*(Uploaded_Data!$F$2:$F$59696="HGHMGO")*(Uploaded_Data!$H$2:$H$59696=$A16)*Uploaded_Data!$N$2:$N$59696)</f>
        <v>0</v>
      </c>
      <c r="AG16" s="80" cm="1">
        <f t="array" ref="AG16">SUMPRODUCT((Uploaded_Data!$D$2:$D$59696="Production Transfers")*(Uploaded_Data!$E$2:$E$59696="South Mine to Direct Pile (Bypass Crusher)")*(Uploaded_Data!$F$2:$F$59696="HGHMGO")*(Uploaded_Data!$H$2:$H$59696=$A16)*Uploaded_Data!$N$2:$N$59696)</f>
        <v>0</v>
      </c>
      <c r="AH16" s="80" cm="1">
        <f t="array" ref="AH16">SUMPRODUCT((Uploaded_Data!$D$2:$D$59696="Production Transfers")*(Uploaded_Data!$E$2:$E$59696="South Mine to Stock Yard")*(Uploaded_Data!$F$2:$F$59696="HGHMGO")*(Uploaded_Data!$H$2:$H$59696=$A16)*Uploaded_Data!$N$2:$N$59696)</f>
        <v>0</v>
      </c>
      <c r="AI16" s="80" cm="1">
        <f t="array" ref="AI16">SUMPRODUCT((Uploaded_Data!$D$2:$D$59696="Internal Transfers")*(Uploaded_Data!$E$2:$E$59696="Stock Yard to Pile (through Crusher)")*(Uploaded_Data!$F$2:$F$59696="HGHMGO")*(Uploaded_Data!$H$2:$H$59696=$A16)*Uploaded_Data!$N$2:$N$59696)</f>
        <v>0</v>
      </c>
      <c r="AJ16" s="80" cm="1">
        <f t="array" ref="AJ16">SUMPRODUCT((Uploaded_Data!$D$2:$D$59696="Production Transfers")*(Uploaded_Data!$E$2:$E$59696="South Mine to Pile (through Crusher)")*(Uploaded_Data!$F$2:$F$59696="LGHMGO")*(Uploaded_Data!$H$2:$H$59696=$A16)*Uploaded_Data!$N$2:$N$59696)</f>
        <v>0</v>
      </c>
      <c r="AK16" s="80" cm="1">
        <f t="array" ref="AK16">SUMPRODUCT((Uploaded_Data!$D$2:$D$59696="Production Transfers")*(Uploaded_Data!$E$2:$E$59696="South Mine to Direct Pile (Bypass Crusher)")*(Uploaded_Data!$F$2:$F$59696="LGHMGO")*(Uploaded_Data!$H$2:$H$59696=$A16)*Uploaded_Data!$N$2:$N$59696)</f>
        <v>0</v>
      </c>
      <c r="AL16" s="80" cm="1">
        <f t="array" ref="AL16">SUMPRODUCT((Uploaded_Data!$D$2:$D$59696="Production Transfers")*(Uploaded_Data!$E$2:$E$59696="South Mine to Stock Yard")*(Uploaded_Data!$F$2:$F$59696="LGHMGO")*(Uploaded_Data!$H$2:$H$59696=$A16)*Uploaded_Data!$N$2:$N$59696)</f>
        <v>0</v>
      </c>
      <c r="AM16" s="80" cm="1">
        <f t="array" ref="AM16">SUMPRODUCT((Uploaded_Data!$D$2:$D$59696="Internal Transfers")*(Uploaded_Data!$E$2:$E$59696="Stock Yard to Pile (through Crusher)")*(Uploaded_Data!$F$2:$F$59696="LGHMGO")*(Uploaded_Data!$H$2:$H$59696=$A16)*Uploaded_Data!$N$2:$N$59696)</f>
        <v>0</v>
      </c>
      <c r="AN16" s="102">
        <f t="shared" si="0"/>
        <v>3062.0199999999995</v>
      </c>
      <c r="AO16" s="108"/>
      <c r="AP16" s="109" cm="1">
        <f t="array" ref="AP16">SUMPRODUCT((Uploaded_Data!$D$2:$D$59696="Internal Transfers")*(Uploaded_Data!$E$2:$E$59696="Stock Yard to Pile (through Crusher)")*(Uploaded_Data!$F$2:$F$59696="GYPSUM")*(Uploaded_Data!$H$2:$H$59696=$A16)*Uploaded_Data!$N$2:$N$59696)</f>
        <v>0</v>
      </c>
      <c r="AQ16" s="109" cm="1">
        <f t="array" ref="AQ16">SUMPRODUCT((Uploaded_Data!$D$2:$D$59696="Internal Transfers")*(Uploaded_Data!$E$2:$E$59696="Stock Yard to Direct Pile (Bypass Crusher)")*(Uploaded_Data!$F$2:$F$59696="GYPSUM")*(Uploaded_Data!$H$2:$H$59696=$A16)*Uploaded_Data!$N$2:$N$59696)</f>
        <v>0</v>
      </c>
      <c r="AR16" s="109" cm="1">
        <f t="array" ref="AR16">SUMPRODUCT((Uploaded_Data!$D$2:$D$59696="Internal Transfers")*(Uploaded_Data!$E$2:$E$59696="Stock Yard to Other Usages")*(Uploaded_Data!$F$2:$F$59696="ID Clay")*(Uploaded_Data!$H$2:$H$59696=$A16)*Uploaded_Data!$N$2:$N$59696)</f>
        <v>0</v>
      </c>
      <c r="AS16" s="109" cm="1">
        <f t="array" ref="AS16">SUMPRODUCT((Uploaded_Data!$D$2:$D$59696="Internal Transfers")*(Uploaded_Data!$E$2:$E$59696="Stock Yard to Direct Pile (Bypass Crusher)")*(Uploaded_Data!$F$2:$F$59696="ID Clay")*(Uploaded_Data!$H$2:$H$59696=$A16)*Uploaded_Data!$N$2:$N$59696)</f>
        <v>0</v>
      </c>
      <c r="AT16" s="109" cm="1">
        <f t="array" ref="AT16">SUMPRODUCT((Uploaded_Data!$D$2:$D$59696="Production Transfers")*(Uploaded_Data!$E$2:$E$59696="Kijaka Mine to Stock Yard")*(Uploaded_Data!$F$2:$F$59696="ID Clay")*(Uploaded_Data!$H$2:$H$59696=$A16)*Uploaded_Data!$N$2:$N$59696)</f>
        <v>0</v>
      </c>
      <c r="AU16" s="102">
        <f t="shared" si="1"/>
        <v>3062.0199999999995</v>
      </c>
      <c r="AV16" s="109">
        <f t="shared" si="2"/>
        <v>3062.0199999999995</v>
      </c>
      <c r="AW16" s="109"/>
      <c r="AX16" s="109"/>
      <c r="AY16" s="114"/>
      <c r="AZ16" s="110">
        <f t="shared" si="3"/>
        <v>2898.94</v>
      </c>
      <c r="BA16" s="112">
        <f t="shared" si="4"/>
        <v>3062.0199999999995</v>
      </c>
      <c r="BB16" s="110"/>
    </row>
    <row r="17" spans="1:54" s="63" customFormat="1">
      <c r="A17" s="79">
        <v>46125</v>
      </c>
      <c r="B17" s="80" cm="1">
        <f t="array" ref="B17">SUMPRODUCT((Uploaded_Data!$D$2:$D$59696="Production Transfers")*(Uploaded_Data!$E$2:$E$59696="South Mine to Pile (through Crusher)")*(Uploaded_Data!$F$2:$F$59696="HG")*(Uploaded_Data!$H$2:$H$59696=$A17)*Uploaded_Data!$N$2:$N$59696)</f>
        <v>0</v>
      </c>
      <c r="C17" s="80" cm="1">
        <f t="array" ref="C17">SUMPRODUCT((Uploaded_Data!$D$2:$D$59696="Production Transfers")*(Uploaded_Data!$E$2:$E$59696="South Mine to Direct Pile (Bypass Crusher)")*(Uploaded_Data!$F$2:$F$59696="HG")*(Uploaded_Data!$H$2:$H$59696=$A17)*Uploaded_Data!$N$2:$N$59696)</f>
        <v>0</v>
      </c>
      <c r="D17" s="63" cm="1">
        <f t="array" ref="D17">SUMPRODUCT((Uploaded_Data!$D$2:$D$59696="Production Transfers")*(Uploaded_Data!$E$2:$E$59696="South Mine to Stock Yard")*(Uploaded_Data!$F$2:$F$59696="HG")*(Uploaded_Data!$H$2:$H$59696=$A17)*Uploaded_Data!$N$2:$N$59696)</f>
        <v>0</v>
      </c>
      <c r="E17" s="80" cm="1">
        <f t="array" ref="E17">SUMPRODUCT((Uploaded_Data!$D$2:$D$59696="Production Transfers")*(Uploaded_Data!$E$2:$E$59696="North Mine to Pile (through Crusher)")*(Uploaded_Data!$F$2:$F$59696="HG")*(Uploaded_Data!$H$2:$H$59696=$A17)*Uploaded_Data!$N$2:$N$59696)</f>
        <v>0</v>
      </c>
      <c r="F17" s="80" cm="1">
        <f t="array" ref="F17">SUMPRODUCT((Uploaded_Data!$D$2:$D$59696="Production Transfers")*(Uploaded_Data!$E$2:$E$59696="North Mine to Direct Pile (Bypass Crusher)")*(Uploaded_Data!$F$2:$F$59696="HG")*(Uploaded_Data!$H$2:$H$59696=$A17)*Uploaded_Data!$N$2:$N$59696)</f>
        <v>0</v>
      </c>
      <c r="G17" s="80" cm="1">
        <f t="array" ref="G17">SUMPRODUCT((Uploaded_Data!$D$2:$D$59696="Production Transfers")*(Uploaded_Data!$E$2:$E$59696="North Mine to Stock Yard")*(Uploaded_Data!$F$2:$F$59696="HG")*(Uploaded_Data!$H$2:$H$59696=$A17)*Uploaded_Data!$N$2:$N$59696)</f>
        <v>0</v>
      </c>
      <c r="H17" s="80" cm="1">
        <f t="array" ref="H17">SUMPRODUCT((Uploaded_Data!$D$2:$D$59696="Internal Transfers")*(Uploaded_Data!$E$2:$E$59696="Stock Yard to Pile (through Crusher)")*(Uploaded_Data!$F$2:$F$59696="HG")*(Uploaded_Data!$H$2:$H$59696=$A17)*Uploaded_Data!$N$2:$N$59696)</f>
        <v>0</v>
      </c>
      <c r="I17" s="80" cm="1">
        <f t="array" ref="I17">SUMPRODUCT((Uploaded_Data!$D$2:$D$59696="Internal Transfers")*(Uploaded_Data!$E$2:$E$59696="Stock Yard to Direct Pile (Bypass Crusher)")*(Uploaded_Data!$F$2:$F$59696="HG")*(Uploaded_Data!$H$2:$H$59696=$A17)*Uploaded_Data!$N$2:$N$59696)</f>
        <v>0</v>
      </c>
      <c r="J17" s="80" cm="1">
        <f t="array" ref="J17">SUMPRODUCT((Uploaded_Data!$D$2:$D$59696="Production Transfers")*(Uploaded_Data!$E$2:$E$59696="South Mine to Pile (through Crusher)")*(Uploaded_Data!$F$2:$F$59696="LG1")*(Uploaded_Data!$H$2:$H$59696=$A17)*Uploaded_Data!$N$2:$N$59696)</f>
        <v>0</v>
      </c>
      <c r="K17" s="80" cm="1">
        <f t="array" ref="K17">SUMPRODUCT((Uploaded_Data!$D$2:$D$59696="Production Transfers")*(Uploaded_Data!$E$2:$E$59696="South Mine to Direct Pile (Bypass Crusher)")*(Uploaded_Data!$F$2:$F$59696="LG1")*(Uploaded_Data!$H$2:$H$59696=$A17)*Uploaded_Data!$N$2:$N$59696)</f>
        <v>0</v>
      </c>
      <c r="L17" s="80" cm="1">
        <f t="array" ref="L17">SUMPRODUCT((Uploaded_Data!$D$2:$D$59696="Production Transfers")*(Uploaded_Data!$E$2:$E$59696="South Mine to Stock Yard")*(Uploaded_Data!$F$2:$F$59696="LG1")*(Uploaded_Data!$H$2:$H$59696=$A17)*Uploaded_Data!$N$2:$N$59696)</f>
        <v>0</v>
      </c>
      <c r="M17" s="80" cm="1">
        <f t="array" ref="M17">SUMPRODUCT((Uploaded_Data!$D$2:$D$59696="Production Transfers")*(Uploaded_Data!$E$2:$E$59696="North Mine to Pile (through Crusher)")*(Uploaded_Data!$F$2:$F$59696="LG1")*(Uploaded_Data!$H$2:$H$59696=$A17)*Uploaded_Data!$N$2:$N$59696)</f>
        <v>507.39999999999986</v>
      </c>
      <c r="N17" s="80" cm="1">
        <f t="array" ref="N17">SUMPRODUCT((Uploaded_Data!$D$2:$D$59696="Production Transfers")*(Uploaded_Data!$E$2:$E$59696="North Mine to Direct Pile (Bypass Crusher)")*(Uploaded_Data!$F$2:$F$59696="LG1")*(Uploaded_Data!$H$2:$H$59696=$A17)*Uploaded_Data!$N$2:$N$59696)</f>
        <v>0</v>
      </c>
      <c r="O17" s="80" cm="1">
        <f t="array" ref="O17">SUMPRODUCT((Uploaded_Data!$D$2:$D$59696="Production Transfers")*(Uploaded_Data!$E$2:$E$59696="North Mine to Stock Yard")*(Uploaded_Data!$F$2:$F$59696="LG1")*(Uploaded_Data!$H$2:$H$59696=$A17)*Uploaded_Data!$N$2:$N$59696)</f>
        <v>700.57999999999993</v>
      </c>
      <c r="P17" s="80" cm="1">
        <f t="array" ref="P17">SUMPRODUCT((Uploaded_Data!$D$2:$D$59696="Internal Transfers")*(Uploaded_Data!$E$2:$E$59696="Stock Yard to Pile (through Crusher)")*(Uploaded_Data!$F$2:$F$59696="LG1")*(Uploaded_Data!$H$2:$H$59696=$A17)*Uploaded_Data!$N$2:$N$59696)</f>
        <v>1882.8599999999997</v>
      </c>
      <c r="Q17" s="80" cm="1">
        <f t="array" ref="Q17">SUMPRODUCT((Uploaded_Data!$D$2:$D$59696="Internal Transfers")*(Uploaded_Data!$E$2:$E$59696="Stock Yard to Direct Pile (Bypass Crusher)")*(Uploaded_Data!$F$2:$F$59696="LG1")*(Uploaded_Data!$H$2:$H$59696=$A17)*Uploaded_Data!$N$2:$N$59696)</f>
        <v>0</v>
      </c>
      <c r="R17" s="80" cm="1">
        <f t="array" ref="R17">SUMPRODUCT((Uploaded_Data!$D$2:$D$59696="Internal Transfers")*(Uploaded_Data!$E$2:$E$59696="Stock Yard to Other Usages")*(Uploaded_Data!$F$2:$F$59696="LG1")*(Uploaded_Data!$H$2:$H$59696=$A17)*Uploaded_Data!$N$2:$N$59696)</f>
        <v>0</v>
      </c>
      <c r="S17" s="80" cm="1">
        <f t="array" ref="S17">SUMPRODUCT((Uploaded_Data!$D$2:$D$59696="Internal Transfers")*(Uploaded_Data!$E$2:$E$59696="Stock Yard to Pile (through Crusher)")*(Uploaded_Data!$F$2:$F$59696="LIMESTONE SPG")*(Uploaded_Data!$H$2:$H$59696=$A17)*Uploaded_Data!$N$2:$N$59696)</f>
        <v>0</v>
      </c>
      <c r="T17" s="80" cm="1">
        <f t="array" ref="T17">SUMPRODUCT((Uploaded_Data!$D$2:$D$59696="Internal Transfers")*(Uploaded_Data!$E$2:$E$59696="Stock Yard to Direct Pile (Bypass Crusher)")*(Uploaded_Data!$F$2:$F$59696="LIMESTONE SPG")*(Uploaded_Data!$H$2:$H$59696=$A17)*Uploaded_Data!$N$2:$N$59696)</f>
        <v>0</v>
      </c>
      <c r="U17" s="80" cm="1">
        <f t="array" ref="U17">SUMPRODUCT((Uploaded_Data!$D$2:$D$59696="Production Transfers")*(Uploaded_Data!$E$2:$E$59696="South Mine to Pile (through Crusher)")*(Uploaded_Data!$F$2:$F$59696="OB/CLAY")*(Uploaded_Data!$H$2:$H$59696=$A17)*Uploaded_Data!$N$2:$N$59696)</f>
        <v>0</v>
      </c>
      <c r="V17" s="80" cm="1">
        <f t="array" ref="V17">SUMPRODUCT((Uploaded_Data!$D$2:$D$59696="Production Transfers")*(Uploaded_Data!$E$2:$E$59696="South Mine to Direct Pile (Bypass Crusher)")*(Uploaded_Data!$F$2:$F$59696="OB/CLAY")*(Uploaded_Data!$H$2:$H$59696=$A17)*Uploaded_Data!$N$2:$N$59696)</f>
        <v>0</v>
      </c>
      <c r="W17" s="80" cm="1">
        <f t="array" ref="W17">SUMPRODUCT((Uploaded_Data!$D$2:$D$59696="Production Transfers")*(Uploaded_Data!$E$2:$E$59696="South Mine to Stock Yard")*(Uploaded_Data!$F$2:$F$59696="OB/CLAY")*(Uploaded_Data!$H$2:$H$59696=$A17)*Uploaded_Data!$N$2:$N$59696)</f>
        <v>0</v>
      </c>
      <c r="X17" s="80" cm="1">
        <f t="array" ref="X17">SUMPRODUCT((Uploaded_Data!$D$2:$D$59696="Production Transfers")*(Uploaded_Data!$E$2:$E$59696="South Mine to Golani Waste dump")*(Uploaded_Data!$F$2:$F$59696="WASTE")*(Uploaded_Data!$H$2:$H$59696=$A17)*Uploaded_Data!$N$2:$N$59696)</f>
        <v>0</v>
      </c>
      <c r="Y17" s="80" cm="1">
        <f t="array" ref="Y17">SUMPRODUCT((Uploaded_Data!$D$2:$D$59696="Production Transfers")*(Uploaded_Data!$E$2:$E$59696="North Mine to Pile (through Crusher)")*(Uploaded_Data!$F$2:$F$59696="OB/CLAY")*(Uploaded_Data!$H$2:$H$59696=$A17)*Uploaded_Data!$N$2:$N$59696)</f>
        <v>0</v>
      </c>
      <c r="Z17" s="80" cm="1">
        <f t="array" ref="Z17">SUMPRODUCT((Uploaded_Data!$D$2:$D$59696="Production Transfers")*(Uploaded_Data!$E$2:$E$59696="North Mine to Direct Pile (Bypass Crusher)")*(Uploaded_Data!$F$2:$F$59696="OB/CLAY")*(Uploaded_Data!$H$2:$H$59696=$A17)*Uploaded_Data!$N$2:$N$59696)</f>
        <v>0</v>
      </c>
      <c r="AA17" s="80" cm="1">
        <f t="array" ref="AA17">SUMPRODUCT((Uploaded_Data!$D$2:$D$59696="Production Transfers")*(Uploaded_Data!$E$2:$E$59696="North Mine to Stock Yard")*(Uploaded_Data!$F$2:$F$59696="OB/CLAY")*(Uploaded_Data!$H$2:$H$59696=$A17)*Uploaded_Data!$N$2:$N$59696)</f>
        <v>0</v>
      </c>
      <c r="AB17" s="80" cm="1">
        <f t="array" ref="AB17">SUMPRODUCT((Uploaded_Data!$D$2:$D$59696="Production Transfers")*(Uploaded_Data!$E$2:$E$59696="North Mine to Golani Waste dump")*(Uploaded_Data!$F$2:$F$59696="WASTE")*(Uploaded_Data!$H$2:$H$59696=$A17)*Uploaded_Data!$N$2:$N$59696)</f>
        <v>0</v>
      </c>
      <c r="AC17" s="80" cm="1">
        <f t="array" ref="AC17">SUMPRODUCT((Uploaded_Data!$D$2:$D$59696="Internal Transfers")*(Uploaded_Data!$E$2:$E$59696="Stock Yard to Pile (through Crusher)")*(Uploaded_Data!$F$2:$F$59696="OB/CLAY")*(Uploaded_Data!$H$2:$H$59696=$A17)*Uploaded_Data!$N$2:$N$59696)</f>
        <v>0</v>
      </c>
      <c r="AD17" s="80" cm="1">
        <f t="array" ref="AD17">SUMPRODUCT((Uploaded_Data!$D$2:$D$59696="Internal Transfers")*(Uploaded_Data!$E$2:$E$59696="Stock Yard to Other Usages")*(Uploaded_Data!$F$2:$F$59696="OB/CLAY")*(Uploaded_Data!$H$2:$H$59696=$A17)*Uploaded_Data!$N$2:$N$59696)</f>
        <v>0</v>
      </c>
      <c r="AE17" s="80" cm="1">
        <f t="array" ref="AE17">SUMPRODUCT((Uploaded_Data!$D$2:$D$59696="Internal Transfers")*(Uploaded_Data!$E$2:$E$59696="Stock Yard to Direct Pile (Bypass Crusher)")*(Uploaded_Data!$F$2:$F$59696="OB/CLAY")*(Uploaded_Data!$H$2:$H$59696=$A17)*Uploaded_Data!$N$2:$N$59696)</f>
        <v>0</v>
      </c>
      <c r="AF17" s="80" cm="1">
        <f t="array" ref="AF17">SUMPRODUCT((Uploaded_Data!$D$2:$D$59696="Production Transfers")*(Uploaded_Data!$E$2:$E$59696="South Mine to Pile (through Crusher)")*(Uploaded_Data!$F$2:$F$59696="HGHMGO")*(Uploaded_Data!$H$2:$H$59696=$A17)*Uploaded_Data!$N$2:$N$59696)</f>
        <v>0</v>
      </c>
      <c r="AG17" s="80" cm="1">
        <f t="array" ref="AG17">SUMPRODUCT((Uploaded_Data!$D$2:$D$59696="Production Transfers")*(Uploaded_Data!$E$2:$E$59696="South Mine to Direct Pile (Bypass Crusher)")*(Uploaded_Data!$F$2:$F$59696="HGHMGO")*(Uploaded_Data!$H$2:$H$59696=$A17)*Uploaded_Data!$N$2:$N$59696)</f>
        <v>0</v>
      </c>
      <c r="AH17" s="80" cm="1">
        <f t="array" ref="AH17">SUMPRODUCT((Uploaded_Data!$D$2:$D$59696="Production Transfers")*(Uploaded_Data!$E$2:$E$59696="South Mine to Stock Yard")*(Uploaded_Data!$F$2:$F$59696="HGHMGO")*(Uploaded_Data!$H$2:$H$59696=$A17)*Uploaded_Data!$N$2:$N$59696)</f>
        <v>0</v>
      </c>
      <c r="AI17" s="80" cm="1">
        <f t="array" ref="AI17">SUMPRODUCT((Uploaded_Data!$D$2:$D$59696="Internal Transfers")*(Uploaded_Data!$E$2:$E$59696="Stock Yard to Pile (through Crusher)")*(Uploaded_Data!$F$2:$F$59696="HGHMGO")*(Uploaded_Data!$H$2:$H$59696=$A17)*Uploaded_Data!$N$2:$N$59696)</f>
        <v>0</v>
      </c>
      <c r="AJ17" s="80" cm="1">
        <f t="array" ref="AJ17">SUMPRODUCT((Uploaded_Data!$D$2:$D$59696="Production Transfers")*(Uploaded_Data!$E$2:$E$59696="South Mine to Pile (through Crusher)")*(Uploaded_Data!$F$2:$F$59696="LGHMGO")*(Uploaded_Data!$H$2:$H$59696=$A17)*Uploaded_Data!$N$2:$N$59696)</f>
        <v>0</v>
      </c>
      <c r="AK17" s="80" cm="1">
        <f t="array" ref="AK17">SUMPRODUCT((Uploaded_Data!$D$2:$D$59696="Production Transfers")*(Uploaded_Data!$E$2:$E$59696="South Mine to Direct Pile (Bypass Crusher)")*(Uploaded_Data!$F$2:$F$59696="LGHMGO")*(Uploaded_Data!$H$2:$H$59696=$A17)*Uploaded_Data!$N$2:$N$59696)</f>
        <v>0</v>
      </c>
      <c r="AL17" s="80" cm="1">
        <f t="array" ref="AL17">SUMPRODUCT((Uploaded_Data!$D$2:$D$59696="Production Transfers")*(Uploaded_Data!$E$2:$E$59696="South Mine to Stock Yard")*(Uploaded_Data!$F$2:$F$59696="LGHMGO")*(Uploaded_Data!$H$2:$H$59696=$A17)*Uploaded_Data!$N$2:$N$59696)</f>
        <v>0</v>
      </c>
      <c r="AM17" s="80" cm="1">
        <f t="array" ref="AM17">SUMPRODUCT((Uploaded_Data!$D$2:$D$59696="Internal Transfers")*(Uploaded_Data!$E$2:$E$59696="Stock Yard to Pile (through Crusher)")*(Uploaded_Data!$F$2:$F$59696="LGHMGO")*(Uploaded_Data!$H$2:$H$59696=$A17)*Uploaded_Data!$N$2:$N$59696)</f>
        <v>0</v>
      </c>
      <c r="AN17" s="102">
        <f t="shared" si="0"/>
        <v>3090.8399999999992</v>
      </c>
      <c r="AO17" s="110"/>
      <c r="AP17" s="109" cm="1">
        <f t="array" ref="AP17">SUMPRODUCT((Uploaded_Data!$D$2:$D$59696="Internal Transfers")*(Uploaded_Data!$E$2:$E$59696="Stock Yard to Pile (through Crusher)")*(Uploaded_Data!$F$2:$F$59696="GYPSUM")*(Uploaded_Data!$H$2:$H$59696=$A17)*Uploaded_Data!$N$2:$N$59696)</f>
        <v>0</v>
      </c>
      <c r="AQ17" s="109" cm="1">
        <f t="array" ref="AQ17">SUMPRODUCT((Uploaded_Data!$D$2:$D$59696="Internal Transfers")*(Uploaded_Data!$E$2:$E$59696="Stock Yard to Direct Pile (Bypass Crusher)")*(Uploaded_Data!$F$2:$F$59696="GYPSUM")*(Uploaded_Data!$H$2:$H$59696=$A17)*Uploaded_Data!$N$2:$N$59696)</f>
        <v>0</v>
      </c>
      <c r="AR17" s="109" cm="1">
        <f t="array" ref="AR17">SUMPRODUCT((Uploaded_Data!$D$2:$D$59696="Internal Transfers")*(Uploaded_Data!$E$2:$E$59696="Stock Yard to Other Usages")*(Uploaded_Data!$F$2:$F$59696="ID Clay")*(Uploaded_Data!$H$2:$H$59696=$A17)*Uploaded_Data!$N$2:$N$59696)</f>
        <v>0</v>
      </c>
      <c r="AS17" s="109" cm="1">
        <f t="array" ref="AS17">SUMPRODUCT((Uploaded_Data!$D$2:$D$59696="Internal Transfers")*(Uploaded_Data!$E$2:$E$59696="Stock Yard to Direct Pile (Bypass Crusher)")*(Uploaded_Data!$F$2:$F$59696="ID Clay")*(Uploaded_Data!$H$2:$H$59696=$A17)*Uploaded_Data!$N$2:$N$59696)</f>
        <v>0</v>
      </c>
      <c r="AT17" s="109" cm="1">
        <f t="array" ref="AT17">SUMPRODUCT((Uploaded_Data!$D$2:$D$59696="Production Transfers")*(Uploaded_Data!$E$2:$E$59696="Kijaka Mine to Stock Yard")*(Uploaded_Data!$F$2:$F$59696="ID Clay")*(Uploaded_Data!$H$2:$H$59696=$A17)*Uploaded_Data!$N$2:$N$59696)</f>
        <v>0</v>
      </c>
      <c r="AU17" s="102">
        <f t="shared" si="1"/>
        <v>3090.8399999999992</v>
      </c>
      <c r="AV17" s="109">
        <f t="shared" si="2"/>
        <v>3090.8399999999992</v>
      </c>
      <c r="AW17" s="109"/>
      <c r="AX17" s="109"/>
      <c r="AY17" s="114"/>
      <c r="AZ17" s="110">
        <f t="shared" si="3"/>
        <v>2390.2599999999993</v>
      </c>
      <c r="BA17" s="112">
        <f t="shared" si="4"/>
        <v>3090.8399999999992</v>
      </c>
      <c r="BB17" s="110"/>
    </row>
    <row r="18" spans="1:54" s="63" customFormat="1">
      <c r="A18" s="79">
        <v>46126</v>
      </c>
      <c r="B18" s="80" cm="1">
        <f t="array" ref="B18">SUMPRODUCT((Uploaded_Data!$D$2:$D$59696="Production Transfers")*(Uploaded_Data!$E$2:$E$59696="South Mine to Pile (through Crusher)")*(Uploaded_Data!$F$2:$F$59696="HG")*(Uploaded_Data!$H$2:$H$59696=$A18)*Uploaded_Data!$N$2:$N$59696)</f>
        <v>0</v>
      </c>
      <c r="C18" s="80" cm="1">
        <f t="array" ref="C18">SUMPRODUCT((Uploaded_Data!$D$2:$D$59696="Production Transfers")*(Uploaded_Data!$E$2:$E$59696="South Mine to Direct Pile (Bypass Crusher)")*(Uploaded_Data!$F$2:$F$59696="HG")*(Uploaded_Data!$H$2:$H$59696=$A18)*Uploaded_Data!$N$2:$N$59696)</f>
        <v>0</v>
      </c>
      <c r="D18" s="80" cm="1">
        <f t="array" ref="D18">SUMPRODUCT((Uploaded_Data!$D$2:$D$59696="Production Transfers")*(Uploaded_Data!$E$2:$E$59696="South Mine to Stock Yard")*(Uploaded_Data!$F$2:$F$59696="HG")*(Uploaded_Data!$H$2:$H$59696=$A18)*Uploaded_Data!$N$2:$N$59696)</f>
        <v>0</v>
      </c>
      <c r="E18" s="80" cm="1">
        <f t="array" ref="E18">SUMPRODUCT((Uploaded_Data!$D$2:$D$59696="Production Transfers")*(Uploaded_Data!$E$2:$E$59696="North Mine to Pile (through Crusher)")*(Uploaded_Data!$F$2:$F$59696="HG")*(Uploaded_Data!$H$2:$H$59696=$A18)*Uploaded_Data!$N$2:$N$59696)</f>
        <v>0</v>
      </c>
      <c r="F18" s="80" cm="1">
        <f t="array" ref="F18">SUMPRODUCT((Uploaded_Data!$D$2:$D$59696="Production Transfers")*(Uploaded_Data!$E$2:$E$59696="North Mine to Direct Pile (Bypass Crusher)")*(Uploaded_Data!$F$2:$F$59696="HG")*(Uploaded_Data!$H$2:$H$59696=$A18)*Uploaded_Data!$N$2:$N$59696)</f>
        <v>0</v>
      </c>
      <c r="G18" s="80" cm="1">
        <f t="array" ref="G18">SUMPRODUCT((Uploaded_Data!$D$2:$D$59696="Production Transfers")*(Uploaded_Data!$E$2:$E$59696="North Mine to Stock Yard")*(Uploaded_Data!$F$2:$F$59696="HG")*(Uploaded_Data!$H$2:$H$59696=$A18)*Uploaded_Data!$N$2:$N$59696)</f>
        <v>0</v>
      </c>
      <c r="H18" s="80" cm="1">
        <f t="array" ref="H18">SUMPRODUCT((Uploaded_Data!$D$2:$D$59696="Internal Transfers")*(Uploaded_Data!$E$2:$E$59696="Stock Yard to Pile (through Crusher)")*(Uploaded_Data!$F$2:$F$59696="HG")*(Uploaded_Data!$H$2:$H$59696=$A18)*Uploaded_Data!$N$2:$N$59696)</f>
        <v>0</v>
      </c>
      <c r="I18" s="80" cm="1">
        <f t="array" ref="I18">SUMPRODUCT((Uploaded_Data!$D$2:$D$59696="Internal Transfers")*(Uploaded_Data!$E$2:$E$59696="Stock Yard to Direct Pile (Bypass Crusher)")*(Uploaded_Data!$F$2:$F$59696="HG")*(Uploaded_Data!$H$2:$H$59696=$A18)*Uploaded_Data!$N$2:$N$59696)</f>
        <v>0</v>
      </c>
      <c r="J18" s="80" cm="1">
        <f t="array" ref="J18">SUMPRODUCT((Uploaded_Data!$D$2:$D$59696="Production Transfers")*(Uploaded_Data!$E$2:$E$59696="South Mine to Pile (through Crusher)")*(Uploaded_Data!$F$2:$F$59696="LG1")*(Uploaded_Data!$H$2:$H$59696=$A18)*Uploaded_Data!$N$2:$N$59696)</f>
        <v>296.96000000000004</v>
      </c>
      <c r="K18" s="80" cm="1">
        <f t="array" ref="K18">SUMPRODUCT((Uploaded_Data!$D$2:$D$59696="Production Transfers")*(Uploaded_Data!$E$2:$E$59696="South Mine to Direct Pile (Bypass Crusher)")*(Uploaded_Data!$F$2:$F$59696="LG1")*(Uploaded_Data!$H$2:$H$59696=$A18)*Uploaded_Data!$N$2:$N$59696)</f>
        <v>174.66</v>
      </c>
      <c r="L18" s="80" cm="1">
        <f t="array" ref="L18">SUMPRODUCT((Uploaded_Data!$D$2:$D$59696="Production Transfers")*(Uploaded_Data!$E$2:$E$59696="South Mine to Stock Yard")*(Uploaded_Data!$F$2:$F$59696="LG1")*(Uploaded_Data!$H$2:$H$59696=$A18)*Uploaded_Data!$N$2:$N$59696)</f>
        <v>0</v>
      </c>
      <c r="M18" s="80" cm="1">
        <f t="array" ref="M18">SUMPRODUCT((Uploaded_Data!$D$2:$D$59696="Production Transfers")*(Uploaded_Data!$E$2:$E$59696="North Mine to Pile (through Crusher)")*(Uploaded_Data!$F$2:$F$59696="LG1")*(Uploaded_Data!$H$2:$H$59696=$A18)*Uploaded_Data!$N$2:$N$59696)</f>
        <v>119.75999999999999</v>
      </c>
      <c r="N18" s="80" cm="1">
        <f t="array" ref="N18">SUMPRODUCT((Uploaded_Data!$D$2:$D$59696="Production Transfers")*(Uploaded_Data!$E$2:$E$59696="North Mine to Direct Pile (Bypass Crusher)")*(Uploaded_Data!$F$2:$F$59696="LG1")*(Uploaded_Data!$H$2:$H$59696=$A18)*Uploaded_Data!$N$2:$N$59696)</f>
        <v>0</v>
      </c>
      <c r="O18" s="80" cm="1">
        <f t="array" ref="O18">SUMPRODUCT((Uploaded_Data!$D$2:$D$59696="Production Transfers")*(Uploaded_Data!$E$2:$E$59696="North Mine to Stock Yard")*(Uploaded_Data!$F$2:$F$59696="LG1")*(Uploaded_Data!$H$2:$H$59696=$A18)*Uploaded_Data!$N$2:$N$59696)</f>
        <v>596.94000000000017</v>
      </c>
      <c r="P18" s="80" cm="1">
        <f t="array" ref="P18">SUMPRODUCT((Uploaded_Data!$D$2:$D$59696="Internal Transfers")*(Uploaded_Data!$E$2:$E$59696="Stock Yard to Pile (through Crusher)")*(Uploaded_Data!$F$2:$F$59696="LG1")*(Uploaded_Data!$H$2:$H$59696=$A18)*Uploaded_Data!$N$2:$N$59696)</f>
        <v>1797.8800000000003</v>
      </c>
      <c r="Q18" s="80" cm="1">
        <f t="array" ref="Q18">SUMPRODUCT((Uploaded_Data!$D$2:$D$59696="Internal Transfers")*(Uploaded_Data!$E$2:$E$59696="Stock Yard to Direct Pile (Bypass Crusher)")*(Uploaded_Data!$F$2:$F$59696="LG1")*(Uploaded_Data!$H$2:$H$59696=$A18)*Uploaded_Data!$N$2:$N$59696)</f>
        <v>0</v>
      </c>
      <c r="R18" s="80" cm="1">
        <f t="array" ref="R18">SUMPRODUCT((Uploaded_Data!$D$2:$D$59696="Internal Transfers")*(Uploaded_Data!$E$2:$E$59696="Stock Yard to Other Usages")*(Uploaded_Data!$F$2:$F$59696="LG1")*(Uploaded_Data!$H$2:$H$59696=$A18)*Uploaded_Data!$N$2:$N$59696)</f>
        <v>0</v>
      </c>
      <c r="S18" s="80" cm="1">
        <f t="array" ref="S18">SUMPRODUCT((Uploaded_Data!$D$2:$D$59696="Internal Transfers")*(Uploaded_Data!$E$2:$E$59696="Stock Yard to Pile (through Crusher)")*(Uploaded_Data!$F$2:$F$59696="LIMESTONE SPG")*(Uploaded_Data!$H$2:$H$59696=$A18)*Uploaded_Data!$N$2:$N$59696)</f>
        <v>0</v>
      </c>
      <c r="T18" s="80" cm="1">
        <f t="array" ref="T18">SUMPRODUCT((Uploaded_Data!$D$2:$D$59696="Internal Transfers")*(Uploaded_Data!$E$2:$E$59696="Stock Yard to Direct Pile (Bypass Crusher)")*(Uploaded_Data!$F$2:$F$59696="LIMESTONE SPG")*(Uploaded_Data!$H$2:$H$59696=$A18)*Uploaded_Data!$N$2:$N$59696)</f>
        <v>0</v>
      </c>
      <c r="U18" s="80" cm="1">
        <f t="array" ref="U18">SUMPRODUCT((Uploaded_Data!$D$2:$D$59696="Production Transfers")*(Uploaded_Data!$E$2:$E$59696="South Mine to Pile (through Crusher)")*(Uploaded_Data!$F$2:$F$59696="OB/CLAY")*(Uploaded_Data!$H$2:$H$59696=$A18)*Uploaded_Data!$N$2:$N$59696)</f>
        <v>0</v>
      </c>
      <c r="V18" s="80" cm="1">
        <f t="array" ref="V18">SUMPRODUCT((Uploaded_Data!$D$2:$D$59696="Production Transfers")*(Uploaded_Data!$E$2:$E$59696="South Mine to Direct Pile (Bypass Crusher)")*(Uploaded_Data!$F$2:$F$59696="OB/CLAY")*(Uploaded_Data!$H$2:$H$59696=$A18)*Uploaded_Data!$N$2:$N$59696)</f>
        <v>0</v>
      </c>
      <c r="W18" s="80" cm="1">
        <f t="array" ref="W18">SUMPRODUCT((Uploaded_Data!$D$2:$D$59696="Production Transfers")*(Uploaded_Data!$E$2:$E$59696="South Mine to Stock Yard")*(Uploaded_Data!$F$2:$F$59696="OB/CLAY")*(Uploaded_Data!$H$2:$H$59696=$A18)*Uploaded_Data!$N$2:$N$59696)</f>
        <v>0</v>
      </c>
      <c r="X18" s="80" cm="1">
        <f t="array" ref="X18">SUMPRODUCT((Uploaded_Data!$D$2:$D$59696="Production Transfers")*(Uploaded_Data!$E$2:$E$59696="South Mine to Golani Waste dump")*(Uploaded_Data!$F$2:$F$59696="WASTE")*(Uploaded_Data!$H$2:$H$59696=$A18)*Uploaded_Data!$N$2:$N$59696)</f>
        <v>0</v>
      </c>
      <c r="Y18" s="80" cm="1">
        <f t="array" ref="Y18">SUMPRODUCT((Uploaded_Data!$D$2:$D$59696="Production Transfers")*(Uploaded_Data!$E$2:$E$59696="North Mine to Pile (through Crusher)")*(Uploaded_Data!$F$2:$F$59696="OB/CLAY")*(Uploaded_Data!$H$2:$H$59696=$A18)*Uploaded_Data!$N$2:$N$59696)</f>
        <v>0</v>
      </c>
      <c r="Z18" s="80" cm="1">
        <f t="array" ref="Z18">SUMPRODUCT((Uploaded_Data!$D$2:$D$59696="Production Transfers")*(Uploaded_Data!$E$2:$E$59696="North Mine to Direct Pile (Bypass Crusher)")*(Uploaded_Data!$F$2:$F$59696="OB/CLAY")*(Uploaded_Data!$H$2:$H$59696=$A18)*Uploaded_Data!$N$2:$N$59696)</f>
        <v>0</v>
      </c>
      <c r="AA18" s="80" cm="1">
        <f t="array" ref="AA18">SUMPRODUCT((Uploaded_Data!$D$2:$D$59696="Production Transfers")*(Uploaded_Data!$E$2:$E$59696="North Mine to Stock Yard")*(Uploaded_Data!$F$2:$F$59696="OB/CLAY")*(Uploaded_Data!$H$2:$H$59696=$A18)*Uploaded_Data!$N$2:$N$59696)</f>
        <v>0</v>
      </c>
      <c r="AB18" s="80" cm="1">
        <f t="array" ref="AB18">SUMPRODUCT((Uploaded_Data!$D$2:$D$59696="Production Transfers")*(Uploaded_Data!$E$2:$E$59696="North Mine to Golani Waste dump")*(Uploaded_Data!$F$2:$F$59696="WASTE")*(Uploaded_Data!$H$2:$H$59696=$A18)*Uploaded_Data!$N$2:$N$59696)</f>
        <v>0</v>
      </c>
      <c r="AC18" s="80" cm="1">
        <f t="array" ref="AC18">SUMPRODUCT((Uploaded_Data!$D$2:$D$59696="Internal Transfers")*(Uploaded_Data!$E$2:$E$59696="Stock Yard to Pile (through Crusher)")*(Uploaded_Data!$F$2:$F$59696="OB/CLAY")*(Uploaded_Data!$H$2:$H$59696=$A18)*Uploaded_Data!$N$2:$N$59696)</f>
        <v>0</v>
      </c>
      <c r="AD18" s="80" cm="1">
        <f t="array" ref="AD18">SUMPRODUCT((Uploaded_Data!$D$2:$D$59696="Internal Transfers")*(Uploaded_Data!$E$2:$E$59696="Stock Yard to Other Usages")*(Uploaded_Data!$F$2:$F$59696="OB/CLAY")*(Uploaded_Data!$H$2:$H$59696=$A18)*Uploaded_Data!$N$2:$N$59696)</f>
        <v>0</v>
      </c>
      <c r="AE18" s="80" cm="1">
        <f t="array" ref="AE18">SUMPRODUCT((Uploaded_Data!$D$2:$D$59696="Internal Transfers")*(Uploaded_Data!$E$2:$E$59696="Stock Yard to Direct Pile (Bypass Crusher)")*(Uploaded_Data!$F$2:$F$59696="OB/CLAY")*(Uploaded_Data!$H$2:$H$59696=$A18)*Uploaded_Data!$N$2:$N$59696)</f>
        <v>0</v>
      </c>
      <c r="AF18" s="80" cm="1">
        <f t="array" ref="AF18">SUMPRODUCT((Uploaded_Data!$D$2:$D$59696="Production Transfers")*(Uploaded_Data!$E$2:$E$59696="South Mine to Pile (through Crusher)")*(Uploaded_Data!$F$2:$F$59696="HGHMGO")*(Uploaded_Data!$H$2:$H$59696=$A18)*Uploaded_Data!$N$2:$N$59696)</f>
        <v>0</v>
      </c>
      <c r="AG18" s="80" cm="1">
        <f t="array" ref="AG18">SUMPRODUCT((Uploaded_Data!$D$2:$D$59696="Production Transfers")*(Uploaded_Data!$E$2:$E$59696="South Mine to Direct Pile (Bypass Crusher)")*(Uploaded_Data!$F$2:$F$59696="HGHMGO")*(Uploaded_Data!$H$2:$H$59696=$A18)*Uploaded_Data!$N$2:$N$59696)</f>
        <v>0</v>
      </c>
      <c r="AH18" s="80" cm="1">
        <f t="array" ref="AH18">SUMPRODUCT((Uploaded_Data!$D$2:$D$59696="Production Transfers")*(Uploaded_Data!$E$2:$E$59696="South Mine to Stock Yard")*(Uploaded_Data!$F$2:$F$59696="HGHMGO")*(Uploaded_Data!$H$2:$H$59696=$A18)*Uploaded_Data!$N$2:$N$59696)</f>
        <v>0</v>
      </c>
      <c r="AI18" s="80" cm="1">
        <f t="array" ref="AI18">SUMPRODUCT((Uploaded_Data!$D$2:$D$59696="Internal Transfers")*(Uploaded_Data!$E$2:$E$59696="Stock Yard to Pile (through Crusher)")*(Uploaded_Data!$F$2:$F$59696="HGHMGO")*(Uploaded_Data!$H$2:$H$59696=$A18)*Uploaded_Data!$N$2:$N$59696)</f>
        <v>0</v>
      </c>
      <c r="AJ18" s="80" cm="1">
        <f t="array" ref="AJ18">SUMPRODUCT((Uploaded_Data!$D$2:$D$59696="Production Transfers")*(Uploaded_Data!$E$2:$E$59696="South Mine to Pile (through Crusher)")*(Uploaded_Data!$F$2:$F$59696="LGHMGO")*(Uploaded_Data!$H$2:$H$59696=$A18)*Uploaded_Data!$N$2:$N$59696)</f>
        <v>0</v>
      </c>
      <c r="AK18" s="80" cm="1">
        <f t="array" ref="AK18">SUMPRODUCT((Uploaded_Data!$D$2:$D$59696="Production Transfers")*(Uploaded_Data!$E$2:$E$59696="South Mine to Direct Pile (Bypass Crusher)")*(Uploaded_Data!$F$2:$F$59696="LGHMGO")*(Uploaded_Data!$H$2:$H$59696=$A18)*Uploaded_Data!$N$2:$N$59696)</f>
        <v>0</v>
      </c>
      <c r="AL18" s="80" cm="1">
        <f t="array" ref="AL18">SUMPRODUCT((Uploaded_Data!$D$2:$D$59696="Production Transfers")*(Uploaded_Data!$E$2:$E$59696="South Mine to Stock Yard")*(Uploaded_Data!$F$2:$F$59696="LGHMGO")*(Uploaded_Data!$H$2:$H$59696=$A18)*Uploaded_Data!$N$2:$N$59696)</f>
        <v>0</v>
      </c>
      <c r="AM18" s="80" cm="1">
        <f t="array" ref="AM18">SUMPRODUCT((Uploaded_Data!$D$2:$D$59696="Internal Transfers")*(Uploaded_Data!$E$2:$E$59696="Stock Yard to Pile (through Crusher)")*(Uploaded_Data!$F$2:$F$59696="LGHMGO")*(Uploaded_Data!$H$2:$H$59696=$A18)*Uploaded_Data!$N$2:$N$59696)</f>
        <v>0</v>
      </c>
      <c r="AN18" s="102">
        <f t="shared" si="0"/>
        <v>2986.2000000000007</v>
      </c>
      <c r="AO18" s="110"/>
      <c r="AP18" s="109" cm="1">
        <f t="array" ref="AP18">SUMPRODUCT((Uploaded_Data!$D$2:$D$59696="Internal Transfers")*(Uploaded_Data!$E$2:$E$59696="Stock Yard to Pile (through Crusher)")*(Uploaded_Data!$F$2:$F$59696="GYPSUM")*(Uploaded_Data!$H$2:$H$59696=$A18)*Uploaded_Data!$N$2:$N$59696)</f>
        <v>0</v>
      </c>
      <c r="AQ18" s="109" cm="1">
        <f t="array" ref="AQ18">SUMPRODUCT((Uploaded_Data!$D$2:$D$59696="Internal Transfers")*(Uploaded_Data!$E$2:$E$59696="Stock Yard to Direct Pile (Bypass Crusher)")*(Uploaded_Data!$F$2:$F$59696="GYPSUM")*(Uploaded_Data!$H$2:$H$59696=$A18)*Uploaded_Data!$N$2:$N$59696)</f>
        <v>0</v>
      </c>
      <c r="AR18" s="109" cm="1">
        <f t="array" ref="AR18">SUMPRODUCT((Uploaded_Data!$D$2:$D$59696="Internal Transfers")*(Uploaded_Data!$E$2:$E$59696="Stock Yard to Other Usages")*(Uploaded_Data!$F$2:$F$59696="ID Clay")*(Uploaded_Data!$H$2:$H$59696=$A18)*Uploaded_Data!$N$2:$N$59696)</f>
        <v>0</v>
      </c>
      <c r="AS18" s="109" cm="1">
        <f t="array" ref="AS18">SUMPRODUCT((Uploaded_Data!$D$2:$D$59696="Internal Transfers")*(Uploaded_Data!$E$2:$E$59696="Stock Yard to Direct Pile (Bypass Crusher)")*(Uploaded_Data!$F$2:$F$59696="ID Clay")*(Uploaded_Data!$H$2:$H$59696=$A18)*Uploaded_Data!$N$2:$N$59696)</f>
        <v>0</v>
      </c>
      <c r="AT18" s="109" cm="1">
        <f t="array" ref="AT18">SUMPRODUCT((Uploaded_Data!$D$2:$D$59696="Production Transfers")*(Uploaded_Data!$E$2:$E$59696="Kijaka Mine to Stock Yard")*(Uploaded_Data!$F$2:$F$59696="ID Clay")*(Uploaded_Data!$H$2:$H$59696=$A18)*Uploaded_Data!$N$2:$N$59696)</f>
        <v>0</v>
      </c>
      <c r="AU18" s="102">
        <f t="shared" si="1"/>
        <v>2986.2000000000007</v>
      </c>
      <c r="AV18" s="109">
        <f t="shared" si="2"/>
        <v>2986.2000000000007</v>
      </c>
      <c r="AW18" s="109"/>
      <c r="AX18" s="109"/>
      <c r="AY18" s="114"/>
      <c r="AZ18" s="110">
        <f t="shared" si="3"/>
        <v>2214.6000000000004</v>
      </c>
      <c r="BA18" s="112">
        <f t="shared" si="4"/>
        <v>2986.2000000000007</v>
      </c>
      <c r="BB18" s="110"/>
    </row>
    <row r="19" spans="1:54" s="63" customFormat="1">
      <c r="A19" s="79">
        <v>46127</v>
      </c>
      <c r="B19" s="80" cm="1">
        <f t="array" ref="B19">SUMPRODUCT((Uploaded_Data!$D$2:$D$59696="Production Transfers")*(Uploaded_Data!$E$2:$E$59696="South Mine to Pile (through Crusher)")*(Uploaded_Data!$F$2:$F$59696="HG")*(Uploaded_Data!$H$2:$H$59696=$A19)*Uploaded_Data!$N$2:$N$59696)</f>
        <v>0</v>
      </c>
      <c r="C19" s="80" cm="1">
        <f t="array" ref="C19">SUMPRODUCT((Uploaded_Data!$D$2:$D$59696="Production Transfers")*(Uploaded_Data!$E$2:$E$59696="South Mine to Direct Pile (Bypass Crusher)")*(Uploaded_Data!$F$2:$F$59696="HG")*(Uploaded_Data!$H$2:$H$59696=$A19)*Uploaded_Data!$N$2:$N$59696)</f>
        <v>0</v>
      </c>
      <c r="D19" s="80" cm="1">
        <f t="array" ref="D19">SUMPRODUCT((Uploaded_Data!$D$2:$D$59696="Production Transfers")*(Uploaded_Data!$E$2:$E$59696="South Mine to Stock Yard")*(Uploaded_Data!$F$2:$F$59696="HG")*(Uploaded_Data!$H$2:$H$59696=$A19)*Uploaded_Data!$N$2:$N$59696)</f>
        <v>0</v>
      </c>
      <c r="E19" s="80" cm="1">
        <f t="array" ref="E19">SUMPRODUCT((Uploaded_Data!$D$2:$D$59696="Production Transfers")*(Uploaded_Data!$E$2:$E$59696="North Mine to Pile (through Crusher)")*(Uploaded_Data!$F$2:$F$59696="HG")*(Uploaded_Data!$H$2:$H$59696=$A19)*Uploaded_Data!$N$2:$N$59696)</f>
        <v>0</v>
      </c>
      <c r="F19" s="80" cm="1">
        <f t="array" ref="F19">SUMPRODUCT((Uploaded_Data!$D$2:$D$59696="Production Transfers")*(Uploaded_Data!$E$2:$E$59696="North Mine to Direct Pile (Bypass Crusher)")*(Uploaded_Data!$F$2:$F$59696="HG")*(Uploaded_Data!$H$2:$H$59696=$A19)*Uploaded_Data!$N$2:$N$59696)</f>
        <v>0</v>
      </c>
      <c r="G19" s="80" cm="1">
        <f t="array" ref="G19">SUMPRODUCT((Uploaded_Data!$D$2:$D$59696="Production Transfers")*(Uploaded_Data!$E$2:$E$59696="North Mine to Stock Yard")*(Uploaded_Data!$F$2:$F$59696="HG")*(Uploaded_Data!$H$2:$H$59696=$A19)*Uploaded_Data!$N$2:$N$59696)</f>
        <v>129.04</v>
      </c>
      <c r="H19" s="80" cm="1">
        <f t="array" ref="H19">SUMPRODUCT((Uploaded_Data!$D$2:$D$59696="Internal Transfers")*(Uploaded_Data!$E$2:$E$59696="Stock Yard to Pile (through Crusher)")*(Uploaded_Data!$F$2:$F$59696="HG")*(Uploaded_Data!$H$2:$H$59696=$A19)*Uploaded_Data!$N$2:$N$59696)</f>
        <v>926.16</v>
      </c>
      <c r="I19" s="80" cm="1">
        <f t="array" ref="I19">SUMPRODUCT((Uploaded_Data!$D$2:$D$59696="Internal Transfers")*(Uploaded_Data!$E$2:$E$59696="Stock Yard to Direct Pile (Bypass Crusher)")*(Uploaded_Data!$F$2:$F$59696="HG")*(Uploaded_Data!$H$2:$H$59696=$A19)*Uploaded_Data!$N$2:$N$59696)</f>
        <v>0</v>
      </c>
      <c r="J19" s="80" cm="1">
        <f t="array" ref="J19">SUMPRODUCT((Uploaded_Data!$D$2:$D$59696="Production Transfers")*(Uploaded_Data!$E$2:$E$59696="South Mine to Pile (through Crusher)")*(Uploaded_Data!$F$2:$F$59696="LG1")*(Uploaded_Data!$H$2:$H$59696=$A19)*Uploaded_Data!$N$2:$N$59696)</f>
        <v>0</v>
      </c>
      <c r="K19" s="80" cm="1">
        <f t="array" ref="K19">SUMPRODUCT((Uploaded_Data!$D$2:$D$59696="Production Transfers")*(Uploaded_Data!$E$2:$E$59696="South Mine to Direct Pile (Bypass Crusher)")*(Uploaded_Data!$F$2:$F$59696="LG1")*(Uploaded_Data!$H$2:$H$59696=$A19)*Uploaded_Data!$N$2:$N$59696)</f>
        <v>0</v>
      </c>
      <c r="L19" s="80" cm="1">
        <f t="array" ref="L19">SUMPRODUCT((Uploaded_Data!$D$2:$D$59696="Production Transfers")*(Uploaded_Data!$E$2:$E$59696="South Mine to Stock Yard")*(Uploaded_Data!$F$2:$F$59696="LG1")*(Uploaded_Data!$H$2:$H$59696=$A19)*Uploaded_Data!$N$2:$N$59696)</f>
        <v>0</v>
      </c>
      <c r="M19" s="80" cm="1">
        <f t="array" ref="M19">SUMPRODUCT((Uploaded_Data!$D$2:$D$59696="Production Transfers")*(Uploaded_Data!$E$2:$E$59696="North Mine to Pile (through Crusher)")*(Uploaded_Data!$F$2:$F$59696="LG1")*(Uploaded_Data!$H$2:$H$59696=$A19)*Uploaded_Data!$N$2:$N$59696)</f>
        <v>300.82</v>
      </c>
      <c r="N19" s="80" cm="1">
        <f t="array" ref="N19">SUMPRODUCT((Uploaded_Data!$D$2:$D$59696="Production Transfers")*(Uploaded_Data!$E$2:$E$59696="North Mine to Direct Pile (Bypass Crusher)")*(Uploaded_Data!$F$2:$F$59696="LG1")*(Uploaded_Data!$H$2:$H$59696=$A19)*Uploaded_Data!$N$2:$N$59696)</f>
        <v>166.28</v>
      </c>
      <c r="O19" s="80" cm="1">
        <f t="array" ref="O19">SUMPRODUCT((Uploaded_Data!$D$2:$D$59696="Production Transfers")*(Uploaded_Data!$E$2:$E$59696="North Mine to Stock Yard")*(Uploaded_Data!$F$2:$F$59696="LG1")*(Uploaded_Data!$H$2:$H$59696=$A19)*Uploaded_Data!$N$2:$N$59696)</f>
        <v>288.21999999999997</v>
      </c>
      <c r="P19" s="80" cm="1">
        <f t="array" ref="P19">SUMPRODUCT((Uploaded_Data!$D$2:$D$59696="Internal Transfers")*(Uploaded_Data!$E$2:$E$59696="Stock Yard to Pile (through Crusher)")*(Uploaded_Data!$F$2:$F$59696="LG1")*(Uploaded_Data!$H$2:$H$59696=$A19)*Uploaded_Data!$N$2:$N$59696)</f>
        <v>785.32000000000016</v>
      </c>
      <c r="Q19" s="80" cm="1">
        <f t="array" ref="Q19">SUMPRODUCT((Uploaded_Data!$D$2:$D$59696="Internal Transfers")*(Uploaded_Data!$E$2:$E$59696="Stock Yard to Direct Pile (Bypass Crusher)")*(Uploaded_Data!$F$2:$F$59696="LG1")*(Uploaded_Data!$H$2:$H$59696=$A19)*Uploaded_Data!$N$2:$N$59696)</f>
        <v>0</v>
      </c>
      <c r="R19" s="80" cm="1">
        <f t="array" ref="R19">SUMPRODUCT((Uploaded_Data!$D$2:$D$59696="Internal Transfers")*(Uploaded_Data!$E$2:$E$59696="Stock Yard to Other Usages")*(Uploaded_Data!$F$2:$F$59696="LG1")*(Uploaded_Data!$H$2:$H$59696=$A19)*Uploaded_Data!$N$2:$N$59696)</f>
        <v>0</v>
      </c>
      <c r="S19" s="80" cm="1">
        <f t="array" ref="S19">SUMPRODUCT((Uploaded_Data!$D$2:$D$59696="Internal Transfers")*(Uploaded_Data!$E$2:$E$59696="Stock Yard to Pile (through Crusher)")*(Uploaded_Data!$F$2:$F$59696="LIMESTONE SPG")*(Uploaded_Data!$H$2:$H$59696=$A19)*Uploaded_Data!$N$2:$N$59696)</f>
        <v>0</v>
      </c>
      <c r="T19" s="80" cm="1">
        <f t="array" ref="T19">SUMPRODUCT((Uploaded_Data!$D$2:$D$59696="Internal Transfers")*(Uploaded_Data!$E$2:$E$59696="Stock Yard to Direct Pile (Bypass Crusher)")*(Uploaded_Data!$F$2:$F$59696="LIMESTONE SPG")*(Uploaded_Data!$H$2:$H$59696=$A19)*Uploaded_Data!$N$2:$N$59696)</f>
        <v>0</v>
      </c>
      <c r="U19" s="80" cm="1">
        <f t="array" ref="U19">SUMPRODUCT((Uploaded_Data!$D$2:$D$59696="Production Transfers")*(Uploaded_Data!$E$2:$E$59696="South Mine to Pile (through Crusher)")*(Uploaded_Data!$F$2:$F$59696="OB/CLAY")*(Uploaded_Data!$H$2:$H$59696=$A19)*Uploaded_Data!$N$2:$N$59696)</f>
        <v>0</v>
      </c>
      <c r="V19" s="80" cm="1">
        <f t="array" ref="V19">SUMPRODUCT((Uploaded_Data!$D$2:$D$59696="Production Transfers")*(Uploaded_Data!$E$2:$E$59696="South Mine to Direct Pile (Bypass Crusher)")*(Uploaded_Data!$F$2:$F$59696="OB/CLAY")*(Uploaded_Data!$H$2:$H$59696=$A19)*Uploaded_Data!$N$2:$N$59696)</f>
        <v>0</v>
      </c>
      <c r="W19" s="80" cm="1">
        <f t="array" ref="W19">SUMPRODUCT((Uploaded_Data!$D$2:$D$59696="Production Transfers")*(Uploaded_Data!$E$2:$E$59696="South Mine to Stock Yard")*(Uploaded_Data!$F$2:$F$59696="OB/CLAY")*(Uploaded_Data!$H$2:$H$59696=$A19)*Uploaded_Data!$N$2:$N$59696)</f>
        <v>0</v>
      </c>
      <c r="X19" s="80" cm="1">
        <f t="array" ref="X19">SUMPRODUCT((Uploaded_Data!$D$2:$D$59696="Production Transfers")*(Uploaded_Data!$E$2:$E$59696="South Mine to Golani Waste dump")*(Uploaded_Data!$F$2:$F$59696="WASTE")*(Uploaded_Data!$H$2:$H$59696=$A19)*Uploaded_Data!$N$2:$N$59696)</f>
        <v>0</v>
      </c>
      <c r="Y19" s="80" cm="1">
        <f t="array" ref="Y19">SUMPRODUCT((Uploaded_Data!$D$2:$D$59696="Production Transfers")*(Uploaded_Data!$E$2:$E$59696="North Mine to Pile (through Crusher)")*(Uploaded_Data!$F$2:$F$59696="OB/CLAY")*(Uploaded_Data!$H$2:$H$59696=$A19)*Uploaded_Data!$N$2:$N$59696)</f>
        <v>0</v>
      </c>
      <c r="Z19" s="80" cm="1">
        <f t="array" ref="Z19">SUMPRODUCT((Uploaded_Data!$D$2:$D$59696="Production Transfers")*(Uploaded_Data!$E$2:$E$59696="North Mine to Direct Pile (Bypass Crusher)")*(Uploaded_Data!$F$2:$F$59696="OB/CLAY")*(Uploaded_Data!$H$2:$H$59696=$A19)*Uploaded_Data!$N$2:$N$59696)</f>
        <v>0</v>
      </c>
      <c r="AA19" s="80" cm="1">
        <f t="array" ref="AA19">SUMPRODUCT((Uploaded_Data!$D$2:$D$59696="Production Transfers")*(Uploaded_Data!$E$2:$E$59696="North Mine to Stock Yard")*(Uploaded_Data!$F$2:$F$59696="OB/CLAY")*(Uploaded_Data!$H$2:$H$59696=$A19)*Uploaded_Data!$N$2:$N$59696)</f>
        <v>0</v>
      </c>
      <c r="AB19" s="80" cm="1">
        <f t="array" ref="AB19">SUMPRODUCT((Uploaded_Data!$D$2:$D$59696="Production Transfers")*(Uploaded_Data!$E$2:$E$59696="North Mine to Golani Waste dump")*(Uploaded_Data!$F$2:$F$59696="WASTE")*(Uploaded_Data!$H$2:$H$59696=$A19)*Uploaded_Data!$N$2:$N$59696)</f>
        <v>0</v>
      </c>
      <c r="AC19" s="80" cm="1">
        <f t="array" ref="AC19">SUMPRODUCT((Uploaded_Data!$D$2:$D$59696="Internal Transfers")*(Uploaded_Data!$E$2:$E$59696="Stock Yard to Pile (through Crusher)")*(Uploaded_Data!$F$2:$F$59696="OB/CLAY")*(Uploaded_Data!$H$2:$H$59696=$A19)*Uploaded_Data!$N$2:$N$59696)</f>
        <v>0</v>
      </c>
      <c r="AD19" s="80" cm="1">
        <f t="array" ref="AD19">SUMPRODUCT((Uploaded_Data!$D$2:$D$59696="Internal Transfers")*(Uploaded_Data!$E$2:$E$59696="Stock Yard to Other Usages")*(Uploaded_Data!$F$2:$F$59696="OB/CLAY")*(Uploaded_Data!$H$2:$H$59696=$A19)*Uploaded_Data!$N$2:$N$59696)</f>
        <v>0</v>
      </c>
      <c r="AE19" s="80" cm="1">
        <f t="array" ref="AE19">SUMPRODUCT((Uploaded_Data!$D$2:$D$59696="Internal Transfers")*(Uploaded_Data!$E$2:$E$59696="Stock Yard to Direct Pile (Bypass Crusher)")*(Uploaded_Data!$F$2:$F$59696="OB/CLAY")*(Uploaded_Data!$H$2:$H$59696=$A19)*Uploaded_Data!$N$2:$N$59696)</f>
        <v>0</v>
      </c>
      <c r="AF19" s="80" cm="1">
        <f t="array" ref="AF19">SUMPRODUCT((Uploaded_Data!$D$2:$D$59696="Production Transfers")*(Uploaded_Data!$E$2:$E$59696="South Mine to Pile (through Crusher)")*(Uploaded_Data!$F$2:$F$59696="HGHMGO")*(Uploaded_Data!$H$2:$H$59696=$A19)*Uploaded_Data!$N$2:$N$59696)</f>
        <v>0</v>
      </c>
      <c r="AG19" s="80" cm="1">
        <f t="array" ref="AG19">SUMPRODUCT((Uploaded_Data!$D$2:$D$59696="Production Transfers")*(Uploaded_Data!$E$2:$E$59696="South Mine to Direct Pile (Bypass Crusher)")*(Uploaded_Data!$F$2:$F$59696="HGHMGO")*(Uploaded_Data!$H$2:$H$59696=$A19)*Uploaded_Data!$N$2:$N$59696)</f>
        <v>0</v>
      </c>
      <c r="AH19" s="80" cm="1">
        <f t="array" ref="AH19">SUMPRODUCT((Uploaded_Data!$D$2:$D$59696="Production Transfers")*(Uploaded_Data!$E$2:$E$59696="South Mine to Stock Yard")*(Uploaded_Data!$F$2:$F$59696="HGHMGO")*(Uploaded_Data!$H$2:$H$59696=$A19)*Uploaded_Data!$N$2:$N$59696)</f>
        <v>0</v>
      </c>
      <c r="AI19" s="80" cm="1">
        <f t="array" ref="AI19">SUMPRODUCT((Uploaded_Data!$D$2:$D$59696="Internal Transfers")*(Uploaded_Data!$E$2:$E$59696="Stock Yard to Pile (through Crusher)")*(Uploaded_Data!$F$2:$F$59696="HGHMGO")*(Uploaded_Data!$H$2:$H$59696=$A19)*Uploaded_Data!$N$2:$N$59696)</f>
        <v>0</v>
      </c>
      <c r="AJ19" s="80" cm="1">
        <f t="array" ref="AJ19">SUMPRODUCT((Uploaded_Data!$D$2:$D$59696="Production Transfers")*(Uploaded_Data!$E$2:$E$59696="South Mine to Pile (through Crusher)")*(Uploaded_Data!$F$2:$F$59696="LGHMGO")*(Uploaded_Data!$H$2:$H$59696=$A19)*Uploaded_Data!$N$2:$N$59696)</f>
        <v>0</v>
      </c>
      <c r="AK19" s="80" cm="1">
        <f t="array" ref="AK19">SUMPRODUCT((Uploaded_Data!$D$2:$D$59696="Production Transfers")*(Uploaded_Data!$E$2:$E$59696="South Mine to Direct Pile (Bypass Crusher)")*(Uploaded_Data!$F$2:$F$59696="LGHMGO")*(Uploaded_Data!$H$2:$H$59696=$A19)*Uploaded_Data!$N$2:$N$59696)</f>
        <v>0</v>
      </c>
      <c r="AL19" s="80" cm="1">
        <f t="array" ref="AL19">SUMPRODUCT((Uploaded_Data!$D$2:$D$59696="Production Transfers")*(Uploaded_Data!$E$2:$E$59696="South Mine to Stock Yard")*(Uploaded_Data!$F$2:$F$59696="LGHMGO")*(Uploaded_Data!$H$2:$H$59696=$A19)*Uploaded_Data!$N$2:$N$59696)</f>
        <v>0</v>
      </c>
      <c r="AM19" s="80" cm="1">
        <f t="array" ref="AM19">SUMPRODUCT((Uploaded_Data!$D$2:$D$59696="Internal Transfers")*(Uploaded_Data!$E$2:$E$59696="Stock Yard to Pile (through Crusher)")*(Uploaded_Data!$F$2:$F$59696="LGHMGO")*(Uploaded_Data!$H$2:$H$59696=$A19)*Uploaded_Data!$N$2:$N$59696)</f>
        <v>0</v>
      </c>
      <c r="AN19" s="102">
        <f t="shared" si="0"/>
        <v>2595.84</v>
      </c>
      <c r="AO19" s="110"/>
      <c r="AP19" s="109" cm="1">
        <f t="array" ref="AP19">SUMPRODUCT((Uploaded_Data!$D$2:$D$59696="Internal Transfers")*(Uploaded_Data!$E$2:$E$59696="Stock Yard to Pile (through Crusher)")*(Uploaded_Data!$F$2:$F$59696="GYPSUM")*(Uploaded_Data!$H$2:$H$59696=$A19)*Uploaded_Data!$N$2:$N$59696)</f>
        <v>0</v>
      </c>
      <c r="AQ19" s="109" cm="1">
        <f t="array" ref="AQ19">SUMPRODUCT((Uploaded_Data!$D$2:$D$59696="Internal Transfers")*(Uploaded_Data!$E$2:$E$59696="Stock Yard to Direct Pile (Bypass Crusher)")*(Uploaded_Data!$F$2:$F$59696="GYPSUM")*(Uploaded_Data!$H$2:$H$59696=$A19)*Uploaded_Data!$N$2:$N$59696)</f>
        <v>0</v>
      </c>
      <c r="AR19" s="109" cm="1">
        <f t="array" ref="AR19">SUMPRODUCT((Uploaded_Data!$D$2:$D$59696="Internal Transfers")*(Uploaded_Data!$E$2:$E$59696="Stock Yard to Other Usages")*(Uploaded_Data!$F$2:$F$59696="ID Clay")*(Uploaded_Data!$H$2:$H$59696=$A19)*Uploaded_Data!$N$2:$N$59696)</f>
        <v>0</v>
      </c>
      <c r="AS19" s="109" cm="1">
        <f t="array" ref="AS19">SUMPRODUCT((Uploaded_Data!$D$2:$D$59696="Internal Transfers")*(Uploaded_Data!$E$2:$E$59696="Stock Yard to Direct Pile (Bypass Crusher)")*(Uploaded_Data!$F$2:$F$59696="ID Clay")*(Uploaded_Data!$H$2:$H$59696=$A19)*Uploaded_Data!$N$2:$N$59696)</f>
        <v>0</v>
      </c>
      <c r="AT19" s="109" cm="1">
        <f t="array" ref="AT19">SUMPRODUCT((Uploaded_Data!$D$2:$D$59696="Production Transfers")*(Uploaded_Data!$E$2:$E$59696="Kijaka Mine to Stock Yard")*(Uploaded_Data!$F$2:$F$59696="ID Clay")*(Uploaded_Data!$H$2:$H$59696=$A19)*Uploaded_Data!$N$2:$N$59696)</f>
        <v>0</v>
      </c>
      <c r="AU19" s="102">
        <f t="shared" si="1"/>
        <v>2595.84</v>
      </c>
      <c r="AV19" s="109">
        <f t="shared" si="2"/>
        <v>2595.84</v>
      </c>
      <c r="AW19" s="109"/>
      <c r="AX19" s="109"/>
      <c r="AY19" s="114"/>
      <c r="AZ19" s="110">
        <f t="shared" si="3"/>
        <v>2012.3</v>
      </c>
      <c r="BA19" s="112">
        <f t="shared" si="4"/>
        <v>2595.84</v>
      </c>
      <c r="BB19" s="110"/>
    </row>
    <row r="20" spans="1:54" s="63" customFormat="1">
      <c r="A20" s="79">
        <v>46128</v>
      </c>
      <c r="B20" s="80" cm="1">
        <f t="array" ref="B20">SUMPRODUCT((Uploaded_Data!$D$2:$D$59696="Production Transfers")*(Uploaded_Data!$E$2:$E$59696="South Mine to Pile (through Crusher)")*(Uploaded_Data!$F$2:$F$59696="HG")*(Uploaded_Data!$H$2:$H$59696=$A20)*Uploaded_Data!$N$2:$N$59696)</f>
        <v>0</v>
      </c>
      <c r="C20" s="80" cm="1">
        <f t="array" ref="C20">SUMPRODUCT((Uploaded_Data!$D$2:$D$59696="Production Transfers")*(Uploaded_Data!$E$2:$E$59696="South Mine to Direct Pile (Bypass Crusher)")*(Uploaded_Data!$F$2:$F$59696="HG")*(Uploaded_Data!$H$2:$H$59696=$A20)*Uploaded_Data!$N$2:$N$59696)</f>
        <v>0</v>
      </c>
      <c r="D20" s="80" cm="1">
        <f t="array" ref="D20">SUMPRODUCT((Uploaded_Data!$D$2:$D$59696="Production Transfers")*(Uploaded_Data!$E$2:$E$59696="South Mine to Stock Yard")*(Uploaded_Data!$F$2:$F$59696="HG")*(Uploaded_Data!$H$2:$H$59696=$A20)*Uploaded_Data!$N$2:$N$59696)</f>
        <v>0</v>
      </c>
      <c r="E20" s="80" cm="1">
        <f t="array" ref="E20">SUMPRODUCT((Uploaded_Data!$D$2:$D$59696="Production Transfers")*(Uploaded_Data!$E$2:$E$59696="North Mine to Pile (through Crusher)")*(Uploaded_Data!$F$2:$F$59696="HG")*(Uploaded_Data!$H$2:$H$59696=$A20)*Uploaded_Data!$N$2:$N$59696)</f>
        <v>285.33999999999997</v>
      </c>
      <c r="F20" s="80" cm="1">
        <f t="array" ref="F20">SUMPRODUCT((Uploaded_Data!$D$2:$D$59696="Production Transfers")*(Uploaded_Data!$E$2:$E$59696="North Mine to Direct Pile (Bypass Crusher)")*(Uploaded_Data!$F$2:$F$59696="HG")*(Uploaded_Data!$H$2:$H$59696=$A20)*Uploaded_Data!$N$2:$N$59696)</f>
        <v>0</v>
      </c>
      <c r="G20" s="80" cm="1">
        <f t="array" ref="G20">SUMPRODUCT((Uploaded_Data!$D$2:$D$59696="Production Transfers")*(Uploaded_Data!$E$2:$E$59696="North Mine to Stock Yard")*(Uploaded_Data!$F$2:$F$59696="HG")*(Uploaded_Data!$H$2:$H$59696=$A20)*Uploaded_Data!$N$2:$N$59696)</f>
        <v>642.67999999999984</v>
      </c>
      <c r="H20" s="80" cm="1">
        <f t="array" ref="H20">SUMPRODUCT((Uploaded_Data!$D$2:$D$59696="Internal Transfers")*(Uploaded_Data!$E$2:$E$59696="Stock Yard to Pile (through Crusher)")*(Uploaded_Data!$F$2:$F$59696="HG")*(Uploaded_Data!$H$2:$H$59696=$A20)*Uploaded_Data!$N$2:$N$59696)</f>
        <v>999.12000000000012</v>
      </c>
      <c r="I20" s="80" cm="1">
        <f t="array" ref="I20">SUMPRODUCT((Uploaded_Data!$D$2:$D$59696="Internal Transfers")*(Uploaded_Data!$E$2:$E$59696="Stock Yard to Direct Pile (Bypass Crusher)")*(Uploaded_Data!$F$2:$F$59696="HG")*(Uploaded_Data!$H$2:$H$59696=$A20)*Uploaded_Data!$N$2:$N$59696)</f>
        <v>0</v>
      </c>
      <c r="J20" s="80" cm="1">
        <f t="array" ref="J20">SUMPRODUCT((Uploaded_Data!$D$2:$D$59696="Production Transfers")*(Uploaded_Data!$E$2:$E$59696="South Mine to Pile (through Crusher)")*(Uploaded_Data!$F$2:$F$59696="LG1")*(Uploaded_Data!$H$2:$H$59696=$A20)*Uploaded_Data!$N$2:$N$59696)</f>
        <v>0</v>
      </c>
      <c r="K20" s="80" cm="1">
        <f t="array" ref="K20">SUMPRODUCT((Uploaded_Data!$D$2:$D$59696="Production Transfers")*(Uploaded_Data!$E$2:$E$59696="South Mine to Direct Pile (Bypass Crusher)")*(Uploaded_Data!$F$2:$F$59696="LG1")*(Uploaded_Data!$H$2:$H$59696=$A20)*Uploaded_Data!$N$2:$N$59696)</f>
        <v>0</v>
      </c>
      <c r="L20" s="80" cm="1">
        <f t="array" ref="L20">SUMPRODUCT((Uploaded_Data!$D$2:$D$59696="Production Transfers")*(Uploaded_Data!$E$2:$E$59696="South Mine to Stock Yard")*(Uploaded_Data!$F$2:$F$59696="LG1")*(Uploaded_Data!$H$2:$H$59696=$A20)*Uploaded_Data!$N$2:$N$59696)</f>
        <v>0</v>
      </c>
      <c r="M20" s="80" cm="1">
        <f t="array" ref="M20">SUMPRODUCT((Uploaded_Data!$D$2:$D$59696="Production Transfers")*(Uploaded_Data!$E$2:$E$59696="North Mine to Pile (through Crusher)")*(Uploaded_Data!$F$2:$F$59696="LG1")*(Uploaded_Data!$H$2:$H$59696=$A20)*Uploaded_Data!$N$2:$N$59696)</f>
        <v>361.84</v>
      </c>
      <c r="N20" s="80" cm="1">
        <f t="array" ref="N20">SUMPRODUCT((Uploaded_Data!$D$2:$D$59696="Production Transfers")*(Uploaded_Data!$E$2:$E$59696="North Mine to Direct Pile (Bypass Crusher)")*(Uploaded_Data!$F$2:$F$59696="LG1")*(Uploaded_Data!$H$2:$H$59696=$A20)*Uploaded_Data!$N$2:$N$59696)</f>
        <v>0</v>
      </c>
      <c r="O20" s="80" cm="1">
        <f t="array" ref="O20">SUMPRODUCT((Uploaded_Data!$D$2:$D$59696="Production Transfers")*(Uploaded_Data!$E$2:$E$59696="North Mine to Stock Yard")*(Uploaded_Data!$F$2:$F$59696="LG1")*(Uploaded_Data!$H$2:$H$59696=$A20)*Uploaded_Data!$N$2:$N$59696)</f>
        <v>189.38</v>
      </c>
      <c r="P20" s="80" cm="1">
        <f t="array" ref="P20">SUMPRODUCT((Uploaded_Data!$D$2:$D$59696="Internal Transfers")*(Uploaded_Data!$E$2:$E$59696="Stock Yard to Pile (through Crusher)")*(Uploaded_Data!$F$2:$F$59696="LG1")*(Uploaded_Data!$H$2:$H$59696=$A20)*Uploaded_Data!$N$2:$N$59696)</f>
        <v>1126.8600000000001</v>
      </c>
      <c r="Q20" s="80" cm="1">
        <f t="array" ref="Q20">SUMPRODUCT((Uploaded_Data!$D$2:$D$59696="Internal Transfers")*(Uploaded_Data!$E$2:$E$59696="Stock Yard to Direct Pile (Bypass Crusher)")*(Uploaded_Data!$F$2:$F$59696="LG1")*(Uploaded_Data!$H$2:$H$59696=$A20)*Uploaded_Data!$N$2:$N$59696)</f>
        <v>0</v>
      </c>
      <c r="R20" s="80" cm="1">
        <f t="array" ref="R20">SUMPRODUCT((Uploaded_Data!$D$2:$D$59696="Internal Transfers")*(Uploaded_Data!$E$2:$E$59696="Stock Yard to Other Usages")*(Uploaded_Data!$F$2:$F$59696="LG1")*(Uploaded_Data!$H$2:$H$59696=$A20)*Uploaded_Data!$N$2:$N$59696)</f>
        <v>0</v>
      </c>
      <c r="S20" s="80" cm="1">
        <f t="array" ref="S20">SUMPRODUCT((Uploaded_Data!$D$2:$D$59696="Internal Transfers")*(Uploaded_Data!$E$2:$E$59696="Stock Yard to Pile (through Crusher)")*(Uploaded_Data!$F$2:$F$59696="LIMESTONE SPG")*(Uploaded_Data!$H$2:$H$59696=$A20)*Uploaded_Data!$N$2:$N$59696)</f>
        <v>0</v>
      </c>
      <c r="T20" s="80" cm="1">
        <f t="array" ref="T20">SUMPRODUCT((Uploaded_Data!$D$2:$D$59696="Internal Transfers")*(Uploaded_Data!$E$2:$E$59696="Stock Yard to Direct Pile (Bypass Crusher)")*(Uploaded_Data!$F$2:$F$59696="LIMESTONE SPG")*(Uploaded_Data!$H$2:$H$59696=$A20)*Uploaded_Data!$N$2:$N$59696)</f>
        <v>0</v>
      </c>
      <c r="U20" s="80" cm="1">
        <f t="array" ref="U20">SUMPRODUCT((Uploaded_Data!$D$2:$D$59696="Production Transfers")*(Uploaded_Data!$E$2:$E$59696="South Mine to Pile (through Crusher)")*(Uploaded_Data!$F$2:$F$59696="OB/CLAY")*(Uploaded_Data!$H$2:$H$59696=$A20)*Uploaded_Data!$N$2:$N$59696)</f>
        <v>0</v>
      </c>
      <c r="V20" s="80" cm="1">
        <f t="array" ref="V20">SUMPRODUCT((Uploaded_Data!$D$2:$D$59696="Production Transfers")*(Uploaded_Data!$E$2:$E$59696="South Mine to Direct Pile (Bypass Crusher)")*(Uploaded_Data!$F$2:$F$59696="OB/CLAY")*(Uploaded_Data!$H$2:$H$59696=$A20)*Uploaded_Data!$N$2:$N$59696)</f>
        <v>0</v>
      </c>
      <c r="W20" s="80" cm="1">
        <f t="array" ref="W20">SUMPRODUCT((Uploaded_Data!$D$2:$D$59696="Production Transfers")*(Uploaded_Data!$E$2:$E$59696="South Mine to Stock Yard")*(Uploaded_Data!$F$2:$F$59696="OB/CLAY")*(Uploaded_Data!$H$2:$H$59696=$A20)*Uploaded_Data!$N$2:$N$59696)</f>
        <v>0</v>
      </c>
      <c r="X20" s="80" cm="1">
        <f t="array" ref="X20">SUMPRODUCT((Uploaded_Data!$D$2:$D$59696="Production Transfers")*(Uploaded_Data!$E$2:$E$59696="South Mine to Golani Waste dump")*(Uploaded_Data!$F$2:$F$59696="WASTE")*(Uploaded_Data!$H$2:$H$59696=$A20)*Uploaded_Data!$N$2:$N$59696)</f>
        <v>0</v>
      </c>
      <c r="Y20" s="80" cm="1">
        <f t="array" ref="Y20">SUMPRODUCT((Uploaded_Data!$D$2:$D$59696="Production Transfers")*(Uploaded_Data!$E$2:$E$59696="North Mine to Pile (through Crusher)")*(Uploaded_Data!$F$2:$F$59696="OB/CLAY")*(Uploaded_Data!$H$2:$H$59696=$A20)*Uploaded_Data!$N$2:$N$59696)</f>
        <v>0</v>
      </c>
      <c r="Z20" s="80" cm="1">
        <f t="array" ref="Z20">SUMPRODUCT((Uploaded_Data!$D$2:$D$59696="Production Transfers")*(Uploaded_Data!$E$2:$E$59696="North Mine to Direct Pile (Bypass Crusher)")*(Uploaded_Data!$F$2:$F$59696="OB/CLAY")*(Uploaded_Data!$H$2:$H$59696=$A20)*Uploaded_Data!$N$2:$N$59696)</f>
        <v>0</v>
      </c>
      <c r="AA20" s="80" cm="1">
        <f t="array" ref="AA20">SUMPRODUCT((Uploaded_Data!$D$2:$D$59696="Production Transfers")*(Uploaded_Data!$E$2:$E$59696="North Mine to Stock Yard")*(Uploaded_Data!$F$2:$F$59696="OB/CLAY")*(Uploaded_Data!$H$2:$H$59696=$A20)*Uploaded_Data!$N$2:$N$59696)</f>
        <v>0</v>
      </c>
      <c r="AB20" s="80" cm="1">
        <f t="array" ref="AB20">SUMPRODUCT((Uploaded_Data!$D$2:$D$59696="Production Transfers")*(Uploaded_Data!$E$2:$E$59696="North Mine to Golani Waste dump")*(Uploaded_Data!$F$2:$F$59696="WASTE")*(Uploaded_Data!$H$2:$H$59696=$A20)*Uploaded_Data!$N$2:$N$59696)</f>
        <v>0</v>
      </c>
      <c r="AC20" s="80" cm="1">
        <f t="array" ref="AC20">SUMPRODUCT((Uploaded_Data!$D$2:$D$59696="Internal Transfers")*(Uploaded_Data!$E$2:$E$59696="Stock Yard to Pile (through Crusher)")*(Uploaded_Data!$F$2:$F$59696="OB/CLAY")*(Uploaded_Data!$H$2:$H$59696=$A20)*Uploaded_Data!$N$2:$N$59696)</f>
        <v>0</v>
      </c>
      <c r="AD20" s="80" cm="1">
        <f t="array" ref="AD20">SUMPRODUCT((Uploaded_Data!$D$2:$D$59696="Internal Transfers")*(Uploaded_Data!$E$2:$E$59696="Stock Yard to Other Usages")*(Uploaded_Data!$F$2:$F$59696="OB/CLAY")*(Uploaded_Data!$H$2:$H$59696=$A20)*Uploaded_Data!$N$2:$N$59696)</f>
        <v>0</v>
      </c>
      <c r="AE20" s="80" cm="1">
        <f t="array" ref="AE20">SUMPRODUCT((Uploaded_Data!$D$2:$D$59696="Internal Transfers")*(Uploaded_Data!$E$2:$E$59696="Stock Yard to Direct Pile (Bypass Crusher)")*(Uploaded_Data!$F$2:$F$59696="OB/CLAY")*(Uploaded_Data!$H$2:$H$59696=$A20)*Uploaded_Data!$N$2:$N$59696)</f>
        <v>100</v>
      </c>
      <c r="AF20" s="80" cm="1">
        <f t="array" ref="AF20">SUMPRODUCT((Uploaded_Data!$D$2:$D$59696="Production Transfers")*(Uploaded_Data!$E$2:$E$59696="South Mine to Pile (through Crusher)")*(Uploaded_Data!$F$2:$F$59696="HGHMGO")*(Uploaded_Data!$H$2:$H$59696=$A20)*Uploaded_Data!$N$2:$N$59696)</f>
        <v>0</v>
      </c>
      <c r="AG20" s="80" cm="1">
        <f t="array" ref="AG20">SUMPRODUCT((Uploaded_Data!$D$2:$D$59696="Production Transfers")*(Uploaded_Data!$E$2:$E$59696="South Mine to Direct Pile (Bypass Crusher)")*(Uploaded_Data!$F$2:$F$59696="HGHMGO")*(Uploaded_Data!$H$2:$H$59696=$A20)*Uploaded_Data!$N$2:$N$59696)</f>
        <v>0</v>
      </c>
      <c r="AH20" s="80" cm="1">
        <f t="array" ref="AH20">SUMPRODUCT((Uploaded_Data!$D$2:$D$59696="Production Transfers")*(Uploaded_Data!$E$2:$E$59696="South Mine to Stock Yard")*(Uploaded_Data!$F$2:$F$59696="HGHMGO")*(Uploaded_Data!$H$2:$H$59696=$A20)*Uploaded_Data!$N$2:$N$59696)</f>
        <v>0</v>
      </c>
      <c r="AI20" s="80" cm="1">
        <f t="array" ref="AI20">SUMPRODUCT((Uploaded_Data!$D$2:$D$59696="Internal Transfers")*(Uploaded_Data!$E$2:$E$59696="Stock Yard to Pile (through Crusher)")*(Uploaded_Data!$F$2:$F$59696="HGHMGO")*(Uploaded_Data!$H$2:$H$59696=$A20)*Uploaded_Data!$N$2:$N$59696)</f>
        <v>0</v>
      </c>
      <c r="AJ20" s="80" cm="1">
        <f t="array" ref="AJ20">SUMPRODUCT((Uploaded_Data!$D$2:$D$59696="Production Transfers")*(Uploaded_Data!$E$2:$E$59696="South Mine to Pile (through Crusher)")*(Uploaded_Data!$F$2:$F$59696="LGHMGO")*(Uploaded_Data!$H$2:$H$59696=$A20)*Uploaded_Data!$N$2:$N$59696)</f>
        <v>0</v>
      </c>
      <c r="AK20" s="80" cm="1">
        <f t="array" ref="AK20">SUMPRODUCT((Uploaded_Data!$D$2:$D$59696="Production Transfers")*(Uploaded_Data!$E$2:$E$59696="South Mine to Direct Pile (Bypass Crusher)")*(Uploaded_Data!$F$2:$F$59696="LGHMGO")*(Uploaded_Data!$H$2:$H$59696=$A20)*Uploaded_Data!$N$2:$N$59696)</f>
        <v>0</v>
      </c>
      <c r="AL20" s="80" cm="1">
        <f t="array" ref="AL20">SUMPRODUCT((Uploaded_Data!$D$2:$D$59696="Production Transfers")*(Uploaded_Data!$E$2:$E$59696="South Mine to Stock Yard")*(Uploaded_Data!$F$2:$F$59696="LGHMGO")*(Uploaded_Data!$H$2:$H$59696=$A20)*Uploaded_Data!$N$2:$N$59696)</f>
        <v>0</v>
      </c>
      <c r="AM20" s="80" cm="1">
        <f t="array" ref="AM20">SUMPRODUCT((Uploaded_Data!$D$2:$D$59696="Internal Transfers")*(Uploaded_Data!$E$2:$E$59696="Stock Yard to Pile (through Crusher)")*(Uploaded_Data!$F$2:$F$59696="LGHMGO")*(Uploaded_Data!$H$2:$H$59696=$A20)*Uploaded_Data!$N$2:$N$59696)</f>
        <v>0</v>
      </c>
      <c r="AN20" s="102">
        <f t="shared" si="0"/>
        <v>3705.2200000000003</v>
      </c>
      <c r="AO20" s="110"/>
      <c r="AP20" s="109" cm="1">
        <f t="array" ref="AP20">SUMPRODUCT((Uploaded_Data!$D$2:$D$59696="Internal Transfers")*(Uploaded_Data!$E$2:$E$59696="Stock Yard to Pile (through Crusher)")*(Uploaded_Data!$F$2:$F$59696="GYPSUM")*(Uploaded_Data!$H$2:$H$59696=$A20)*Uploaded_Data!$N$2:$N$59696)</f>
        <v>0</v>
      </c>
      <c r="AQ20" s="109" cm="1">
        <f t="array" ref="AQ20">SUMPRODUCT((Uploaded_Data!$D$2:$D$59696="Internal Transfers")*(Uploaded_Data!$E$2:$E$59696="Stock Yard to Direct Pile (Bypass Crusher)")*(Uploaded_Data!$F$2:$F$59696="GYPSUM")*(Uploaded_Data!$H$2:$H$59696=$A20)*Uploaded_Data!$N$2:$N$59696)</f>
        <v>0</v>
      </c>
      <c r="AR20" s="109" cm="1">
        <f t="array" ref="AR20">SUMPRODUCT((Uploaded_Data!$D$2:$D$59696="Internal Transfers")*(Uploaded_Data!$E$2:$E$59696="Stock Yard to Other Usages")*(Uploaded_Data!$F$2:$F$59696="ID Clay")*(Uploaded_Data!$H$2:$H$59696=$A20)*Uploaded_Data!$N$2:$N$59696)</f>
        <v>0</v>
      </c>
      <c r="AS20" s="109" cm="1">
        <f t="array" ref="AS20">SUMPRODUCT((Uploaded_Data!$D$2:$D$59696="Internal Transfers")*(Uploaded_Data!$E$2:$E$59696="Stock Yard to Direct Pile (Bypass Crusher)")*(Uploaded_Data!$F$2:$F$59696="ID Clay")*(Uploaded_Data!$H$2:$H$59696=$A20)*Uploaded_Data!$N$2:$N$59696)</f>
        <v>0</v>
      </c>
      <c r="AT20" s="109" cm="1">
        <f t="array" ref="AT20">SUMPRODUCT((Uploaded_Data!$D$2:$D$59696="Production Transfers")*(Uploaded_Data!$E$2:$E$59696="Kijaka Mine to Stock Yard")*(Uploaded_Data!$F$2:$F$59696="ID Clay")*(Uploaded_Data!$H$2:$H$59696=$A20)*Uploaded_Data!$N$2:$N$59696)</f>
        <v>0</v>
      </c>
      <c r="AU20" s="102">
        <f t="shared" si="1"/>
        <v>3705.2200000000003</v>
      </c>
      <c r="AV20" s="109">
        <f t="shared" si="2"/>
        <v>3705.2200000000003</v>
      </c>
      <c r="AW20" s="109"/>
      <c r="AX20" s="109"/>
      <c r="AY20" s="114"/>
      <c r="AZ20" s="110">
        <f t="shared" si="3"/>
        <v>2773.1600000000008</v>
      </c>
      <c r="BA20" s="112">
        <f t="shared" si="4"/>
        <v>3705.2200000000003</v>
      </c>
      <c r="BB20" s="110"/>
    </row>
    <row r="21" spans="1:54" s="63" customFormat="1">
      <c r="A21" s="79">
        <v>46129</v>
      </c>
      <c r="B21" s="80" cm="1">
        <f t="array" ref="B21">SUMPRODUCT((Uploaded_Data!$D$2:$D$59696="Production Transfers")*(Uploaded_Data!$E$2:$E$59696="South Mine to Pile (through Crusher)")*(Uploaded_Data!$F$2:$F$59696="HG")*(Uploaded_Data!$H$2:$H$59696=$A21)*Uploaded_Data!$N$2:$N$59696)</f>
        <v>0</v>
      </c>
      <c r="C21" s="80" cm="1">
        <f t="array" ref="C21">SUMPRODUCT((Uploaded_Data!$D$2:$D$59696="Production Transfers")*(Uploaded_Data!$E$2:$E$59696="South Mine to Direct Pile (Bypass Crusher)")*(Uploaded_Data!$F$2:$F$59696="HG")*(Uploaded_Data!$H$2:$H$59696=$A21)*Uploaded_Data!$N$2:$N$59696)</f>
        <v>0</v>
      </c>
      <c r="D21" s="80" cm="1">
        <f t="array" ref="D21">SUMPRODUCT((Uploaded_Data!$D$2:$D$59696="Production Transfers")*(Uploaded_Data!$E$2:$E$59696="South Mine to Stock Yard")*(Uploaded_Data!$F$2:$F$59696="HG")*(Uploaded_Data!$H$2:$H$59696=$A21)*Uploaded_Data!$N$2:$N$59696)</f>
        <v>0</v>
      </c>
      <c r="E21" s="80" cm="1">
        <f t="array" ref="E21">SUMPRODUCT((Uploaded_Data!$D$2:$D$59696="Production Transfers")*(Uploaded_Data!$E$2:$E$59696="North Mine to Pile (through Crusher)")*(Uploaded_Data!$F$2:$F$59696="HG")*(Uploaded_Data!$H$2:$H$59696=$A21)*Uploaded_Data!$N$2:$N$59696)</f>
        <v>0</v>
      </c>
      <c r="F21" s="80" cm="1">
        <f t="array" ref="F21">SUMPRODUCT((Uploaded_Data!$D$2:$D$59696="Production Transfers")*(Uploaded_Data!$E$2:$E$59696="North Mine to Direct Pile (Bypass Crusher)")*(Uploaded_Data!$F$2:$F$59696="HG")*(Uploaded_Data!$H$2:$H$59696=$A21)*Uploaded_Data!$N$2:$N$59696)</f>
        <v>0</v>
      </c>
      <c r="G21" s="80" cm="1">
        <f t="array" ref="G21">SUMPRODUCT((Uploaded_Data!$D$2:$D$59696="Production Transfers")*(Uploaded_Data!$E$2:$E$59696="North Mine to Stock Yard")*(Uploaded_Data!$F$2:$F$59696="HG")*(Uploaded_Data!$H$2:$H$59696=$A21)*Uploaded_Data!$N$2:$N$59696)</f>
        <v>416.48</v>
      </c>
      <c r="H21" s="80" cm="1">
        <f t="array" ref="H21">SUMPRODUCT((Uploaded_Data!$D$2:$D$59696="Internal Transfers")*(Uploaded_Data!$E$2:$E$59696="Stock Yard to Pile (through Crusher)")*(Uploaded_Data!$F$2:$F$59696="HG")*(Uploaded_Data!$H$2:$H$59696=$A21)*Uploaded_Data!$N$2:$N$59696)</f>
        <v>295.01999999999992</v>
      </c>
      <c r="I21" s="80" cm="1">
        <f t="array" ref="I21">SUMPRODUCT((Uploaded_Data!$D$2:$D$59696="Internal Transfers")*(Uploaded_Data!$E$2:$E$59696="Stock Yard to Direct Pile (Bypass Crusher)")*(Uploaded_Data!$F$2:$F$59696="HG")*(Uploaded_Data!$H$2:$H$59696=$A21)*Uploaded_Data!$N$2:$N$59696)</f>
        <v>0</v>
      </c>
      <c r="J21" s="80" cm="1">
        <f t="array" ref="J21">SUMPRODUCT((Uploaded_Data!$D$2:$D$59696="Production Transfers")*(Uploaded_Data!$E$2:$E$59696="South Mine to Pile (through Crusher)")*(Uploaded_Data!$F$2:$F$59696="LG1")*(Uploaded_Data!$H$2:$H$59696=$A21)*Uploaded_Data!$N$2:$N$59696)</f>
        <v>0</v>
      </c>
      <c r="K21" s="80" cm="1">
        <f t="array" ref="K21">SUMPRODUCT((Uploaded_Data!$D$2:$D$59696="Production Transfers")*(Uploaded_Data!$E$2:$E$59696="South Mine to Direct Pile (Bypass Crusher)")*(Uploaded_Data!$F$2:$F$59696="LG1")*(Uploaded_Data!$H$2:$H$59696=$A21)*Uploaded_Data!$N$2:$N$59696)</f>
        <v>0</v>
      </c>
      <c r="L21" s="80" cm="1">
        <f t="array" ref="L21">SUMPRODUCT((Uploaded_Data!$D$2:$D$59696="Production Transfers")*(Uploaded_Data!$E$2:$E$59696="South Mine to Stock Yard")*(Uploaded_Data!$F$2:$F$59696="LG1")*(Uploaded_Data!$H$2:$H$59696=$A21)*Uploaded_Data!$N$2:$N$59696)</f>
        <v>0</v>
      </c>
      <c r="M21" s="80" cm="1">
        <f t="array" ref="M21">SUMPRODUCT((Uploaded_Data!$D$2:$D$59696="Production Transfers")*(Uploaded_Data!$E$2:$E$59696="North Mine to Pile (through Crusher)")*(Uploaded_Data!$F$2:$F$59696="LG1")*(Uploaded_Data!$H$2:$H$59696=$A21)*Uploaded_Data!$N$2:$N$59696)</f>
        <v>1939.62</v>
      </c>
      <c r="N21" s="80" cm="1">
        <f t="array" ref="N21">SUMPRODUCT((Uploaded_Data!$D$2:$D$59696="Production Transfers")*(Uploaded_Data!$E$2:$E$59696="North Mine to Direct Pile (Bypass Crusher)")*(Uploaded_Data!$F$2:$F$59696="LG1")*(Uploaded_Data!$H$2:$H$59696=$A21)*Uploaded_Data!$N$2:$N$59696)</f>
        <v>280</v>
      </c>
      <c r="O21" s="80" cm="1">
        <f t="array" ref="O21">SUMPRODUCT((Uploaded_Data!$D$2:$D$59696="Production Transfers")*(Uploaded_Data!$E$2:$E$59696="North Mine to Stock Yard")*(Uploaded_Data!$F$2:$F$59696="LG1")*(Uploaded_Data!$H$2:$H$59696=$A21)*Uploaded_Data!$N$2:$N$59696)</f>
        <v>1189.96</v>
      </c>
      <c r="P21" s="80" cm="1">
        <f t="array" ref="P21">SUMPRODUCT((Uploaded_Data!$D$2:$D$59696="Internal Transfers")*(Uploaded_Data!$E$2:$E$59696="Stock Yard to Pile (through Crusher)")*(Uploaded_Data!$F$2:$F$59696="LG1")*(Uploaded_Data!$H$2:$H$59696=$A21)*Uploaded_Data!$N$2:$N$59696)</f>
        <v>0</v>
      </c>
      <c r="Q21" s="80" cm="1">
        <f t="array" ref="Q21">SUMPRODUCT((Uploaded_Data!$D$2:$D$59696="Internal Transfers")*(Uploaded_Data!$E$2:$E$59696="Stock Yard to Direct Pile (Bypass Crusher)")*(Uploaded_Data!$F$2:$F$59696="LG1")*(Uploaded_Data!$H$2:$H$59696=$A21)*Uploaded_Data!$N$2:$N$59696)</f>
        <v>0</v>
      </c>
      <c r="R21" s="80" cm="1">
        <f t="array" ref="R21">SUMPRODUCT((Uploaded_Data!$D$2:$D$59696="Internal Transfers")*(Uploaded_Data!$E$2:$E$59696="Stock Yard to Other Usages")*(Uploaded_Data!$F$2:$F$59696="LG1")*(Uploaded_Data!$H$2:$H$59696=$A21)*Uploaded_Data!$N$2:$N$59696)</f>
        <v>0</v>
      </c>
      <c r="S21" s="80" cm="1">
        <f t="array" ref="S21">SUMPRODUCT((Uploaded_Data!$D$2:$D$59696="Internal Transfers")*(Uploaded_Data!$E$2:$E$59696="Stock Yard to Pile (through Crusher)")*(Uploaded_Data!$F$2:$F$59696="LIMESTONE SPG")*(Uploaded_Data!$H$2:$H$59696=$A21)*Uploaded_Data!$N$2:$N$59696)</f>
        <v>0</v>
      </c>
      <c r="T21" s="80" cm="1">
        <f t="array" ref="T21">SUMPRODUCT((Uploaded_Data!$D$2:$D$59696="Internal Transfers")*(Uploaded_Data!$E$2:$E$59696="Stock Yard to Direct Pile (Bypass Crusher)")*(Uploaded_Data!$F$2:$F$59696="LIMESTONE SPG")*(Uploaded_Data!$H$2:$H$59696=$A21)*Uploaded_Data!$N$2:$N$59696)</f>
        <v>0</v>
      </c>
      <c r="U21" s="80" cm="1">
        <f t="array" ref="U21">SUMPRODUCT((Uploaded_Data!$D$2:$D$59696="Production Transfers")*(Uploaded_Data!$E$2:$E$59696="South Mine to Pile (through Crusher)")*(Uploaded_Data!$F$2:$F$59696="OB/CLAY")*(Uploaded_Data!$H$2:$H$59696=$A21)*Uploaded_Data!$N$2:$N$59696)</f>
        <v>0</v>
      </c>
      <c r="V21" s="80" cm="1">
        <f t="array" ref="V21">SUMPRODUCT((Uploaded_Data!$D$2:$D$59696="Production Transfers")*(Uploaded_Data!$E$2:$E$59696="South Mine to Direct Pile (Bypass Crusher)")*(Uploaded_Data!$F$2:$F$59696="OB/CLAY")*(Uploaded_Data!$H$2:$H$59696=$A21)*Uploaded_Data!$N$2:$N$59696)</f>
        <v>0</v>
      </c>
      <c r="W21" s="80" cm="1">
        <f t="array" ref="W21">SUMPRODUCT((Uploaded_Data!$D$2:$D$59696="Production Transfers")*(Uploaded_Data!$E$2:$E$59696="South Mine to Stock Yard")*(Uploaded_Data!$F$2:$F$59696="OB/CLAY")*(Uploaded_Data!$H$2:$H$59696=$A21)*Uploaded_Data!$N$2:$N$59696)</f>
        <v>0</v>
      </c>
      <c r="X21" s="80" cm="1">
        <f t="array" ref="X21">SUMPRODUCT((Uploaded_Data!$D$2:$D$59696="Production Transfers")*(Uploaded_Data!$E$2:$E$59696="South Mine to Golani Waste dump")*(Uploaded_Data!$F$2:$F$59696="WASTE")*(Uploaded_Data!$H$2:$H$59696=$A21)*Uploaded_Data!$N$2:$N$59696)</f>
        <v>0</v>
      </c>
      <c r="Y21" s="80" cm="1">
        <f t="array" ref="Y21">SUMPRODUCT((Uploaded_Data!$D$2:$D$59696="Production Transfers")*(Uploaded_Data!$E$2:$E$59696="North Mine to Pile (through Crusher)")*(Uploaded_Data!$F$2:$F$59696="OB/CLAY")*(Uploaded_Data!$H$2:$H$59696=$A21)*Uploaded_Data!$N$2:$N$59696)</f>
        <v>0</v>
      </c>
      <c r="Z21" s="80" cm="1">
        <f t="array" ref="Z21">SUMPRODUCT((Uploaded_Data!$D$2:$D$59696="Production Transfers")*(Uploaded_Data!$E$2:$E$59696="North Mine to Direct Pile (Bypass Crusher)")*(Uploaded_Data!$F$2:$F$59696="OB/CLAY")*(Uploaded_Data!$H$2:$H$59696=$A21)*Uploaded_Data!$N$2:$N$59696)</f>
        <v>0</v>
      </c>
      <c r="AA21" s="80" cm="1">
        <f t="array" ref="AA21">SUMPRODUCT((Uploaded_Data!$D$2:$D$59696="Production Transfers")*(Uploaded_Data!$E$2:$E$59696="North Mine to Stock Yard")*(Uploaded_Data!$F$2:$F$59696="OB/CLAY")*(Uploaded_Data!$H$2:$H$59696=$A21)*Uploaded_Data!$N$2:$N$59696)</f>
        <v>0</v>
      </c>
      <c r="AB21" s="80" cm="1">
        <f t="array" ref="AB21">SUMPRODUCT((Uploaded_Data!$D$2:$D$59696="Production Transfers")*(Uploaded_Data!$E$2:$E$59696="North Mine to Golani Waste dump")*(Uploaded_Data!$F$2:$F$59696="WASTE")*(Uploaded_Data!$H$2:$H$59696=$A21)*Uploaded_Data!$N$2:$N$59696)</f>
        <v>0</v>
      </c>
      <c r="AC21" s="80" cm="1">
        <f t="array" ref="AC21">SUMPRODUCT((Uploaded_Data!$D$2:$D$59696="Internal Transfers")*(Uploaded_Data!$E$2:$E$59696="Stock Yard to Pile (through Crusher)")*(Uploaded_Data!$F$2:$F$59696="OB/CLAY")*(Uploaded_Data!$H$2:$H$59696=$A21)*Uploaded_Data!$N$2:$N$59696)</f>
        <v>0</v>
      </c>
      <c r="AD21" s="80" cm="1">
        <f t="array" ref="AD21">SUMPRODUCT((Uploaded_Data!$D$2:$D$59696="Internal Transfers")*(Uploaded_Data!$E$2:$E$59696="Stock Yard to Other Usages")*(Uploaded_Data!$F$2:$F$59696="OB/CLAY")*(Uploaded_Data!$H$2:$H$59696=$A21)*Uploaded_Data!$N$2:$N$59696)</f>
        <v>0</v>
      </c>
      <c r="AE21" s="80" cm="1">
        <f t="array" ref="AE21">SUMPRODUCT((Uploaded_Data!$D$2:$D$59696="Internal Transfers")*(Uploaded_Data!$E$2:$E$59696="Stock Yard to Direct Pile (Bypass Crusher)")*(Uploaded_Data!$F$2:$F$59696="OB/CLAY")*(Uploaded_Data!$H$2:$H$59696=$A21)*Uploaded_Data!$N$2:$N$59696)</f>
        <v>0</v>
      </c>
      <c r="AF21" s="80" cm="1">
        <f t="array" ref="AF21">SUMPRODUCT((Uploaded_Data!$D$2:$D$59696="Production Transfers")*(Uploaded_Data!$E$2:$E$59696="South Mine to Pile (through Crusher)")*(Uploaded_Data!$F$2:$F$59696="HGHMGO")*(Uploaded_Data!$H$2:$H$59696=$A21)*Uploaded_Data!$N$2:$N$59696)</f>
        <v>0</v>
      </c>
      <c r="AG21" s="80" cm="1">
        <f t="array" ref="AG21">SUMPRODUCT((Uploaded_Data!$D$2:$D$59696="Production Transfers")*(Uploaded_Data!$E$2:$E$59696="South Mine to Direct Pile (Bypass Crusher)")*(Uploaded_Data!$F$2:$F$59696="HGHMGO")*(Uploaded_Data!$H$2:$H$59696=$A21)*Uploaded_Data!$N$2:$N$59696)</f>
        <v>0</v>
      </c>
      <c r="AH21" s="80" cm="1">
        <f t="array" ref="AH21">SUMPRODUCT((Uploaded_Data!$D$2:$D$59696="Production Transfers")*(Uploaded_Data!$E$2:$E$59696="South Mine to Stock Yard")*(Uploaded_Data!$F$2:$F$59696="HGHMGO")*(Uploaded_Data!$H$2:$H$59696=$A21)*Uploaded_Data!$N$2:$N$59696)</f>
        <v>0</v>
      </c>
      <c r="AI21" s="80" cm="1">
        <f t="array" ref="AI21">SUMPRODUCT((Uploaded_Data!$D$2:$D$59696="Internal Transfers")*(Uploaded_Data!$E$2:$E$59696="Stock Yard to Pile (through Crusher)")*(Uploaded_Data!$F$2:$F$59696="HGHMGO")*(Uploaded_Data!$H$2:$H$59696=$A21)*Uploaded_Data!$N$2:$N$59696)</f>
        <v>0</v>
      </c>
      <c r="AJ21" s="80" cm="1">
        <f t="array" ref="AJ21">SUMPRODUCT((Uploaded_Data!$D$2:$D$59696="Production Transfers")*(Uploaded_Data!$E$2:$E$59696="South Mine to Pile (through Crusher)")*(Uploaded_Data!$F$2:$F$59696="LGHMGO")*(Uploaded_Data!$H$2:$H$59696=$A21)*Uploaded_Data!$N$2:$N$59696)</f>
        <v>0</v>
      </c>
      <c r="AK21" s="80" cm="1">
        <f t="array" ref="AK21">SUMPRODUCT((Uploaded_Data!$D$2:$D$59696="Production Transfers")*(Uploaded_Data!$E$2:$E$59696="South Mine to Direct Pile (Bypass Crusher)")*(Uploaded_Data!$F$2:$F$59696="LGHMGO")*(Uploaded_Data!$H$2:$H$59696=$A21)*Uploaded_Data!$N$2:$N$59696)</f>
        <v>0</v>
      </c>
      <c r="AL21" s="80" cm="1">
        <f t="array" ref="AL21">SUMPRODUCT((Uploaded_Data!$D$2:$D$59696="Production Transfers")*(Uploaded_Data!$E$2:$E$59696="South Mine to Stock Yard")*(Uploaded_Data!$F$2:$F$59696="LGHMGO")*(Uploaded_Data!$H$2:$H$59696=$A21)*Uploaded_Data!$N$2:$N$59696)</f>
        <v>0</v>
      </c>
      <c r="AM21" s="80" cm="1">
        <f t="array" ref="AM21">SUMPRODUCT((Uploaded_Data!$D$2:$D$59696="Internal Transfers")*(Uploaded_Data!$E$2:$E$59696="Stock Yard to Pile (through Crusher)")*(Uploaded_Data!$F$2:$F$59696="LGHMGO")*(Uploaded_Data!$H$2:$H$59696=$A21)*Uploaded_Data!$N$2:$N$59696)</f>
        <v>0</v>
      </c>
      <c r="AN21" s="102">
        <f t="shared" si="0"/>
        <v>4121.08</v>
      </c>
      <c r="AO21" s="110"/>
      <c r="AP21" s="109" cm="1">
        <f t="array" ref="AP21">SUMPRODUCT((Uploaded_Data!$D$2:$D$59696="Internal Transfers")*(Uploaded_Data!$E$2:$E$59696="Stock Yard to Pile (through Crusher)")*(Uploaded_Data!$F$2:$F$59696="GYPSUM")*(Uploaded_Data!$H$2:$H$59696=$A21)*Uploaded_Data!$N$2:$N$59696)</f>
        <v>0</v>
      </c>
      <c r="AQ21" s="109" cm="1">
        <f t="array" ref="AQ21">SUMPRODUCT((Uploaded_Data!$D$2:$D$59696="Internal Transfers")*(Uploaded_Data!$E$2:$E$59696="Stock Yard to Direct Pile (Bypass Crusher)")*(Uploaded_Data!$F$2:$F$59696="GYPSUM")*(Uploaded_Data!$H$2:$H$59696=$A21)*Uploaded_Data!$N$2:$N$59696)</f>
        <v>0</v>
      </c>
      <c r="AR21" s="109" cm="1">
        <f t="array" ref="AR21">SUMPRODUCT((Uploaded_Data!$D$2:$D$59696="Internal Transfers")*(Uploaded_Data!$E$2:$E$59696="Stock Yard to Other Usages")*(Uploaded_Data!$F$2:$F$59696="ID Clay")*(Uploaded_Data!$H$2:$H$59696=$A21)*Uploaded_Data!$N$2:$N$59696)</f>
        <v>0</v>
      </c>
      <c r="AS21" s="109" cm="1">
        <f t="array" ref="AS21">SUMPRODUCT((Uploaded_Data!$D$2:$D$59696="Internal Transfers")*(Uploaded_Data!$E$2:$E$59696="Stock Yard to Direct Pile (Bypass Crusher)")*(Uploaded_Data!$F$2:$F$59696="ID Clay")*(Uploaded_Data!$H$2:$H$59696=$A21)*Uploaded_Data!$N$2:$N$59696)</f>
        <v>0</v>
      </c>
      <c r="AT21" s="109" cm="1">
        <f t="array" ref="AT21">SUMPRODUCT((Uploaded_Data!$D$2:$D$59696="Production Transfers")*(Uploaded_Data!$E$2:$E$59696="Kijaka Mine to Stock Yard")*(Uploaded_Data!$F$2:$F$59696="ID Clay")*(Uploaded_Data!$H$2:$H$59696=$A21)*Uploaded_Data!$N$2:$N$59696)</f>
        <v>0</v>
      </c>
      <c r="AU21" s="102">
        <f t="shared" si="1"/>
        <v>4121.08</v>
      </c>
      <c r="AV21" s="109">
        <f t="shared" si="2"/>
        <v>4121.08</v>
      </c>
      <c r="AW21" s="109"/>
      <c r="AX21" s="109"/>
      <c r="AY21" s="114"/>
      <c r="AZ21" s="110">
        <f t="shared" si="3"/>
        <v>2234.64</v>
      </c>
      <c r="BA21" s="112">
        <f t="shared" si="4"/>
        <v>4121.08</v>
      </c>
      <c r="BB21" s="110"/>
    </row>
    <row r="22" spans="1:54">
      <c r="A22" s="79">
        <v>46130</v>
      </c>
      <c r="B22" s="80" cm="1">
        <f t="array" ref="B22">SUMPRODUCT((Uploaded_Data!$D$2:$D$59696="Production Transfers")*(Uploaded_Data!$E$2:$E$59696="South Mine to Pile (through Crusher)")*(Uploaded_Data!$F$2:$F$59696="HG")*(Uploaded_Data!$H$2:$H$59696=$A22)*Uploaded_Data!$N$2:$N$59696)</f>
        <v>0</v>
      </c>
      <c r="C22" s="80" cm="1">
        <f t="array" ref="C22">SUMPRODUCT((Uploaded_Data!$D$2:$D$59696="Production Transfers")*(Uploaded_Data!$E$2:$E$59696="South Mine to Direct Pile (Bypass Crusher)")*(Uploaded_Data!$F$2:$F$59696="HG")*(Uploaded_Data!$H$2:$H$59696=$A22)*Uploaded_Data!$N$2:$N$59696)</f>
        <v>0</v>
      </c>
      <c r="D22" s="80" cm="1">
        <f t="array" ref="D22">SUMPRODUCT((Uploaded_Data!$D$2:$D$59696="Production Transfers")*(Uploaded_Data!$E$2:$E$59696="South Mine to Stock Yard")*(Uploaded_Data!$F$2:$F$59696="HG")*(Uploaded_Data!$H$2:$H$59696=$A22)*Uploaded_Data!$N$2:$N$59696)</f>
        <v>0</v>
      </c>
      <c r="E22" s="80" cm="1">
        <f t="array" ref="E22">SUMPRODUCT((Uploaded_Data!$D$2:$D$59696="Production Transfers")*(Uploaded_Data!$E$2:$E$59696="North Mine to Pile (through Crusher)")*(Uploaded_Data!$F$2:$F$59696="HG")*(Uploaded_Data!$H$2:$H$59696=$A22)*Uploaded_Data!$N$2:$N$59696)</f>
        <v>0</v>
      </c>
      <c r="F22" s="80" cm="1">
        <f t="array" ref="F22">SUMPRODUCT((Uploaded_Data!$D$2:$D$59696="Production Transfers")*(Uploaded_Data!$E$2:$E$59696="North Mine to Direct Pile (Bypass Crusher)")*(Uploaded_Data!$F$2:$F$59696="HG")*(Uploaded_Data!$H$2:$H$59696=$A22)*Uploaded_Data!$N$2:$N$59696)</f>
        <v>584.02000000000021</v>
      </c>
      <c r="G22" s="80" cm="1">
        <f t="array" ref="G22">SUMPRODUCT((Uploaded_Data!$D$2:$D$59696="Production Transfers")*(Uploaded_Data!$E$2:$E$59696="North Mine to Stock Yard")*(Uploaded_Data!$F$2:$F$59696="HG")*(Uploaded_Data!$H$2:$H$59696=$A22)*Uploaded_Data!$N$2:$N$59696)</f>
        <v>448.28000000000003</v>
      </c>
      <c r="H22" s="80" cm="1">
        <f t="array" ref="H22">SUMPRODUCT((Uploaded_Data!$D$2:$D$59696="Internal Transfers")*(Uploaded_Data!$E$2:$E$59696="Stock Yard to Pile (through Crusher)")*(Uploaded_Data!$F$2:$F$59696="HG")*(Uploaded_Data!$H$2:$H$59696=$A22)*Uploaded_Data!$N$2:$N$59696)</f>
        <v>769.68000000000006</v>
      </c>
      <c r="I22" s="80" cm="1">
        <f t="array" ref="I22">SUMPRODUCT((Uploaded_Data!$D$2:$D$59696="Internal Transfers")*(Uploaded_Data!$E$2:$E$59696="Stock Yard to Direct Pile (Bypass Crusher)")*(Uploaded_Data!$F$2:$F$59696="HG")*(Uploaded_Data!$H$2:$H$59696=$A22)*Uploaded_Data!$N$2:$N$59696)</f>
        <v>0</v>
      </c>
      <c r="J22" s="80" cm="1">
        <f t="array" ref="J22">SUMPRODUCT((Uploaded_Data!$D$2:$D$59696="Production Transfers")*(Uploaded_Data!$E$2:$E$59696="South Mine to Pile (through Crusher)")*(Uploaded_Data!$F$2:$F$59696="LG1")*(Uploaded_Data!$H$2:$H$59696=$A22)*Uploaded_Data!$N$2:$N$59696)</f>
        <v>0</v>
      </c>
      <c r="K22" s="80" cm="1">
        <f t="array" ref="K22">SUMPRODUCT((Uploaded_Data!$D$2:$D$59696="Production Transfers")*(Uploaded_Data!$E$2:$E$59696="South Mine to Direct Pile (Bypass Crusher)")*(Uploaded_Data!$F$2:$F$59696="LG1")*(Uploaded_Data!$H$2:$H$59696=$A22)*Uploaded_Data!$N$2:$N$59696)</f>
        <v>0</v>
      </c>
      <c r="L22" s="80" cm="1">
        <f t="array" ref="L22">SUMPRODUCT((Uploaded_Data!$D$2:$D$59696="Production Transfers")*(Uploaded_Data!$E$2:$E$59696="South Mine to Stock Yard")*(Uploaded_Data!$F$2:$F$59696="LG1")*(Uploaded_Data!$H$2:$H$59696=$A22)*Uploaded_Data!$N$2:$N$59696)</f>
        <v>0</v>
      </c>
      <c r="M22" s="80" cm="1">
        <f t="array" ref="M22">SUMPRODUCT((Uploaded_Data!$D$2:$D$59696="Production Transfers")*(Uploaded_Data!$E$2:$E$59696="North Mine to Pile (through Crusher)")*(Uploaded_Data!$F$2:$F$59696="LG1")*(Uploaded_Data!$H$2:$H$59696=$A22)*Uploaded_Data!$N$2:$N$59696)</f>
        <v>381.54000000000008</v>
      </c>
      <c r="N22" s="80" cm="1">
        <f t="array" ref="N22">SUMPRODUCT((Uploaded_Data!$D$2:$D$59696="Production Transfers")*(Uploaded_Data!$E$2:$E$59696="North Mine to Direct Pile (Bypass Crusher)")*(Uploaded_Data!$F$2:$F$59696="LG1")*(Uploaded_Data!$H$2:$H$59696=$A22)*Uploaded_Data!$N$2:$N$59696)</f>
        <v>0</v>
      </c>
      <c r="O22" s="80" cm="1">
        <f t="array" ref="O22">SUMPRODUCT((Uploaded_Data!$D$2:$D$59696="Production Transfers")*(Uploaded_Data!$E$2:$E$59696="North Mine to Stock Yard")*(Uploaded_Data!$F$2:$F$59696="LG1")*(Uploaded_Data!$H$2:$H$59696=$A22)*Uploaded_Data!$N$2:$N$59696)</f>
        <v>795.55999999999972</v>
      </c>
      <c r="P22" s="80" cm="1">
        <f t="array" ref="P22">SUMPRODUCT((Uploaded_Data!$D$2:$D$59696="Internal Transfers")*(Uploaded_Data!$E$2:$E$59696="Stock Yard to Pile (through Crusher)")*(Uploaded_Data!$F$2:$F$59696="LG1")*(Uploaded_Data!$H$2:$H$59696=$A22)*Uploaded_Data!$N$2:$N$59696)</f>
        <v>472.09999999999997</v>
      </c>
      <c r="Q22" s="80" cm="1">
        <f t="array" ref="Q22">SUMPRODUCT((Uploaded_Data!$D$2:$D$59696="Internal Transfers")*(Uploaded_Data!$E$2:$E$59696="Stock Yard to Direct Pile (Bypass Crusher)")*(Uploaded_Data!$F$2:$F$59696="LG1")*(Uploaded_Data!$H$2:$H$59696=$A22)*Uploaded_Data!$N$2:$N$59696)</f>
        <v>0</v>
      </c>
      <c r="R22" s="80" cm="1">
        <f t="array" ref="R22">SUMPRODUCT((Uploaded_Data!$D$2:$D$59696="Internal Transfers")*(Uploaded_Data!$E$2:$E$59696="Stock Yard to Other Usages")*(Uploaded_Data!$F$2:$F$59696="LG1")*(Uploaded_Data!$H$2:$H$59696=$A22)*Uploaded_Data!$N$2:$N$59696)</f>
        <v>0</v>
      </c>
      <c r="S22" s="80" cm="1">
        <f t="array" ref="S22">SUMPRODUCT((Uploaded_Data!$D$2:$D$59696="Internal Transfers")*(Uploaded_Data!$E$2:$E$59696="Stock Yard to Pile (through Crusher)")*(Uploaded_Data!$F$2:$F$59696="LIMESTONE SPG")*(Uploaded_Data!$H$2:$H$59696=$A22)*Uploaded_Data!$N$2:$N$59696)</f>
        <v>0</v>
      </c>
      <c r="T22" s="80" cm="1">
        <f t="array" ref="T22">SUMPRODUCT((Uploaded_Data!$D$2:$D$59696="Internal Transfers")*(Uploaded_Data!$E$2:$E$59696="Stock Yard to Direct Pile (Bypass Crusher)")*(Uploaded_Data!$F$2:$F$59696="LIMESTONE SPG")*(Uploaded_Data!$H$2:$H$59696=$A22)*Uploaded_Data!$N$2:$N$59696)</f>
        <v>0</v>
      </c>
      <c r="U22" s="80" cm="1">
        <f t="array" ref="U22">SUMPRODUCT((Uploaded_Data!$D$2:$D$59696="Production Transfers")*(Uploaded_Data!$E$2:$E$59696="South Mine to Pile (through Crusher)")*(Uploaded_Data!$F$2:$F$59696="OB/CLAY")*(Uploaded_Data!$H$2:$H$59696=$A22)*Uploaded_Data!$N$2:$N$59696)</f>
        <v>0</v>
      </c>
      <c r="V22" s="80" cm="1">
        <f t="array" ref="V22">SUMPRODUCT((Uploaded_Data!$D$2:$D$59696="Production Transfers")*(Uploaded_Data!$E$2:$E$59696="South Mine to Direct Pile (Bypass Crusher)")*(Uploaded_Data!$F$2:$F$59696="OB/CLAY")*(Uploaded_Data!$H$2:$H$59696=$A22)*Uploaded_Data!$N$2:$N$59696)</f>
        <v>0</v>
      </c>
      <c r="W22" s="80" cm="1">
        <f t="array" ref="W22">SUMPRODUCT((Uploaded_Data!$D$2:$D$59696="Production Transfers")*(Uploaded_Data!$E$2:$E$59696="South Mine to Stock Yard")*(Uploaded_Data!$F$2:$F$59696="OB/CLAY")*(Uploaded_Data!$H$2:$H$59696=$A22)*Uploaded_Data!$N$2:$N$59696)</f>
        <v>0</v>
      </c>
      <c r="X22" s="80" cm="1">
        <f t="array" ref="X22">SUMPRODUCT((Uploaded_Data!$D$2:$D$59696="Production Transfers")*(Uploaded_Data!$E$2:$E$59696="South Mine to Golani Waste dump")*(Uploaded_Data!$F$2:$F$59696="WASTE")*(Uploaded_Data!$H$2:$H$59696=$A22)*Uploaded_Data!$N$2:$N$59696)</f>
        <v>0</v>
      </c>
      <c r="Y22" s="80" cm="1">
        <f t="array" ref="Y22">SUMPRODUCT((Uploaded_Data!$D$2:$D$59696="Production Transfers")*(Uploaded_Data!$E$2:$E$59696="North Mine to Pile (through Crusher)")*(Uploaded_Data!$F$2:$F$59696="OB/CLAY")*(Uploaded_Data!$H$2:$H$59696=$A22)*Uploaded_Data!$N$2:$N$59696)</f>
        <v>0</v>
      </c>
      <c r="Z22" s="80" cm="1">
        <f t="array" ref="Z22">SUMPRODUCT((Uploaded_Data!$D$2:$D$59696="Production Transfers")*(Uploaded_Data!$E$2:$E$59696="North Mine to Direct Pile (Bypass Crusher)")*(Uploaded_Data!$F$2:$F$59696="OB/CLAY")*(Uploaded_Data!$H$2:$H$59696=$A22)*Uploaded_Data!$N$2:$N$59696)</f>
        <v>0</v>
      </c>
      <c r="AA22" s="80" cm="1">
        <f t="array" ref="AA22">SUMPRODUCT((Uploaded_Data!$D$2:$D$59696="Production Transfers")*(Uploaded_Data!$E$2:$E$59696="North Mine to Stock Yard")*(Uploaded_Data!$F$2:$F$59696="OB/CLAY")*(Uploaded_Data!$H$2:$H$59696=$A22)*Uploaded_Data!$N$2:$N$59696)</f>
        <v>0</v>
      </c>
      <c r="AB22" s="80" cm="1">
        <f t="array" ref="AB22">SUMPRODUCT((Uploaded_Data!$D$2:$D$59696="Production Transfers")*(Uploaded_Data!$E$2:$E$59696="North Mine to Golani Waste dump")*(Uploaded_Data!$F$2:$F$59696="WASTE")*(Uploaded_Data!$H$2:$H$59696=$A22)*Uploaded_Data!$N$2:$N$59696)</f>
        <v>0</v>
      </c>
      <c r="AC22" s="80" cm="1">
        <f t="array" ref="AC22">SUMPRODUCT((Uploaded_Data!$D$2:$D$59696="Internal Transfers")*(Uploaded_Data!$E$2:$E$59696="Stock Yard to Pile (through Crusher)")*(Uploaded_Data!$F$2:$F$59696="OB/CLAY")*(Uploaded_Data!$H$2:$H$59696=$A22)*Uploaded_Data!$N$2:$N$59696)</f>
        <v>314.56000000000006</v>
      </c>
      <c r="AD22" s="80" cm="1">
        <f t="array" ref="AD22">SUMPRODUCT((Uploaded_Data!$D$2:$D$59696="Internal Transfers")*(Uploaded_Data!$E$2:$E$59696="Stock Yard to Other Usages")*(Uploaded_Data!$F$2:$F$59696="OB/CLAY")*(Uploaded_Data!$H$2:$H$59696=$A22)*Uploaded_Data!$N$2:$N$59696)</f>
        <v>0</v>
      </c>
      <c r="AE22" s="80" cm="1">
        <f t="array" ref="AE22">SUMPRODUCT((Uploaded_Data!$D$2:$D$59696="Internal Transfers")*(Uploaded_Data!$E$2:$E$59696="Stock Yard to Direct Pile (Bypass Crusher)")*(Uploaded_Data!$F$2:$F$59696="OB/CLAY")*(Uploaded_Data!$H$2:$H$59696=$A22)*Uploaded_Data!$N$2:$N$59696)</f>
        <v>0</v>
      </c>
      <c r="AF22" s="80" cm="1">
        <f t="array" ref="AF22">SUMPRODUCT((Uploaded_Data!$D$2:$D$59696="Production Transfers")*(Uploaded_Data!$E$2:$E$59696="South Mine to Pile (through Crusher)")*(Uploaded_Data!$F$2:$F$59696="HGHMGO")*(Uploaded_Data!$H$2:$H$59696=$A22)*Uploaded_Data!$N$2:$N$59696)</f>
        <v>0</v>
      </c>
      <c r="AG22" s="80" cm="1">
        <f t="array" ref="AG22">SUMPRODUCT((Uploaded_Data!$D$2:$D$59696="Production Transfers")*(Uploaded_Data!$E$2:$E$59696="South Mine to Direct Pile (Bypass Crusher)")*(Uploaded_Data!$F$2:$F$59696="HGHMGO")*(Uploaded_Data!$H$2:$H$59696=$A22)*Uploaded_Data!$N$2:$N$59696)</f>
        <v>0</v>
      </c>
      <c r="AH22" s="80" cm="1">
        <f t="array" ref="AH22">SUMPRODUCT((Uploaded_Data!$D$2:$D$59696="Production Transfers")*(Uploaded_Data!$E$2:$E$59696="South Mine to Stock Yard")*(Uploaded_Data!$F$2:$F$59696="HGHMGO")*(Uploaded_Data!$H$2:$H$59696=$A22)*Uploaded_Data!$N$2:$N$59696)</f>
        <v>0</v>
      </c>
      <c r="AI22" s="80" cm="1">
        <f t="array" ref="AI22">SUMPRODUCT((Uploaded_Data!$D$2:$D$59696="Internal Transfers")*(Uploaded_Data!$E$2:$E$59696="Stock Yard to Pile (through Crusher)")*(Uploaded_Data!$F$2:$F$59696="HGHMGO")*(Uploaded_Data!$H$2:$H$59696=$A22)*Uploaded_Data!$N$2:$N$59696)</f>
        <v>0</v>
      </c>
      <c r="AJ22" s="80" cm="1">
        <f t="array" ref="AJ22">SUMPRODUCT((Uploaded_Data!$D$2:$D$59696="Production Transfers")*(Uploaded_Data!$E$2:$E$59696="South Mine to Pile (through Crusher)")*(Uploaded_Data!$F$2:$F$59696="LGHMGO")*(Uploaded_Data!$H$2:$H$59696=$A22)*Uploaded_Data!$N$2:$N$59696)</f>
        <v>0</v>
      </c>
      <c r="AK22" s="80" cm="1">
        <f t="array" ref="AK22">SUMPRODUCT((Uploaded_Data!$D$2:$D$59696="Production Transfers")*(Uploaded_Data!$E$2:$E$59696="South Mine to Direct Pile (Bypass Crusher)")*(Uploaded_Data!$F$2:$F$59696="LGHMGO")*(Uploaded_Data!$H$2:$H$59696=$A22)*Uploaded_Data!$N$2:$N$59696)</f>
        <v>0</v>
      </c>
      <c r="AL22" s="80" cm="1">
        <f t="array" ref="AL22">SUMPRODUCT((Uploaded_Data!$D$2:$D$59696="Production Transfers")*(Uploaded_Data!$E$2:$E$59696="South Mine to Stock Yard")*(Uploaded_Data!$F$2:$F$59696="LGHMGO")*(Uploaded_Data!$H$2:$H$59696=$A22)*Uploaded_Data!$N$2:$N$59696)</f>
        <v>0</v>
      </c>
      <c r="AM22" s="80" cm="1">
        <f t="array" ref="AM22">SUMPRODUCT((Uploaded_Data!$D$2:$D$59696="Internal Transfers")*(Uploaded_Data!$E$2:$E$59696="Stock Yard to Pile (through Crusher)")*(Uploaded_Data!$F$2:$F$59696="LGHMGO")*(Uploaded_Data!$H$2:$H$59696=$A22)*Uploaded_Data!$N$2:$N$59696)</f>
        <v>0</v>
      </c>
      <c r="AN22" s="103">
        <f t="shared" si="0"/>
        <v>3765.74</v>
      </c>
      <c r="AO22" s="111"/>
      <c r="AP22" s="109" cm="1">
        <f t="array" ref="AP22">SUMPRODUCT((Uploaded_Data!$D$2:$D$59696="Internal Transfers")*(Uploaded_Data!$E$2:$E$59696="Stock Yard to Pile (through Crusher)")*(Uploaded_Data!$F$2:$F$59696="GYPSUM")*(Uploaded_Data!$H$2:$H$59696=$A22)*Uploaded_Data!$N$2:$N$59696)</f>
        <v>0</v>
      </c>
      <c r="AQ22" s="109" cm="1">
        <f t="array" ref="AQ22">SUMPRODUCT((Uploaded_Data!$D$2:$D$59696="Internal Transfers")*(Uploaded_Data!$E$2:$E$59696="Stock Yard to Direct Pile (Bypass Crusher)")*(Uploaded_Data!$F$2:$F$59696="GYPSUM")*(Uploaded_Data!$H$2:$H$59696=$A22)*Uploaded_Data!$N$2:$N$59696)</f>
        <v>0</v>
      </c>
      <c r="AR22" s="109" cm="1">
        <f t="array" ref="AR22">SUMPRODUCT((Uploaded_Data!$D$2:$D$59696="Internal Transfers")*(Uploaded_Data!$E$2:$E$59696="Stock Yard to Other Usages")*(Uploaded_Data!$F$2:$F$59696="ID Clay")*(Uploaded_Data!$H$2:$H$59696=$A22)*Uploaded_Data!$N$2:$N$59696)</f>
        <v>0</v>
      </c>
      <c r="AS22" s="109" cm="1">
        <f t="array" ref="AS22">SUMPRODUCT((Uploaded_Data!$D$2:$D$59696="Internal Transfers")*(Uploaded_Data!$E$2:$E$59696="Stock Yard to Direct Pile (Bypass Crusher)")*(Uploaded_Data!$F$2:$F$59696="ID Clay")*(Uploaded_Data!$H$2:$H$59696=$A22)*Uploaded_Data!$N$2:$N$59696)</f>
        <v>0</v>
      </c>
      <c r="AT22" s="109" cm="1">
        <f t="array" ref="AT22">SUMPRODUCT((Uploaded_Data!$D$2:$D$59696="Production Transfers")*(Uploaded_Data!$E$2:$E$59696="Kijaka Mine to Stock Yard")*(Uploaded_Data!$F$2:$F$59696="ID Clay")*(Uploaded_Data!$H$2:$H$59696=$A22)*Uploaded_Data!$N$2:$N$59696)</f>
        <v>0</v>
      </c>
      <c r="AU22" s="102">
        <f t="shared" si="1"/>
        <v>3765.74</v>
      </c>
      <c r="AV22" s="109">
        <f t="shared" si="2"/>
        <v>3765.74</v>
      </c>
      <c r="AW22" s="109"/>
      <c r="AX22" s="109"/>
      <c r="AY22" s="114"/>
      <c r="AZ22" s="110">
        <f t="shared" si="3"/>
        <v>1937.88</v>
      </c>
      <c r="BA22" s="112">
        <f t="shared" si="4"/>
        <v>3765.74</v>
      </c>
      <c r="BB22" s="110"/>
    </row>
    <row r="23" spans="1:54" s="63" customFormat="1">
      <c r="A23" s="79">
        <v>46131</v>
      </c>
      <c r="B23" s="80" cm="1">
        <f t="array" ref="B23">SUMPRODUCT((Uploaded_Data!$D$2:$D$59696="Production Transfers")*(Uploaded_Data!$E$2:$E$59696="South Mine to Pile (through Crusher)")*(Uploaded_Data!$F$2:$F$59696="HG")*(Uploaded_Data!$H$2:$H$59696=$A23)*Uploaded_Data!$N$2:$N$59696)</f>
        <v>0</v>
      </c>
      <c r="C23" s="80" cm="1">
        <f t="array" ref="C23">SUMPRODUCT((Uploaded_Data!$D$2:$D$59696="Production Transfers")*(Uploaded_Data!$E$2:$E$59696="South Mine to Direct Pile (Bypass Crusher)")*(Uploaded_Data!$F$2:$F$59696="HG")*(Uploaded_Data!$H$2:$H$59696=$A23)*Uploaded_Data!$N$2:$N$59696)</f>
        <v>0</v>
      </c>
      <c r="D23" s="80" cm="1">
        <f t="array" ref="D23">SUMPRODUCT((Uploaded_Data!$D$2:$D$59696="Production Transfers")*(Uploaded_Data!$E$2:$E$59696="South Mine to Stock Yard")*(Uploaded_Data!$F$2:$F$59696="HG")*(Uploaded_Data!$H$2:$H$59696=$A23)*Uploaded_Data!$N$2:$N$59696)</f>
        <v>0</v>
      </c>
      <c r="E23" s="80" cm="1">
        <f t="array" ref="E23">SUMPRODUCT((Uploaded_Data!$D$2:$D$59696="Production Transfers")*(Uploaded_Data!$E$2:$E$59696="North Mine to Pile (through Crusher)")*(Uploaded_Data!$F$2:$F$59696="HG")*(Uploaded_Data!$H$2:$H$59696=$A23)*Uploaded_Data!$N$2:$N$59696)</f>
        <v>1158.2400000000005</v>
      </c>
      <c r="F23" s="80" cm="1">
        <f t="array" ref="F23">SUMPRODUCT((Uploaded_Data!$D$2:$D$59696="Production Transfers")*(Uploaded_Data!$E$2:$E$59696="North Mine to Direct Pile (Bypass Crusher)")*(Uploaded_Data!$F$2:$F$59696="HG")*(Uploaded_Data!$H$2:$H$59696=$A23)*Uploaded_Data!$N$2:$N$59696)</f>
        <v>899.97999999999956</v>
      </c>
      <c r="G23" s="80" cm="1">
        <f t="array" ref="G23">SUMPRODUCT((Uploaded_Data!$D$2:$D$59696="Production Transfers")*(Uploaded_Data!$E$2:$E$59696="North Mine to Stock Yard")*(Uploaded_Data!$F$2:$F$59696="HG")*(Uploaded_Data!$H$2:$H$59696=$A23)*Uploaded_Data!$N$2:$N$59696)</f>
        <v>597.72000000000014</v>
      </c>
      <c r="H23" s="80" cm="1">
        <f t="array" ref="H23">SUMPRODUCT((Uploaded_Data!$D$2:$D$59696="Internal Transfers")*(Uploaded_Data!$E$2:$E$59696="Stock Yard to Pile (through Crusher)")*(Uploaded_Data!$F$2:$F$59696="HG")*(Uploaded_Data!$H$2:$H$59696=$A23)*Uploaded_Data!$N$2:$N$59696)</f>
        <v>119.66</v>
      </c>
      <c r="I23" s="80" cm="1">
        <f t="array" ref="I23">SUMPRODUCT((Uploaded_Data!$D$2:$D$59696="Internal Transfers")*(Uploaded_Data!$E$2:$E$59696="Stock Yard to Direct Pile (Bypass Crusher)")*(Uploaded_Data!$F$2:$F$59696="HG")*(Uploaded_Data!$H$2:$H$59696=$A23)*Uploaded_Data!$N$2:$N$59696)</f>
        <v>621.91999999999996</v>
      </c>
      <c r="J23" s="80" cm="1">
        <f t="array" ref="J23">SUMPRODUCT((Uploaded_Data!$D$2:$D$59696="Production Transfers")*(Uploaded_Data!$E$2:$E$59696="South Mine to Pile (through Crusher)")*(Uploaded_Data!$F$2:$F$59696="LG1")*(Uploaded_Data!$H$2:$H$59696=$A23)*Uploaded_Data!$N$2:$N$59696)</f>
        <v>0</v>
      </c>
      <c r="K23" s="80" cm="1">
        <f t="array" ref="K23">SUMPRODUCT((Uploaded_Data!$D$2:$D$59696="Production Transfers")*(Uploaded_Data!$E$2:$E$59696="South Mine to Direct Pile (Bypass Crusher)")*(Uploaded_Data!$F$2:$F$59696="LG1")*(Uploaded_Data!$H$2:$H$59696=$A23)*Uploaded_Data!$N$2:$N$59696)</f>
        <v>0</v>
      </c>
      <c r="L23" s="80" cm="1">
        <f t="array" ref="L23">SUMPRODUCT((Uploaded_Data!$D$2:$D$59696="Production Transfers")*(Uploaded_Data!$E$2:$E$59696="South Mine to Stock Yard")*(Uploaded_Data!$F$2:$F$59696="LG1")*(Uploaded_Data!$H$2:$H$59696=$A23)*Uploaded_Data!$N$2:$N$59696)</f>
        <v>0</v>
      </c>
      <c r="M23" s="80" cm="1">
        <f t="array" ref="M23">SUMPRODUCT((Uploaded_Data!$D$2:$D$59696="Production Transfers")*(Uploaded_Data!$E$2:$E$59696="North Mine to Pile (through Crusher)")*(Uploaded_Data!$F$2:$F$59696="LG1")*(Uploaded_Data!$H$2:$H$59696=$A23)*Uploaded_Data!$N$2:$N$59696)</f>
        <v>747.83999999999992</v>
      </c>
      <c r="N23" s="80" cm="1">
        <f t="array" ref="N23">SUMPRODUCT((Uploaded_Data!$D$2:$D$59696="Production Transfers")*(Uploaded_Data!$E$2:$E$59696="North Mine to Direct Pile (Bypass Crusher)")*(Uploaded_Data!$F$2:$F$59696="LG1")*(Uploaded_Data!$H$2:$H$59696=$A23)*Uploaded_Data!$N$2:$N$59696)</f>
        <v>0</v>
      </c>
      <c r="O23" s="80" cm="1">
        <f t="array" ref="O23">SUMPRODUCT((Uploaded_Data!$D$2:$D$59696="Production Transfers")*(Uploaded_Data!$E$2:$E$59696="North Mine to Stock Yard")*(Uploaded_Data!$F$2:$F$59696="LG1")*(Uploaded_Data!$H$2:$H$59696=$A23)*Uploaded_Data!$N$2:$N$59696)</f>
        <v>182.14</v>
      </c>
      <c r="P23" s="80" cm="1">
        <f t="array" ref="P23">SUMPRODUCT((Uploaded_Data!$D$2:$D$59696="Internal Transfers")*(Uploaded_Data!$E$2:$E$59696="Stock Yard to Pile (through Crusher)")*(Uploaded_Data!$F$2:$F$59696="LG1")*(Uploaded_Data!$H$2:$H$59696=$A23)*Uploaded_Data!$N$2:$N$59696)</f>
        <v>0</v>
      </c>
      <c r="Q23" s="80" cm="1">
        <f t="array" ref="Q23">SUMPRODUCT((Uploaded_Data!$D$2:$D$59696="Internal Transfers")*(Uploaded_Data!$E$2:$E$59696="Stock Yard to Direct Pile (Bypass Crusher)")*(Uploaded_Data!$F$2:$F$59696="LG1")*(Uploaded_Data!$H$2:$H$59696=$A23)*Uploaded_Data!$N$2:$N$59696)</f>
        <v>104.42</v>
      </c>
      <c r="R23" s="80" cm="1">
        <f t="array" ref="R23">SUMPRODUCT((Uploaded_Data!$D$2:$D$59696="Internal Transfers")*(Uploaded_Data!$E$2:$E$59696="Stock Yard to Other Usages")*(Uploaded_Data!$F$2:$F$59696="LG1")*(Uploaded_Data!$H$2:$H$59696=$A23)*Uploaded_Data!$N$2:$N$59696)</f>
        <v>0</v>
      </c>
      <c r="S23" s="80" cm="1">
        <f t="array" ref="S23">SUMPRODUCT((Uploaded_Data!$D$2:$D$59696="Internal Transfers")*(Uploaded_Data!$E$2:$E$59696="Stock Yard to Pile (through Crusher)")*(Uploaded_Data!$F$2:$F$59696="LIMESTONE SPG")*(Uploaded_Data!$H$2:$H$59696=$A23)*Uploaded_Data!$N$2:$N$59696)</f>
        <v>0</v>
      </c>
      <c r="T23" s="80" cm="1">
        <f t="array" ref="T23">SUMPRODUCT((Uploaded_Data!$D$2:$D$59696="Internal Transfers")*(Uploaded_Data!$E$2:$E$59696="Stock Yard to Direct Pile (Bypass Crusher)")*(Uploaded_Data!$F$2:$F$59696="LIMESTONE SPG")*(Uploaded_Data!$H$2:$H$59696=$A23)*Uploaded_Data!$N$2:$N$59696)</f>
        <v>0</v>
      </c>
      <c r="U23" s="80" cm="1">
        <f t="array" ref="U23">SUMPRODUCT((Uploaded_Data!$D$2:$D$59696="Production Transfers")*(Uploaded_Data!$E$2:$E$59696="South Mine to Pile (through Crusher)")*(Uploaded_Data!$F$2:$F$59696="OB/CLAY")*(Uploaded_Data!$H$2:$H$59696=$A23)*Uploaded_Data!$N$2:$N$59696)</f>
        <v>0</v>
      </c>
      <c r="V23" s="80" cm="1">
        <f t="array" ref="V23">SUMPRODUCT((Uploaded_Data!$D$2:$D$59696="Production Transfers")*(Uploaded_Data!$E$2:$E$59696="South Mine to Direct Pile (Bypass Crusher)")*(Uploaded_Data!$F$2:$F$59696="OB/CLAY")*(Uploaded_Data!$H$2:$H$59696=$A23)*Uploaded_Data!$N$2:$N$59696)</f>
        <v>0</v>
      </c>
      <c r="W23" s="80" cm="1">
        <f t="array" ref="W23">SUMPRODUCT((Uploaded_Data!$D$2:$D$59696="Production Transfers")*(Uploaded_Data!$E$2:$E$59696="South Mine to Stock Yard")*(Uploaded_Data!$F$2:$F$59696="OB/CLAY")*(Uploaded_Data!$H$2:$H$59696=$A23)*Uploaded_Data!$N$2:$N$59696)</f>
        <v>0</v>
      </c>
      <c r="X23" s="80" cm="1">
        <f t="array" ref="X23">SUMPRODUCT((Uploaded_Data!$D$2:$D$59696="Production Transfers")*(Uploaded_Data!$E$2:$E$59696="South Mine to Golani Waste dump")*(Uploaded_Data!$F$2:$F$59696="WASTE")*(Uploaded_Data!$H$2:$H$59696=$A23)*Uploaded_Data!$N$2:$N$59696)</f>
        <v>0</v>
      </c>
      <c r="Y23" s="80" cm="1">
        <f t="array" ref="Y23">SUMPRODUCT((Uploaded_Data!$D$2:$D$59696="Production Transfers")*(Uploaded_Data!$E$2:$E$59696="North Mine to Pile (through Crusher)")*(Uploaded_Data!$F$2:$F$59696="OB/CLAY")*(Uploaded_Data!$H$2:$H$59696=$A23)*Uploaded_Data!$N$2:$N$59696)</f>
        <v>0</v>
      </c>
      <c r="Z23" s="80" cm="1">
        <f t="array" ref="Z23">SUMPRODUCT((Uploaded_Data!$D$2:$D$59696="Production Transfers")*(Uploaded_Data!$E$2:$E$59696="North Mine to Direct Pile (Bypass Crusher)")*(Uploaded_Data!$F$2:$F$59696="OB/CLAY")*(Uploaded_Data!$H$2:$H$59696=$A23)*Uploaded_Data!$N$2:$N$59696)</f>
        <v>0</v>
      </c>
      <c r="AA23" s="80" cm="1">
        <f t="array" ref="AA23">SUMPRODUCT((Uploaded_Data!$D$2:$D$59696="Production Transfers")*(Uploaded_Data!$E$2:$E$59696="North Mine to Stock Yard")*(Uploaded_Data!$F$2:$F$59696="OB/CLAY")*(Uploaded_Data!$H$2:$H$59696=$A23)*Uploaded_Data!$N$2:$N$59696)</f>
        <v>0</v>
      </c>
      <c r="AB23" s="80" cm="1">
        <f t="array" ref="AB23">SUMPRODUCT((Uploaded_Data!$D$2:$D$59696="Production Transfers")*(Uploaded_Data!$E$2:$E$59696="North Mine to Golani Waste dump")*(Uploaded_Data!$F$2:$F$59696="WASTE")*(Uploaded_Data!$H$2:$H$59696=$A23)*Uploaded_Data!$N$2:$N$59696)</f>
        <v>0</v>
      </c>
      <c r="AC23" s="80" cm="1">
        <f t="array" ref="AC23">SUMPRODUCT((Uploaded_Data!$D$2:$D$59696="Internal Transfers")*(Uploaded_Data!$E$2:$E$59696="Stock Yard to Pile (through Crusher)")*(Uploaded_Data!$F$2:$F$59696="OB/CLAY")*(Uploaded_Data!$H$2:$H$59696=$A23)*Uploaded_Data!$N$2:$N$59696)</f>
        <v>0</v>
      </c>
      <c r="AD23" s="80" cm="1">
        <f t="array" ref="AD23">SUMPRODUCT((Uploaded_Data!$D$2:$D$59696="Internal Transfers")*(Uploaded_Data!$E$2:$E$59696="Stock Yard to Other Usages")*(Uploaded_Data!$F$2:$F$59696="OB/CLAY")*(Uploaded_Data!$H$2:$H$59696=$A23)*Uploaded_Data!$N$2:$N$59696)</f>
        <v>0</v>
      </c>
      <c r="AE23" s="80" cm="1">
        <f t="array" ref="AE23">SUMPRODUCT((Uploaded_Data!$D$2:$D$59696="Internal Transfers")*(Uploaded_Data!$E$2:$E$59696="Stock Yard to Direct Pile (Bypass Crusher)")*(Uploaded_Data!$F$2:$F$59696="OB/CLAY")*(Uploaded_Data!$H$2:$H$59696=$A23)*Uploaded_Data!$N$2:$N$59696)</f>
        <v>61.34</v>
      </c>
      <c r="AF23" s="80" cm="1">
        <f t="array" ref="AF23">SUMPRODUCT((Uploaded_Data!$D$2:$D$59696="Production Transfers")*(Uploaded_Data!$E$2:$E$59696="South Mine to Pile (through Crusher)")*(Uploaded_Data!$F$2:$F$59696="HGHMGO")*(Uploaded_Data!$H$2:$H$59696=$A23)*Uploaded_Data!$N$2:$N$59696)</f>
        <v>0</v>
      </c>
      <c r="AG23" s="80" cm="1">
        <f t="array" ref="AG23">SUMPRODUCT((Uploaded_Data!$D$2:$D$59696="Production Transfers")*(Uploaded_Data!$E$2:$E$59696="South Mine to Direct Pile (Bypass Crusher)")*(Uploaded_Data!$F$2:$F$59696="HGHMGO")*(Uploaded_Data!$H$2:$H$59696=$A23)*Uploaded_Data!$N$2:$N$59696)</f>
        <v>0</v>
      </c>
      <c r="AH23" s="80" cm="1">
        <f t="array" ref="AH23">SUMPRODUCT((Uploaded_Data!$D$2:$D$59696="Production Transfers")*(Uploaded_Data!$E$2:$E$59696="South Mine to Stock Yard")*(Uploaded_Data!$F$2:$F$59696="HGHMGO")*(Uploaded_Data!$H$2:$H$59696=$A23)*Uploaded_Data!$N$2:$N$59696)</f>
        <v>0</v>
      </c>
      <c r="AI23" s="80" cm="1">
        <f t="array" ref="AI23">SUMPRODUCT((Uploaded_Data!$D$2:$D$59696="Internal Transfers")*(Uploaded_Data!$E$2:$E$59696="Stock Yard to Pile (through Crusher)")*(Uploaded_Data!$F$2:$F$59696="HGHMGO")*(Uploaded_Data!$H$2:$H$59696=$A23)*Uploaded_Data!$N$2:$N$59696)</f>
        <v>0</v>
      </c>
      <c r="AJ23" s="80" cm="1">
        <f t="array" ref="AJ23">SUMPRODUCT((Uploaded_Data!$D$2:$D$59696="Production Transfers")*(Uploaded_Data!$E$2:$E$59696="South Mine to Pile (through Crusher)")*(Uploaded_Data!$F$2:$F$59696="LGHMGO")*(Uploaded_Data!$H$2:$H$59696=$A23)*Uploaded_Data!$N$2:$N$59696)</f>
        <v>0</v>
      </c>
      <c r="AK23" s="80" cm="1">
        <f t="array" ref="AK23">SUMPRODUCT((Uploaded_Data!$D$2:$D$59696="Production Transfers")*(Uploaded_Data!$E$2:$E$59696="South Mine to Direct Pile (Bypass Crusher)")*(Uploaded_Data!$F$2:$F$59696="LGHMGO")*(Uploaded_Data!$H$2:$H$59696=$A23)*Uploaded_Data!$N$2:$N$59696)</f>
        <v>0</v>
      </c>
      <c r="AL23" s="80" cm="1">
        <f t="array" ref="AL23">SUMPRODUCT((Uploaded_Data!$D$2:$D$59696="Production Transfers")*(Uploaded_Data!$E$2:$E$59696="South Mine to Stock Yard")*(Uploaded_Data!$F$2:$F$59696="LGHMGO")*(Uploaded_Data!$H$2:$H$59696=$A23)*Uploaded_Data!$N$2:$N$59696)</f>
        <v>0</v>
      </c>
      <c r="AM23" s="80" cm="1">
        <f t="array" ref="AM23">SUMPRODUCT((Uploaded_Data!$D$2:$D$59696="Internal Transfers")*(Uploaded_Data!$E$2:$E$59696="Stock Yard to Pile (through Crusher)")*(Uploaded_Data!$F$2:$F$59696="LGHMGO")*(Uploaded_Data!$H$2:$H$59696=$A23)*Uploaded_Data!$N$2:$N$59696)</f>
        <v>0</v>
      </c>
      <c r="AN23" s="103">
        <f t="shared" si="0"/>
        <v>4493.2600000000011</v>
      </c>
      <c r="AO23" s="110"/>
      <c r="AP23" s="109" cm="1">
        <f t="array" ref="AP23">SUMPRODUCT((Uploaded_Data!$D$2:$D$59696="Internal Transfers")*(Uploaded_Data!$E$2:$E$59696="Stock Yard to Pile (through Crusher)")*(Uploaded_Data!$F$2:$F$59696="GYPSUM")*(Uploaded_Data!$H$2:$H$59696=$A23)*Uploaded_Data!$N$2:$N$59696)</f>
        <v>0</v>
      </c>
      <c r="AQ23" s="109" cm="1">
        <f t="array" ref="AQ23">SUMPRODUCT((Uploaded_Data!$D$2:$D$59696="Internal Transfers")*(Uploaded_Data!$E$2:$E$59696="Stock Yard to Direct Pile (Bypass Crusher)")*(Uploaded_Data!$F$2:$F$59696="GYPSUM")*(Uploaded_Data!$H$2:$H$59696=$A23)*Uploaded_Data!$N$2:$N$59696)</f>
        <v>0</v>
      </c>
      <c r="AR23" s="109" cm="1">
        <f t="array" ref="AR23">SUMPRODUCT((Uploaded_Data!$D$2:$D$59696="Internal Transfers")*(Uploaded_Data!$E$2:$E$59696="Stock Yard to Other Usages")*(Uploaded_Data!$F$2:$F$59696="ID Clay")*(Uploaded_Data!$H$2:$H$59696=$A23)*Uploaded_Data!$N$2:$N$59696)</f>
        <v>0</v>
      </c>
      <c r="AS23" s="109" cm="1">
        <f t="array" ref="AS23">SUMPRODUCT((Uploaded_Data!$D$2:$D$59696="Internal Transfers")*(Uploaded_Data!$E$2:$E$59696="Stock Yard to Direct Pile (Bypass Crusher)")*(Uploaded_Data!$F$2:$F$59696="ID Clay")*(Uploaded_Data!$H$2:$H$59696=$A23)*Uploaded_Data!$N$2:$N$59696)</f>
        <v>92.54</v>
      </c>
      <c r="AT23" s="109" cm="1">
        <f t="array" ref="AT23">SUMPRODUCT((Uploaded_Data!$D$2:$D$59696="Production Transfers")*(Uploaded_Data!$E$2:$E$59696="Kijaka Mine to Stock Yard")*(Uploaded_Data!$F$2:$F$59696="ID Clay")*(Uploaded_Data!$H$2:$H$59696=$A23)*Uploaded_Data!$N$2:$N$59696)</f>
        <v>0</v>
      </c>
      <c r="AU23" s="102">
        <f t="shared" si="1"/>
        <v>4585.8000000000011</v>
      </c>
      <c r="AV23" s="109">
        <f t="shared" si="2"/>
        <v>4585.8000000000011</v>
      </c>
      <c r="AW23" s="109"/>
      <c r="AX23" s="109"/>
      <c r="AY23" s="114"/>
      <c r="AZ23" s="110">
        <f t="shared" si="3"/>
        <v>2025.7400000000002</v>
      </c>
      <c r="BA23" s="112">
        <f t="shared" si="4"/>
        <v>4585.8000000000011</v>
      </c>
      <c r="BB23" s="110"/>
    </row>
    <row r="24" spans="1:54">
      <c r="A24" s="79">
        <v>46132</v>
      </c>
      <c r="B24" s="80" cm="1">
        <f t="array" ref="B24">SUMPRODUCT((Uploaded_Data!$D$2:$D$59696="Production Transfers")*(Uploaded_Data!$E$2:$E$59696="South Mine to Pile (through Crusher)")*(Uploaded_Data!$F$2:$F$59696="HG")*(Uploaded_Data!$H$2:$H$59696=$A24)*Uploaded_Data!$N$2:$N$59696)</f>
        <v>0</v>
      </c>
      <c r="C24" s="80" cm="1">
        <f t="array" ref="C24">SUMPRODUCT((Uploaded_Data!$D$2:$D$59696="Production Transfers")*(Uploaded_Data!$E$2:$E$59696="South Mine to Direct Pile (Bypass Crusher)")*(Uploaded_Data!$F$2:$F$59696="HG")*(Uploaded_Data!$H$2:$H$59696=$A24)*Uploaded_Data!$N$2:$N$59696)</f>
        <v>0</v>
      </c>
      <c r="D24" s="80" cm="1">
        <f t="array" ref="D24">SUMPRODUCT((Uploaded_Data!$D$2:$D$59696="Production Transfers")*(Uploaded_Data!$E$2:$E$59696="South Mine to Stock Yard")*(Uploaded_Data!$F$2:$F$59696="HG")*(Uploaded_Data!$H$2:$H$59696=$A24)*Uploaded_Data!$N$2:$N$59696)</f>
        <v>0</v>
      </c>
      <c r="E24" s="80" cm="1">
        <f t="array" ref="E24">SUMPRODUCT((Uploaded_Data!$D$2:$D$59696="Production Transfers")*(Uploaded_Data!$E$2:$E$59696="North Mine to Pile (through Crusher)")*(Uploaded_Data!$F$2:$F$59696="HG")*(Uploaded_Data!$H$2:$H$59696=$A24)*Uploaded_Data!$N$2:$N$59696)</f>
        <v>1451.9200000000005</v>
      </c>
      <c r="F24" s="80" cm="1">
        <f t="array" ref="F24">SUMPRODUCT((Uploaded_Data!$D$2:$D$59696="Production Transfers")*(Uploaded_Data!$E$2:$E$59696="North Mine to Direct Pile (Bypass Crusher)")*(Uploaded_Data!$F$2:$F$59696="HG")*(Uploaded_Data!$H$2:$H$59696=$A24)*Uploaded_Data!$N$2:$N$59696)</f>
        <v>0</v>
      </c>
      <c r="G24" s="80" cm="1">
        <f t="array" ref="G24">SUMPRODUCT((Uploaded_Data!$D$2:$D$59696="Production Transfers")*(Uploaded_Data!$E$2:$E$59696="North Mine to Stock Yard")*(Uploaded_Data!$F$2:$F$59696="HG")*(Uploaded_Data!$H$2:$H$59696=$A24)*Uploaded_Data!$N$2:$N$59696)</f>
        <v>2150.8599999999997</v>
      </c>
      <c r="H24" s="80" cm="1">
        <f t="array" ref="H24">SUMPRODUCT((Uploaded_Data!$D$2:$D$59696="Internal Transfers")*(Uploaded_Data!$E$2:$E$59696="Stock Yard to Pile (through Crusher)")*(Uploaded_Data!$F$2:$F$59696="HG")*(Uploaded_Data!$H$2:$H$59696=$A24)*Uploaded_Data!$N$2:$N$59696)</f>
        <v>0</v>
      </c>
      <c r="I24" s="80" cm="1">
        <f t="array" ref="I24">SUMPRODUCT((Uploaded_Data!$D$2:$D$59696="Internal Transfers")*(Uploaded_Data!$E$2:$E$59696="Stock Yard to Direct Pile (Bypass Crusher)")*(Uploaded_Data!$F$2:$F$59696="HG")*(Uploaded_Data!$H$2:$H$59696=$A24)*Uploaded_Data!$N$2:$N$59696)</f>
        <v>0</v>
      </c>
      <c r="J24" s="80" cm="1">
        <f t="array" ref="J24">SUMPRODUCT((Uploaded_Data!$D$2:$D$59696="Production Transfers")*(Uploaded_Data!$E$2:$E$59696="South Mine to Pile (through Crusher)")*(Uploaded_Data!$F$2:$F$59696="LG1")*(Uploaded_Data!$H$2:$H$59696=$A24)*Uploaded_Data!$N$2:$N$59696)</f>
        <v>0</v>
      </c>
      <c r="K24" s="80" cm="1">
        <f t="array" ref="K24">SUMPRODUCT((Uploaded_Data!$D$2:$D$59696="Production Transfers")*(Uploaded_Data!$E$2:$E$59696="South Mine to Direct Pile (Bypass Crusher)")*(Uploaded_Data!$F$2:$F$59696="LG1")*(Uploaded_Data!$H$2:$H$59696=$A24)*Uploaded_Data!$N$2:$N$59696)</f>
        <v>0</v>
      </c>
      <c r="L24" s="80" cm="1">
        <f t="array" ref="L24">SUMPRODUCT((Uploaded_Data!$D$2:$D$59696="Production Transfers")*(Uploaded_Data!$E$2:$E$59696="South Mine to Stock Yard")*(Uploaded_Data!$F$2:$F$59696="LG1")*(Uploaded_Data!$H$2:$H$59696=$A24)*Uploaded_Data!$N$2:$N$59696)</f>
        <v>0</v>
      </c>
      <c r="M24" s="80" cm="1">
        <f t="array" ref="M24">SUMPRODUCT((Uploaded_Data!$D$2:$D$59696="Production Transfers")*(Uploaded_Data!$E$2:$E$59696="North Mine to Pile (through Crusher)")*(Uploaded_Data!$F$2:$F$59696="LG1")*(Uploaded_Data!$H$2:$H$59696=$A24)*Uploaded_Data!$N$2:$N$59696)</f>
        <v>0</v>
      </c>
      <c r="N24" s="80" cm="1">
        <f t="array" ref="N24">SUMPRODUCT((Uploaded_Data!$D$2:$D$59696="Production Transfers")*(Uploaded_Data!$E$2:$E$59696="North Mine to Direct Pile (Bypass Crusher)")*(Uploaded_Data!$F$2:$F$59696="LG1")*(Uploaded_Data!$H$2:$H$59696=$A24)*Uploaded_Data!$N$2:$N$59696)</f>
        <v>0</v>
      </c>
      <c r="O24" s="80" cm="1">
        <f t="array" ref="O24">SUMPRODUCT((Uploaded_Data!$D$2:$D$59696="Production Transfers")*(Uploaded_Data!$E$2:$E$59696="North Mine to Stock Yard")*(Uploaded_Data!$F$2:$F$59696="LG1")*(Uploaded_Data!$H$2:$H$59696=$A24)*Uploaded_Data!$N$2:$N$59696)</f>
        <v>288.65999999999997</v>
      </c>
      <c r="P24" s="80" cm="1">
        <f t="array" ref="P24">SUMPRODUCT((Uploaded_Data!$D$2:$D$59696="Internal Transfers")*(Uploaded_Data!$E$2:$E$59696="Stock Yard to Pile (through Crusher)")*(Uploaded_Data!$F$2:$F$59696="LG1")*(Uploaded_Data!$H$2:$H$59696=$A24)*Uploaded_Data!$N$2:$N$59696)</f>
        <v>1355</v>
      </c>
      <c r="Q24" s="80" cm="1">
        <f t="array" ref="Q24">SUMPRODUCT((Uploaded_Data!$D$2:$D$59696="Internal Transfers")*(Uploaded_Data!$E$2:$E$59696="Stock Yard to Direct Pile (Bypass Crusher)")*(Uploaded_Data!$F$2:$F$59696="LG1")*(Uploaded_Data!$H$2:$H$59696=$A24)*Uploaded_Data!$N$2:$N$59696)</f>
        <v>0</v>
      </c>
      <c r="R24" s="80" cm="1">
        <f t="array" ref="R24">SUMPRODUCT((Uploaded_Data!$D$2:$D$59696="Internal Transfers")*(Uploaded_Data!$E$2:$E$59696="Stock Yard to Other Usages")*(Uploaded_Data!$F$2:$F$59696="LG1")*(Uploaded_Data!$H$2:$H$59696=$A24)*Uploaded_Data!$N$2:$N$59696)</f>
        <v>0</v>
      </c>
      <c r="S24" s="80" cm="1">
        <f t="array" ref="S24">SUMPRODUCT((Uploaded_Data!$D$2:$D$59696="Internal Transfers")*(Uploaded_Data!$E$2:$E$59696="Stock Yard to Pile (through Crusher)")*(Uploaded_Data!$F$2:$F$59696="LIMESTONE SPG")*(Uploaded_Data!$H$2:$H$59696=$A24)*Uploaded_Data!$N$2:$N$59696)</f>
        <v>0</v>
      </c>
      <c r="T24" s="80" cm="1">
        <f t="array" ref="T24">SUMPRODUCT((Uploaded_Data!$D$2:$D$59696="Internal Transfers")*(Uploaded_Data!$E$2:$E$59696="Stock Yard to Direct Pile (Bypass Crusher)")*(Uploaded_Data!$F$2:$F$59696="LIMESTONE SPG")*(Uploaded_Data!$H$2:$H$59696=$A24)*Uploaded_Data!$N$2:$N$59696)</f>
        <v>0</v>
      </c>
      <c r="U24" s="80" cm="1">
        <f t="array" ref="U24">SUMPRODUCT((Uploaded_Data!$D$2:$D$59696="Production Transfers")*(Uploaded_Data!$E$2:$E$59696="South Mine to Pile (through Crusher)")*(Uploaded_Data!$F$2:$F$59696="OB/CLAY")*(Uploaded_Data!$H$2:$H$59696=$A24)*Uploaded_Data!$N$2:$N$59696)</f>
        <v>0</v>
      </c>
      <c r="V24" s="80" cm="1">
        <f t="array" ref="V24">SUMPRODUCT((Uploaded_Data!$D$2:$D$59696="Production Transfers")*(Uploaded_Data!$E$2:$E$59696="South Mine to Direct Pile (Bypass Crusher)")*(Uploaded_Data!$F$2:$F$59696="OB/CLAY")*(Uploaded_Data!$H$2:$H$59696=$A24)*Uploaded_Data!$N$2:$N$59696)</f>
        <v>0</v>
      </c>
      <c r="W24" s="80" cm="1">
        <f t="array" ref="W24">SUMPRODUCT((Uploaded_Data!$D$2:$D$59696="Production Transfers")*(Uploaded_Data!$E$2:$E$59696="South Mine to Stock Yard")*(Uploaded_Data!$F$2:$F$59696="OB/CLAY")*(Uploaded_Data!$H$2:$H$59696=$A24)*Uploaded_Data!$N$2:$N$59696)</f>
        <v>0</v>
      </c>
      <c r="X24" s="80" cm="1">
        <f t="array" ref="X24">SUMPRODUCT((Uploaded_Data!$D$2:$D$59696="Production Transfers")*(Uploaded_Data!$E$2:$E$59696="South Mine to Golani Waste dump")*(Uploaded_Data!$F$2:$F$59696="WASTE")*(Uploaded_Data!$H$2:$H$59696=$A24)*Uploaded_Data!$N$2:$N$59696)</f>
        <v>0</v>
      </c>
      <c r="Y24" s="80" cm="1">
        <f t="array" ref="Y24">SUMPRODUCT((Uploaded_Data!$D$2:$D$59696="Production Transfers")*(Uploaded_Data!$E$2:$E$59696="North Mine to Pile (through Crusher)")*(Uploaded_Data!$F$2:$F$59696="OB/CLAY")*(Uploaded_Data!$H$2:$H$59696=$A24)*Uploaded_Data!$N$2:$N$59696)</f>
        <v>0</v>
      </c>
      <c r="Z24" s="80" cm="1">
        <f t="array" ref="Z24">SUMPRODUCT((Uploaded_Data!$D$2:$D$59696="Production Transfers")*(Uploaded_Data!$E$2:$E$59696="North Mine to Direct Pile (Bypass Crusher)")*(Uploaded_Data!$F$2:$F$59696="OB/CLAY")*(Uploaded_Data!$H$2:$H$59696=$A24)*Uploaded_Data!$N$2:$N$59696)</f>
        <v>0</v>
      </c>
      <c r="AA24" s="80" cm="1">
        <f t="array" ref="AA24">SUMPRODUCT((Uploaded_Data!$D$2:$D$59696="Production Transfers")*(Uploaded_Data!$E$2:$E$59696="North Mine to Stock Yard")*(Uploaded_Data!$F$2:$F$59696="OB/CLAY")*(Uploaded_Data!$H$2:$H$59696=$A24)*Uploaded_Data!$N$2:$N$59696)</f>
        <v>0</v>
      </c>
      <c r="AB24" s="80" cm="1">
        <f t="array" ref="AB24">SUMPRODUCT((Uploaded_Data!$D$2:$D$59696="Production Transfers")*(Uploaded_Data!$E$2:$E$59696="North Mine to Golani Waste dump")*(Uploaded_Data!$F$2:$F$59696="WASTE")*(Uploaded_Data!$H$2:$H$59696=$A24)*Uploaded_Data!$N$2:$N$59696)</f>
        <v>0</v>
      </c>
      <c r="AC24" s="80" cm="1">
        <f t="array" ref="AC24">SUMPRODUCT((Uploaded_Data!$D$2:$D$59696="Internal Transfers")*(Uploaded_Data!$E$2:$E$59696="Stock Yard to Pile (through Crusher)")*(Uploaded_Data!$F$2:$F$59696="OB/CLAY")*(Uploaded_Data!$H$2:$H$59696=$A24)*Uploaded_Data!$N$2:$N$59696)</f>
        <v>0</v>
      </c>
      <c r="AD24" s="80" cm="1">
        <f t="array" ref="AD24">SUMPRODUCT((Uploaded_Data!$D$2:$D$59696="Internal Transfers")*(Uploaded_Data!$E$2:$E$59696="Stock Yard to Other Usages")*(Uploaded_Data!$F$2:$F$59696="OB/CLAY")*(Uploaded_Data!$H$2:$H$59696=$A24)*Uploaded_Data!$N$2:$N$59696)</f>
        <v>0</v>
      </c>
      <c r="AE24" s="80" cm="1">
        <f t="array" ref="AE24">SUMPRODUCT((Uploaded_Data!$D$2:$D$59696="Internal Transfers")*(Uploaded_Data!$E$2:$E$59696="Stock Yard to Direct Pile (Bypass Crusher)")*(Uploaded_Data!$F$2:$F$59696="OB/CLAY")*(Uploaded_Data!$H$2:$H$59696=$A24)*Uploaded_Data!$N$2:$N$59696)</f>
        <v>0</v>
      </c>
      <c r="AF24" s="80" cm="1">
        <f t="array" ref="AF24">SUMPRODUCT((Uploaded_Data!$D$2:$D$59696="Production Transfers")*(Uploaded_Data!$E$2:$E$59696="South Mine to Pile (through Crusher)")*(Uploaded_Data!$F$2:$F$59696="HGHMGO")*(Uploaded_Data!$H$2:$H$59696=$A24)*Uploaded_Data!$N$2:$N$59696)</f>
        <v>0</v>
      </c>
      <c r="AG24" s="80" cm="1">
        <f t="array" ref="AG24">SUMPRODUCT((Uploaded_Data!$D$2:$D$59696="Production Transfers")*(Uploaded_Data!$E$2:$E$59696="South Mine to Direct Pile (Bypass Crusher)")*(Uploaded_Data!$F$2:$F$59696="HGHMGO")*(Uploaded_Data!$H$2:$H$59696=$A24)*Uploaded_Data!$N$2:$N$59696)</f>
        <v>0</v>
      </c>
      <c r="AH24" s="80" cm="1">
        <f t="array" ref="AH24">SUMPRODUCT((Uploaded_Data!$D$2:$D$59696="Production Transfers")*(Uploaded_Data!$E$2:$E$59696="South Mine to Stock Yard")*(Uploaded_Data!$F$2:$F$59696="HGHMGO")*(Uploaded_Data!$H$2:$H$59696=$A24)*Uploaded_Data!$N$2:$N$59696)</f>
        <v>0</v>
      </c>
      <c r="AI24" s="80" cm="1">
        <f t="array" ref="AI24">SUMPRODUCT((Uploaded_Data!$D$2:$D$59696="Internal Transfers")*(Uploaded_Data!$E$2:$E$59696="Stock Yard to Pile (through Crusher)")*(Uploaded_Data!$F$2:$F$59696="HGHMGO")*(Uploaded_Data!$H$2:$H$59696=$A24)*Uploaded_Data!$N$2:$N$59696)</f>
        <v>0</v>
      </c>
      <c r="AJ24" s="80" cm="1">
        <f t="array" ref="AJ24">SUMPRODUCT((Uploaded_Data!$D$2:$D$59696="Production Transfers")*(Uploaded_Data!$E$2:$E$59696="South Mine to Pile (through Crusher)")*(Uploaded_Data!$F$2:$F$59696="LGHMGO")*(Uploaded_Data!$H$2:$H$59696=$A24)*Uploaded_Data!$N$2:$N$59696)</f>
        <v>0</v>
      </c>
      <c r="AK24" s="80" cm="1">
        <f t="array" ref="AK24">SUMPRODUCT((Uploaded_Data!$D$2:$D$59696="Production Transfers")*(Uploaded_Data!$E$2:$E$59696="South Mine to Direct Pile (Bypass Crusher)")*(Uploaded_Data!$F$2:$F$59696="LGHMGO")*(Uploaded_Data!$H$2:$H$59696=$A24)*Uploaded_Data!$N$2:$N$59696)</f>
        <v>0</v>
      </c>
      <c r="AL24" s="80" cm="1">
        <f t="array" ref="AL24">SUMPRODUCT((Uploaded_Data!$D$2:$D$59696="Production Transfers")*(Uploaded_Data!$E$2:$E$59696="South Mine to Stock Yard")*(Uploaded_Data!$F$2:$F$59696="LGHMGO")*(Uploaded_Data!$H$2:$H$59696=$A24)*Uploaded_Data!$N$2:$N$59696)</f>
        <v>0</v>
      </c>
      <c r="AM24" s="80" cm="1">
        <f t="array" ref="AM24">SUMPRODUCT((Uploaded_Data!$D$2:$D$59696="Internal Transfers")*(Uploaded_Data!$E$2:$E$59696="Stock Yard to Pile (through Crusher)")*(Uploaded_Data!$F$2:$F$59696="LGHMGO")*(Uploaded_Data!$H$2:$H$59696=$A24)*Uploaded_Data!$N$2:$N$59696)</f>
        <v>0</v>
      </c>
      <c r="AN24" s="103">
        <f t="shared" si="0"/>
        <v>5246.4400000000005</v>
      </c>
      <c r="AO24" s="111"/>
      <c r="AP24" s="109" cm="1">
        <f t="array" ref="AP24">SUMPRODUCT((Uploaded_Data!$D$2:$D$59696="Internal Transfers")*(Uploaded_Data!$E$2:$E$59696="Stock Yard to Pile (through Crusher)")*(Uploaded_Data!$F$2:$F$59696="GYPSUM")*(Uploaded_Data!$H$2:$H$59696=$A24)*Uploaded_Data!$N$2:$N$59696)</f>
        <v>0</v>
      </c>
      <c r="AQ24" s="109" cm="1">
        <f t="array" ref="AQ24">SUMPRODUCT((Uploaded_Data!$D$2:$D$59696="Internal Transfers")*(Uploaded_Data!$E$2:$E$59696="Stock Yard to Direct Pile (Bypass Crusher)")*(Uploaded_Data!$F$2:$F$59696="GYPSUM")*(Uploaded_Data!$H$2:$H$59696=$A24)*Uploaded_Data!$N$2:$N$59696)</f>
        <v>0</v>
      </c>
      <c r="AR24" s="109" cm="1">
        <f t="array" ref="AR24">SUMPRODUCT((Uploaded_Data!$D$2:$D$59696="Internal Transfers")*(Uploaded_Data!$E$2:$E$59696="Stock Yard to Other Usages")*(Uploaded_Data!$F$2:$F$59696="ID Clay")*(Uploaded_Data!$H$2:$H$59696=$A24)*Uploaded_Data!$N$2:$N$59696)</f>
        <v>0</v>
      </c>
      <c r="AS24" s="109" cm="1">
        <f t="array" ref="AS24">SUMPRODUCT((Uploaded_Data!$D$2:$D$59696="Internal Transfers")*(Uploaded_Data!$E$2:$E$59696="Stock Yard to Direct Pile (Bypass Crusher)")*(Uploaded_Data!$F$2:$F$59696="ID Clay")*(Uploaded_Data!$H$2:$H$59696=$A24)*Uploaded_Data!$N$2:$N$59696)</f>
        <v>0</v>
      </c>
      <c r="AT24" s="109" cm="1">
        <f t="array" ref="AT24">SUMPRODUCT((Uploaded_Data!$D$2:$D$59696="Production Transfers")*(Uploaded_Data!$E$2:$E$59696="Kijaka Mine to Stock Yard")*(Uploaded_Data!$F$2:$F$59696="ID Clay")*(Uploaded_Data!$H$2:$H$59696=$A24)*Uploaded_Data!$N$2:$N$59696)</f>
        <v>0</v>
      </c>
      <c r="AU24" s="102">
        <f t="shared" si="1"/>
        <v>5246.4400000000005</v>
      </c>
      <c r="AV24" s="109">
        <f t="shared" si="2"/>
        <v>5246.4400000000005</v>
      </c>
      <c r="AW24" s="109"/>
      <c r="AX24" s="109"/>
      <c r="AY24" s="114"/>
      <c r="AZ24" s="110">
        <f t="shared" si="3"/>
        <v>2806.9200000000005</v>
      </c>
      <c r="BA24" s="112">
        <f t="shared" si="4"/>
        <v>5246.4400000000005</v>
      </c>
      <c r="BB24" s="110"/>
    </row>
    <row r="25" spans="1:54">
      <c r="A25" s="79">
        <v>46133</v>
      </c>
      <c r="B25" s="80" cm="1">
        <f t="array" ref="B25">SUMPRODUCT((Uploaded_Data!$D$2:$D$59696="Production Transfers")*(Uploaded_Data!$E$2:$E$59696="South Mine to Pile (through Crusher)")*(Uploaded_Data!$F$2:$F$59696="HG")*(Uploaded_Data!$H$2:$H$59696=$A25)*Uploaded_Data!$N$2:$N$59696)</f>
        <v>0</v>
      </c>
      <c r="C25" s="80" cm="1">
        <f t="array" ref="C25">SUMPRODUCT((Uploaded_Data!$D$2:$D$59696="Production Transfers")*(Uploaded_Data!$E$2:$E$59696="South Mine to Direct Pile (Bypass Crusher)")*(Uploaded_Data!$F$2:$F$59696="HG")*(Uploaded_Data!$H$2:$H$59696=$A25)*Uploaded_Data!$N$2:$N$59696)</f>
        <v>0</v>
      </c>
      <c r="D25" s="80" cm="1">
        <f t="array" ref="D25">SUMPRODUCT((Uploaded_Data!$D$2:$D$59696="Production Transfers")*(Uploaded_Data!$E$2:$E$59696="South Mine to Stock Yard")*(Uploaded_Data!$F$2:$F$59696="HG")*(Uploaded_Data!$H$2:$H$59696=$A25)*Uploaded_Data!$N$2:$N$59696)</f>
        <v>0</v>
      </c>
      <c r="E25" s="80" cm="1">
        <f t="array" ref="E25">SUMPRODUCT((Uploaded_Data!$D$2:$D$59696="Production Transfers")*(Uploaded_Data!$E$2:$E$59696="North Mine to Pile (through Crusher)")*(Uploaded_Data!$F$2:$F$59696="HG")*(Uploaded_Data!$H$2:$H$59696=$A25)*Uploaded_Data!$N$2:$N$59696)</f>
        <v>2141.0800000000004</v>
      </c>
      <c r="F25" s="80" cm="1">
        <f t="array" ref="F25">SUMPRODUCT((Uploaded_Data!$D$2:$D$59696="Production Transfers")*(Uploaded_Data!$E$2:$E$59696="North Mine to Direct Pile (Bypass Crusher)")*(Uploaded_Data!$F$2:$F$59696="HG")*(Uploaded_Data!$H$2:$H$59696=$A25)*Uploaded_Data!$N$2:$N$59696)</f>
        <v>0</v>
      </c>
      <c r="G25" s="80" cm="1">
        <f t="array" ref="G25">SUMPRODUCT((Uploaded_Data!$D$2:$D$59696="Production Transfers")*(Uploaded_Data!$E$2:$E$59696="North Mine to Stock Yard")*(Uploaded_Data!$F$2:$F$59696="HG")*(Uploaded_Data!$H$2:$H$59696=$A25)*Uploaded_Data!$N$2:$N$59696)</f>
        <v>1706.0999999999997</v>
      </c>
      <c r="H25" s="80" cm="1">
        <f t="array" ref="H25">SUMPRODUCT((Uploaded_Data!$D$2:$D$59696="Internal Transfers")*(Uploaded_Data!$E$2:$E$59696="Stock Yard to Pile (through Crusher)")*(Uploaded_Data!$F$2:$F$59696="HG")*(Uploaded_Data!$H$2:$H$59696=$A25)*Uploaded_Data!$N$2:$N$59696)</f>
        <v>922.88000000000011</v>
      </c>
      <c r="I25" s="80" cm="1">
        <f t="array" ref="I25">SUMPRODUCT((Uploaded_Data!$D$2:$D$59696="Internal Transfers")*(Uploaded_Data!$E$2:$E$59696="Stock Yard to Direct Pile (Bypass Crusher)")*(Uploaded_Data!$F$2:$F$59696="HG")*(Uploaded_Data!$H$2:$H$59696=$A25)*Uploaded_Data!$N$2:$N$59696)</f>
        <v>0</v>
      </c>
      <c r="J25" s="80" cm="1">
        <f t="array" ref="J25">SUMPRODUCT((Uploaded_Data!$D$2:$D$59696="Production Transfers")*(Uploaded_Data!$E$2:$E$59696="South Mine to Pile (through Crusher)")*(Uploaded_Data!$F$2:$F$59696="LG1")*(Uploaded_Data!$H$2:$H$59696=$A25)*Uploaded_Data!$N$2:$N$59696)</f>
        <v>0</v>
      </c>
      <c r="K25" s="80" cm="1">
        <f t="array" ref="K25">SUMPRODUCT((Uploaded_Data!$D$2:$D$59696="Production Transfers")*(Uploaded_Data!$E$2:$E$59696="South Mine to Direct Pile (Bypass Crusher)")*(Uploaded_Data!$F$2:$F$59696="LG1")*(Uploaded_Data!$H$2:$H$59696=$A25)*Uploaded_Data!$N$2:$N$59696)</f>
        <v>0</v>
      </c>
      <c r="L25" s="80" cm="1">
        <f t="array" ref="L25">SUMPRODUCT((Uploaded_Data!$D$2:$D$59696="Production Transfers")*(Uploaded_Data!$E$2:$E$59696="South Mine to Stock Yard")*(Uploaded_Data!$F$2:$F$59696="LG1")*(Uploaded_Data!$H$2:$H$59696=$A25)*Uploaded_Data!$N$2:$N$59696)</f>
        <v>0</v>
      </c>
      <c r="M25" s="80" cm="1">
        <f t="array" ref="M25">SUMPRODUCT((Uploaded_Data!$D$2:$D$59696="Production Transfers")*(Uploaded_Data!$E$2:$E$59696="North Mine to Pile (through Crusher)")*(Uploaded_Data!$F$2:$F$59696="LG1")*(Uploaded_Data!$H$2:$H$59696=$A25)*Uploaded_Data!$N$2:$N$59696)</f>
        <v>0</v>
      </c>
      <c r="N25" s="80" cm="1">
        <f t="array" ref="N25">SUMPRODUCT((Uploaded_Data!$D$2:$D$59696="Production Transfers")*(Uploaded_Data!$E$2:$E$59696="North Mine to Direct Pile (Bypass Crusher)")*(Uploaded_Data!$F$2:$F$59696="LG1")*(Uploaded_Data!$H$2:$H$59696=$A25)*Uploaded_Data!$N$2:$N$59696)</f>
        <v>0</v>
      </c>
      <c r="O25" s="80" cm="1">
        <f t="array" ref="O25">SUMPRODUCT((Uploaded_Data!$D$2:$D$59696="Production Transfers")*(Uploaded_Data!$E$2:$E$59696="North Mine to Stock Yard")*(Uploaded_Data!$F$2:$F$59696="LG1")*(Uploaded_Data!$H$2:$H$59696=$A25)*Uploaded_Data!$N$2:$N$59696)</f>
        <v>0</v>
      </c>
      <c r="P25" s="80" cm="1">
        <f t="array" ref="P25">SUMPRODUCT((Uploaded_Data!$D$2:$D$59696="Internal Transfers")*(Uploaded_Data!$E$2:$E$59696="Stock Yard to Pile (through Crusher)")*(Uploaded_Data!$F$2:$F$59696="LG1")*(Uploaded_Data!$H$2:$H$59696=$A25)*Uploaded_Data!$N$2:$N$59696)</f>
        <v>0</v>
      </c>
      <c r="Q25" s="80" cm="1">
        <f t="array" ref="Q25">SUMPRODUCT((Uploaded_Data!$D$2:$D$59696="Internal Transfers")*(Uploaded_Data!$E$2:$E$59696="Stock Yard to Direct Pile (Bypass Crusher)")*(Uploaded_Data!$F$2:$F$59696="LG1")*(Uploaded_Data!$H$2:$H$59696=$A25)*Uploaded_Data!$N$2:$N$59696)</f>
        <v>0</v>
      </c>
      <c r="R25" s="80" cm="1">
        <f t="array" ref="R25">SUMPRODUCT((Uploaded_Data!$D$2:$D$59696="Internal Transfers")*(Uploaded_Data!$E$2:$E$59696="Stock Yard to Other Usages")*(Uploaded_Data!$F$2:$F$59696="LG1")*(Uploaded_Data!$H$2:$H$59696=$A25)*Uploaded_Data!$N$2:$N$59696)</f>
        <v>0</v>
      </c>
      <c r="S25" s="80" cm="1">
        <f t="array" ref="S25">SUMPRODUCT((Uploaded_Data!$D$2:$D$59696="Internal Transfers")*(Uploaded_Data!$E$2:$E$59696="Stock Yard to Pile (through Crusher)")*(Uploaded_Data!$F$2:$F$59696="LIMESTONE SPG")*(Uploaded_Data!$H$2:$H$59696=$A25)*Uploaded_Data!$N$2:$N$59696)</f>
        <v>0</v>
      </c>
      <c r="T25" s="80" cm="1">
        <f t="array" ref="T25">SUMPRODUCT((Uploaded_Data!$D$2:$D$59696="Internal Transfers")*(Uploaded_Data!$E$2:$E$59696="Stock Yard to Direct Pile (Bypass Crusher)")*(Uploaded_Data!$F$2:$F$59696="LIMESTONE SPG")*(Uploaded_Data!$H$2:$H$59696=$A25)*Uploaded_Data!$N$2:$N$59696)</f>
        <v>0</v>
      </c>
      <c r="U25" s="80" cm="1">
        <f t="array" ref="U25">SUMPRODUCT((Uploaded_Data!$D$2:$D$59696="Production Transfers")*(Uploaded_Data!$E$2:$E$59696="South Mine to Pile (through Crusher)")*(Uploaded_Data!$F$2:$F$59696="OB/CLAY")*(Uploaded_Data!$H$2:$H$59696=$A25)*Uploaded_Data!$N$2:$N$59696)</f>
        <v>0</v>
      </c>
      <c r="V25" s="80" cm="1">
        <f t="array" ref="V25">SUMPRODUCT((Uploaded_Data!$D$2:$D$59696="Production Transfers")*(Uploaded_Data!$E$2:$E$59696="South Mine to Direct Pile (Bypass Crusher)")*(Uploaded_Data!$F$2:$F$59696="OB/CLAY")*(Uploaded_Data!$H$2:$H$59696=$A25)*Uploaded_Data!$N$2:$N$59696)</f>
        <v>0</v>
      </c>
      <c r="W25" s="80" cm="1">
        <f t="array" ref="W25">SUMPRODUCT((Uploaded_Data!$D$2:$D$59696="Production Transfers")*(Uploaded_Data!$E$2:$E$59696="South Mine to Stock Yard")*(Uploaded_Data!$F$2:$F$59696="OB/CLAY")*(Uploaded_Data!$H$2:$H$59696=$A25)*Uploaded_Data!$N$2:$N$59696)</f>
        <v>0</v>
      </c>
      <c r="X25" s="80" cm="1">
        <f t="array" ref="X25">SUMPRODUCT((Uploaded_Data!$D$2:$D$59696="Production Transfers")*(Uploaded_Data!$E$2:$E$59696="South Mine to Golani Waste dump")*(Uploaded_Data!$F$2:$F$59696="WASTE")*(Uploaded_Data!$H$2:$H$59696=$A25)*Uploaded_Data!$N$2:$N$59696)</f>
        <v>0</v>
      </c>
      <c r="Y25" s="80" cm="1">
        <f t="array" ref="Y25">SUMPRODUCT((Uploaded_Data!$D$2:$D$59696="Production Transfers")*(Uploaded_Data!$E$2:$E$59696="North Mine to Pile (through Crusher)")*(Uploaded_Data!$F$2:$F$59696="OB/CLAY")*(Uploaded_Data!$H$2:$H$59696=$A25)*Uploaded_Data!$N$2:$N$59696)</f>
        <v>0</v>
      </c>
      <c r="Z25" s="80" cm="1">
        <f t="array" ref="Z25">SUMPRODUCT((Uploaded_Data!$D$2:$D$59696="Production Transfers")*(Uploaded_Data!$E$2:$E$59696="North Mine to Direct Pile (Bypass Crusher)")*(Uploaded_Data!$F$2:$F$59696="OB/CLAY")*(Uploaded_Data!$H$2:$H$59696=$A25)*Uploaded_Data!$N$2:$N$59696)</f>
        <v>0</v>
      </c>
      <c r="AA25" s="80" cm="1">
        <f t="array" ref="AA25">SUMPRODUCT((Uploaded_Data!$D$2:$D$59696="Production Transfers")*(Uploaded_Data!$E$2:$E$59696="North Mine to Stock Yard")*(Uploaded_Data!$F$2:$F$59696="OB/CLAY")*(Uploaded_Data!$H$2:$H$59696=$A25)*Uploaded_Data!$N$2:$N$59696)</f>
        <v>0</v>
      </c>
      <c r="AB25" s="80" cm="1">
        <f t="array" ref="AB25">SUMPRODUCT((Uploaded_Data!$D$2:$D$59696="Production Transfers")*(Uploaded_Data!$E$2:$E$59696="North Mine to Golani Waste dump")*(Uploaded_Data!$F$2:$F$59696="WASTE")*(Uploaded_Data!$H$2:$H$59696=$A25)*Uploaded_Data!$N$2:$N$59696)</f>
        <v>0</v>
      </c>
      <c r="AC25" s="80" cm="1">
        <f t="array" ref="AC25">SUMPRODUCT((Uploaded_Data!$D$2:$D$59696="Internal Transfers")*(Uploaded_Data!$E$2:$E$59696="Stock Yard to Pile (through Crusher)")*(Uploaded_Data!$F$2:$F$59696="OB/CLAY")*(Uploaded_Data!$H$2:$H$59696=$A25)*Uploaded_Data!$N$2:$N$59696)</f>
        <v>118.24000000000001</v>
      </c>
      <c r="AD25" s="80" cm="1">
        <f t="array" ref="AD25">SUMPRODUCT((Uploaded_Data!$D$2:$D$59696="Internal Transfers")*(Uploaded_Data!$E$2:$E$59696="Stock Yard to Other Usages")*(Uploaded_Data!$F$2:$F$59696="OB/CLAY")*(Uploaded_Data!$H$2:$H$59696=$A25)*Uploaded_Data!$N$2:$N$59696)</f>
        <v>0</v>
      </c>
      <c r="AE25" s="80" cm="1">
        <f t="array" ref="AE25">SUMPRODUCT((Uploaded_Data!$D$2:$D$59696="Internal Transfers")*(Uploaded_Data!$E$2:$E$59696="Stock Yard to Direct Pile (Bypass Crusher)")*(Uploaded_Data!$F$2:$F$59696="OB/CLAY")*(Uploaded_Data!$H$2:$H$59696=$A25)*Uploaded_Data!$N$2:$N$59696)</f>
        <v>0</v>
      </c>
      <c r="AF25" s="80" cm="1">
        <f t="array" ref="AF25">SUMPRODUCT((Uploaded_Data!$D$2:$D$59696="Production Transfers")*(Uploaded_Data!$E$2:$E$59696="South Mine to Pile (through Crusher)")*(Uploaded_Data!$F$2:$F$59696="HGHMGO")*(Uploaded_Data!$H$2:$H$59696=$A25)*Uploaded_Data!$N$2:$N$59696)</f>
        <v>0</v>
      </c>
      <c r="AG25" s="80" cm="1">
        <f t="array" ref="AG25">SUMPRODUCT((Uploaded_Data!$D$2:$D$59696="Production Transfers")*(Uploaded_Data!$E$2:$E$59696="South Mine to Direct Pile (Bypass Crusher)")*(Uploaded_Data!$F$2:$F$59696="HGHMGO")*(Uploaded_Data!$H$2:$H$59696=$A25)*Uploaded_Data!$N$2:$N$59696)</f>
        <v>0</v>
      </c>
      <c r="AH25" s="80" cm="1">
        <f t="array" ref="AH25">SUMPRODUCT((Uploaded_Data!$D$2:$D$59696="Production Transfers")*(Uploaded_Data!$E$2:$E$59696="South Mine to Stock Yard")*(Uploaded_Data!$F$2:$F$59696="HGHMGO")*(Uploaded_Data!$H$2:$H$59696=$A25)*Uploaded_Data!$N$2:$N$59696)</f>
        <v>0</v>
      </c>
      <c r="AI25" s="80" cm="1">
        <f t="array" ref="AI25">SUMPRODUCT((Uploaded_Data!$D$2:$D$59696="Internal Transfers")*(Uploaded_Data!$E$2:$E$59696="Stock Yard to Pile (through Crusher)")*(Uploaded_Data!$F$2:$F$59696="HGHMGO")*(Uploaded_Data!$H$2:$H$59696=$A25)*Uploaded_Data!$N$2:$N$59696)</f>
        <v>0</v>
      </c>
      <c r="AJ25" s="80" cm="1">
        <f t="array" ref="AJ25">SUMPRODUCT((Uploaded_Data!$D$2:$D$59696="Production Transfers")*(Uploaded_Data!$E$2:$E$59696="South Mine to Pile (through Crusher)")*(Uploaded_Data!$F$2:$F$59696="LGHMGO")*(Uploaded_Data!$H$2:$H$59696=$A25)*Uploaded_Data!$N$2:$N$59696)</f>
        <v>0</v>
      </c>
      <c r="AK25" s="80" cm="1">
        <f t="array" ref="AK25">SUMPRODUCT((Uploaded_Data!$D$2:$D$59696="Production Transfers")*(Uploaded_Data!$E$2:$E$59696="South Mine to Direct Pile (Bypass Crusher)")*(Uploaded_Data!$F$2:$F$59696="LGHMGO")*(Uploaded_Data!$H$2:$H$59696=$A25)*Uploaded_Data!$N$2:$N$59696)</f>
        <v>0</v>
      </c>
      <c r="AL25" s="80" cm="1">
        <f t="array" ref="AL25">SUMPRODUCT((Uploaded_Data!$D$2:$D$59696="Production Transfers")*(Uploaded_Data!$E$2:$E$59696="South Mine to Stock Yard")*(Uploaded_Data!$F$2:$F$59696="LGHMGO")*(Uploaded_Data!$H$2:$H$59696=$A25)*Uploaded_Data!$N$2:$N$59696)</f>
        <v>0</v>
      </c>
      <c r="AM25" s="80" cm="1">
        <f t="array" ref="AM25">SUMPRODUCT((Uploaded_Data!$D$2:$D$59696="Internal Transfers")*(Uploaded_Data!$E$2:$E$59696="Stock Yard to Pile (through Crusher)")*(Uploaded_Data!$F$2:$F$59696="LGHMGO")*(Uploaded_Data!$H$2:$H$59696=$A25)*Uploaded_Data!$N$2:$N$59696)</f>
        <v>0</v>
      </c>
      <c r="AN25" s="103">
        <f t="shared" si="0"/>
        <v>4888.3</v>
      </c>
      <c r="AO25" s="71"/>
      <c r="AP25" s="109" cm="1">
        <f t="array" ref="AP25">SUMPRODUCT((Uploaded_Data!$D$2:$D$59696="Internal Transfers")*(Uploaded_Data!$E$2:$E$59696="Stock Yard to Pile (through Crusher)")*(Uploaded_Data!$F$2:$F$59696="GYPSUM")*(Uploaded_Data!$H$2:$H$59696=$A25)*Uploaded_Data!$N$2:$N$59696)</f>
        <v>0</v>
      </c>
      <c r="AQ25" s="109" cm="1">
        <f t="array" ref="AQ25">SUMPRODUCT((Uploaded_Data!$D$2:$D$59696="Internal Transfers")*(Uploaded_Data!$E$2:$E$59696="Stock Yard to Direct Pile (Bypass Crusher)")*(Uploaded_Data!$F$2:$F$59696="GYPSUM")*(Uploaded_Data!$H$2:$H$59696=$A25)*Uploaded_Data!$N$2:$N$59696)</f>
        <v>0</v>
      </c>
      <c r="AR25" s="109" cm="1">
        <f t="array" ref="AR25">SUMPRODUCT((Uploaded_Data!$D$2:$D$59696="Internal Transfers")*(Uploaded_Data!$E$2:$E$59696="Stock Yard to Other Usages")*(Uploaded_Data!$F$2:$F$59696="ID Clay")*(Uploaded_Data!$H$2:$H$59696=$A25)*Uploaded_Data!$N$2:$N$59696)</f>
        <v>0</v>
      </c>
      <c r="AS25" s="109" cm="1">
        <f t="array" ref="AS25">SUMPRODUCT((Uploaded_Data!$D$2:$D$59696="Internal Transfers")*(Uploaded_Data!$E$2:$E$59696="Stock Yard to Direct Pile (Bypass Crusher)")*(Uploaded_Data!$F$2:$F$59696="ID Clay")*(Uploaded_Data!$H$2:$H$59696=$A25)*Uploaded_Data!$N$2:$N$59696)</f>
        <v>45.22</v>
      </c>
      <c r="AT25" s="109" cm="1">
        <f t="array" ref="AT25">SUMPRODUCT((Uploaded_Data!$D$2:$D$59696="Production Transfers")*(Uploaded_Data!$E$2:$E$59696="Kijaka Mine to Stock Yard")*(Uploaded_Data!$F$2:$F$59696="ID Clay")*(Uploaded_Data!$H$2:$H$59696=$A25)*Uploaded_Data!$N$2:$N$59696)</f>
        <v>0</v>
      </c>
      <c r="AU25" s="102">
        <f t="shared" si="1"/>
        <v>4933.5200000000004</v>
      </c>
      <c r="AV25" s="109">
        <f t="shared" si="2"/>
        <v>4933.5200000000004</v>
      </c>
      <c r="AW25" s="109"/>
      <c r="AX25" s="109"/>
      <c r="AY25" s="114"/>
      <c r="AZ25" s="110">
        <f t="shared" si="3"/>
        <v>3182.2000000000007</v>
      </c>
      <c r="BA25" s="112">
        <f t="shared" si="4"/>
        <v>4933.5200000000004</v>
      </c>
      <c r="BB25" s="110"/>
    </row>
    <row r="26" spans="1:54" s="63" customFormat="1">
      <c r="A26" s="79">
        <v>46134</v>
      </c>
      <c r="B26" s="80" cm="1">
        <f t="array" ref="B26">SUMPRODUCT((Uploaded_Data!$D$2:$D$59696="Production Transfers")*(Uploaded_Data!$E$2:$E$59696="South Mine to Pile (through Crusher)")*(Uploaded_Data!$F$2:$F$59696="HG")*(Uploaded_Data!$H$2:$H$59696=$A26)*Uploaded_Data!$N$2:$N$59696)</f>
        <v>0</v>
      </c>
      <c r="C26" s="80" cm="1">
        <f t="array" ref="C26">SUMPRODUCT((Uploaded_Data!$D$2:$D$59696="Production Transfers")*(Uploaded_Data!$E$2:$E$59696="South Mine to Direct Pile (Bypass Crusher)")*(Uploaded_Data!$F$2:$F$59696="HG")*(Uploaded_Data!$H$2:$H$59696=$A26)*Uploaded_Data!$N$2:$N$59696)</f>
        <v>0</v>
      </c>
      <c r="D26" s="80" cm="1">
        <f t="array" ref="D26">SUMPRODUCT((Uploaded_Data!$D$2:$D$59696="Production Transfers")*(Uploaded_Data!$E$2:$E$59696="South Mine to Stock Yard")*(Uploaded_Data!$F$2:$F$59696="HG")*(Uploaded_Data!$H$2:$H$59696=$A26)*Uploaded_Data!$N$2:$N$59696)</f>
        <v>0</v>
      </c>
      <c r="E26" s="80" cm="1">
        <f t="array" ref="E26">SUMPRODUCT((Uploaded_Data!$D$2:$D$59696="Production Transfers")*(Uploaded_Data!$E$2:$E$59696="North Mine to Pile (through Crusher)")*(Uploaded_Data!$F$2:$F$59696="HG")*(Uploaded_Data!$H$2:$H$59696=$A26)*Uploaded_Data!$N$2:$N$59696)</f>
        <v>0</v>
      </c>
      <c r="F26" s="80" cm="1">
        <f t="array" ref="F26">SUMPRODUCT((Uploaded_Data!$D$2:$D$59696="Production Transfers")*(Uploaded_Data!$E$2:$E$59696="North Mine to Direct Pile (Bypass Crusher)")*(Uploaded_Data!$F$2:$F$59696="HG")*(Uploaded_Data!$H$2:$H$59696=$A26)*Uploaded_Data!$N$2:$N$59696)</f>
        <v>0</v>
      </c>
      <c r="G26" s="80" cm="1">
        <f t="array" ref="G26">SUMPRODUCT((Uploaded_Data!$D$2:$D$59696="Production Transfers")*(Uploaded_Data!$E$2:$E$59696="North Mine to Stock Yard")*(Uploaded_Data!$F$2:$F$59696="HG")*(Uploaded_Data!$H$2:$H$59696=$A26)*Uploaded_Data!$N$2:$N$59696)</f>
        <v>0</v>
      </c>
      <c r="H26" s="80" cm="1">
        <f t="array" ref="H26">SUMPRODUCT((Uploaded_Data!$D$2:$D$59696="Internal Transfers")*(Uploaded_Data!$E$2:$E$59696="Stock Yard to Pile (through Crusher)")*(Uploaded_Data!$F$2:$F$59696="HG")*(Uploaded_Data!$H$2:$H$59696=$A26)*Uploaded_Data!$N$2:$N$59696)</f>
        <v>0</v>
      </c>
      <c r="I26" s="80" cm="1">
        <f t="array" ref="I26">SUMPRODUCT((Uploaded_Data!$D$2:$D$59696="Internal Transfers")*(Uploaded_Data!$E$2:$E$59696="Stock Yard to Direct Pile (Bypass Crusher)")*(Uploaded_Data!$F$2:$F$59696="HG")*(Uploaded_Data!$H$2:$H$59696=$A26)*Uploaded_Data!$N$2:$N$59696)</f>
        <v>0</v>
      </c>
      <c r="J26" s="80" cm="1">
        <f t="array" ref="J26">SUMPRODUCT((Uploaded_Data!$D$2:$D$59696="Production Transfers")*(Uploaded_Data!$E$2:$E$59696="South Mine to Pile (through Crusher)")*(Uploaded_Data!$F$2:$F$59696="LG1")*(Uploaded_Data!$H$2:$H$59696=$A26)*Uploaded_Data!$N$2:$N$59696)</f>
        <v>0</v>
      </c>
      <c r="K26" s="80" cm="1">
        <f t="array" ref="K26">SUMPRODUCT((Uploaded_Data!$D$2:$D$59696="Production Transfers")*(Uploaded_Data!$E$2:$E$59696="South Mine to Direct Pile (Bypass Crusher)")*(Uploaded_Data!$F$2:$F$59696="LG1")*(Uploaded_Data!$H$2:$H$59696=$A26)*Uploaded_Data!$N$2:$N$59696)</f>
        <v>0</v>
      </c>
      <c r="L26" s="80" cm="1">
        <f t="array" ref="L26">SUMPRODUCT((Uploaded_Data!$D$2:$D$59696="Production Transfers")*(Uploaded_Data!$E$2:$E$59696="South Mine to Stock Yard")*(Uploaded_Data!$F$2:$F$59696="LG1")*(Uploaded_Data!$H$2:$H$59696=$A26)*Uploaded_Data!$N$2:$N$59696)</f>
        <v>0</v>
      </c>
      <c r="M26" s="80" cm="1">
        <f t="array" ref="M26">SUMPRODUCT((Uploaded_Data!$D$2:$D$59696="Production Transfers")*(Uploaded_Data!$E$2:$E$59696="North Mine to Pile (through Crusher)")*(Uploaded_Data!$F$2:$F$59696="LG1")*(Uploaded_Data!$H$2:$H$59696=$A26)*Uploaded_Data!$N$2:$N$59696)</f>
        <v>0</v>
      </c>
      <c r="N26" s="80" cm="1">
        <f t="array" ref="N26">SUMPRODUCT((Uploaded_Data!$D$2:$D$59696="Production Transfers")*(Uploaded_Data!$E$2:$E$59696="North Mine to Direct Pile (Bypass Crusher)")*(Uploaded_Data!$F$2:$F$59696="LG1")*(Uploaded_Data!$H$2:$H$59696=$A26)*Uploaded_Data!$N$2:$N$59696)</f>
        <v>0</v>
      </c>
      <c r="O26" s="80" cm="1">
        <f t="array" ref="O26">SUMPRODUCT((Uploaded_Data!$D$2:$D$59696="Production Transfers")*(Uploaded_Data!$E$2:$E$59696="North Mine to Stock Yard")*(Uploaded_Data!$F$2:$F$59696="LG1")*(Uploaded_Data!$H$2:$H$59696=$A26)*Uploaded_Data!$N$2:$N$59696)</f>
        <v>0</v>
      </c>
      <c r="P26" s="80" cm="1">
        <f t="array" ref="P26">SUMPRODUCT((Uploaded_Data!$D$2:$D$59696="Internal Transfers")*(Uploaded_Data!$E$2:$E$59696="Stock Yard to Pile (through Crusher)")*(Uploaded_Data!$F$2:$F$59696="LG1")*(Uploaded_Data!$H$2:$H$59696=$A26)*Uploaded_Data!$N$2:$N$59696)</f>
        <v>0</v>
      </c>
      <c r="Q26" s="80" cm="1">
        <f t="array" ref="Q26">SUMPRODUCT((Uploaded_Data!$D$2:$D$59696="Internal Transfers")*(Uploaded_Data!$E$2:$E$59696="Stock Yard to Direct Pile (Bypass Crusher)")*(Uploaded_Data!$F$2:$F$59696="LG1")*(Uploaded_Data!$H$2:$H$59696=$A26)*Uploaded_Data!$N$2:$N$59696)</f>
        <v>0</v>
      </c>
      <c r="R26" s="80" cm="1">
        <f t="array" ref="R26">SUMPRODUCT((Uploaded_Data!$D$2:$D$59696="Internal Transfers")*(Uploaded_Data!$E$2:$E$59696="Stock Yard to Other Usages")*(Uploaded_Data!$F$2:$F$59696="LG1")*(Uploaded_Data!$H$2:$H$59696=$A26)*Uploaded_Data!$N$2:$N$59696)</f>
        <v>0</v>
      </c>
      <c r="S26" s="80" cm="1">
        <f t="array" ref="S26">SUMPRODUCT((Uploaded_Data!$D$2:$D$59696="Internal Transfers")*(Uploaded_Data!$E$2:$E$59696="Stock Yard to Pile (through Crusher)")*(Uploaded_Data!$F$2:$F$59696="LIMESTONE SPG")*(Uploaded_Data!$H$2:$H$59696=$A26)*Uploaded_Data!$N$2:$N$59696)</f>
        <v>0</v>
      </c>
      <c r="T26" s="80" cm="1">
        <f t="array" ref="T26">SUMPRODUCT((Uploaded_Data!$D$2:$D$59696="Internal Transfers")*(Uploaded_Data!$E$2:$E$59696="Stock Yard to Direct Pile (Bypass Crusher)")*(Uploaded_Data!$F$2:$F$59696="LIMESTONE SPG")*(Uploaded_Data!$H$2:$H$59696=$A26)*Uploaded_Data!$N$2:$N$59696)</f>
        <v>0</v>
      </c>
      <c r="U26" s="80" cm="1">
        <f t="array" ref="U26">SUMPRODUCT((Uploaded_Data!$D$2:$D$59696="Production Transfers")*(Uploaded_Data!$E$2:$E$59696="South Mine to Pile (through Crusher)")*(Uploaded_Data!$F$2:$F$59696="OB/CLAY")*(Uploaded_Data!$H$2:$H$59696=$A26)*Uploaded_Data!$N$2:$N$59696)</f>
        <v>0</v>
      </c>
      <c r="V26" s="80" cm="1">
        <f t="array" ref="V26">SUMPRODUCT((Uploaded_Data!$D$2:$D$59696="Production Transfers")*(Uploaded_Data!$E$2:$E$59696="South Mine to Direct Pile (Bypass Crusher)")*(Uploaded_Data!$F$2:$F$59696="OB/CLAY")*(Uploaded_Data!$H$2:$H$59696=$A26)*Uploaded_Data!$N$2:$N$59696)</f>
        <v>0</v>
      </c>
      <c r="W26" s="80" cm="1">
        <f t="array" ref="W26">SUMPRODUCT((Uploaded_Data!$D$2:$D$59696="Production Transfers")*(Uploaded_Data!$E$2:$E$59696="South Mine to Stock Yard")*(Uploaded_Data!$F$2:$F$59696="OB/CLAY")*(Uploaded_Data!$H$2:$H$59696=$A26)*Uploaded_Data!$N$2:$N$59696)</f>
        <v>0</v>
      </c>
      <c r="X26" s="80" cm="1">
        <f t="array" ref="X26">SUMPRODUCT((Uploaded_Data!$D$2:$D$59696="Production Transfers")*(Uploaded_Data!$E$2:$E$59696="South Mine to Golani Waste dump")*(Uploaded_Data!$F$2:$F$59696="WASTE")*(Uploaded_Data!$H$2:$H$59696=$A26)*Uploaded_Data!$N$2:$N$59696)</f>
        <v>0</v>
      </c>
      <c r="Y26" s="80" cm="1">
        <f t="array" ref="Y26">SUMPRODUCT((Uploaded_Data!$D$2:$D$59696="Production Transfers")*(Uploaded_Data!$E$2:$E$59696="North Mine to Pile (through Crusher)")*(Uploaded_Data!$F$2:$F$59696="OB/CLAY")*(Uploaded_Data!$H$2:$H$59696=$A26)*Uploaded_Data!$N$2:$N$59696)</f>
        <v>0</v>
      </c>
      <c r="Z26" s="80" cm="1">
        <f t="array" ref="Z26">SUMPRODUCT((Uploaded_Data!$D$2:$D$59696="Production Transfers")*(Uploaded_Data!$E$2:$E$59696="North Mine to Direct Pile (Bypass Crusher)")*(Uploaded_Data!$F$2:$F$59696="OB/CLAY")*(Uploaded_Data!$H$2:$H$59696=$A26)*Uploaded_Data!$N$2:$N$59696)</f>
        <v>0</v>
      </c>
      <c r="AA26" s="80" cm="1">
        <f t="array" ref="AA26">SUMPRODUCT((Uploaded_Data!$D$2:$D$59696="Production Transfers")*(Uploaded_Data!$E$2:$E$59696="North Mine to Stock Yard")*(Uploaded_Data!$F$2:$F$59696="OB/CLAY")*(Uploaded_Data!$H$2:$H$59696=$A26)*Uploaded_Data!$N$2:$N$59696)</f>
        <v>0</v>
      </c>
      <c r="AB26" s="80" cm="1">
        <f t="array" ref="AB26">SUMPRODUCT((Uploaded_Data!$D$2:$D$59696="Production Transfers")*(Uploaded_Data!$E$2:$E$59696="North Mine to Golani Waste dump")*(Uploaded_Data!$F$2:$F$59696="WASTE")*(Uploaded_Data!$H$2:$H$59696=$A26)*Uploaded_Data!$N$2:$N$59696)</f>
        <v>0</v>
      </c>
      <c r="AC26" s="80" cm="1">
        <f t="array" ref="AC26">SUMPRODUCT((Uploaded_Data!$D$2:$D$59696="Internal Transfers")*(Uploaded_Data!$E$2:$E$59696="Stock Yard to Pile (through Crusher)")*(Uploaded_Data!$F$2:$F$59696="OB/CLAY")*(Uploaded_Data!$H$2:$H$59696=$A26)*Uploaded_Data!$N$2:$N$59696)</f>
        <v>0</v>
      </c>
      <c r="AD26" s="80" cm="1">
        <f t="array" ref="AD26">SUMPRODUCT((Uploaded_Data!$D$2:$D$59696="Internal Transfers")*(Uploaded_Data!$E$2:$E$59696="Stock Yard to Other Usages")*(Uploaded_Data!$F$2:$F$59696="OB/CLAY")*(Uploaded_Data!$H$2:$H$59696=$A26)*Uploaded_Data!$N$2:$N$59696)</f>
        <v>0</v>
      </c>
      <c r="AE26" s="80" cm="1">
        <f t="array" ref="AE26">SUMPRODUCT((Uploaded_Data!$D$2:$D$59696="Internal Transfers")*(Uploaded_Data!$E$2:$E$59696="Stock Yard to Direct Pile (Bypass Crusher)")*(Uploaded_Data!$F$2:$F$59696="OB/CLAY")*(Uploaded_Data!$H$2:$H$59696=$A26)*Uploaded_Data!$N$2:$N$59696)</f>
        <v>0</v>
      </c>
      <c r="AF26" s="80" cm="1">
        <f t="array" ref="AF26">SUMPRODUCT((Uploaded_Data!$D$2:$D$59696="Production Transfers")*(Uploaded_Data!$E$2:$E$59696="South Mine to Pile (through Crusher)")*(Uploaded_Data!$F$2:$F$59696="HGHMGO")*(Uploaded_Data!$H$2:$H$59696=$A26)*Uploaded_Data!$N$2:$N$59696)</f>
        <v>0</v>
      </c>
      <c r="AG26" s="80" cm="1">
        <f t="array" ref="AG26">SUMPRODUCT((Uploaded_Data!$D$2:$D$59696="Production Transfers")*(Uploaded_Data!$E$2:$E$59696="South Mine to Direct Pile (Bypass Crusher)")*(Uploaded_Data!$F$2:$F$59696="HGHMGO")*(Uploaded_Data!$H$2:$H$59696=$A26)*Uploaded_Data!$N$2:$N$59696)</f>
        <v>0</v>
      </c>
      <c r="AH26" s="80" cm="1">
        <f t="array" ref="AH26">SUMPRODUCT((Uploaded_Data!$D$2:$D$59696="Production Transfers")*(Uploaded_Data!$E$2:$E$59696="South Mine to Stock Yard")*(Uploaded_Data!$F$2:$F$59696="HGHMGO")*(Uploaded_Data!$H$2:$H$59696=$A26)*Uploaded_Data!$N$2:$N$59696)</f>
        <v>0</v>
      </c>
      <c r="AI26" s="80" cm="1">
        <f t="array" ref="AI26">SUMPRODUCT((Uploaded_Data!$D$2:$D$59696="Internal Transfers")*(Uploaded_Data!$E$2:$E$59696="Stock Yard to Pile (through Crusher)")*(Uploaded_Data!$F$2:$F$59696="HGHMGO")*(Uploaded_Data!$H$2:$H$59696=$A26)*Uploaded_Data!$N$2:$N$59696)</f>
        <v>0</v>
      </c>
      <c r="AJ26" s="80" cm="1">
        <f t="array" ref="AJ26">SUMPRODUCT((Uploaded_Data!$D$2:$D$59696="Production Transfers")*(Uploaded_Data!$E$2:$E$59696="South Mine to Pile (through Crusher)")*(Uploaded_Data!$F$2:$F$59696="LGHMGO")*(Uploaded_Data!$H$2:$H$59696=$A26)*Uploaded_Data!$N$2:$N$59696)</f>
        <v>0</v>
      </c>
      <c r="AK26" s="80" cm="1">
        <f t="array" ref="AK26">SUMPRODUCT((Uploaded_Data!$D$2:$D$59696="Production Transfers")*(Uploaded_Data!$E$2:$E$59696="South Mine to Direct Pile (Bypass Crusher)")*(Uploaded_Data!$F$2:$F$59696="LGHMGO")*(Uploaded_Data!$H$2:$H$59696=$A26)*Uploaded_Data!$N$2:$N$59696)</f>
        <v>0</v>
      </c>
      <c r="AL26" s="80" cm="1">
        <f t="array" ref="AL26">SUMPRODUCT((Uploaded_Data!$D$2:$D$59696="Production Transfers")*(Uploaded_Data!$E$2:$E$59696="South Mine to Stock Yard")*(Uploaded_Data!$F$2:$F$59696="LGHMGO")*(Uploaded_Data!$H$2:$H$59696=$A26)*Uploaded_Data!$N$2:$N$59696)</f>
        <v>0</v>
      </c>
      <c r="AM26" s="80" cm="1">
        <f t="array" ref="AM26">SUMPRODUCT((Uploaded_Data!$D$2:$D$59696="Internal Transfers")*(Uploaded_Data!$E$2:$E$59696="Stock Yard to Pile (through Crusher)")*(Uploaded_Data!$F$2:$F$59696="LGHMGO")*(Uploaded_Data!$H$2:$H$59696=$A26)*Uploaded_Data!$N$2:$N$59696)</f>
        <v>0</v>
      </c>
      <c r="AN26" s="103">
        <f t="shared" si="0"/>
        <v>0</v>
      </c>
      <c r="AO26" s="71"/>
      <c r="AP26" s="109" cm="1">
        <f t="array" ref="AP26">SUMPRODUCT((Uploaded_Data!$D$2:$D$59696="Internal Transfers")*(Uploaded_Data!$E$2:$E$59696="Stock Yard to Pile (through Crusher)")*(Uploaded_Data!$F$2:$F$59696="GYPSUM")*(Uploaded_Data!$H$2:$H$59696=$A26)*Uploaded_Data!$N$2:$N$59696)</f>
        <v>0</v>
      </c>
      <c r="AQ26" s="109" cm="1">
        <f t="array" ref="AQ26">SUMPRODUCT((Uploaded_Data!$D$2:$D$59696="Internal Transfers")*(Uploaded_Data!$E$2:$E$59696="Stock Yard to Direct Pile (Bypass Crusher)")*(Uploaded_Data!$F$2:$F$59696="GYPSUM")*(Uploaded_Data!$H$2:$H$59696=$A26)*Uploaded_Data!$N$2:$N$59696)</f>
        <v>0</v>
      </c>
      <c r="AR26" s="109" cm="1">
        <f t="array" ref="AR26">SUMPRODUCT((Uploaded_Data!$D$2:$D$59696="Internal Transfers")*(Uploaded_Data!$E$2:$E$59696="Stock Yard to Other Usages")*(Uploaded_Data!$F$2:$F$59696="ID Clay")*(Uploaded_Data!$H$2:$H$59696=$A26)*Uploaded_Data!$N$2:$N$59696)</f>
        <v>0</v>
      </c>
      <c r="AS26" s="109" cm="1">
        <f t="array" ref="AS26">SUMPRODUCT((Uploaded_Data!$D$2:$D$59696="Internal Transfers")*(Uploaded_Data!$E$2:$E$59696="Stock Yard to Direct Pile (Bypass Crusher)")*(Uploaded_Data!$F$2:$F$59696="ID Clay")*(Uploaded_Data!$H$2:$H$59696=$A26)*Uploaded_Data!$N$2:$N$59696)</f>
        <v>0</v>
      </c>
      <c r="AT26" s="109" cm="1">
        <f t="array" ref="AT26">SUMPRODUCT((Uploaded_Data!$D$2:$D$59696="Production Transfers")*(Uploaded_Data!$E$2:$E$59696="Kijaka Mine to Stock Yard")*(Uploaded_Data!$F$2:$F$59696="ID Clay")*(Uploaded_Data!$H$2:$H$59696=$A26)*Uploaded_Data!$N$2:$N$59696)</f>
        <v>0</v>
      </c>
      <c r="AU26" s="102">
        <f t="shared" si="1"/>
        <v>0</v>
      </c>
      <c r="AV26" s="109">
        <f t="shared" si="2"/>
        <v>0</v>
      </c>
      <c r="AW26" s="109"/>
      <c r="AX26" s="109"/>
      <c r="AY26" s="114"/>
      <c r="AZ26" s="110">
        <f t="shared" si="3"/>
        <v>0</v>
      </c>
      <c r="BA26" s="112">
        <f t="shared" si="4"/>
        <v>0</v>
      </c>
      <c r="BB26" s="110"/>
    </row>
    <row r="27" spans="1:54" s="63" customFormat="1">
      <c r="A27" s="79">
        <v>46135</v>
      </c>
      <c r="B27" s="80" cm="1">
        <f t="array" ref="B27">SUMPRODUCT((Uploaded_Data!$D$2:$D$59696="Production Transfers")*(Uploaded_Data!$E$2:$E$59696="South Mine to Pile (through Crusher)")*(Uploaded_Data!$F$2:$F$59696="HG")*(Uploaded_Data!$H$2:$H$59696=$A27)*Uploaded_Data!$N$2:$N$59696)</f>
        <v>0</v>
      </c>
      <c r="C27" s="80" cm="1">
        <f t="array" ref="C27">SUMPRODUCT((Uploaded_Data!$D$2:$D$59696="Production Transfers")*(Uploaded_Data!$E$2:$E$59696="South Mine to Direct Pile (Bypass Crusher)")*(Uploaded_Data!$F$2:$F$59696="HG")*(Uploaded_Data!$H$2:$H$59696=$A27)*Uploaded_Data!$N$2:$N$59696)</f>
        <v>0</v>
      </c>
      <c r="D27" s="80" cm="1">
        <f t="array" ref="D27">SUMPRODUCT((Uploaded_Data!$D$2:$D$59696="Production Transfers")*(Uploaded_Data!$E$2:$E$59696="South Mine to Stock Yard")*(Uploaded_Data!$F$2:$F$59696="HG")*(Uploaded_Data!$H$2:$H$59696=$A27)*Uploaded_Data!$N$2:$N$59696)</f>
        <v>0</v>
      </c>
      <c r="E27" s="80" cm="1">
        <f t="array" ref="E27">SUMPRODUCT((Uploaded_Data!$D$2:$D$59696="Production Transfers")*(Uploaded_Data!$E$2:$E$59696="North Mine to Pile (through Crusher)")*(Uploaded_Data!$F$2:$F$59696="HG")*(Uploaded_Data!$H$2:$H$59696=$A27)*Uploaded_Data!$N$2:$N$59696)</f>
        <v>0</v>
      </c>
      <c r="F27" s="80" cm="1">
        <f t="array" ref="F27">SUMPRODUCT((Uploaded_Data!$D$2:$D$59696="Production Transfers")*(Uploaded_Data!$E$2:$E$59696="North Mine to Direct Pile (Bypass Crusher)")*(Uploaded_Data!$F$2:$F$59696="HG")*(Uploaded_Data!$H$2:$H$59696=$A27)*Uploaded_Data!$N$2:$N$59696)</f>
        <v>0</v>
      </c>
      <c r="G27" s="80" cm="1">
        <f t="array" ref="G27">SUMPRODUCT((Uploaded_Data!$D$2:$D$59696="Production Transfers")*(Uploaded_Data!$E$2:$E$59696="North Mine to Stock Yard")*(Uploaded_Data!$F$2:$F$59696="HG")*(Uploaded_Data!$H$2:$H$59696=$A27)*Uploaded_Data!$N$2:$N$59696)</f>
        <v>0</v>
      </c>
      <c r="H27" s="80" cm="1">
        <f t="array" ref="H27">SUMPRODUCT((Uploaded_Data!$D$2:$D$59696="Internal Transfers")*(Uploaded_Data!$E$2:$E$59696="Stock Yard to Pile (through Crusher)")*(Uploaded_Data!$F$2:$F$59696="HG")*(Uploaded_Data!$H$2:$H$59696=$A27)*Uploaded_Data!$N$2:$N$59696)</f>
        <v>0</v>
      </c>
      <c r="I27" s="80" cm="1">
        <f t="array" ref="I27">SUMPRODUCT((Uploaded_Data!$D$2:$D$59696="Internal Transfers")*(Uploaded_Data!$E$2:$E$59696="Stock Yard to Direct Pile (Bypass Crusher)")*(Uploaded_Data!$F$2:$F$59696="HG")*(Uploaded_Data!$H$2:$H$59696=$A27)*Uploaded_Data!$N$2:$N$59696)</f>
        <v>0</v>
      </c>
      <c r="J27" s="80" cm="1">
        <f t="array" ref="J27">SUMPRODUCT((Uploaded_Data!$D$2:$D$59696="Production Transfers")*(Uploaded_Data!$E$2:$E$59696="South Mine to Pile (through Crusher)")*(Uploaded_Data!$F$2:$F$59696="LG1")*(Uploaded_Data!$H$2:$H$59696=$A27)*Uploaded_Data!$N$2:$N$59696)</f>
        <v>0</v>
      </c>
      <c r="K27" s="80" cm="1">
        <f t="array" ref="K27">SUMPRODUCT((Uploaded_Data!$D$2:$D$59696="Production Transfers")*(Uploaded_Data!$E$2:$E$59696="South Mine to Direct Pile (Bypass Crusher)")*(Uploaded_Data!$F$2:$F$59696="LG1")*(Uploaded_Data!$H$2:$H$59696=$A27)*Uploaded_Data!$N$2:$N$59696)</f>
        <v>0</v>
      </c>
      <c r="L27" s="80" cm="1">
        <f t="array" ref="L27">SUMPRODUCT((Uploaded_Data!$D$2:$D$59696="Production Transfers")*(Uploaded_Data!$E$2:$E$59696="South Mine to Stock Yard")*(Uploaded_Data!$F$2:$F$59696="LG1")*(Uploaded_Data!$H$2:$H$59696=$A27)*Uploaded_Data!$N$2:$N$59696)</f>
        <v>0</v>
      </c>
      <c r="M27" s="80" cm="1">
        <f t="array" ref="M27">SUMPRODUCT((Uploaded_Data!$D$2:$D$59696="Production Transfers")*(Uploaded_Data!$E$2:$E$59696="North Mine to Pile (through Crusher)")*(Uploaded_Data!$F$2:$F$59696="LG1")*(Uploaded_Data!$H$2:$H$59696=$A27)*Uploaded_Data!$N$2:$N$59696)</f>
        <v>0</v>
      </c>
      <c r="N27" s="80" cm="1">
        <f t="array" ref="N27">SUMPRODUCT((Uploaded_Data!$D$2:$D$59696="Production Transfers")*(Uploaded_Data!$E$2:$E$59696="North Mine to Direct Pile (Bypass Crusher)")*(Uploaded_Data!$F$2:$F$59696="LG1")*(Uploaded_Data!$H$2:$H$59696=$A27)*Uploaded_Data!$N$2:$N$59696)</f>
        <v>0</v>
      </c>
      <c r="O27" s="80" cm="1">
        <f t="array" ref="O27">SUMPRODUCT((Uploaded_Data!$D$2:$D$59696="Production Transfers")*(Uploaded_Data!$E$2:$E$59696="North Mine to Stock Yard")*(Uploaded_Data!$F$2:$F$59696="LG1")*(Uploaded_Data!$H$2:$H$59696=$A27)*Uploaded_Data!$N$2:$N$59696)</f>
        <v>0</v>
      </c>
      <c r="P27" s="80" cm="1">
        <f t="array" ref="P27">SUMPRODUCT((Uploaded_Data!$D$2:$D$59696="Internal Transfers")*(Uploaded_Data!$E$2:$E$59696="Stock Yard to Pile (through Crusher)")*(Uploaded_Data!$F$2:$F$59696="LG1")*(Uploaded_Data!$H$2:$H$59696=$A27)*Uploaded_Data!$N$2:$N$59696)</f>
        <v>0</v>
      </c>
      <c r="Q27" s="80" cm="1">
        <f t="array" ref="Q27">SUMPRODUCT((Uploaded_Data!$D$2:$D$59696="Internal Transfers")*(Uploaded_Data!$E$2:$E$59696="Stock Yard to Direct Pile (Bypass Crusher)")*(Uploaded_Data!$F$2:$F$59696="LG1")*(Uploaded_Data!$H$2:$H$59696=$A27)*Uploaded_Data!$N$2:$N$59696)</f>
        <v>0</v>
      </c>
      <c r="R27" s="80" cm="1">
        <f t="array" ref="R27">SUMPRODUCT((Uploaded_Data!$D$2:$D$59696="Internal Transfers")*(Uploaded_Data!$E$2:$E$59696="Stock Yard to Other Usages")*(Uploaded_Data!$F$2:$F$59696="LG1")*(Uploaded_Data!$H$2:$H$59696=$A27)*Uploaded_Data!$N$2:$N$59696)</f>
        <v>0</v>
      </c>
      <c r="S27" s="80" cm="1">
        <f t="array" ref="S27">SUMPRODUCT((Uploaded_Data!$D$2:$D$59696="Internal Transfers")*(Uploaded_Data!$E$2:$E$59696="Stock Yard to Pile (through Crusher)")*(Uploaded_Data!$F$2:$F$59696="LIMESTONE SPG")*(Uploaded_Data!$H$2:$H$59696=$A27)*Uploaded_Data!$N$2:$N$59696)</f>
        <v>0</v>
      </c>
      <c r="T27" s="80" cm="1">
        <f t="array" ref="T27">SUMPRODUCT((Uploaded_Data!$D$2:$D$59696="Internal Transfers")*(Uploaded_Data!$E$2:$E$59696="Stock Yard to Direct Pile (Bypass Crusher)")*(Uploaded_Data!$F$2:$F$59696="LIMESTONE SPG")*(Uploaded_Data!$H$2:$H$59696=$A27)*Uploaded_Data!$N$2:$N$59696)</f>
        <v>0</v>
      </c>
      <c r="U27" s="80" cm="1">
        <f t="array" ref="U27">SUMPRODUCT((Uploaded_Data!$D$2:$D$59696="Production Transfers")*(Uploaded_Data!$E$2:$E$59696="South Mine to Pile (through Crusher)")*(Uploaded_Data!$F$2:$F$59696="OB/CLAY")*(Uploaded_Data!$H$2:$H$59696=$A27)*Uploaded_Data!$N$2:$N$59696)</f>
        <v>0</v>
      </c>
      <c r="V27" s="80" cm="1">
        <f t="array" ref="V27">SUMPRODUCT((Uploaded_Data!$D$2:$D$59696="Production Transfers")*(Uploaded_Data!$E$2:$E$59696="South Mine to Direct Pile (Bypass Crusher)")*(Uploaded_Data!$F$2:$F$59696="OB/CLAY")*(Uploaded_Data!$H$2:$H$59696=$A27)*Uploaded_Data!$N$2:$N$59696)</f>
        <v>0</v>
      </c>
      <c r="W27" s="80" cm="1">
        <f t="array" ref="W27">SUMPRODUCT((Uploaded_Data!$D$2:$D$59696="Production Transfers")*(Uploaded_Data!$E$2:$E$59696="South Mine to Stock Yard")*(Uploaded_Data!$F$2:$F$59696="OB/CLAY")*(Uploaded_Data!$H$2:$H$59696=$A27)*Uploaded_Data!$N$2:$N$59696)</f>
        <v>0</v>
      </c>
      <c r="X27" s="80" cm="1">
        <f t="array" ref="X27">SUMPRODUCT((Uploaded_Data!$D$2:$D$59696="Production Transfers")*(Uploaded_Data!$E$2:$E$59696="South Mine to Golani Waste dump")*(Uploaded_Data!$F$2:$F$59696="WASTE")*(Uploaded_Data!$H$2:$H$59696=$A27)*Uploaded_Data!$N$2:$N$59696)</f>
        <v>0</v>
      </c>
      <c r="Y27" s="80" cm="1">
        <f t="array" ref="Y27">SUMPRODUCT((Uploaded_Data!$D$2:$D$59696="Production Transfers")*(Uploaded_Data!$E$2:$E$59696="North Mine to Pile (through Crusher)")*(Uploaded_Data!$F$2:$F$59696="OB/CLAY")*(Uploaded_Data!$H$2:$H$59696=$A27)*Uploaded_Data!$N$2:$N$59696)</f>
        <v>0</v>
      </c>
      <c r="Z27" s="80" cm="1">
        <f t="array" ref="Z27">SUMPRODUCT((Uploaded_Data!$D$2:$D$59696="Production Transfers")*(Uploaded_Data!$E$2:$E$59696="North Mine to Direct Pile (Bypass Crusher)")*(Uploaded_Data!$F$2:$F$59696="OB/CLAY")*(Uploaded_Data!$H$2:$H$59696=$A27)*Uploaded_Data!$N$2:$N$59696)</f>
        <v>0</v>
      </c>
      <c r="AA27" s="80" cm="1">
        <f t="array" ref="AA27">SUMPRODUCT((Uploaded_Data!$D$2:$D$59696="Production Transfers")*(Uploaded_Data!$E$2:$E$59696="North Mine to Stock Yard")*(Uploaded_Data!$F$2:$F$59696="OB/CLAY")*(Uploaded_Data!$H$2:$H$59696=$A27)*Uploaded_Data!$N$2:$N$59696)</f>
        <v>0</v>
      </c>
      <c r="AB27" s="80" cm="1">
        <f t="array" ref="AB27">SUMPRODUCT((Uploaded_Data!$D$2:$D$59696="Production Transfers")*(Uploaded_Data!$E$2:$E$59696="North Mine to Golani Waste dump")*(Uploaded_Data!$F$2:$F$59696="WASTE")*(Uploaded_Data!$H$2:$H$59696=$A27)*Uploaded_Data!$N$2:$N$59696)</f>
        <v>0</v>
      </c>
      <c r="AC27" s="80" cm="1">
        <f t="array" ref="AC27">SUMPRODUCT((Uploaded_Data!$D$2:$D$59696="Internal Transfers")*(Uploaded_Data!$E$2:$E$59696="Stock Yard to Pile (through Crusher)")*(Uploaded_Data!$F$2:$F$59696="OB/CLAY")*(Uploaded_Data!$H$2:$H$59696=$A27)*Uploaded_Data!$N$2:$N$59696)</f>
        <v>0</v>
      </c>
      <c r="AD27" s="80" cm="1">
        <f t="array" ref="AD27">SUMPRODUCT((Uploaded_Data!$D$2:$D$59696="Internal Transfers")*(Uploaded_Data!$E$2:$E$59696="Stock Yard to Other Usages")*(Uploaded_Data!$F$2:$F$59696="OB/CLAY")*(Uploaded_Data!$H$2:$H$59696=$A27)*Uploaded_Data!$N$2:$N$59696)</f>
        <v>0</v>
      </c>
      <c r="AE27" s="80" cm="1">
        <f t="array" ref="AE27">SUMPRODUCT((Uploaded_Data!$D$2:$D$59696="Internal Transfers")*(Uploaded_Data!$E$2:$E$59696="Stock Yard to Direct Pile (Bypass Crusher)")*(Uploaded_Data!$F$2:$F$59696="OB/CLAY")*(Uploaded_Data!$H$2:$H$59696=$A27)*Uploaded_Data!$N$2:$N$59696)</f>
        <v>0</v>
      </c>
      <c r="AF27" s="80" cm="1">
        <f t="array" ref="AF27">SUMPRODUCT((Uploaded_Data!$D$2:$D$59696="Production Transfers")*(Uploaded_Data!$E$2:$E$59696="South Mine to Pile (through Crusher)")*(Uploaded_Data!$F$2:$F$59696="HGHMGO")*(Uploaded_Data!$H$2:$H$59696=$A27)*Uploaded_Data!$N$2:$N$59696)</f>
        <v>0</v>
      </c>
      <c r="AG27" s="80" cm="1">
        <f t="array" ref="AG27">SUMPRODUCT((Uploaded_Data!$D$2:$D$59696="Production Transfers")*(Uploaded_Data!$E$2:$E$59696="South Mine to Direct Pile (Bypass Crusher)")*(Uploaded_Data!$F$2:$F$59696="HGHMGO")*(Uploaded_Data!$H$2:$H$59696=$A27)*Uploaded_Data!$N$2:$N$59696)</f>
        <v>0</v>
      </c>
      <c r="AH27" s="80" cm="1">
        <f t="array" ref="AH27">SUMPRODUCT((Uploaded_Data!$D$2:$D$59696="Production Transfers")*(Uploaded_Data!$E$2:$E$59696="South Mine to Stock Yard")*(Uploaded_Data!$F$2:$F$59696="HGHMGO")*(Uploaded_Data!$H$2:$H$59696=$A27)*Uploaded_Data!$N$2:$N$59696)</f>
        <v>0</v>
      </c>
      <c r="AI27" s="80" cm="1">
        <f t="array" ref="AI27">SUMPRODUCT((Uploaded_Data!$D$2:$D$59696="Internal Transfers")*(Uploaded_Data!$E$2:$E$59696="Stock Yard to Pile (through Crusher)")*(Uploaded_Data!$F$2:$F$59696="HGHMGO")*(Uploaded_Data!$H$2:$H$59696=$A27)*Uploaded_Data!$N$2:$N$59696)</f>
        <v>0</v>
      </c>
      <c r="AJ27" s="80" cm="1">
        <f t="array" ref="AJ27">SUMPRODUCT((Uploaded_Data!$D$2:$D$59696="Production Transfers")*(Uploaded_Data!$E$2:$E$59696="South Mine to Pile (through Crusher)")*(Uploaded_Data!$F$2:$F$59696="LGHMGO")*(Uploaded_Data!$H$2:$H$59696=$A27)*Uploaded_Data!$N$2:$N$59696)</f>
        <v>0</v>
      </c>
      <c r="AK27" s="80" cm="1">
        <f t="array" ref="AK27">SUMPRODUCT((Uploaded_Data!$D$2:$D$59696="Production Transfers")*(Uploaded_Data!$E$2:$E$59696="South Mine to Direct Pile (Bypass Crusher)")*(Uploaded_Data!$F$2:$F$59696="LGHMGO")*(Uploaded_Data!$H$2:$H$59696=$A27)*Uploaded_Data!$N$2:$N$59696)</f>
        <v>0</v>
      </c>
      <c r="AL27" s="80" cm="1">
        <f t="array" ref="AL27">SUMPRODUCT((Uploaded_Data!$D$2:$D$59696="Production Transfers")*(Uploaded_Data!$E$2:$E$59696="South Mine to Stock Yard")*(Uploaded_Data!$F$2:$F$59696="LGHMGO")*(Uploaded_Data!$H$2:$H$59696=$A27)*Uploaded_Data!$N$2:$N$59696)</f>
        <v>0</v>
      </c>
      <c r="AM27" s="80" cm="1">
        <f t="array" ref="AM27">SUMPRODUCT((Uploaded_Data!$D$2:$D$59696="Internal Transfers")*(Uploaded_Data!$E$2:$E$59696="Stock Yard to Pile (through Crusher)")*(Uploaded_Data!$F$2:$F$59696="LGHMGO")*(Uploaded_Data!$H$2:$H$59696=$A27)*Uploaded_Data!$N$2:$N$59696)</f>
        <v>0</v>
      </c>
      <c r="AN27" s="103">
        <f t="shared" si="0"/>
        <v>0</v>
      </c>
      <c r="AO27" s="110"/>
      <c r="AP27" s="109" cm="1">
        <f t="array" ref="AP27">SUMPRODUCT((Uploaded_Data!$D$2:$D$59696="Internal Transfers")*(Uploaded_Data!$E$2:$E$59696="Stock Yard to Pile (through Crusher)")*(Uploaded_Data!$F$2:$F$59696="GYPSUM")*(Uploaded_Data!$H$2:$H$59696=$A27)*Uploaded_Data!$N$2:$N$59696)</f>
        <v>0</v>
      </c>
      <c r="AQ27" s="109" cm="1">
        <f t="array" ref="AQ27">SUMPRODUCT((Uploaded_Data!$D$2:$D$59696="Internal Transfers")*(Uploaded_Data!$E$2:$E$59696="Stock Yard to Direct Pile (Bypass Crusher)")*(Uploaded_Data!$F$2:$F$59696="GYPSUM")*(Uploaded_Data!$H$2:$H$59696=$A27)*Uploaded_Data!$N$2:$N$59696)</f>
        <v>0</v>
      </c>
      <c r="AR27" s="109" cm="1">
        <f t="array" ref="AR27">SUMPRODUCT((Uploaded_Data!$D$2:$D$59696="Internal Transfers")*(Uploaded_Data!$E$2:$E$59696="Stock Yard to Other Usages")*(Uploaded_Data!$F$2:$F$59696="ID Clay")*(Uploaded_Data!$H$2:$H$59696=$A27)*Uploaded_Data!$N$2:$N$59696)</f>
        <v>0</v>
      </c>
      <c r="AS27" s="109" cm="1">
        <f t="array" ref="AS27">SUMPRODUCT((Uploaded_Data!$D$2:$D$59696="Internal Transfers")*(Uploaded_Data!$E$2:$E$59696="Stock Yard to Direct Pile (Bypass Crusher)")*(Uploaded_Data!$F$2:$F$59696="ID Clay")*(Uploaded_Data!$H$2:$H$59696=$A27)*Uploaded_Data!$N$2:$N$59696)</f>
        <v>0</v>
      </c>
      <c r="AT27" s="109" cm="1">
        <f t="array" ref="AT27">SUMPRODUCT((Uploaded_Data!$D$2:$D$59696="Production Transfers")*(Uploaded_Data!$E$2:$E$59696="Kijaka Mine to Stock Yard")*(Uploaded_Data!$F$2:$F$59696="ID Clay")*(Uploaded_Data!$H$2:$H$59696=$A27)*Uploaded_Data!$N$2:$N$59696)</f>
        <v>0</v>
      </c>
      <c r="AU27" s="102">
        <f t="shared" si="1"/>
        <v>0</v>
      </c>
      <c r="AV27" s="109">
        <f t="shared" si="2"/>
        <v>0</v>
      </c>
      <c r="AW27" s="109"/>
      <c r="AX27" s="109"/>
      <c r="AY27" s="114"/>
      <c r="AZ27" s="110">
        <f t="shared" si="3"/>
        <v>0</v>
      </c>
      <c r="BA27" s="112">
        <f t="shared" si="4"/>
        <v>0</v>
      </c>
      <c r="BB27" s="110"/>
    </row>
    <row r="28" spans="1:54" s="63" customFormat="1">
      <c r="A28" s="79">
        <v>46136</v>
      </c>
      <c r="B28" s="80" cm="1">
        <f t="array" ref="B28">SUMPRODUCT((Uploaded_Data!$D$2:$D$59696="Production Transfers")*(Uploaded_Data!$E$2:$E$59696="South Mine to Pile (through Crusher)")*(Uploaded_Data!$F$2:$F$59696="HG")*(Uploaded_Data!$H$2:$H$59696=$A28)*Uploaded_Data!$N$2:$N$59696)</f>
        <v>0</v>
      </c>
      <c r="C28" s="80" cm="1">
        <f t="array" ref="C28">SUMPRODUCT((Uploaded_Data!$D$2:$D$59696="Production Transfers")*(Uploaded_Data!$E$2:$E$59696="South Mine to Direct Pile (Bypass Crusher)")*(Uploaded_Data!$F$2:$F$59696="HG")*(Uploaded_Data!$H$2:$H$59696=$A28)*Uploaded_Data!$N$2:$N$59696)</f>
        <v>0</v>
      </c>
      <c r="D28" s="80" cm="1">
        <f t="array" ref="D28">SUMPRODUCT((Uploaded_Data!$D$2:$D$59696="Production Transfers")*(Uploaded_Data!$E$2:$E$59696="South Mine to Stock Yard")*(Uploaded_Data!$F$2:$F$59696="HG")*(Uploaded_Data!$H$2:$H$59696=$A28)*Uploaded_Data!$N$2:$N$59696)</f>
        <v>0</v>
      </c>
      <c r="E28" s="80" cm="1">
        <f t="array" ref="E28">SUMPRODUCT((Uploaded_Data!$D$2:$D$59696="Production Transfers")*(Uploaded_Data!$E$2:$E$59696="North Mine to Pile (through Crusher)")*(Uploaded_Data!$F$2:$F$59696="HG")*(Uploaded_Data!$H$2:$H$59696=$A28)*Uploaded_Data!$N$2:$N$59696)</f>
        <v>0</v>
      </c>
      <c r="F28" s="80" cm="1">
        <f t="array" ref="F28">SUMPRODUCT((Uploaded_Data!$D$2:$D$59696="Production Transfers")*(Uploaded_Data!$E$2:$E$59696="North Mine to Direct Pile (Bypass Crusher)")*(Uploaded_Data!$F$2:$F$59696="HG")*(Uploaded_Data!$H$2:$H$59696=$A28)*Uploaded_Data!$N$2:$N$59696)</f>
        <v>0</v>
      </c>
      <c r="G28" s="80" cm="1">
        <f t="array" ref="G28">SUMPRODUCT((Uploaded_Data!$D$2:$D$59696="Production Transfers")*(Uploaded_Data!$E$2:$E$59696="North Mine to Stock Yard")*(Uploaded_Data!$F$2:$F$59696="HG")*(Uploaded_Data!$H$2:$H$59696=$A28)*Uploaded_Data!$N$2:$N$59696)</f>
        <v>0</v>
      </c>
      <c r="H28" s="80" cm="1">
        <f t="array" ref="H28">SUMPRODUCT((Uploaded_Data!$D$2:$D$59696="Internal Transfers")*(Uploaded_Data!$E$2:$E$59696="Stock Yard to Pile (through Crusher)")*(Uploaded_Data!$F$2:$F$59696="HG")*(Uploaded_Data!$H$2:$H$59696=$A28)*Uploaded_Data!$N$2:$N$59696)</f>
        <v>0</v>
      </c>
      <c r="I28" s="80" cm="1">
        <f t="array" ref="I28">SUMPRODUCT((Uploaded_Data!$D$2:$D$59696="Internal Transfers")*(Uploaded_Data!$E$2:$E$59696="Stock Yard to Direct Pile (Bypass Crusher)")*(Uploaded_Data!$F$2:$F$59696="HG")*(Uploaded_Data!$H$2:$H$59696=$A28)*Uploaded_Data!$N$2:$N$59696)</f>
        <v>0</v>
      </c>
      <c r="J28" s="80" cm="1">
        <f t="array" ref="J28">SUMPRODUCT((Uploaded_Data!$D$2:$D$59696="Production Transfers")*(Uploaded_Data!$E$2:$E$59696="South Mine to Pile (through Crusher)")*(Uploaded_Data!$F$2:$F$59696="LG1")*(Uploaded_Data!$H$2:$H$59696=$A28)*Uploaded_Data!$N$2:$N$59696)</f>
        <v>0</v>
      </c>
      <c r="K28" s="80" cm="1">
        <f t="array" ref="K28">SUMPRODUCT((Uploaded_Data!$D$2:$D$59696="Production Transfers")*(Uploaded_Data!$E$2:$E$59696="South Mine to Direct Pile (Bypass Crusher)")*(Uploaded_Data!$F$2:$F$59696="LG1")*(Uploaded_Data!$H$2:$H$59696=$A28)*Uploaded_Data!$N$2:$N$59696)</f>
        <v>0</v>
      </c>
      <c r="L28" s="80" cm="1">
        <f t="array" ref="L28">SUMPRODUCT((Uploaded_Data!$D$2:$D$59696="Production Transfers")*(Uploaded_Data!$E$2:$E$59696="South Mine to Stock Yard")*(Uploaded_Data!$F$2:$F$59696="LG1")*(Uploaded_Data!$H$2:$H$59696=$A28)*Uploaded_Data!$N$2:$N$59696)</f>
        <v>0</v>
      </c>
      <c r="M28" s="80" cm="1">
        <f t="array" ref="M28">SUMPRODUCT((Uploaded_Data!$D$2:$D$59696="Production Transfers")*(Uploaded_Data!$E$2:$E$59696="North Mine to Pile (through Crusher)")*(Uploaded_Data!$F$2:$F$59696="LG1")*(Uploaded_Data!$H$2:$H$59696=$A28)*Uploaded_Data!$N$2:$N$59696)</f>
        <v>0</v>
      </c>
      <c r="N28" s="80" cm="1">
        <f t="array" ref="N28">SUMPRODUCT((Uploaded_Data!$D$2:$D$59696="Production Transfers")*(Uploaded_Data!$E$2:$E$59696="North Mine to Direct Pile (Bypass Crusher)")*(Uploaded_Data!$F$2:$F$59696="LG1")*(Uploaded_Data!$H$2:$H$59696=$A28)*Uploaded_Data!$N$2:$N$59696)</f>
        <v>0</v>
      </c>
      <c r="O28" s="80" cm="1">
        <f t="array" ref="O28">SUMPRODUCT((Uploaded_Data!$D$2:$D$59696="Production Transfers")*(Uploaded_Data!$E$2:$E$59696="North Mine to Stock Yard")*(Uploaded_Data!$F$2:$F$59696="LG1")*(Uploaded_Data!$H$2:$H$59696=$A28)*Uploaded_Data!$N$2:$N$59696)</f>
        <v>0</v>
      </c>
      <c r="P28" s="80" cm="1">
        <f t="array" ref="P28">SUMPRODUCT((Uploaded_Data!$D$2:$D$59696="Internal Transfers")*(Uploaded_Data!$E$2:$E$59696="Stock Yard to Pile (through Crusher)")*(Uploaded_Data!$F$2:$F$59696="LG1")*(Uploaded_Data!$H$2:$H$59696=$A28)*Uploaded_Data!$N$2:$N$59696)</f>
        <v>0</v>
      </c>
      <c r="Q28" s="80" cm="1">
        <f t="array" ref="Q28">SUMPRODUCT((Uploaded_Data!$D$2:$D$59696="Internal Transfers")*(Uploaded_Data!$E$2:$E$59696="Stock Yard to Direct Pile (Bypass Crusher)")*(Uploaded_Data!$F$2:$F$59696="LG1")*(Uploaded_Data!$H$2:$H$59696=$A28)*Uploaded_Data!$N$2:$N$59696)</f>
        <v>0</v>
      </c>
      <c r="R28" s="80" cm="1">
        <f t="array" ref="R28">SUMPRODUCT((Uploaded_Data!$D$2:$D$59696="Internal Transfers")*(Uploaded_Data!$E$2:$E$59696="Stock Yard to Other Usages")*(Uploaded_Data!$F$2:$F$59696="LG1")*(Uploaded_Data!$H$2:$H$59696=$A28)*Uploaded_Data!$N$2:$N$59696)</f>
        <v>0</v>
      </c>
      <c r="S28" s="80" cm="1">
        <f t="array" ref="S28">SUMPRODUCT((Uploaded_Data!$D$2:$D$59696="Internal Transfers")*(Uploaded_Data!$E$2:$E$59696="Stock Yard to Pile (through Crusher)")*(Uploaded_Data!$F$2:$F$59696="LIMESTONE SPG")*(Uploaded_Data!$H$2:$H$59696=$A28)*Uploaded_Data!$N$2:$N$59696)</f>
        <v>0</v>
      </c>
      <c r="T28" s="80" cm="1">
        <f t="array" ref="T28">SUMPRODUCT((Uploaded_Data!$D$2:$D$59696="Internal Transfers")*(Uploaded_Data!$E$2:$E$59696="Stock Yard to Direct Pile (Bypass Crusher)")*(Uploaded_Data!$F$2:$F$59696="LIMESTONE SPG")*(Uploaded_Data!$H$2:$H$59696=$A28)*Uploaded_Data!$N$2:$N$59696)</f>
        <v>0</v>
      </c>
      <c r="U28" s="80" cm="1">
        <f t="array" ref="U28">SUMPRODUCT((Uploaded_Data!$D$2:$D$59696="Production Transfers")*(Uploaded_Data!$E$2:$E$59696="South Mine to Pile (through Crusher)")*(Uploaded_Data!$F$2:$F$59696="OB/CLAY")*(Uploaded_Data!$H$2:$H$59696=$A28)*Uploaded_Data!$N$2:$N$59696)</f>
        <v>0</v>
      </c>
      <c r="V28" s="80" cm="1">
        <f t="array" ref="V28">SUMPRODUCT((Uploaded_Data!$D$2:$D$59696="Production Transfers")*(Uploaded_Data!$E$2:$E$59696="South Mine to Direct Pile (Bypass Crusher)")*(Uploaded_Data!$F$2:$F$59696="OB/CLAY")*(Uploaded_Data!$H$2:$H$59696=$A28)*Uploaded_Data!$N$2:$N$59696)</f>
        <v>0</v>
      </c>
      <c r="W28" s="80" cm="1">
        <f t="array" ref="W28">SUMPRODUCT((Uploaded_Data!$D$2:$D$59696="Production Transfers")*(Uploaded_Data!$E$2:$E$59696="South Mine to Stock Yard")*(Uploaded_Data!$F$2:$F$59696="OB/CLAY")*(Uploaded_Data!$H$2:$H$59696=$A28)*Uploaded_Data!$N$2:$N$59696)</f>
        <v>0</v>
      </c>
      <c r="X28" s="80" cm="1">
        <f t="array" ref="X28">SUMPRODUCT((Uploaded_Data!$D$2:$D$59696="Production Transfers")*(Uploaded_Data!$E$2:$E$59696="South Mine to Golani Waste dump")*(Uploaded_Data!$F$2:$F$59696="WASTE")*(Uploaded_Data!$H$2:$H$59696=$A28)*Uploaded_Data!$N$2:$N$59696)</f>
        <v>0</v>
      </c>
      <c r="Y28" s="80" cm="1">
        <f t="array" ref="Y28">SUMPRODUCT((Uploaded_Data!$D$2:$D$59696="Production Transfers")*(Uploaded_Data!$E$2:$E$59696="North Mine to Pile (through Crusher)")*(Uploaded_Data!$F$2:$F$59696="OB/CLAY")*(Uploaded_Data!$H$2:$H$59696=$A28)*Uploaded_Data!$N$2:$N$59696)</f>
        <v>0</v>
      </c>
      <c r="Z28" s="80" cm="1">
        <f t="array" ref="Z28">SUMPRODUCT((Uploaded_Data!$D$2:$D$59696="Production Transfers")*(Uploaded_Data!$E$2:$E$59696="North Mine to Direct Pile (Bypass Crusher)")*(Uploaded_Data!$F$2:$F$59696="OB/CLAY")*(Uploaded_Data!$H$2:$H$59696=$A28)*Uploaded_Data!$N$2:$N$59696)</f>
        <v>0</v>
      </c>
      <c r="AA28" s="80" cm="1">
        <f t="array" ref="AA28">SUMPRODUCT((Uploaded_Data!$D$2:$D$59696="Production Transfers")*(Uploaded_Data!$E$2:$E$59696="North Mine to Stock Yard")*(Uploaded_Data!$F$2:$F$59696="OB/CLAY")*(Uploaded_Data!$H$2:$H$59696=$A28)*Uploaded_Data!$N$2:$N$59696)</f>
        <v>0</v>
      </c>
      <c r="AB28" s="80" cm="1">
        <f t="array" ref="AB28">SUMPRODUCT((Uploaded_Data!$D$2:$D$59696="Production Transfers")*(Uploaded_Data!$E$2:$E$59696="North Mine to Golani Waste dump")*(Uploaded_Data!$F$2:$F$59696="WASTE")*(Uploaded_Data!$H$2:$H$59696=$A28)*Uploaded_Data!$N$2:$N$59696)</f>
        <v>0</v>
      </c>
      <c r="AC28" s="80" cm="1">
        <f t="array" ref="AC28">SUMPRODUCT((Uploaded_Data!$D$2:$D$59696="Internal Transfers")*(Uploaded_Data!$E$2:$E$59696="Stock Yard to Pile (through Crusher)")*(Uploaded_Data!$F$2:$F$59696="OB/CLAY")*(Uploaded_Data!$H$2:$H$59696=$A28)*Uploaded_Data!$N$2:$N$59696)</f>
        <v>0</v>
      </c>
      <c r="AD28" s="80" cm="1">
        <f t="array" ref="AD28">SUMPRODUCT((Uploaded_Data!$D$2:$D$59696="Internal Transfers")*(Uploaded_Data!$E$2:$E$59696="Stock Yard to Other Usages")*(Uploaded_Data!$F$2:$F$59696="OB/CLAY")*(Uploaded_Data!$H$2:$H$59696=$A28)*Uploaded_Data!$N$2:$N$59696)</f>
        <v>0</v>
      </c>
      <c r="AE28" s="80" cm="1">
        <f t="array" ref="AE28">SUMPRODUCT((Uploaded_Data!$D$2:$D$59696="Internal Transfers")*(Uploaded_Data!$E$2:$E$59696="Stock Yard to Direct Pile (Bypass Crusher)")*(Uploaded_Data!$F$2:$F$59696="OB/CLAY")*(Uploaded_Data!$H$2:$H$59696=$A28)*Uploaded_Data!$N$2:$N$59696)</f>
        <v>0</v>
      </c>
      <c r="AF28" s="80" cm="1">
        <f t="array" ref="AF28">SUMPRODUCT((Uploaded_Data!$D$2:$D$59696="Production Transfers")*(Uploaded_Data!$E$2:$E$59696="South Mine to Pile (through Crusher)")*(Uploaded_Data!$F$2:$F$59696="HGHMGO")*(Uploaded_Data!$H$2:$H$59696=$A28)*Uploaded_Data!$N$2:$N$59696)</f>
        <v>0</v>
      </c>
      <c r="AG28" s="80" cm="1">
        <f t="array" ref="AG28">SUMPRODUCT((Uploaded_Data!$D$2:$D$59696="Production Transfers")*(Uploaded_Data!$E$2:$E$59696="South Mine to Direct Pile (Bypass Crusher)")*(Uploaded_Data!$F$2:$F$59696="HGHMGO")*(Uploaded_Data!$H$2:$H$59696=$A28)*Uploaded_Data!$N$2:$N$59696)</f>
        <v>0</v>
      </c>
      <c r="AH28" s="80" cm="1">
        <f t="array" ref="AH28">SUMPRODUCT((Uploaded_Data!$D$2:$D$59696="Production Transfers")*(Uploaded_Data!$E$2:$E$59696="South Mine to Stock Yard")*(Uploaded_Data!$F$2:$F$59696="HGHMGO")*(Uploaded_Data!$H$2:$H$59696=$A28)*Uploaded_Data!$N$2:$N$59696)</f>
        <v>0</v>
      </c>
      <c r="AI28" s="80" cm="1">
        <f t="array" ref="AI28">SUMPRODUCT((Uploaded_Data!$D$2:$D$59696="Internal Transfers")*(Uploaded_Data!$E$2:$E$59696="Stock Yard to Pile (through Crusher)")*(Uploaded_Data!$F$2:$F$59696="HGHMGO")*(Uploaded_Data!$H$2:$H$59696=$A28)*Uploaded_Data!$N$2:$N$59696)</f>
        <v>0</v>
      </c>
      <c r="AJ28" s="80" cm="1">
        <f t="array" ref="AJ28">SUMPRODUCT((Uploaded_Data!$D$2:$D$59696="Production Transfers")*(Uploaded_Data!$E$2:$E$59696="South Mine to Pile (through Crusher)")*(Uploaded_Data!$F$2:$F$59696="LGHMGO")*(Uploaded_Data!$H$2:$H$59696=$A28)*Uploaded_Data!$N$2:$N$59696)</f>
        <v>0</v>
      </c>
      <c r="AK28" s="80" cm="1">
        <f t="array" ref="AK28">SUMPRODUCT((Uploaded_Data!$D$2:$D$59696="Production Transfers")*(Uploaded_Data!$E$2:$E$59696="South Mine to Direct Pile (Bypass Crusher)")*(Uploaded_Data!$F$2:$F$59696="LGHMGO")*(Uploaded_Data!$H$2:$H$59696=$A28)*Uploaded_Data!$N$2:$N$59696)</f>
        <v>0</v>
      </c>
      <c r="AL28" s="80" cm="1">
        <f t="array" ref="AL28">SUMPRODUCT((Uploaded_Data!$D$2:$D$59696="Production Transfers")*(Uploaded_Data!$E$2:$E$59696="South Mine to Stock Yard")*(Uploaded_Data!$F$2:$F$59696="LGHMGO")*(Uploaded_Data!$H$2:$H$59696=$A28)*Uploaded_Data!$N$2:$N$59696)</f>
        <v>0</v>
      </c>
      <c r="AM28" s="80" cm="1">
        <f t="array" ref="AM28">SUMPRODUCT((Uploaded_Data!$D$2:$D$59696="Internal Transfers")*(Uploaded_Data!$E$2:$E$59696="Stock Yard to Pile (through Crusher)")*(Uploaded_Data!$F$2:$F$59696="LGHMGO")*(Uploaded_Data!$H$2:$H$59696=$A28)*Uploaded_Data!$N$2:$N$59696)</f>
        <v>0</v>
      </c>
      <c r="AN28" s="103">
        <f t="shared" si="0"/>
        <v>0</v>
      </c>
      <c r="AO28" s="110"/>
      <c r="AP28" s="109" cm="1">
        <f t="array" ref="AP28">SUMPRODUCT((Uploaded_Data!$D$2:$D$59696="Internal Transfers")*(Uploaded_Data!$E$2:$E$59696="Stock Yard to Pile (through Crusher)")*(Uploaded_Data!$F$2:$F$59696="GYPSUM")*(Uploaded_Data!$H$2:$H$59696=$A28)*Uploaded_Data!$N$2:$N$59696)</f>
        <v>0</v>
      </c>
      <c r="AQ28" s="109" cm="1">
        <f t="array" ref="AQ28">SUMPRODUCT((Uploaded_Data!$D$2:$D$59696="Internal Transfers")*(Uploaded_Data!$E$2:$E$59696="Stock Yard to Direct Pile (Bypass Crusher)")*(Uploaded_Data!$F$2:$F$59696="GYPSUM")*(Uploaded_Data!$H$2:$H$59696=$A28)*Uploaded_Data!$N$2:$N$59696)</f>
        <v>0</v>
      </c>
      <c r="AR28" s="109" cm="1">
        <f t="array" ref="AR28">SUMPRODUCT((Uploaded_Data!$D$2:$D$59696="Internal Transfers")*(Uploaded_Data!$E$2:$E$59696="Stock Yard to Other Usages")*(Uploaded_Data!$F$2:$F$59696="ID Clay")*(Uploaded_Data!$H$2:$H$59696=$A28)*Uploaded_Data!$N$2:$N$59696)</f>
        <v>0</v>
      </c>
      <c r="AS28" s="109" cm="1">
        <f t="array" ref="AS28">SUMPRODUCT((Uploaded_Data!$D$2:$D$59696="Internal Transfers")*(Uploaded_Data!$E$2:$E$59696="Stock Yard to Direct Pile (Bypass Crusher)")*(Uploaded_Data!$F$2:$F$59696="ID Clay")*(Uploaded_Data!$H$2:$H$59696=$A28)*Uploaded_Data!$N$2:$N$59696)</f>
        <v>0</v>
      </c>
      <c r="AT28" s="109" cm="1">
        <f t="array" ref="AT28">SUMPRODUCT((Uploaded_Data!$D$2:$D$59696="Production Transfers")*(Uploaded_Data!$E$2:$E$59696="Kijaka Mine to Stock Yard")*(Uploaded_Data!$F$2:$F$59696="ID Clay")*(Uploaded_Data!$H$2:$H$59696=$A28)*Uploaded_Data!$N$2:$N$59696)</f>
        <v>0</v>
      </c>
      <c r="AU28" s="102">
        <f t="shared" si="1"/>
        <v>0</v>
      </c>
      <c r="AV28" s="109">
        <f t="shared" si="2"/>
        <v>0</v>
      </c>
      <c r="AW28" s="109"/>
      <c r="AX28" s="109"/>
      <c r="AY28" s="114"/>
      <c r="AZ28" s="110">
        <f t="shared" si="3"/>
        <v>0</v>
      </c>
      <c r="BA28" s="112">
        <f t="shared" si="4"/>
        <v>0</v>
      </c>
      <c r="BB28" s="110"/>
    </row>
    <row r="29" spans="1:54">
      <c r="A29" s="79">
        <v>46137</v>
      </c>
      <c r="B29" s="80" cm="1">
        <f t="array" ref="B29">SUMPRODUCT((Uploaded_Data!$D$2:$D$59696="Production Transfers")*(Uploaded_Data!$E$2:$E$59696="South Mine to Pile (through Crusher)")*(Uploaded_Data!$F$2:$F$59696="HG")*(Uploaded_Data!$H$2:$H$59696=$A29)*Uploaded_Data!$N$2:$N$59696)</f>
        <v>0</v>
      </c>
      <c r="C29" s="80" cm="1">
        <f t="array" ref="C29">SUMPRODUCT((Uploaded_Data!$D$2:$D$59696="Production Transfers")*(Uploaded_Data!$E$2:$E$59696="South Mine to Direct Pile (Bypass Crusher)")*(Uploaded_Data!$F$2:$F$59696="HG")*(Uploaded_Data!$H$2:$H$59696=$A29)*Uploaded_Data!$N$2:$N$59696)</f>
        <v>0</v>
      </c>
      <c r="D29" s="80" cm="1">
        <f t="array" ref="D29">SUMPRODUCT((Uploaded_Data!$D$2:$D$59696="Production Transfers")*(Uploaded_Data!$E$2:$E$59696="South Mine to Stock Yard")*(Uploaded_Data!$F$2:$F$59696="HG")*(Uploaded_Data!$H$2:$H$59696=$A29)*Uploaded_Data!$N$2:$N$59696)</f>
        <v>0</v>
      </c>
      <c r="E29" s="80" cm="1">
        <f t="array" ref="E29">SUMPRODUCT((Uploaded_Data!$D$2:$D$59696="Production Transfers")*(Uploaded_Data!$E$2:$E$59696="North Mine to Pile (through Crusher)")*(Uploaded_Data!$F$2:$F$59696="HG")*(Uploaded_Data!$H$2:$H$59696=$A29)*Uploaded_Data!$N$2:$N$59696)</f>
        <v>0</v>
      </c>
      <c r="F29" s="80" cm="1">
        <f t="array" ref="F29">SUMPRODUCT((Uploaded_Data!$D$2:$D$59696="Production Transfers")*(Uploaded_Data!$E$2:$E$59696="North Mine to Direct Pile (Bypass Crusher)")*(Uploaded_Data!$F$2:$F$59696="HG")*(Uploaded_Data!$H$2:$H$59696=$A29)*Uploaded_Data!$N$2:$N$59696)</f>
        <v>0</v>
      </c>
      <c r="G29" s="80" cm="1">
        <f t="array" ref="G29">SUMPRODUCT((Uploaded_Data!$D$2:$D$59696="Production Transfers")*(Uploaded_Data!$E$2:$E$59696="North Mine to Stock Yard")*(Uploaded_Data!$F$2:$F$59696="HG")*(Uploaded_Data!$H$2:$H$59696=$A29)*Uploaded_Data!$N$2:$N$59696)</f>
        <v>0</v>
      </c>
      <c r="H29" s="80" cm="1">
        <f t="array" ref="H29">SUMPRODUCT((Uploaded_Data!$D$2:$D$59696="Internal Transfers")*(Uploaded_Data!$E$2:$E$59696="Stock Yard to Pile (through Crusher)")*(Uploaded_Data!$F$2:$F$59696="HG")*(Uploaded_Data!$H$2:$H$59696=$A29)*Uploaded_Data!$N$2:$N$59696)</f>
        <v>0</v>
      </c>
      <c r="I29" s="80" cm="1">
        <f t="array" ref="I29">SUMPRODUCT((Uploaded_Data!$D$2:$D$59696="Internal Transfers")*(Uploaded_Data!$E$2:$E$59696="Stock Yard to Direct Pile (Bypass Crusher)")*(Uploaded_Data!$F$2:$F$59696="HG")*(Uploaded_Data!$H$2:$H$59696=$A29)*Uploaded_Data!$N$2:$N$59696)</f>
        <v>0</v>
      </c>
      <c r="J29" s="80" cm="1">
        <f t="array" ref="J29">SUMPRODUCT((Uploaded_Data!$D$2:$D$59696="Production Transfers")*(Uploaded_Data!$E$2:$E$59696="South Mine to Pile (through Crusher)")*(Uploaded_Data!$F$2:$F$59696="LG1")*(Uploaded_Data!$H$2:$H$59696=$A29)*Uploaded_Data!$N$2:$N$59696)</f>
        <v>0</v>
      </c>
      <c r="K29" s="80" cm="1">
        <f t="array" ref="K29">SUMPRODUCT((Uploaded_Data!$D$2:$D$59696="Production Transfers")*(Uploaded_Data!$E$2:$E$59696="South Mine to Direct Pile (Bypass Crusher)")*(Uploaded_Data!$F$2:$F$59696="LG1")*(Uploaded_Data!$H$2:$H$59696=$A29)*Uploaded_Data!$N$2:$N$59696)</f>
        <v>0</v>
      </c>
      <c r="L29" s="80" cm="1">
        <f t="array" ref="L29">SUMPRODUCT((Uploaded_Data!$D$2:$D$59696="Production Transfers")*(Uploaded_Data!$E$2:$E$59696="South Mine to Stock Yard")*(Uploaded_Data!$F$2:$F$59696="LG1")*(Uploaded_Data!$H$2:$H$59696=$A29)*Uploaded_Data!$N$2:$N$59696)</f>
        <v>0</v>
      </c>
      <c r="M29" s="80" cm="1">
        <f t="array" ref="M29">SUMPRODUCT((Uploaded_Data!$D$2:$D$59696="Production Transfers")*(Uploaded_Data!$E$2:$E$59696="North Mine to Pile (through Crusher)")*(Uploaded_Data!$F$2:$F$59696="LG1")*(Uploaded_Data!$H$2:$H$59696=$A29)*Uploaded_Data!$N$2:$N$59696)</f>
        <v>0</v>
      </c>
      <c r="N29" s="80" cm="1">
        <f t="array" ref="N29">SUMPRODUCT((Uploaded_Data!$D$2:$D$59696="Production Transfers")*(Uploaded_Data!$E$2:$E$59696="North Mine to Direct Pile (Bypass Crusher)")*(Uploaded_Data!$F$2:$F$59696="LG1")*(Uploaded_Data!$H$2:$H$59696=$A29)*Uploaded_Data!$N$2:$N$59696)</f>
        <v>0</v>
      </c>
      <c r="O29" s="80" cm="1">
        <f t="array" ref="O29">SUMPRODUCT((Uploaded_Data!$D$2:$D$59696="Production Transfers")*(Uploaded_Data!$E$2:$E$59696="North Mine to Stock Yard")*(Uploaded_Data!$F$2:$F$59696="LG1")*(Uploaded_Data!$H$2:$H$59696=$A29)*Uploaded_Data!$N$2:$N$59696)</f>
        <v>0</v>
      </c>
      <c r="P29" s="80" cm="1">
        <f t="array" ref="P29">SUMPRODUCT((Uploaded_Data!$D$2:$D$59696="Internal Transfers")*(Uploaded_Data!$E$2:$E$59696="Stock Yard to Pile (through Crusher)")*(Uploaded_Data!$F$2:$F$59696="LG1")*(Uploaded_Data!$H$2:$H$59696=$A29)*Uploaded_Data!$N$2:$N$59696)</f>
        <v>0</v>
      </c>
      <c r="Q29" s="80" cm="1">
        <f t="array" ref="Q29">SUMPRODUCT((Uploaded_Data!$D$2:$D$59696="Internal Transfers")*(Uploaded_Data!$E$2:$E$59696="Stock Yard to Direct Pile (Bypass Crusher)")*(Uploaded_Data!$F$2:$F$59696="LG1")*(Uploaded_Data!$H$2:$H$59696=$A29)*Uploaded_Data!$N$2:$N$59696)</f>
        <v>0</v>
      </c>
      <c r="R29" s="80" cm="1">
        <f t="array" ref="R29">SUMPRODUCT((Uploaded_Data!$D$2:$D$59696="Internal Transfers")*(Uploaded_Data!$E$2:$E$59696="Stock Yard to Other Usages")*(Uploaded_Data!$F$2:$F$59696="LG1")*(Uploaded_Data!$H$2:$H$59696=$A29)*Uploaded_Data!$N$2:$N$59696)</f>
        <v>0</v>
      </c>
      <c r="S29" s="80" cm="1">
        <f t="array" ref="S29">SUMPRODUCT((Uploaded_Data!$D$2:$D$59696="Internal Transfers")*(Uploaded_Data!$E$2:$E$59696="Stock Yard to Pile (through Crusher)")*(Uploaded_Data!$F$2:$F$59696="LIMESTONE SPG")*(Uploaded_Data!$H$2:$H$59696=$A29)*Uploaded_Data!$N$2:$N$59696)</f>
        <v>0</v>
      </c>
      <c r="T29" s="80" cm="1">
        <f t="array" ref="T29">SUMPRODUCT((Uploaded_Data!$D$2:$D$59696="Internal Transfers")*(Uploaded_Data!$E$2:$E$59696="Stock Yard to Direct Pile (Bypass Crusher)")*(Uploaded_Data!$F$2:$F$59696="LIMESTONE SPG")*(Uploaded_Data!$H$2:$H$59696=$A29)*Uploaded_Data!$N$2:$N$59696)</f>
        <v>0</v>
      </c>
      <c r="U29" s="80" cm="1">
        <f t="array" ref="U29">SUMPRODUCT((Uploaded_Data!$D$2:$D$59696="Production Transfers")*(Uploaded_Data!$E$2:$E$59696="South Mine to Pile (through Crusher)")*(Uploaded_Data!$F$2:$F$59696="OB/CLAY")*(Uploaded_Data!$H$2:$H$59696=$A29)*Uploaded_Data!$N$2:$N$59696)</f>
        <v>0</v>
      </c>
      <c r="V29" s="80" cm="1">
        <f t="array" ref="V29">SUMPRODUCT((Uploaded_Data!$D$2:$D$59696="Production Transfers")*(Uploaded_Data!$E$2:$E$59696="South Mine to Direct Pile (Bypass Crusher)")*(Uploaded_Data!$F$2:$F$59696="OB/CLAY")*(Uploaded_Data!$H$2:$H$59696=$A29)*Uploaded_Data!$N$2:$N$59696)</f>
        <v>0</v>
      </c>
      <c r="W29" s="80" cm="1">
        <f t="array" ref="W29">SUMPRODUCT((Uploaded_Data!$D$2:$D$59696="Production Transfers")*(Uploaded_Data!$E$2:$E$59696="South Mine to Stock Yard")*(Uploaded_Data!$F$2:$F$59696="OB/CLAY")*(Uploaded_Data!$H$2:$H$59696=$A29)*Uploaded_Data!$N$2:$N$59696)</f>
        <v>0</v>
      </c>
      <c r="X29" s="80" cm="1">
        <f t="array" ref="X29">SUMPRODUCT((Uploaded_Data!$D$2:$D$59696="Production Transfers")*(Uploaded_Data!$E$2:$E$59696="South Mine to Golani Waste dump")*(Uploaded_Data!$F$2:$F$59696="WASTE")*(Uploaded_Data!$H$2:$H$59696=$A29)*Uploaded_Data!$N$2:$N$59696)</f>
        <v>0</v>
      </c>
      <c r="Y29" s="80" cm="1">
        <f t="array" ref="Y29">SUMPRODUCT((Uploaded_Data!$D$2:$D$59696="Production Transfers")*(Uploaded_Data!$E$2:$E$59696="North Mine to Pile (through Crusher)")*(Uploaded_Data!$F$2:$F$59696="OB/CLAY")*(Uploaded_Data!$H$2:$H$59696=$A29)*Uploaded_Data!$N$2:$N$59696)</f>
        <v>0</v>
      </c>
      <c r="Z29" s="80" cm="1">
        <f t="array" ref="Z29">SUMPRODUCT((Uploaded_Data!$D$2:$D$59696="Production Transfers")*(Uploaded_Data!$E$2:$E$59696="North Mine to Direct Pile (Bypass Crusher)")*(Uploaded_Data!$F$2:$F$59696="OB/CLAY")*(Uploaded_Data!$H$2:$H$59696=$A29)*Uploaded_Data!$N$2:$N$59696)</f>
        <v>0</v>
      </c>
      <c r="AA29" s="80" cm="1">
        <f t="array" ref="AA29">SUMPRODUCT((Uploaded_Data!$D$2:$D$59696="Production Transfers")*(Uploaded_Data!$E$2:$E$59696="North Mine to Stock Yard")*(Uploaded_Data!$F$2:$F$59696="OB/CLAY")*(Uploaded_Data!$H$2:$H$59696=$A29)*Uploaded_Data!$N$2:$N$59696)</f>
        <v>0</v>
      </c>
      <c r="AB29" s="80" cm="1">
        <f t="array" ref="AB29">SUMPRODUCT((Uploaded_Data!$D$2:$D$59696="Production Transfers")*(Uploaded_Data!$E$2:$E$59696="North Mine to Golani Waste dump")*(Uploaded_Data!$F$2:$F$59696="WASTE")*(Uploaded_Data!$H$2:$H$59696=$A29)*Uploaded_Data!$N$2:$N$59696)</f>
        <v>0</v>
      </c>
      <c r="AC29" s="80" cm="1">
        <f t="array" ref="AC29">SUMPRODUCT((Uploaded_Data!$D$2:$D$59696="Internal Transfers")*(Uploaded_Data!$E$2:$E$59696="Stock Yard to Pile (through Crusher)")*(Uploaded_Data!$F$2:$F$59696="OB/CLAY")*(Uploaded_Data!$H$2:$H$59696=$A29)*Uploaded_Data!$N$2:$N$59696)</f>
        <v>0</v>
      </c>
      <c r="AD29" s="80" cm="1">
        <f t="array" ref="AD29">SUMPRODUCT((Uploaded_Data!$D$2:$D$59696="Internal Transfers")*(Uploaded_Data!$E$2:$E$59696="Stock Yard to Other Usages")*(Uploaded_Data!$F$2:$F$59696="OB/CLAY")*(Uploaded_Data!$H$2:$H$59696=$A29)*Uploaded_Data!$N$2:$N$59696)</f>
        <v>0</v>
      </c>
      <c r="AE29" s="80" cm="1">
        <f t="array" ref="AE29">SUMPRODUCT((Uploaded_Data!$D$2:$D$59696="Internal Transfers")*(Uploaded_Data!$E$2:$E$59696="Stock Yard to Direct Pile (Bypass Crusher)")*(Uploaded_Data!$F$2:$F$59696="OB/CLAY")*(Uploaded_Data!$H$2:$H$59696=$A29)*Uploaded_Data!$N$2:$N$59696)</f>
        <v>0</v>
      </c>
      <c r="AF29" s="80" cm="1">
        <f t="array" ref="AF29">SUMPRODUCT((Uploaded_Data!$D$2:$D$59696="Production Transfers")*(Uploaded_Data!$E$2:$E$59696="South Mine to Pile (through Crusher)")*(Uploaded_Data!$F$2:$F$59696="HGHMGO")*(Uploaded_Data!$H$2:$H$59696=$A29)*Uploaded_Data!$N$2:$N$59696)</f>
        <v>0</v>
      </c>
      <c r="AG29" s="80" cm="1">
        <f t="array" ref="AG29">SUMPRODUCT((Uploaded_Data!$D$2:$D$59696="Production Transfers")*(Uploaded_Data!$E$2:$E$59696="South Mine to Direct Pile (Bypass Crusher)")*(Uploaded_Data!$F$2:$F$59696="HGHMGO")*(Uploaded_Data!$H$2:$H$59696=$A29)*Uploaded_Data!$N$2:$N$59696)</f>
        <v>0</v>
      </c>
      <c r="AH29" s="80" cm="1">
        <f t="array" ref="AH29">SUMPRODUCT((Uploaded_Data!$D$2:$D$59696="Production Transfers")*(Uploaded_Data!$E$2:$E$59696="South Mine to Stock Yard")*(Uploaded_Data!$F$2:$F$59696="HGHMGO")*(Uploaded_Data!$H$2:$H$59696=$A29)*Uploaded_Data!$N$2:$N$59696)</f>
        <v>0</v>
      </c>
      <c r="AI29" s="80" cm="1">
        <f t="array" ref="AI29">SUMPRODUCT((Uploaded_Data!$D$2:$D$59696="Internal Transfers")*(Uploaded_Data!$E$2:$E$59696="Stock Yard to Pile (through Crusher)")*(Uploaded_Data!$F$2:$F$59696="HGHMGO")*(Uploaded_Data!$H$2:$H$59696=$A29)*Uploaded_Data!$N$2:$N$59696)</f>
        <v>0</v>
      </c>
      <c r="AJ29" s="80" cm="1">
        <f t="array" ref="AJ29">SUMPRODUCT((Uploaded_Data!$D$2:$D$59696="Production Transfers")*(Uploaded_Data!$E$2:$E$59696="South Mine to Pile (through Crusher)")*(Uploaded_Data!$F$2:$F$59696="LGHMGO")*(Uploaded_Data!$H$2:$H$59696=$A29)*Uploaded_Data!$N$2:$N$59696)</f>
        <v>0</v>
      </c>
      <c r="AK29" s="80" cm="1">
        <f t="array" ref="AK29">SUMPRODUCT((Uploaded_Data!$D$2:$D$59696="Production Transfers")*(Uploaded_Data!$E$2:$E$59696="South Mine to Direct Pile (Bypass Crusher)")*(Uploaded_Data!$F$2:$F$59696="LGHMGO")*(Uploaded_Data!$H$2:$H$59696=$A29)*Uploaded_Data!$N$2:$N$59696)</f>
        <v>0</v>
      </c>
      <c r="AL29" s="80" cm="1">
        <f t="array" ref="AL29">SUMPRODUCT((Uploaded_Data!$D$2:$D$59696="Production Transfers")*(Uploaded_Data!$E$2:$E$59696="South Mine to Stock Yard")*(Uploaded_Data!$F$2:$F$59696="LGHMGO")*(Uploaded_Data!$H$2:$H$59696=$A29)*Uploaded_Data!$N$2:$N$59696)</f>
        <v>0</v>
      </c>
      <c r="AM29" s="80" cm="1">
        <f t="array" ref="AM29">SUMPRODUCT((Uploaded_Data!$D$2:$D$59696="Internal Transfers")*(Uploaded_Data!$E$2:$E$59696="Stock Yard to Pile (through Crusher)")*(Uploaded_Data!$F$2:$F$59696="LGHMGO")*(Uploaded_Data!$H$2:$H$59696=$A29)*Uploaded_Data!$N$2:$N$59696)</f>
        <v>0</v>
      </c>
      <c r="AN29" s="103">
        <f t="shared" si="0"/>
        <v>0</v>
      </c>
      <c r="AO29" s="111"/>
      <c r="AP29" s="109" cm="1">
        <f t="array" ref="AP29">SUMPRODUCT((Uploaded_Data!$D$2:$D$59696="Internal Transfers")*(Uploaded_Data!$E$2:$E$59696="Stock Yard to Pile (through Crusher)")*(Uploaded_Data!$F$2:$F$59696="GYPSUM")*(Uploaded_Data!$H$2:$H$59696=$A29)*Uploaded_Data!$N$2:$N$59696)</f>
        <v>0</v>
      </c>
      <c r="AQ29" s="109" cm="1">
        <f t="array" ref="AQ29">SUMPRODUCT((Uploaded_Data!$D$2:$D$59696="Internal Transfers")*(Uploaded_Data!$E$2:$E$59696="Stock Yard to Direct Pile (Bypass Crusher)")*(Uploaded_Data!$F$2:$F$59696="GYPSUM")*(Uploaded_Data!$H$2:$H$59696=$A29)*Uploaded_Data!$N$2:$N$59696)</f>
        <v>0</v>
      </c>
      <c r="AR29" s="109" cm="1">
        <f t="array" ref="AR29">SUMPRODUCT((Uploaded_Data!$D$2:$D$59696="Internal Transfers")*(Uploaded_Data!$E$2:$E$59696="Stock Yard to Other Usages")*(Uploaded_Data!$F$2:$F$59696="ID Clay")*(Uploaded_Data!$H$2:$H$59696=$A29)*Uploaded_Data!$N$2:$N$59696)</f>
        <v>0</v>
      </c>
      <c r="AS29" s="109" cm="1">
        <f t="array" ref="AS29">SUMPRODUCT((Uploaded_Data!$D$2:$D$59696="Internal Transfers")*(Uploaded_Data!$E$2:$E$59696="Stock Yard to Direct Pile (Bypass Crusher)")*(Uploaded_Data!$F$2:$F$59696="ID Clay")*(Uploaded_Data!$H$2:$H$59696=$A29)*Uploaded_Data!$N$2:$N$59696)</f>
        <v>0</v>
      </c>
      <c r="AT29" s="109" cm="1">
        <f t="array" ref="AT29">SUMPRODUCT((Uploaded_Data!$D$2:$D$59696="Production Transfers")*(Uploaded_Data!$E$2:$E$59696="Kijaka Mine to Stock Yard")*(Uploaded_Data!$F$2:$F$59696="ID Clay")*(Uploaded_Data!$H$2:$H$59696=$A29)*Uploaded_Data!$N$2:$N$59696)</f>
        <v>0</v>
      </c>
      <c r="AU29" s="102">
        <f t="shared" si="1"/>
        <v>0</v>
      </c>
      <c r="AV29" s="109">
        <f t="shared" si="2"/>
        <v>0</v>
      </c>
      <c r="AW29" s="109"/>
      <c r="AX29" s="109"/>
      <c r="AY29" s="114"/>
      <c r="AZ29" s="110">
        <f t="shared" si="3"/>
        <v>0</v>
      </c>
      <c r="BA29" s="112">
        <f t="shared" si="4"/>
        <v>0</v>
      </c>
      <c r="BB29" s="110"/>
    </row>
    <row r="30" spans="1:54">
      <c r="A30" s="79">
        <v>46138</v>
      </c>
      <c r="B30" s="80" cm="1">
        <f t="array" ref="B30">SUMPRODUCT((Uploaded_Data!$D$2:$D$59696="Production Transfers")*(Uploaded_Data!$E$2:$E$59696="South Mine to Pile (through Crusher)")*(Uploaded_Data!$F$2:$F$59696="HG")*(Uploaded_Data!$H$2:$H$59696=$A30)*Uploaded_Data!$N$2:$N$59696)</f>
        <v>0</v>
      </c>
      <c r="C30" s="80" cm="1">
        <f t="array" ref="C30">SUMPRODUCT((Uploaded_Data!$D$2:$D$59696="Production Transfers")*(Uploaded_Data!$E$2:$E$59696="South Mine to Direct Pile (Bypass Crusher)")*(Uploaded_Data!$F$2:$F$59696="HG")*(Uploaded_Data!$H$2:$H$59696=$A30)*Uploaded_Data!$N$2:$N$59696)</f>
        <v>0</v>
      </c>
      <c r="D30" s="80" cm="1">
        <f t="array" ref="D30">SUMPRODUCT((Uploaded_Data!$D$2:$D$59696="Production Transfers")*(Uploaded_Data!$E$2:$E$59696="South Mine to Stock Yard")*(Uploaded_Data!$F$2:$F$59696="HG")*(Uploaded_Data!$H$2:$H$59696=$A30)*Uploaded_Data!$N$2:$N$59696)</f>
        <v>0</v>
      </c>
      <c r="E30" s="80" cm="1">
        <f t="array" ref="E30">SUMPRODUCT((Uploaded_Data!$D$2:$D$59696="Production Transfers")*(Uploaded_Data!$E$2:$E$59696="North Mine to Pile (through Crusher)")*(Uploaded_Data!$F$2:$F$59696="HG")*(Uploaded_Data!$H$2:$H$59696=$A30)*Uploaded_Data!$N$2:$N$59696)</f>
        <v>0</v>
      </c>
      <c r="F30" s="80" cm="1">
        <f t="array" ref="F30">SUMPRODUCT((Uploaded_Data!$D$2:$D$59696="Production Transfers")*(Uploaded_Data!$E$2:$E$59696="North Mine to Direct Pile (Bypass Crusher)")*(Uploaded_Data!$F$2:$F$59696="HG")*(Uploaded_Data!$H$2:$H$59696=$A30)*Uploaded_Data!$N$2:$N$59696)</f>
        <v>0</v>
      </c>
      <c r="G30" s="80" cm="1">
        <f t="array" ref="G30">SUMPRODUCT((Uploaded_Data!$D$2:$D$59696="Production Transfers")*(Uploaded_Data!$E$2:$E$59696="North Mine to Stock Yard")*(Uploaded_Data!$F$2:$F$59696="HG")*(Uploaded_Data!$H$2:$H$59696=$A30)*Uploaded_Data!$N$2:$N$59696)</f>
        <v>0</v>
      </c>
      <c r="H30" s="80" cm="1">
        <f t="array" ref="H30">SUMPRODUCT((Uploaded_Data!$D$2:$D$59696="Internal Transfers")*(Uploaded_Data!$E$2:$E$59696="Stock Yard to Pile (through Crusher)")*(Uploaded_Data!$F$2:$F$59696="HG")*(Uploaded_Data!$H$2:$H$59696=$A30)*Uploaded_Data!$N$2:$N$59696)</f>
        <v>0</v>
      </c>
      <c r="I30" s="80" cm="1">
        <f t="array" ref="I30">SUMPRODUCT((Uploaded_Data!$D$2:$D$59696="Internal Transfers")*(Uploaded_Data!$E$2:$E$59696="Stock Yard to Direct Pile (Bypass Crusher)")*(Uploaded_Data!$F$2:$F$59696="HG")*(Uploaded_Data!$H$2:$H$59696=$A30)*Uploaded_Data!$N$2:$N$59696)</f>
        <v>0</v>
      </c>
      <c r="J30" s="80" cm="1">
        <f t="array" ref="J30">SUMPRODUCT((Uploaded_Data!$D$2:$D$59696="Production Transfers")*(Uploaded_Data!$E$2:$E$59696="South Mine to Pile (through Crusher)")*(Uploaded_Data!$F$2:$F$59696="LG1")*(Uploaded_Data!$H$2:$H$59696=$A30)*Uploaded_Data!$N$2:$N$59696)</f>
        <v>0</v>
      </c>
      <c r="K30" s="80" cm="1">
        <f t="array" ref="K30">SUMPRODUCT((Uploaded_Data!$D$2:$D$59696="Production Transfers")*(Uploaded_Data!$E$2:$E$59696="South Mine to Direct Pile (Bypass Crusher)")*(Uploaded_Data!$F$2:$F$59696="LG1")*(Uploaded_Data!$H$2:$H$59696=$A30)*Uploaded_Data!$N$2:$N$59696)</f>
        <v>0</v>
      </c>
      <c r="L30" s="80" cm="1">
        <f t="array" ref="L30">SUMPRODUCT((Uploaded_Data!$D$2:$D$59696="Production Transfers")*(Uploaded_Data!$E$2:$E$59696="South Mine to Stock Yard")*(Uploaded_Data!$F$2:$F$59696="LG1")*(Uploaded_Data!$H$2:$H$59696=$A30)*Uploaded_Data!$N$2:$N$59696)</f>
        <v>0</v>
      </c>
      <c r="M30" s="80" cm="1">
        <f t="array" ref="M30">SUMPRODUCT((Uploaded_Data!$D$2:$D$59696="Production Transfers")*(Uploaded_Data!$E$2:$E$59696="North Mine to Pile (through Crusher)")*(Uploaded_Data!$F$2:$F$59696="LG1")*(Uploaded_Data!$H$2:$H$59696=$A30)*Uploaded_Data!$N$2:$N$59696)</f>
        <v>0</v>
      </c>
      <c r="N30" s="80" cm="1">
        <f t="array" ref="N30">SUMPRODUCT((Uploaded_Data!$D$2:$D$59696="Production Transfers")*(Uploaded_Data!$E$2:$E$59696="North Mine to Direct Pile (Bypass Crusher)")*(Uploaded_Data!$F$2:$F$59696="LG1")*(Uploaded_Data!$H$2:$H$59696=$A30)*Uploaded_Data!$N$2:$N$59696)</f>
        <v>0</v>
      </c>
      <c r="O30" s="80" cm="1">
        <f t="array" ref="O30">SUMPRODUCT((Uploaded_Data!$D$2:$D$59696="Production Transfers")*(Uploaded_Data!$E$2:$E$59696="North Mine to Stock Yard")*(Uploaded_Data!$F$2:$F$59696="LG1")*(Uploaded_Data!$H$2:$H$59696=$A30)*Uploaded_Data!$N$2:$N$59696)</f>
        <v>0</v>
      </c>
      <c r="P30" s="80" cm="1">
        <f t="array" ref="P30">SUMPRODUCT((Uploaded_Data!$D$2:$D$59696="Internal Transfers")*(Uploaded_Data!$E$2:$E$59696="Stock Yard to Pile (through Crusher)")*(Uploaded_Data!$F$2:$F$59696="LG1")*(Uploaded_Data!$H$2:$H$59696=$A30)*Uploaded_Data!$N$2:$N$59696)</f>
        <v>0</v>
      </c>
      <c r="Q30" s="80" cm="1">
        <f t="array" ref="Q30">SUMPRODUCT((Uploaded_Data!$D$2:$D$59696="Internal Transfers")*(Uploaded_Data!$E$2:$E$59696="Stock Yard to Direct Pile (Bypass Crusher)")*(Uploaded_Data!$F$2:$F$59696="LG1")*(Uploaded_Data!$H$2:$H$59696=$A30)*Uploaded_Data!$N$2:$N$59696)</f>
        <v>0</v>
      </c>
      <c r="R30" s="80" cm="1">
        <f t="array" ref="R30">SUMPRODUCT((Uploaded_Data!$D$2:$D$59696="Internal Transfers")*(Uploaded_Data!$E$2:$E$59696="Stock Yard to Other Usages")*(Uploaded_Data!$F$2:$F$59696="LG1")*(Uploaded_Data!$H$2:$H$59696=$A30)*Uploaded_Data!$N$2:$N$59696)</f>
        <v>0</v>
      </c>
      <c r="S30" s="80" cm="1">
        <f t="array" ref="S30">SUMPRODUCT((Uploaded_Data!$D$2:$D$59696="Internal Transfers")*(Uploaded_Data!$E$2:$E$59696="Stock Yard to Pile (through Crusher)")*(Uploaded_Data!$F$2:$F$59696="LIMESTONE SPG")*(Uploaded_Data!$H$2:$H$59696=$A30)*Uploaded_Data!$N$2:$N$59696)</f>
        <v>0</v>
      </c>
      <c r="T30" s="80" cm="1">
        <f t="array" ref="T30">SUMPRODUCT((Uploaded_Data!$D$2:$D$59696="Internal Transfers")*(Uploaded_Data!$E$2:$E$59696="Stock Yard to Direct Pile (Bypass Crusher)")*(Uploaded_Data!$F$2:$F$59696="LIMESTONE SPG")*(Uploaded_Data!$H$2:$H$59696=$A30)*Uploaded_Data!$N$2:$N$59696)</f>
        <v>0</v>
      </c>
      <c r="U30" s="80" cm="1">
        <f t="array" ref="U30">SUMPRODUCT((Uploaded_Data!$D$2:$D$59696="Production Transfers")*(Uploaded_Data!$E$2:$E$59696="South Mine to Pile (through Crusher)")*(Uploaded_Data!$F$2:$F$59696="OB/CLAY")*(Uploaded_Data!$H$2:$H$59696=$A30)*Uploaded_Data!$N$2:$N$59696)</f>
        <v>0</v>
      </c>
      <c r="V30" s="80" cm="1">
        <f t="array" ref="V30">SUMPRODUCT((Uploaded_Data!$D$2:$D$59696="Production Transfers")*(Uploaded_Data!$E$2:$E$59696="South Mine to Direct Pile (Bypass Crusher)")*(Uploaded_Data!$F$2:$F$59696="OB/CLAY")*(Uploaded_Data!$H$2:$H$59696=$A30)*Uploaded_Data!$N$2:$N$59696)</f>
        <v>0</v>
      </c>
      <c r="W30" s="80" cm="1">
        <f t="array" ref="W30">SUMPRODUCT((Uploaded_Data!$D$2:$D$59696="Production Transfers")*(Uploaded_Data!$E$2:$E$59696="South Mine to Stock Yard")*(Uploaded_Data!$F$2:$F$59696="OB/CLAY")*(Uploaded_Data!$H$2:$H$59696=$A30)*Uploaded_Data!$N$2:$N$59696)</f>
        <v>0</v>
      </c>
      <c r="X30" s="80" cm="1">
        <f t="array" ref="X30">SUMPRODUCT((Uploaded_Data!$D$2:$D$59696="Production Transfers")*(Uploaded_Data!$E$2:$E$59696="South Mine to Golani Waste dump")*(Uploaded_Data!$F$2:$F$59696="WASTE")*(Uploaded_Data!$H$2:$H$59696=$A30)*Uploaded_Data!$N$2:$N$59696)</f>
        <v>0</v>
      </c>
      <c r="Y30" s="80" cm="1">
        <f t="array" ref="Y30">SUMPRODUCT((Uploaded_Data!$D$2:$D$59696="Production Transfers")*(Uploaded_Data!$E$2:$E$59696="North Mine to Pile (through Crusher)")*(Uploaded_Data!$F$2:$F$59696="OB/CLAY")*(Uploaded_Data!$H$2:$H$59696=$A30)*Uploaded_Data!$N$2:$N$59696)</f>
        <v>0</v>
      </c>
      <c r="Z30" s="80" cm="1">
        <f t="array" ref="Z30">SUMPRODUCT((Uploaded_Data!$D$2:$D$59696="Production Transfers")*(Uploaded_Data!$E$2:$E$59696="North Mine to Direct Pile (Bypass Crusher)")*(Uploaded_Data!$F$2:$F$59696="OB/CLAY")*(Uploaded_Data!$H$2:$H$59696=$A30)*Uploaded_Data!$N$2:$N$59696)</f>
        <v>0</v>
      </c>
      <c r="AA30" s="80" cm="1">
        <f t="array" ref="AA30">SUMPRODUCT((Uploaded_Data!$D$2:$D$59696="Production Transfers")*(Uploaded_Data!$E$2:$E$59696="North Mine to Stock Yard")*(Uploaded_Data!$F$2:$F$59696="OB/CLAY")*(Uploaded_Data!$H$2:$H$59696=$A30)*Uploaded_Data!$N$2:$N$59696)</f>
        <v>0</v>
      </c>
      <c r="AB30" s="80" cm="1">
        <f t="array" ref="AB30">SUMPRODUCT((Uploaded_Data!$D$2:$D$59696="Production Transfers")*(Uploaded_Data!$E$2:$E$59696="North Mine to Golani Waste dump")*(Uploaded_Data!$F$2:$F$59696="WASTE")*(Uploaded_Data!$H$2:$H$59696=$A30)*Uploaded_Data!$N$2:$N$59696)</f>
        <v>0</v>
      </c>
      <c r="AC30" s="80" cm="1">
        <f t="array" ref="AC30">SUMPRODUCT((Uploaded_Data!$D$2:$D$59696="Internal Transfers")*(Uploaded_Data!$E$2:$E$59696="Stock Yard to Pile (through Crusher)")*(Uploaded_Data!$F$2:$F$59696="OB/CLAY")*(Uploaded_Data!$H$2:$H$59696=$A30)*Uploaded_Data!$N$2:$N$59696)</f>
        <v>0</v>
      </c>
      <c r="AD30" s="80" cm="1">
        <f t="array" ref="AD30">SUMPRODUCT((Uploaded_Data!$D$2:$D$59696="Internal Transfers")*(Uploaded_Data!$E$2:$E$59696="Stock Yard to Other Usages")*(Uploaded_Data!$F$2:$F$59696="OB/CLAY")*(Uploaded_Data!$H$2:$H$59696=$A30)*Uploaded_Data!$N$2:$N$59696)</f>
        <v>0</v>
      </c>
      <c r="AE30" s="80" cm="1">
        <f t="array" ref="AE30">SUMPRODUCT((Uploaded_Data!$D$2:$D$59696="Internal Transfers")*(Uploaded_Data!$E$2:$E$59696="Stock Yard to Direct Pile (Bypass Crusher)")*(Uploaded_Data!$F$2:$F$59696="OB/CLAY")*(Uploaded_Data!$H$2:$H$59696=$A30)*Uploaded_Data!$N$2:$N$59696)</f>
        <v>0</v>
      </c>
      <c r="AF30" s="80" cm="1">
        <f t="array" ref="AF30">SUMPRODUCT((Uploaded_Data!$D$2:$D$59696="Production Transfers")*(Uploaded_Data!$E$2:$E$59696="South Mine to Pile (through Crusher)")*(Uploaded_Data!$F$2:$F$59696="HGHMGO")*(Uploaded_Data!$H$2:$H$59696=$A30)*Uploaded_Data!$N$2:$N$59696)</f>
        <v>0</v>
      </c>
      <c r="AG30" s="80" cm="1">
        <f t="array" ref="AG30">SUMPRODUCT((Uploaded_Data!$D$2:$D$59696="Production Transfers")*(Uploaded_Data!$E$2:$E$59696="South Mine to Direct Pile (Bypass Crusher)")*(Uploaded_Data!$F$2:$F$59696="HGHMGO")*(Uploaded_Data!$H$2:$H$59696=$A30)*Uploaded_Data!$N$2:$N$59696)</f>
        <v>0</v>
      </c>
      <c r="AH30" s="80" cm="1">
        <f t="array" ref="AH30">SUMPRODUCT((Uploaded_Data!$D$2:$D$59696="Production Transfers")*(Uploaded_Data!$E$2:$E$59696="South Mine to Stock Yard")*(Uploaded_Data!$F$2:$F$59696="HGHMGO")*(Uploaded_Data!$H$2:$H$59696=$A30)*Uploaded_Data!$N$2:$N$59696)</f>
        <v>0</v>
      </c>
      <c r="AI30" s="80" cm="1">
        <f t="array" ref="AI30">SUMPRODUCT((Uploaded_Data!$D$2:$D$59696="Internal Transfers")*(Uploaded_Data!$E$2:$E$59696="Stock Yard to Pile (through Crusher)")*(Uploaded_Data!$F$2:$F$59696="HGHMGO")*(Uploaded_Data!$H$2:$H$59696=$A30)*Uploaded_Data!$N$2:$N$59696)</f>
        <v>0</v>
      </c>
      <c r="AJ30" s="80" cm="1">
        <f t="array" ref="AJ30">SUMPRODUCT((Uploaded_Data!$D$2:$D$59696="Production Transfers")*(Uploaded_Data!$E$2:$E$59696="South Mine to Pile (through Crusher)")*(Uploaded_Data!$F$2:$F$59696="LGHMGO")*(Uploaded_Data!$H$2:$H$59696=$A30)*Uploaded_Data!$N$2:$N$59696)</f>
        <v>0</v>
      </c>
      <c r="AK30" s="80" cm="1">
        <f t="array" ref="AK30">SUMPRODUCT((Uploaded_Data!$D$2:$D$59696="Production Transfers")*(Uploaded_Data!$E$2:$E$59696="South Mine to Direct Pile (Bypass Crusher)")*(Uploaded_Data!$F$2:$F$59696="LGHMGO")*(Uploaded_Data!$H$2:$H$59696=$A30)*Uploaded_Data!$N$2:$N$59696)</f>
        <v>0</v>
      </c>
      <c r="AL30" s="80" cm="1">
        <f t="array" ref="AL30">SUMPRODUCT((Uploaded_Data!$D$2:$D$59696="Production Transfers")*(Uploaded_Data!$E$2:$E$59696="South Mine to Stock Yard")*(Uploaded_Data!$F$2:$F$59696="LGHMGO")*(Uploaded_Data!$H$2:$H$59696=$A30)*Uploaded_Data!$N$2:$N$59696)</f>
        <v>0</v>
      </c>
      <c r="AM30" s="80" cm="1">
        <f t="array" ref="AM30">SUMPRODUCT((Uploaded_Data!$D$2:$D$59696="Internal Transfers")*(Uploaded_Data!$E$2:$E$59696="Stock Yard to Pile (through Crusher)")*(Uploaded_Data!$F$2:$F$59696="LGHMGO")*(Uploaded_Data!$H$2:$H$59696=$A30)*Uploaded_Data!$N$2:$N$59696)</f>
        <v>0</v>
      </c>
      <c r="AN30" s="103">
        <f t="shared" si="0"/>
        <v>0</v>
      </c>
      <c r="AO30" s="71"/>
      <c r="AP30" s="109" cm="1">
        <f t="array" ref="AP30">SUMPRODUCT((Uploaded_Data!$D$2:$D$59696="Internal Transfers")*(Uploaded_Data!$E$2:$E$59696="Stock Yard to Pile (through Crusher)")*(Uploaded_Data!$F$2:$F$59696="GYPSUM")*(Uploaded_Data!$H$2:$H$59696=$A30)*Uploaded_Data!$N$2:$N$59696)</f>
        <v>0</v>
      </c>
      <c r="AQ30" s="109" cm="1">
        <f t="array" ref="AQ30">SUMPRODUCT((Uploaded_Data!$D$2:$D$59696="Internal Transfers")*(Uploaded_Data!$E$2:$E$59696="Stock Yard to Direct Pile (Bypass Crusher)")*(Uploaded_Data!$F$2:$F$59696="GYPSUM")*(Uploaded_Data!$H$2:$H$59696=$A30)*Uploaded_Data!$N$2:$N$59696)</f>
        <v>0</v>
      </c>
      <c r="AR30" s="109" cm="1">
        <f t="array" ref="AR30">SUMPRODUCT((Uploaded_Data!$D$2:$D$59696="Internal Transfers")*(Uploaded_Data!$E$2:$E$59696="Stock Yard to Other Usages")*(Uploaded_Data!$F$2:$F$59696="ID Clay")*(Uploaded_Data!$H$2:$H$59696=$A30)*Uploaded_Data!$N$2:$N$59696)</f>
        <v>0</v>
      </c>
      <c r="AS30" s="109" cm="1">
        <f t="array" ref="AS30">SUMPRODUCT((Uploaded_Data!$D$2:$D$59696="Internal Transfers")*(Uploaded_Data!$E$2:$E$59696="Stock Yard to Direct Pile (Bypass Crusher)")*(Uploaded_Data!$F$2:$F$59696="ID Clay")*(Uploaded_Data!$H$2:$H$59696=$A30)*Uploaded_Data!$N$2:$N$59696)</f>
        <v>0</v>
      </c>
      <c r="AT30" s="109" cm="1">
        <f t="array" ref="AT30">SUMPRODUCT((Uploaded_Data!$D$2:$D$59696="Production Transfers")*(Uploaded_Data!$E$2:$E$59696="Kijaka Mine to Stock Yard")*(Uploaded_Data!$F$2:$F$59696="ID Clay")*(Uploaded_Data!$H$2:$H$59696=$A30)*Uploaded_Data!$N$2:$N$59696)</f>
        <v>0</v>
      </c>
      <c r="AU30" s="102">
        <f t="shared" si="1"/>
        <v>0</v>
      </c>
      <c r="AV30" s="109">
        <f t="shared" si="2"/>
        <v>0</v>
      </c>
      <c r="AW30" s="109"/>
      <c r="AX30" s="109"/>
      <c r="AY30" s="114"/>
      <c r="AZ30" s="110">
        <f t="shared" si="3"/>
        <v>0</v>
      </c>
      <c r="BA30" s="112">
        <f t="shared" si="4"/>
        <v>0</v>
      </c>
      <c r="BB30" s="110"/>
    </row>
    <row r="31" spans="1:54" s="63" customFormat="1">
      <c r="A31" s="79">
        <v>46139</v>
      </c>
      <c r="B31" s="80" cm="1">
        <f t="array" ref="B31">SUMPRODUCT((Uploaded_Data!$D$2:$D$59696="Production Transfers")*(Uploaded_Data!$E$2:$E$59696="South Mine to Pile (through Crusher)")*(Uploaded_Data!$F$2:$F$59696="HG")*(Uploaded_Data!$H$2:$H$59696=$A31)*Uploaded_Data!$N$2:$N$59696)</f>
        <v>0</v>
      </c>
      <c r="C31" s="80" cm="1">
        <f t="array" ref="C31">SUMPRODUCT((Uploaded_Data!$D$2:$D$59696="Production Transfers")*(Uploaded_Data!$E$2:$E$59696="South Mine to Direct Pile (Bypass Crusher)")*(Uploaded_Data!$F$2:$F$59696="HG")*(Uploaded_Data!$H$2:$H$59696=$A31)*Uploaded_Data!$N$2:$N$59696)</f>
        <v>0</v>
      </c>
      <c r="D31" s="80" cm="1">
        <f t="array" ref="D31">SUMPRODUCT((Uploaded_Data!$D$2:$D$59696="Production Transfers")*(Uploaded_Data!$E$2:$E$59696="South Mine to Stock Yard")*(Uploaded_Data!$F$2:$F$59696="HG")*(Uploaded_Data!$H$2:$H$59696=$A31)*Uploaded_Data!$N$2:$N$59696)</f>
        <v>0</v>
      </c>
      <c r="E31" s="80" cm="1">
        <f t="array" ref="E31">SUMPRODUCT((Uploaded_Data!$D$2:$D$59696="Production Transfers")*(Uploaded_Data!$E$2:$E$59696="North Mine to Pile (through Crusher)")*(Uploaded_Data!$F$2:$F$59696="HG")*(Uploaded_Data!$H$2:$H$59696=$A31)*Uploaded_Data!$N$2:$N$59696)</f>
        <v>0</v>
      </c>
      <c r="F31" s="80" cm="1">
        <f t="array" ref="F31">SUMPRODUCT((Uploaded_Data!$D$2:$D$59696="Production Transfers")*(Uploaded_Data!$E$2:$E$59696="North Mine to Direct Pile (Bypass Crusher)")*(Uploaded_Data!$F$2:$F$59696="HG")*(Uploaded_Data!$H$2:$H$59696=$A31)*Uploaded_Data!$N$2:$N$59696)</f>
        <v>0</v>
      </c>
      <c r="G31" s="80" cm="1">
        <f t="array" ref="G31">SUMPRODUCT((Uploaded_Data!$D$2:$D$59696="Production Transfers")*(Uploaded_Data!$E$2:$E$59696="North Mine to Stock Yard")*(Uploaded_Data!$F$2:$F$59696="HG")*(Uploaded_Data!$H$2:$H$59696=$A31)*Uploaded_Data!$N$2:$N$59696)</f>
        <v>0</v>
      </c>
      <c r="H31" s="80" cm="1">
        <f t="array" ref="H31">SUMPRODUCT((Uploaded_Data!$D$2:$D$59696="Internal Transfers")*(Uploaded_Data!$E$2:$E$59696="Stock Yard to Pile (through Crusher)")*(Uploaded_Data!$F$2:$F$59696="HG")*(Uploaded_Data!$H$2:$H$59696=$A31)*Uploaded_Data!$N$2:$N$59696)</f>
        <v>0</v>
      </c>
      <c r="I31" s="80" cm="1">
        <f t="array" ref="I31">SUMPRODUCT((Uploaded_Data!$D$2:$D$59696="Internal Transfers")*(Uploaded_Data!$E$2:$E$59696="Stock Yard to Direct Pile (Bypass Crusher)")*(Uploaded_Data!$F$2:$F$59696="HG")*(Uploaded_Data!$H$2:$H$59696=$A31)*Uploaded_Data!$N$2:$N$59696)</f>
        <v>0</v>
      </c>
      <c r="J31" s="80" cm="1">
        <f t="array" ref="J31">SUMPRODUCT((Uploaded_Data!$D$2:$D$59696="Production Transfers")*(Uploaded_Data!$E$2:$E$59696="South Mine to Pile (through Crusher)")*(Uploaded_Data!$F$2:$F$59696="LG1")*(Uploaded_Data!$H$2:$H$59696=$A31)*Uploaded_Data!$N$2:$N$59696)</f>
        <v>0</v>
      </c>
      <c r="K31" s="80" cm="1">
        <f t="array" ref="K31">SUMPRODUCT((Uploaded_Data!$D$2:$D$59696="Production Transfers")*(Uploaded_Data!$E$2:$E$59696="South Mine to Direct Pile (Bypass Crusher)")*(Uploaded_Data!$F$2:$F$59696="LG1")*(Uploaded_Data!$H$2:$H$59696=$A31)*Uploaded_Data!$N$2:$N$59696)</f>
        <v>0</v>
      </c>
      <c r="L31" s="80" cm="1">
        <f t="array" ref="L31">SUMPRODUCT((Uploaded_Data!$D$2:$D$59696="Production Transfers")*(Uploaded_Data!$E$2:$E$59696="South Mine to Stock Yard")*(Uploaded_Data!$F$2:$F$59696="LG1")*(Uploaded_Data!$H$2:$H$59696=$A31)*Uploaded_Data!$N$2:$N$59696)</f>
        <v>0</v>
      </c>
      <c r="M31" s="80" cm="1">
        <f t="array" ref="M31">SUMPRODUCT((Uploaded_Data!$D$2:$D$59696="Production Transfers")*(Uploaded_Data!$E$2:$E$59696="North Mine to Pile (through Crusher)")*(Uploaded_Data!$F$2:$F$59696="LG1")*(Uploaded_Data!$H$2:$H$59696=$A31)*Uploaded_Data!$N$2:$N$59696)</f>
        <v>0</v>
      </c>
      <c r="N31" s="80" cm="1">
        <f t="array" ref="N31">SUMPRODUCT((Uploaded_Data!$D$2:$D$59696="Production Transfers")*(Uploaded_Data!$E$2:$E$59696="North Mine to Direct Pile (Bypass Crusher)")*(Uploaded_Data!$F$2:$F$59696="LG1")*(Uploaded_Data!$H$2:$H$59696=$A31)*Uploaded_Data!$N$2:$N$59696)</f>
        <v>0</v>
      </c>
      <c r="O31" s="80" cm="1">
        <f t="array" ref="O31">SUMPRODUCT((Uploaded_Data!$D$2:$D$59696="Production Transfers")*(Uploaded_Data!$E$2:$E$59696="North Mine to Stock Yard")*(Uploaded_Data!$F$2:$F$59696="LG1")*(Uploaded_Data!$H$2:$H$59696=$A31)*Uploaded_Data!$N$2:$N$59696)</f>
        <v>0</v>
      </c>
      <c r="P31" s="80" cm="1">
        <f t="array" ref="P31">SUMPRODUCT((Uploaded_Data!$D$2:$D$59696="Internal Transfers")*(Uploaded_Data!$E$2:$E$59696="Stock Yard to Pile (through Crusher)")*(Uploaded_Data!$F$2:$F$59696="LG1")*(Uploaded_Data!$H$2:$H$59696=$A31)*Uploaded_Data!$N$2:$N$59696)</f>
        <v>0</v>
      </c>
      <c r="Q31" s="80" cm="1">
        <f t="array" ref="Q31">SUMPRODUCT((Uploaded_Data!$D$2:$D$59696="Internal Transfers")*(Uploaded_Data!$E$2:$E$59696="Stock Yard to Direct Pile (Bypass Crusher)")*(Uploaded_Data!$F$2:$F$59696="LG1")*(Uploaded_Data!$H$2:$H$59696=$A31)*Uploaded_Data!$N$2:$N$59696)</f>
        <v>0</v>
      </c>
      <c r="R31" s="80" cm="1">
        <f t="array" ref="R31">SUMPRODUCT((Uploaded_Data!$D$2:$D$59696="Internal Transfers")*(Uploaded_Data!$E$2:$E$59696="Stock Yard to Other Usages")*(Uploaded_Data!$F$2:$F$59696="LG1")*(Uploaded_Data!$H$2:$H$59696=$A31)*Uploaded_Data!$N$2:$N$59696)</f>
        <v>0</v>
      </c>
      <c r="S31" s="80" cm="1">
        <f t="array" ref="S31">SUMPRODUCT((Uploaded_Data!$D$2:$D$59696="Internal Transfers")*(Uploaded_Data!$E$2:$E$59696="Stock Yard to Pile (through Crusher)")*(Uploaded_Data!$F$2:$F$59696="LIMESTONE SPG")*(Uploaded_Data!$H$2:$H$59696=$A31)*Uploaded_Data!$N$2:$N$59696)</f>
        <v>0</v>
      </c>
      <c r="T31" s="80" cm="1">
        <f t="array" ref="T31">SUMPRODUCT((Uploaded_Data!$D$2:$D$59696="Internal Transfers")*(Uploaded_Data!$E$2:$E$59696="Stock Yard to Direct Pile (Bypass Crusher)")*(Uploaded_Data!$F$2:$F$59696="LIMESTONE SPG")*(Uploaded_Data!$H$2:$H$59696=$A31)*Uploaded_Data!$N$2:$N$59696)</f>
        <v>0</v>
      </c>
      <c r="U31" s="80" cm="1">
        <f t="array" ref="U31">SUMPRODUCT((Uploaded_Data!$D$2:$D$59696="Production Transfers")*(Uploaded_Data!$E$2:$E$59696="South Mine to Pile (through Crusher)")*(Uploaded_Data!$F$2:$F$59696="OB/CLAY")*(Uploaded_Data!$H$2:$H$59696=$A31)*Uploaded_Data!$N$2:$N$59696)</f>
        <v>0</v>
      </c>
      <c r="V31" s="80" cm="1">
        <f t="array" ref="V31">SUMPRODUCT((Uploaded_Data!$D$2:$D$59696="Production Transfers")*(Uploaded_Data!$E$2:$E$59696="South Mine to Direct Pile (Bypass Crusher)")*(Uploaded_Data!$F$2:$F$59696="OB/CLAY")*(Uploaded_Data!$H$2:$H$59696=$A31)*Uploaded_Data!$N$2:$N$59696)</f>
        <v>0</v>
      </c>
      <c r="W31" s="80" cm="1">
        <f t="array" ref="W31">SUMPRODUCT((Uploaded_Data!$D$2:$D$59696="Production Transfers")*(Uploaded_Data!$E$2:$E$59696="South Mine to Stock Yard")*(Uploaded_Data!$F$2:$F$59696="OB/CLAY")*(Uploaded_Data!$H$2:$H$59696=$A31)*Uploaded_Data!$N$2:$N$59696)</f>
        <v>0</v>
      </c>
      <c r="X31" s="80" cm="1">
        <f t="array" ref="X31">SUMPRODUCT((Uploaded_Data!$D$2:$D$59696="Production Transfers")*(Uploaded_Data!$E$2:$E$59696="South Mine to Golani Waste dump")*(Uploaded_Data!$F$2:$F$59696="WASTE")*(Uploaded_Data!$H$2:$H$59696=$A31)*Uploaded_Data!$N$2:$N$59696)</f>
        <v>0</v>
      </c>
      <c r="Y31" s="80" cm="1">
        <f t="array" ref="Y31">SUMPRODUCT((Uploaded_Data!$D$2:$D$59696="Production Transfers")*(Uploaded_Data!$E$2:$E$59696="North Mine to Pile (through Crusher)")*(Uploaded_Data!$F$2:$F$59696="OB/CLAY")*(Uploaded_Data!$H$2:$H$59696=$A31)*Uploaded_Data!$N$2:$N$59696)</f>
        <v>0</v>
      </c>
      <c r="Z31" s="80" cm="1">
        <f t="array" ref="Z31">SUMPRODUCT((Uploaded_Data!$D$2:$D$59696="Production Transfers")*(Uploaded_Data!$E$2:$E$59696="North Mine to Direct Pile (Bypass Crusher)")*(Uploaded_Data!$F$2:$F$59696="OB/CLAY")*(Uploaded_Data!$H$2:$H$59696=$A31)*Uploaded_Data!$N$2:$N$59696)</f>
        <v>0</v>
      </c>
      <c r="AA31" s="80" cm="1">
        <f t="array" ref="AA31">SUMPRODUCT((Uploaded_Data!$D$2:$D$59696="Production Transfers")*(Uploaded_Data!$E$2:$E$59696="North Mine to Stock Yard")*(Uploaded_Data!$F$2:$F$59696="OB/CLAY")*(Uploaded_Data!$H$2:$H$59696=$A31)*Uploaded_Data!$N$2:$N$59696)</f>
        <v>0</v>
      </c>
      <c r="AB31" s="80" cm="1">
        <f t="array" ref="AB31">SUMPRODUCT((Uploaded_Data!$D$2:$D$59696="Production Transfers")*(Uploaded_Data!$E$2:$E$59696="North Mine to Golani Waste dump")*(Uploaded_Data!$F$2:$F$59696="WASTE")*(Uploaded_Data!$H$2:$H$59696=$A31)*Uploaded_Data!$N$2:$N$59696)</f>
        <v>0</v>
      </c>
      <c r="AC31" s="80" cm="1">
        <f t="array" ref="AC31">SUMPRODUCT((Uploaded_Data!$D$2:$D$59696="Internal Transfers")*(Uploaded_Data!$E$2:$E$59696="Stock Yard to Pile (through Crusher)")*(Uploaded_Data!$F$2:$F$59696="OB/CLAY")*(Uploaded_Data!$H$2:$H$59696=$A31)*Uploaded_Data!$N$2:$N$59696)</f>
        <v>0</v>
      </c>
      <c r="AD31" s="80" cm="1">
        <f t="array" ref="AD31">SUMPRODUCT((Uploaded_Data!$D$2:$D$59696="Internal Transfers")*(Uploaded_Data!$E$2:$E$59696="Stock Yard to Other Usages")*(Uploaded_Data!$F$2:$F$59696="OB/CLAY")*(Uploaded_Data!$H$2:$H$59696=$A31)*Uploaded_Data!$N$2:$N$59696)</f>
        <v>0</v>
      </c>
      <c r="AE31" s="80" cm="1">
        <f t="array" ref="AE31">SUMPRODUCT((Uploaded_Data!$D$2:$D$59696="Internal Transfers")*(Uploaded_Data!$E$2:$E$59696="Stock Yard to Direct Pile (Bypass Crusher)")*(Uploaded_Data!$F$2:$F$59696="OB/CLAY")*(Uploaded_Data!$H$2:$H$59696=$A31)*Uploaded_Data!$N$2:$N$59696)</f>
        <v>0</v>
      </c>
      <c r="AF31" s="80" cm="1">
        <f t="array" ref="AF31">SUMPRODUCT((Uploaded_Data!$D$2:$D$59696="Production Transfers")*(Uploaded_Data!$E$2:$E$59696="South Mine to Pile (through Crusher)")*(Uploaded_Data!$F$2:$F$59696="HGHMGO")*(Uploaded_Data!$H$2:$H$59696=$A31)*Uploaded_Data!$N$2:$N$59696)</f>
        <v>0</v>
      </c>
      <c r="AG31" s="80" cm="1">
        <f t="array" ref="AG31">SUMPRODUCT((Uploaded_Data!$D$2:$D$59696="Production Transfers")*(Uploaded_Data!$E$2:$E$59696="South Mine to Direct Pile (Bypass Crusher)")*(Uploaded_Data!$F$2:$F$59696="HGHMGO")*(Uploaded_Data!$H$2:$H$59696=$A31)*Uploaded_Data!$N$2:$N$59696)</f>
        <v>0</v>
      </c>
      <c r="AH31" s="80" cm="1">
        <f t="array" ref="AH31">SUMPRODUCT((Uploaded_Data!$D$2:$D$59696="Production Transfers")*(Uploaded_Data!$E$2:$E$59696="South Mine to Stock Yard")*(Uploaded_Data!$F$2:$F$59696="HGHMGO")*(Uploaded_Data!$H$2:$H$59696=$A31)*Uploaded_Data!$N$2:$N$59696)</f>
        <v>0</v>
      </c>
      <c r="AI31" s="80" cm="1">
        <f t="array" ref="AI31">SUMPRODUCT((Uploaded_Data!$D$2:$D$59696="Internal Transfers")*(Uploaded_Data!$E$2:$E$59696="Stock Yard to Pile (through Crusher)")*(Uploaded_Data!$F$2:$F$59696="HGHMGO")*(Uploaded_Data!$H$2:$H$59696=$A31)*Uploaded_Data!$N$2:$N$59696)</f>
        <v>0</v>
      </c>
      <c r="AJ31" s="80" cm="1">
        <f t="array" ref="AJ31">SUMPRODUCT((Uploaded_Data!$D$2:$D$59696="Production Transfers")*(Uploaded_Data!$E$2:$E$59696="South Mine to Pile (through Crusher)")*(Uploaded_Data!$F$2:$F$59696="LGHMGO")*(Uploaded_Data!$H$2:$H$59696=$A31)*Uploaded_Data!$N$2:$N$59696)</f>
        <v>0</v>
      </c>
      <c r="AK31" s="80" cm="1">
        <f t="array" ref="AK31">SUMPRODUCT((Uploaded_Data!$D$2:$D$59696="Production Transfers")*(Uploaded_Data!$E$2:$E$59696="South Mine to Direct Pile (Bypass Crusher)")*(Uploaded_Data!$F$2:$F$59696="LGHMGO")*(Uploaded_Data!$H$2:$H$59696=$A31)*Uploaded_Data!$N$2:$N$59696)</f>
        <v>0</v>
      </c>
      <c r="AL31" s="80" cm="1">
        <f t="array" ref="AL31">SUMPRODUCT((Uploaded_Data!$D$2:$D$59696="Production Transfers")*(Uploaded_Data!$E$2:$E$59696="South Mine to Stock Yard")*(Uploaded_Data!$F$2:$F$59696="LGHMGO")*(Uploaded_Data!$H$2:$H$59696=$A31)*Uploaded_Data!$N$2:$N$59696)</f>
        <v>0</v>
      </c>
      <c r="AM31" s="80" cm="1">
        <f t="array" ref="AM31">SUMPRODUCT((Uploaded_Data!$D$2:$D$59696="Internal Transfers")*(Uploaded_Data!$E$2:$E$59696="Stock Yard to Pile (through Crusher)")*(Uploaded_Data!$F$2:$F$59696="LGHMGO")*(Uploaded_Data!$H$2:$H$59696=$A31)*Uploaded_Data!$N$2:$N$59696)</f>
        <v>0</v>
      </c>
      <c r="AN31" s="103">
        <f t="shared" si="0"/>
        <v>0</v>
      </c>
      <c r="AO31" s="110"/>
      <c r="AP31" s="109" cm="1">
        <f t="array" ref="AP31">SUMPRODUCT((Uploaded_Data!$D$2:$D$59696="Internal Transfers")*(Uploaded_Data!$E$2:$E$59696="Stock Yard to Pile (through Crusher)")*(Uploaded_Data!$F$2:$F$59696="GYPSUM")*(Uploaded_Data!$H$2:$H$59696=$A31)*Uploaded_Data!$N$2:$N$59696)</f>
        <v>0</v>
      </c>
      <c r="AQ31" s="109" cm="1">
        <f t="array" ref="AQ31">SUMPRODUCT((Uploaded_Data!$D$2:$D$59696="Internal Transfers")*(Uploaded_Data!$E$2:$E$59696="Stock Yard to Direct Pile (Bypass Crusher)")*(Uploaded_Data!$F$2:$F$59696="GYPSUM")*(Uploaded_Data!$H$2:$H$59696=$A31)*Uploaded_Data!$N$2:$N$59696)</f>
        <v>0</v>
      </c>
      <c r="AR31" s="109" cm="1">
        <f t="array" ref="AR31">SUMPRODUCT((Uploaded_Data!$D$2:$D$59696="Internal Transfers")*(Uploaded_Data!$E$2:$E$59696="Stock Yard to Other Usages")*(Uploaded_Data!$F$2:$F$59696="ID Clay")*(Uploaded_Data!$H$2:$H$59696=$A31)*Uploaded_Data!$N$2:$N$59696)</f>
        <v>0</v>
      </c>
      <c r="AS31" s="109" cm="1">
        <f t="array" ref="AS31">SUMPRODUCT((Uploaded_Data!$D$2:$D$59696="Internal Transfers")*(Uploaded_Data!$E$2:$E$59696="Stock Yard to Direct Pile (Bypass Crusher)")*(Uploaded_Data!$F$2:$F$59696="ID Clay")*(Uploaded_Data!$H$2:$H$59696=$A31)*Uploaded_Data!$N$2:$N$59696)</f>
        <v>0</v>
      </c>
      <c r="AT31" s="109" cm="1">
        <f t="array" ref="AT31">SUMPRODUCT((Uploaded_Data!$D$2:$D$59696="Production Transfers")*(Uploaded_Data!$E$2:$E$59696="Kijaka Mine to Stock Yard")*(Uploaded_Data!$F$2:$F$59696="ID Clay")*(Uploaded_Data!$H$2:$H$59696=$A31)*Uploaded_Data!$N$2:$N$59696)</f>
        <v>0</v>
      </c>
      <c r="AU31" s="102">
        <f t="shared" si="1"/>
        <v>0</v>
      </c>
      <c r="AV31" s="109">
        <f t="shared" si="2"/>
        <v>0</v>
      </c>
      <c r="AW31" s="109"/>
      <c r="AX31" s="109"/>
      <c r="AY31" s="114"/>
      <c r="AZ31" s="110">
        <f t="shared" si="3"/>
        <v>0</v>
      </c>
      <c r="BA31" s="112">
        <f t="shared" si="4"/>
        <v>0</v>
      </c>
      <c r="BB31" s="110"/>
    </row>
    <row r="32" spans="1:54">
      <c r="A32" s="79">
        <v>46140</v>
      </c>
      <c r="B32" s="80" cm="1">
        <f t="array" ref="B32">SUMPRODUCT((Uploaded_Data!$D$2:$D$59696="Production Transfers")*(Uploaded_Data!$E$2:$E$59696="South Mine to Pile (through Crusher)")*(Uploaded_Data!$F$2:$F$59696="HG")*(Uploaded_Data!$H$2:$H$59696=$A32)*Uploaded_Data!$N$2:$N$59696)</f>
        <v>0</v>
      </c>
      <c r="C32" s="80" cm="1">
        <f t="array" ref="C32">SUMPRODUCT((Uploaded_Data!$D$2:$D$59696="Production Transfers")*(Uploaded_Data!$E$2:$E$59696="South Mine to Direct Pile (Bypass Crusher)")*(Uploaded_Data!$F$2:$F$59696="HG")*(Uploaded_Data!$H$2:$H$59696=$A32)*Uploaded_Data!$N$2:$N$59696)</f>
        <v>0</v>
      </c>
      <c r="D32" s="80" cm="1">
        <f t="array" ref="D32">SUMPRODUCT((Uploaded_Data!$D$2:$D$59696="Production Transfers")*(Uploaded_Data!$E$2:$E$59696="South Mine to Stock Yard")*(Uploaded_Data!$F$2:$F$59696="HG")*(Uploaded_Data!$H$2:$H$59696=$A32)*Uploaded_Data!$N$2:$N$59696)</f>
        <v>0</v>
      </c>
      <c r="E32" s="80" cm="1">
        <f t="array" ref="E32">SUMPRODUCT((Uploaded_Data!$D$2:$D$59696="Production Transfers")*(Uploaded_Data!$E$2:$E$59696="North Mine to Pile (through Crusher)")*(Uploaded_Data!$F$2:$F$59696="HG")*(Uploaded_Data!$H$2:$H$59696=$A32)*Uploaded_Data!$N$2:$N$59696)</f>
        <v>0</v>
      </c>
      <c r="F32" s="80" cm="1">
        <f t="array" ref="F32">SUMPRODUCT((Uploaded_Data!$D$2:$D$59696="Production Transfers")*(Uploaded_Data!$E$2:$E$59696="North Mine to Direct Pile (Bypass Crusher)")*(Uploaded_Data!$F$2:$F$59696="HG")*(Uploaded_Data!$H$2:$H$59696=$A32)*Uploaded_Data!$N$2:$N$59696)</f>
        <v>0</v>
      </c>
      <c r="G32" s="80" cm="1">
        <f t="array" ref="G32">SUMPRODUCT((Uploaded_Data!$D$2:$D$59696="Production Transfers")*(Uploaded_Data!$E$2:$E$59696="North Mine to Stock Yard")*(Uploaded_Data!$F$2:$F$59696="HG")*(Uploaded_Data!$H$2:$H$59696=$A32)*Uploaded_Data!$N$2:$N$59696)</f>
        <v>0</v>
      </c>
      <c r="H32" s="80" cm="1">
        <f t="array" ref="H32">SUMPRODUCT((Uploaded_Data!$D$2:$D$59696="Internal Transfers")*(Uploaded_Data!$E$2:$E$59696="Stock Yard to Pile (through Crusher)")*(Uploaded_Data!$F$2:$F$59696="HG")*(Uploaded_Data!$H$2:$H$59696=$A32)*Uploaded_Data!$N$2:$N$59696)</f>
        <v>0</v>
      </c>
      <c r="I32" s="80" cm="1">
        <f t="array" ref="I32">SUMPRODUCT((Uploaded_Data!$D$2:$D$59696="Internal Transfers")*(Uploaded_Data!$E$2:$E$59696="Stock Yard to Direct Pile (Bypass Crusher)")*(Uploaded_Data!$F$2:$F$59696="HG")*(Uploaded_Data!$H$2:$H$59696=$A32)*Uploaded_Data!$N$2:$N$59696)</f>
        <v>0</v>
      </c>
      <c r="J32" s="80" cm="1">
        <f t="array" ref="J32">SUMPRODUCT((Uploaded_Data!$D$2:$D$59696="Production Transfers")*(Uploaded_Data!$E$2:$E$59696="South Mine to Pile (through Crusher)")*(Uploaded_Data!$F$2:$F$59696="LG1")*(Uploaded_Data!$H$2:$H$59696=$A32)*Uploaded_Data!$N$2:$N$59696)</f>
        <v>0</v>
      </c>
      <c r="K32" s="80" cm="1">
        <f t="array" ref="K32">SUMPRODUCT((Uploaded_Data!$D$2:$D$59696="Production Transfers")*(Uploaded_Data!$E$2:$E$59696="South Mine to Direct Pile (Bypass Crusher)")*(Uploaded_Data!$F$2:$F$59696="LG1")*(Uploaded_Data!$H$2:$H$59696=$A32)*Uploaded_Data!$N$2:$N$59696)</f>
        <v>0</v>
      </c>
      <c r="L32" s="80" cm="1">
        <f t="array" ref="L32">SUMPRODUCT((Uploaded_Data!$D$2:$D$59696="Production Transfers")*(Uploaded_Data!$E$2:$E$59696="South Mine to Stock Yard")*(Uploaded_Data!$F$2:$F$59696="LG1")*(Uploaded_Data!$H$2:$H$59696=$A32)*Uploaded_Data!$N$2:$N$59696)</f>
        <v>0</v>
      </c>
      <c r="M32" s="80" cm="1">
        <f t="array" ref="M32">SUMPRODUCT((Uploaded_Data!$D$2:$D$59696="Production Transfers")*(Uploaded_Data!$E$2:$E$59696="North Mine to Pile (through Crusher)")*(Uploaded_Data!$F$2:$F$59696="LG1")*(Uploaded_Data!$H$2:$H$59696=$A32)*Uploaded_Data!$N$2:$N$59696)</f>
        <v>0</v>
      </c>
      <c r="N32" s="80" cm="1">
        <f t="array" ref="N32">SUMPRODUCT((Uploaded_Data!$D$2:$D$59696="Production Transfers")*(Uploaded_Data!$E$2:$E$59696="North Mine to Direct Pile (Bypass Crusher)")*(Uploaded_Data!$F$2:$F$59696="LG1")*(Uploaded_Data!$H$2:$H$59696=$A32)*Uploaded_Data!$N$2:$N$59696)</f>
        <v>0</v>
      </c>
      <c r="O32" s="80" cm="1">
        <f t="array" ref="O32">SUMPRODUCT((Uploaded_Data!$D$2:$D$59696="Production Transfers")*(Uploaded_Data!$E$2:$E$59696="North Mine to Stock Yard")*(Uploaded_Data!$F$2:$F$59696="LG1")*(Uploaded_Data!$H$2:$H$59696=$A32)*Uploaded_Data!$N$2:$N$59696)</f>
        <v>0</v>
      </c>
      <c r="P32" s="80" cm="1">
        <f t="array" ref="P32">SUMPRODUCT((Uploaded_Data!$D$2:$D$59696="Internal Transfers")*(Uploaded_Data!$E$2:$E$59696="Stock Yard to Pile (through Crusher)")*(Uploaded_Data!$F$2:$F$59696="LG1")*(Uploaded_Data!$H$2:$H$59696=$A32)*Uploaded_Data!$N$2:$N$59696)</f>
        <v>0</v>
      </c>
      <c r="Q32" s="80" cm="1">
        <f t="array" ref="Q32">SUMPRODUCT((Uploaded_Data!$D$2:$D$59696="Internal Transfers")*(Uploaded_Data!$E$2:$E$59696="Stock Yard to Direct Pile (Bypass Crusher)")*(Uploaded_Data!$F$2:$F$59696="LG1")*(Uploaded_Data!$H$2:$H$59696=$A32)*Uploaded_Data!$N$2:$N$59696)</f>
        <v>0</v>
      </c>
      <c r="R32" s="80" cm="1">
        <f t="array" ref="R32">SUMPRODUCT((Uploaded_Data!$D$2:$D$59696="Internal Transfers")*(Uploaded_Data!$E$2:$E$59696="Stock Yard to Other Usages")*(Uploaded_Data!$F$2:$F$59696="LG1")*(Uploaded_Data!$H$2:$H$59696=$A32)*Uploaded_Data!$N$2:$N$59696)</f>
        <v>0</v>
      </c>
      <c r="S32" s="80" cm="1">
        <f t="array" ref="S32">SUMPRODUCT((Uploaded_Data!$D$2:$D$59696="Internal Transfers")*(Uploaded_Data!$E$2:$E$59696="Stock Yard to Pile (through Crusher)")*(Uploaded_Data!$F$2:$F$59696="LIMESTONE SPG")*(Uploaded_Data!$H$2:$H$59696=$A32)*Uploaded_Data!$N$2:$N$59696)</f>
        <v>0</v>
      </c>
      <c r="T32" s="80" cm="1">
        <f t="array" ref="T32">SUMPRODUCT((Uploaded_Data!$D$2:$D$59696="Internal Transfers")*(Uploaded_Data!$E$2:$E$59696="Stock Yard to Direct Pile (Bypass Crusher)")*(Uploaded_Data!$F$2:$F$59696="LIMESTONE SPG")*(Uploaded_Data!$H$2:$H$59696=$A32)*Uploaded_Data!$N$2:$N$59696)</f>
        <v>0</v>
      </c>
      <c r="U32" s="80" cm="1">
        <f t="array" ref="U32">SUMPRODUCT((Uploaded_Data!$D$2:$D$59696="Production Transfers")*(Uploaded_Data!$E$2:$E$59696="South Mine to Pile (through Crusher)")*(Uploaded_Data!$F$2:$F$59696="OB/CLAY")*(Uploaded_Data!$H$2:$H$59696=$A32)*Uploaded_Data!$N$2:$N$59696)</f>
        <v>0</v>
      </c>
      <c r="V32" s="80" cm="1">
        <f t="array" ref="V32">SUMPRODUCT((Uploaded_Data!$D$2:$D$59696="Production Transfers")*(Uploaded_Data!$E$2:$E$59696="South Mine to Direct Pile (Bypass Crusher)")*(Uploaded_Data!$F$2:$F$59696="OB/CLAY")*(Uploaded_Data!$H$2:$H$59696=$A32)*Uploaded_Data!$N$2:$N$59696)</f>
        <v>0</v>
      </c>
      <c r="W32" s="80" cm="1">
        <f t="array" ref="W32">SUMPRODUCT((Uploaded_Data!$D$2:$D$59696="Production Transfers")*(Uploaded_Data!$E$2:$E$59696="South Mine to Stock Yard")*(Uploaded_Data!$F$2:$F$59696="OB/CLAY")*(Uploaded_Data!$H$2:$H$59696=$A32)*Uploaded_Data!$N$2:$N$59696)</f>
        <v>0</v>
      </c>
      <c r="X32" s="80" cm="1">
        <f t="array" ref="X32">SUMPRODUCT((Uploaded_Data!$D$2:$D$59696="Production Transfers")*(Uploaded_Data!$E$2:$E$59696="South Mine to Golani Waste dump")*(Uploaded_Data!$F$2:$F$59696="WASTE")*(Uploaded_Data!$H$2:$H$59696=$A32)*Uploaded_Data!$N$2:$N$59696)</f>
        <v>0</v>
      </c>
      <c r="Y32" s="80" cm="1">
        <f t="array" ref="Y32">SUMPRODUCT((Uploaded_Data!$D$2:$D$59696="Production Transfers")*(Uploaded_Data!$E$2:$E$59696="North Mine to Pile (through Crusher)")*(Uploaded_Data!$F$2:$F$59696="OB/CLAY")*(Uploaded_Data!$H$2:$H$59696=$A32)*Uploaded_Data!$N$2:$N$59696)</f>
        <v>0</v>
      </c>
      <c r="Z32" s="80" cm="1">
        <f t="array" ref="Z32">SUMPRODUCT((Uploaded_Data!$D$2:$D$59696="Production Transfers")*(Uploaded_Data!$E$2:$E$59696="North Mine to Direct Pile (Bypass Crusher)")*(Uploaded_Data!$F$2:$F$59696="OB/CLAY")*(Uploaded_Data!$H$2:$H$59696=$A32)*Uploaded_Data!$N$2:$N$59696)</f>
        <v>0</v>
      </c>
      <c r="AA32" s="80" cm="1">
        <f t="array" ref="AA32">SUMPRODUCT((Uploaded_Data!$D$2:$D$59696="Production Transfers")*(Uploaded_Data!$E$2:$E$59696="North Mine to Stock Yard")*(Uploaded_Data!$F$2:$F$59696="OB/CLAY")*(Uploaded_Data!$H$2:$H$59696=$A32)*Uploaded_Data!$N$2:$N$59696)</f>
        <v>0</v>
      </c>
      <c r="AB32" s="80" cm="1">
        <f t="array" ref="AB32">SUMPRODUCT((Uploaded_Data!$D$2:$D$59696="Production Transfers")*(Uploaded_Data!$E$2:$E$59696="North Mine to Golani Waste dump")*(Uploaded_Data!$F$2:$F$59696="WASTE")*(Uploaded_Data!$H$2:$H$59696=$A32)*Uploaded_Data!$N$2:$N$59696)</f>
        <v>0</v>
      </c>
      <c r="AC32" s="80" cm="1">
        <f t="array" ref="AC32">SUMPRODUCT((Uploaded_Data!$D$2:$D$59696="Internal Transfers")*(Uploaded_Data!$E$2:$E$59696="Stock Yard to Pile (through Crusher)")*(Uploaded_Data!$F$2:$F$59696="OB/CLAY")*(Uploaded_Data!$H$2:$H$59696=$A32)*Uploaded_Data!$N$2:$N$59696)</f>
        <v>0</v>
      </c>
      <c r="AD32" s="80" cm="1">
        <f t="array" ref="AD32">SUMPRODUCT((Uploaded_Data!$D$2:$D$59696="Internal Transfers")*(Uploaded_Data!$E$2:$E$59696="Stock Yard to Other Usages")*(Uploaded_Data!$F$2:$F$59696="OB/CLAY")*(Uploaded_Data!$H$2:$H$59696=$A32)*Uploaded_Data!$N$2:$N$59696)</f>
        <v>0</v>
      </c>
      <c r="AE32" s="80" cm="1">
        <f t="array" ref="AE32">SUMPRODUCT((Uploaded_Data!$D$2:$D$59696="Internal Transfers")*(Uploaded_Data!$E$2:$E$59696="Stock Yard to Direct Pile (Bypass Crusher)")*(Uploaded_Data!$F$2:$F$59696="OB/CLAY")*(Uploaded_Data!$H$2:$H$59696=$A32)*Uploaded_Data!$N$2:$N$59696)</f>
        <v>0</v>
      </c>
      <c r="AF32" s="80" cm="1">
        <f t="array" ref="AF32">SUMPRODUCT((Uploaded_Data!$D$2:$D$59696="Production Transfers")*(Uploaded_Data!$E$2:$E$59696="South Mine to Pile (through Crusher)")*(Uploaded_Data!$F$2:$F$59696="HGHMGO")*(Uploaded_Data!$H$2:$H$59696=$A32)*Uploaded_Data!$N$2:$N$59696)</f>
        <v>0</v>
      </c>
      <c r="AG32" s="80" cm="1">
        <f t="array" ref="AG32">SUMPRODUCT((Uploaded_Data!$D$2:$D$59696="Production Transfers")*(Uploaded_Data!$E$2:$E$59696="South Mine to Direct Pile (Bypass Crusher)")*(Uploaded_Data!$F$2:$F$59696="HGHMGO")*(Uploaded_Data!$H$2:$H$59696=$A32)*Uploaded_Data!$N$2:$N$59696)</f>
        <v>0</v>
      </c>
      <c r="AH32" s="80" cm="1">
        <f t="array" ref="AH32">SUMPRODUCT((Uploaded_Data!$D$2:$D$59696="Production Transfers")*(Uploaded_Data!$E$2:$E$59696="South Mine to Stock Yard")*(Uploaded_Data!$F$2:$F$59696="HGHMGO")*(Uploaded_Data!$H$2:$H$59696=$A32)*Uploaded_Data!$N$2:$N$59696)</f>
        <v>0</v>
      </c>
      <c r="AI32" s="80" cm="1">
        <f t="array" ref="AI32">SUMPRODUCT((Uploaded_Data!$D$2:$D$59696="Internal Transfers")*(Uploaded_Data!$E$2:$E$59696="Stock Yard to Pile (through Crusher)")*(Uploaded_Data!$F$2:$F$59696="HGHMGO")*(Uploaded_Data!$H$2:$H$59696=$A32)*Uploaded_Data!$N$2:$N$59696)</f>
        <v>0</v>
      </c>
      <c r="AJ32" s="80" cm="1">
        <f t="array" ref="AJ32">SUMPRODUCT((Uploaded_Data!$D$2:$D$59696="Production Transfers")*(Uploaded_Data!$E$2:$E$59696="South Mine to Pile (through Crusher)")*(Uploaded_Data!$F$2:$F$59696="LGHMGO")*(Uploaded_Data!$H$2:$H$59696=$A32)*Uploaded_Data!$N$2:$N$59696)</f>
        <v>0</v>
      </c>
      <c r="AK32" s="80" cm="1">
        <f t="array" ref="AK32">SUMPRODUCT((Uploaded_Data!$D$2:$D$59696="Production Transfers")*(Uploaded_Data!$E$2:$E$59696="South Mine to Direct Pile (Bypass Crusher)")*(Uploaded_Data!$F$2:$F$59696="LGHMGO")*(Uploaded_Data!$H$2:$H$59696=$A32)*Uploaded_Data!$N$2:$N$59696)</f>
        <v>0</v>
      </c>
      <c r="AL32" s="80" cm="1">
        <f t="array" ref="AL32">SUMPRODUCT((Uploaded_Data!$D$2:$D$59696="Production Transfers")*(Uploaded_Data!$E$2:$E$59696="South Mine to Stock Yard")*(Uploaded_Data!$F$2:$F$59696="LGHMGO")*(Uploaded_Data!$H$2:$H$59696=$A32)*Uploaded_Data!$N$2:$N$59696)</f>
        <v>0</v>
      </c>
      <c r="AM32" s="80" cm="1">
        <f t="array" ref="AM32">SUMPRODUCT((Uploaded_Data!$D$2:$D$59696="Internal Transfers")*(Uploaded_Data!$E$2:$E$59696="Stock Yard to Pile (through Crusher)")*(Uploaded_Data!$F$2:$F$59696="LGHMGO")*(Uploaded_Data!$H$2:$H$59696=$A32)*Uploaded_Data!$N$2:$N$59696)</f>
        <v>0</v>
      </c>
      <c r="AN32" s="103">
        <f t="shared" si="0"/>
        <v>0</v>
      </c>
      <c r="AO32" s="71"/>
      <c r="AP32" s="109" cm="1">
        <f t="array" ref="AP32">SUMPRODUCT((Uploaded_Data!$D$2:$D$59696="Internal Transfers")*(Uploaded_Data!$E$2:$E$59696="Stock Yard to Pile (through Crusher)")*(Uploaded_Data!$F$2:$F$59696="GYPSUM")*(Uploaded_Data!$H$2:$H$59696=$A32)*Uploaded_Data!$N$2:$N$59696)</f>
        <v>0</v>
      </c>
      <c r="AQ32" s="109" cm="1">
        <f t="array" ref="AQ32">SUMPRODUCT((Uploaded_Data!$D$2:$D$59696="Internal Transfers")*(Uploaded_Data!$E$2:$E$59696="Stock Yard to Direct Pile (Bypass Crusher)")*(Uploaded_Data!$F$2:$F$59696="GYPSUM")*(Uploaded_Data!$H$2:$H$59696=$A32)*Uploaded_Data!$N$2:$N$59696)</f>
        <v>0</v>
      </c>
      <c r="AR32" s="109" cm="1">
        <f t="array" ref="AR32">SUMPRODUCT((Uploaded_Data!$D$2:$D$59696="Internal Transfers")*(Uploaded_Data!$E$2:$E$59696="Stock Yard to Other Usages")*(Uploaded_Data!$F$2:$F$59696="ID Clay")*(Uploaded_Data!$H$2:$H$59696=$A32)*Uploaded_Data!$N$2:$N$59696)</f>
        <v>0</v>
      </c>
      <c r="AS32" s="109" cm="1">
        <f t="array" ref="AS32">SUMPRODUCT((Uploaded_Data!$D$2:$D$59696="Internal Transfers")*(Uploaded_Data!$E$2:$E$59696="Stock Yard to Direct Pile (Bypass Crusher)")*(Uploaded_Data!$F$2:$F$59696="ID Clay")*(Uploaded_Data!$H$2:$H$59696=$A32)*Uploaded_Data!$N$2:$N$59696)</f>
        <v>0</v>
      </c>
      <c r="AT32" s="109" cm="1">
        <f t="array" ref="AT32">SUMPRODUCT((Uploaded_Data!$D$2:$D$59696="Production Transfers")*(Uploaded_Data!$E$2:$E$59696="Kijaka Mine to Stock Yard")*(Uploaded_Data!$F$2:$F$59696="ID Clay")*(Uploaded_Data!$H$2:$H$59696=$A32)*Uploaded_Data!$N$2:$N$59696)</f>
        <v>0</v>
      </c>
      <c r="AU32" s="102">
        <f t="shared" si="1"/>
        <v>0</v>
      </c>
      <c r="AV32" s="109">
        <f t="shared" si="2"/>
        <v>0</v>
      </c>
      <c r="AW32" s="109"/>
      <c r="AX32" s="109"/>
      <c r="AY32" s="114"/>
      <c r="AZ32" s="110">
        <f t="shared" si="3"/>
        <v>0</v>
      </c>
      <c r="BA32" s="112">
        <f t="shared" si="4"/>
        <v>0</v>
      </c>
      <c r="BB32" s="110"/>
    </row>
    <row r="33" spans="1:62">
      <c r="A33" s="79">
        <v>46141</v>
      </c>
      <c r="B33" s="80" cm="1">
        <f t="array" ref="B33">SUMPRODUCT((Uploaded_Data!$D$2:$D$59696="Production Transfers")*(Uploaded_Data!$E$2:$E$59696="South Mine to Pile (through Crusher)")*(Uploaded_Data!$F$2:$F$59696="HG")*(Uploaded_Data!$H$2:$H$59696=$A33)*Uploaded_Data!$N$2:$N$59696)</f>
        <v>0</v>
      </c>
      <c r="C33" s="80" cm="1">
        <f t="array" ref="C33">SUMPRODUCT((Uploaded_Data!$D$2:$D$59696="Production Transfers")*(Uploaded_Data!$E$2:$E$59696="South Mine to Direct Pile (Bypass Crusher)")*(Uploaded_Data!$F$2:$F$59696="HG")*(Uploaded_Data!$H$2:$H$59696=$A33)*Uploaded_Data!$N$2:$N$59696)</f>
        <v>0</v>
      </c>
      <c r="D33" s="80" cm="1">
        <f t="array" ref="D33">SUMPRODUCT((Uploaded_Data!$D$2:$D$59696="Production Transfers")*(Uploaded_Data!$E$2:$E$59696="South Mine to Stock Yard")*(Uploaded_Data!$F$2:$F$59696="HG")*(Uploaded_Data!$H$2:$H$59696=$A33)*Uploaded_Data!$N$2:$N$59696)</f>
        <v>0</v>
      </c>
      <c r="E33" s="80" cm="1">
        <f t="array" ref="E33">SUMPRODUCT((Uploaded_Data!$D$2:$D$59696="Production Transfers")*(Uploaded_Data!$E$2:$E$59696="North Mine to Pile (through Crusher)")*(Uploaded_Data!$F$2:$F$59696="HG")*(Uploaded_Data!$H$2:$H$59696=$A33)*Uploaded_Data!$N$2:$N$59696)</f>
        <v>0</v>
      </c>
      <c r="F33" s="80" cm="1">
        <f t="array" ref="F33">SUMPRODUCT((Uploaded_Data!$D$2:$D$59696="Production Transfers")*(Uploaded_Data!$E$2:$E$59696="North Mine to Direct Pile (Bypass Crusher)")*(Uploaded_Data!$F$2:$F$59696="HG")*(Uploaded_Data!$H$2:$H$59696=$A33)*Uploaded_Data!$N$2:$N$59696)</f>
        <v>0</v>
      </c>
      <c r="G33" s="80" cm="1">
        <f t="array" ref="G33">SUMPRODUCT((Uploaded_Data!$D$2:$D$59696="Production Transfers")*(Uploaded_Data!$E$2:$E$59696="North Mine to Stock Yard")*(Uploaded_Data!$F$2:$F$59696="HG")*(Uploaded_Data!$H$2:$H$59696=$A33)*Uploaded_Data!$N$2:$N$59696)</f>
        <v>0</v>
      </c>
      <c r="H33" s="80" cm="1">
        <f t="array" ref="H33">SUMPRODUCT((Uploaded_Data!$D$2:$D$59696="Internal Transfers")*(Uploaded_Data!$E$2:$E$59696="Stock Yard to Pile (through Crusher)")*(Uploaded_Data!$F$2:$F$59696="HG")*(Uploaded_Data!$H$2:$H$59696=$A33)*Uploaded_Data!$N$2:$N$59696)</f>
        <v>0</v>
      </c>
      <c r="I33" s="80" cm="1">
        <f t="array" ref="I33">SUMPRODUCT((Uploaded_Data!$D$2:$D$59696="Internal Transfers")*(Uploaded_Data!$E$2:$E$59696="Stock Yard to Direct Pile (Bypass Crusher)")*(Uploaded_Data!$F$2:$F$59696="HG")*(Uploaded_Data!$H$2:$H$59696=$A33)*Uploaded_Data!$N$2:$N$59696)</f>
        <v>0</v>
      </c>
      <c r="J33" s="80" cm="1">
        <f t="array" ref="J33">SUMPRODUCT((Uploaded_Data!$D$2:$D$59696="Production Transfers")*(Uploaded_Data!$E$2:$E$59696="South Mine to Pile (through Crusher)")*(Uploaded_Data!$F$2:$F$59696="LG1")*(Uploaded_Data!$H$2:$H$59696=$A33)*Uploaded_Data!$N$2:$N$59696)</f>
        <v>0</v>
      </c>
      <c r="K33" s="80" cm="1">
        <f t="array" ref="K33">SUMPRODUCT((Uploaded_Data!$D$2:$D$59696="Production Transfers")*(Uploaded_Data!$E$2:$E$59696="South Mine to Direct Pile (Bypass Crusher)")*(Uploaded_Data!$F$2:$F$59696="LG1")*(Uploaded_Data!$H$2:$H$59696=$A33)*Uploaded_Data!$N$2:$N$59696)</f>
        <v>0</v>
      </c>
      <c r="L33" s="80" cm="1">
        <f t="array" ref="L33">SUMPRODUCT((Uploaded_Data!$D$2:$D$59696="Production Transfers")*(Uploaded_Data!$E$2:$E$59696="South Mine to Stock Yard")*(Uploaded_Data!$F$2:$F$59696="LG1")*(Uploaded_Data!$H$2:$H$59696=$A33)*Uploaded_Data!$N$2:$N$59696)</f>
        <v>0</v>
      </c>
      <c r="M33" s="80" cm="1">
        <f t="array" ref="M33">SUMPRODUCT((Uploaded_Data!$D$2:$D$59696="Production Transfers")*(Uploaded_Data!$E$2:$E$59696="North Mine to Pile (through Crusher)")*(Uploaded_Data!$F$2:$F$59696="LG1")*(Uploaded_Data!$H$2:$H$59696=$A33)*Uploaded_Data!$N$2:$N$59696)</f>
        <v>0</v>
      </c>
      <c r="N33" s="80" cm="1">
        <f t="array" ref="N33">SUMPRODUCT((Uploaded_Data!$D$2:$D$59696="Production Transfers")*(Uploaded_Data!$E$2:$E$59696="North Mine to Direct Pile (Bypass Crusher)")*(Uploaded_Data!$F$2:$F$59696="LG1")*(Uploaded_Data!$H$2:$H$59696=$A33)*Uploaded_Data!$N$2:$N$59696)</f>
        <v>0</v>
      </c>
      <c r="O33" s="80" cm="1">
        <f t="array" ref="O33">SUMPRODUCT((Uploaded_Data!$D$2:$D$59696="Production Transfers")*(Uploaded_Data!$E$2:$E$59696="North Mine to Stock Yard")*(Uploaded_Data!$F$2:$F$59696="LG1")*(Uploaded_Data!$H$2:$H$59696=$A33)*Uploaded_Data!$N$2:$N$59696)</f>
        <v>0</v>
      </c>
      <c r="P33" s="80" cm="1">
        <f t="array" ref="P33">SUMPRODUCT((Uploaded_Data!$D$2:$D$59696="Internal Transfers")*(Uploaded_Data!$E$2:$E$59696="Stock Yard to Pile (through Crusher)")*(Uploaded_Data!$F$2:$F$59696="LG1")*(Uploaded_Data!$H$2:$H$59696=$A33)*Uploaded_Data!$N$2:$N$59696)</f>
        <v>0</v>
      </c>
      <c r="Q33" s="80" cm="1">
        <f t="array" ref="Q33">SUMPRODUCT((Uploaded_Data!$D$2:$D$59696="Internal Transfers")*(Uploaded_Data!$E$2:$E$59696="Stock Yard to Direct Pile (Bypass Crusher)")*(Uploaded_Data!$F$2:$F$59696="LG1")*(Uploaded_Data!$H$2:$H$59696=$A33)*Uploaded_Data!$N$2:$N$59696)</f>
        <v>0</v>
      </c>
      <c r="R33" s="80" cm="1">
        <f t="array" ref="R33">SUMPRODUCT((Uploaded_Data!$D$2:$D$59696="Internal Transfers")*(Uploaded_Data!$E$2:$E$59696="Stock Yard to Other Usages")*(Uploaded_Data!$F$2:$F$59696="LG1")*(Uploaded_Data!$H$2:$H$59696=$A33)*Uploaded_Data!$N$2:$N$59696)</f>
        <v>0</v>
      </c>
      <c r="S33" s="80" cm="1">
        <f t="array" ref="S33">SUMPRODUCT((Uploaded_Data!$D$2:$D$59696="Internal Transfers")*(Uploaded_Data!$E$2:$E$59696="Stock Yard to Pile (through Crusher)")*(Uploaded_Data!$F$2:$F$59696="LIMESTONE SPG")*(Uploaded_Data!$H$2:$H$59696=$A33)*Uploaded_Data!$N$2:$N$59696)</f>
        <v>0</v>
      </c>
      <c r="T33" s="80" cm="1">
        <f t="array" ref="T33">SUMPRODUCT((Uploaded_Data!$D$2:$D$59696="Internal Transfers")*(Uploaded_Data!$E$2:$E$59696="Stock Yard to Direct Pile (Bypass Crusher)")*(Uploaded_Data!$F$2:$F$59696="LIMESTONE SPG")*(Uploaded_Data!$H$2:$H$59696=$A33)*Uploaded_Data!$N$2:$N$59696)</f>
        <v>0</v>
      </c>
      <c r="U33" s="80" cm="1">
        <f t="array" ref="U33">SUMPRODUCT((Uploaded_Data!$D$2:$D$59696="Production Transfers")*(Uploaded_Data!$E$2:$E$59696="South Mine to Pile (through Crusher)")*(Uploaded_Data!$F$2:$F$59696="OB/CLAY")*(Uploaded_Data!$H$2:$H$59696=$A33)*Uploaded_Data!$N$2:$N$59696)</f>
        <v>0</v>
      </c>
      <c r="V33" s="80" cm="1">
        <f t="array" ref="V33">SUMPRODUCT((Uploaded_Data!$D$2:$D$59696="Production Transfers")*(Uploaded_Data!$E$2:$E$59696="South Mine to Direct Pile (Bypass Crusher)")*(Uploaded_Data!$F$2:$F$59696="OB/CLAY")*(Uploaded_Data!$H$2:$H$59696=$A33)*Uploaded_Data!$N$2:$N$59696)</f>
        <v>0</v>
      </c>
      <c r="W33" s="80" cm="1">
        <f t="array" ref="W33">SUMPRODUCT((Uploaded_Data!$D$2:$D$59696="Production Transfers")*(Uploaded_Data!$E$2:$E$59696="South Mine to Stock Yard")*(Uploaded_Data!$F$2:$F$59696="OB/CLAY")*(Uploaded_Data!$H$2:$H$59696=$A33)*Uploaded_Data!$N$2:$N$59696)</f>
        <v>0</v>
      </c>
      <c r="X33" s="80" cm="1">
        <f t="array" ref="X33">SUMPRODUCT((Uploaded_Data!$D$2:$D$59696="Production Transfers")*(Uploaded_Data!$E$2:$E$59696="South Mine to Golani Waste dump")*(Uploaded_Data!$F$2:$F$59696="WASTE")*(Uploaded_Data!$H$2:$H$59696=$A33)*Uploaded_Data!$N$2:$N$59696)</f>
        <v>0</v>
      </c>
      <c r="Y33" s="80" cm="1">
        <f t="array" ref="Y33">SUMPRODUCT((Uploaded_Data!$D$2:$D$59696="Production Transfers")*(Uploaded_Data!$E$2:$E$59696="North Mine to Pile (through Crusher)")*(Uploaded_Data!$F$2:$F$59696="OB/CLAY")*(Uploaded_Data!$H$2:$H$59696=$A33)*Uploaded_Data!$N$2:$N$59696)</f>
        <v>0</v>
      </c>
      <c r="Z33" s="80" cm="1">
        <f t="array" ref="Z33">SUMPRODUCT((Uploaded_Data!$D$2:$D$59696="Production Transfers")*(Uploaded_Data!$E$2:$E$59696="North Mine to Direct Pile (Bypass Crusher)")*(Uploaded_Data!$F$2:$F$59696="OB/CLAY")*(Uploaded_Data!$H$2:$H$59696=$A33)*Uploaded_Data!$N$2:$N$59696)</f>
        <v>0</v>
      </c>
      <c r="AA33" s="80" cm="1">
        <f t="array" ref="AA33">SUMPRODUCT((Uploaded_Data!$D$2:$D$59696="Production Transfers")*(Uploaded_Data!$E$2:$E$59696="North Mine to Stock Yard")*(Uploaded_Data!$F$2:$F$59696="OB/CLAY")*(Uploaded_Data!$H$2:$H$59696=$A33)*Uploaded_Data!$N$2:$N$59696)</f>
        <v>0</v>
      </c>
      <c r="AB33" s="80" cm="1">
        <f t="array" ref="AB33">SUMPRODUCT((Uploaded_Data!$D$2:$D$59696="Production Transfers")*(Uploaded_Data!$E$2:$E$59696="North Mine to Golani Waste dump")*(Uploaded_Data!$F$2:$F$59696="WASTE")*(Uploaded_Data!$H$2:$H$59696=$A33)*Uploaded_Data!$N$2:$N$59696)</f>
        <v>0</v>
      </c>
      <c r="AC33" s="80" cm="1">
        <f t="array" ref="AC33">SUMPRODUCT((Uploaded_Data!$D$2:$D$59696="Internal Transfers")*(Uploaded_Data!$E$2:$E$59696="Stock Yard to Pile (through Crusher)")*(Uploaded_Data!$F$2:$F$59696="OB/CLAY")*(Uploaded_Data!$H$2:$H$59696=$A33)*Uploaded_Data!$N$2:$N$59696)</f>
        <v>0</v>
      </c>
      <c r="AD33" s="80" cm="1">
        <f t="array" ref="AD33">SUMPRODUCT((Uploaded_Data!$D$2:$D$59696="Internal Transfers")*(Uploaded_Data!$E$2:$E$59696="Stock Yard to Other Usages")*(Uploaded_Data!$F$2:$F$59696="OB/CLAY")*(Uploaded_Data!$H$2:$H$59696=$A33)*Uploaded_Data!$N$2:$N$59696)</f>
        <v>0</v>
      </c>
      <c r="AE33" s="80" cm="1">
        <f t="array" ref="AE33">SUMPRODUCT((Uploaded_Data!$D$2:$D$59696="Internal Transfers")*(Uploaded_Data!$E$2:$E$59696="Stock Yard to Direct Pile (Bypass Crusher)")*(Uploaded_Data!$F$2:$F$59696="OB/CLAY")*(Uploaded_Data!$H$2:$H$59696=$A33)*Uploaded_Data!$N$2:$N$59696)</f>
        <v>0</v>
      </c>
      <c r="AF33" s="80" cm="1">
        <f t="array" ref="AF33">SUMPRODUCT((Uploaded_Data!$D$2:$D$59696="Production Transfers")*(Uploaded_Data!$E$2:$E$59696="South Mine to Pile (through Crusher)")*(Uploaded_Data!$F$2:$F$59696="HGHMGO")*(Uploaded_Data!$H$2:$H$59696=$A33)*Uploaded_Data!$N$2:$N$59696)</f>
        <v>0</v>
      </c>
      <c r="AG33" s="80" cm="1">
        <f t="array" ref="AG33">SUMPRODUCT((Uploaded_Data!$D$2:$D$59696="Production Transfers")*(Uploaded_Data!$E$2:$E$59696="South Mine to Direct Pile (Bypass Crusher)")*(Uploaded_Data!$F$2:$F$59696="HGHMGO")*(Uploaded_Data!$H$2:$H$59696=$A33)*Uploaded_Data!$N$2:$N$59696)</f>
        <v>0</v>
      </c>
      <c r="AH33" s="80" cm="1">
        <f t="array" ref="AH33">SUMPRODUCT((Uploaded_Data!$D$2:$D$59696="Production Transfers")*(Uploaded_Data!$E$2:$E$59696="South Mine to Stock Yard")*(Uploaded_Data!$F$2:$F$59696="HGHMGO")*(Uploaded_Data!$H$2:$H$59696=$A33)*Uploaded_Data!$N$2:$N$59696)</f>
        <v>0</v>
      </c>
      <c r="AI33" s="80" cm="1">
        <f t="array" ref="AI33">SUMPRODUCT((Uploaded_Data!$D$2:$D$59696="Internal Transfers")*(Uploaded_Data!$E$2:$E$59696="Stock Yard to Pile (through Crusher)")*(Uploaded_Data!$F$2:$F$59696="HGHMGO")*(Uploaded_Data!$H$2:$H$59696=$A33)*Uploaded_Data!$N$2:$N$59696)</f>
        <v>0</v>
      </c>
      <c r="AJ33" s="80" cm="1">
        <f t="array" ref="AJ33">SUMPRODUCT((Uploaded_Data!$D$2:$D$59696="Production Transfers")*(Uploaded_Data!$E$2:$E$59696="South Mine to Pile (through Crusher)")*(Uploaded_Data!$F$2:$F$59696="LGHMGO")*(Uploaded_Data!$H$2:$H$59696=$A33)*Uploaded_Data!$N$2:$N$59696)</f>
        <v>0</v>
      </c>
      <c r="AK33" s="80" cm="1">
        <f t="array" ref="AK33">SUMPRODUCT((Uploaded_Data!$D$2:$D$59696="Production Transfers")*(Uploaded_Data!$E$2:$E$59696="South Mine to Direct Pile (Bypass Crusher)")*(Uploaded_Data!$F$2:$F$59696="LGHMGO")*(Uploaded_Data!$H$2:$H$59696=$A33)*Uploaded_Data!$N$2:$N$59696)</f>
        <v>0</v>
      </c>
      <c r="AL33" s="80" cm="1">
        <f t="array" ref="AL33">SUMPRODUCT((Uploaded_Data!$D$2:$D$59696="Production Transfers")*(Uploaded_Data!$E$2:$E$59696="South Mine to Stock Yard")*(Uploaded_Data!$F$2:$F$59696="LGHMGO")*(Uploaded_Data!$H$2:$H$59696=$A33)*Uploaded_Data!$N$2:$N$59696)</f>
        <v>0</v>
      </c>
      <c r="AM33" s="80" cm="1">
        <f t="array" ref="AM33">SUMPRODUCT((Uploaded_Data!$D$2:$D$59696="Internal Transfers")*(Uploaded_Data!$E$2:$E$59696="Stock Yard to Pile (through Crusher)")*(Uploaded_Data!$F$2:$F$59696="LGHMGO")*(Uploaded_Data!$H$2:$H$59696=$A33)*Uploaded_Data!$N$2:$N$59696)</f>
        <v>0</v>
      </c>
      <c r="AN33" s="103">
        <f t="shared" si="0"/>
        <v>0</v>
      </c>
      <c r="AO33" s="71"/>
      <c r="AP33" s="109" cm="1">
        <f t="array" ref="AP33">SUMPRODUCT((Uploaded_Data!$D$2:$D$59696="Internal Transfers")*(Uploaded_Data!$E$2:$E$59696="Stock Yard to Pile (through Crusher)")*(Uploaded_Data!$F$2:$F$59696="GYPSUM")*(Uploaded_Data!$H$2:$H$59696=$A33)*Uploaded_Data!$N$2:$N$59696)</f>
        <v>0</v>
      </c>
      <c r="AQ33" s="109" cm="1">
        <f t="array" ref="AQ33">SUMPRODUCT((Uploaded_Data!$D$2:$D$59696="Internal Transfers")*(Uploaded_Data!$E$2:$E$59696="Stock Yard to Direct Pile (Bypass Crusher)")*(Uploaded_Data!$F$2:$F$59696="GYPSUM")*(Uploaded_Data!$H$2:$H$59696=$A33)*Uploaded_Data!$N$2:$N$59696)</f>
        <v>0</v>
      </c>
      <c r="AR33" s="109" cm="1">
        <f t="array" ref="AR33">SUMPRODUCT((Uploaded_Data!$D$2:$D$59696="Internal Transfers")*(Uploaded_Data!$E$2:$E$59696="Stock Yard to Other Usages")*(Uploaded_Data!$F$2:$F$59696="ID Clay")*(Uploaded_Data!$H$2:$H$59696=$A33)*Uploaded_Data!$N$2:$N$59696)</f>
        <v>0</v>
      </c>
      <c r="AS33" s="109" cm="1">
        <f t="array" ref="AS33">SUMPRODUCT((Uploaded_Data!$D$2:$D$59696="Internal Transfers")*(Uploaded_Data!$E$2:$E$59696="Stock Yard to Direct Pile (Bypass Crusher)")*(Uploaded_Data!$F$2:$F$59696="ID Clay")*(Uploaded_Data!$H$2:$H$59696=$A33)*Uploaded_Data!$N$2:$N$59696)</f>
        <v>0</v>
      </c>
      <c r="AT33" s="109" cm="1">
        <f t="array" ref="AT33">SUMPRODUCT((Uploaded_Data!$D$2:$D$59696="Production Transfers")*(Uploaded_Data!$E$2:$E$59696="Kijaka Mine to Stock Yard")*(Uploaded_Data!$F$2:$F$59696="ID Clay")*(Uploaded_Data!$H$2:$H$59696=$A33)*Uploaded_Data!$N$2:$N$59696)</f>
        <v>0</v>
      </c>
      <c r="AU33" s="102">
        <f t="shared" si="1"/>
        <v>0</v>
      </c>
      <c r="AV33" s="109">
        <f t="shared" si="2"/>
        <v>0</v>
      </c>
      <c r="AW33" s="109"/>
      <c r="AX33" s="109"/>
      <c r="AY33" s="114"/>
      <c r="AZ33" s="110">
        <f t="shared" si="3"/>
        <v>0</v>
      </c>
      <c r="BA33" s="112">
        <f t="shared" si="4"/>
        <v>0</v>
      </c>
      <c r="BB33" s="110"/>
    </row>
    <row r="34" spans="1:62">
      <c r="A34" s="79">
        <v>46142</v>
      </c>
      <c r="B34" s="80" cm="1">
        <f t="array" ref="B34">SUMPRODUCT((Uploaded_Data!$D$2:$D$59696="Production Transfers")*(Uploaded_Data!$E$2:$E$59696="South Mine to Pile (through Crusher)")*(Uploaded_Data!$F$2:$F$59696="HG")*(Uploaded_Data!$H$2:$H$59696=$A34)*Uploaded_Data!$N$2:$N$59696)</f>
        <v>0</v>
      </c>
      <c r="C34" s="80" cm="1">
        <f t="array" ref="C34">SUMPRODUCT((Uploaded_Data!$D$2:$D$59696="Production Transfers")*(Uploaded_Data!$E$2:$E$59696="South Mine to Direct Pile (Bypass Crusher)")*(Uploaded_Data!$F$2:$F$59696="HG")*(Uploaded_Data!$H$2:$H$59696=$A34)*Uploaded_Data!$N$2:$N$59696)</f>
        <v>0</v>
      </c>
      <c r="D34" s="80" cm="1">
        <f t="array" ref="D34">SUMPRODUCT((Uploaded_Data!$D$2:$D$59696="Production Transfers")*(Uploaded_Data!$E$2:$E$59696="South Mine to Stock Yard")*(Uploaded_Data!$F$2:$F$59696="HG")*(Uploaded_Data!$H$2:$H$59696=$A34)*Uploaded_Data!$N$2:$N$59696)</f>
        <v>0</v>
      </c>
      <c r="E34" s="80" cm="1">
        <f t="array" ref="E34">SUMPRODUCT((Uploaded_Data!$D$2:$D$59696="Production Transfers")*(Uploaded_Data!$E$2:$E$59696="North Mine to Pile (through Crusher)")*(Uploaded_Data!$F$2:$F$59696="HG")*(Uploaded_Data!$H$2:$H$59696=$A34)*Uploaded_Data!$N$2:$N$59696)</f>
        <v>0</v>
      </c>
      <c r="F34" s="80" cm="1">
        <f t="array" ref="F34">SUMPRODUCT((Uploaded_Data!$D$2:$D$59696="Production Transfers")*(Uploaded_Data!$E$2:$E$59696="North Mine to Direct Pile (Bypass Crusher)")*(Uploaded_Data!$F$2:$F$59696="HG")*(Uploaded_Data!$H$2:$H$59696=$A34)*Uploaded_Data!$N$2:$N$59696)</f>
        <v>0</v>
      </c>
      <c r="G34" s="80" cm="1">
        <f t="array" ref="G34">SUMPRODUCT((Uploaded_Data!$D$2:$D$59696="Production Transfers")*(Uploaded_Data!$E$2:$E$59696="North Mine to Stock Yard")*(Uploaded_Data!$F$2:$F$59696="HG")*(Uploaded_Data!$H$2:$H$59696=$A34)*Uploaded_Data!$N$2:$N$59696)</f>
        <v>0</v>
      </c>
      <c r="H34" s="80" cm="1">
        <f t="array" ref="H34">SUMPRODUCT((Uploaded_Data!$D$2:$D$59696="Internal Transfers")*(Uploaded_Data!$E$2:$E$59696="Stock Yard to Pile (through Crusher)")*(Uploaded_Data!$F$2:$F$59696="HG")*(Uploaded_Data!$H$2:$H$59696=$A34)*Uploaded_Data!$N$2:$N$59696)</f>
        <v>0</v>
      </c>
      <c r="I34" s="80" cm="1">
        <f t="array" ref="I34">SUMPRODUCT((Uploaded_Data!$D$2:$D$59696="Internal Transfers")*(Uploaded_Data!$E$2:$E$59696="Stock Yard to Direct Pile (Bypass Crusher)")*(Uploaded_Data!$F$2:$F$59696="HG")*(Uploaded_Data!$H$2:$H$59696=$A34)*Uploaded_Data!$N$2:$N$59696)</f>
        <v>0</v>
      </c>
      <c r="J34" s="80" cm="1">
        <f t="array" ref="J34">SUMPRODUCT((Uploaded_Data!$D$2:$D$59696="Production Transfers")*(Uploaded_Data!$E$2:$E$59696="South Mine to Pile (through Crusher)")*(Uploaded_Data!$F$2:$F$59696="LG1")*(Uploaded_Data!$H$2:$H$59696=$A34)*Uploaded_Data!$N$2:$N$59696)</f>
        <v>0</v>
      </c>
      <c r="K34" s="80" cm="1">
        <f t="array" ref="K34">SUMPRODUCT((Uploaded_Data!$D$2:$D$59696="Production Transfers")*(Uploaded_Data!$E$2:$E$59696="South Mine to Direct Pile (Bypass Crusher)")*(Uploaded_Data!$F$2:$F$59696="LG1")*(Uploaded_Data!$H$2:$H$59696=$A34)*Uploaded_Data!$N$2:$N$59696)</f>
        <v>0</v>
      </c>
      <c r="L34" s="80" cm="1">
        <f t="array" ref="L34">SUMPRODUCT((Uploaded_Data!$D$2:$D$59696="Production Transfers")*(Uploaded_Data!$E$2:$E$59696="South Mine to Stock Yard")*(Uploaded_Data!$F$2:$F$59696="LG1")*(Uploaded_Data!$H$2:$H$59696=$A34)*Uploaded_Data!$N$2:$N$59696)</f>
        <v>0</v>
      </c>
      <c r="M34" s="80" cm="1">
        <f t="array" ref="M34">SUMPRODUCT((Uploaded_Data!$D$2:$D$59696="Production Transfers")*(Uploaded_Data!$E$2:$E$59696="North Mine to Pile (through Crusher)")*(Uploaded_Data!$F$2:$F$59696="LG1")*(Uploaded_Data!$H$2:$H$59696=$A34)*Uploaded_Data!$N$2:$N$59696)</f>
        <v>0</v>
      </c>
      <c r="N34" s="80" cm="1">
        <f t="array" ref="N34">SUMPRODUCT((Uploaded_Data!$D$2:$D$59696="Production Transfers")*(Uploaded_Data!$E$2:$E$59696="North Mine to Direct Pile (Bypass Crusher)")*(Uploaded_Data!$F$2:$F$59696="LG1")*(Uploaded_Data!$H$2:$H$59696=$A34)*Uploaded_Data!$N$2:$N$59696)</f>
        <v>0</v>
      </c>
      <c r="O34" s="80" cm="1">
        <f t="array" ref="O34">SUMPRODUCT((Uploaded_Data!$D$2:$D$59696="Production Transfers")*(Uploaded_Data!$E$2:$E$59696="North Mine to Stock Yard")*(Uploaded_Data!$F$2:$F$59696="LG1")*(Uploaded_Data!$H$2:$H$59696=$A34)*Uploaded_Data!$N$2:$N$59696)</f>
        <v>0</v>
      </c>
      <c r="P34" s="80" cm="1">
        <f t="array" ref="P34">SUMPRODUCT((Uploaded_Data!$D$2:$D$59696="Internal Transfers")*(Uploaded_Data!$E$2:$E$59696="Stock Yard to Pile (through Crusher)")*(Uploaded_Data!$F$2:$F$59696="LG1")*(Uploaded_Data!$H$2:$H$59696=$A34)*Uploaded_Data!$N$2:$N$59696)</f>
        <v>0</v>
      </c>
      <c r="Q34" s="80" cm="1">
        <f t="array" ref="Q34">SUMPRODUCT((Uploaded_Data!$D$2:$D$59696="Internal Transfers")*(Uploaded_Data!$E$2:$E$59696="Stock Yard to Direct Pile (Bypass Crusher)")*(Uploaded_Data!$F$2:$F$59696="LG1")*(Uploaded_Data!$H$2:$H$59696=$A34)*Uploaded_Data!$N$2:$N$59696)</f>
        <v>0</v>
      </c>
      <c r="R34" s="80" cm="1">
        <f t="array" ref="R34">SUMPRODUCT((Uploaded_Data!$D$2:$D$59696="Internal Transfers")*(Uploaded_Data!$E$2:$E$59696="Stock Yard to Other Usages")*(Uploaded_Data!$F$2:$F$59696="LG1")*(Uploaded_Data!$H$2:$H$59696=$A34)*Uploaded_Data!$N$2:$N$59696)</f>
        <v>0</v>
      </c>
      <c r="S34" s="80" cm="1">
        <f t="array" ref="S34">SUMPRODUCT((Uploaded_Data!$D$2:$D$59696="Internal Transfers")*(Uploaded_Data!$E$2:$E$59696="Stock Yard to Pile (through Crusher)")*(Uploaded_Data!$F$2:$F$59696="LIMESTONE SPG")*(Uploaded_Data!$H$2:$H$59696=$A34)*Uploaded_Data!$N$2:$N$59696)</f>
        <v>0</v>
      </c>
      <c r="T34" s="80" cm="1">
        <f t="array" ref="T34">SUMPRODUCT((Uploaded_Data!$D$2:$D$59696="Internal Transfers")*(Uploaded_Data!$E$2:$E$59696="Stock Yard to Direct Pile (Bypass Crusher)")*(Uploaded_Data!$F$2:$F$59696="LIMESTONE SPG")*(Uploaded_Data!$H$2:$H$59696=$A34)*Uploaded_Data!$N$2:$N$59696)</f>
        <v>0</v>
      </c>
      <c r="U34" s="80" cm="1">
        <f t="array" ref="U34">SUMPRODUCT((Uploaded_Data!$D$2:$D$59696="Production Transfers")*(Uploaded_Data!$E$2:$E$59696="South Mine to Pile (through Crusher)")*(Uploaded_Data!$F$2:$F$59696="OB/CLAY")*(Uploaded_Data!$H$2:$H$59696=$A34)*Uploaded_Data!$N$2:$N$59696)</f>
        <v>0</v>
      </c>
      <c r="V34" s="80" cm="1">
        <f t="array" ref="V34">SUMPRODUCT((Uploaded_Data!$D$2:$D$59696="Production Transfers")*(Uploaded_Data!$E$2:$E$59696="South Mine to Direct Pile (Bypass Crusher)")*(Uploaded_Data!$F$2:$F$59696="OB/CLAY")*(Uploaded_Data!$H$2:$H$59696=$A34)*Uploaded_Data!$N$2:$N$59696)</f>
        <v>0</v>
      </c>
      <c r="W34" s="80" cm="1">
        <f t="array" ref="W34">SUMPRODUCT((Uploaded_Data!$D$2:$D$59696="Production Transfers")*(Uploaded_Data!$E$2:$E$59696="South Mine to Stock Yard")*(Uploaded_Data!$F$2:$F$59696="OB/CLAY")*(Uploaded_Data!$H$2:$H$59696=$A34)*Uploaded_Data!$N$2:$N$59696)</f>
        <v>0</v>
      </c>
      <c r="X34" s="80" cm="1">
        <f t="array" ref="X34">SUMPRODUCT((Uploaded_Data!$D$2:$D$59696="Production Transfers")*(Uploaded_Data!$E$2:$E$59696="South Mine to Golani Waste dump")*(Uploaded_Data!$F$2:$F$59696="WASTE")*(Uploaded_Data!$H$2:$H$59696=$A34)*Uploaded_Data!$N$2:$N$59696)</f>
        <v>0</v>
      </c>
      <c r="Y34" s="80" cm="1">
        <f t="array" ref="Y34">SUMPRODUCT((Uploaded_Data!$D$2:$D$59696="Production Transfers")*(Uploaded_Data!$E$2:$E$59696="North Mine to Pile (through Crusher)")*(Uploaded_Data!$F$2:$F$59696="OB/CLAY")*(Uploaded_Data!$H$2:$H$59696=$A34)*Uploaded_Data!$N$2:$N$59696)</f>
        <v>0</v>
      </c>
      <c r="Z34" s="80" cm="1">
        <f t="array" ref="Z34">SUMPRODUCT((Uploaded_Data!$D$2:$D$59696="Production Transfers")*(Uploaded_Data!$E$2:$E$59696="North Mine to Direct Pile (Bypass Crusher)")*(Uploaded_Data!$F$2:$F$59696="OB/CLAY")*(Uploaded_Data!$H$2:$H$59696=$A34)*Uploaded_Data!$N$2:$N$59696)</f>
        <v>0</v>
      </c>
      <c r="AA34" s="80" cm="1">
        <f t="array" ref="AA34">SUMPRODUCT((Uploaded_Data!$D$2:$D$59696="Production Transfers")*(Uploaded_Data!$E$2:$E$59696="North Mine to Stock Yard")*(Uploaded_Data!$F$2:$F$59696="OB/CLAY")*(Uploaded_Data!$H$2:$H$59696=$A34)*Uploaded_Data!$N$2:$N$59696)</f>
        <v>0</v>
      </c>
      <c r="AB34" s="80" cm="1">
        <f t="array" ref="AB34">SUMPRODUCT((Uploaded_Data!$D$2:$D$59696="Production Transfers")*(Uploaded_Data!$E$2:$E$59696="North Mine to Golani Waste dump")*(Uploaded_Data!$F$2:$F$59696="WASTE")*(Uploaded_Data!$H$2:$H$59696=$A34)*Uploaded_Data!$N$2:$N$59696)</f>
        <v>0</v>
      </c>
      <c r="AC34" s="80" cm="1">
        <f t="array" ref="AC34">SUMPRODUCT((Uploaded_Data!$D$2:$D$59696="Internal Transfers")*(Uploaded_Data!$E$2:$E$59696="Stock Yard to Pile (through Crusher)")*(Uploaded_Data!$F$2:$F$59696="OB/CLAY")*(Uploaded_Data!$H$2:$H$59696=$A34)*Uploaded_Data!$N$2:$N$59696)</f>
        <v>0</v>
      </c>
      <c r="AD34" s="80" cm="1">
        <f t="array" ref="AD34">SUMPRODUCT((Uploaded_Data!$D$2:$D$59696="Internal Transfers")*(Uploaded_Data!$E$2:$E$59696="Stock Yard to Other Usages")*(Uploaded_Data!$F$2:$F$59696="OB/CLAY")*(Uploaded_Data!$H$2:$H$59696=$A34)*Uploaded_Data!$N$2:$N$59696)</f>
        <v>0</v>
      </c>
      <c r="AE34" s="80" cm="1">
        <f t="array" ref="AE34">SUMPRODUCT((Uploaded_Data!$D$2:$D$59696="Internal Transfers")*(Uploaded_Data!$E$2:$E$59696="Stock Yard to Direct Pile (Bypass Crusher)")*(Uploaded_Data!$F$2:$F$59696="OB/CLAY")*(Uploaded_Data!$H$2:$H$59696=$A34)*Uploaded_Data!$N$2:$N$59696)</f>
        <v>0</v>
      </c>
      <c r="AF34" s="80" cm="1">
        <f t="array" ref="AF34">SUMPRODUCT((Uploaded_Data!$D$2:$D$59696="Production Transfers")*(Uploaded_Data!$E$2:$E$59696="South Mine to Pile (through Crusher)")*(Uploaded_Data!$F$2:$F$59696="HGHMGO")*(Uploaded_Data!$H$2:$H$59696=$A34)*Uploaded_Data!$N$2:$N$59696)</f>
        <v>0</v>
      </c>
      <c r="AG34" s="80" cm="1">
        <f t="array" ref="AG34">SUMPRODUCT((Uploaded_Data!$D$2:$D$59696="Production Transfers")*(Uploaded_Data!$E$2:$E$59696="South Mine to Direct Pile (Bypass Crusher)")*(Uploaded_Data!$F$2:$F$59696="HGHMGO")*(Uploaded_Data!$H$2:$H$59696=$A34)*Uploaded_Data!$N$2:$N$59696)</f>
        <v>0</v>
      </c>
      <c r="AH34" s="80" cm="1">
        <f t="array" ref="AH34">SUMPRODUCT((Uploaded_Data!$D$2:$D$59696="Production Transfers")*(Uploaded_Data!$E$2:$E$59696="South Mine to Stock Yard")*(Uploaded_Data!$F$2:$F$59696="HGHMGO")*(Uploaded_Data!$H$2:$H$59696=$A34)*Uploaded_Data!$N$2:$N$59696)</f>
        <v>0</v>
      </c>
      <c r="AI34" s="80" cm="1">
        <f t="array" ref="AI34">SUMPRODUCT((Uploaded_Data!$D$2:$D$59696="Internal Transfers")*(Uploaded_Data!$E$2:$E$59696="Stock Yard to Pile (through Crusher)")*(Uploaded_Data!$F$2:$F$59696="HGHMGO")*(Uploaded_Data!$H$2:$H$59696=$A34)*Uploaded_Data!$N$2:$N$59696)</f>
        <v>0</v>
      </c>
      <c r="AJ34" s="80" cm="1">
        <f t="array" ref="AJ34">SUMPRODUCT((Uploaded_Data!$D$2:$D$59696="Production Transfers")*(Uploaded_Data!$E$2:$E$59696="South Mine to Pile (through Crusher)")*(Uploaded_Data!$F$2:$F$59696="LGHMGO")*(Uploaded_Data!$H$2:$H$59696=$A34)*Uploaded_Data!$N$2:$N$59696)</f>
        <v>0</v>
      </c>
      <c r="AK34" s="80" cm="1">
        <f t="array" ref="AK34">SUMPRODUCT((Uploaded_Data!$D$2:$D$59696="Production Transfers")*(Uploaded_Data!$E$2:$E$59696="South Mine to Direct Pile (Bypass Crusher)")*(Uploaded_Data!$F$2:$F$59696="LGHMGO")*(Uploaded_Data!$H$2:$H$59696=$A34)*Uploaded_Data!$N$2:$N$59696)</f>
        <v>0</v>
      </c>
      <c r="AL34" s="80" cm="1">
        <f t="array" ref="AL34">SUMPRODUCT((Uploaded_Data!$D$2:$D$59696="Production Transfers")*(Uploaded_Data!$E$2:$E$59696="South Mine to Stock Yard")*(Uploaded_Data!$F$2:$F$59696="LGHMGO")*(Uploaded_Data!$H$2:$H$59696=$A34)*Uploaded_Data!$N$2:$N$59696)</f>
        <v>0</v>
      </c>
      <c r="AM34" s="80" cm="1">
        <f t="array" ref="AM34">SUMPRODUCT((Uploaded_Data!$D$2:$D$59696="Internal Transfers")*(Uploaded_Data!$E$2:$E$59696="Stock Yard to Pile (through Crusher)")*(Uploaded_Data!$F$2:$F$59696="LGHMGO")*(Uploaded_Data!$H$2:$H$59696=$A34)*Uploaded_Data!$N$2:$N$59696)</f>
        <v>0</v>
      </c>
      <c r="AN34" s="103">
        <f t="shared" si="0"/>
        <v>0</v>
      </c>
      <c r="AO34" s="71"/>
      <c r="AP34" s="109" cm="1">
        <f t="array" ref="AP34">SUMPRODUCT((Uploaded_Data!$D$2:$D$59696="Internal Transfers")*(Uploaded_Data!$E$2:$E$59696="Stock Yard to Pile (through Crusher)")*(Uploaded_Data!$F$2:$F$59696="GYPSUM")*(Uploaded_Data!$H$2:$H$59696=$A34)*Uploaded_Data!$N$2:$N$59696)</f>
        <v>0</v>
      </c>
      <c r="AQ34" s="109" cm="1">
        <f t="array" ref="AQ34">SUMPRODUCT((Uploaded_Data!$D$2:$D$59696="Internal Transfers")*(Uploaded_Data!$E$2:$E$59696="Stock Yard to Direct Pile (Bypass Crusher)")*(Uploaded_Data!$F$2:$F$59696="GYPSUM")*(Uploaded_Data!$H$2:$H$59696=$A34)*Uploaded_Data!$N$2:$N$59696)</f>
        <v>0</v>
      </c>
      <c r="AR34" s="109" cm="1">
        <f t="array" ref="AR34">SUMPRODUCT((Uploaded_Data!$D$2:$D$59696="Internal Transfers")*(Uploaded_Data!$E$2:$E$59696="Stock Yard to Other Usages")*(Uploaded_Data!$F$2:$F$59696="ID Clay")*(Uploaded_Data!$H$2:$H$59696=$A34)*Uploaded_Data!$N$2:$N$59696)</f>
        <v>0</v>
      </c>
      <c r="AS34" s="109" cm="1">
        <f t="array" ref="AS34">SUMPRODUCT((Uploaded_Data!$D$2:$D$59696="Internal Transfers")*(Uploaded_Data!$E$2:$E$59696="Stock Yard to Direct Pile (Bypass Crusher)")*(Uploaded_Data!$F$2:$F$59696="ID Clay")*(Uploaded_Data!$H$2:$H$59696=$A34)*Uploaded_Data!$N$2:$N$59696)</f>
        <v>0</v>
      </c>
      <c r="AT34" s="109" cm="1">
        <f t="array" ref="AT34">SUMPRODUCT((Uploaded_Data!$D$2:$D$59696="Production Transfers")*(Uploaded_Data!$E$2:$E$59696="Kijaka Mine to Stock Yard")*(Uploaded_Data!$F$2:$F$59696="ID Clay")*(Uploaded_Data!$H$2:$H$59696=$A34)*Uploaded_Data!$N$2:$N$59696)</f>
        <v>0</v>
      </c>
      <c r="AU34" s="102">
        <f t="shared" si="1"/>
        <v>0</v>
      </c>
      <c r="AV34" s="109">
        <f t="shared" si="2"/>
        <v>0</v>
      </c>
      <c r="AW34" s="109"/>
      <c r="AX34" s="109"/>
      <c r="AY34" s="114"/>
      <c r="AZ34" s="110">
        <f t="shared" si="3"/>
        <v>0</v>
      </c>
      <c r="BA34" s="112">
        <f t="shared" si="4"/>
        <v>0</v>
      </c>
      <c r="BB34" s="110"/>
    </row>
    <row r="35" spans="1:62">
      <c r="A35" s="79"/>
      <c r="B35" s="80" cm="1">
        <f t="array" ref="B35">SUMPRODUCT((Uploaded_Data!$D$2:$D$59696="Production Transfers")*(Uploaded_Data!$E$2:$E$59696="South Mine to Pile (through Crusher)")*(Uploaded_Data!$F$2:$F$59696="HG")*(Uploaded_Data!$H$2:$H$59696=$A35)*Uploaded_Data!$N$2:$N$59696)</f>
        <v>0</v>
      </c>
      <c r="C35" s="80" cm="1">
        <f t="array" ref="C35">SUMPRODUCT((Uploaded_Data!$D$2:$D$59696="Production Transfers")*(Uploaded_Data!$E$2:$E$59696="South Mine to Direct Pile (Bypass Crusher)")*(Uploaded_Data!$F$2:$F$59696="HG")*(Uploaded_Data!$H$2:$H$59696=$A35)*Uploaded_Data!$N$2:$N$59696)</f>
        <v>0</v>
      </c>
      <c r="D35" s="80" cm="1">
        <f t="array" ref="D35">SUMPRODUCT((Uploaded_Data!$D$2:$D$59696="Production Transfers")*(Uploaded_Data!$E$2:$E$59696="South Mine to Stock Yard")*(Uploaded_Data!$F$2:$F$59696="HG")*(Uploaded_Data!$H$2:$H$59696=$A35)*Uploaded_Data!$N$2:$N$59696)</f>
        <v>0</v>
      </c>
      <c r="E35" s="80" cm="1">
        <f t="array" ref="E35">SUMPRODUCT((Uploaded_Data!$D$2:$D$59696="Production Transfers")*(Uploaded_Data!$E$2:$E$59696="North Mine to Pile (through Crusher)")*(Uploaded_Data!$F$2:$F$59696="HG")*(Uploaded_Data!$H$2:$H$59696=$A35)*Uploaded_Data!$N$2:$N$59696)</f>
        <v>0</v>
      </c>
      <c r="F35" s="80" cm="1">
        <f t="array" ref="F35">SUMPRODUCT((Uploaded_Data!$D$2:$D$59696="Production Transfers")*(Uploaded_Data!$E$2:$E$59696="North Mine to Direct Pile (Bypass Crusher)")*(Uploaded_Data!$F$2:$F$59696="HG")*(Uploaded_Data!$H$2:$H$59696=$A35)*Uploaded_Data!$N$2:$N$59696)</f>
        <v>0</v>
      </c>
      <c r="G35" s="80" cm="1">
        <f t="array" ref="G35">SUMPRODUCT((Uploaded_Data!$D$2:$D$59696="Production Transfers")*(Uploaded_Data!$E$2:$E$59696="North Mine to Stock Yard")*(Uploaded_Data!$F$2:$F$59696="HG")*(Uploaded_Data!$H$2:$H$59696=$A35)*Uploaded_Data!$N$2:$N$59696)</f>
        <v>0</v>
      </c>
      <c r="H35" s="80" cm="1">
        <f t="array" ref="H35">SUMPRODUCT((Uploaded_Data!$D$2:$D$59696="Internal Transfers")*(Uploaded_Data!$E$2:$E$59696="Stock Yard to Pile (through Crusher)")*(Uploaded_Data!$F$2:$F$59696="HG")*(Uploaded_Data!$H$2:$H$59696=$A35)*Uploaded_Data!$N$2:$N$59696)</f>
        <v>0</v>
      </c>
      <c r="I35" s="80" cm="1">
        <f t="array" ref="I35">SUMPRODUCT((Uploaded_Data!$D$2:$D$59696="Internal Transfers")*(Uploaded_Data!$E$2:$E$59696="Stock Yard to Direct Pile (Bypass Crusher)")*(Uploaded_Data!$F$2:$F$59696="HG")*(Uploaded_Data!$H$2:$H$59696=$A35)*Uploaded_Data!$N$2:$N$59696)</f>
        <v>0</v>
      </c>
      <c r="J35" s="80" cm="1">
        <f t="array" ref="J35">SUMPRODUCT((Uploaded_Data!$D$2:$D$59696="Production Transfers")*(Uploaded_Data!$E$2:$E$59696="South Mine to Pile (through Crusher)")*(Uploaded_Data!$F$2:$F$59696="LG1")*(Uploaded_Data!$H$2:$H$59696=$A35)*Uploaded_Data!$N$2:$N$59696)</f>
        <v>0</v>
      </c>
      <c r="K35" s="80" cm="1">
        <f t="array" ref="K35">SUMPRODUCT((Uploaded_Data!$D$2:$D$59696="Production Transfers")*(Uploaded_Data!$E$2:$E$59696="South Mine to Direct Pile (Bypass Crusher)")*(Uploaded_Data!$F$2:$F$59696="LG1")*(Uploaded_Data!$H$2:$H$59696=$A35)*Uploaded_Data!$N$2:$N$59696)</f>
        <v>0</v>
      </c>
      <c r="L35" s="80" cm="1">
        <f t="array" ref="L35">SUMPRODUCT((Uploaded_Data!$D$2:$D$59696="Production Transfers")*(Uploaded_Data!$E$2:$E$59696="South Mine to Stock Yard")*(Uploaded_Data!$F$2:$F$59696="LG1")*(Uploaded_Data!$H$2:$H$59696=$A35)*Uploaded_Data!$N$2:$N$59696)</f>
        <v>0</v>
      </c>
      <c r="M35" s="80" cm="1">
        <f t="array" ref="M35">SUMPRODUCT((Uploaded_Data!$D$2:$D$59696="Production Transfers")*(Uploaded_Data!$E$2:$E$59696="North Mine to Pile (through Crusher)")*(Uploaded_Data!$F$2:$F$59696="LG1")*(Uploaded_Data!$H$2:$H$59696=$A35)*Uploaded_Data!$N$2:$N$59696)</f>
        <v>0</v>
      </c>
      <c r="N35" s="80" cm="1">
        <f t="array" ref="N35">SUMPRODUCT((Uploaded_Data!$D$2:$D$59696="Production Transfers")*(Uploaded_Data!$E$2:$E$59696="North Mine to Direct Pile (Bypass Crusher)")*(Uploaded_Data!$F$2:$F$59696="LG1")*(Uploaded_Data!$H$2:$H$59696=$A35)*Uploaded_Data!$N$2:$N$59696)</f>
        <v>0</v>
      </c>
      <c r="O35" s="80" cm="1">
        <f t="array" ref="O35">SUMPRODUCT((Uploaded_Data!$D$2:$D$59696="Production Transfers")*(Uploaded_Data!$E$2:$E$59696="North Mine to Stock Yard")*(Uploaded_Data!$F$2:$F$59696="LG1")*(Uploaded_Data!$H$2:$H$59696=$A35)*Uploaded_Data!$N$2:$N$59696)</f>
        <v>0</v>
      </c>
      <c r="P35" s="80" cm="1">
        <f t="array" ref="P35">SUMPRODUCT((Uploaded_Data!$D$2:$D$59696="Internal Transfers")*(Uploaded_Data!$E$2:$E$59696="Stock Yard to Pile (through Crusher)")*(Uploaded_Data!$F$2:$F$59696="LG1")*(Uploaded_Data!$H$2:$H$59696=$A35)*Uploaded_Data!$N$2:$N$59696)</f>
        <v>0</v>
      </c>
      <c r="Q35" s="80" cm="1">
        <f t="array" ref="Q35">SUMPRODUCT((Uploaded_Data!$D$2:$D$59696="Internal Transfers")*(Uploaded_Data!$E$2:$E$59696="Stock Yard to Direct Pile (Bypass Crusher)")*(Uploaded_Data!$F$2:$F$59696="LG1")*(Uploaded_Data!$H$2:$H$59696=$A35)*Uploaded_Data!$N$2:$N$59696)</f>
        <v>0</v>
      </c>
      <c r="R35" s="80" cm="1">
        <f t="array" ref="R35">SUMPRODUCT((Uploaded_Data!$D$2:$D$59696="Internal Transfers")*(Uploaded_Data!$E$2:$E$59696="Stock Yard to Other Usages")*(Uploaded_Data!$F$2:$F$59696="LG1")*(Uploaded_Data!$H$2:$H$59696=$A35)*Uploaded_Data!$N$2:$N$59696)</f>
        <v>0</v>
      </c>
      <c r="S35" s="80" cm="1">
        <f t="array" ref="S35">SUMPRODUCT((Uploaded_Data!$D$2:$D$59696="Internal Transfers")*(Uploaded_Data!$E$2:$E$59696="Stock Yard to Pile (through Crusher)")*(Uploaded_Data!$F$2:$F$59696="LIMESTONE SPG")*(Uploaded_Data!$H$2:$H$59696=$A35)*Uploaded_Data!$N$2:$N$59696)</f>
        <v>0</v>
      </c>
      <c r="T35" s="80" cm="1">
        <f t="array" ref="T35">SUMPRODUCT((Uploaded_Data!$D$2:$D$59696="Internal Transfers")*(Uploaded_Data!$E$2:$E$59696="Stock Yard to Direct Pile (Bypass Crusher)")*(Uploaded_Data!$F$2:$F$59696="LIMESTONE SPG")*(Uploaded_Data!$H$2:$H$59696=$A35)*Uploaded_Data!$N$2:$N$59696)</f>
        <v>0</v>
      </c>
      <c r="U35" s="80" cm="1">
        <f t="array" ref="U35">SUMPRODUCT((Uploaded_Data!$D$2:$D$59696="Production Transfers")*(Uploaded_Data!$E$2:$E$59696="South Mine to Pile (through Crusher)")*(Uploaded_Data!$F$2:$F$59696="OB/CLAY")*(Uploaded_Data!$H$2:$H$59696=$A35)*Uploaded_Data!$N$2:$N$59696)</f>
        <v>0</v>
      </c>
      <c r="V35" s="80" cm="1">
        <f t="array" ref="V35">SUMPRODUCT((Uploaded_Data!$D$2:$D$59696="Production Transfers")*(Uploaded_Data!$E$2:$E$59696="South Mine to Direct Pile (Bypass Crusher)")*(Uploaded_Data!$F$2:$F$59696="OB/CLAY")*(Uploaded_Data!$H$2:$H$59696=$A35)*Uploaded_Data!$N$2:$N$59696)</f>
        <v>0</v>
      </c>
      <c r="W35" s="80" cm="1">
        <f t="array" ref="W35">SUMPRODUCT((Uploaded_Data!$D$2:$D$59696="Production Transfers")*(Uploaded_Data!$E$2:$E$59696="South Mine to Stock Yard")*(Uploaded_Data!$F$2:$F$59696="OB/CLAY")*(Uploaded_Data!$H$2:$H$59696=$A35)*Uploaded_Data!$N$2:$N$59696)</f>
        <v>0</v>
      </c>
      <c r="X35" s="80" cm="1">
        <f t="array" ref="X35">SUMPRODUCT((Uploaded_Data!$D$2:$D$59696="Production Transfers")*(Uploaded_Data!$E$2:$E$59696="South Mine to Golani Waste dump")*(Uploaded_Data!$F$2:$F$59696="WASTE")*(Uploaded_Data!$H$2:$H$59696=$A35)*Uploaded_Data!$N$2:$N$59696)</f>
        <v>0</v>
      </c>
      <c r="Y35" s="80" cm="1">
        <f t="array" ref="Y35">SUMPRODUCT((Uploaded_Data!$D$2:$D$59696="Production Transfers")*(Uploaded_Data!$E$2:$E$59696="North Mine to Pile (through Crusher)")*(Uploaded_Data!$F$2:$F$59696="OB/CLAY")*(Uploaded_Data!$H$2:$H$59696=$A35)*Uploaded_Data!$N$2:$N$59696)</f>
        <v>0</v>
      </c>
      <c r="Z35" s="80" cm="1">
        <f t="array" ref="Z35">SUMPRODUCT((Uploaded_Data!$D$2:$D$59696="Production Transfers")*(Uploaded_Data!$E$2:$E$59696="North Mine to Direct Pile (Bypass Crusher)")*(Uploaded_Data!$F$2:$F$59696="OB/CLAY")*(Uploaded_Data!$H$2:$H$59696=$A35)*Uploaded_Data!$N$2:$N$59696)</f>
        <v>0</v>
      </c>
      <c r="AA35" s="80" cm="1">
        <f t="array" ref="AA35">SUMPRODUCT((Uploaded_Data!$D$2:$D$59696="Production Transfers")*(Uploaded_Data!$E$2:$E$59696="North Mine to Stock Yard")*(Uploaded_Data!$F$2:$F$59696="OB/CLAY")*(Uploaded_Data!$H$2:$H$59696=$A35)*Uploaded_Data!$N$2:$N$59696)</f>
        <v>0</v>
      </c>
      <c r="AB35" s="80" cm="1">
        <f t="array" ref="AB35">SUMPRODUCT((Uploaded_Data!$D$2:$D$59696="Production Transfers")*(Uploaded_Data!$E$2:$E$59696="North Mine to Golani Waste dump")*(Uploaded_Data!$F$2:$F$59696="WASTE")*(Uploaded_Data!$H$2:$H$59696=$A35)*Uploaded_Data!$N$2:$N$59696)</f>
        <v>0</v>
      </c>
      <c r="AC35" s="80" cm="1">
        <f t="array" ref="AC35">SUMPRODUCT((Uploaded_Data!$D$2:$D$59696="Internal Transfers")*(Uploaded_Data!$E$2:$E$59696="Stock Yard to Pile (through Crusher)")*(Uploaded_Data!$F$2:$F$59696="OB/CLAY")*(Uploaded_Data!$H$2:$H$59696=$A35)*Uploaded_Data!$N$2:$N$59696)</f>
        <v>0</v>
      </c>
      <c r="AD35" s="80" cm="1">
        <f t="array" ref="AD35">SUMPRODUCT((Uploaded_Data!$D$2:$D$59696="Internal Transfers")*(Uploaded_Data!$E$2:$E$59696="Stock Yard to Other Usages")*(Uploaded_Data!$F$2:$F$59696="OB/CLAY")*(Uploaded_Data!$H$2:$H$59696=$A35)*Uploaded_Data!$N$2:$N$59696)</f>
        <v>0</v>
      </c>
      <c r="AE35" s="80" cm="1">
        <f t="array" ref="AE35">SUMPRODUCT((Uploaded_Data!$D$2:$D$59696="Internal Transfers")*(Uploaded_Data!$E$2:$E$59696="Stock Yard to Direct Pile (Bypass Crusher)")*(Uploaded_Data!$F$2:$F$59696="OB/CLAY")*(Uploaded_Data!$H$2:$H$59696=$A35)*Uploaded_Data!$N$2:$N$59696)</f>
        <v>0</v>
      </c>
      <c r="AF35" s="80" cm="1">
        <f t="array" ref="AF35">SUMPRODUCT((Uploaded_Data!$D$2:$D$59696="Production Transfers")*(Uploaded_Data!$E$2:$E$59696="South Mine to Pile (through Crusher)")*(Uploaded_Data!$F$2:$F$59696="HGHMGO")*(Uploaded_Data!$H$2:$H$59696=$A35)*Uploaded_Data!$N$2:$N$59696)</f>
        <v>0</v>
      </c>
      <c r="AG35" s="80" cm="1">
        <f t="array" ref="AG35">SUMPRODUCT((Uploaded_Data!$D$2:$D$59696="Production Transfers")*(Uploaded_Data!$E$2:$E$59696="South Mine to Direct Pile (Bypass Crusher)")*(Uploaded_Data!$F$2:$F$59696="HGHMGO")*(Uploaded_Data!$H$2:$H$59696=$A35)*Uploaded_Data!$N$2:$N$59696)</f>
        <v>0</v>
      </c>
      <c r="AH35" s="80" cm="1">
        <f t="array" ref="AH35">SUMPRODUCT((Uploaded_Data!$D$2:$D$59696="Production Transfers")*(Uploaded_Data!$E$2:$E$59696="South Mine to Stock Yard")*(Uploaded_Data!$F$2:$F$59696="HGHMGO")*(Uploaded_Data!$H$2:$H$59696=$A35)*Uploaded_Data!$N$2:$N$59696)</f>
        <v>0</v>
      </c>
      <c r="AI35" s="80" cm="1">
        <f t="array" ref="AI35">SUMPRODUCT((Uploaded_Data!$D$2:$D$59696="Internal Transfers")*(Uploaded_Data!$E$2:$E$59696="Stock Yard to Pile (through Crusher)")*(Uploaded_Data!$F$2:$F$59696="HGHMGO")*(Uploaded_Data!$H$2:$H$59696=$A35)*Uploaded_Data!$N$2:$N$59696)</f>
        <v>0</v>
      </c>
      <c r="AJ35" s="80" cm="1">
        <f t="array" ref="AJ35">SUMPRODUCT((Uploaded_Data!$D$2:$D$59696="Production Transfers")*(Uploaded_Data!$E$2:$E$59696="South Mine to Pile (through Crusher)")*(Uploaded_Data!$F$2:$F$59696="LGHMGO")*(Uploaded_Data!$H$2:$H$59696=$A35)*Uploaded_Data!$N$2:$N$59696)</f>
        <v>0</v>
      </c>
      <c r="AK35" s="80" cm="1">
        <f t="array" ref="AK35">SUMPRODUCT((Uploaded_Data!$D$2:$D$59696="Production Transfers")*(Uploaded_Data!$E$2:$E$59696="South Mine to Direct Pile (Bypass Crusher)")*(Uploaded_Data!$F$2:$F$59696="LGHMGO")*(Uploaded_Data!$H$2:$H$59696=$A35)*Uploaded_Data!$N$2:$N$59696)</f>
        <v>0</v>
      </c>
      <c r="AL35" s="80" cm="1">
        <f t="array" ref="AL35">SUMPRODUCT((Uploaded_Data!$D$2:$D$59696="Production Transfers")*(Uploaded_Data!$E$2:$E$59696="South Mine to Stock Yard")*(Uploaded_Data!$F$2:$F$59696="LGHMGO")*(Uploaded_Data!$H$2:$H$59696=$A35)*Uploaded_Data!$N$2:$N$59696)</f>
        <v>0</v>
      </c>
      <c r="AM35" s="80" cm="1">
        <f t="array" ref="AM35">SUMPRODUCT((Uploaded_Data!$D$2:$D$59696="Internal Transfers")*(Uploaded_Data!$E$2:$E$59696="Stock Yard to Pile (through Crusher)")*(Uploaded_Data!$F$2:$F$59696="LGHMGO")*(Uploaded_Data!$H$2:$H$59696=$A35)*Uploaded_Data!$N$2:$N$59696)</f>
        <v>0</v>
      </c>
      <c r="AN35" s="103">
        <f t="shared" si="0"/>
        <v>0</v>
      </c>
      <c r="AO35" s="71"/>
      <c r="AP35" s="109" cm="1">
        <f t="array" ref="AP35">SUMPRODUCT((Uploaded_Data!$D$2:$D$59696="Internal Transfers")*(Uploaded_Data!$E$2:$E$59696="Stock Yard to Pile (through Crusher)")*(Uploaded_Data!$F$2:$F$59696="GYPSUM")*(Uploaded_Data!$H$2:$H$59696=$A35)*Uploaded_Data!$N$2:$N$59696)</f>
        <v>0</v>
      </c>
      <c r="AQ35" s="109" cm="1">
        <f t="array" ref="AQ35">SUMPRODUCT((Uploaded_Data!$D$2:$D$59696="Internal Transfers")*(Uploaded_Data!$E$2:$E$59696="Stock Yard to Direct Pile (Bypass Crusher)")*(Uploaded_Data!$F$2:$F$59696="GYPSUM")*(Uploaded_Data!$H$2:$H$59696=$A35)*Uploaded_Data!$N$2:$N$59696)</f>
        <v>0</v>
      </c>
      <c r="AR35" s="109" cm="1">
        <f t="array" ref="AR35">SUMPRODUCT((Uploaded_Data!$D$2:$D$59696="Internal Transfers")*(Uploaded_Data!$E$2:$E$59696="Stock Yard to Other Usages")*(Uploaded_Data!$F$2:$F$59696="ID Clay")*(Uploaded_Data!$H$2:$H$59696=$A35)*Uploaded_Data!$N$2:$N$59696)</f>
        <v>0</v>
      </c>
      <c r="AS35" s="109" cm="1">
        <f t="array" ref="AS35">SUMPRODUCT((Uploaded_Data!$D$2:$D$59696="Internal Transfers")*(Uploaded_Data!$E$2:$E$59696="Stock Yard to Direct Pile (Bypass Crusher)")*(Uploaded_Data!$F$2:$F$59696="ID Clay")*(Uploaded_Data!$H$2:$H$59696=$A35)*Uploaded_Data!$N$2:$N$59696)</f>
        <v>0</v>
      </c>
      <c r="AT35" s="109" cm="1">
        <f t="array" ref="AT35">SUMPRODUCT((Uploaded_Data!$D$2:$D$59696="Production Transfers")*(Uploaded_Data!$E$2:$E$59696="Kijaka Mine to Stock Yard")*(Uploaded_Data!$F$2:$F$59696="ID Clay")*(Uploaded_Data!$H$2:$H$59696=$A35)*Uploaded_Data!$N$2:$N$59696)</f>
        <v>0</v>
      </c>
      <c r="AU35" s="102">
        <f t="shared" si="1"/>
        <v>0</v>
      </c>
      <c r="AV35" s="109">
        <f t="shared" si="2"/>
        <v>0</v>
      </c>
      <c r="AW35" s="109"/>
      <c r="AX35" s="109"/>
      <c r="AY35" s="114"/>
      <c r="AZ35" s="110">
        <f t="shared" si="3"/>
        <v>0</v>
      </c>
      <c r="BA35" s="112">
        <f t="shared" si="4"/>
        <v>0</v>
      </c>
      <c r="BB35" s="110"/>
    </row>
    <row r="36" spans="1:62" s="64" customFormat="1">
      <c r="A36" s="81"/>
      <c r="B36" s="82">
        <f t="shared" ref="B36:AN36" si="5">SUM(B5:B35)</f>
        <v>1157.8799999999999</v>
      </c>
      <c r="C36" s="82">
        <f t="shared" si="5"/>
        <v>0</v>
      </c>
      <c r="D36" s="82">
        <f t="shared" si="5"/>
        <v>3018.2200000000003</v>
      </c>
      <c r="E36" s="82">
        <f t="shared" si="5"/>
        <v>5898.1400000000012</v>
      </c>
      <c r="F36" s="82">
        <f t="shared" si="5"/>
        <v>1483.9999999999998</v>
      </c>
      <c r="G36" s="82">
        <f t="shared" si="5"/>
        <v>6912.7399999999989</v>
      </c>
      <c r="H36" s="82">
        <f t="shared" si="5"/>
        <v>9985.7199999999975</v>
      </c>
      <c r="I36" s="82">
        <f t="shared" si="5"/>
        <v>621.91999999999996</v>
      </c>
      <c r="J36" s="82">
        <f t="shared" si="5"/>
        <v>2448.7600000000002</v>
      </c>
      <c r="K36" s="82">
        <f t="shared" si="5"/>
        <v>1567.56</v>
      </c>
      <c r="L36" s="82">
        <f t="shared" si="5"/>
        <v>1935.5400000000004</v>
      </c>
      <c r="M36" s="82">
        <f t="shared" si="5"/>
        <v>4803.74</v>
      </c>
      <c r="N36" s="82">
        <f t="shared" si="5"/>
        <v>446.28</v>
      </c>
      <c r="O36" s="82">
        <f t="shared" si="5"/>
        <v>5290.36</v>
      </c>
      <c r="P36" s="82">
        <f t="shared" si="5"/>
        <v>18797.68</v>
      </c>
      <c r="Q36" s="82">
        <f t="shared" si="5"/>
        <v>667.22</v>
      </c>
      <c r="R36" s="82">
        <f t="shared" si="5"/>
        <v>0</v>
      </c>
      <c r="S36" s="82">
        <f t="shared" si="5"/>
        <v>0</v>
      </c>
      <c r="T36" s="82">
        <f t="shared" si="5"/>
        <v>0</v>
      </c>
      <c r="U36" s="82">
        <f t="shared" si="5"/>
        <v>0</v>
      </c>
      <c r="V36" s="82">
        <f t="shared" si="5"/>
        <v>0</v>
      </c>
      <c r="W36" s="82">
        <f t="shared" si="5"/>
        <v>0</v>
      </c>
      <c r="X36" s="82">
        <f t="shared" si="5"/>
        <v>0</v>
      </c>
      <c r="Y36" s="82">
        <f t="shared" si="5"/>
        <v>0</v>
      </c>
      <c r="Z36" s="82">
        <f t="shared" si="5"/>
        <v>0</v>
      </c>
      <c r="AA36" s="82">
        <f t="shared" si="5"/>
        <v>0</v>
      </c>
      <c r="AB36" s="82">
        <f t="shared" si="5"/>
        <v>10720</v>
      </c>
      <c r="AC36" s="82">
        <f t="shared" si="5"/>
        <v>432.80000000000007</v>
      </c>
      <c r="AD36" s="82">
        <f t="shared" si="5"/>
        <v>0</v>
      </c>
      <c r="AE36" s="82">
        <f t="shared" si="5"/>
        <v>161.34</v>
      </c>
      <c r="AF36" s="82">
        <f t="shared" si="5"/>
        <v>0</v>
      </c>
      <c r="AG36" s="82">
        <f t="shared" si="5"/>
        <v>0</v>
      </c>
      <c r="AH36" s="82">
        <f t="shared" si="5"/>
        <v>0</v>
      </c>
      <c r="AI36" s="82">
        <f t="shared" si="5"/>
        <v>0</v>
      </c>
      <c r="AJ36" s="82">
        <f t="shared" si="5"/>
        <v>0</v>
      </c>
      <c r="AK36" s="82">
        <f t="shared" si="5"/>
        <v>0</v>
      </c>
      <c r="AL36" s="82">
        <f t="shared" si="5"/>
        <v>0</v>
      </c>
      <c r="AM36" s="82">
        <f t="shared" si="5"/>
        <v>0</v>
      </c>
      <c r="AN36" s="82">
        <f t="shared" si="5"/>
        <v>76349.900000000009</v>
      </c>
      <c r="AP36" s="82">
        <f t="shared" ref="AP36:BB36" si="6">SUM(AP5:AP35)</f>
        <v>0</v>
      </c>
      <c r="AQ36" s="82">
        <f t="shared" si="6"/>
        <v>0</v>
      </c>
      <c r="AR36" s="82">
        <f t="shared" si="6"/>
        <v>0</v>
      </c>
      <c r="AS36" s="82">
        <f t="shared" si="6"/>
        <v>137.76</v>
      </c>
      <c r="AT36" s="82">
        <f t="shared" si="6"/>
        <v>0</v>
      </c>
      <c r="AU36" s="82">
        <f t="shared" si="6"/>
        <v>76487.66</v>
      </c>
      <c r="AV36" s="82">
        <f t="shared" si="6"/>
        <v>65767.66</v>
      </c>
      <c r="AW36" s="82">
        <f t="shared" si="6"/>
        <v>0</v>
      </c>
      <c r="AX36" s="82">
        <f t="shared" si="6"/>
        <v>0</v>
      </c>
      <c r="AY36" s="82">
        <f t="shared" si="6"/>
        <v>0</v>
      </c>
      <c r="AZ36" s="82">
        <f t="shared" si="6"/>
        <v>43524.719999999987</v>
      </c>
      <c r="BA36" s="82">
        <f t="shared" si="6"/>
        <v>76487.66</v>
      </c>
      <c r="BB36" s="82">
        <f t="shared" si="6"/>
        <v>0</v>
      </c>
    </row>
    <row r="37" spans="1:62" s="65" customFormat="1">
      <c r="A37" s="68"/>
      <c r="P37" s="89"/>
      <c r="AX37" s="115"/>
    </row>
    <row r="38" spans="1:62">
      <c r="B38" s="71"/>
      <c r="C38" s="71"/>
      <c r="H38" s="71"/>
      <c r="R38" s="71"/>
      <c r="AR38" s="110"/>
      <c r="AS38" s="110"/>
    </row>
    <row r="39" spans="1:62" s="66" customFormat="1" ht="15.75" customHeight="1">
      <c r="A39" s="83"/>
      <c r="B39" s="84"/>
      <c r="C39" s="216" t="s">
        <v>66</v>
      </c>
      <c r="D39" s="216"/>
      <c r="E39" s="216"/>
      <c r="F39" s="216"/>
      <c r="G39" s="216"/>
      <c r="H39" s="216"/>
      <c r="I39" s="90">
        <f>AU36</f>
        <v>76487.66</v>
      </c>
      <c r="J39" s="84"/>
      <c r="K39" s="71"/>
      <c r="L39" s="84"/>
      <c r="M39" s="84"/>
      <c r="N39" s="84"/>
      <c r="O39" s="84"/>
      <c r="P39" s="91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BE39" s="116"/>
      <c r="BF39" s="84"/>
    </row>
    <row r="40" spans="1:62" s="66" customFormat="1" ht="15.75" customHeight="1">
      <c r="A40" s="83"/>
      <c r="C40" s="213" t="s">
        <v>67</v>
      </c>
      <c r="D40" s="213"/>
      <c r="E40" s="213"/>
      <c r="F40" s="213"/>
      <c r="G40" s="213"/>
      <c r="H40" s="213"/>
      <c r="I40" s="90">
        <f>AV36</f>
        <v>65767.66</v>
      </c>
      <c r="J40" s="92"/>
      <c r="K40" s="69"/>
      <c r="L40" s="84"/>
      <c r="M40" s="84"/>
      <c r="N40" s="84"/>
      <c r="O40" s="84"/>
      <c r="P40" s="91"/>
      <c r="R40" s="84"/>
      <c r="S40" s="84"/>
      <c r="W40" s="84"/>
      <c r="BB40" s="84"/>
      <c r="BF40" s="84"/>
    </row>
    <row r="41" spans="1:62" s="66" customFormat="1" ht="15.75" customHeight="1">
      <c r="A41" s="83"/>
      <c r="C41" s="85"/>
      <c r="D41" s="203" t="s">
        <v>68</v>
      </c>
      <c r="E41" s="204"/>
      <c r="F41" s="204"/>
      <c r="G41" s="204"/>
      <c r="H41" s="204"/>
      <c r="I41" s="93">
        <f>B36+C36+J36+K36+AF36+AG36+AH36+D36+L36+AJ36+AK36+AL36+E36+F36+G36+M36+N36+O36</f>
        <v>34963.22</v>
      </c>
      <c r="J41" s="94"/>
      <c r="K41" s="69"/>
      <c r="L41" s="84"/>
      <c r="M41" s="84"/>
      <c r="N41" s="84"/>
      <c r="O41" s="84"/>
      <c r="P41" s="91"/>
    </row>
    <row r="42" spans="1:62" s="66" customFormat="1" ht="15.75" customHeight="1">
      <c r="A42" s="83"/>
      <c r="C42" s="85"/>
      <c r="D42" s="204" t="s">
        <v>69</v>
      </c>
      <c r="E42" s="214"/>
      <c r="F42" s="214"/>
      <c r="G42" s="214"/>
      <c r="H42" s="214"/>
      <c r="I42" s="93">
        <f>B36+C36+H36+I36+J36+K36+P36+Q36+R36+AF36+AG36+AI36+AJ36+AK36+E36+F36+M36+N36</f>
        <v>47878.899999999994</v>
      </c>
      <c r="J42" s="94"/>
      <c r="K42" s="69"/>
      <c r="L42" s="84"/>
      <c r="M42" s="84"/>
      <c r="N42" s="84"/>
      <c r="O42" s="84"/>
      <c r="P42" s="91"/>
    </row>
    <row r="43" spans="1:62" s="66" customFormat="1" ht="15.75">
      <c r="A43" s="83"/>
      <c r="C43" s="85"/>
      <c r="D43" s="208" t="s">
        <v>70</v>
      </c>
      <c r="E43" s="215"/>
      <c r="F43" s="215"/>
      <c r="G43" s="215"/>
      <c r="H43" s="215"/>
      <c r="I43" s="95">
        <f>U36+V36+W36</f>
        <v>0</v>
      </c>
      <c r="J43" s="94"/>
      <c r="K43" s="69"/>
      <c r="P43" s="91"/>
      <c r="AJ43" s="84"/>
    </row>
    <row r="44" spans="1:62" s="66" customFormat="1" ht="15.75">
      <c r="A44" s="83"/>
      <c r="C44" s="85"/>
      <c r="D44" s="208" t="s">
        <v>71</v>
      </c>
      <c r="E44" s="215"/>
      <c r="F44" s="215"/>
      <c r="G44" s="215"/>
      <c r="H44" s="215"/>
      <c r="I44" s="93">
        <f>U36+V36+AC36</f>
        <v>432.80000000000007</v>
      </c>
      <c r="J44" s="94"/>
      <c r="K44" s="69"/>
      <c r="P44" s="91"/>
      <c r="AJ44" s="84"/>
    </row>
    <row r="45" spans="1:62" s="66" customFormat="1" ht="15.75" customHeight="1">
      <c r="A45" s="83"/>
      <c r="C45" s="85"/>
      <c r="D45" s="205" t="s">
        <v>72</v>
      </c>
      <c r="E45" s="206"/>
      <c r="F45" s="206"/>
      <c r="G45" s="206"/>
      <c r="H45" s="206"/>
      <c r="I45" s="93">
        <f>AT36</f>
        <v>0</v>
      </c>
      <c r="K45" s="69"/>
      <c r="P45" s="91"/>
      <c r="AX45" s="84"/>
    </row>
    <row r="46" spans="1:62" s="66" customFormat="1" ht="15.75">
      <c r="A46" s="83"/>
      <c r="C46" s="85"/>
      <c r="D46" s="207" t="s">
        <v>73</v>
      </c>
      <c r="E46" s="208"/>
      <c r="F46" s="208"/>
      <c r="G46" s="208"/>
      <c r="H46" s="208"/>
      <c r="I46" s="93">
        <f>I45</f>
        <v>0</v>
      </c>
      <c r="J46" s="94"/>
      <c r="K46" s="69"/>
      <c r="P46" s="91"/>
      <c r="AJ46" s="84"/>
    </row>
    <row r="47" spans="1:62" s="66" customFormat="1" ht="15.75" customHeight="1">
      <c r="A47" s="83"/>
      <c r="C47" s="86"/>
      <c r="D47" s="209" t="s">
        <v>74</v>
      </c>
      <c r="E47" s="210"/>
      <c r="F47" s="210"/>
      <c r="G47" s="210"/>
      <c r="H47" s="210"/>
      <c r="I47" s="90">
        <f>X36</f>
        <v>0</v>
      </c>
      <c r="J47" s="92"/>
      <c r="K47" s="69"/>
      <c r="L47" s="84"/>
      <c r="M47" s="84"/>
      <c r="N47" s="84"/>
      <c r="O47" s="84"/>
      <c r="P47" s="91"/>
      <c r="Q47" s="84"/>
      <c r="S47" s="84"/>
      <c r="W47" s="84"/>
      <c r="AL47" s="84"/>
      <c r="AR47" s="84"/>
      <c r="AS47" s="84"/>
      <c r="AT47" s="84"/>
      <c r="AX47" s="84"/>
      <c r="BB47" s="84"/>
      <c r="BE47" s="84"/>
      <c r="BF47" s="84"/>
      <c r="BJ47" s="84"/>
    </row>
    <row r="48" spans="1:62" s="66" customFormat="1" ht="15.75" customHeight="1">
      <c r="A48" s="83"/>
      <c r="C48" s="86"/>
      <c r="D48" s="211" t="s">
        <v>75</v>
      </c>
      <c r="E48" s="212"/>
      <c r="F48" s="212"/>
      <c r="G48" s="212"/>
      <c r="H48" s="212"/>
      <c r="I48" s="90"/>
      <c r="J48" s="92"/>
      <c r="K48" s="69"/>
      <c r="L48" s="84"/>
      <c r="M48" s="84"/>
      <c r="N48" s="84"/>
      <c r="O48" s="84"/>
      <c r="P48" s="91"/>
      <c r="Q48" s="84"/>
      <c r="S48" s="84"/>
      <c r="W48" s="84"/>
      <c r="AR48" s="84"/>
      <c r="AS48" s="84"/>
      <c r="AT48" s="84"/>
      <c r="AX48" s="84"/>
      <c r="BB48" s="84"/>
      <c r="BE48" s="84"/>
      <c r="BF48" s="84"/>
    </row>
    <row r="49" spans="1:61" s="66" customFormat="1" ht="15.75" customHeight="1">
      <c r="A49" s="83"/>
      <c r="C49" s="86"/>
      <c r="D49" s="211" t="s">
        <v>76</v>
      </c>
      <c r="E49" s="212"/>
      <c r="F49" s="212"/>
      <c r="G49" s="212"/>
      <c r="H49" s="212"/>
      <c r="I49" s="90"/>
      <c r="J49" s="92"/>
      <c r="K49" s="69"/>
      <c r="L49" s="84"/>
      <c r="M49" s="84"/>
      <c r="N49" s="84"/>
      <c r="O49" s="84"/>
      <c r="P49" s="91"/>
      <c r="Q49" s="84"/>
      <c r="S49" s="84"/>
      <c r="W49" s="84"/>
      <c r="AR49" s="84"/>
      <c r="AS49" s="84"/>
      <c r="AT49" s="84"/>
      <c r="AX49" s="84"/>
      <c r="BB49" s="84"/>
      <c r="BE49" s="84"/>
      <c r="BF49" s="84"/>
    </row>
    <row r="50" spans="1:61" s="66" customFormat="1" ht="15.75" customHeight="1">
      <c r="A50" s="83"/>
      <c r="C50" s="85"/>
      <c r="D50" s="201" t="s">
        <v>77</v>
      </c>
      <c r="E50" s="202"/>
      <c r="F50" s="202"/>
      <c r="G50" s="202"/>
      <c r="H50" s="202"/>
      <c r="I50" s="93">
        <f>AR36+AQ36</f>
        <v>0</v>
      </c>
      <c r="K50" s="69"/>
      <c r="P50" s="91"/>
    </row>
    <row r="51" spans="1:61" s="66" customFormat="1" ht="15.75">
      <c r="A51" s="83"/>
      <c r="C51" s="203" t="s">
        <v>78</v>
      </c>
      <c r="D51" s="203"/>
      <c r="E51" s="204"/>
      <c r="F51" s="204"/>
      <c r="G51" s="204"/>
      <c r="H51" s="204"/>
      <c r="I51" s="90">
        <f>I39-(I48+I49+I50)</f>
        <v>76487.66</v>
      </c>
      <c r="J51" s="94"/>
      <c r="K51" s="69"/>
      <c r="L51" s="84"/>
      <c r="M51" s="84"/>
      <c r="N51" s="84"/>
      <c r="O51" s="84"/>
      <c r="P51" s="91"/>
    </row>
    <row r="52" spans="1:61" s="66" customFormat="1" ht="15.75">
      <c r="A52" s="83"/>
      <c r="C52" s="203" t="s">
        <v>79</v>
      </c>
      <c r="D52" s="203"/>
      <c r="E52" s="204"/>
      <c r="F52" s="204"/>
      <c r="G52" s="204"/>
      <c r="H52" s="204"/>
      <c r="I52" s="90">
        <f>I48</f>
        <v>0</v>
      </c>
      <c r="J52" s="94"/>
      <c r="K52" s="69"/>
      <c r="L52" s="84"/>
      <c r="M52" s="84"/>
      <c r="N52" s="84"/>
      <c r="O52" s="84"/>
      <c r="P52" s="91"/>
    </row>
    <row r="53" spans="1:61" s="66" customFormat="1" ht="15.75">
      <c r="A53" s="83"/>
      <c r="C53" s="203" t="s">
        <v>80</v>
      </c>
      <c r="D53" s="203"/>
      <c r="E53" s="204"/>
      <c r="F53" s="204"/>
      <c r="G53" s="204"/>
      <c r="H53" s="204"/>
      <c r="I53" s="90">
        <f>I49</f>
        <v>0</v>
      </c>
      <c r="J53" s="94"/>
      <c r="K53" s="69"/>
      <c r="L53" s="84"/>
      <c r="M53" s="84"/>
      <c r="N53" s="84"/>
      <c r="O53" s="84"/>
      <c r="P53" s="91"/>
    </row>
    <row r="54" spans="1:61" s="66" customFormat="1" ht="15.75">
      <c r="A54" s="83"/>
      <c r="C54" s="203" t="s">
        <v>258</v>
      </c>
      <c r="D54" s="203"/>
      <c r="E54" s="204"/>
      <c r="F54" s="204"/>
      <c r="G54" s="204"/>
      <c r="H54" s="204"/>
      <c r="I54" s="95">
        <f>I51+I52+I50+I53</f>
        <v>76487.66</v>
      </c>
      <c r="J54" s="94"/>
      <c r="K54" s="69"/>
      <c r="P54" s="91"/>
    </row>
    <row r="55" spans="1:61" s="66" customFormat="1" ht="15.75">
      <c r="A55" s="83"/>
      <c r="D55" s="87"/>
      <c r="E55" s="87"/>
      <c r="F55" s="87"/>
      <c r="G55" s="87"/>
      <c r="H55" s="87"/>
      <c r="I55" s="96"/>
      <c r="J55" s="94"/>
      <c r="P55" s="91"/>
    </row>
    <row r="56" spans="1:61" s="67" customFormat="1">
      <c r="A56" s="67">
        <v>1</v>
      </c>
      <c r="B56" s="67">
        <v>2</v>
      </c>
      <c r="C56" s="67">
        <v>3</v>
      </c>
      <c r="D56" s="67">
        <v>4</v>
      </c>
      <c r="H56" s="67">
        <v>5</v>
      </c>
      <c r="I56" s="67">
        <v>6</v>
      </c>
      <c r="J56" s="67">
        <v>7</v>
      </c>
      <c r="K56" s="67">
        <v>8</v>
      </c>
      <c r="L56" s="67">
        <v>9</v>
      </c>
      <c r="P56" s="67">
        <v>10</v>
      </c>
      <c r="Q56" s="67">
        <v>11</v>
      </c>
      <c r="R56" s="67">
        <v>12</v>
      </c>
      <c r="S56" s="67">
        <v>13</v>
      </c>
      <c r="T56" s="67">
        <v>14</v>
      </c>
      <c r="U56" s="67">
        <v>15</v>
      </c>
      <c r="V56" s="67">
        <v>16</v>
      </c>
      <c r="W56" s="67">
        <v>17</v>
      </c>
      <c r="X56" s="67">
        <v>18</v>
      </c>
      <c r="AC56" s="67">
        <v>19</v>
      </c>
      <c r="AD56" s="67">
        <v>20</v>
      </c>
      <c r="AE56" s="67">
        <v>21</v>
      </c>
      <c r="AF56" s="67">
        <v>22</v>
      </c>
      <c r="AG56" s="67">
        <v>23</v>
      </c>
      <c r="AH56" s="67">
        <v>24</v>
      </c>
      <c r="AI56" s="67">
        <v>25</v>
      </c>
      <c r="AJ56" s="67">
        <v>26</v>
      </c>
      <c r="AK56" s="67">
        <v>27</v>
      </c>
      <c r="AL56" s="67">
        <v>28</v>
      </c>
      <c r="AM56" s="67">
        <v>29</v>
      </c>
      <c r="AN56" s="67">
        <v>30</v>
      </c>
      <c r="AO56" s="67">
        <v>31</v>
      </c>
      <c r="AP56" s="67">
        <v>32</v>
      </c>
      <c r="AQ56" s="67">
        <v>33</v>
      </c>
      <c r="AR56" s="67">
        <v>34</v>
      </c>
      <c r="AT56" s="67">
        <v>35</v>
      </c>
      <c r="AU56" s="67">
        <v>36</v>
      </c>
      <c r="AV56" s="67">
        <v>37</v>
      </c>
      <c r="AW56" s="67">
        <v>38</v>
      </c>
      <c r="AX56" s="67">
        <v>39</v>
      </c>
      <c r="AY56" s="67">
        <v>40</v>
      </c>
      <c r="BI56" s="67">
        <v>50</v>
      </c>
    </row>
  </sheetData>
  <sheetProtection algorithmName="SHA-512" hashValue="Fc76SPLGHkm4vjFjFdZ156bChxvnpyTVRq2SibWwmW76te7J2h+Etoxs1hwzfnnAdrpT0muEpgsVWJtcSs1NnQ==" saltValue="OLuUfzhr4tSIb1QEWsrpuQ==" spinCount="100000" sheet="1" objects="1" scenarios="1"/>
  <mergeCells count="39">
    <mergeCell ref="C39:H39"/>
    <mergeCell ref="J1:AC1"/>
    <mergeCell ref="B3:D3"/>
    <mergeCell ref="E3:G3"/>
    <mergeCell ref="H3:I3"/>
    <mergeCell ref="J3:L3"/>
    <mergeCell ref="M3:O3"/>
    <mergeCell ref="P3:R3"/>
    <mergeCell ref="S3:T3"/>
    <mergeCell ref="U3:X3"/>
    <mergeCell ref="Y3:AB3"/>
    <mergeCell ref="AC3:AE3"/>
    <mergeCell ref="C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C51:H51"/>
    <mergeCell ref="C52:H52"/>
    <mergeCell ref="C53:H53"/>
    <mergeCell ref="C54:H54"/>
    <mergeCell ref="AW3:AW4"/>
    <mergeCell ref="AX3:AX4"/>
    <mergeCell ref="AY3:AY4"/>
    <mergeCell ref="A3:A4"/>
    <mergeCell ref="AI3:AI4"/>
    <mergeCell ref="AM3:AM4"/>
    <mergeCell ref="AU3:AU4"/>
    <mergeCell ref="AV3:AV4"/>
    <mergeCell ref="AF3:AH3"/>
    <mergeCell ref="AJ3:AL3"/>
    <mergeCell ref="AP3:AQ3"/>
    <mergeCell ref="AR3:AT3"/>
  </mergeCells>
  <pageMargins left="0.7" right="0.7" top="0.75" bottom="0.75" header="0.3" footer="0.3"/>
  <pageSetup paperSize="9" scale="69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B2:AA50"/>
  <sheetViews>
    <sheetView workbookViewId="0">
      <pane xSplit="5" ySplit="6" topLeftCell="F7" activePane="bottomRight" state="frozen"/>
      <selection pane="topRight"/>
      <selection pane="bottomLeft"/>
      <selection pane="bottomRight" activeCell="D2" sqref="D2"/>
    </sheetView>
  </sheetViews>
  <sheetFormatPr defaultColWidth="9.140625" defaultRowHeight="15"/>
  <cols>
    <col min="1" max="1" width="3.7109375" style="4" customWidth="1"/>
    <col min="2" max="2" width="16" style="4" customWidth="1"/>
    <col min="3" max="3" width="15.28515625" style="4" customWidth="1"/>
    <col min="4" max="4" width="17.28515625" style="4" customWidth="1"/>
    <col min="5" max="5" width="15.7109375" style="4" customWidth="1"/>
    <col min="6" max="6" width="9.7109375" style="4" customWidth="1"/>
    <col min="7" max="7" width="11.5703125" style="4" customWidth="1"/>
    <col min="8" max="8" width="12.140625" style="4" customWidth="1"/>
    <col min="9" max="9" width="10.42578125" style="4" customWidth="1"/>
    <col min="10" max="10" width="12.140625" style="4" customWidth="1"/>
    <col min="11" max="11" width="11.5703125" style="4" customWidth="1"/>
    <col min="12" max="12" width="11.7109375" style="4" customWidth="1"/>
    <col min="13" max="13" width="12.140625" style="4" customWidth="1"/>
    <col min="14" max="14" width="13.140625" style="4" customWidth="1"/>
    <col min="15" max="15" width="11.7109375" style="4" customWidth="1"/>
    <col min="16" max="16" width="12.140625" style="4" customWidth="1"/>
    <col min="17" max="17" width="13.140625" style="4" customWidth="1"/>
    <col min="18" max="18" width="11.7109375" style="4" customWidth="1"/>
    <col min="19" max="19" width="12.140625" style="4" customWidth="1"/>
    <col min="20" max="20" width="13.140625" style="4" customWidth="1"/>
    <col min="21" max="21" width="8.85546875" style="4" customWidth="1"/>
    <col min="22" max="22" width="10.42578125" style="4" customWidth="1"/>
    <col min="23" max="23" width="10.5703125" style="4" customWidth="1"/>
    <col min="24" max="24" width="15.140625" style="5" customWidth="1"/>
    <col min="25" max="25" width="10.5703125" style="4" customWidth="1"/>
    <col min="26" max="16384" width="9.140625" style="4"/>
  </cols>
  <sheetData>
    <row r="2" spans="2:27" s="2" customFormat="1" ht="22.15" customHeight="1">
      <c r="B2" s="221" t="s">
        <v>81</v>
      </c>
      <c r="C2" s="222"/>
      <c r="D2" s="6">
        <v>46133</v>
      </c>
      <c r="E2" s="7"/>
      <c r="F2" s="221" t="s">
        <v>82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3"/>
      <c r="X2" s="45"/>
    </row>
    <row r="3" spans="2:27" s="2" customFormat="1" ht="25.15" customHeight="1">
      <c r="B3" s="224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6"/>
    </row>
    <row r="4" spans="2:27">
      <c r="B4" s="233" t="s">
        <v>83</v>
      </c>
      <c r="C4" s="236" t="s">
        <v>84</v>
      </c>
      <c r="D4" s="236" t="s">
        <v>85</v>
      </c>
      <c r="E4" s="239" t="s">
        <v>86</v>
      </c>
      <c r="F4" s="227" t="s">
        <v>87</v>
      </c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9"/>
      <c r="X4" s="241" t="s">
        <v>88</v>
      </c>
    </row>
    <row r="5" spans="2:27" ht="15" customHeight="1">
      <c r="B5" s="234"/>
      <c r="C5" s="237"/>
      <c r="D5" s="237"/>
      <c r="E5" s="240"/>
      <c r="F5" s="227" t="s">
        <v>89</v>
      </c>
      <c r="G5" s="228"/>
      <c r="H5" s="229"/>
      <c r="I5" s="230" t="s">
        <v>90</v>
      </c>
      <c r="J5" s="231"/>
      <c r="K5" s="232"/>
      <c r="L5" s="230" t="s">
        <v>91</v>
      </c>
      <c r="M5" s="231"/>
      <c r="N5" s="232"/>
      <c r="O5" s="230" t="s">
        <v>11</v>
      </c>
      <c r="P5" s="231"/>
      <c r="Q5" s="232"/>
      <c r="R5" s="227" t="s">
        <v>92</v>
      </c>
      <c r="S5" s="228"/>
      <c r="T5" s="229"/>
      <c r="U5" s="227" t="s">
        <v>93</v>
      </c>
      <c r="V5" s="228"/>
      <c r="W5" s="229"/>
      <c r="X5" s="242"/>
    </row>
    <row r="6" spans="2:27">
      <c r="B6" s="235"/>
      <c r="C6" s="238"/>
      <c r="D6" s="238"/>
      <c r="E6" s="8" t="s">
        <v>94</v>
      </c>
      <c r="F6" s="9" t="s">
        <v>94</v>
      </c>
      <c r="G6" s="9" t="s">
        <v>95</v>
      </c>
      <c r="H6" s="9" t="s">
        <v>17</v>
      </c>
      <c r="I6" s="34" t="s">
        <v>94</v>
      </c>
      <c r="J6" s="34" t="s">
        <v>95</v>
      </c>
      <c r="K6" s="34" t="s">
        <v>17</v>
      </c>
      <c r="L6" s="34" t="s">
        <v>94</v>
      </c>
      <c r="M6" s="34" t="s">
        <v>95</v>
      </c>
      <c r="N6" s="34" t="s">
        <v>17</v>
      </c>
      <c r="O6" s="34" t="s">
        <v>94</v>
      </c>
      <c r="P6" s="34" t="s">
        <v>95</v>
      </c>
      <c r="Q6" s="34" t="s">
        <v>17</v>
      </c>
      <c r="R6" s="34" t="s">
        <v>94</v>
      </c>
      <c r="S6" s="34" t="s">
        <v>95</v>
      </c>
      <c r="T6" s="34" t="s">
        <v>17</v>
      </c>
      <c r="U6" s="46" t="s">
        <v>94</v>
      </c>
      <c r="V6" s="46" t="s">
        <v>95</v>
      </c>
      <c r="W6" s="46" t="s">
        <v>17</v>
      </c>
      <c r="X6" s="47" t="s">
        <v>94</v>
      </c>
    </row>
    <row r="7" spans="2:27">
      <c r="B7" s="218" t="s">
        <v>18</v>
      </c>
      <c r="C7" s="10" t="s">
        <v>6</v>
      </c>
      <c r="D7" s="11" t="s">
        <v>96</v>
      </c>
      <c r="E7" s="12">
        <f>VLOOKUP($D$2,'Supply to date 2026'!$A$50:$F$80,2,0)</f>
        <v>42954.67</v>
      </c>
      <c r="F7" s="13" t="s">
        <v>97</v>
      </c>
      <c r="G7" s="13" t="s">
        <v>97</v>
      </c>
      <c r="H7" s="13" t="s">
        <v>97</v>
      </c>
      <c r="I7" s="14">
        <f>VLOOKUP($D$2,'DAILY TMH April 2026'!$A$1:$BF$40,7,FALSE)</f>
        <v>1706.0999999999997</v>
      </c>
      <c r="J7" s="15">
        <f>'MTD &amp; YTD for Supply(NORTH)'!C3</f>
        <v>6912.7399999999989</v>
      </c>
      <c r="K7" s="15">
        <f>'MTD &amp; YTD for Supply(NORTH)'!O3</f>
        <v>6912.7399999999989</v>
      </c>
      <c r="L7" s="35">
        <f t="array" ref="L7">SUM(VLOOKUP($D$2,'DAILY TMH April 2026'!A5:AW35,{4},FALSE))</f>
        <v>0</v>
      </c>
      <c r="M7" s="15">
        <f>'MTD &amp; YTD for Supply (SOUTH)'!C3</f>
        <v>3018.2200000000003</v>
      </c>
      <c r="N7" s="15">
        <f>'MTD &amp; YTD for Supply (SOUTH)'!O3</f>
        <v>3018.2200000000003</v>
      </c>
      <c r="O7" s="36"/>
      <c r="P7" s="15" t="s">
        <v>97</v>
      </c>
      <c r="Q7" s="15" t="s">
        <v>97</v>
      </c>
      <c r="R7" s="38">
        <f>L20+L26+L14+L33</f>
        <v>922.88000000000011</v>
      </c>
      <c r="S7" s="15">
        <f>M14+M20+M26+M33</f>
        <v>11765.519999999997</v>
      </c>
      <c r="T7" s="48">
        <f>N20+N26+N14+N33</f>
        <v>11765.519999999997</v>
      </c>
      <c r="U7" s="48"/>
      <c r="V7" s="48"/>
      <c r="W7" s="48"/>
      <c r="X7" s="49">
        <f>(E7+L7)-(L26+L33)</f>
        <v>42031.79</v>
      </c>
      <c r="Y7" s="61"/>
      <c r="AA7" s="62"/>
    </row>
    <row r="8" spans="2:27">
      <c r="B8" s="219"/>
      <c r="C8" s="10" t="s">
        <v>7</v>
      </c>
      <c r="D8" s="11" t="s">
        <v>98</v>
      </c>
      <c r="E8" s="12">
        <f>VLOOKUP($D$2,'Supply to date 2026'!$A$50:$F$80,3,0)</f>
        <v>381995.20000000013</v>
      </c>
      <c r="F8" s="13" t="s">
        <v>97</v>
      </c>
      <c r="G8" s="13" t="s">
        <v>97</v>
      </c>
      <c r="H8" s="13" t="s">
        <v>97</v>
      </c>
      <c r="I8" s="14">
        <f>VLOOKUP($D$2,'DAILY TMH April 2026'!$A$1:$BF$40,15,FALSE)</f>
        <v>0</v>
      </c>
      <c r="J8" s="15">
        <f>'MTD &amp; YTD for Supply(NORTH)'!C4</f>
        <v>5290.36</v>
      </c>
      <c r="K8" s="15">
        <f>'MTD &amp; YTD for Supply(NORTH)'!O4</f>
        <v>5290.36</v>
      </c>
      <c r="L8" s="35">
        <f>SUM(VLOOKUP($D$2,'DAILY TMH April 2026'!A5:AW35,{12},FALSE))</f>
        <v>0</v>
      </c>
      <c r="M8" s="15">
        <f>'MTD &amp; YTD for Supply (SOUTH)'!C4</f>
        <v>1935.5400000000004</v>
      </c>
      <c r="N8" s="15">
        <f>'MTD &amp; YTD for Supply (SOUTH)'!O4</f>
        <v>1935.5400000000004</v>
      </c>
      <c r="O8" s="36"/>
      <c r="P8" s="15" t="s">
        <v>97</v>
      </c>
      <c r="Q8" s="15" t="s">
        <v>97</v>
      </c>
      <c r="R8" s="38">
        <f>L15+L21+L27+L34</f>
        <v>0</v>
      </c>
      <c r="S8" s="15">
        <f>M15+M21+M27+M34</f>
        <v>23481.22</v>
      </c>
      <c r="T8" s="48">
        <f>N15+N21+N27+N34</f>
        <v>23481.22</v>
      </c>
      <c r="U8" s="48"/>
      <c r="V8" s="48"/>
      <c r="W8" s="48"/>
      <c r="X8" s="49">
        <f>(E8+L8)-(L27+L34+U34)</f>
        <v>381995.20000000013</v>
      </c>
      <c r="Y8" s="61"/>
      <c r="AA8" s="62"/>
    </row>
    <row r="9" spans="2:27">
      <c r="B9" s="219"/>
      <c r="C9" s="10" t="s">
        <v>8</v>
      </c>
      <c r="D9" s="11" t="s">
        <v>99</v>
      </c>
      <c r="E9" s="12">
        <f>VLOOKUP($D$2,'Supply to date 2026'!$A$50:$F$80,5,0)</f>
        <v>9895.6200000000008</v>
      </c>
      <c r="F9" s="13" t="s">
        <v>97</v>
      </c>
      <c r="G9" s="13" t="s">
        <v>97</v>
      </c>
      <c r="H9" s="13" t="s">
        <v>97</v>
      </c>
      <c r="I9" s="14"/>
      <c r="J9" s="15">
        <f>'MTD &amp; YTD for Supply(NORTH)'!C5</f>
        <v>0</v>
      </c>
      <c r="K9" s="15">
        <f>'MTD &amp; YTD for Supply(NORTH)'!O5</f>
        <v>0</v>
      </c>
      <c r="L9" s="35">
        <f>VLOOKUP($D$2,'DAILY TMH April 2026'!A5:AW35,{34},FALSE)</f>
        <v>0</v>
      </c>
      <c r="M9" s="15">
        <f>'MTD &amp; YTD for Supply (SOUTH)'!C5</f>
        <v>0</v>
      </c>
      <c r="N9" s="15">
        <f>'MTD &amp; YTD for Supply (SOUTH)'!O5</f>
        <v>0</v>
      </c>
      <c r="O9" s="36"/>
      <c r="P9" s="15" t="s">
        <v>97</v>
      </c>
      <c r="Q9" s="15" t="s">
        <v>97</v>
      </c>
      <c r="R9" s="38">
        <f>L22+L28+L16+L35</f>
        <v>0</v>
      </c>
      <c r="S9" s="15">
        <f>M16+M22+M28+M35</f>
        <v>0</v>
      </c>
      <c r="T9" s="48">
        <f>N16+N22+N28+N35</f>
        <v>0</v>
      </c>
      <c r="U9" s="48"/>
      <c r="V9" s="48"/>
      <c r="W9" s="48"/>
      <c r="X9" s="49">
        <f>(E9+L9)-(L28+L35)</f>
        <v>9895.6200000000008</v>
      </c>
      <c r="Y9" s="61"/>
    </row>
    <row r="10" spans="2:27">
      <c r="B10" s="219"/>
      <c r="C10" s="10" t="s">
        <v>9</v>
      </c>
      <c r="D10" s="11" t="s">
        <v>100</v>
      </c>
      <c r="E10" s="12">
        <f>VLOOKUP($D$2,'Supply to date 2026'!$A$50:$F$80,4,0)</f>
        <v>10647.48</v>
      </c>
      <c r="F10" s="13" t="s">
        <v>97</v>
      </c>
      <c r="G10" s="13" t="s">
        <v>97</v>
      </c>
      <c r="H10" s="13" t="s">
        <v>97</v>
      </c>
      <c r="I10" s="14">
        <f>VLOOKUP($D$2,'DAILY TMH April 2026'!$A$1:$BF$40,27,FALSE)</f>
        <v>0</v>
      </c>
      <c r="J10" s="15">
        <f>'MTD &amp; YTD for Supply(NORTH)'!C6</f>
        <v>0</v>
      </c>
      <c r="K10" s="15">
        <f>'MTD &amp; YTD for Supply(NORTH)'!O6</f>
        <v>0</v>
      </c>
      <c r="L10" s="35">
        <f>SUM(VLOOKUP($D$2,'DAILY TMH April 2026'!A5:AW37,{23},FALSE))</f>
        <v>0</v>
      </c>
      <c r="M10" s="15">
        <f>'MTD &amp; YTD for Supply (SOUTH)'!C6</f>
        <v>0</v>
      </c>
      <c r="N10" s="15">
        <f>'MTD &amp; YTD for Supply (SOUTH)'!O6</f>
        <v>0</v>
      </c>
      <c r="O10" s="37" t="s">
        <v>97</v>
      </c>
      <c r="P10" s="15" t="s">
        <v>97</v>
      </c>
      <c r="Q10" s="15" t="s">
        <v>97</v>
      </c>
      <c r="R10" s="38">
        <f>L23+L29+L17+L36</f>
        <v>118.24000000000001</v>
      </c>
      <c r="S10" s="15">
        <f>M23+M29+M17+M36</f>
        <v>594.1400000000001</v>
      </c>
      <c r="T10" s="48">
        <f>N17+N23+N29+N36</f>
        <v>594.1400000000001</v>
      </c>
      <c r="U10" s="48">
        <f>U29+U36</f>
        <v>0</v>
      </c>
      <c r="V10" s="48">
        <f>V29+V36</f>
        <v>0</v>
      </c>
      <c r="W10" s="48">
        <f>W29+W36</f>
        <v>0</v>
      </c>
      <c r="X10" s="49">
        <f>(E10+L10)-(L29+L36)</f>
        <v>10529.24</v>
      </c>
      <c r="Y10" s="61"/>
      <c r="AA10" s="62"/>
    </row>
    <row r="11" spans="2:27">
      <c r="B11" s="220"/>
      <c r="C11" s="10" t="s">
        <v>101</v>
      </c>
      <c r="D11" s="11" t="s">
        <v>102</v>
      </c>
      <c r="E11" s="12">
        <f>VLOOKUP($D$2,'Supply to date 2026'!$A$50:$F$80,6,0)</f>
        <v>56.219999999999985</v>
      </c>
      <c r="F11" s="14">
        <f>VLOOKUP($D$2,'DAILY TMH April 2026'!A5:BG37,{36},FALSE)</f>
        <v>0</v>
      </c>
      <c r="G11" s="15">
        <f>'MTD &amp; YTD for Supply (SOUTH)'!C7</f>
        <v>0</v>
      </c>
      <c r="H11" s="15">
        <f>'MTD &amp; YTD for Supply (SOUTH)'!O7</f>
        <v>0</v>
      </c>
      <c r="I11" s="13" t="s">
        <v>97</v>
      </c>
      <c r="J11" s="15" t="s">
        <v>97</v>
      </c>
      <c r="K11" s="15" t="s">
        <v>97</v>
      </c>
      <c r="L11" s="38" t="s">
        <v>97</v>
      </c>
      <c r="M11" s="15" t="s">
        <v>97</v>
      </c>
      <c r="N11" s="15" t="s">
        <v>97</v>
      </c>
      <c r="O11" s="37" t="s">
        <v>97</v>
      </c>
      <c r="P11" s="15" t="s">
        <v>97</v>
      </c>
      <c r="Q11" s="15" t="s">
        <v>97</v>
      </c>
      <c r="R11" s="38">
        <f>F30+F37</f>
        <v>45.22</v>
      </c>
      <c r="S11" s="15">
        <f>G30+G37</f>
        <v>137.76</v>
      </c>
      <c r="T11" s="48">
        <f>H30+H37</f>
        <v>137.76</v>
      </c>
      <c r="U11" s="48"/>
      <c r="V11" s="48"/>
      <c r="W11" s="48"/>
      <c r="X11" s="49">
        <f>(E11+F11)-(F30+F37)</f>
        <v>10.999999999999986</v>
      </c>
      <c r="Y11" s="61"/>
    </row>
    <row r="12" spans="2:27">
      <c r="B12" s="16"/>
      <c r="C12" s="17" t="s">
        <v>11</v>
      </c>
      <c r="D12" s="18" t="s">
        <v>103</v>
      </c>
      <c r="E12" s="19">
        <v>0</v>
      </c>
      <c r="F12" s="13" t="s">
        <v>97</v>
      </c>
      <c r="G12" s="13" t="s">
        <v>97</v>
      </c>
      <c r="H12" s="13" t="s">
        <v>97</v>
      </c>
      <c r="I12" s="13" t="s">
        <v>97</v>
      </c>
      <c r="J12" s="15" t="s">
        <v>97</v>
      </c>
      <c r="K12" s="15" t="s">
        <v>97</v>
      </c>
      <c r="L12" s="38" t="s">
        <v>97</v>
      </c>
      <c r="M12" s="15" t="s">
        <v>97</v>
      </c>
      <c r="N12" s="15" t="s">
        <v>97</v>
      </c>
      <c r="O12" s="36"/>
      <c r="P12" s="15"/>
      <c r="Q12" s="15"/>
      <c r="R12" s="38">
        <f>O31+O38</f>
        <v>0</v>
      </c>
      <c r="S12" s="15">
        <f>P31+P38</f>
        <v>0</v>
      </c>
      <c r="T12" s="15">
        <f>Q31+Q38</f>
        <v>0</v>
      </c>
      <c r="U12" s="15"/>
      <c r="V12" s="15"/>
      <c r="W12" s="15"/>
      <c r="X12" s="50">
        <v>0</v>
      </c>
    </row>
    <row r="13" spans="2:27" s="3" customFormat="1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51"/>
    </row>
    <row r="14" spans="2:27">
      <c r="B14" s="218" t="s">
        <v>19</v>
      </c>
      <c r="C14" s="10" t="s">
        <v>6</v>
      </c>
      <c r="D14" s="11" t="s">
        <v>96</v>
      </c>
      <c r="E14" s="10" t="s">
        <v>97</v>
      </c>
      <c r="F14" s="22" t="s">
        <v>97</v>
      </c>
      <c r="G14" s="22" t="s">
        <v>97</v>
      </c>
      <c r="H14" s="22" t="s">
        <v>97</v>
      </c>
      <c r="I14" s="35">
        <f>VLOOKUP($D$2,'DAILY TMH April 2026'!$A$5:$BE$47,5,FALSE)</f>
        <v>2141.0800000000004</v>
      </c>
      <c r="J14" s="19">
        <f>'MTD &amp; YTD for Supply(NORTH)'!C11</f>
        <v>5898.1400000000012</v>
      </c>
      <c r="K14" s="19">
        <f>'MTD &amp; YTD for Supply(NORTH)'!O11</f>
        <v>5898.1400000000012</v>
      </c>
      <c r="L14" s="35">
        <f>SUM(VLOOKUP($D$2,'DAILY TMH April 2026'!A5:AW35,{2},FALSE))</f>
        <v>0</v>
      </c>
      <c r="M14" s="38">
        <f>'MTD &amp; YTD for Supply (SOUTH)'!C11</f>
        <v>1157.8799999999999</v>
      </c>
      <c r="N14" s="38">
        <f>'MTD &amp; YTD for Supply (SOUTH)'!O11</f>
        <v>1157.8799999999999</v>
      </c>
      <c r="O14" s="39"/>
      <c r="P14" s="19"/>
      <c r="Q14" s="19"/>
      <c r="R14" s="19"/>
      <c r="S14" s="19"/>
      <c r="T14" s="52"/>
      <c r="U14" s="52"/>
      <c r="V14" s="52"/>
      <c r="W14" s="52"/>
      <c r="X14" s="53"/>
    </row>
    <row r="15" spans="2:27">
      <c r="B15" s="219"/>
      <c r="C15" s="10" t="s">
        <v>7</v>
      </c>
      <c r="D15" s="11" t="s">
        <v>98</v>
      </c>
      <c r="E15" s="10" t="s">
        <v>97</v>
      </c>
      <c r="F15" s="22" t="s">
        <v>97</v>
      </c>
      <c r="G15" s="22" t="s">
        <v>97</v>
      </c>
      <c r="H15" s="22" t="s">
        <v>97</v>
      </c>
      <c r="I15" s="35">
        <f>VLOOKUP($D$2,'DAILY TMH April 2026'!$A$5:$BE$47,13,FALSE)</f>
        <v>0</v>
      </c>
      <c r="J15" s="19">
        <f>'MTD &amp; YTD for Supply(NORTH)'!C12</f>
        <v>4803.74</v>
      </c>
      <c r="K15" s="19">
        <f>'MTD &amp; YTD for Supply(NORTH)'!O12</f>
        <v>4803.74</v>
      </c>
      <c r="L15" s="35">
        <f>SUM(VLOOKUP($D2,'DAILY TMH April 2026'!A5:AW35,{10},FALSE))</f>
        <v>0</v>
      </c>
      <c r="M15" s="38">
        <f>'MTD &amp; YTD for Supply (SOUTH)'!C12</f>
        <v>2448.7600000000002</v>
      </c>
      <c r="N15" s="38">
        <f>'MTD &amp; YTD for Supply (SOUTH)'!O12</f>
        <v>2448.7600000000002</v>
      </c>
      <c r="O15" s="39"/>
      <c r="P15" s="19"/>
      <c r="Q15" s="19"/>
      <c r="R15" s="19"/>
      <c r="S15" s="19"/>
      <c r="T15" s="52"/>
      <c r="U15" s="52"/>
      <c r="V15" s="52"/>
      <c r="W15" s="52"/>
      <c r="X15" s="53"/>
    </row>
    <row r="16" spans="2:27">
      <c r="B16" s="219"/>
      <c r="C16" s="10" t="s">
        <v>8</v>
      </c>
      <c r="D16" s="11" t="s">
        <v>99</v>
      </c>
      <c r="E16" s="10" t="s">
        <v>97</v>
      </c>
      <c r="F16" s="22" t="s">
        <v>97</v>
      </c>
      <c r="G16" s="22" t="s">
        <v>97</v>
      </c>
      <c r="H16" s="22" t="s">
        <v>97</v>
      </c>
      <c r="I16" s="35"/>
      <c r="J16" s="19">
        <f>'MTD &amp; YTD for Supply(NORTH)'!C13</f>
        <v>0</v>
      </c>
      <c r="K16" s="19">
        <f>'MTD &amp; YTD for Supply(NORTH)'!O13</f>
        <v>0</v>
      </c>
      <c r="L16" s="35">
        <f>SUM(VLOOKUP($D$2,'DAILY TMH April 2026'!A5:AW35,{32},FALSE))</f>
        <v>0</v>
      </c>
      <c r="M16" s="38">
        <f>'MTD &amp; YTD for Supply (SOUTH)'!C13</f>
        <v>0</v>
      </c>
      <c r="N16" s="38">
        <f>'MTD &amp; YTD for Supply (SOUTH)'!O13</f>
        <v>0</v>
      </c>
      <c r="O16" s="39"/>
      <c r="P16" s="19"/>
      <c r="Q16" s="19"/>
      <c r="R16" s="19"/>
      <c r="S16" s="19"/>
      <c r="T16" s="52"/>
      <c r="U16" s="52"/>
      <c r="V16" s="52"/>
      <c r="W16" s="52"/>
      <c r="X16" s="53"/>
    </row>
    <row r="17" spans="2:24">
      <c r="B17" s="219"/>
      <c r="C17" s="10" t="s">
        <v>9</v>
      </c>
      <c r="D17" s="11" t="s">
        <v>100</v>
      </c>
      <c r="E17" s="10" t="s">
        <v>97</v>
      </c>
      <c r="F17" s="22" t="s">
        <v>97</v>
      </c>
      <c r="G17" s="22" t="s">
        <v>97</v>
      </c>
      <c r="H17" s="22" t="s">
        <v>97</v>
      </c>
      <c r="I17" s="35">
        <f>VLOOKUP($D$2,'DAILY TMH April 2026'!$A$5:$BE$47,25,FALSE)</f>
        <v>0</v>
      </c>
      <c r="J17" s="19">
        <f>'MTD &amp; YTD for Supply(NORTH)'!C14</f>
        <v>0</v>
      </c>
      <c r="K17" s="19">
        <f>'MTD &amp; YTD for Supply(NORTH)'!O14</f>
        <v>0</v>
      </c>
      <c r="L17" s="35">
        <f>SUM(VLOOKUP($D$2,'DAILY TMH April 2026'!A5:AW35,{21},FALSE))</f>
        <v>0</v>
      </c>
      <c r="M17" s="38">
        <f>'MTD &amp; YTD for Supply (SOUTH)'!C14</f>
        <v>0</v>
      </c>
      <c r="N17" s="38">
        <f>'MTD &amp; YTD for Supply (SOUTH)'!O14</f>
        <v>0</v>
      </c>
      <c r="O17" s="39"/>
      <c r="P17" s="19"/>
      <c r="Q17" s="19"/>
      <c r="R17" s="19"/>
      <c r="S17" s="19"/>
      <c r="T17" s="52"/>
      <c r="U17" s="52"/>
      <c r="V17" s="52"/>
      <c r="W17" s="52"/>
      <c r="X17" s="53"/>
    </row>
    <row r="18" spans="2:24">
      <c r="B18" s="220"/>
      <c r="C18" s="10" t="s">
        <v>101</v>
      </c>
      <c r="D18" s="11" t="s">
        <v>102</v>
      </c>
      <c r="E18" s="10" t="s">
        <v>97</v>
      </c>
      <c r="F18" s="22" t="s">
        <v>97</v>
      </c>
      <c r="G18" s="22" t="s">
        <v>97</v>
      </c>
      <c r="H18" s="22" t="s">
        <v>97</v>
      </c>
      <c r="I18" s="22" t="s">
        <v>97</v>
      </c>
      <c r="J18" s="10" t="s">
        <v>97</v>
      </c>
      <c r="K18" s="10" t="s">
        <v>97</v>
      </c>
      <c r="L18" s="22" t="s">
        <v>97</v>
      </c>
      <c r="M18" s="40" t="s">
        <v>97</v>
      </c>
      <c r="N18" s="40" t="s">
        <v>97</v>
      </c>
      <c r="O18" s="22" t="s">
        <v>97</v>
      </c>
      <c r="P18" s="10" t="s">
        <v>97</v>
      </c>
      <c r="Q18" s="10" t="s">
        <v>97</v>
      </c>
      <c r="R18" s="10"/>
      <c r="S18" s="10"/>
      <c r="T18" s="54"/>
      <c r="U18" s="54"/>
      <c r="V18" s="54"/>
      <c r="W18" s="54"/>
      <c r="X18" s="53"/>
    </row>
    <row r="19" spans="2:24" s="3" customFormat="1">
      <c r="B19" s="23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55"/>
    </row>
    <row r="20" spans="2:24">
      <c r="B20" s="218" t="s">
        <v>104</v>
      </c>
      <c r="C20" s="10" t="s">
        <v>6</v>
      </c>
      <c r="D20" s="11" t="s">
        <v>96</v>
      </c>
      <c r="E20" s="10" t="s">
        <v>97</v>
      </c>
      <c r="F20" s="22" t="s">
        <v>97</v>
      </c>
      <c r="G20" s="22" t="s">
        <v>97</v>
      </c>
      <c r="H20" s="22" t="s">
        <v>97</v>
      </c>
      <c r="I20" s="35">
        <f>VLOOKUP($D$2,'DAILY TMH April 2026'!$A$5:$BG$40,6,FALSE)</f>
        <v>0</v>
      </c>
      <c r="J20" s="19">
        <f>'MTD &amp; YTD for Supply(NORTH)'!C18</f>
        <v>1483.9999999999998</v>
      </c>
      <c r="K20" s="19">
        <f>'MTD &amp; YTD for Supply(NORTH)'!O18</f>
        <v>1483.9999999999998</v>
      </c>
      <c r="L20" s="35">
        <f t="array" ref="L20">SUM(VLOOKUP($D$2,'DAILY TMH April 2026'!A5:AW35,{3},FALSE))</f>
        <v>0</v>
      </c>
      <c r="M20" s="19">
        <f>'MTD &amp; YTD for Supply (SOUTH)'!C18</f>
        <v>0</v>
      </c>
      <c r="N20" s="19">
        <f>'MTD &amp; YTD for Supply (SOUTH)'!O18</f>
        <v>0</v>
      </c>
      <c r="O20" s="39" t="s">
        <v>97</v>
      </c>
      <c r="P20" s="39" t="s">
        <v>97</v>
      </c>
      <c r="Q20" s="39" t="s">
        <v>97</v>
      </c>
      <c r="R20" s="19"/>
      <c r="S20" s="19"/>
      <c r="T20" s="52"/>
      <c r="U20" s="52"/>
      <c r="V20" s="52"/>
      <c r="W20" s="52"/>
      <c r="X20" s="56"/>
    </row>
    <row r="21" spans="2:24">
      <c r="B21" s="219"/>
      <c r="C21" s="10" t="s">
        <v>7</v>
      </c>
      <c r="D21" s="11" t="s">
        <v>98</v>
      </c>
      <c r="E21" s="10" t="s">
        <v>97</v>
      </c>
      <c r="F21" s="22" t="s">
        <v>97</v>
      </c>
      <c r="G21" s="22" t="s">
        <v>97</v>
      </c>
      <c r="H21" s="22" t="s">
        <v>97</v>
      </c>
      <c r="I21" s="35">
        <f>VLOOKUP($D$2,'DAILY TMH April 2026'!$A$5:$BG$40,14,FALSE)</f>
        <v>0</v>
      </c>
      <c r="J21" s="19">
        <f>'MTD &amp; YTD for Supply(NORTH)'!C19</f>
        <v>446.28</v>
      </c>
      <c r="K21" s="19">
        <f>'MTD &amp; YTD for Supply(NORTH)'!O19</f>
        <v>446.28</v>
      </c>
      <c r="L21" s="35">
        <f>SUM(VLOOKUP($D$2,'DAILY TMH April 2026'!A5:AW35,{11},FALSE))</f>
        <v>0</v>
      </c>
      <c r="M21" s="19">
        <f>'MTD &amp; YTD for Supply (SOUTH)'!C19</f>
        <v>1567.56</v>
      </c>
      <c r="N21" s="19">
        <f>'MTD &amp; YTD for Supply (SOUTH)'!O19</f>
        <v>1567.56</v>
      </c>
      <c r="O21" s="39" t="s">
        <v>97</v>
      </c>
      <c r="P21" s="39" t="s">
        <v>97</v>
      </c>
      <c r="Q21" s="39" t="s">
        <v>97</v>
      </c>
      <c r="R21" s="19"/>
      <c r="S21" s="19"/>
      <c r="T21" s="52"/>
      <c r="U21" s="52"/>
      <c r="V21" s="52"/>
      <c r="W21" s="52"/>
      <c r="X21" s="56"/>
    </row>
    <row r="22" spans="2:24">
      <c r="B22" s="219"/>
      <c r="C22" s="10" t="s">
        <v>8</v>
      </c>
      <c r="D22" s="11" t="s">
        <v>99</v>
      </c>
      <c r="E22" s="10" t="s">
        <v>97</v>
      </c>
      <c r="F22" s="22" t="s">
        <v>97</v>
      </c>
      <c r="G22" s="22" t="s">
        <v>97</v>
      </c>
      <c r="H22" s="22" t="s">
        <v>97</v>
      </c>
      <c r="I22" s="35"/>
      <c r="J22" s="19">
        <f>'MTD &amp; YTD for Supply(NORTH)'!C20</f>
        <v>0</v>
      </c>
      <c r="K22" s="19">
        <f>'MTD &amp; YTD for Supply(NORTH)'!O20</f>
        <v>0</v>
      </c>
      <c r="L22" s="35">
        <f>SUM(VLOOKUP($D$2,'DAILY TMH April 2026'!A5:AW35,{33},FALSE))</f>
        <v>0</v>
      </c>
      <c r="M22" s="19">
        <f>'MTD &amp; YTD for Supply (SOUTH)'!C20</f>
        <v>0</v>
      </c>
      <c r="N22" s="19">
        <f>'MTD &amp; YTD for Supply (SOUTH)'!O20</f>
        <v>0</v>
      </c>
      <c r="O22" s="39" t="s">
        <v>97</v>
      </c>
      <c r="P22" s="39" t="s">
        <v>97</v>
      </c>
      <c r="Q22" s="39" t="s">
        <v>97</v>
      </c>
      <c r="R22" s="19"/>
      <c r="S22" s="19"/>
      <c r="T22" s="52"/>
      <c r="U22" s="52"/>
      <c r="V22" s="52"/>
      <c r="W22" s="52"/>
      <c r="X22" s="56"/>
    </row>
    <row r="23" spans="2:24">
      <c r="B23" s="219"/>
      <c r="C23" s="10" t="s">
        <v>9</v>
      </c>
      <c r="D23" s="11" t="s">
        <v>100</v>
      </c>
      <c r="E23" s="10" t="s">
        <v>97</v>
      </c>
      <c r="F23" s="22" t="s">
        <v>97</v>
      </c>
      <c r="G23" s="22" t="s">
        <v>97</v>
      </c>
      <c r="H23" s="22" t="s">
        <v>97</v>
      </c>
      <c r="I23" s="35">
        <f>VLOOKUP($D$2,'DAILY TMH April 2026'!$A$5:$BG$40,26,FALSE)</f>
        <v>0</v>
      </c>
      <c r="J23" s="19">
        <f>'MTD &amp; YTD for Supply(NORTH)'!C21</f>
        <v>0</v>
      </c>
      <c r="K23" s="19">
        <f>'MTD &amp; YTD for Supply(NORTH)'!O21</f>
        <v>0</v>
      </c>
      <c r="L23" s="35">
        <f>SUM(VLOOKUP($D$2,'DAILY TMH April 2026'!A5:AW35,{22},FALSE))</f>
        <v>0</v>
      </c>
      <c r="M23" s="19">
        <f>'MTD &amp; YTD for Supply (SOUTH)'!C21</f>
        <v>0</v>
      </c>
      <c r="N23" s="19">
        <f>'MTD &amp; YTD for Supply (SOUTH)'!O21</f>
        <v>0</v>
      </c>
      <c r="O23" s="39" t="s">
        <v>97</v>
      </c>
      <c r="P23" s="39" t="s">
        <v>97</v>
      </c>
      <c r="Q23" s="39" t="s">
        <v>97</v>
      </c>
      <c r="R23" s="19"/>
      <c r="S23" s="19"/>
      <c r="T23" s="52"/>
      <c r="U23" s="52"/>
      <c r="V23" s="52"/>
      <c r="W23" s="52"/>
      <c r="X23" s="56"/>
    </row>
    <row r="24" spans="2:24">
      <c r="B24" s="220"/>
      <c r="C24" s="10" t="s">
        <v>101</v>
      </c>
      <c r="D24" s="11" t="s">
        <v>102</v>
      </c>
      <c r="E24" s="10" t="s">
        <v>97</v>
      </c>
      <c r="F24" s="22" t="s">
        <v>97</v>
      </c>
      <c r="G24" s="22" t="s">
        <v>97</v>
      </c>
      <c r="H24" s="22" t="s">
        <v>97</v>
      </c>
      <c r="I24" s="22" t="s">
        <v>97</v>
      </c>
      <c r="J24" s="22" t="s">
        <v>97</v>
      </c>
      <c r="K24" s="22" t="s">
        <v>97</v>
      </c>
      <c r="L24" s="22" t="s">
        <v>97</v>
      </c>
      <c r="M24" s="22" t="s">
        <v>97</v>
      </c>
      <c r="N24" s="22" t="s">
        <v>97</v>
      </c>
      <c r="O24" s="22" t="s">
        <v>97</v>
      </c>
      <c r="P24" s="22" t="s">
        <v>97</v>
      </c>
      <c r="Q24" s="22" t="s">
        <v>97</v>
      </c>
      <c r="R24" s="10"/>
      <c r="S24" s="10"/>
      <c r="T24" s="54"/>
      <c r="U24" s="54"/>
      <c r="V24" s="54"/>
      <c r="W24" s="54"/>
      <c r="X24" s="56"/>
    </row>
    <row r="25" spans="2:24" s="3" customForma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57"/>
    </row>
    <row r="26" spans="2:24">
      <c r="B26" s="218" t="s">
        <v>105</v>
      </c>
      <c r="C26" s="10" t="s">
        <v>6</v>
      </c>
      <c r="D26" s="11" t="s">
        <v>96</v>
      </c>
      <c r="E26" s="10" t="s">
        <v>97</v>
      </c>
      <c r="F26" s="10" t="s">
        <v>97</v>
      </c>
      <c r="G26" s="10" t="s">
        <v>97</v>
      </c>
      <c r="H26" s="10" t="s">
        <v>97</v>
      </c>
      <c r="I26" s="26"/>
      <c r="J26" s="10"/>
      <c r="K26" s="10"/>
      <c r="L26" s="35">
        <f>SUM(VLOOKUP($D$2,'DAILY TMH April 2026'!A5:AW35,{8},FALSE))</f>
        <v>922.88000000000011</v>
      </c>
      <c r="M26" s="10">
        <f>'MTD &amp; YTD for Supply (SOUTH)'!C25</f>
        <v>9985.7199999999975</v>
      </c>
      <c r="N26" s="10">
        <f>'MTD &amp; YTD for Supply (SOUTH)'!O25</f>
        <v>9985.7199999999975</v>
      </c>
      <c r="O26" s="26"/>
      <c r="P26" s="22"/>
      <c r="Q26" s="10"/>
      <c r="R26" s="10"/>
      <c r="S26" s="10"/>
      <c r="T26" s="54"/>
      <c r="U26" s="26"/>
      <c r="V26" s="54"/>
      <c r="W26" s="54"/>
      <c r="X26" s="56"/>
    </row>
    <row r="27" spans="2:24">
      <c r="B27" s="219"/>
      <c r="C27" s="10" t="s">
        <v>7</v>
      </c>
      <c r="D27" s="11" t="s">
        <v>98</v>
      </c>
      <c r="E27" s="10" t="s">
        <v>97</v>
      </c>
      <c r="F27" s="10" t="s">
        <v>97</v>
      </c>
      <c r="G27" s="10" t="s">
        <v>97</v>
      </c>
      <c r="H27" s="10" t="s">
        <v>97</v>
      </c>
      <c r="I27" s="26"/>
      <c r="J27" s="10"/>
      <c r="K27" s="10"/>
      <c r="L27" s="35">
        <f>SUM(VLOOKUP($D$2,'DAILY TMH April 2026'!A5:AW35,{16},FALSE))</f>
        <v>0</v>
      </c>
      <c r="M27" s="10">
        <f>'MTD &amp; YTD for Supply (SOUTH)'!C26</f>
        <v>18797.68</v>
      </c>
      <c r="N27" s="10">
        <f>'MTD &amp; YTD for Supply (SOUTH)'!O26</f>
        <v>18797.68</v>
      </c>
      <c r="O27" s="26"/>
      <c r="P27" s="10"/>
      <c r="Q27" s="10"/>
      <c r="R27" s="10"/>
      <c r="S27" s="10"/>
      <c r="T27" s="54"/>
      <c r="U27" s="26"/>
      <c r="V27" s="54"/>
      <c r="W27" s="54"/>
      <c r="X27" s="56"/>
    </row>
    <row r="28" spans="2:24">
      <c r="B28" s="219"/>
      <c r="C28" s="10" t="s">
        <v>8</v>
      </c>
      <c r="D28" s="11" t="s">
        <v>99</v>
      </c>
      <c r="E28" s="10" t="s">
        <v>97</v>
      </c>
      <c r="F28" s="10" t="s">
        <v>97</v>
      </c>
      <c r="G28" s="10" t="s">
        <v>97</v>
      </c>
      <c r="H28" s="10" t="s">
        <v>97</v>
      </c>
      <c r="I28" s="26"/>
      <c r="J28" s="10"/>
      <c r="K28" s="10"/>
      <c r="L28" s="35">
        <f>VLOOKUP($D$2,'DAILY TMH April 2026'!A5:AW35,{35},FALSE)</f>
        <v>0</v>
      </c>
      <c r="M28" s="10">
        <f>'MTD &amp; YTD for Supply (SOUTH)'!C27</f>
        <v>0</v>
      </c>
      <c r="N28" s="10">
        <f>'MTD &amp; YTD for Supply (SOUTH)'!O27</f>
        <v>0</v>
      </c>
      <c r="O28" s="26"/>
      <c r="P28" s="10"/>
      <c r="Q28" s="10"/>
      <c r="R28" s="10"/>
      <c r="S28" s="10"/>
      <c r="T28" s="54"/>
      <c r="U28" s="26"/>
      <c r="V28" s="54"/>
      <c r="W28" s="54"/>
      <c r="X28" s="56"/>
    </row>
    <row r="29" spans="2:24">
      <c r="B29" s="219"/>
      <c r="C29" s="10" t="s">
        <v>9</v>
      </c>
      <c r="D29" s="11" t="s">
        <v>100</v>
      </c>
      <c r="E29" s="10" t="s">
        <v>97</v>
      </c>
      <c r="F29" s="10" t="s">
        <v>97</v>
      </c>
      <c r="G29" s="10" t="s">
        <v>97</v>
      </c>
      <c r="H29" s="10" t="s">
        <v>97</v>
      </c>
      <c r="I29" s="26"/>
      <c r="J29" s="10"/>
      <c r="K29" s="10"/>
      <c r="L29" s="35">
        <f>SUM(VLOOKUP($D$2,'DAILY TMH April 2026'!A5:AW35,{29},FALSE))</f>
        <v>118.24000000000001</v>
      </c>
      <c r="M29" s="10">
        <f>'MTD &amp; YTD for Supply (SOUTH)'!C28</f>
        <v>432.80000000000007</v>
      </c>
      <c r="N29" s="10">
        <f>'MTD &amp; YTD for Supply (SOUTH)'!O28</f>
        <v>432.80000000000007</v>
      </c>
      <c r="O29" s="26"/>
      <c r="P29" s="10"/>
      <c r="Q29" s="10"/>
      <c r="R29" s="10"/>
      <c r="S29" s="10"/>
      <c r="T29" s="54"/>
      <c r="U29" s="26"/>
      <c r="V29" s="54"/>
      <c r="W29" s="54"/>
      <c r="X29" s="56"/>
    </row>
    <row r="30" spans="2:24">
      <c r="B30" s="219"/>
      <c r="C30" s="10" t="s">
        <v>101</v>
      </c>
      <c r="D30" s="11" t="s">
        <v>102</v>
      </c>
      <c r="E30" s="10" t="s">
        <v>97</v>
      </c>
      <c r="F30" s="26">
        <f>VLOOKUP($D$2,'DAILY TMH April 2026'!A1:BG37,{45},FALSE)</f>
        <v>45.22</v>
      </c>
      <c r="G30" s="10">
        <f>'MTD &amp; YTD for Supply (SOUTH)'!C30</f>
        <v>137.76</v>
      </c>
      <c r="H30" s="10">
        <f>'MTD &amp; YTD for Supply (SOUTH)'!O30</f>
        <v>137.76</v>
      </c>
      <c r="I30" s="22" t="s">
        <v>97</v>
      </c>
      <c r="J30" s="22" t="s">
        <v>97</v>
      </c>
      <c r="K30" s="22" t="s">
        <v>97</v>
      </c>
      <c r="L30" s="22" t="s">
        <v>97</v>
      </c>
      <c r="M30" s="22" t="s">
        <v>97</v>
      </c>
      <c r="N30" s="22" t="s">
        <v>97</v>
      </c>
      <c r="O30" s="22" t="s">
        <v>97</v>
      </c>
      <c r="P30" s="22" t="s">
        <v>97</v>
      </c>
      <c r="Q30" s="22" t="s">
        <v>97</v>
      </c>
      <c r="R30" s="10"/>
      <c r="S30" s="10"/>
      <c r="T30" s="54"/>
      <c r="U30" s="26"/>
      <c r="V30" s="54"/>
      <c r="W30" s="54"/>
      <c r="X30" s="56"/>
    </row>
    <row r="31" spans="2:24">
      <c r="B31" s="220"/>
      <c r="C31" s="17" t="s">
        <v>11</v>
      </c>
      <c r="D31" s="18" t="s">
        <v>103</v>
      </c>
      <c r="E31" s="10" t="s">
        <v>97</v>
      </c>
      <c r="F31" s="10" t="s">
        <v>97</v>
      </c>
      <c r="G31" s="10" t="s">
        <v>97</v>
      </c>
      <c r="H31" s="10" t="s">
        <v>97</v>
      </c>
      <c r="I31" s="22" t="s">
        <v>97</v>
      </c>
      <c r="J31" s="22" t="s">
        <v>97</v>
      </c>
      <c r="K31" s="22" t="s">
        <v>97</v>
      </c>
      <c r="L31" s="22" t="s">
        <v>97</v>
      </c>
      <c r="M31" s="22" t="s">
        <v>97</v>
      </c>
      <c r="N31" s="22" t="s">
        <v>97</v>
      </c>
      <c r="O31" s="26">
        <f>SUM(VLOOKUP($D$2,'DAILY TMH April 2026'!A5:AW35,{19},FALSE))</f>
        <v>0</v>
      </c>
      <c r="P31" s="22">
        <f>'MTD &amp; YTD for Supply (SOUTH)'!C29</f>
        <v>0</v>
      </c>
      <c r="Q31" s="22">
        <f>'MTD &amp; YTD for Supply (SOUTH)'!O29</f>
        <v>0</v>
      </c>
      <c r="R31" s="10"/>
      <c r="S31" s="10"/>
      <c r="T31" s="54"/>
      <c r="U31" s="26"/>
      <c r="V31" s="54"/>
      <c r="W31" s="54"/>
      <c r="X31" s="56"/>
    </row>
    <row r="32" spans="2:24" s="3" customFormat="1">
      <c r="B32" s="23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55"/>
    </row>
    <row r="33" spans="2:24">
      <c r="B33" s="218" t="s">
        <v>106</v>
      </c>
      <c r="C33" s="10" t="s">
        <v>6</v>
      </c>
      <c r="D33" s="11" t="s">
        <v>96</v>
      </c>
      <c r="E33" s="10" t="s">
        <v>97</v>
      </c>
      <c r="F33" s="10" t="s">
        <v>97</v>
      </c>
      <c r="G33" s="10" t="s">
        <v>97</v>
      </c>
      <c r="H33" s="10" t="s">
        <v>97</v>
      </c>
      <c r="I33" s="35"/>
      <c r="J33" s="19"/>
      <c r="K33" s="19"/>
      <c r="L33" s="35">
        <f>SUM(VLOOKUP($D$2,'DAILY TMH April 2026'!A5:AW35,{9},FALSE))</f>
        <v>0</v>
      </c>
      <c r="M33" s="19">
        <f>'MTD &amp; YTD for Supply (SOUTH)'!C33</f>
        <v>621.91999999999996</v>
      </c>
      <c r="N33" s="19">
        <f>'MTD &amp; YTD for Supply (SOUTH)'!O33</f>
        <v>621.91999999999996</v>
      </c>
      <c r="O33" s="35"/>
      <c r="P33" s="39"/>
      <c r="Q33" s="19"/>
      <c r="R33" s="19"/>
      <c r="S33" s="19"/>
      <c r="T33" s="52"/>
      <c r="U33" s="35"/>
      <c r="V33" s="52"/>
      <c r="W33" s="52"/>
      <c r="X33" s="56"/>
    </row>
    <row r="34" spans="2:24">
      <c r="B34" s="219"/>
      <c r="C34" s="10" t="s">
        <v>7</v>
      </c>
      <c r="D34" s="11" t="s">
        <v>98</v>
      </c>
      <c r="E34" s="10" t="s">
        <v>97</v>
      </c>
      <c r="F34" s="10" t="s">
        <v>97</v>
      </c>
      <c r="G34" s="10" t="s">
        <v>97</v>
      </c>
      <c r="H34" s="10" t="s">
        <v>97</v>
      </c>
      <c r="I34" s="35"/>
      <c r="J34" s="19"/>
      <c r="K34" s="19"/>
      <c r="L34" s="35">
        <f>SUM(VLOOKUP($D$2,'DAILY TMH April 2026'!A5:AW35,{17},FALSE))</f>
        <v>0</v>
      </c>
      <c r="M34" s="19">
        <f>'MTD &amp; YTD for Supply (SOUTH)'!C34</f>
        <v>667.22</v>
      </c>
      <c r="N34" s="19">
        <f>'MTD &amp; YTD for Supply (SOUTH)'!O34</f>
        <v>667.22</v>
      </c>
      <c r="O34" s="35"/>
      <c r="P34" s="19"/>
      <c r="Q34" s="19"/>
      <c r="R34" s="19"/>
      <c r="S34" s="19"/>
      <c r="T34" s="52"/>
      <c r="U34" s="35">
        <f>SUM(VLOOKUP($D$2,'DAILY TMH April 2026'!A5:AY35,{12},FALSE))</f>
        <v>0</v>
      </c>
      <c r="V34" s="52">
        <f>'MTD &amp; YTD for Supply (SOUTH)'!C44</f>
        <v>0</v>
      </c>
      <c r="W34" s="52">
        <f>'MTD &amp; YTD for Supply (SOUTH)'!O44</f>
        <v>0</v>
      </c>
      <c r="X34" s="56"/>
    </row>
    <row r="35" spans="2:24">
      <c r="B35" s="219"/>
      <c r="C35" s="10" t="s">
        <v>8</v>
      </c>
      <c r="D35" s="11" t="s">
        <v>99</v>
      </c>
      <c r="E35" s="10" t="s">
        <v>97</v>
      </c>
      <c r="F35" s="10" t="s">
        <v>97</v>
      </c>
      <c r="G35" s="10" t="s">
        <v>97</v>
      </c>
      <c r="H35" s="10" t="s">
        <v>97</v>
      </c>
      <c r="I35" s="35"/>
      <c r="J35" s="19"/>
      <c r="K35" s="19"/>
      <c r="L35" s="35"/>
      <c r="M35" s="19">
        <f>'MTD &amp; YTD for Supply (SOUTH)'!C35</f>
        <v>0</v>
      </c>
      <c r="N35" s="19">
        <f>'MTD &amp; YTD for Supply (SOUTH)'!O35</f>
        <v>0</v>
      </c>
      <c r="O35" s="35"/>
      <c r="P35" s="19"/>
      <c r="Q35" s="19"/>
      <c r="R35" s="19"/>
      <c r="S35" s="19"/>
      <c r="T35" s="52"/>
      <c r="U35" s="35"/>
      <c r="V35" s="52"/>
      <c r="W35" s="52"/>
      <c r="X35" s="56"/>
    </row>
    <row r="36" spans="2:24">
      <c r="B36" s="219"/>
      <c r="C36" s="10" t="s">
        <v>9</v>
      </c>
      <c r="D36" s="11" t="s">
        <v>100</v>
      </c>
      <c r="E36" s="10" t="s">
        <v>97</v>
      </c>
      <c r="F36" s="10" t="s">
        <v>97</v>
      </c>
      <c r="G36" s="10" t="s">
        <v>97</v>
      </c>
      <c r="H36" s="10" t="s">
        <v>97</v>
      </c>
      <c r="I36" s="35"/>
      <c r="J36" s="19"/>
      <c r="K36" s="19"/>
      <c r="L36" s="35">
        <f>VLOOKUP($D$2,'DAILY TMH April 2026'!A5:AW35,{31},FALSE)</f>
        <v>0</v>
      </c>
      <c r="M36" s="19">
        <f>'MTD &amp; YTD for Supply (SOUTH)'!C36</f>
        <v>161.34</v>
      </c>
      <c r="N36" s="19">
        <f>'MTD &amp; YTD for Supply (SOUTH)'!O36</f>
        <v>161.34</v>
      </c>
      <c r="O36" s="35"/>
      <c r="P36" s="19"/>
      <c r="Q36" s="19"/>
      <c r="R36" s="19"/>
      <c r="S36" s="19"/>
      <c r="T36" s="52"/>
      <c r="U36" s="35">
        <f t="array" ref="U36">SUM(VLOOKUP($D$2,'DAILY TMH April 2026'!A5:AY37,{18,36},FALSE))</f>
        <v>0</v>
      </c>
      <c r="V36" s="52">
        <f>'MTD &amp; YTD for Supply (SOUTH)'!C46</f>
        <v>0</v>
      </c>
      <c r="W36" s="52">
        <f>'MTD &amp; YTD for Supply (SOUTH)'!O46</f>
        <v>0</v>
      </c>
      <c r="X36" s="56"/>
    </row>
    <row r="37" spans="2:24">
      <c r="B37" s="219"/>
      <c r="C37" s="10" t="s">
        <v>101</v>
      </c>
      <c r="D37" s="11" t="s">
        <v>102</v>
      </c>
      <c r="E37" s="10" t="s">
        <v>97</v>
      </c>
      <c r="F37" s="26">
        <f>SUM(VLOOKUP($D$2,'DAILY TMH April 2026'!A5:AW35,{34},FALSE))</f>
        <v>0</v>
      </c>
      <c r="G37" s="10">
        <f>'MTD &amp; YTD for Supply (SOUTH)'!C38</f>
        <v>0</v>
      </c>
      <c r="H37" s="10">
        <f>'MTD &amp; YTD for Supply (SOUTH)'!O38</f>
        <v>0</v>
      </c>
      <c r="I37" s="22" t="s">
        <v>97</v>
      </c>
      <c r="J37" s="22" t="s">
        <v>97</v>
      </c>
      <c r="K37" s="22" t="s">
        <v>97</v>
      </c>
      <c r="L37" s="22" t="s">
        <v>97</v>
      </c>
      <c r="M37" s="22" t="s">
        <v>97</v>
      </c>
      <c r="N37" s="22" t="s">
        <v>97</v>
      </c>
      <c r="O37" s="22" t="s">
        <v>97</v>
      </c>
      <c r="P37" s="22" t="s">
        <v>97</v>
      </c>
      <c r="Q37" s="22" t="s">
        <v>97</v>
      </c>
      <c r="R37" s="10"/>
      <c r="S37" s="10"/>
      <c r="T37" s="54"/>
      <c r="U37" s="26"/>
      <c r="V37" s="54">
        <f>'MTD &amp; YTD for Supply (SOUTH)'!C47</f>
        <v>0</v>
      </c>
      <c r="W37" s="54">
        <f>'MTD &amp; YTD for Supply (SOUTH)'!O47</f>
        <v>0</v>
      </c>
      <c r="X37" s="56"/>
    </row>
    <row r="38" spans="2:24">
      <c r="B38" s="220"/>
      <c r="C38" s="17" t="s">
        <v>11</v>
      </c>
      <c r="D38" s="18" t="s">
        <v>103</v>
      </c>
      <c r="E38" s="10" t="s">
        <v>97</v>
      </c>
      <c r="F38" s="10" t="s">
        <v>97</v>
      </c>
      <c r="G38" s="10" t="s">
        <v>97</v>
      </c>
      <c r="H38" s="10" t="s">
        <v>97</v>
      </c>
      <c r="I38" s="22" t="s">
        <v>97</v>
      </c>
      <c r="J38" s="22" t="s">
        <v>97</v>
      </c>
      <c r="K38" s="22" t="s">
        <v>97</v>
      </c>
      <c r="L38" s="22" t="s">
        <v>97</v>
      </c>
      <c r="M38" s="22" t="s">
        <v>97</v>
      </c>
      <c r="N38" s="22" t="s">
        <v>97</v>
      </c>
      <c r="O38" s="35">
        <f>SUM(VLOOKUP($D$2,'DAILY TMH April 2026'!A5:AW35,{20},FALSE))</f>
        <v>0</v>
      </c>
      <c r="P38" s="39">
        <f>'MTD &amp; YTD for Supply (SOUTH)'!C37</f>
        <v>0</v>
      </c>
      <c r="Q38" s="39">
        <f>'MTD &amp; YTD for Supply (SOUTH)'!O37</f>
        <v>0</v>
      </c>
      <c r="R38" s="19"/>
      <c r="S38" s="19"/>
      <c r="T38" s="52"/>
      <c r="U38" s="26"/>
      <c r="V38" s="54"/>
      <c r="W38" s="54"/>
      <c r="X38" s="56"/>
    </row>
    <row r="39" spans="2:24" s="3" customFormat="1">
      <c r="B39" s="23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55"/>
    </row>
    <row r="40" spans="2:24" ht="30" customHeight="1">
      <c r="B40" s="27" t="s">
        <v>107</v>
      </c>
      <c r="C40" s="10" t="s">
        <v>15</v>
      </c>
      <c r="D40" s="18" t="s">
        <v>108</v>
      </c>
      <c r="E40" s="10" t="s">
        <v>97</v>
      </c>
      <c r="F40" s="10" t="s">
        <v>97</v>
      </c>
      <c r="G40" s="10" t="s">
        <v>97</v>
      </c>
      <c r="H40" s="22" t="s">
        <v>97</v>
      </c>
      <c r="I40" s="22" t="s">
        <v>97</v>
      </c>
      <c r="J40" s="22" t="s">
        <v>97</v>
      </c>
      <c r="K40" s="22" t="s">
        <v>97</v>
      </c>
      <c r="L40" s="22" t="s">
        <v>97</v>
      </c>
      <c r="M40" s="22" t="s">
        <v>97</v>
      </c>
      <c r="N40" s="22" t="s">
        <v>97</v>
      </c>
      <c r="O40" s="22" t="s">
        <v>97</v>
      </c>
      <c r="P40" s="22" t="s">
        <v>97</v>
      </c>
      <c r="Q40" s="22" t="s">
        <v>97</v>
      </c>
      <c r="R40" s="35">
        <f t="array" ref="R40">SUM(VLOOKUP($D$2,'DAILY TMH April 2026'!A3:AW35,{32,33},FALSE))</f>
        <v>0</v>
      </c>
      <c r="S40" s="19">
        <f>'MTD &amp; YTD for Supply (SOUTH)'!C41</f>
        <v>0</v>
      </c>
      <c r="T40" s="19">
        <f>'MTD &amp; YTD for Supply (SOUTH)'!O41</f>
        <v>0</v>
      </c>
      <c r="U40" s="58"/>
      <c r="V40" s="58"/>
      <c r="W40" s="58"/>
      <c r="X40" s="56"/>
    </row>
    <row r="41" spans="2:24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59"/>
    </row>
    <row r="42" spans="2:24" ht="30" customHeight="1">
      <c r="B42" s="27" t="s">
        <v>109</v>
      </c>
      <c r="C42" s="10" t="s">
        <v>9</v>
      </c>
      <c r="D42" s="30" t="s">
        <v>100</v>
      </c>
      <c r="E42" s="10" t="s">
        <v>97</v>
      </c>
      <c r="F42" s="10" t="s">
        <v>97</v>
      </c>
      <c r="G42" s="10" t="s">
        <v>97</v>
      </c>
      <c r="H42" s="22" t="s">
        <v>97</v>
      </c>
      <c r="I42" s="22">
        <f>VLOOKUP($D$2,'DAILY TMH April 2026'!$A$5:$BG$43,28,FALSE)</f>
        <v>0</v>
      </c>
      <c r="J42" s="22">
        <f>'MTD &amp; YTD for Supply(NORTH)'!C46</f>
        <v>10720</v>
      </c>
      <c r="K42" s="22">
        <f>'MTD &amp; YTD for Supply(NORTH)'!O46</f>
        <v>10720</v>
      </c>
      <c r="L42" s="35">
        <f>SUM(VLOOKUP($D$2,'DAILY TMH April 2026'!A5:AW35,{24},FALSE))</f>
        <v>0</v>
      </c>
      <c r="M42" s="41">
        <f>'MTD &amp; YTD for Supply (SOUTH)'!C46</f>
        <v>0</v>
      </c>
      <c r="N42" s="22">
        <f>'MTD &amp; YTD for Supply (SOUTH)'!O46</f>
        <v>0</v>
      </c>
      <c r="O42" s="22" t="s">
        <v>97</v>
      </c>
      <c r="P42" s="22" t="s">
        <v>97</v>
      </c>
      <c r="Q42" s="22" t="s">
        <v>97</v>
      </c>
      <c r="R42" s="22" t="s">
        <v>97</v>
      </c>
      <c r="S42" s="22" t="s">
        <v>97</v>
      </c>
      <c r="T42" s="22" t="s">
        <v>97</v>
      </c>
      <c r="U42" s="22" t="s">
        <v>97</v>
      </c>
      <c r="V42" s="22" t="s">
        <v>97</v>
      </c>
      <c r="W42" s="22" t="s">
        <v>97</v>
      </c>
      <c r="X42" s="56"/>
    </row>
    <row r="43" spans="2:24"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60"/>
    </row>
    <row r="44" spans="2:24">
      <c r="B44" s="33"/>
      <c r="C44" s="33"/>
      <c r="D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2:24">
      <c r="B45" s="33"/>
      <c r="C45" s="33"/>
      <c r="D45" s="33"/>
      <c r="F45" s="33"/>
      <c r="G45" s="33"/>
      <c r="H45" s="33"/>
      <c r="I45" s="42"/>
      <c r="J45" s="33"/>
      <c r="K45" s="33"/>
      <c r="L45" s="43"/>
      <c r="M45" s="33"/>
      <c r="N45" s="33"/>
      <c r="O45" s="33"/>
      <c r="P45" s="33"/>
      <c r="Q45" s="33"/>
      <c r="R45" s="33"/>
      <c r="S45" s="33"/>
      <c r="T45" s="33"/>
    </row>
    <row r="46" spans="2:24">
      <c r="B46" s="33"/>
      <c r="C46" s="33"/>
      <c r="D46" s="33"/>
      <c r="F46" s="33"/>
      <c r="G46" s="33"/>
      <c r="H46" s="33"/>
      <c r="I46" s="33"/>
      <c r="J46" s="33"/>
      <c r="K46" s="33"/>
      <c r="L46" s="44"/>
      <c r="M46" s="42"/>
      <c r="N46" s="42"/>
      <c r="O46" s="33"/>
      <c r="P46" s="33"/>
      <c r="Q46" s="33"/>
      <c r="R46" s="33"/>
      <c r="S46" s="33"/>
      <c r="T46" s="33"/>
    </row>
    <row r="47" spans="2:24">
      <c r="B47" s="33"/>
      <c r="C47" s="33"/>
      <c r="D47" s="33"/>
      <c r="F47" s="33"/>
      <c r="G47" s="33"/>
      <c r="H47" s="33"/>
      <c r="I47" s="33"/>
      <c r="J47" s="33"/>
      <c r="K47" s="33"/>
      <c r="L47" s="43"/>
      <c r="M47" s="33"/>
      <c r="N47" s="33"/>
      <c r="O47" s="33"/>
      <c r="P47" s="33"/>
      <c r="Q47" s="33"/>
      <c r="R47" s="33"/>
      <c r="S47" s="33"/>
      <c r="T47" s="33"/>
    </row>
    <row r="48" spans="2:24">
      <c r="B48" s="33"/>
      <c r="C48" s="33"/>
      <c r="D48" s="33"/>
      <c r="F48" s="33"/>
      <c r="G48" s="33"/>
      <c r="H48" s="33"/>
      <c r="I48" s="33"/>
      <c r="J48" s="33"/>
      <c r="K48" s="33"/>
      <c r="L48" s="43"/>
      <c r="M48" s="33"/>
      <c r="N48" s="33"/>
      <c r="O48" s="33"/>
      <c r="P48" s="33"/>
      <c r="Q48" s="33"/>
      <c r="R48" s="33"/>
      <c r="S48" s="33"/>
      <c r="T48" s="33"/>
    </row>
    <row r="49" spans="2:20">
      <c r="B49" s="33"/>
      <c r="C49" s="33"/>
      <c r="D49" s="33"/>
      <c r="F49" s="33"/>
      <c r="G49" s="33"/>
      <c r="H49" s="33"/>
      <c r="I49" s="33"/>
      <c r="J49" s="33"/>
      <c r="K49" s="33"/>
      <c r="L49" s="42"/>
      <c r="M49" s="42"/>
      <c r="N49" s="33"/>
      <c r="O49" s="33"/>
      <c r="P49" s="33"/>
      <c r="Q49" s="33"/>
      <c r="R49" s="33"/>
      <c r="S49" s="33"/>
      <c r="T49" s="33"/>
    </row>
    <row r="50" spans="2:20">
      <c r="B50" s="33"/>
      <c r="C50" s="33"/>
      <c r="D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</row>
  </sheetData>
  <mergeCells count="20">
    <mergeCell ref="B2:C2"/>
    <mergeCell ref="F2:W2"/>
    <mergeCell ref="B3:X3"/>
    <mergeCell ref="F4:W4"/>
    <mergeCell ref="F5:H5"/>
    <mergeCell ref="I5:K5"/>
    <mergeCell ref="L5:N5"/>
    <mergeCell ref="O5:Q5"/>
    <mergeCell ref="R5:T5"/>
    <mergeCell ref="U5:W5"/>
    <mergeCell ref="B4:B6"/>
    <mergeCell ref="C4:C6"/>
    <mergeCell ref="D4:D6"/>
    <mergeCell ref="E4:E5"/>
    <mergeCell ref="X4:X5"/>
    <mergeCell ref="B7:B11"/>
    <mergeCell ref="B14:B18"/>
    <mergeCell ref="B20:B24"/>
    <mergeCell ref="B26:B31"/>
    <mergeCell ref="B33:B38"/>
  </mergeCells>
  <pageMargins left="0.7" right="0.7" top="0.75" bottom="0.75" header="0.3" footer="0.3"/>
  <pageSetup orientation="portrait"/>
  <ignoredErrors>
    <ignoredError sqref="S7 R8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'DAILY TMH April 2026'!$A$5:$A$35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G12"/>
  <sheetViews>
    <sheetView topLeftCell="A4" workbookViewId="0">
      <selection activeCell="I17" sqref="I17"/>
    </sheetView>
  </sheetViews>
  <sheetFormatPr defaultRowHeight="15"/>
  <cols>
    <col min="1" max="1" width="23.42578125" bestFit="1" customWidth="1"/>
    <col min="2" max="2" width="39.140625" bestFit="1" customWidth="1"/>
    <col min="3" max="6" width="15.42578125" bestFit="1" customWidth="1"/>
    <col min="7" max="7" width="11.28515625" customWidth="1"/>
    <col min="8" max="8" width="11.28515625" bestFit="1" customWidth="1"/>
  </cols>
  <sheetData>
    <row r="1" spans="1:7">
      <c r="A1" s="123" t="s">
        <v>110</v>
      </c>
      <c r="B1" t="s">
        <v>111</v>
      </c>
    </row>
    <row r="2" spans="1:7">
      <c r="A2" s="124"/>
    </row>
    <row r="3" spans="1:7">
      <c r="A3" s="123" t="s">
        <v>142</v>
      </c>
      <c r="C3" s="123" t="s">
        <v>112</v>
      </c>
    </row>
    <row r="4" spans="1:7">
      <c r="A4" s="123" t="s">
        <v>113</v>
      </c>
      <c r="B4" s="123" t="s">
        <v>114</v>
      </c>
      <c r="C4" t="s">
        <v>6</v>
      </c>
      <c r="D4" t="s">
        <v>7</v>
      </c>
      <c r="E4" t="s">
        <v>7285</v>
      </c>
      <c r="F4" t="s">
        <v>101</v>
      </c>
      <c r="G4" t="s">
        <v>115</v>
      </c>
    </row>
    <row r="5" spans="1:7">
      <c r="A5" t="s">
        <v>116</v>
      </c>
      <c r="B5" t="s">
        <v>138</v>
      </c>
      <c r="C5" s="166">
        <v>621.91999999999985</v>
      </c>
      <c r="D5" s="166">
        <v>104.41999999999999</v>
      </c>
      <c r="E5" s="166">
        <v>61.34</v>
      </c>
      <c r="F5" s="166">
        <v>137.76</v>
      </c>
      <c r="G5" s="166">
        <v>925.43999999999983</v>
      </c>
    </row>
    <row r="6" spans="1:7">
      <c r="B6" t="s">
        <v>418</v>
      </c>
      <c r="C6" s="166">
        <v>3106.3599999999988</v>
      </c>
      <c r="D6" s="166">
        <v>2953.9599999999987</v>
      </c>
      <c r="E6" s="166">
        <v>432.79999999999995</v>
      </c>
      <c r="F6" s="166"/>
      <c r="G6" s="166">
        <v>6493.1199999999981</v>
      </c>
    </row>
    <row r="7" spans="1:7">
      <c r="A7" t="s">
        <v>117</v>
      </c>
      <c r="C7" s="166">
        <v>3728.2799999999988</v>
      </c>
      <c r="D7" s="166">
        <v>3058.3799999999987</v>
      </c>
      <c r="E7" s="166">
        <v>494.14</v>
      </c>
      <c r="F7" s="166">
        <v>137.76</v>
      </c>
      <c r="G7" s="166">
        <v>7418.5599999999977</v>
      </c>
    </row>
    <row r="8" spans="1:7">
      <c r="A8" t="s">
        <v>118</v>
      </c>
      <c r="B8" t="s">
        <v>2618</v>
      </c>
      <c r="C8" s="166">
        <v>5036.5800000000008</v>
      </c>
      <c r="D8" s="166">
        <v>3430.8400000000006</v>
      </c>
      <c r="E8" s="166"/>
      <c r="F8" s="166"/>
      <c r="G8" s="166">
        <v>8467.4200000000019</v>
      </c>
    </row>
    <row r="9" spans="1:7">
      <c r="B9" t="s">
        <v>139</v>
      </c>
      <c r="C9" s="166">
        <v>5962.1199999999963</v>
      </c>
      <c r="D9" s="166">
        <v>2645.6999999999985</v>
      </c>
      <c r="E9" s="166"/>
      <c r="F9" s="166"/>
      <c r="G9" s="166">
        <v>8607.8199999999943</v>
      </c>
    </row>
    <row r="10" spans="1:7">
      <c r="B10" t="s">
        <v>6703</v>
      </c>
      <c r="C10" s="166">
        <v>1483.9999999999998</v>
      </c>
      <c r="D10" s="166">
        <v>280</v>
      </c>
      <c r="E10" s="166"/>
      <c r="F10" s="166"/>
      <c r="G10" s="166">
        <v>1763.9999999999998</v>
      </c>
    </row>
    <row r="11" spans="1:7">
      <c r="A11" t="s">
        <v>119</v>
      </c>
      <c r="C11" s="166">
        <v>12482.699999999997</v>
      </c>
      <c r="D11" s="166">
        <v>6356.5399999999991</v>
      </c>
      <c r="E11" s="166"/>
      <c r="F11" s="166"/>
      <c r="G11" s="166">
        <v>18839.239999999998</v>
      </c>
    </row>
    <row r="12" spans="1:7">
      <c r="A12" t="s">
        <v>115</v>
      </c>
      <c r="C12" s="166">
        <v>16210.979999999996</v>
      </c>
      <c r="D12" s="166">
        <v>9414.9199999999983</v>
      </c>
      <c r="E12" s="166">
        <v>494.14</v>
      </c>
      <c r="F12" s="166">
        <v>137.76</v>
      </c>
      <c r="G12" s="166">
        <v>26257.799999999996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9975"/>
  <sheetViews>
    <sheetView workbookViewId="0">
      <selection activeCell="H17" sqref="H17"/>
    </sheetView>
  </sheetViews>
  <sheetFormatPr defaultRowHeight="15"/>
  <cols>
    <col min="1" max="1" width="13.28515625" customWidth="1"/>
    <col min="2" max="2" width="36" customWidth="1"/>
    <col min="3" max="3" width="13.5703125" customWidth="1"/>
    <col min="4" max="4" width="19.5703125" customWidth="1"/>
    <col min="5" max="5" width="39.140625" bestFit="1" customWidth="1"/>
    <col min="6" max="6" width="15.42578125" customWidth="1"/>
    <col min="7" max="7" width="8" bestFit="1" customWidth="1"/>
    <col min="8" max="8" width="12.42578125" bestFit="1" customWidth="1"/>
    <col min="9" max="10" width="22.140625" bestFit="1" customWidth="1"/>
    <col min="11" max="11" width="15" bestFit="1" customWidth="1"/>
    <col min="12" max="12" width="13.85546875" bestFit="1" customWidth="1"/>
    <col min="13" max="13" width="12.85546875" bestFit="1" customWidth="1"/>
    <col min="14" max="14" width="10.7109375" bestFit="1" customWidth="1"/>
    <col min="15" max="15" width="9.5703125" bestFit="1" customWidth="1"/>
  </cols>
  <sheetData>
    <row r="1" spans="1:15">
      <c r="A1" t="s">
        <v>120</v>
      </c>
      <c r="B1" t="s">
        <v>110</v>
      </c>
      <c r="C1" t="s">
        <v>121</v>
      </c>
      <c r="D1" t="s">
        <v>113</v>
      </c>
      <c r="E1" t="s">
        <v>114</v>
      </c>
      <c r="F1" t="s">
        <v>112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140</v>
      </c>
      <c r="O1" t="s">
        <v>129</v>
      </c>
    </row>
    <row r="2" spans="1:15">
      <c r="A2" s="166" t="s">
        <v>259</v>
      </c>
      <c r="B2" t="s">
        <v>111</v>
      </c>
      <c r="C2" t="s">
        <v>135</v>
      </c>
      <c r="D2" t="s">
        <v>118</v>
      </c>
      <c r="E2" t="s">
        <v>139</v>
      </c>
      <c r="F2" t="s">
        <v>7</v>
      </c>
      <c r="G2" t="s">
        <v>130</v>
      </c>
      <c r="H2" s="1">
        <v>46113</v>
      </c>
      <c r="I2" t="s">
        <v>260</v>
      </c>
      <c r="J2" t="s">
        <v>261</v>
      </c>
      <c r="K2" t="s">
        <v>224</v>
      </c>
      <c r="L2" t="s">
        <v>153</v>
      </c>
      <c r="M2" t="s">
        <v>262</v>
      </c>
      <c r="N2" s="166">
        <v>27.22</v>
      </c>
      <c r="O2" t="s">
        <v>131</v>
      </c>
    </row>
    <row r="3" spans="1:15">
      <c r="A3" s="166" t="s">
        <v>263</v>
      </c>
      <c r="B3" t="s">
        <v>111</v>
      </c>
      <c r="C3" t="s">
        <v>134</v>
      </c>
      <c r="D3" t="s">
        <v>118</v>
      </c>
      <c r="E3" t="s">
        <v>139</v>
      </c>
      <c r="F3" t="s">
        <v>7</v>
      </c>
      <c r="G3" t="s">
        <v>130</v>
      </c>
      <c r="H3" s="1">
        <v>46113</v>
      </c>
      <c r="I3" t="s">
        <v>264</v>
      </c>
      <c r="J3" t="s">
        <v>265</v>
      </c>
      <c r="K3" t="s">
        <v>159</v>
      </c>
      <c r="L3" t="s">
        <v>168</v>
      </c>
      <c r="M3" t="s">
        <v>220</v>
      </c>
      <c r="N3" s="166">
        <v>24.22</v>
      </c>
      <c r="O3" t="s">
        <v>131</v>
      </c>
    </row>
    <row r="4" spans="1:15">
      <c r="A4" s="166" t="s">
        <v>266</v>
      </c>
      <c r="B4" t="s">
        <v>111</v>
      </c>
      <c r="C4" t="s">
        <v>135</v>
      </c>
      <c r="D4" t="s">
        <v>118</v>
      </c>
      <c r="E4" t="s">
        <v>139</v>
      </c>
      <c r="F4" t="s">
        <v>7</v>
      </c>
      <c r="G4" t="s">
        <v>130</v>
      </c>
      <c r="H4" s="1">
        <v>46113</v>
      </c>
      <c r="I4" t="s">
        <v>267</v>
      </c>
      <c r="J4" t="s">
        <v>268</v>
      </c>
      <c r="K4" t="s">
        <v>161</v>
      </c>
      <c r="L4" t="s">
        <v>155</v>
      </c>
      <c r="M4" t="s">
        <v>230</v>
      </c>
      <c r="N4" s="166">
        <v>24.52</v>
      </c>
      <c r="O4" t="s">
        <v>131</v>
      </c>
    </row>
    <row r="5" spans="1:15">
      <c r="A5" s="166" t="s">
        <v>269</v>
      </c>
      <c r="B5" t="s">
        <v>111</v>
      </c>
      <c r="C5" t="s">
        <v>134</v>
      </c>
      <c r="D5" t="s">
        <v>118</v>
      </c>
      <c r="E5" t="s">
        <v>139</v>
      </c>
      <c r="F5" t="s">
        <v>7</v>
      </c>
      <c r="G5" t="s">
        <v>130</v>
      </c>
      <c r="H5" s="1">
        <v>46113</v>
      </c>
      <c r="I5" t="s">
        <v>270</v>
      </c>
      <c r="J5" t="s">
        <v>271</v>
      </c>
      <c r="K5" t="s">
        <v>244</v>
      </c>
      <c r="L5" t="s">
        <v>143</v>
      </c>
      <c r="M5" t="s">
        <v>272</v>
      </c>
      <c r="N5" s="166">
        <v>27.76</v>
      </c>
      <c r="O5" t="s">
        <v>131</v>
      </c>
    </row>
    <row r="6" spans="1:15">
      <c r="A6" s="166" t="s">
        <v>273</v>
      </c>
      <c r="B6" t="s">
        <v>111</v>
      </c>
      <c r="C6" t="s">
        <v>134</v>
      </c>
      <c r="D6" t="s">
        <v>118</v>
      </c>
      <c r="E6" t="s">
        <v>139</v>
      </c>
      <c r="F6" t="s">
        <v>7</v>
      </c>
      <c r="G6" t="s">
        <v>130</v>
      </c>
      <c r="H6" s="1">
        <v>46113</v>
      </c>
      <c r="I6" t="s">
        <v>274</v>
      </c>
      <c r="J6" t="s">
        <v>275</v>
      </c>
      <c r="K6" t="s">
        <v>250</v>
      </c>
      <c r="L6" t="s">
        <v>146</v>
      </c>
      <c r="M6" t="s">
        <v>239</v>
      </c>
      <c r="N6" s="166">
        <v>27.64</v>
      </c>
      <c r="O6" t="s">
        <v>131</v>
      </c>
    </row>
    <row r="7" spans="1:15">
      <c r="A7" s="166" t="s">
        <v>276</v>
      </c>
      <c r="B7" t="s">
        <v>111</v>
      </c>
      <c r="C7" t="s">
        <v>135</v>
      </c>
      <c r="D7" t="s">
        <v>118</v>
      </c>
      <c r="E7" t="s">
        <v>139</v>
      </c>
      <c r="F7" t="s">
        <v>7</v>
      </c>
      <c r="G7" t="s">
        <v>130</v>
      </c>
      <c r="H7" s="1">
        <v>46113</v>
      </c>
      <c r="I7" t="s">
        <v>277</v>
      </c>
      <c r="J7" t="s">
        <v>278</v>
      </c>
      <c r="K7" t="s">
        <v>231</v>
      </c>
      <c r="L7" t="s">
        <v>163</v>
      </c>
      <c r="M7" t="s">
        <v>243</v>
      </c>
      <c r="N7" s="166">
        <v>25.26</v>
      </c>
      <c r="O7" t="s">
        <v>131</v>
      </c>
    </row>
    <row r="8" spans="1:15">
      <c r="A8" s="166" t="s">
        <v>241</v>
      </c>
      <c r="B8" t="s">
        <v>111</v>
      </c>
      <c r="C8" t="s">
        <v>134</v>
      </c>
      <c r="D8" t="s">
        <v>118</v>
      </c>
      <c r="E8" t="s">
        <v>139</v>
      </c>
      <c r="F8" t="s">
        <v>7</v>
      </c>
      <c r="G8" t="s">
        <v>130</v>
      </c>
      <c r="H8" s="1">
        <v>46113</v>
      </c>
      <c r="I8" t="s">
        <v>279</v>
      </c>
      <c r="J8" t="s">
        <v>280</v>
      </c>
      <c r="K8" t="s">
        <v>160</v>
      </c>
      <c r="L8" t="s">
        <v>146</v>
      </c>
      <c r="M8" t="s">
        <v>216</v>
      </c>
      <c r="N8" s="166">
        <v>23.4</v>
      </c>
      <c r="O8" t="s">
        <v>131</v>
      </c>
    </row>
    <row r="9" spans="1:15">
      <c r="A9" s="166" t="s">
        <v>281</v>
      </c>
      <c r="B9" t="s">
        <v>111</v>
      </c>
      <c r="C9" t="s">
        <v>135</v>
      </c>
      <c r="D9" t="s">
        <v>118</v>
      </c>
      <c r="E9" t="s">
        <v>139</v>
      </c>
      <c r="F9" t="s">
        <v>7</v>
      </c>
      <c r="G9" t="s">
        <v>130</v>
      </c>
      <c r="H9" s="1">
        <v>46113</v>
      </c>
      <c r="I9" t="s">
        <v>282</v>
      </c>
      <c r="J9" t="s">
        <v>283</v>
      </c>
      <c r="K9" t="s">
        <v>245</v>
      </c>
      <c r="L9" t="s">
        <v>168</v>
      </c>
      <c r="M9" t="s">
        <v>141</v>
      </c>
      <c r="N9" s="166">
        <v>28.28</v>
      </c>
      <c r="O9" t="s">
        <v>131</v>
      </c>
    </row>
    <row r="10" spans="1:15">
      <c r="A10" s="166" t="s">
        <v>284</v>
      </c>
      <c r="B10" t="s">
        <v>111</v>
      </c>
      <c r="C10" t="s">
        <v>134</v>
      </c>
      <c r="D10" t="s">
        <v>118</v>
      </c>
      <c r="E10" t="s">
        <v>139</v>
      </c>
      <c r="F10" t="s">
        <v>7</v>
      </c>
      <c r="G10" t="s">
        <v>130</v>
      </c>
      <c r="H10" s="1">
        <v>46113</v>
      </c>
      <c r="I10" t="s">
        <v>285</v>
      </c>
      <c r="J10" t="s">
        <v>286</v>
      </c>
      <c r="K10" t="s">
        <v>223</v>
      </c>
      <c r="L10" t="s">
        <v>203</v>
      </c>
      <c r="M10" t="s">
        <v>287</v>
      </c>
      <c r="N10" s="166">
        <v>27.02</v>
      </c>
      <c r="O10" t="s">
        <v>131</v>
      </c>
    </row>
    <row r="11" spans="1:15">
      <c r="A11" s="166" t="s">
        <v>288</v>
      </c>
      <c r="B11" t="s">
        <v>111</v>
      </c>
      <c r="C11" t="s">
        <v>135</v>
      </c>
      <c r="D11" t="s">
        <v>118</v>
      </c>
      <c r="E11" t="s">
        <v>139</v>
      </c>
      <c r="F11" t="s">
        <v>7</v>
      </c>
      <c r="G11" t="s">
        <v>130</v>
      </c>
      <c r="H11" s="1">
        <v>46113</v>
      </c>
      <c r="I11" t="s">
        <v>289</v>
      </c>
      <c r="J11" t="s">
        <v>290</v>
      </c>
      <c r="K11" t="s">
        <v>237</v>
      </c>
      <c r="L11" t="s">
        <v>152</v>
      </c>
      <c r="M11" t="s">
        <v>234</v>
      </c>
      <c r="N11" s="166">
        <v>25.72</v>
      </c>
      <c r="O11" t="s">
        <v>131</v>
      </c>
    </row>
    <row r="12" spans="1:15">
      <c r="A12" s="166" t="s">
        <v>291</v>
      </c>
      <c r="B12" t="s">
        <v>111</v>
      </c>
      <c r="C12" t="s">
        <v>134</v>
      </c>
      <c r="D12" t="s">
        <v>118</v>
      </c>
      <c r="E12" t="s">
        <v>139</v>
      </c>
      <c r="F12" t="s">
        <v>7</v>
      </c>
      <c r="G12" t="s">
        <v>130</v>
      </c>
      <c r="H12" s="1">
        <v>46113</v>
      </c>
      <c r="I12" t="s">
        <v>292</v>
      </c>
      <c r="J12" t="s">
        <v>293</v>
      </c>
      <c r="K12" t="s">
        <v>188</v>
      </c>
      <c r="L12" t="s">
        <v>146</v>
      </c>
      <c r="M12" t="s">
        <v>189</v>
      </c>
      <c r="N12" s="166">
        <v>24</v>
      </c>
      <c r="O12" t="s">
        <v>131</v>
      </c>
    </row>
    <row r="13" spans="1:15">
      <c r="A13" s="166" t="s">
        <v>294</v>
      </c>
      <c r="B13" t="s">
        <v>111</v>
      </c>
      <c r="C13" t="s">
        <v>135</v>
      </c>
      <c r="D13" t="s">
        <v>118</v>
      </c>
      <c r="E13" t="s">
        <v>139</v>
      </c>
      <c r="F13" t="s">
        <v>7</v>
      </c>
      <c r="G13" t="s">
        <v>130</v>
      </c>
      <c r="H13" s="1">
        <v>46113</v>
      </c>
      <c r="I13" t="s">
        <v>295</v>
      </c>
      <c r="J13" t="s">
        <v>296</v>
      </c>
      <c r="K13" t="s">
        <v>221</v>
      </c>
      <c r="L13" t="s">
        <v>151</v>
      </c>
      <c r="M13" t="s">
        <v>238</v>
      </c>
      <c r="N13" s="166">
        <v>24.44</v>
      </c>
      <c r="O13" t="s">
        <v>131</v>
      </c>
    </row>
    <row r="14" spans="1:15">
      <c r="A14" s="166" t="s">
        <v>297</v>
      </c>
      <c r="B14" t="s">
        <v>111</v>
      </c>
      <c r="C14" t="s">
        <v>134</v>
      </c>
      <c r="D14" t="s">
        <v>118</v>
      </c>
      <c r="E14" t="s">
        <v>139</v>
      </c>
      <c r="F14" t="s">
        <v>7</v>
      </c>
      <c r="G14" t="s">
        <v>130</v>
      </c>
      <c r="H14" s="1">
        <v>46113</v>
      </c>
      <c r="I14" t="s">
        <v>298</v>
      </c>
      <c r="J14" t="s">
        <v>299</v>
      </c>
      <c r="K14" t="s">
        <v>158</v>
      </c>
      <c r="L14" t="s">
        <v>146</v>
      </c>
      <c r="M14" t="s">
        <v>209</v>
      </c>
      <c r="N14" s="166">
        <v>23.96</v>
      </c>
      <c r="O14" t="s">
        <v>131</v>
      </c>
    </row>
    <row r="15" spans="1:15">
      <c r="A15" s="166" t="s">
        <v>300</v>
      </c>
      <c r="B15" t="s">
        <v>111</v>
      </c>
      <c r="C15" t="s">
        <v>135</v>
      </c>
      <c r="D15" t="s">
        <v>118</v>
      </c>
      <c r="E15" t="s">
        <v>139</v>
      </c>
      <c r="F15" t="s">
        <v>7</v>
      </c>
      <c r="G15" t="s">
        <v>130</v>
      </c>
      <c r="H15" s="1">
        <v>46113</v>
      </c>
      <c r="I15" t="s">
        <v>301</v>
      </c>
      <c r="J15" t="s">
        <v>302</v>
      </c>
      <c r="K15" t="s">
        <v>178</v>
      </c>
      <c r="L15" t="s">
        <v>155</v>
      </c>
      <c r="M15" t="s">
        <v>194</v>
      </c>
      <c r="N15" s="166">
        <v>20.399999999999999</v>
      </c>
      <c r="O15" t="s">
        <v>131</v>
      </c>
    </row>
    <row r="16" spans="1:15">
      <c r="A16" s="166" t="s">
        <v>303</v>
      </c>
      <c r="B16" t="s">
        <v>111</v>
      </c>
      <c r="C16" t="s">
        <v>134</v>
      </c>
      <c r="D16" t="s">
        <v>118</v>
      </c>
      <c r="E16" t="s">
        <v>139</v>
      </c>
      <c r="F16" t="s">
        <v>7</v>
      </c>
      <c r="G16" t="s">
        <v>130</v>
      </c>
      <c r="H16" s="1">
        <v>46113</v>
      </c>
      <c r="I16" t="s">
        <v>304</v>
      </c>
      <c r="J16" t="s">
        <v>305</v>
      </c>
      <c r="K16" t="s">
        <v>192</v>
      </c>
      <c r="L16" t="s">
        <v>146</v>
      </c>
      <c r="M16" t="s">
        <v>222</v>
      </c>
      <c r="N16" s="166">
        <v>23.2</v>
      </c>
      <c r="O16" t="s">
        <v>131</v>
      </c>
    </row>
    <row r="17" spans="1:15">
      <c r="A17" s="166" t="s">
        <v>306</v>
      </c>
      <c r="B17" t="s">
        <v>111</v>
      </c>
      <c r="C17" t="s">
        <v>132</v>
      </c>
      <c r="D17" t="s">
        <v>118</v>
      </c>
      <c r="E17" t="s">
        <v>139</v>
      </c>
      <c r="F17" t="s">
        <v>7</v>
      </c>
      <c r="G17" t="s">
        <v>130</v>
      </c>
      <c r="H17" s="1">
        <v>46113</v>
      </c>
      <c r="I17" t="s">
        <v>307</v>
      </c>
      <c r="J17" t="s">
        <v>308</v>
      </c>
      <c r="K17" t="s">
        <v>205</v>
      </c>
      <c r="L17" t="s">
        <v>144</v>
      </c>
      <c r="M17" t="s">
        <v>183</v>
      </c>
      <c r="N17" s="166">
        <v>21.64</v>
      </c>
      <c r="O17" t="s">
        <v>131</v>
      </c>
    </row>
    <row r="18" spans="1:15">
      <c r="A18" s="166" t="s">
        <v>309</v>
      </c>
      <c r="B18" t="s">
        <v>111</v>
      </c>
      <c r="C18" t="s">
        <v>135</v>
      </c>
      <c r="D18" t="s">
        <v>118</v>
      </c>
      <c r="E18" t="s">
        <v>139</v>
      </c>
      <c r="F18" t="s">
        <v>7</v>
      </c>
      <c r="G18" t="s">
        <v>130</v>
      </c>
      <c r="H18" s="1">
        <v>46113</v>
      </c>
      <c r="I18" t="s">
        <v>310</v>
      </c>
      <c r="J18" t="s">
        <v>311</v>
      </c>
      <c r="K18" t="s">
        <v>210</v>
      </c>
      <c r="L18" t="s">
        <v>168</v>
      </c>
      <c r="M18" t="s">
        <v>175</v>
      </c>
      <c r="N18" s="166">
        <v>21.1</v>
      </c>
      <c r="O18" t="s">
        <v>131</v>
      </c>
    </row>
    <row r="19" spans="1:15">
      <c r="A19" s="166" t="s">
        <v>312</v>
      </c>
      <c r="B19" t="s">
        <v>111</v>
      </c>
      <c r="C19" t="s">
        <v>134</v>
      </c>
      <c r="D19" t="s">
        <v>118</v>
      </c>
      <c r="E19" t="s">
        <v>139</v>
      </c>
      <c r="F19" t="s">
        <v>7</v>
      </c>
      <c r="G19" t="s">
        <v>130</v>
      </c>
      <c r="H19" s="1">
        <v>46113</v>
      </c>
      <c r="I19" t="s">
        <v>313</v>
      </c>
      <c r="J19" t="s">
        <v>314</v>
      </c>
      <c r="K19" t="s">
        <v>167</v>
      </c>
      <c r="L19" t="s">
        <v>165</v>
      </c>
      <c r="M19" t="s">
        <v>226</v>
      </c>
      <c r="N19" s="166">
        <v>20.2</v>
      </c>
      <c r="O19" t="s">
        <v>131</v>
      </c>
    </row>
    <row r="20" spans="1:15">
      <c r="A20" s="166" t="s">
        <v>315</v>
      </c>
      <c r="B20" t="s">
        <v>111</v>
      </c>
      <c r="C20" t="s">
        <v>132</v>
      </c>
      <c r="D20" t="s">
        <v>118</v>
      </c>
      <c r="E20" t="s">
        <v>139</v>
      </c>
      <c r="F20" t="s">
        <v>7</v>
      </c>
      <c r="G20" t="s">
        <v>130</v>
      </c>
      <c r="H20" s="1">
        <v>46113</v>
      </c>
      <c r="I20" t="s">
        <v>316</v>
      </c>
      <c r="J20" t="s">
        <v>317</v>
      </c>
      <c r="K20" t="s">
        <v>214</v>
      </c>
      <c r="L20" t="s">
        <v>193</v>
      </c>
      <c r="M20" t="s">
        <v>156</v>
      </c>
      <c r="N20" s="166">
        <v>22.98</v>
      </c>
      <c r="O20" t="s">
        <v>131</v>
      </c>
    </row>
    <row r="21" spans="1:15">
      <c r="A21" s="166" t="s">
        <v>318</v>
      </c>
      <c r="B21" t="s">
        <v>111</v>
      </c>
      <c r="C21" t="s">
        <v>135</v>
      </c>
      <c r="D21" t="s">
        <v>118</v>
      </c>
      <c r="E21" t="s">
        <v>139</v>
      </c>
      <c r="F21" t="s">
        <v>7</v>
      </c>
      <c r="G21" t="s">
        <v>130</v>
      </c>
      <c r="H21" s="1">
        <v>46113</v>
      </c>
      <c r="I21" t="s">
        <v>319</v>
      </c>
      <c r="J21" t="s">
        <v>320</v>
      </c>
      <c r="K21" t="s">
        <v>228</v>
      </c>
      <c r="L21" t="s">
        <v>163</v>
      </c>
      <c r="M21" t="s">
        <v>190</v>
      </c>
      <c r="N21" s="166">
        <v>24.48</v>
      </c>
      <c r="O21" t="s">
        <v>131</v>
      </c>
    </row>
    <row r="22" spans="1:15">
      <c r="A22" s="166" t="s">
        <v>321</v>
      </c>
      <c r="B22" t="s">
        <v>111</v>
      </c>
      <c r="C22" t="s">
        <v>134</v>
      </c>
      <c r="D22" t="s">
        <v>118</v>
      </c>
      <c r="E22" t="s">
        <v>139</v>
      </c>
      <c r="F22" t="s">
        <v>7</v>
      </c>
      <c r="G22" t="s">
        <v>130</v>
      </c>
      <c r="H22" s="1">
        <v>46113</v>
      </c>
      <c r="I22" t="s">
        <v>322</v>
      </c>
      <c r="J22" t="s">
        <v>323</v>
      </c>
      <c r="K22" t="s">
        <v>228</v>
      </c>
      <c r="L22" t="s">
        <v>165</v>
      </c>
      <c r="M22" t="s">
        <v>195</v>
      </c>
      <c r="N22" s="166">
        <v>24.56</v>
      </c>
      <c r="O22" t="s">
        <v>131</v>
      </c>
    </row>
    <row r="23" spans="1:15">
      <c r="A23" s="166" t="s">
        <v>324</v>
      </c>
      <c r="B23" t="s">
        <v>111</v>
      </c>
      <c r="C23" t="s">
        <v>132</v>
      </c>
      <c r="D23" t="s">
        <v>118</v>
      </c>
      <c r="E23" t="s">
        <v>139</v>
      </c>
      <c r="F23" t="s">
        <v>7</v>
      </c>
      <c r="G23" t="s">
        <v>130</v>
      </c>
      <c r="H23" s="1">
        <v>46113</v>
      </c>
      <c r="I23" t="s">
        <v>325</v>
      </c>
      <c r="J23" t="s">
        <v>326</v>
      </c>
      <c r="K23" t="s">
        <v>199</v>
      </c>
      <c r="L23" t="s">
        <v>162</v>
      </c>
      <c r="M23" t="s">
        <v>170</v>
      </c>
      <c r="N23" s="166">
        <v>25.58</v>
      </c>
      <c r="O23" t="s">
        <v>131</v>
      </c>
    </row>
    <row r="24" spans="1:15">
      <c r="A24" s="166" t="s">
        <v>327</v>
      </c>
      <c r="B24" t="s">
        <v>111</v>
      </c>
      <c r="C24" t="s">
        <v>135</v>
      </c>
      <c r="D24" t="s">
        <v>118</v>
      </c>
      <c r="E24" t="s">
        <v>139</v>
      </c>
      <c r="F24" t="s">
        <v>7</v>
      </c>
      <c r="G24" t="s">
        <v>130</v>
      </c>
      <c r="H24" s="1">
        <v>46113</v>
      </c>
      <c r="I24" t="s">
        <v>328</v>
      </c>
      <c r="J24" t="s">
        <v>329</v>
      </c>
      <c r="K24" t="s">
        <v>173</v>
      </c>
      <c r="L24" t="s">
        <v>157</v>
      </c>
      <c r="M24" t="s">
        <v>171</v>
      </c>
      <c r="N24" s="166">
        <v>25.04</v>
      </c>
      <c r="O24" t="s">
        <v>131</v>
      </c>
    </row>
    <row r="25" spans="1:15">
      <c r="A25" s="166" t="s">
        <v>330</v>
      </c>
      <c r="B25" t="s">
        <v>111</v>
      </c>
      <c r="C25" t="s">
        <v>134</v>
      </c>
      <c r="D25" t="s">
        <v>118</v>
      </c>
      <c r="E25" t="s">
        <v>139</v>
      </c>
      <c r="F25" t="s">
        <v>7</v>
      </c>
      <c r="G25" t="s">
        <v>130</v>
      </c>
      <c r="H25" s="1">
        <v>46113</v>
      </c>
      <c r="I25" t="s">
        <v>331</v>
      </c>
      <c r="J25" t="s">
        <v>332</v>
      </c>
      <c r="K25" t="s">
        <v>218</v>
      </c>
      <c r="L25" t="s">
        <v>143</v>
      </c>
      <c r="M25" t="s">
        <v>219</v>
      </c>
      <c r="N25" s="166">
        <v>24.94</v>
      </c>
      <c r="O25" t="s">
        <v>131</v>
      </c>
    </row>
    <row r="26" spans="1:15">
      <c r="A26" s="166" t="s">
        <v>333</v>
      </c>
      <c r="B26" t="s">
        <v>111</v>
      </c>
      <c r="C26" t="s">
        <v>132</v>
      </c>
      <c r="D26" t="s">
        <v>118</v>
      </c>
      <c r="E26" t="s">
        <v>139</v>
      </c>
      <c r="F26" t="s">
        <v>7</v>
      </c>
      <c r="G26" t="s">
        <v>130</v>
      </c>
      <c r="H26" s="1">
        <v>46113</v>
      </c>
      <c r="I26" t="s">
        <v>334</v>
      </c>
      <c r="J26" t="s">
        <v>335</v>
      </c>
      <c r="K26" t="s">
        <v>240</v>
      </c>
      <c r="L26" t="s">
        <v>208</v>
      </c>
      <c r="M26" t="s">
        <v>336</v>
      </c>
      <c r="N26" s="166">
        <v>27.16</v>
      </c>
      <c r="O26" t="s">
        <v>131</v>
      </c>
    </row>
    <row r="27" spans="1:15">
      <c r="A27" s="166" t="s">
        <v>337</v>
      </c>
      <c r="B27" t="s">
        <v>111</v>
      </c>
      <c r="C27" t="s">
        <v>132</v>
      </c>
      <c r="D27" t="s">
        <v>116</v>
      </c>
      <c r="E27" t="s">
        <v>138</v>
      </c>
      <c r="F27" t="s">
        <v>7</v>
      </c>
      <c r="G27" t="s">
        <v>130</v>
      </c>
      <c r="H27" s="1">
        <v>46113</v>
      </c>
      <c r="I27" t="s">
        <v>338</v>
      </c>
      <c r="J27" t="s">
        <v>339</v>
      </c>
      <c r="K27" t="s">
        <v>242</v>
      </c>
      <c r="L27" t="s">
        <v>149</v>
      </c>
      <c r="M27" t="s">
        <v>202</v>
      </c>
      <c r="N27" s="166">
        <v>23.46</v>
      </c>
      <c r="O27" t="s">
        <v>131</v>
      </c>
    </row>
    <row r="28" spans="1:15">
      <c r="A28" s="166" t="s">
        <v>340</v>
      </c>
      <c r="B28" t="s">
        <v>111</v>
      </c>
      <c r="C28" t="s">
        <v>135</v>
      </c>
      <c r="D28" t="s">
        <v>116</v>
      </c>
      <c r="E28" t="s">
        <v>138</v>
      </c>
      <c r="F28" t="s">
        <v>7</v>
      </c>
      <c r="G28" t="s">
        <v>130</v>
      </c>
      <c r="H28" s="1">
        <v>46113</v>
      </c>
      <c r="I28" t="s">
        <v>341</v>
      </c>
      <c r="J28" t="s">
        <v>342</v>
      </c>
      <c r="K28" t="s">
        <v>196</v>
      </c>
      <c r="L28" t="s">
        <v>174</v>
      </c>
      <c r="M28" t="s">
        <v>198</v>
      </c>
      <c r="N28" s="166">
        <v>24.54</v>
      </c>
      <c r="O28" t="s">
        <v>131</v>
      </c>
    </row>
    <row r="29" spans="1:15">
      <c r="A29" s="166" t="s">
        <v>343</v>
      </c>
      <c r="B29" t="s">
        <v>111</v>
      </c>
      <c r="C29" t="s">
        <v>134</v>
      </c>
      <c r="D29" t="s">
        <v>116</v>
      </c>
      <c r="E29" t="s">
        <v>138</v>
      </c>
      <c r="F29" t="s">
        <v>7</v>
      </c>
      <c r="G29" t="s">
        <v>130</v>
      </c>
      <c r="H29" s="1">
        <v>46113</v>
      </c>
      <c r="I29" t="s">
        <v>344</v>
      </c>
      <c r="J29" t="s">
        <v>345</v>
      </c>
      <c r="K29" t="s">
        <v>191</v>
      </c>
      <c r="L29" t="s">
        <v>157</v>
      </c>
      <c r="M29" t="s">
        <v>233</v>
      </c>
      <c r="N29" s="166">
        <v>23.12</v>
      </c>
      <c r="O29" t="s">
        <v>131</v>
      </c>
    </row>
    <row r="30" spans="1:15">
      <c r="A30" s="166" t="s">
        <v>346</v>
      </c>
      <c r="B30" t="s">
        <v>111</v>
      </c>
      <c r="C30" t="s">
        <v>135</v>
      </c>
      <c r="D30" t="s">
        <v>116</v>
      </c>
      <c r="E30" t="s">
        <v>138</v>
      </c>
      <c r="F30" t="s">
        <v>7</v>
      </c>
      <c r="G30" t="s">
        <v>130</v>
      </c>
      <c r="H30" s="1">
        <v>46113</v>
      </c>
      <c r="I30" t="s">
        <v>347</v>
      </c>
      <c r="J30" t="s">
        <v>348</v>
      </c>
      <c r="K30" t="s">
        <v>236</v>
      </c>
      <c r="L30" t="s">
        <v>203</v>
      </c>
      <c r="M30" t="s">
        <v>182</v>
      </c>
      <c r="N30" s="166">
        <v>23.74</v>
      </c>
      <c r="O30" t="s">
        <v>131</v>
      </c>
    </row>
    <row r="31" spans="1:15">
      <c r="A31" s="166" t="s">
        <v>349</v>
      </c>
      <c r="B31" t="s">
        <v>111</v>
      </c>
      <c r="C31" t="s">
        <v>134</v>
      </c>
      <c r="D31" t="s">
        <v>116</v>
      </c>
      <c r="E31" t="s">
        <v>138</v>
      </c>
      <c r="F31" t="s">
        <v>7</v>
      </c>
      <c r="G31" t="s">
        <v>130</v>
      </c>
      <c r="H31" s="1">
        <v>46113</v>
      </c>
      <c r="I31" t="s">
        <v>350</v>
      </c>
      <c r="J31" t="s">
        <v>351</v>
      </c>
      <c r="K31" t="s">
        <v>177</v>
      </c>
      <c r="L31" t="s">
        <v>157</v>
      </c>
      <c r="M31" t="s">
        <v>166</v>
      </c>
      <c r="N31" s="166">
        <v>23.1</v>
      </c>
      <c r="O31" t="s">
        <v>131</v>
      </c>
    </row>
    <row r="32" spans="1:15">
      <c r="A32" s="166" t="s">
        <v>352</v>
      </c>
      <c r="B32" t="s">
        <v>111</v>
      </c>
      <c r="C32" t="s">
        <v>136</v>
      </c>
      <c r="D32" t="s">
        <v>116</v>
      </c>
      <c r="E32" t="s">
        <v>138</v>
      </c>
      <c r="F32" t="s">
        <v>7</v>
      </c>
      <c r="G32" t="s">
        <v>130</v>
      </c>
      <c r="H32" s="1">
        <v>46113</v>
      </c>
      <c r="I32" t="s">
        <v>353</v>
      </c>
      <c r="J32" t="s">
        <v>354</v>
      </c>
      <c r="K32" t="s">
        <v>218</v>
      </c>
      <c r="L32" t="s">
        <v>169</v>
      </c>
      <c r="M32" t="s">
        <v>176</v>
      </c>
      <c r="N32" s="166">
        <v>23.02</v>
      </c>
      <c r="O32" t="s">
        <v>131</v>
      </c>
    </row>
    <row r="33" spans="1:15">
      <c r="A33" s="166" t="s">
        <v>355</v>
      </c>
      <c r="B33" t="s">
        <v>111</v>
      </c>
      <c r="C33" t="s">
        <v>135</v>
      </c>
      <c r="D33" t="s">
        <v>116</v>
      </c>
      <c r="E33" t="s">
        <v>138</v>
      </c>
      <c r="F33" t="s">
        <v>7</v>
      </c>
      <c r="G33" t="s">
        <v>130</v>
      </c>
      <c r="H33" s="1">
        <v>46113</v>
      </c>
      <c r="I33" t="s">
        <v>356</v>
      </c>
      <c r="J33" t="s">
        <v>357</v>
      </c>
      <c r="K33" t="s">
        <v>235</v>
      </c>
      <c r="L33" t="s">
        <v>154</v>
      </c>
      <c r="M33" t="s">
        <v>251</v>
      </c>
      <c r="N33" s="166">
        <v>26.7</v>
      </c>
      <c r="O33" t="s">
        <v>131</v>
      </c>
    </row>
    <row r="34" spans="1:15">
      <c r="A34" s="166" t="s">
        <v>358</v>
      </c>
      <c r="B34" t="s">
        <v>111</v>
      </c>
      <c r="C34" t="s">
        <v>134</v>
      </c>
      <c r="D34" t="s">
        <v>116</v>
      </c>
      <c r="E34" t="s">
        <v>138</v>
      </c>
      <c r="F34" t="s">
        <v>7</v>
      </c>
      <c r="G34" t="s">
        <v>130</v>
      </c>
      <c r="H34" s="1">
        <v>46113</v>
      </c>
      <c r="I34" t="s">
        <v>359</v>
      </c>
      <c r="J34" t="s">
        <v>360</v>
      </c>
      <c r="K34" t="s">
        <v>217</v>
      </c>
      <c r="L34" t="s">
        <v>163</v>
      </c>
      <c r="M34" t="s">
        <v>145</v>
      </c>
      <c r="N34" s="166">
        <v>21.3</v>
      </c>
      <c r="O34" t="s">
        <v>131</v>
      </c>
    </row>
    <row r="35" spans="1:15">
      <c r="A35" s="166" t="s">
        <v>361</v>
      </c>
      <c r="B35" t="s">
        <v>111</v>
      </c>
      <c r="C35" t="s">
        <v>136</v>
      </c>
      <c r="D35" t="s">
        <v>116</v>
      </c>
      <c r="E35" t="s">
        <v>138</v>
      </c>
      <c r="F35" t="s">
        <v>7</v>
      </c>
      <c r="G35" t="s">
        <v>130</v>
      </c>
      <c r="H35" s="1">
        <v>46113</v>
      </c>
      <c r="I35" t="s">
        <v>362</v>
      </c>
      <c r="J35" t="s">
        <v>363</v>
      </c>
      <c r="K35" t="s">
        <v>161</v>
      </c>
      <c r="L35" t="s">
        <v>169</v>
      </c>
      <c r="M35" t="s">
        <v>187</v>
      </c>
      <c r="N35" s="166">
        <v>22.74</v>
      </c>
      <c r="O35" t="s">
        <v>131</v>
      </c>
    </row>
    <row r="36" spans="1:15">
      <c r="A36" s="166" t="s">
        <v>364</v>
      </c>
      <c r="B36" t="s">
        <v>111</v>
      </c>
      <c r="C36" t="s">
        <v>135</v>
      </c>
      <c r="D36" t="s">
        <v>116</v>
      </c>
      <c r="E36" t="s">
        <v>138</v>
      </c>
      <c r="F36" t="s">
        <v>7</v>
      </c>
      <c r="G36" t="s">
        <v>130</v>
      </c>
      <c r="H36" s="1">
        <v>46113</v>
      </c>
      <c r="I36" t="s">
        <v>365</v>
      </c>
      <c r="J36" t="s">
        <v>366</v>
      </c>
      <c r="K36" t="s">
        <v>213</v>
      </c>
      <c r="L36" t="s">
        <v>157</v>
      </c>
      <c r="M36" t="s">
        <v>197</v>
      </c>
      <c r="N36" s="166">
        <v>24.76</v>
      </c>
      <c r="O36" t="s">
        <v>131</v>
      </c>
    </row>
    <row r="37" spans="1:15">
      <c r="A37" s="166" t="s">
        <v>367</v>
      </c>
      <c r="B37" t="s">
        <v>111</v>
      </c>
      <c r="C37" t="s">
        <v>136</v>
      </c>
      <c r="D37" t="s">
        <v>116</v>
      </c>
      <c r="E37" t="s">
        <v>138</v>
      </c>
      <c r="F37" t="s">
        <v>7</v>
      </c>
      <c r="G37" t="s">
        <v>130</v>
      </c>
      <c r="H37" s="1">
        <v>46113</v>
      </c>
      <c r="I37" t="s">
        <v>368</v>
      </c>
      <c r="J37" t="s">
        <v>369</v>
      </c>
      <c r="K37" t="s">
        <v>181</v>
      </c>
      <c r="L37" t="s">
        <v>147</v>
      </c>
      <c r="M37" t="s">
        <v>186</v>
      </c>
      <c r="N37" s="166">
        <v>23.58</v>
      </c>
      <c r="O37" t="s">
        <v>131</v>
      </c>
    </row>
    <row r="38" spans="1:15">
      <c r="A38" s="166" t="s">
        <v>370</v>
      </c>
      <c r="B38" t="s">
        <v>111</v>
      </c>
      <c r="C38" t="s">
        <v>134</v>
      </c>
      <c r="D38" t="s">
        <v>116</v>
      </c>
      <c r="E38" t="s">
        <v>138</v>
      </c>
      <c r="F38" t="s">
        <v>7</v>
      </c>
      <c r="G38" t="s">
        <v>130</v>
      </c>
      <c r="H38" s="1">
        <v>46113</v>
      </c>
      <c r="I38" t="s">
        <v>371</v>
      </c>
      <c r="J38" t="s">
        <v>372</v>
      </c>
      <c r="K38" t="s">
        <v>200</v>
      </c>
      <c r="L38" t="s">
        <v>163</v>
      </c>
      <c r="M38" t="s">
        <v>172</v>
      </c>
      <c r="N38" s="166">
        <v>25.8</v>
      </c>
      <c r="O38" t="s">
        <v>131</v>
      </c>
    </row>
    <row r="39" spans="1:15">
      <c r="A39" s="166" t="s">
        <v>373</v>
      </c>
      <c r="B39" t="s">
        <v>111</v>
      </c>
      <c r="C39" t="s">
        <v>135</v>
      </c>
      <c r="D39" t="s">
        <v>116</v>
      </c>
      <c r="E39" t="s">
        <v>138</v>
      </c>
      <c r="F39" t="s">
        <v>7</v>
      </c>
      <c r="G39" t="s">
        <v>130</v>
      </c>
      <c r="H39" s="1">
        <v>46113</v>
      </c>
      <c r="I39" t="s">
        <v>374</v>
      </c>
      <c r="J39" t="s">
        <v>375</v>
      </c>
      <c r="K39" t="s">
        <v>376</v>
      </c>
      <c r="L39" t="s">
        <v>154</v>
      </c>
      <c r="M39" t="s">
        <v>227</v>
      </c>
      <c r="N39" s="166">
        <v>28.96</v>
      </c>
      <c r="O39" t="s">
        <v>131</v>
      </c>
    </row>
    <row r="40" spans="1:15">
      <c r="A40" s="166" t="s">
        <v>377</v>
      </c>
      <c r="B40" t="s">
        <v>111</v>
      </c>
      <c r="C40" t="s">
        <v>136</v>
      </c>
      <c r="D40" t="s">
        <v>116</v>
      </c>
      <c r="E40" t="s">
        <v>138</v>
      </c>
      <c r="F40" t="s">
        <v>7</v>
      </c>
      <c r="G40" t="s">
        <v>130</v>
      </c>
      <c r="H40" s="1">
        <v>46113</v>
      </c>
      <c r="I40" t="s">
        <v>378</v>
      </c>
      <c r="J40" t="s">
        <v>379</v>
      </c>
      <c r="K40" t="s">
        <v>225</v>
      </c>
      <c r="L40" t="s">
        <v>212</v>
      </c>
      <c r="M40" t="s">
        <v>207</v>
      </c>
      <c r="N40" s="166">
        <v>20.92</v>
      </c>
      <c r="O40" t="s">
        <v>131</v>
      </c>
    </row>
    <row r="41" spans="1:15">
      <c r="A41" s="166" t="s">
        <v>380</v>
      </c>
      <c r="B41" t="s">
        <v>111</v>
      </c>
      <c r="C41" t="s">
        <v>134</v>
      </c>
      <c r="D41" t="s">
        <v>116</v>
      </c>
      <c r="E41" t="s">
        <v>138</v>
      </c>
      <c r="F41" t="s">
        <v>7</v>
      </c>
      <c r="G41" t="s">
        <v>130</v>
      </c>
      <c r="H41" s="1">
        <v>46113</v>
      </c>
      <c r="I41" t="s">
        <v>381</v>
      </c>
      <c r="J41" t="s">
        <v>382</v>
      </c>
      <c r="K41" t="s">
        <v>229</v>
      </c>
      <c r="L41" t="s">
        <v>151</v>
      </c>
      <c r="M41" t="s">
        <v>201</v>
      </c>
      <c r="N41" s="166">
        <v>24.32</v>
      </c>
      <c r="O41" t="s">
        <v>131</v>
      </c>
    </row>
    <row r="42" spans="1:15">
      <c r="A42" s="166" t="s">
        <v>383</v>
      </c>
      <c r="B42" t="s">
        <v>111</v>
      </c>
      <c r="C42" t="s">
        <v>135</v>
      </c>
      <c r="D42" t="s">
        <v>116</v>
      </c>
      <c r="E42" t="s">
        <v>138</v>
      </c>
      <c r="F42" t="s">
        <v>7</v>
      </c>
      <c r="G42" t="s">
        <v>130</v>
      </c>
      <c r="H42" s="1">
        <v>46113</v>
      </c>
      <c r="I42" t="s">
        <v>384</v>
      </c>
      <c r="J42" t="s">
        <v>385</v>
      </c>
      <c r="K42" t="s">
        <v>204</v>
      </c>
      <c r="L42" t="s">
        <v>143</v>
      </c>
      <c r="M42" t="s">
        <v>184</v>
      </c>
      <c r="N42" s="166">
        <v>20.98</v>
      </c>
      <c r="O42" t="s">
        <v>131</v>
      </c>
    </row>
    <row r="43" spans="1:15">
      <c r="A43" s="166" t="s">
        <v>386</v>
      </c>
      <c r="B43" t="s">
        <v>111</v>
      </c>
      <c r="C43" t="s">
        <v>136</v>
      </c>
      <c r="D43" t="s">
        <v>116</v>
      </c>
      <c r="E43" t="s">
        <v>138</v>
      </c>
      <c r="F43" t="s">
        <v>7</v>
      </c>
      <c r="G43" t="s">
        <v>130</v>
      </c>
      <c r="H43" s="1">
        <v>46113</v>
      </c>
      <c r="I43" t="s">
        <v>387</v>
      </c>
      <c r="J43" t="s">
        <v>388</v>
      </c>
      <c r="K43" t="s">
        <v>206</v>
      </c>
      <c r="L43" t="s">
        <v>180</v>
      </c>
      <c r="M43" t="s">
        <v>179</v>
      </c>
      <c r="N43" s="166">
        <v>20.100000000000001</v>
      </c>
      <c r="O43" t="s">
        <v>131</v>
      </c>
    </row>
    <row r="44" spans="1:15">
      <c r="A44" s="166" t="s">
        <v>4090</v>
      </c>
      <c r="B44" t="s">
        <v>111</v>
      </c>
      <c r="C44" t="s">
        <v>134</v>
      </c>
      <c r="D44" t="s">
        <v>118</v>
      </c>
      <c r="E44" t="s">
        <v>2618</v>
      </c>
      <c r="F44" t="s">
        <v>7</v>
      </c>
      <c r="G44" t="s">
        <v>130</v>
      </c>
      <c r="H44" s="1">
        <v>46122</v>
      </c>
      <c r="I44" t="s">
        <v>4091</v>
      </c>
      <c r="J44" t="s">
        <v>4092</v>
      </c>
      <c r="K44" t="s">
        <v>199</v>
      </c>
      <c r="L44" t="s">
        <v>180</v>
      </c>
      <c r="M44" t="s">
        <v>230</v>
      </c>
      <c r="N44" s="166">
        <v>24.52</v>
      </c>
      <c r="O44" t="s">
        <v>131</v>
      </c>
    </row>
    <row r="45" spans="1:15">
      <c r="A45" s="166" t="s">
        <v>4093</v>
      </c>
      <c r="B45" t="s">
        <v>111</v>
      </c>
      <c r="C45" t="s">
        <v>641</v>
      </c>
      <c r="D45" t="s">
        <v>118</v>
      </c>
      <c r="E45" t="s">
        <v>2618</v>
      </c>
      <c r="F45" t="s">
        <v>7</v>
      </c>
      <c r="G45" t="s">
        <v>130</v>
      </c>
      <c r="H45" s="1">
        <v>46122</v>
      </c>
      <c r="I45" t="s">
        <v>4094</v>
      </c>
      <c r="J45" t="s">
        <v>4095</v>
      </c>
      <c r="K45" t="s">
        <v>921</v>
      </c>
      <c r="L45" t="s">
        <v>890</v>
      </c>
      <c r="M45" t="s">
        <v>4096</v>
      </c>
      <c r="N45" s="166">
        <v>25.3</v>
      </c>
      <c r="O45" t="s">
        <v>131</v>
      </c>
    </row>
    <row r="46" spans="1:15">
      <c r="A46" s="166" t="s">
        <v>4097</v>
      </c>
      <c r="B46" t="s">
        <v>111</v>
      </c>
      <c r="C46" t="s">
        <v>133</v>
      </c>
      <c r="D46" t="s">
        <v>118</v>
      </c>
      <c r="E46" t="s">
        <v>2618</v>
      </c>
      <c r="F46" t="s">
        <v>7</v>
      </c>
      <c r="G46" t="s">
        <v>130</v>
      </c>
      <c r="H46" s="1">
        <v>46122</v>
      </c>
      <c r="I46" t="s">
        <v>4098</v>
      </c>
      <c r="J46" t="s">
        <v>4099</v>
      </c>
      <c r="K46" t="s">
        <v>2825</v>
      </c>
      <c r="L46" t="s">
        <v>3441</v>
      </c>
      <c r="M46" t="s">
        <v>2375</v>
      </c>
      <c r="N46" s="166">
        <v>24.96</v>
      </c>
      <c r="O46" t="s">
        <v>131</v>
      </c>
    </row>
    <row r="47" spans="1:15">
      <c r="A47" s="166" t="s">
        <v>4100</v>
      </c>
      <c r="B47" t="s">
        <v>111</v>
      </c>
      <c r="C47" t="s">
        <v>134</v>
      </c>
      <c r="D47" t="s">
        <v>118</v>
      </c>
      <c r="E47" t="s">
        <v>2618</v>
      </c>
      <c r="F47" t="s">
        <v>7</v>
      </c>
      <c r="G47" t="s">
        <v>130</v>
      </c>
      <c r="H47" s="1">
        <v>46122</v>
      </c>
      <c r="I47" t="s">
        <v>4101</v>
      </c>
      <c r="J47" t="s">
        <v>4102</v>
      </c>
      <c r="K47" t="s">
        <v>4103</v>
      </c>
      <c r="L47" t="s">
        <v>2473</v>
      </c>
      <c r="M47" t="s">
        <v>185</v>
      </c>
      <c r="N47" s="166">
        <v>20.72</v>
      </c>
      <c r="O47" t="s">
        <v>131</v>
      </c>
    </row>
    <row r="48" spans="1:15">
      <c r="A48" s="166" t="s">
        <v>4104</v>
      </c>
      <c r="B48" t="s">
        <v>111</v>
      </c>
      <c r="C48" t="s">
        <v>641</v>
      </c>
      <c r="D48" t="s">
        <v>118</v>
      </c>
      <c r="E48" t="s">
        <v>2618</v>
      </c>
      <c r="F48" t="s">
        <v>7</v>
      </c>
      <c r="G48" t="s">
        <v>130</v>
      </c>
      <c r="H48" s="1">
        <v>46122</v>
      </c>
      <c r="I48" t="s">
        <v>4105</v>
      </c>
      <c r="J48" t="s">
        <v>4106</v>
      </c>
      <c r="K48" t="s">
        <v>2983</v>
      </c>
      <c r="L48" t="s">
        <v>1101</v>
      </c>
      <c r="M48" t="s">
        <v>4107</v>
      </c>
      <c r="N48" s="166">
        <v>24.74</v>
      </c>
      <c r="O48" t="s">
        <v>131</v>
      </c>
    </row>
    <row r="49" spans="1:15">
      <c r="A49" s="166" t="s">
        <v>4108</v>
      </c>
      <c r="B49" t="s">
        <v>111</v>
      </c>
      <c r="C49" t="s">
        <v>133</v>
      </c>
      <c r="D49" t="s">
        <v>116</v>
      </c>
      <c r="E49" t="s">
        <v>418</v>
      </c>
      <c r="F49" t="s">
        <v>7</v>
      </c>
      <c r="G49" t="s">
        <v>130</v>
      </c>
      <c r="H49" s="1">
        <v>46122</v>
      </c>
      <c r="I49" t="s">
        <v>4109</v>
      </c>
      <c r="J49" t="s">
        <v>4110</v>
      </c>
      <c r="K49" t="s">
        <v>4111</v>
      </c>
      <c r="L49" t="s">
        <v>2272</v>
      </c>
      <c r="M49" t="s">
        <v>2474</v>
      </c>
      <c r="N49" s="166">
        <v>17.68</v>
      </c>
      <c r="O49" t="s">
        <v>131</v>
      </c>
    </row>
    <row r="50" spans="1:15">
      <c r="A50" s="166" t="s">
        <v>4112</v>
      </c>
      <c r="B50" t="s">
        <v>111</v>
      </c>
      <c r="C50" t="s">
        <v>134</v>
      </c>
      <c r="D50" t="s">
        <v>116</v>
      </c>
      <c r="E50" t="s">
        <v>418</v>
      </c>
      <c r="F50" t="s">
        <v>7</v>
      </c>
      <c r="G50" t="s">
        <v>130</v>
      </c>
      <c r="H50" s="1">
        <v>46122</v>
      </c>
      <c r="I50" t="s">
        <v>4113</v>
      </c>
      <c r="J50" t="s">
        <v>4114</v>
      </c>
      <c r="K50" t="s">
        <v>1987</v>
      </c>
      <c r="L50" t="s">
        <v>826</v>
      </c>
      <c r="M50" t="s">
        <v>4115</v>
      </c>
      <c r="N50" s="166">
        <v>14.18</v>
      </c>
      <c r="O50" t="s">
        <v>131</v>
      </c>
    </row>
    <row r="51" spans="1:15">
      <c r="A51" s="166" t="s">
        <v>4116</v>
      </c>
      <c r="B51" t="s">
        <v>111</v>
      </c>
      <c r="C51" t="s">
        <v>133</v>
      </c>
      <c r="D51" t="s">
        <v>116</v>
      </c>
      <c r="E51" t="s">
        <v>418</v>
      </c>
      <c r="F51" t="s">
        <v>7</v>
      </c>
      <c r="G51" t="s">
        <v>130</v>
      </c>
      <c r="H51" s="1">
        <v>46122</v>
      </c>
      <c r="I51" t="s">
        <v>4117</v>
      </c>
      <c r="J51" t="s">
        <v>4118</v>
      </c>
      <c r="K51" t="s">
        <v>4119</v>
      </c>
      <c r="L51" t="s">
        <v>1845</v>
      </c>
      <c r="M51" t="s">
        <v>1178</v>
      </c>
      <c r="N51" s="166">
        <v>21.12</v>
      </c>
      <c r="O51" t="s">
        <v>131</v>
      </c>
    </row>
    <row r="52" spans="1:15">
      <c r="A52" s="166" t="s">
        <v>4120</v>
      </c>
      <c r="B52" t="s">
        <v>111</v>
      </c>
      <c r="C52" t="s">
        <v>641</v>
      </c>
      <c r="D52" t="s">
        <v>116</v>
      </c>
      <c r="E52" t="s">
        <v>418</v>
      </c>
      <c r="F52" t="s">
        <v>7</v>
      </c>
      <c r="G52" t="s">
        <v>130</v>
      </c>
      <c r="H52" s="1">
        <v>46122</v>
      </c>
      <c r="I52" t="s">
        <v>4121</v>
      </c>
      <c r="J52" t="s">
        <v>4122</v>
      </c>
      <c r="K52" t="s">
        <v>443</v>
      </c>
      <c r="L52" t="s">
        <v>3075</v>
      </c>
      <c r="M52" t="s">
        <v>1338</v>
      </c>
      <c r="N52" s="166">
        <v>19.84</v>
      </c>
      <c r="O52" t="s">
        <v>131</v>
      </c>
    </row>
    <row r="53" spans="1:15">
      <c r="A53" s="166" t="s">
        <v>4123</v>
      </c>
      <c r="B53" t="s">
        <v>111</v>
      </c>
      <c r="C53" t="s">
        <v>134</v>
      </c>
      <c r="D53" t="s">
        <v>116</v>
      </c>
      <c r="E53" t="s">
        <v>418</v>
      </c>
      <c r="F53" t="s">
        <v>7</v>
      </c>
      <c r="G53" t="s">
        <v>130</v>
      </c>
      <c r="H53" s="1">
        <v>46122</v>
      </c>
      <c r="I53" t="s">
        <v>4124</v>
      </c>
      <c r="J53" t="s">
        <v>4125</v>
      </c>
      <c r="K53" t="s">
        <v>540</v>
      </c>
      <c r="L53" t="s">
        <v>974</v>
      </c>
      <c r="M53" t="s">
        <v>3024</v>
      </c>
      <c r="N53" s="166">
        <v>20.56</v>
      </c>
      <c r="O53" t="s">
        <v>131</v>
      </c>
    </row>
    <row r="54" spans="1:15">
      <c r="A54" s="166" t="s">
        <v>4126</v>
      </c>
      <c r="B54" t="s">
        <v>111</v>
      </c>
      <c r="C54" t="s">
        <v>133</v>
      </c>
      <c r="D54" t="s">
        <v>116</v>
      </c>
      <c r="E54" t="s">
        <v>418</v>
      </c>
      <c r="F54" t="s">
        <v>7</v>
      </c>
      <c r="G54" t="s">
        <v>130</v>
      </c>
      <c r="H54" s="1">
        <v>46122</v>
      </c>
      <c r="I54" t="s">
        <v>4127</v>
      </c>
      <c r="J54" t="s">
        <v>4128</v>
      </c>
      <c r="K54" t="s">
        <v>2576</v>
      </c>
      <c r="L54" t="s">
        <v>3129</v>
      </c>
      <c r="M54" t="s">
        <v>2652</v>
      </c>
      <c r="N54" s="166">
        <v>17.54</v>
      </c>
      <c r="O54" t="s">
        <v>131</v>
      </c>
    </row>
    <row r="55" spans="1:15">
      <c r="A55" s="166" t="s">
        <v>4129</v>
      </c>
      <c r="B55" t="s">
        <v>111</v>
      </c>
      <c r="C55" t="s">
        <v>133</v>
      </c>
      <c r="D55" t="s">
        <v>116</v>
      </c>
      <c r="E55" t="s">
        <v>418</v>
      </c>
      <c r="F55" t="s">
        <v>7</v>
      </c>
      <c r="G55" t="s">
        <v>130</v>
      </c>
      <c r="H55" s="1">
        <v>46122</v>
      </c>
      <c r="I55" t="s">
        <v>4130</v>
      </c>
      <c r="J55" t="s">
        <v>4131</v>
      </c>
      <c r="K55" t="s">
        <v>3592</v>
      </c>
      <c r="L55" t="s">
        <v>3129</v>
      </c>
      <c r="M55" t="s">
        <v>767</v>
      </c>
      <c r="N55" s="166">
        <v>22.24</v>
      </c>
      <c r="O55" t="s">
        <v>131</v>
      </c>
    </row>
    <row r="56" spans="1:15">
      <c r="A56" s="166" t="s">
        <v>4132</v>
      </c>
      <c r="B56" t="s">
        <v>111</v>
      </c>
      <c r="C56" t="s">
        <v>641</v>
      </c>
      <c r="D56" t="s">
        <v>116</v>
      </c>
      <c r="E56" t="s">
        <v>418</v>
      </c>
      <c r="F56" t="s">
        <v>7</v>
      </c>
      <c r="G56" t="s">
        <v>130</v>
      </c>
      <c r="H56" s="1">
        <v>46122</v>
      </c>
      <c r="I56" t="s">
        <v>4133</v>
      </c>
      <c r="J56" t="s">
        <v>4134</v>
      </c>
      <c r="K56" t="s">
        <v>1793</v>
      </c>
      <c r="L56" t="s">
        <v>801</v>
      </c>
      <c r="M56" t="s">
        <v>2038</v>
      </c>
      <c r="N56" s="166">
        <v>21.08</v>
      </c>
      <c r="O56" t="s">
        <v>131</v>
      </c>
    </row>
    <row r="57" spans="1:15">
      <c r="A57" s="166" t="s">
        <v>4135</v>
      </c>
      <c r="B57" t="s">
        <v>111</v>
      </c>
      <c r="C57" t="s">
        <v>134</v>
      </c>
      <c r="D57" t="s">
        <v>116</v>
      </c>
      <c r="E57" t="s">
        <v>418</v>
      </c>
      <c r="F57" t="s">
        <v>7</v>
      </c>
      <c r="G57" t="s">
        <v>130</v>
      </c>
      <c r="H57" s="1">
        <v>46122</v>
      </c>
      <c r="I57" t="s">
        <v>4136</v>
      </c>
      <c r="J57" t="s">
        <v>4137</v>
      </c>
      <c r="K57" t="s">
        <v>221</v>
      </c>
      <c r="L57" t="s">
        <v>786</v>
      </c>
      <c r="M57" t="s">
        <v>1095</v>
      </c>
      <c r="N57" s="166">
        <v>23.78</v>
      </c>
      <c r="O57" t="s">
        <v>131</v>
      </c>
    </row>
    <row r="58" spans="1:15">
      <c r="A58" s="166" t="s">
        <v>4138</v>
      </c>
      <c r="B58" t="s">
        <v>111</v>
      </c>
      <c r="C58" t="s">
        <v>133</v>
      </c>
      <c r="D58" t="s">
        <v>116</v>
      </c>
      <c r="E58" t="s">
        <v>418</v>
      </c>
      <c r="F58" t="s">
        <v>7</v>
      </c>
      <c r="G58" t="s">
        <v>130</v>
      </c>
      <c r="H58" s="1">
        <v>46122</v>
      </c>
      <c r="I58" t="s">
        <v>4139</v>
      </c>
      <c r="J58" t="s">
        <v>4140</v>
      </c>
      <c r="K58" t="s">
        <v>1309</v>
      </c>
      <c r="L58" t="s">
        <v>180</v>
      </c>
      <c r="M58" t="s">
        <v>1263</v>
      </c>
      <c r="N58" s="166">
        <v>18.48</v>
      </c>
      <c r="O58" t="s">
        <v>131</v>
      </c>
    </row>
    <row r="59" spans="1:15">
      <c r="A59" s="166" t="s">
        <v>4141</v>
      </c>
      <c r="B59" t="s">
        <v>111</v>
      </c>
      <c r="C59" t="s">
        <v>641</v>
      </c>
      <c r="D59" t="s">
        <v>116</v>
      </c>
      <c r="E59" t="s">
        <v>418</v>
      </c>
      <c r="F59" t="s">
        <v>7</v>
      </c>
      <c r="G59" t="s">
        <v>130</v>
      </c>
      <c r="H59" s="1">
        <v>46122</v>
      </c>
      <c r="I59" t="s">
        <v>4142</v>
      </c>
      <c r="J59" t="s">
        <v>4143</v>
      </c>
      <c r="K59" t="s">
        <v>1541</v>
      </c>
      <c r="L59" t="s">
        <v>672</v>
      </c>
      <c r="M59" t="s">
        <v>1333</v>
      </c>
      <c r="N59" s="166">
        <v>19.14</v>
      </c>
      <c r="O59" t="s">
        <v>131</v>
      </c>
    </row>
    <row r="60" spans="1:15">
      <c r="A60" s="166" t="s">
        <v>4144</v>
      </c>
      <c r="B60" t="s">
        <v>111</v>
      </c>
      <c r="C60" t="s">
        <v>134</v>
      </c>
      <c r="D60" t="s">
        <v>116</v>
      </c>
      <c r="E60" t="s">
        <v>418</v>
      </c>
      <c r="F60" t="s">
        <v>7</v>
      </c>
      <c r="G60" t="s">
        <v>130</v>
      </c>
      <c r="H60" s="1">
        <v>46122</v>
      </c>
      <c r="I60" t="s">
        <v>4145</v>
      </c>
      <c r="J60" t="s">
        <v>4146</v>
      </c>
      <c r="K60" t="s">
        <v>4147</v>
      </c>
      <c r="L60" t="s">
        <v>611</v>
      </c>
      <c r="M60" t="s">
        <v>4148</v>
      </c>
      <c r="N60" s="166">
        <v>17.899999999999999</v>
      </c>
      <c r="O60" t="s">
        <v>131</v>
      </c>
    </row>
    <row r="61" spans="1:15">
      <c r="A61" s="166" t="s">
        <v>4149</v>
      </c>
      <c r="B61" t="s">
        <v>111</v>
      </c>
      <c r="C61" t="s">
        <v>133</v>
      </c>
      <c r="D61" t="s">
        <v>116</v>
      </c>
      <c r="E61" t="s">
        <v>418</v>
      </c>
      <c r="F61" t="s">
        <v>7</v>
      </c>
      <c r="G61" t="s">
        <v>130</v>
      </c>
      <c r="H61" s="1">
        <v>46122</v>
      </c>
      <c r="I61" t="s">
        <v>4150</v>
      </c>
      <c r="J61" t="s">
        <v>4151</v>
      </c>
      <c r="K61" t="s">
        <v>2430</v>
      </c>
      <c r="L61" t="s">
        <v>845</v>
      </c>
      <c r="M61" t="s">
        <v>1102</v>
      </c>
      <c r="N61" s="166">
        <v>18.88</v>
      </c>
      <c r="O61" t="s">
        <v>131</v>
      </c>
    </row>
    <row r="62" spans="1:15">
      <c r="A62" s="166" t="s">
        <v>4152</v>
      </c>
      <c r="B62" t="s">
        <v>111</v>
      </c>
      <c r="C62" t="s">
        <v>641</v>
      </c>
      <c r="D62" t="s">
        <v>116</v>
      </c>
      <c r="E62" t="s">
        <v>418</v>
      </c>
      <c r="F62" t="s">
        <v>7</v>
      </c>
      <c r="G62" t="s">
        <v>130</v>
      </c>
      <c r="H62" s="1">
        <v>46122</v>
      </c>
      <c r="I62" t="s">
        <v>4153</v>
      </c>
      <c r="J62" t="s">
        <v>4154</v>
      </c>
      <c r="K62" t="s">
        <v>1377</v>
      </c>
      <c r="L62" t="s">
        <v>1881</v>
      </c>
      <c r="M62" t="s">
        <v>791</v>
      </c>
      <c r="N62" s="166">
        <v>19.079999999999998</v>
      </c>
      <c r="O62" t="s">
        <v>131</v>
      </c>
    </row>
    <row r="63" spans="1:15">
      <c r="A63" s="166" t="s">
        <v>4155</v>
      </c>
      <c r="B63" t="s">
        <v>111</v>
      </c>
      <c r="C63" t="s">
        <v>134</v>
      </c>
      <c r="D63" t="s">
        <v>116</v>
      </c>
      <c r="E63" t="s">
        <v>418</v>
      </c>
      <c r="F63" t="s">
        <v>7</v>
      </c>
      <c r="G63" t="s">
        <v>130</v>
      </c>
      <c r="H63" s="1">
        <v>46122</v>
      </c>
      <c r="I63" t="s">
        <v>4156</v>
      </c>
      <c r="J63" t="s">
        <v>4157</v>
      </c>
      <c r="K63" t="s">
        <v>573</v>
      </c>
      <c r="L63" t="s">
        <v>672</v>
      </c>
      <c r="M63" t="s">
        <v>226</v>
      </c>
      <c r="N63" s="166">
        <v>20.2</v>
      </c>
      <c r="O63" t="s">
        <v>131</v>
      </c>
    </row>
    <row r="64" spans="1:15">
      <c r="A64" s="166" t="s">
        <v>4158</v>
      </c>
      <c r="B64" t="s">
        <v>111</v>
      </c>
      <c r="C64" t="s">
        <v>133</v>
      </c>
      <c r="D64" t="s">
        <v>116</v>
      </c>
      <c r="E64" t="s">
        <v>418</v>
      </c>
      <c r="F64" t="s">
        <v>7</v>
      </c>
      <c r="G64" t="s">
        <v>130</v>
      </c>
      <c r="H64" s="1">
        <v>46122</v>
      </c>
      <c r="I64" t="s">
        <v>4159</v>
      </c>
      <c r="J64" t="s">
        <v>4160</v>
      </c>
      <c r="K64" t="s">
        <v>825</v>
      </c>
      <c r="L64" t="s">
        <v>1177</v>
      </c>
      <c r="M64" t="s">
        <v>1404</v>
      </c>
      <c r="N64" s="166">
        <v>18.579999999999998</v>
      </c>
      <c r="O64" t="s">
        <v>131</v>
      </c>
    </row>
    <row r="65" spans="1:15">
      <c r="A65" s="166" t="s">
        <v>4161</v>
      </c>
      <c r="B65" t="s">
        <v>111</v>
      </c>
      <c r="C65" t="s">
        <v>641</v>
      </c>
      <c r="D65" t="s">
        <v>116</v>
      </c>
      <c r="E65" t="s">
        <v>418</v>
      </c>
      <c r="F65" t="s">
        <v>7</v>
      </c>
      <c r="G65" t="s">
        <v>130</v>
      </c>
      <c r="H65" s="1">
        <v>46122</v>
      </c>
      <c r="I65" t="s">
        <v>4162</v>
      </c>
      <c r="J65" t="s">
        <v>4163</v>
      </c>
      <c r="K65" t="s">
        <v>1976</v>
      </c>
      <c r="L65" t="s">
        <v>180</v>
      </c>
      <c r="M65" t="s">
        <v>2128</v>
      </c>
      <c r="N65" s="166">
        <v>18.68</v>
      </c>
      <c r="O65" t="s">
        <v>131</v>
      </c>
    </row>
    <row r="66" spans="1:15">
      <c r="A66" s="166" t="s">
        <v>4164</v>
      </c>
      <c r="B66" t="s">
        <v>111</v>
      </c>
      <c r="C66" t="s">
        <v>134</v>
      </c>
      <c r="D66" t="s">
        <v>116</v>
      </c>
      <c r="E66" t="s">
        <v>418</v>
      </c>
      <c r="F66" t="s">
        <v>7</v>
      </c>
      <c r="G66" t="s">
        <v>130</v>
      </c>
      <c r="H66" s="1">
        <v>46122</v>
      </c>
      <c r="I66" t="s">
        <v>4165</v>
      </c>
      <c r="J66" t="s">
        <v>4166</v>
      </c>
      <c r="K66" t="s">
        <v>480</v>
      </c>
      <c r="L66" t="s">
        <v>2184</v>
      </c>
      <c r="M66" t="s">
        <v>541</v>
      </c>
      <c r="N66" s="166">
        <v>21.18</v>
      </c>
      <c r="O66" t="s">
        <v>131</v>
      </c>
    </row>
    <row r="67" spans="1:15">
      <c r="A67" s="166" t="s">
        <v>4167</v>
      </c>
      <c r="B67" t="s">
        <v>111</v>
      </c>
      <c r="C67" t="s">
        <v>133</v>
      </c>
      <c r="D67" t="s">
        <v>116</v>
      </c>
      <c r="E67" t="s">
        <v>418</v>
      </c>
      <c r="F67" t="s">
        <v>7</v>
      </c>
      <c r="G67" t="s">
        <v>130</v>
      </c>
      <c r="H67" s="1">
        <v>46122</v>
      </c>
      <c r="I67" t="s">
        <v>4168</v>
      </c>
      <c r="J67" t="s">
        <v>4169</v>
      </c>
      <c r="K67" t="s">
        <v>178</v>
      </c>
      <c r="L67" t="s">
        <v>1062</v>
      </c>
      <c r="M67" t="s">
        <v>1086</v>
      </c>
      <c r="N67" s="166">
        <v>18.82</v>
      </c>
      <c r="O67" t="s">
        <v>131</v>
      </c>
    </row>
    <row r="68" spans="1:15">
      <c r="A68" s="166" t="s">
        <v>4170</v>
      </c>
      <c r="B68" t="s">
        <v>111</v>
      </c>
      <c r="C68" t="s">
        <v>641</v>
      </c>
      <c r="D68" t="s">
        <v>116</v>
      </c>
      <c r="E68" t="s">
        <v>418</v>
      </c>
      <c r="F68" t="s">
        <v>7</v>
      </c>
      <c r="G68" t="s">
        <v>130</v>
      </c>
      <c r="H68" s="1">
        <v>46122</v>
      </c>
      <c r="I68" t="s">
        <v>4171</v>
      </c>
      <c r="J68" t="s">
        <v>4172</v>
      </c>
      <c r="K68" t="s">
        <v>1889</v>
      </c>
      <c r="L68" t="s">
        <v>169</v>
      </c>
      <c r="M68" t="s">
        <v>1389</v>
      </c>
      <c r="N68" s="166">
        <v>18.54</v>
      </c>
      <c r="O68" t="s">
        <v>131</v>
      </c>
    </row>
    <row r="69" spans="1:15">
      <c r="A69" s="166" t="s">
        <v>4173</v>
      </c>
      <c r="B69" t="s">
        <v>111</v>
      </c>
      <c r="C69" t="s">
        <v>134</v>
      </c>
      <c r="D69" t="s">
        <v>116</v>
      </c>
      <c r="E69" t="s">
        <v>418</v>
      </c>
      <c r="F69" t="s">
        <v>7</v>
      </c>
      <c r="G69" t="s">
        <v>130</v>
      </c>
      <c r="H69" s="1">
        <v>46122</v>
      </c>
      <c r="I69" t="s">
        <v>4174</v>
      </c>
      <c r="J69" t="s">
        <v>4175</v>
      </c>
      <c r="K69" t="s">
        <v>1163</v>
      </c>
      <c r="L69" t="s">
        <v>3575</v>
      </c>
      <c r="M69" t="s">
        <v>579</v>
      </c>
      <c r="N69" s="166">
        <v>21.22</v>
      </c>
      <c r="O69" t="s">
        <v>131</v>
      </c>
    </row>
    <row r="70" spans="1:15">
      <c r="A70" s="166" t="s">
        <v>4176</v>
      </c>
      <c r="B70" t="s">
        <v>111</v>
      </c>
      <c r="C70" t="s">
        <v>133</v>
      </c>
      <c r="D70" t="s">
        <v>116</v>
      </c>
      <c r="E70" t="s">
        <v>418</v>
      </c>
      <c r="F70" t="s">
        <v>7</v>
      </c>
      <c r="G70" t="s">
        <v>130</v>
      </c>
      <c r="H70" s="1">
        <v>46122</v>
      </c>
      <c r="I70" t="s">
        <v>4177</v>
      </c>
      <c r="J70" t="s">
        <v>4178</v>
      </c>
      <c r="K70" t="s">
        <v>2301</v>
      </c>
      <c r="L70" t="s">
        <v>509</v>
      </c>
      <c r="M70" t="s">
        <v>2091</v>
      </c>
      <c r="N70" s="166">
        <v>18.02</v>
      </c>
      <c r="O70" t="s">
        <v>131</v>
      </c>
    </row>
    <row r="71" spans="1:15">
      <c r="A71" s="166" t="s">
        <v>4179</v>
      </c>
      <c r="B71" t="s">
        <v>111</v>
      </c>
      <c r="C71" t="s">
        <v>641</v>
      </c>
      <c r="D71" t="s">
        <v>116</v>
      </c>
      <c r="E71" t="s">
        <v>418</v>
      </c>
      <c r="F71" t="s">
        <v>7</v>
      </c>
      <c r="G71" t="s">
        <v>130</v>
      </c>
      <c r="H71" s="1">
        <v>46122</v>
      </c>
      <c r="I71" t="s">
        <v>4180</v>
      </c>
      <c r="J71" t="s">
        <v>4181</v>
      </c>
      <c r="K71" t="s">
        <v>1840</v>
      </c>
      <c r="L71" t="s">
        <v>3092</v>
      </c>
      <c r="M71" t="s">
        <v>4182</v>
      </c>
      <c r="N71" s="166">
        <v>1.68</v>
      </c>
      <c r="O71" t="s">
        <v>131</v>
      </c>
    </row>
    <row r="72" spans="1:15">
      <c r="A72" s="166" t="s">
        <v>4183</v>
      </c>
      <c r="B72" t="s">
        <v>111</v>
      </c>
      <c r="C72" t="s">
        <v>134</v>
      </c>
      <c r="D72" t="s">
        <v>116</v>
      </c>
      <c r="E72" t="s">
        <v>418</v>
      </c>
      <c r="F72" t="s">
        <v>7</v>
      </c>
      <c r="G72" t="s">
        <v>130</v>
      </c>
      <c r="H72" s="1">
        <v>46122</v>
      </c>
      <c r="I72" t="s">
        <v>4184</v>
      </c>
      <c r="J72" t="s">
        <v>4185</v>
      </c>
      <c r="K72" t="s">
        <v>2367</v>
      </c>
      <c r="L72" t="s">
        <v>3960</v>
      </c>
      <c r="M72" t="s">
        <v>4186</v>
      </c>
      <c r="N72" s="166">
        <v>3.22</v>
      </c>
      <c r="O72" t="s">
        <v>131</v>
      </c>
    </row>
    <row r="73" spans="1:15">
      <c r="A73" s="166" t="s">
        <v>4187</v>
      </c>
      <c r="B73" t="s">
        <v>111</v>
      </c>
      <c r="C73" t="s">
        <v>133</v>
      </c>
      <c r="D73" t="s">
        <v>116</v>
      </c>
      <c r="E73" t="s">
        <v>418</v>
      </c>
      <c r="F73" t="s">
        <v>7</v>
      </c>
      <c r="G73" t="s">
        <v>130</v>
      </c>
      <c r="H73" s="1">
        <v>46122</v>
      </c>
      <c r="I73" t="s">
        <v>4188</v>
      </c>
      <c r="J73" t="s">
        <v>4189</v>
      </c>
      <c r="K73" t="s">
        <v>4190</v>
      </c>
      <c r="L73" t="s">
        <v>3517</v>
      </c>
      <c r="M73" t="s">
        <v>3635</v>
      </c>
      <c r="N73" s="166">
        <v>17.34</v>
      </c>
      <c r="O73" t="s">
        <v>131</v>
      </c>
    </row>
    <row r="74" spans="1:15">
      <c r="A74" s="166" t="s">
        <v>4191</v>
      </c>
      <c r="B74" t="s">
        <v>111</v>
      </c>
      <c r="C74" t="s">
        <v>134</v>
      </c>
      <c r="D74" t="s">
        <v>116</v>
      </c>
      <c r="E74" t="s">
        <v>418</v>
      </c>
      <c r="F74" t="s">
        <v>7</v>
      </c>
      <c r="G74" t="s">
        <v>130</v>
      </c>
      <c r="H74" s="1">
        <v>46122</v>
      </c>
      <c r="I74" t="s">
        <v>4192</v>
      </c>
      <c r="J74" t="s">
        <v>4193</v>
      </c>
      <c r="K74" t="s">
        <v>1305</v>
      </c>
      <c r="L74" t="s">
        <v>1150</v>
      </c>
      <c r="M74" t="s">
        <v>907</v>
      </c>
      <c r="N74" s="166">
        <v>16.059999999999999</v>
      </c>
      <c r="O74" t="s">
        <v>131</v>
      </c>
    </row>
    <row r="75" spans="1:15">
      <c r="A75" s="166" t="s">
        <v>4194</v>
      </c>
      <c r="B75" t="s">
        <v>111</v>
      </c>
      <c r="C75" t="s">
        <v>133</v>
      </c>
      <c r="D75" t="s">
        <v>116</v>
      </c>
      <c r="E75" t="s">
        <v>418</v>
      </c>
      <c r="F75" t="s">
        <v>7</v>
      </c>
      <c r="G75" t="s">
        <v>130</v>
      </c>
      <c r="H75" s="1">
        <v>46122</v>
      </c>
      <c r="I75" t="s">
        <v>4195</v>
      </c>
      <c r="J75" t="s">
        <v>4196</v>
      </c>
      <c r="K75" t="s">
        <v>1408</v>
      </c>
      <c r="L75" t="s">
        <v>2143</v>
      </c>
      <c r="M75" t="s">
        <v>2127</v>
      </c>
      <c r="N75" s="166">
        <v>16.14</v>
      </c>
      <c r="O75" t="s">
        <v>131</v>
      </c>
    </row>
    <row r="76" spans="1:15">
      <c r="A76" s="166" t="s">
        <v>4197</v>
      </c>
      <c r="B76" t="s">
        <v>111</v>
      </c>
      <c r="C76" t="s">
        <v>641</v>
      </c>
      <c r="D76" t="s">
        <v>116</v>
      </c>
      <c r="E76" t="s">
        <v>418</v>
      </c>
      <c r="F76" t="s">
        <v>7</v>
      </c>
      <c r="G76" t="s">
        <v>130</v>
      </c>
      <c r="H76" s="1">
        <v>46122</v>
      </c>
      <c r="I76" t="s">
        <v>4198</v>
      </c>
      <c r="J76" t="s">
        <v>4199</v>
      </c>
      <c r="K76" t="s">
        <v>3905</v>
      </c>
      <c r="L76" t="s">
        <v>2523</v>
      </c>
      <c r="M76" t="s">
        <v>2184</v>
      </c>
      <c r="N76" s="166">
        <v>16.100000000000001</v>
      </c>
      <c r="O76" t="s">
        <v>131</v>
      </c>
    </row>
    <row r="77" spans="1:15">
      <c r="A77" s="166" t="s">
        <v>4200</v>
      </c>
      <c r="B77" t="s">
        <v>111</v>
      </c>
      <c r="C77" t="s">
        <v>134</v>
      </c>
      <c r="D77" t="s">
        <v>116</v>
      </c>
      <c r="E77" t="s">
        <v>418</v>
      </c>
      <c r="F77" t="s">
        <v>7</v>
      </c>
      <c r="G77" t="s">
        <v>130</v>
      </c>
      <c r="H77" s="1">
        <v>46122</v>
      </c>
      <c r="I77" t="s">
        <v>4201</v>
      </c>
      <c r="J77" t="s">
        <v>4202</v>
      </c>
      <c r="K77" t="s">
        <v>448</v>
      </c>
      <c r="L77" t="s">
        <v>2019</v>
      </c>
      <c r="M77" t="s">
        <v>1328</v>
      </c>
      <c r="N77" s="166">
        <v>19.54</v>
      </c>
      <c r="O77" t="s">
        <v>131</v>
      </c>
    </row>
    <row r="78" spans="1:15">
      <c r="A78" s="166" t="s">
        <v>1290</v>
      </c>
      <c r="B78" t="s">
        <v>111</v>
      </c>
      <c r="C78" t="s">
        <v>134</v>
      </c>
      <c r="D78" t="s">
        <v>116</v>
      </c>
      <c r="E78" t="s">
        <v>418</v>
      </c>
      <c r="F78" t="s">
        <v>7</v>
      </c>
      <c r="G78" t="s">
        <v>130</v>
      </c>
      <c r="H78" s="1">
        <v>46122</v>
      </c>
      <c r="I78" t="s">
        <v>4203</v>
      </c>
      <c r="J78" t="s">
        <v>4204</v>
      </c>
      <c r="K78" t="s">
        <v>2019</v>
      </c>
      <c r="L78" t="s">
        <v>836</v>
      </c>
      <c r="M78" t="s">
        <v>1493</v>
      </c>
      <c r="N78" s="166">
        <v>15.96</v>
      </c>
      <c r="O78" t="s">
        <v>131</v>
      </c>
    </row>
    <row r="79" spans="1:15">
      <c r="A79" s="166" t="s">
        <v>4205</v>
      </c>
      <c r="B79" t="s">
        <v>111</v>
      </c>
      <c r="C79" t="s">
        <v>133</v>
      </c>
      <c r="D79" t="s">
        <v>116</v>
      </c>
      <c r="E79" t="s">
        <v>418</v>
      </c>
      <c r="F79" t="s">
        <v>7</v>
      </c>
      <c r="G79" t="s">
        <v>130</v>
      </c>
      <c r="H79" s="1">
        <v>46122</v>
      </c>
      <c r="I79" t="s">
        <v>4206</v>
      </c>
      <c r="J79" t="s">
        <v>4207</v>
      </c>
      <c r="K79" t="s">
        <v>164</v>
      </c>
      <c r="L79" t="s">
        <v>3993</v>
      </c>
      <c r="M79" t="s">
        <v>3857</v>
      </c>
      <c r="N79" s="166">
        <v>17.84</v>
      </c>
      <c r="O79" t="s">
        <v>131</v>
      </c>
    </row>
    <row r="80" spans="1:15">
      <c r="A80" s="166" t="s">
        <v>4208</v>
      </c>
      <c r="B80" t="s">
        <v>111</v>
      </c>
      <c r="C80" t="s">
        <v>641</v>
      </c>
      <c r="D80" t="s">
        <v>116</v>
      </c>
      <c r="E80" t="s">
        <v>418</v>
      </c>
      <c r="F80" t="s">
        <v>7</v>
      </c>
      <c r="G80" t="s">
        <v>130</v>
      </c>
      <c r="H80" s="1">
        <v>46122</v>
      </c>
      <c r="I80" t="s">
        <v>4209</v>
      </c>
      <c r="J80" t="s">
        <v>4210</v>
      </c>
      <c r="K80" t="s">
        <v>2000</v>
      </c>
      <c r="L80" t="s">
        <v>3287</v>
      </c>
      <c r="M80" t="s">
        <v>665</v>
      </c>
      <c r="N80" s="166">
        <v>15.48</v>
      </c>
      <c r="O80" t="s">
        <v>131</v>
      </c>
    </row>
    <row r="81" spans="1:15">
      <c r="A81" s="166" t="s">
        <v>4211</v>
      </c>
      <c r="B81" t="s">
        <v>111</v>
      </c>
      <c r="C81" t="s">
        <v>133</v>
      </c>
      <c r="D81" t="s">
        <v>116</v>
      </c>
      <c r="E81" t="s">
        <v>418</v>
      </c>
      <c r="F81" t="s">
        <v>7</v>
      </c>
      <c r="G81" t="s">
        <v>130</v>
      </c>
      <c r="H81" s="1">
        <v>46122</v>
      </c>
      <c r="I81" t="s">
        <v>4212</v>
      </c>
      <c r="J81" t="s">
        <v>4213</v>
      </c>
      <c r="K81" t="s">
        <v>1749</v>
      </c>
      <c r="L81" t="s">
        <v>449</v>
      </c>
      <c r="M81" t="s">
        <v>1173</v>
      </c>
      <c r="N81" s="166">
        <v>19.34</v>
      </c>
      <c r="O81" t="s">
        <v>131</v>
      </c>
    </row>
    <row r="82" spans="1:15">
      <c r="A82" s="166" t="s">
        <v>4214</v>
      </c>
      <c r="B82" t="s">
        <v>111</v>
      </c>
      <c r="C82" t="s">
        <v>641</v>
      </c>
      <c r="D82" t="s">
        <v>116</v>
      </c>
      <c r="E82" t="s">
        <v>418</v>
      </c>
      <c r="F82" t="s">
        <v>7</v>
      </c>
      <c r="G82" t="s">
        <v>130</v>
      </c>
      <c r="H82" s="1">
        <v>46122</v>
      </c>
      <c r="I82" t="s">
        <v>4215</v>
      </c>
      <c r="J82" t="s">
        <v>4216</v>
      </c>
      <c r="K82" t="s">
        <v>491</v>
      </c>
      <c r="L82" t="s">
        <v>3295</v>
      </c>
      <c r="M82" t="s">
        <v>634</v>
      </c>
      <c r="N82" s="166">
        <v>21.06</v>
      </c>
      <c r="O82" t="s">
        <v>131</v>
      </c>
    </row>
    <row r="83" spans="1:15">
      <c r="A83" s="166" t="s">
        <v>4217</v>
      </c>
      <c r="B83" t="s">
        <v>111</v>
      </c>
      <c r="C83" t="s">
        <v>134</v>
      </c>
      <c r="D83" t="s">
        <v>116</v>
      </c>
      <c r="E83" t="s">
        <v>418</v>
      </c>
      <c r="F83" t="s">
        <v>7</v>
      </c>
      <c r="G83" t="s">
        <v>130</v>
      </c>
      <c r="H83" s="1">
        <v>46122</v>
      </c>
      <c r="I83" t="s">
        <v>4218</v>
      </c>
      <c r="J83" t="s">
        <v>4219</v>
      </c>
      <c r="K83" t="s">
        <v>2599</v>
      </c>
      <c r="L83" t="s">
        <v>3173</v>
      </c>
      <c r="M83" t="s">
        <v>4220</v>
      </c>
      <c r="N83" s="166">
        <v>0.26</v>
      </c>
      <c r="O83" t="s">
        <v>131</v>
      </c>
    </row>
    <row r="84" spans="1:15">
      <c r="A84" s="166" t="s">
        <v>4221</v>
      </c>
      <c r="B84" t="s">
        <v>111</v>
      </c>
      <c r="C84" t="s">
        <v>133</v>
      </c>
      <c r="D84" t="s">
        <v>116</v>
      </c>
      <c r="E84" t="s">
        <v>418</v>
      </c>
      <c r="F84" t="s">
        <v>7</v>
      </c>
      <c r="G84" t="s">
        <v>130</v>
      </c>
      <c r="H84" s="1">
        <v>46122</v>
      </c>
      <c r="I84" t="s">
        <v>4222</v>
      </c>
      <c r="J84" t="s">
        <v>4223</v>
      </c>
      <c r="K84" t="s">
        <v>2066</v>
      </c>
      <c r="L84" t="s">
        <v>3032</v>
      </c>
      <c r="M84" t="s">
        <v>3582</v>
      </c>
      <c r="N84" s="166">
        <v>19.72</v>
      </c>
      <c r="O84" t="s">
        <v>131</v>
      </c>
    </row>
    <row r="85" spans="1:15">
      <c r="A85" s="166" t="s">
        <v>4224</v>
      </c>
      <c r="B85" t="s">
        <v>111</v>
      </c>
      <c r="C85" t="s">
        <v>641</v>
      </c>
      <c r="D85" t="s">
        <v>116</v>
      </c>
      <c r="E85" t="s">
        <v>418</v>
      </c>
      <c r="F85" t="s">
        <v>7</v>
      </c>
      <c r="G85" t="s">
        <v>130</v>
      </c>
      <c r="H85" s="1">
        <v>46122</v>
      </c>
      <c r="I85" t="s">
        <v>4225</v>
      </c>
      <c r="J85" t="s">
        <v>4226</v>
      </c>
      <c r="K85" t="s">
        <v>4227</v>
      </c>
      <c r="L85" t="s">
        <v>672</v>
      </c>
      <c r="M85" t="s">
        <v>2004</v>
      </c>
      <c r="N85" s="166">
        <v>15.98</v>
      </c>
      <c r="O85" t="s">
        <v>131</v>
      </c>
    </row>
    <row r="86" spans="1:15">
      <c r="A86" s="166" t="s">
        <v>4228</v>
      </c>
      <c r="B86" t="s">
        <v>111</v>
      </c>
      <c r="C86" t="s">
        <v>134</v>
      </c>
      <c r="D86" t="s">
        <v>116</v>
      </c>
      <c r="E86" t="s">
        <v>418</v>
      </c>
      <c r="F86" t="s">
        <v>7</v>
      </c>
      <c r="G86" t="s">
        <v>130</v>
      </c>
      <c r="H86" s="1">
        <v>46122</v>
      </c>
      <c r="I86" t="s">
        <v>4229</v>
      </c>
      <c r="J86" t="s">
        <v>4230</v>
      </c>
      <c r="K86" t="s">
        <v>2023</v>
      </c>
      <c r="L86" t="s">
        <v>3483</v>
      </c>
      <c r="M86" t="s">
        <v>2572</v>
      </c>
      <c r="N86" s="166">
        <v>17.079999999999998</v>
      </c>
      <c r="O86" t="s">
        <v>131</v>
      </c>
    </row>
    <row r="87" spans="1:15">
      <c r="A87" s="166" t="s">
        <v>4231</v>
      </c>
      <c r="B87" t="s">
        <v>111</v>
      </c>
      <c r="C87" t="s">
        <v>133</v>
      </c>
      <c r="D87" t="s">
        <v>116</v>
      </c>
      <c r="E87" t="s">
        <v>418</v>
      </c>
      <c r="F87" t="s">
        <v>7</v>
      </c>
      <c r="G87" t="s">
        <v>130</v>
      </c>
      <c r="H87" s="1">
        <v>46122</v>
      </c>
      <c r="I87" t="s">
        <v>4232</v>
      </c>
      <c r="J87" t="s">
        <v>4233</v>
      </c>
      <c r="K87" t="s">
        <v>178</v>
      </c>
      <c r="L87" t="s">
        <v>665</v>
      </c>
      <c r="M87" t="s">
        <v>1443</v>
      </c>
      <c r="N87" s="166">
        <v>19.940000000000001</v>
      </c>
      <c r="O87" t="s">
        <v>131</v>
      </c>
    </row>
    <row r="88" spans="1:15">
      <c r="A88" s="166" t="s">
        <v>4234</v>
      </c>
      <c r="B88" t="s">
        <v>111</v>
      </c>
      <c r="C88" t="s">
        <v>641</v>
      </c>
      <c r="D88" t="s">
        <v>116</v>
      </c>
      <c r="E88" t="s">
        <v>418</v>
      </c>
      <c r="F88" t="s">
        <v>7</v>
      </c>
      <c r="G88" t="s">
        <v>130</v>
      </c>
      <c r="H88" s="1">
        <v>46122</v>
      </c>
      <c r="I88" t="s">
        <v>4235</v>
      </c>
      <c r="J88" t="s">
        <v>4236</v>
      </c>
      <c r="K88" t="s">
        <v>1377</v>
      </c>
      <c r="L88" t="s">
        <v>907</v>
      </c>
      <c r="M88" t="s">
        <v>1258</v>
      </c>
      <c r="N88" s="166">
        <v>19.420000000000002</v>
      </c>
      <c r="O88" t="s">
        <v>131</v>
      </c>
    </row>
    <row r="89" spans="1:15">
      <c r="A89" s="166" t="s">
        <v>4237</v>
      </c>
      <c r="B89" t="s">
        <v>111</v>
      </c>
      <c r="C89" t="s">
        <v>134</v>
      </c>
      <c r="D89" t="s">
        <v>116</v>
      </c>
      <c r="E89" t="s">
        <v>418</v>
      </c>
      <c r="F89" t="s">
        <v>7</v>
      </c>
      <c r="G89" t="s">
        <v>130</v>
      </c>
      <c r="H89" s="1">
        <v>46122</v>
      </c>
      <c r="I89" t="s">
        <v>4238</v>
      </c>
      <c r="J89" t="s">
        <v>4239</v>
      </c>
      <c r="K89" t="s">
        <v>1398</v>
      </c>
      <c r="L89" t="s">
        <v>2599</v>
      </c>
      <c r="M89" t="s">
        <v>2678</v>
      </c>
      <c r="N89" s="166">
        <v>17.82</v>
      </c>
      <c r="O89" t="s">
        <v>131</v>
      </c>
    </row>
    <row r="90" spans="1:15">
      <c r="A90" s="166" t="s">
        <v>4240</v>
      </c>
      <c r="B90" t="s">
        <v>111</v>
      </c>
      <c r="C90" t="s">
        <v>133</v>
      </c>
      <c r="D90" t="s">
        <v>116</v>
      </c>
      <c r="E90" t="s">
        <v>418</v>
      </c>
      <c r="F90" t="s">
        <v>7</v>
      </c>
      <c r="G90" t="s">
        <v>130</v>
      </c>
      <c r="H90" s="1">
        <v>46122</v>
      </c>
      <c r="I90" t="s">
        <v>4241</v>
      </c>
      <c r="J90" t="s">
        <v>4242</v>
      </c>
      <c r="K90" t="s">
        <v>3818</v>
      </c>
      <c r="L90" t="s">
        <v>193</v>
      </c>
      <c r="M90" t="s">
        <v>2034</v>
      </c>
      <c r="N90" s="166">
        <v>17.72</v>
      </c>
      <c r="O90" t="s">
        <v>131</v>
      </c>
    </row>
    <row r="91" spans="1:15">
      <c r="A91" s="166" t="s">
        <v>4243</v>
      </c>
      <c r="B91" t="s">
        <v>111</v>
      </c>
      <c r="C91" t="s">
        <v>641</v>
      </c>
      <c r="D91" t="s">
        <v>116</v>
      </c>
      <c r="E91" t="s">
        <v>418</v>
      </c>
      <c r="F91" t="s">
        <v>7</v>
      </c>
      <c r="G91" t="s">
        <v>130</v>
      </c>
      <c r="H91" s="1">
        <v>46122</v>
      </c>
      <c r="I91" t="s">
        <v>4244</v>
      </c>
      <c r="J91" t="s">
        <v>4245</v>
      </c>
      <c r="K91" t="s">
        <v>4246</v>
      </c>
      <c r="L91" t="s">
        <v>725</v>
      </c>
      <c r="M91" t="s">
        <v>1076</v>
      </c>
      <c r="N91" s="166">
        <v>15.84</v>
      </c>
      <c r="O91" t="s">
        <v>131</v>
      </c>
    </row>
    <row r="92" spans="1:15">
      <c r="A92" s="166" t="s">
        <v>4247</v>
      </c>
      <c r="B92" t="s">
        <v>111</v>
      </c>
      <c r="C92" t="s">
        <v>134</v>
      </c>
      <c r="D92" t="s">
        <v>116</v>
      </c>
      <c r="E92" t="s">
        <v>418</v>
      </c>
      <c r="F92" t="s">
        <v>7</v>
      </c>
      <c r="G92" t="s">
        <v>130</v>
      </c>
      <c r="H92" s="1">
        <v>46122</v>
      </c>
      <c r="I92" t="s">
        <v>4248</v>
      </c>
      <c r="J92" t="s">
        <v>4249</v>
      </c>
      <c r="K92" t="s">
        <v>1889</v>
      </c>
      <c r="L92" t="s">
        <v>3182</v>
      </c>
      <c r="M92" t="s">
        <v>2024</v>
      </c>
      <c r="N92" s="166">
        <v>17.78</v>
      </c>
      <c r="O92" t="s">
        <v>131</v>
      </c>
    </row>
    <row r="93" spans="1:15">
      <c r="A93" s="166" t="s">
        <v>4250</v>
      </c>
      <c r="B93" t="s">
        <v>111</v>
      </c>
      <c r="C93" t="s">
        <v>133</v>
      </c>
      <c r="D93" t="s">
        <v>116</v>
      </c>
      <c r="E93" t="s">
        <v>418</v>
      </c>
      <c r="F93" t="s">
        <v>7</v>
      </c>
      <c r="G93" t="s">
        <v>130</v>
      </c>
      <c r="H93" s="1">
        <v>46122</v>
      </c>
      <c r="I93" t="s">
        <v>4251</v>
      </c>
      <c r="J93" t="s">
        <v>4252</v>
      </c>
      <c r="K93" t="s">
        <v>781</v>
      </c>
      <c r="L93" t="s">
        <v>786</v>
      </c>
      <c r="M93" t="s">
        <v>2586</v>
      </c>
      <c r="N93" s="166">
        <v>21.04</v>
      </c>
      <c r="O93" t="s">
        <v>131</v>
      </c>
    </row>
    <row r="94" spans="1:15">
      <c r="A94" s="166" t="s">
        <v>4253</v>
      </c>
      <c r="B94" t="s">
        <v>111</v>
      </c>
      <c r="C94" t="s">
        <v>641</v>
      </c>
      <c r="D94" t="s">
        <v>116</v>
      </c>
      <c r="E94" t="s">
        <v>418</v>
      </c>
      <c r="F94" t="s">
        <v>7</v>
      </c>
      <c r="G94" t="s">
        <v>130</v>
      </c>
      <c r="H94" s="1">
        <v>46122</v>
      </c>
      <c r="I94" t="s">
        <v>4254</v>
      </c>
      <c r="J94" t="s">
        <v>4255</v>
      </c>
      <c r="K94" t="s">
        <v>1749</v>
      </c>
      <c r="L94" t="s">
        <v>725</v>
      </c>
      <c r="M94" t="s">
        <v>1359</v>
      </c>
      <c r="N94" s="166">
        <v>18.600000000000001</v>
      </c>
      <c r="O94" t="s">
        <v>131</v>
      </c>
    </row>
    <row r="95" spans="1:15">
      <c r="A95" s="166" t="s">
        <v>4256</v>
      </c>
      <c r="B95" t="s">
        <v>111</v>
      </c>
      <c r="C95" t="s">
        <v>134</v>
      </c>
      <c r="D95" t="s">
        <v>116</v>
      </c>
      <c r="E95" t="s">
        <v>418</v>
      </c>
      <c r="F95" t="s">
        <v>7</v>
      </c>
      <c r="G95" t="s">
        <v>130</v>
      </c>
      <c r="H95" s="1">
        <v>46122</v>
      </c>
      <c r="I95" t="s">
        <v>4257</v>
      </c>
      <c r="J95" t="s">
        <v>4258</v>
      </c>
      <c r="K95" t="s">
        <v>1541</v>
      </c>
      <c r="L95" t="s">
        <v>1473</v>
      </c>
      <c r="M95" t="s">
        <v>4259</v>
      </c>
      <c r="N95" s="166">
        <v>13.8</v>
      </c>
      <c r="O95" t="s">
        <v>131</v>
      </c>
    </row>
    <row r="96" spans="1:15">
      <c r="A96" s="166" t="s">
        <v>4260</v>
      </c>
      <c r="B96" t="s">
        <v>111</v>
      </c>
      <c r="C96" t="s">
        <v>133</v>
      </c>
      <c r="D96" t="s">
        <v>116</v>
      </c>
      <c r="E96" t="s">
        <v>418</v>
      </c>
      <c r="F96" t="s">
        <v>7</v>
      </c>
      <c r="G96" t="s">
        <v>130</v>
      </c>
      <c r="H96" s="1">
        <v>46122</v>
      </c>
      <c r="I96" t="s">
        <v>4261</v>
      </c>
      <c r="J96" t="s">
        <v>4262</v>
      </c>
      <c r="K96" t="s">
        <v>4263</v>
      </c>
      <c r="L96" t="s">
        <v>730</v>
      </c>
      <c r="M96" t="s">
        <v>3722</v>
      </c>
      <c r="N96" s="166">
        <v>18.100000000000001</v>
      </c>
      <c r="O96" t="s">
        <v>131</v>
      </c>
    </row>
    <row r="97" spans="1:15">
      <c r="A97" s="166" t="s">
        <v>4264</v>
      </c>
      <c r="B97" t="s">
        <v>111</v>
      </c>
      <c r="C97" t="s">
        <v>641</v>
      </c>
      <c r="D97" t="s">
        <v>116</v>
      </c>
      <c r="E97" t="s">
        <v>418</v>
      </c>
      <c r="F97" t="s">
        <v>7</v>
      </c>
      <c r="G97" t="s">
        <v>130</v>
      </c>
      <c r="H97" s="1">
        <v>46122</v>
      </c>
      <c r="I97" t="s">
        <v>4265</v>
      </c>
      <c r="J97" t="s">
        <v>4266</v>
      </c>
      <c r="K97" t="s">
        <v>2050</v>
      </c>
      <c r="L97" t="s">
        <v>1662</v>
      </c>
      <c r="M97" t="s">
        <v>1173</v>
      </c>
      <c r="N97" s="166">
        <v>19.34</v>
      </c>
      <c r="O97" t="s">
        <v>131</v>
      </c>
    </row>
    <row r="98" spans="1:15">
      <c r="A98" s="166" t="s">
        <v>1113</v>
      </c>
      <c r="B98" t="s">
        <v>111</v>
      </c>
      <c r="C98" t="s">
        <v>134</v>
      </c>
      <c r="D98" t="s">
        <v>116</v>
      </c>
      <c r="E98" t="s">
        <v>418</v>
      </c>
      <c r="F98" t="s">
        <v>7</v>
      </c>
      <c r="G98" t="s">
        <v>130</v>
      </c>
      <c r="H98" s="1">
        <v>46122</v>
      </c>
      <c r="I98" t="s">
        <v>4267</v>
      </c>
      <c r="J98" t="s">
        <v>4268</v>
      </c>
      <c r="K98" t="s">
        <v>421</v>
      </c>
      <c r="L98" t="s">
        <v>777</v>
      </c>
      <c r="M98" t="s">
        <v>1988</v>
      </c>
      <c r="N98" s="166">
        <v>19.600000000000001</v>
      </c>
      <c r="O98" t="s">
        <v>131</v>
      </c>
    </row>
    <row r="99" spans="1:15">
      <c r="A99" s="166" t="s">
        <v>4269</v>
      </c>
      <c r="B99" t="s">
        <v>111</v>
      </c>
      <c r="C99" t="s">
        <v>133</v>
      </c>
      <c r="D99" t="s">
        <v>116</v>
      </c>
      <c r="E99" t="s">
        <v>418</v>
      </c>
      <c r="F99" t="s">
        <v>7</v>
      </c>
      <c r="G99" t="s">
        <v>130</v>
      </c>
      <c r="H99" s="1">
        <v>46122</v>
      </c>
      <c r="I99" t="s">
        <v>4270</v>
      </c>
      <c r="J99" t="s">
        <v>4271</v>
      </c>
      <c r="K99" t="s">
        <v>1965</v>
      </c>
      <c r="L99" t="s">
        <v>725</v>
      </c>
      <c r="M99" t="s">
        <v>1850</v>
      </c>
      <c r="N99" s="166">
        <v>19.739999999999998</v>
      </c>
      <c r="O99" t="s">
        <v>131</v>
      </c>
    </row>
    <row r="100" spans="1:15">
      <c r="A100" s="166" t="s">
        <v>4272</v>
      </c>
      <c r="B100" t="s">
        <v>111</v>
      </c>
      <c r="C100" t="s">
        <v>641</v>
      </c>
      <c r="D100" t="s">
        <v>116</v>
      </c>
      <c r="E100" t="s">
        <v>418</v>
      </c>
      <c r="F100" t="s">
        <v>7</v>
      </c>
      <c r="G100" t="s">
        <v>130</v>
      </c>
      <c r="H100" s="1">
        <v>46122</v>
      </c>
      <c r="I100" t="s">
        <v>4273</v>
      </c>
      <c r="J100" t="s">
        <v>4274</v>
      </c>
      <c r="K100" t="s">
        <v>1854</v>
      </c>
      <c r="L100" t="s">
        <v>927</v>
      </c>
      <c r="M100" t="s">
        <v>3028</v>
      </c>
      <c r="N100" s="166">
        <v>17.28</v>
      </c>
      <c r="O100" t="s">
        <v>131</v>
      </c>
    </row>
    <row r="101" spans="1:15">
      <c r="A101" s="166" t="s">
        <v>4275</v>
      </c>
      <c r="B101" t="s">
        <v>111</v>
      </c>
      <c r="C101" t="s">
        <v>134</v>
      </c>
      <c r="D101" t="s">
        <v>116</v>
      </c>
      <c r="E101" t="s">
        <v>418</v>
      </c>
      <c r="F101" t="s">
        <v>7</v>
      </c>
      <c r="G101" t="s">
        <v>130</v>
      </c>
      <c r="H101" s="1">
        <v>46122</v>
      </c>
      <c r="I101" t="s">
        <v>4276</v>
      </c>
      <c r="J101" t="s">
        <v>4277</v>
      </c>
      <c r="K101" t="s">
        <v>3818</v>
      </c>
      <c r="L101" t="s">
        <v>515</v>
      </c>
      <c r="M101" t="s">
        <v>2758</v>
      </c>
      <c r="N101" s="166">
        <v>17.98</v>
      </c>
      <c r="O101" t="s">
        <v>131</v>
      </c>
    </row>
    <row r="102" spans="1:15">
      <c r="A102" s="166" t="s">
        <v>4278</v>
      </c>
      <c r="B102" t="s">
        <v>111</v>
      </c>
      <c r="C102" t="s">
        <v>133</v>
      </c>
      <c r="D102" t="s">
        <v>116</v>
      </c>
      <c r="E102" t="s">
        <v>418</v>
      </c>
      <c r="F102" t="s">
        <v>7</v>
      </c>
      <c r="G102" t="s">
        <v>130</v>
      </c>
      <c r="H102" s="1">
        <v>46122</v>
      </c>
      <c r="I102" t="s">
        <v>4279</v>
      </c>
      <c r="J102" t="s">
        <v>4280</v>
      </c>
      <c r="K102" t="s">
        <v>1218</v>
      </c>
      <c r="L102" t="s">
        <v>687</v>
      </c>
      <c r="M102" t="s">
        <v>2502</v>
      </c>
      <c r="N102" s="166">
        <v>19.96</v>
      </c>
      <c r="O102" t="s">
        <v>131</v>
      </c>
    </row>
    <row r="103" spans="1:15">
      <c r="A103" s="166" t="s">
        <v>4281</v>
      </c>
      <c r="B103" t="s">
        <v>111</v>
      </c>
      <c r="C103" t="s">
        <v>641</v>
      </c>
      <c r="D103" t="s">
        <v>116</v>
      </c>
      <c r="E103" t="s">
        <v>418</v>
      </c>
      <c r="F103" t="s">
        <v>7</v>
      </c>
      <c r="G103" t="s">
        <v>130</v>
      </c>
      <c r="H103" s="1">
        <v>46122</v>
      </c>
      <c r="I103" t="s">
        <v>4282</v>
      </c>
      <c r="J103" t="s">
        <v>4283</v>
      </c>
      <c r="K103" t="s">
        <v>4284</v>
      </c>
      <c r="L103" t="s">
        <v>1081</v>
      </c>
      <c r="M103" t="s">
        <v>590</v>
      </c>
      <c r="N103" s="166">
        <v>14.64</v>
      </c>
      <c r="O103" t="s">
        <v>131</v>
      </c>
    </row>
    <row r="104" spans="1:15">
      <c r="A104" s="166" t="s">
        <v>4285</v>
      </c>
      <c r="B104" t="s">
        <v>111</v>
      </c>
      <c r="C104" t="s">
        <v>134</v>
      </c>
      <c r="D104" t="s">
        <v>116</v>
      </c>
      <c r="E104" t="s">
        <v>418</v>
      </c>
      <c r="F104" t="s">
        <v>7</v>
      </c>
      <c r="G104" t="s">
        <v>130</v>
      </c>
      <c r="H104" s="1">
        <v>46122</v>
      </c>
      <c r="I104" t="s">
        <v>4286</v>
      </c>
      <c r="J104" t="s">
        <v>4287</v>
      </c>
      <c r="K104" t="s">
        <v>1126</v>
      </c>
      <c r="L104" t="s">
        <v>1503</v>
      </c>
      <c r="M104" t="s">
        <v>1710</v>
      </c>
      <c r="N104" s="166">
        <v>19.46</v>
      </c>
      <c r="O104" t="s">
        <v>131</v>
      </c>
    </row>
    <row r="105" spans="1:15">
      <c r="A105" s="166" t="s">
        <v>4288</v>
      </c>
      <c r="B105" t="s">
        <v>111</v>
      </c>
      <c r="C105" t="s">
        <v>641</v>
      </c>
      <c r="D105" t="s">
        <v>116</v>
      </c>
      <c r="E105" t="s">
        <v>418</v>
      </c>
      <c r="F105" t="s">
        <v>6</v>
      </c>
      <c r="G105" t="s">
        <v>130</v>
      </c>
      <c r="H105" s="1">
        <v>46122</v>
      </c>
      <c r="I105" t="s">
        <v>4289</v>
      </c>
      <c r="J105" t="s">
        <v>4290</v>
      </c>
      <c r="K105" t="s">
        <v>825</v>
      </c>
      <c r="L105" t="s">
        <v>3517</v>
      </c>
      <c r="M105" t="s">
        <v>2536</v>
      </c>
      <c r="N105" s="166">
        <v>18.16</v>
      </c>
      <c r="O105" t="s">
        <v>131</v>
      </c>
    </row>
    <row r="106" spans="1:15">
      <c r="A106" s="166" t="s">
        <v>4291</v>
      </c>
      <c r="B106" t="s">
        <v>111</v>
      </c>
      <c r="C106" t="s">
        <v>134</v>
      </c>
      <c r="D106" t="s">
        <v>116</v>
      </c>
      <c r="E106" t="s">
        <v>418</v>
      </c>
      <c r="F106" t="s">
        <v>6</v>
      </c>
      <c r="G106" t="s">
        <v>130</v>
      </c>
      <c r="H106" s="1">
        <v>46122</v>
      </c>
      <c r="I106" t="s">
        <v>4292</v>
      </c>
      <c r="J106" t="s">
        <v>4293</v>
      </c>
      <c r="K106" t="s">
        <v>1080</v>
      </c>
      <c r="L106" t="s">
        <v>720</v>
      </c>
      <c r="M106" t="s">
        <v>1537</v>
      </c>
      <c r="N106" s="166">
        <v>22.58</v>
      </c>
      <c r="O106" t="s">
        <v>131</v>
      </c>
    </row>
    <row r="107" spans="1:15">
      <c r="A107" s="166" t="s">
        <v>4294</v>
      </c>
      <c r="B107" t="s">
        <v>111</v>
      </c>
      <c r="C107" t="s">
        <v>641</v>
      </c>
      <c r="D107" t="s">
        <v>116</v>
      </c>
      <c r="E107" t="s">
        <v>418</v>
      </c>
      <c r="F107" t="s">
        <v>6</v>
      </c>
      <c r="G107" t="s">
        <v>130</v>
      </c>
      <c r="H107" s="1">
        <v>46122</v>
      </c>
      <c r="I107" t="s">
        <v>4295</v>
      </c>
      <c r="J107" t="s">
        <v>4296</v>
      </c>
      <c r="K107" t="s">
        <v>1549</v>
      </c>
      <c r="L107" t="s">
        <v>2572</v>
      </c>
      <c r="M107" t="s">
        <v>1394</v>
      </c>
      <c r="N107" s="166">
        <v>18.96</v>
      </c>
      <c r="O107" t="s">
        <v>131</v>
      </c>
    </row>
    <row r="108" spans="1:15">
      <c r="A108" s="166" t="s">
        <v>4297</v>
      </c>
      <c r="B108" t="s">
        <v>111</v>
      </c>
      <c r="C108" t="s">
        <v>133</v>
      </c>
      <c r="D108" t="s">
        <v>116</v>
      </c>
      <c r="E108" t="s">
        <v>418</v>
      </c>
      <c r="F108" t="s">
        <v>6</v>
      </c>
      <c r="G108" t="s">
        <v>130</v>
      </c>
      <c r="H108" s="1">
        <v>46122</v>
      </c>
      <c r="I108" t="s">
        <v>4298</v>
      </c>
      <c r="J108" t="s">
        <v>4299</v>
      </c>
      <c r="K108" t="s">
        <v>1541</v>
      </c>
      <c r="L108" t="s">
        <v>687</v>
      </c>
      <c r="M108" t="s">
        <v>1577</v>
      </c>
      <c r="N108" s="166">
        <v>19.22</v>
      </c>
      <c r="O108" t="s">
        <v>131</v>
      </c>
    </row>
    <row r="109" spans="1:15">
      <c r="A109" s="166" t="s">
        <v>4300</v>
      </c>
      <c r="B109" t="s">
        <v>111</v>
      </c>
      <c r="C109" t="s">
        <v>134</v>
      </c>
      <c r="D109" t="s">
        <v>116</v>
      </c>
      <c r="E109" t="s">
        <v>418</v>
      </c>
      <c r="F109" t="s">
        <v>6</v>
      </c>
      <c r="G109" t="s">
        <v>130</v>
      </c>
      <c r="H109" s="1">
        <v>46122</v>
      </c>
      <c r="I109" t="s">
        <v>4301</v>
      </c>
      <c r="J109" t="s">
        <v>4302</v>
      </c>
      <c r="K109" t="s">
        <v>438</v>
      </c>
      <c r="L109" t="s">
        <v>989</v>
      </c>
      <c r="M109" t="s">
        <v>541</v>
      </c>
      <c r="N109" s="166">
        <v>21.18</v>
      </c>
      <c r="O109" t="s">
        <v>131</v>
      </c>
    </row>
    <row r="110" spans="1:15">
      <c r="A110" s="166" t="s">
        <v>4303</v>
      </c>
      <c r="B110" t="s">
        <v>111</v>
      </c>
      <c r="C110" t="s">
        <v>641</v>
      </c>
      <c r="D110" t="s">
        <v>116</v>
      </c>
      <c r="E110" t="s">
        <v>418</v>
      </c>
      <c r="F110" t="s">
        <v>6</v>
      </c>
      <c r="G110" t="s">
        <v>130</v>
      </c>
      <c r="H110" s="1">
        <v>46122</v>
      </c>
      <c r="I110" t="s">
        <v>4304</v>
      </c>
      <c r="J110" t="s">
        <v>4305</v>
      </c>
      <c r="K110" t="s">
        <v>1774</v>
      </c>
      <c r="L110" t="s">
        <v>2004</v>
      </c>
      <c r="M110" t="s">
        <v>1399</v>
      </c>
      <c r="N110" s="166">
        <v>19.32</v>
      </c>
      <c r="O110" t="s">
        <v>131</v>
      </c>
    </row>
    <row r="111" spans="1:15">
      <c r="A111" s="166" t="s">
        <v>4306</v>
      </c>
      <c r="B111" t="s">
        <v>111</v>
      </c>
      <c r="C111" t="s">
        <v>133</v>
      </c>
      <c r="D111" t="s">
        <v>116</v>
      </c>
      <c r="E111" t="s">
        <v>418</v>
      </c>
      <c r="F111" t="s">
        <v>6</v>
      </c>
      <c r="G111" t="s">
        <v>130</v>
      </c>
      <c r="H111" s="1">
        <v>46122</v>
      </c>
      <c r="I111" t="s">
        <v>4307</v>
      </c>
      <c r="J111" t="s">
        <v>4308</v>
      </c>
      <c r="K111" t="s">
        <v>600</v>
      </c>
      <c r="L111" t="s">
        <v>687</v>
      </c>
      <c r="M111" t="s">
        <v>3843</v>
      </c>
      <c r="N111" s="166">
        <v>20.8</v>
      </c>
      <c r="O111" t="s">
        <v>131</v>
      </c>
    </row>
    <row r="112" spans="1:15">
      <c r="A112" s="166" t="s">
        <v>4309</v>
      </c>
      <c r="B112" t="s">
        <v>111</v>
      </c>
      <c r="C112" t="s">
        <v>134</v>
      </c>
      <c r="D112" t="s">
        <v>116</v>
      </c>
      <c r="E112" t="s">
        <v>418</v>
      </c>
      <c r="F112" t="s">
        <v>6</v>
      </c>
      <c r="G112" t="s">
        <v>130</v>
      </c>
      <c r="H112" s="1">
        <v>46122</v>
      </c>
      <c r="I112" t="s">
        <v>4310</v>
      </c>
      <c r="J112" t="s">
        <v>4311</v>
      </c>
      <c r="K112" t="s">
        <v>4312</v>
      </c>
      <c r="L112" t="s">
        <v>720</v>
      </c>
      <c r="M112" t="s">
        <v>1657</v>
      </c>
      <c r="N112" s="166">
        <v>22.8</v>
      </c>
      <c r="O112" t="s">
        <v>131</v>
      </c>
    </row>
    <row r="113" spans="1:15">
      <c r="A113" s="166" t="s">
        <v>4313</v>
      </c>
      <c r="B113" t="s">
        <v>111</v>
      </c>
      <c r="C113" t="s">
        <v>641</v>
      </c>
      <c r="D113" t="s">
        <v>116</v>
      </c>
      <c r="E113" t="s">
        <v>418</v>
      </c>
      <c r="F113" t="s">
        <v>6</v>
      </c>
      <c r="G113" t="s">
        <v>130</v>
      </c>
      <c r="H113" s="1">
        <v>46122</v>
      </c>
      <c r="I113" t="s">
        <v>4314</v>
      </c>
      <c r="J113" t="s">
        <v>4315</v>
      </c>
      <c r="K113" t="s">
        <v>2135</v>
      </c>
      <c r="L113" t="s">
        <v>2127</v>
      </c>
      <c r="M113" t="s">
        <v>1067</v>
      </c>
      <c r="N113" s="166">
        <v>18.84</v>
      </c>
      <c r="O113" t="s">
        <v>131</v>
      </c>
    </row>
    <row r="114" spans="1:15">
      <c r="A114" s="166" t="s">
        <v>4316</v>
      </c>
      <c r="B114" t="s">
        <v>111</v>
      </c>
      <c r="C114" t="s">
        <v>133</v>
      </c>
      <c r="D114" t="s">
        <v>116</v>
      </c>
      <c r="E114" t="s">
        <v>418</v>
      </c>
      <c r="F114" t="s">
        <v>6</v>
      </c>
      <c r="G114" t="s">
        <v>130</v>
      </c>
      <c r="H114" s="1">
        <v>46122</v>
      </c>
      <c r="I114" t="s">
        <v>4317</v>
      </c>
      <c r="J114" t="s">
        <v>4318</v>
      </c>
      <c r="K114" t="s">
        <v>1896</v>
      </c>
      <c r="L114" t="s">
        <v>687</v>
      </c>
      <c r="M114" t="s">
        <v>2175</v>
      </c>
      <c r="N114" s="166">
        <v>19.760000000000002</v>
      </c>
      <c r="O114" t="s">
        <v>131</v>
      </c>
    </row>
    <row r="115" spans="1:15">
      <c r="A115" s="166" t="s">
        <v>4319</v>
      </c>
      <c r="B115" t="s">
        <v>111</v>
      </c>
      <c r="C115" t="s">
        <v>134</v>
      </c>
      <c r="D115" t="s">
        <v>116</v>
      </c>
      <c r="E115" t="s">
        <v>418</v>
      </c>
      <c r="F115" t="s">
        <v>6</v>
      </c>
      <c r="G115" t="s">
        <v>130</v>
      </c>
      <c r="H115" s="1">
        <v>46122</v>
      </c>
      <c r="I115" t="s">
        <v>4320</v>
      </c>
      <c r="J115" t="s">
        <v>4321</v>
      </c>
      <c r="K115" t="s">
        <v>4012</v>
      </c>
      <c r="L115" t="s">
        <v>720</v>
      </c>
      <c r="M115" t="s">
        <v>166</v>
      </c>
      <c r="N115" s="166">
        <v>23.1</v>
      </c>
      <c r="O115" t="s">
        <v>131</v>
      </c>
    </row>
    <row r="116" spans="1:15">
      <c r="A116" s="166" t="s">
        <v>4322</v>
      </c>
      <c r="B116" t="s">
        <v>111</v>
      </c>
      <c r="C116" t="s">
        <v>641</v>
      </c>
      <c r="D116" t="s">
        <v>116</v>
      </c>
      <c r="E116" t="s">
        <v>418</v>
      </c>
      <c r="F116" t="s">
        <v>6</v>
      </c>
      <c r="G116" t="s">
        <v>130</v>
      </c>
      <c r="H116" s="1">
        <v>46122</v>
      </c>
      <c r="I116" t="s">
        <v>4323</v>
      </c>
      <c r="J116" t="s">
        <v>4324</v>
      </c>
      <c r="K116" t="s">
        <v>448</v>
      </c>
      <c r="L116" t="s">
        <v>2058</v>
      </c>
      <c r="M116" t="s">
        <v>4325</v>
      </c>
      <c r="N116" s="166">
        <v>20.58</v>
      </c>
      <c r="O116" t="s">
        <v>131</v>
      </c>
    </row>
    <row r="117" spans="1:15">
      <c r="A117" s="166" t="s">
        <v>4326</v>
      </c>
      <c r="B117" t="s">
        <v>111</v>
      </c>
      <c r="C117" t="s">
        <v>134</v>
      </c>
      <c r="D117" t="s">
        <v>116</v>
      </c>
      <c r="E117" t="s">
        <v>418</v>
      </c>
      <c r="F117" t="s">
        <v>6</v>
      </c>
      <c r="G117" t="s">
        <v>130</v>
      </c>
      <c r="H117" s="1">
        <v>46122</v>
      </c>
      <c r="I117" t="s">
        <v>4327</v>
      </c>
      <c r="J117" t="s">
        <v>4328</v>
      </c>
      <c r="K117" t="s">
        <v>485</v>
      </c>
      <c r="L117" t="s">
        <v>720</v>
      </c>
      <c r="M117" t="s">
        <v>1595</v>
      </c>
      <c r="N117" s="166">
        <v>23.14</v>
      </c>
      <c r="O117" t="s">
        <v>131</v>
      </c>
    </row>
    <row r="118" spans="1:15">
      <c r="A118" s="166" t="s">
        <v>4329</v>
      </c>
      <c r="B118" t="s">
        <v>111</v>
      </c>
      <c r="C118" t="s">
        <v>133</v>
      </c>
      <c r="D118" t="s">
        <v>116</v>
      </c>
      <c r="E118" t="s">
        <v>418</v>
      </c>
      <c r="F118" t="s">
        <v>6</v>
      </c>
      <c r="G118" t="s">
        <v>130</v>
      </c>
      <c r="H118" s="1">
        <v>46122</v>
      </c>
      <c r="I118" t="s">
        <v>4330</v>
      </c>
      <c r="J118" t="s">
        <v>4331</v>
      </c>
      <c r="K118" t="s">
        <v>1218</v>
      </c>
      <c r="L118" t="s">
        <v>672</v>
      </c>
      <c r="M118" t="s">
        <v>1529</v>
      </c>
      <c r="N118" s="166">
        <v>19.88</v>
      </c>
      <c r="O118" t="s">
        <v>131</v>
      </c>
    </row>
    <row r="119" spans="1:15">
      <c r="A119" s="166" t="s">
        <v>4332</v>
      </c>
      <c r="B119" t="s">
        <v>111</v>
      </c>
      <c r="C119" t="s">
        <v>641</v>
      </c>
      <c r="D119" t="s">
        <v>116</v>
      </c>
      <c r="E119" t="s">
        <v>418</v>
      </c>
      <c r="F119" t="s">
        <v>6</v>
      </c>
      <c r="G119" t="s">
        <v>130</v>
      </c>
      <c r="H119" s="1">
        <v>46122</v>
      </c>
      <c r="I119" t="s">
        <v>4333</v>
      </c>
      <c r="J119" t="s">
        <v>4334</v>
      </c>
      <c r="K119" t="s">
        <v>204</v>
      </c>
      <c r="L119" t="s">
        <v>2095</v>
      </c>
      <c r="M119" t="s">
        <v>1682</v>
      </c>
      <c r="N119" s="166">
        <v>19.82</v>
      </c>
      <c r="O119" t="s">
        <v>131</v>
      </c>
    </row>
    <row r="120" spans="1:15">
      <c r="A120" s="166" t="s">
        <v>4335</v>
      </c>
      <c r="B120" t="s">
        <v>111</v>
      </c>
      <c r="C120" t="s">
        <v>134</v>
      </c>
      <c r="D120" t="s">
        <v>116</v>
      </c>
      <c r="E120" t="s">
        <v>418</v>
      </c>
      <c r="F120" t="s">
        <v>6</v>
      </c>
      <c r="G120" t="s">
        <v>130</v>
      </c>
      <c r="H120" s="1">
        <v>46122</v>
      </c>
      <c r="I120" t="s">
        <v>4336</v>
      </c>
      <c r="J120" t="s">
        <v>4337</v>
      </c>
      <c r="K120" t="s">
        <v>2965</v>
      </c>
      <c r="L120" t="s">
        <v>989</v>
      </c>
      <c r="M120" t="s">
        <v>156</v>
      </c>
      <c r="N120" s="166">
        <v>22.98</v>
      </c>
      <c r="O120" t="s">
        <v>131</v>
      </c>
    </row>
    <row r="121" spans="1:15">
      <c r="A121" s="166" t="s">
        <v>4338</v>
      </c>
      <c r="B121" t="s">
        <v>111</v>
      </c>
      <c r="C121" t="s">
        <v>133</v>
      </c>
      <c r="D121" t="s">
        <v>116</v>
      </c>
      <c r="E121" t="s">
        <v>418</v>
      </c>
      <c r="F121" t="s">
        <v>6</v>
      </c>
      <c r="G121" t="s">
        <v>130</v>
      </c>
      <c r="H121" s="1">
        <v>46122</v>
      </c>
      <c r="I121" t="s">
        <v>4339</v>
      </c>
      <c r="J121" t="s">
        <v>4340</v>
      </c>
      <c r="K121" t="s">
        <v>766</v>
      </c>
      <c r="L121" t="s">
        <v>672</v>
      </c>
      <c r="M121" t="s">
        <v>2653</v>
      </c>
      <c r="N121" s="166">
        <v>21.16</v>
      </c>
      <c r="O121" t="s">
        <v>131</v>
      </c>
    </row>
    <row r="122" spans="1:15">
      <c r="A122" s="166" t="s">
        <v>4341</v>
      </c>
      <c r="B122" t="s">
        <v>111</v>
      </c>
      <c r="C122" t="s">
        <v>641</v>
      </c>
      <c r="D122" t="s">
        <v>116</v>
      </c>
      <c r="E122" t="s">
        <v>418</v>
      </c>
      <c r="F122" t="s">
        <v>6</v>
      </c>
      <c r="G122" t="s">
        <v>130</v>
      </c>
      <c r="H122" s="1">
        <v>46122</v>
      </c>
      <c r="I122" t="s">
        <v>4342</v>
      </c>
      <c r="J122" t="s">
        <v>4343</v>
      </c>
      <c r="K122" t="s">
        <v>1818</v>
      </c>
      <c r="L122" t="s">
        <v>2058</v>
      </c>
      <c r="M122" t="s">
        <v>2402</v>
      </c>
      <c r="N122" s="166">
        <v>20.04</v>
      </c>
      <c r="O122" t="s">
        <v>131</v>
      </c>
    </row>
    <row r="123" spans="1:15">
      <c r="A123" s="166" t="s">
        <v>4344</v>
      </c>
      <c r="B123" t="s">
        <v>111</v>
      </c>
      <c r="C123" t="s">
        <v>134</v>
      </c>
      <c r="D123" t="s">
        <v>116</v>
      </c>
      <c r="E123" t="s">
        <v>418</v>
      </c>
      <c r="F123" t="s">
        <v>6</v>
      </c>
      <c r="G123" t="s">
        <v>130</v>
      </c>
      <c r="H123" s="1">
        <v>46122</v>
      </c>
      <c r="I123" t="s">
        <v>4345</v>
      </c>
      <c r="J123" t="s">
        <v>4346</v>
      </c>
      <c r="K123" t="s">
        <v>4347</v>
      </c>
      <c r="L123" t="s">
        <v>720</v>
      </c>
      <c r="M123" t="s">
        <v>1587</v>
      </c>
      <c r="N123" s="166">
        <v>20.5</v>
      </c>
      <c r="O123" t="s">
        <v>131</v>
      </c>
    </row>
    <row r="124" spans="1:15">
      <c r="A124" s="166" t="s">
        <v>4348</v>
      </c>
      <c r="B124" t="s">
        <v>111</v>
      </c>
      <c r="C124" t="s">
        <v>133</v>
      </c>
      <c r="D124" t="s">
        <v>116</v>
      </c>
      <c r="E124" t="s">
        <v>418</v>
      </c>
      <c r="F124" t="s">
        <v>6</v>
      </c>
      <c r="G124" t="s">
        <v>130</v>
      </c>
      <c r="H124" s="1">
        <v>46122</v>
      </c>
      <c r="I124" t="s">
        <v>4349</v>
      </c>
      <c r="J124" t="s">
        <v>4350</v>
      </c>
      <c r="K124" t="s">
        <v>1071</v>
      </c>
      <c r="L124" t="s">
        <v>672</v>
      </c>
      <c r="M124" t="s">
        <v>2116</v>
      </c>
      <c r="N124" s="166">
        <v>20.46</v>
      </c>
      <c r="O124" t="s">
        <v>131</v>
      </c>
    </row>
    <row r="125" spans="1:15">
      <c r="A125" s="166" t="s">
        <v>4351</v>
      </c>
      <c r="B125" t="s">
        <v>111</v>
      </c>
      <c r="C125" t="s">
        <v>641</v>
      </c>
      <c r="D125" t="s">
        <v>116</v>
      </c>
      <c r="E125" t="s">
        <v>418</v>
      </c>
      <c r="F125" t="s">
        <v>6</v>
      </c>
      <c r="G125" t="s">
        <v>130</v>
      </c>
      <c r="H125" s="1">
        <v>46122</v>
      </c>
      <c r="I125" t="s">
        <v>4352</v>
      </c>
      <c r="J125" t="s">
        <v>4353</v>
      </c>
      <c r="K125" t="s">
        <v>766</v>
      </c>
      <c r="L125" t="s">
        <v>2058</v>
      </c>
      <c r="M125" t="s">
        <v>2038</v>
      </c>
      <c r="N125" s="166">
        <v>21.08</v>
      </c>
      <c r="O125" t="s">
        <v>131</v>
      </c>
    </row>
    <row r="126" spans="1:15">
      <c r="A126" s="166" t="s">
        <v>4354</v>
      </c>
      <c r="B126" t="s">
        <v>111</v>
      </c>
      <c r="C126" t="s">
        <v>133</v>
      </c>
      <c r="D126" t="s">
        <v>116</v>
      </c>
      <c r="E126" t="s">
        <v>418</v>
      </c>
      <c r="F126" t="s">
        <v>6</v>
      </c>
      <c r="G126" t="s">
        <v>130</v>
      </c>
      <c r="H126" s="1">
        <v>46122</v>
      </c>
      <c r="I126" t="s">
        <v>4355</v>
      </c>
      <c r="J126" t="s">
        <v>4356</v>
      </c>
      <c r="K126" t="s">
        <v>242</v>
      </c>
      <c r="L126" t="s">
        <v>672</v>
      </c>
      <c r="M126" t="s">
        <v>1452</v>
      </c>
      <c r="N126" s="166">
        <v>22.96</v>
      </c>
      <c r="O126" t="s">
        <v>131</v>
      </c>
    </row>
    <row r="127" spans="1:15">
      <c r="A127" s="166" t="s">
        <v>4357</v>
      </c>
      <c r="B127" t="s">
        <v>111</v>
      </c>
      <c r="C127" t="s">
        <v>641</v>
      </c>
      <c r="D127" t="s">
        <v>116</v>
      </c>
      <c r="E127" t="s">
        <v>418</v>
      </c>
      <c r="F127" t="s">
        <v>6</v>
      </c>
      <c r="G127" t="s">
        <v>130</v>
      </c>
      <c r="H127" s="1">
        <v>46122</v>
      </c>
      <c r="I127" t="s">
        <v>4358</v>
      </c>
      <c r="J127" t="s">
        <v>4359</v>
      </c>
      <c r="K127" t="s">
        <v>4360</v>
      </c>
      <c r="L127" t="s">
        <v>2184</v>
      </c>
      <c r="M127" t="s">
        <v>1723</v>
      </c>
      <c r="N127" s="166">
        <v>25.48</v>
      </c>
      <c r="O127" t="s">
        <v>131</v>
      </c>
    </row>
    <row r="128" spans="1:15">
      <c r="A128" s="166" t="s">
        <v>4361</v>
      </c>
      <c r="B128" t="s">
        <v>111</v>
      </c>
      <c r="C128" t="s">
        <v>133</v>
      </c>
      <c r="D128" t="s">
        <v>116</v>
      </c>
      <c r="E128" t="s">
        <v>418</v>
      </c>
      <c r="F128" t="s">
        <v>6</v>
      </c>
      <c r="G128" t="s">
        <v>130</v>
      </c>
      <c r="H128" s="1">
        <v>46122</v>
      </c>
      <c r="I128" t="s">
        <v>4362</v>
      </c>
      <c r="J128" t="s">
        <v>4363</v>
      </c>
      <c r="K128" t="s">
        <v>4364</v>
      </c>
      <c r="L128" t="s">
        <v>2095</v>
      </c>
      <c r="M128" t="s">
        <v>186</v>
      </c>
      <c r="N128" s="166">
        <v>23.58</v>
      </c>
      <c r="O128" t="s">
        <v>131</v>
      </c>
    </row>
    <row r="129" spans="1:15">
      <c r="A129" s="166" t="s">
        <v>4365</v>
      </c>
      <c r="B129" t="s">
        <v>111</v>
      </c>
      <c r="C129" t="s">
        <v>134</v>
      </c>
      <c r="D129" t="s">
        <v>116</v>
      </c>
      <c r="E129" t="s">
        <v>418</v>
      </c>
      <c r="F129" t="s">
        <v>6</v>
      </c>
      <c r="G129" t="s">
        <v>130</v>
      </c>
      <c r="H129" s="1">
        <v>46122</v>
      </c>
      <c r="I129" t="s">
        <v>4366</v>
      </c>
      <c r="J129" t="s">
        <v>4367</v>
      </c>
      <c r="K129" t="s">
        <v>1451</v>
      </c>
      <c r="L129" t="s">
        <v>665</v>
      </c>
      <c r="M129" t="s">
        <v>1223</v>
      </c>
      <c r="N129" s="166">
        <v>22.76</v>
      </c>
      <c r="O129" t="s">
        <v>131</v>
      </c>
    </row>
    <row r="130" spans="1:15">
      <c r="A130" s="166" t="s">
        <v>4368</v>
      </c>
      <c r="B130" t="s">
        <v>111</v>
      </c>
      <c r="C130" t="s">
        <v>641</v>
      </c>
      <c r="D130" t="s">
        <v>116</v>
      </c>
      <c r="E130" t="s">
        <v>418</v>
      </c>
      <c r="F130" t="s">
        <v>6</v>
      </c>
      <c r="G130" t="s">
        <v>130</v>
      </c>
      <c r="H130" s="1">
        <v>46122</v>
      </c>
      <c r="I130" t="s">
        <v>4369</v>
      </c>
      <c r="J130" t="s">
        <v>4370</v>
      </c>
      <c r="K130" t="s">
        <v>191</v>
      </c>
      <c r="L130" t="s">
        <v>2184</v>
      </c>
      <c r="M130" t="s">
        <v>561</v>
      </c>
      <c r="N130" s="166">
        <v>21.98</v>
      </c>
      <c r="O130" t="s">
        <v>131</v>
      </c>
    </row>
    <row r="131" spans="1:15">
      <c r="A131" s="166" t="s">
        <v>4371</v>
      </c>
      <c r="B131" t="s">
        <v>111</v>
      </c>
      <c r="C131" t="s">
        <v>133</v>
      </c>
      <c r="D131" t="s">
        <v>116</v>
      </c>
      <c r="E131" t="s">
        <v>418</v>
      </c>
      <c r="F131" t="s">
        <v>6</v>
      </c>
      <c r="G131" t="s">
        <v>130</v>
      </c>
      <c r="H131" s="1">
        <v>46122</v>
      </c>
      <c r="I131" t="s">
        <v>4372</v>
      </c>
      <c r="J131" t="s">
        <v>4373</v>
      </c>
      <c r="K131" t="s">
        <v>4012</v>
      </c>
      <c r="L131" t="s">
        <v>1662</v>
      </c>
      <c r="M131" t="s">
        <v>4374</v>
      </c>
      <c r="N131" s="166">
        <v>22.54</v>
      </c>
      <c r="O131" t="s">
        <v>131</v>
      </c>
    </row>
    <row r="132" spans="1:15">
      <c r="A132" s="166" t="s">
        <v>4375</v>
      </c>
      <c r="B132" t="s">
        <v>111</v>
      </c>
      <c r="C132" t="s">
        <v>134</v>
      </c>
      <c r="D132" t="s">
        <v>116</v>
      </c>
      <c r="E132" t="s">
        <v>418</v>
      </c>
      <c r="F132" t="s">
        <v>6</v>
      </c>
      <c r="G132" t="s">
        <v>130</v>
      </c>
      <c r="H132" s="1">
        <v>46122</v>
      </c>
      <c r="I132" t="s">
        <v>4376</v>
      </c>
      <c r="J132" t="s">
        <v>4377</v>
      </c>
      <c r="K132" t="s">
        <v>3070</v>
      </c>
      <c r="L132" t="s">
        <v>149</v>
      </c>
      <c r="M132" t="s">
        <v>2905</v>
      </c>
      <c r="N132" s="166">
        <v>24.3</v>
      </c>
      <c r="O132" t="s">
        <v>131</v>
      </c>
    </row>
    <row r="133" spans="1:15">
      <c r="A133" s="166" t="s">
        <v>4378</v>
      </c>
      <c r="B133" t="s">
        <v>111</v>
      </c>
      <c r="C133" t="s">
        <v>641</v>
      </c>
      <c r="D133" t="s">
        <v>116</v>
      </c>
      <c r="E133" t="s">
        <v>418</v>
      </c>
      <c r="F133" t="s">
        <v>6</v>
      </c>
      <c r="G133" t="s">
        <v>130</v>
      </c>
      <c r="H133" s="1">
        <v>46122</v>
      </c>
      <c r="I133" t="s">
        <v>4379</v>
      </c>
      <c r="J133" t="s">
        <v>4380</v>
      </c>
      <c r="K133" t="s">
        <v>4381</v>
      </c>
      <c r="L133" t="s">
        <v>2267</v>
      </c>
      <c r="M133" t="s">
        <v>917</v>
      </c>
      <c r="N133" s="166">
        <v>22.5</v>
      </c>
      <c r="O133" t="s">
        <v>131</v>
      </c>
    </row>
    <row r="134" spans="1:15">
      <c r="A134" s="166" t="s">
        <v>4382</v>
      </c>
      <c r="B134" t="s">
        <v>111</v>
      </c>
      <c r="C134" t="s">
        <v>133</v>
      </c>
      <c r="D134" t="s">
        <v>116</v>
      </c>
      <c r="E134" t="s">
        <v>418</v>
      </c>
      <c r="F134" t="s">
        <v>6</v>
      </c>
      <c r="G134" t="s">
        <v>130</v>
      </c>
      <c r="H134" s="1">
        <v>46122</v>
      </c>
      <c r="I134" t="s">
        <v>4383</v>
      </c>
      <c r="J134" t="s">
        <v>4384</v>
      </c>
      <c r="K134" t="s">
        <v>3125</v>
      </c>
      <c r="L134" t="s">
        <v>907</v>
      </c>
      <c r="M134" t="s">
        <v>2165</v>
      </c>
      <c r="N134" s="166">
        <v>21.26</v>
      </c>
      <c r="O134" t="s">
        <v>131</v>
      </c>
    </row>
    <row r="135" spans="1:15">
      <c r="A135" s="166" t="s">
        <v>4385</v>
      </c>
      <c r="B135" t="s">
        <v>111</v>
      </c>
      <c r="C135" t="s">
        <v>134</v>
      </c>
      <c r="D135" t="s">
        <v>116</v>
      </c>
      <c r="E135" t="s">
        <v>418</v>
      </c>
      <c r="F135" t="s">
        <v>6</v>
      </c>
      <c r="G135" t="s">
        <v>130</v>
      </c>
      <c r="H135" s="1">
        <v>46122</v>
      </c>
      <c r="I135" t="s">
        <v>4386</v>
      </c>
      <c r="J135" t="s">
        <v>4387</v>
      </c>
      <c r="K135" t="s">
        <v>4388</v>
      </c>
      <c r="L135" t="s">
        <v>149</v>
      </c>
      <c r="M135" t="s">
        <v>4389</v>
      </c>
      <c r="N135" s="166">
        <v>22.64</v>
      </c>
      <c r="O135" t="s">
        <v>131</v>
      </c>
    </row>
    <row r="136" spans="1:15">
      <c r="A136" s="166" t="s">
        <v>4390</v>
      </c>
      <c r="B136" t="s">
        <v>111</v>
      </c>
      <c r="C136" t="s">
        <v>641</v>
      </c>
      <c r="D136" t="s">
        <v>116</v>
      </c>
      <c r="E136" t="s">
        <v>418</v>
      </c>
      <c r="F136" t="s">
        <v>6</v>
      </c>
      <c r="G136" t="s">
        <v>130</v>
      </c>
      <c r="H136" s="1">
        <v>46122</v>
      </c>
      <c r="I136" t="s">
        <v>4391</v>
      </c>
      <c r="J136" t="s">
        <v>4392</v>
      </c>
      <c r="K136" t="s">
        <v>3291</v>
      </c>
      <c r="L136" t="s">
        <v>2127</v>
      </c>
      <c r="M136" t="s">
        <v>476</v>
      </c>
      <c r="N136" s="166">
        <v>21.82</v>
      </c>
      <c r="O136" t="s">
        <v>131</v>
      </c>
    </row>
    <row r="137" spans="1:15">
      <c r="A137" s="166" t="s">
        <v>4393</v>
      </c>
      <c r="B137" t="s">
        <v>111</v>
      </c>
      <c r="C137" t="s">
        <v>133</v>
      </c>
      <c r="D137" t="s">
        <v>116</v>
      </c>
      <c r="E137" t="s">
        <v>418</v>
      </c>
      <c r="F137" t="s">
        <v>6</v>
      </c>
      <c r="G137" t="s">
        <v>130</v>
      </c>
      <c r="H137" s="1">
        <v>46122</v>
      </c>
      <c r="I137" t="s">
        <v>4394</v>
      </c>
      <c r="J137" t="s">
        <v>4395</v>
      </c>
      <c r="K137" t="s">
        <v>644</v>
      </c>
      <c r="L137" t="s">
        <v>907</v>
      </c>
      <c r="M137" t="s">
        <v>1866</v>
      </c>
      <c r="N137" s="166">
        <v>22.28</v>
      </c>
      <c r="O137" t="s">
        <v>131</v>
      </c>
    </row>
    <row r="138" spans="1:15">
      <c r="A138" s="166" t="s">
        <v>4396</v>
      </c>
      <c r="B138" t="s">
        <v>111</v>
      </c>
      <c r="C138" t="s">
        <v>134</v>
      </c>
      <c r="D138" t="s">
        <v>116</v>
      </c>
      <c r="E138" t="s">
        <v>418</v>
      </c>
      <c r="F138" t="s">
        <v>6</v>
      </c>
      <c r="G138" t="s">
        <v>130</v>
      </c>
      <c r="H138" s="1">
        <v>46122</v>
      </c>
      <c r="I138" t="s">
        <v>4397</v>
      </c>
      <c r="J138" t="s">
        <v>4398</v>
      </c>
      <c r="K138" t="s">
        <v>3853</v>
      </c>
      <c r="L138" t="s">
        <v>622</v>
      </c>
      <c r="M138" t="s">
        <v>851</v>
      </c>
      <c r="N138" s="166">
        <v>24.34</v>
      </c>
      <c r="O138" t="s">
        <v>131</v>
      </c>
    </row>
    <row r="139" spans="1:15">
      <c r="A139" s="166" t="s">
        <v>4399</v>
      </c>
      <c r="B139" t="s">
        <v>111</v>
      </c>
      <c r="C139" t="s">
        <v>641</v>
      </c>
      <c r="D139" t="s">
        <v>116</v>
      </c>
      <c r="E139" t="s">
        <v>418</v>
      </c>
      <c r="F139" t="s">
        <v>6</v>
      </c>
      <c r="G139" t="s">
        <v>130</v>
      </c>
      <c r="H139" s="1">
        <v>46122</v>
      </c>
      <c r="I139" t="s">
        <v>4400</v>
      </c>
      <c r="J139" t="s">
        <v>4401</v>
      </c>
      <c r="K139" t="s">
        <v>2942</v>
      </c>
      <c r="L139" t="s">
        <v>1280</v>
      </c>
      <c r="M139" t="s">
        <v>4402</v>
      </c>
      <c r="N139" s="166">
        <v>23.98</v>
      </c>
      <c r="O139" t="s">
        <v>131</v>
      </c>
    </row>
    <row r="140" spans="1:15">
      <c r="A140" s="166" t="s">
        <v>4403</v>
      </c>
      <c r="B140" t="s">
        <v>111</v>
      </c>
      <c r="C140" t="s">
        <v>133</v>
      </c>
      <c r="D140" t="s">
        <v>116</v>
      </c>
      <c r="E140" t="s">
        <v>418</v>
      </c>
      <c r="F140" t="s">
        <v>6</v>
      </c>
      <c r="G140" t="s">
        <v>130</v>
      </c>
      <c r="H140" s="1">
        <v>46122</v>
      </c>
      <c r="I140" t="s">
        <v>4404</v>
      </c>
      <c r="J140" t="s">
        <v>4405</v>
      </c>
      <c r="K140" t="s">
        <v>4406</v>
      </c>
      <c r="L140" t="s">
        <v>1662</v>
      </c>
      <c r="M140" t="s">
        <v>4407</v>
      </c>
      <c r="N140" s="166">
        <v>23.26</v>
      </c>
      <c r="O140" t="s">
        <v>131</v>
      </c>
    </row>
    <row r="141" spans="1:15">
      <c r="A141" s="166" t="s">
        <v>4408</v>
      </c>
      <c r="B141" t="s">
        <v>111</v>
      </c>
      <c r="C141" t="s">
        <v>134</v>
      </c>
      <c r="D141" t="s">
        <v>116</v>
      </c>
      <c r="E141" t="s">
        <v>418</v>
      </c>
      <c r="F141" t="s">
        <v>6</v>
      </c>
      <c r="G141" t="s">
        <v>130</v>
      </c>
      <c r="H141" s="1">
        <v>46122</v>
      </c>
      <c r="I141" t="s">
        <v>4409</v>
      </c>
      <c r="J141" t="s">
        <v>4410</v>
      </c>
      <c r="K141" t="s">
        <v>519</v>
      </c>
      <c r="L141" t="s">
        <v>622</v>
      </c>
      <c r="M141" t="s">
        <v>673</v>
      </c>
      <c r="N141" s="166">
        <v>23.9</v>
      </c>
      <c r="O141" t="s">
        <v>131</v>
      </c>
    </row>
    <row r="142" spans="1:15">
      <c r="A142" s="166" t="s">
        <v>4411</v>
      </c>
      <c r="B142" t="s">
        <v>111</v>
      </c>
      <c r="C142" t="s">
        <v>641</v>
      </c>
      <c r="D142" t="s">
        <v>116</v>
      </c>
      <c r="E142" t="s">
        <v>418</v>
      </c>
      <c r="F142" t="s">
        <v>6</v>
      </c>
      <c r="G142" t="s">
        <v>130</v>
      </c>
      <c r="H142" s="1">
        <v>46122</v>
      </c>
      <c r="I142" t="s">
        <v>4412</v>
      </c>
      <c r="J142" t="s">
        <v>4413</v>
      </c>
      <c r="K142" t="s">
        <v>3479</v>
      </c>
      <c r="L142" t="s">
        <v>1280</v>
      </c>
      <c r="M142" t="s">
        <v>601</v>
      </c>
      <c r="N142" s="166">
        <v>21.46</v>
      </c>
      <c r="O142" t="s">
        <v>131</v>
      </c>
    </row>
    <row r="143" spans="1:15">
      <c r="A143" s="166" t="s">
        <v>4414</v>
      </c>
      <c r="B143" t="s">
        <v>111</v>
      </c>
      <c r="C143" t="s">
        <v>133</v>
      </c>
      <c r="D143" t="s">
        <v>116</v>
      </c>
      <c r="E143" t="s">
        <v>418</v>
      </c>
      <c r="F143" t="s">
        <v>6</v>
      </c>
      <c r="G143" t="s">
        <v>130</v>
      </c>
      <c r="H143" s="1">
        <v>46122</v>
      </c>
      <c r="I143" t="s">
        <v>4415</v>
      </c>
      <c r="J143" t="s">
        <v>4416</v>
      </c>
      <c r="K143" t="s">
        <v>781</v>
      </c>
      <c r="L143" t="s">
        <v>2004</v>
      </c>
      <c r="M143" t="s">
        <v>2745</v>
      </c>
      <c r="N143" s="166">
        <v>20.78</v>
      </c>
      <c r="O143" t="s">
        <v>131</v>
      </c>
    </row>
    <row r="144" spans="1:15">
      <c r="A144" s="166" t="s">
        <v>4417</v>
      </c>
      <c r="B144" t="s">
        <v>111</v>
      </c>
      <c r="C144" t="s">
        <v>134</v>
      </c>
      <c r="D144" t="s">
        <v>116</v>
      </c>
      <c r="E144" t="s">
        <v>418</v>
      </c>
      <c r="F144" t="s">
        <v>7</v>
      </c>
      <c r="G144" t="s">
        <v>130</v>
      </c>
      <c r="H144" s="1">
        <v>46122</v>
      </c>
      <c r="I144" t="s">
        <v>4418</v>
      </c>
      <c r="J144" t="s">
        <v>4419</v>
      </c>
      <c r="K144" t="s">
        <v>4420</v>
      </c>
      <c r="L144" t="s">
        <v>622</v>
      </c>
      <c r="M144" t="s">
        <v>3283</v>
      </c>
      <c r="N144" s="166">
        <v>23.54</v>
      </c>
      <c r="O144" t="s">
        <v>131</v>
      </c>
    </row>
    <row r="145" spans="1:15">
      <c r="A145" s="166" t="s">
        <v>4421</v>
      </c>
      <c r="B145" t="s">
        <v>111</v>
      </c>
      <c r="C145" t="s">
        <v>641</v>
      </c>
      <c r="D145" t="s">
        <v>116</v>
      </c>
      <c r="E145" t="s">
        <v>418</v>
      </c>
      <c r="F145" t="s">
        <v>7</v>
      </c>
      <c r="G145" t="s">
        <v>130</v>
      </c>
      <c r="H145" s="1">
        <v>46122</v>
      </c>
      <c r="I145" t="s">
        <v>4422</v>
      </c>
      <c r="J145" t="s">
        <v>4423</v>
      </c>
      <c r="K145" t="s">
        <v>485</v>
      </c>
      <c r="L145" t="s">
        <v>1280</v>
      </c>
      <c r="M145" t="s">
        <v>556</v>
      </c>
      <c r="N145" s="166">
        <v>22.44</v>
      </c>
      <c r="O145" t="s">
        <v>131</v>
      </c>
    </row>
    <row r="146" spans="1:15">
      <c r="A146" s="166" t="s">
        <v>4424</v>
      </c>
      <c r="B146" t="s">
        <v>111</v>
      </c>
      <c r="C146" t="s">
        <v>133</v>
      </c>
      <c r="D146" t="s">
        <v>116</v>
      </c>
      <c r="E146" t="s">
        <v>418</v>
      </c>
      <c r="F146" t="s">
        <v>7</v>
      </c>
      <c r="G146" t="s">
        <v>130</v>
      </c>
      <c r="H146" s="1">
        <v>46122</v>
      </c>
      <c r="I146" t="s">
        <v>4425</v>
      </c>
      <c r="J146" t="s">
        <v>4426</v>
      </c>
      <c r="K146" t="s">
        <v>615</v>
      </c>
      <c r="L146" t="s">
        <v>1662</v>
      </c>
      <c r="M146" t="s">
        <v>1267</v>
      </c>
      <c r="N146" s="166">
        <v>19.68</v>
      </c>
      <c r="O146" t="s">
        <v>131</v>
      </c>
    </row>
    <row r="147" spans="1:15">
      <c r="A147" s="166" t="s">
        <v>4427</v>
      </c>
      <c r="B147" t="s">
        <v>111</v>
      </c>
      <c r="C147" t="s">
        <v>134</v>
      </c>
      <c r="D147" t="s">
        <v>116</v>
      </c>
      <c r="E147" t="s">
        <v>418</v>
      </c>
      <c r="F147" t="s">
        <v>7</v>
      </c>
      <c r="G147" t="s">
        <v>130</v>
      </c>
      <c r="H147" s="1">
        <v>46122</v>
      </c>
      <c r="I147" t="s">
        <v>4428</v>
      </c>
      <c r="J147" t="s">
        <v>4429</v>
      </c>
      <c r="K147" t="s">
        <v>1279</v>
      </c>
      <c r="L147" t="s">
        <v>149</v>
      </c>
      <c r="M147" t="s">
        <v>1830</v>
      </c>
      <c r="N147" s="166">
        <v>18.52</v>
      </c>
      <c r="O147" t="s">
        <v>131</v>
      </c>
    </row>
    <row r="148" spans="1:15">
      <c r="A148" s="166" t="s">
        <v>4430</v>
      </c>
      <c r="B148" t="s">
        <v>111</v>
      </c>
      <c r="C148" t="s">
        <v>641</v>
      </c>
      <c r="D148" t="s">
        <v>116</v>
      </c>
      <c r="E148" t="s">
        <v>418</v>
      </c>
      <c r="F148" t="s">
        <v>7</v>
      </c>
      <c r="G148" t="s">
        <v>130</v>
      </c>
      <c r="H148" s="1">
        <v>46122</v>
      </c>
      <c r="I148" t="s">
        <v>4431</v>
      </c>
      <c r="J148" t="s">
        <v>4432</v>
      </c>
      <c r="K148" t="s">
        <v>959</v>
      </c>
      <c r="L148" t="s">
        <v>2267</v>
      </c>
      <c r="M148" t="s">
        <v>153</v>
      </c>
      <c r="N148" s="166">
        <v>15.08</v>
      </c>
      <c r="O148" t="s">
        <v>131</v>
      </c>
    </row>
    <row r="149" spans="1:15">
      <c r="A149" s="166" t="s">
        <v>4433</v>
      </c>
      <c r="B149" t="s">
        <v>111</v>
      </c>
      <c r="C149" t="s">
        <v>133</v>
      </c>
      <c r="D149" t="s">
        <v>116</v>
      </c>
      <c r="E149" t="s">
        <v>418</v>
      </c>
      <c r="F149" t="s">
        <v>7</v>
      </c>
      <c r="G149" t="s">
        <v>130</v>
      </c>
      <c r="H149" s="1">
        <v>46122</v>
      </c>
      <c r="I149" t="s">
        <v>4434</v>
      </c>
      <c r="J149" t="s">
        <v>4435</v>
      </c>
      <c r="K149" t="s">
        <v>4436</v>
      </c>
      <c r="L149" t="s">
        <v>2095</v>
      </c>
      <c r="M149" t="s">
        <v>3857</v>
      </c>
      <c r="N149" s="166">
        <v>17.84</v>
      </c>
      <c r="O149" t="s">
        <v>131</v>
      </c>
    </row>
    <row r="150" spans="1:15">
      <c r="A150" s="166" t="s">
        <v>4437</v>
      </c>
      <c r="B150" t="s">
        <v>111</v>
      </c>
      <c r="C150" t="s">
        <v>134</v>
      </c>
      <c r="D150" t="s">
        <v>116</v>
      </c>
      <c r="E150" t="s">
        <v>418</v>
      </c>
      <c r="F150" t="s">
        <v>7</v>
      </c>
      <c r="G150" t="s">
        <v>130</v>
      </c>
      <c r="H150" s="1">
        <v>46122</v>
      </c>
      <c r="I150" t="s">
        <v>4438</v>
      </c>
      <c r="J150" t="s">
        <v>4439</v>
      </c>
      <c r="K150" t="s">
        <v>1279</v>
      </c>
      <c r="L150" t="s">
        <v>622</v>
      </c>
      <c r="M150" t="s">
        <v>1168</v>
      </c>
      <c r="N150" s="166">
        <v>18.5</v>
      </c>
      <c r="O150" t="s">
        <v>131</v>
      </c>
    </row>
    <row r="151" spans="1:15">
      <c r="A151" s="166" t="s">
        <v>4440</v>
      </c>
      <c r="B151" t="s">
        <v>111</v>
      </c>
      <c r="C151" t="s">
        <v>641</v>
      </c>
      <c r="D151" t="s">
        <v>116</v>
      </c>
      <c r="E151" t="s">
        <v>418</v>
      </c>
      <c r="F151" t="s">
        <v>7</v>
      </c>
      <c r="G151" t="s">
        <v>130</v>
      </c>
      <c r="H151" s="1">
        <v>46122</v>
      </c>
      <c r="I151" t="s">
        <v>4441</v>
      </c>
      <c r="J151" t="s">
        <v>4442</v>
      </c>
      <c r="K151" t="s">
        <v>771</v>
      </c>
      <c r="L151" t="s">
        <v>2127</v>
      </c>
      <c r="M151" t="s">
        <v>1797</v>
      </c>
      <c r="N151" s="166">
        <v>20.260000000000002</v>
      </c>
      <c r="O151" t="s">
        <v>131</v>
      </c>
    </row>
    <row r="152" spans="1:15">
      <c r="A152" s="166" t="s">
        <v>4443</v>
      </c>
      <c r="B152" t="s">
        <v>111</v>
      </c>
      <c r="C152" t="s">
        <v>133</v>
      </c>
      <c r="D152" t="s">
        <v>116</v>
      </c>
      <c r="E152" t="s">
        <v>418</v>
      </c>
      <c r="F152" t="s">
        <v>7</v>
      </c>
      <c r="G152" t="s">
        <v>130</v>
      </c>
      <c r="H152" s="1">
        <v>46122</v>
      </c>
      <c r="I152" t="s">
        <v>4444</v>
      </c>
      <c r="J152" t="s">
        <v>4445</v>
      </c>
      <c r="K152" t="s">
        <v>1144</v>
      </c>
      <c r="L152" t="s">
        <v>1493</v>
      </c>
      <c r="M152" t="s">
        <v>1926</v>
      </c>
      <c r="N152" s="166">
        <v>18.2</v>
      </c>
      <c r="O152" t="s">
        <v>131</v>
      </c>
    </row>
    <row r="153" spans="1:15">
      <c r="A153" s="166" t="s">
        <v>4446</v>
      </c>
      <c r="B153" t="s">
        <v>111</v>
      </c>
      <c r="C153" t="s">
        <v>134</v>
      </c>
      <c r="D153" t="s">
        <v>116</v>
      </c>
      <c r="E153" t="s">
        <v>418</v>
      </c>
      <c r="F153" t="s">
        <v>7</v>
      </c>
      <c r="G153" t="s">
        <v>130</v>
      </c>
      <c r="H153" s="1">
        <v>46122</v>
      </c>
      <c r="I153" t="s">
        <v>4447</v>
      </c>
      <c r="J153" t="s">
        <v>4448</v>
      </c>
      <c r="K153" t="s">
        <v>164</v>
      </c>
      <c r="L153" t="s">
        <v>622</v>
      </c>
      <c r="M153" t="s">
        <v>3024</v>
      </c>
      <c r="N153" s="166">
        <v>20.56</v>
      </c>
      <c r="O153" t="s">
        <v>131</v>
      </c>
    </row>
    <row r="154" spans="1:15">
      <c r="A154" s="166" t="s">
        <v>4449</v>
      </c>
      <c r="B154" t="s">
        <v>111</v>
      </c>
      <c r="C154" t="s">
        <v>133</v>
      </c>
      <c r="D154" t="s">
        <v>116</v>
      </c>
      <c r="E154" t="s">
        <v>418</v>
      </c>
      <c r="F154" t="s">
        <v>6</v>
      </c>
      <c r="G154" t="s">
        <v>130</v>
      </c>
      <c r="H154" s="1">
        <v>46122</v>
      </c>
      <c r="I154" t="s">
        <v>4450</v>
      </c>
      <c r="J154" t="s">
        <v>4451</v>
      </c>
      <c r="K154" t="s">
        <v>2559</v>
      </c>
      <c r="L154" t="s">
        <v>148</v>
      </c>
      <c r="M154" t="s">
        <v>2653</v>
      </c>
      <c r="N154" s="166">
        <v>21.16</v>
      </c>
      <c r="O154" t="s">
        <v>131</v>
      </c>
    </row>
    <row r="155" spans="1:15">
      <c r="A155" s="166" t="s">
        <v>4452</v>
      </c>
      <c r="B155" t="s">
        <v>111</v>
      </c>
      <c r="C155" t="s">
        <v>135</v>
      </c>
      <c r="D155" t="s">
        <v>116</v>
      </c>
      <c r="E155" t="s">
        <v>418</v>
      </c>
      <c r="F155" t="s">
        <v>6</v>
      </c>
      <c r="G155" t="s">
        <v>130</v>
      </c>
      <c r="H155" s="1">
        <v>46122</v>
      </c>
      <c r="I155" t="s">
        <v>4453</v>
      </c>
      <c r="J155" t="s">
        <v>4454</v>
      </c>
      <c r="K155" t="s">
        <v>1251</v>
      </c>
      <c r="L155" t="s">
        <v>2523</v>
      </c>
      <c r="M155" t="s">
        <v>831</v>
      </c>
      <c r="N155" s="166">
        <v>15.8</v>
      </c>
      <c r="O155" t="s">
        <v>131</v>
      </c>
    </row>
    <row r="156" spans="1:15">
      <c r="A156" s="166" t="s">
        <v>4455</v>
      </c>
      <c r="B156" t="s">
        <v>111</v>
      </c>
      <c r="C156" t="s">
        <v>136</v>
      </c>
      <c r="D156" t="s">
        <v>116</v>
      </c>
      <c r="E156" t="s">
        <v>418</v>
      </c>
      <c r="F156" t="s">
        <v>6</v>
      </c>
      <c r="G156" t="s">
        <v>130</v>
      </c>
      <c r="H156" s="1">
        <v>46122</v>
      </c>
      <c r="I156" t="s">
        <v>4456</v>
      </c>
      <c r="J156" t="s">
        <v>4457</v>
      </c>
      <c r="K156" t="s">
        <v>1885</v>
      </c>
      <c r="L156" t="s">
        <v>2058</v>
      </c>
      <c r="M156" t="s">
        <v>623</v>
      </c>
      <c r="N156" s="166">
        <v>20.86</v>
      </c>
      <c r="O156" t="s">
        <v>131</v>
      </c>
    </row>
    <row r="157" spans="1:15">
      <c r="A157" s="166" t="s">
        <v>4458</v>
      </c>
      <c r="B157" t="s">
        <v>111</v>
      </c>
      <c r="C157" t="s">
        <v>135</v>
      </c>
      <c r="D157" t="s">
        <v>116</v>
      </c>
      <c r="E157" t="s">
        <v>418</v>
      </c>
      <c r="F157" t="s">
        <v>6</v>
      </c>
      <c r="G157" t="s">
        <v>130</v>
      </c>
      <c r="H157" s="1">
        <v>46122</v>
      </c>
      <c r="I157" t="s">
        <v>4459</v>
      </c>
      <c r="J157" t="s">
        <v>4460</v>
      </c>
      <c r="K157" t="s">
        <v>4461</v>
      </c>
      <c r="L157" t="s">
        <v>2639</v>
      </c>
      <c r="M157" t="s">
        <v>4462</v>
      </c>
      <c r="N157" s="166">
        <v>14.06</v>
      </c>
      <c r="O157" t="s">
        <v>131</v>
      </c>
    </row>
    <row r="158" spans="1:15">
      <c r="A158" s="166" t="s">
        <v>1358</v>
      </c>
      <c r="B158" t="s">
        <v>111</v>
      </c>
      <c r="C158" t="s">
        <v>136</v>
      </c>
      <c r="D158" t="s">
        <v>116</v>
      </c>
      <c r="E158" t="s">
        <v>418</v>
      </c>
      <c r="F158" t="s">
        <v>6</v>
      </c>
      <c r="G158" t="s">
        <v>130</v>
      </c>
      <c r="H158" s="1">
        <v>46122</v>
      </c>
      <c r="I158" t="s">
        <v>4463</v>
      </c>
      <c r="J158" t="s">
        <v>4464</v>
      </c>
      <c r="K158" t="s">
        <v>2965</v>
      </c>
      <c r="L158" t="s">
        <v>1845</v>
      </c>
      <c r="M158" t="s">
        <v>471</v>
      </c>
      <c r="N158" s="166">
        <v>22.04</v>
      </c>
      <c r="O158" t="s">
        <v>131</v>
      </c>
    </row>
    <row r="159" spans="1:15">
      <c r="A159" s="166" t="s">
        <v>4465</v>
      </c>
      <c r="B159" t="s">
        <v>111</v>
      </c>
      <c r="C159" t="s">
        <v>133</v>
      </c>
      <c r="D159" t="s">
        <v>116</v>
      </c>
      <c r="E159" t="s">
        <v>418</v>
      </c>
      <c r="F159" t="s">
        <v>6</v>
      </c>
      <c r="G159" t="s">
        <v>130</v>
      </c>
      <c r="H159" s="1">
        <v>46122</v>
      </c>
      <c r="I159" t="s">
        <v>4466</v>
      </c>
      <c r="J159" t="s">
        <v>4467</v>
      </c>
      <c r="K159" t="s">
        <v>4468</v>
      </c>
      <c r="L159" t="s">
        <v>761</v>
      </c>
      <c r="M159" t="s">
        <v>579</v>
      </c>
      <c r="N159" s="166">
        <v>21.22</v>
      </c>
      <c r="O159" t="s">
        <v>131</v>
      </c>
    </row>
    <row r="160" spans="1:15">
      <c r="A160" s="166" t="s">
        <v>4469</v>
      </c>
      <c r="B160" t="s">
        <v>111</v>
      </c>
      <c r="C160" t="s">
        <v>135</v>
      </c>
      <c r="D160" t="s">
        <v>116</v>
      </c>
      <c r="E160" t="s">
        <v>418</v>
      </c>
      <c r="F160" t="s">
        <v>6</v>
      </c>
      <c r="G160" t="s">
        <v>130</v>
      </c>
      <c r="H160" s="1">
        <v>46122</v>
      </c>
      <c r="I160" t="s">
        <v>4470</v>
      </c>
      <c r="J160" t="s">
        <v>4471</v>
      </c>
      <c r="K160" t="s">
        <v>160</v>
      </c>
      <c r="L160" t="s">
        <v>1364</v>
      </c>
      <c r="M160" t="s">
        <v>3024</v>
      </c>
      <c r="N160" s="166">
        <v>20.56</v>
      </c>
      <c r="O160" t="s">
        <v>131</v>
      </c>
    </row>
    <row r="161" spans="1:15">
      <c r="A161" s="166" t="s">
        <v>4472</v>
      </c>
      <c r="B161" t="s">
        <v>111</v>
      </c>
      <c r="C161" t="s">
        <v>133</v>
      </c>
      <c r="D161" t="s">
        <v>116</v>
      </c>
      <c r="E161" t="s">
        <v>418</v>
      </c>
      <c r="F161" t="s">
        <v>6</v>
      </c>
      <c r="G161" t="s">
        <v>130</v>
      </c>
      <c r="H161" s="1">
        <v>46122</v>
      </c>
      <c r="I161" t="s">
        <v>4473</v>
      </c>
      <c r="J161" t="s">
        <v>4474</v>
      </c>
      <c r="K161" t="s">
        <v>589</v>
      </c>
      <c r="L161" t="s">
        <v>2523</v>
      </c>
      <c r="M161" t="s">
        <v>1237</v>
      </c>
      <c r="N161" s="166">
        <v>20.059999999999999</v>
      </c>
      <c r="O161" t="s">
        <v>131</v>
      </c>
    </row>
    <row r="162" spans="1:15">
      <c r="A162" s="166" t="s">
        <v>4475</v>
      </c>
      <c r="B162" t="s">
        <v>111</v>
      </c>
      <c r="C162" t="s">
        <v>136</v>
      </c>
      <c r="D162" t="s">
        <v>116</v>
      </c>
      <c r="E162" t="s">
        <v>418</v>
      </c>
      <c r="F162" t="s">
        <v>6</v>
      </c>
      <c r="G162" t="s">
        <v>130</v>
      </c>
      <c r="H162" s="1">
        <v>46122</v>
      </c>
      <c r="I162" t="s">
        <v>4476</v>
      </c>
      <c r="J162" t="s">
        <v>4477</v>
      </c>
      <c r="K162" t="s">
        <v>1205</v>
      </c>
      <c r="L162" t="s">
        <v>1062</v>
      </c>
      <c r="M162" t="s">
        <v>187</v>
      </c>
      <c r="N162" s="166">
        <v>22.74</v>
      </c>
      <c r="O162" t="s">
        <v>131</v>
      </c>
    </row>
    <row r="163" spans="1:15">
      <c r="A163" s="166" t="s">
        <v>4478</v>
      </c>
      <c r="B163" t="s">
        <v>111</v>
      </c>
      <c r="C163" t="s">
        <v>135</v>
      </c>
      <c r="D163" t="s">
        <v>116</v>
      </c>
      <c r="E163" t="s">
        <v>418</v>
      </c>
      <c r="F163" t="s">
        <v>6</v>
      </c>
      <c r="G163" t="s">
        <v>130</v>
      </c>
      <c r="H163" s="1">
        <v>46122</v>
      </c>
      <c r="I163" t="s">
        <v>4479</v>
      </c>
      <c r="J163" t="s">
        <v>4480</v>
      </c>
      <c r="K163" t="s">
        <v>3592</v>
      </c>
      <c r="L163" t="s">
        <v>1484</v>
      </c>
      <c r="M163" t="s">
        <v>2437</v>
      </c>
      <c r="N163" s="166">
        <v>20.52</v>
      </c>
      <c r="O163" t="s">
        <v>131</v>
      </c>
    </row>
    <row r="164" spans="1:15">
      <c r="A164" s="166" t="s">
        <v>4481</v>
      </c>
      <c r="B164" t="s">
        <v>111</v>
      </c>
      <c r="C164" t="s">
        <v>133</v>
      </c>
      <c r="D164" t="s">
        <v>116</v>
      </c>
      <c r="E164" t="s">
        <v>418</v>
      </c>
      <c r="F164" t="s">
        <v>6</v>
      </c>
      <c r="G164" t="s">
        <v>130</v>
      </c>
      <c r="H164" s="1">
        <v>46122</v>
      </c>
      <c r="I164" t="s">
        <v>4482</v>
      </c>
      <c r="J164" t="s">
        <v>4483</v>
      </c>
      <c r="K164" t="s">
        <v>1463</v>
      </c>
      <c r="L164" t="s">
        <v>927</v>
      </c>
      <c r="M164" t="s">
        <v>450</v>
      </c>
      <c r="N164" s="166">
        <v>21.52</v>
      </c>
      <c r="O164" t="s">
        <v>131</v>
      </c>
    </row>
    <row r="165" spans="1:15">
      <c r="A165" s="166" t="s">
        <v>4484</v>
      </c>
      <c r="B165" t="s">
        <v>111</v>
      </c>
      <c r="C165" t="s">
        <v>136</v>
      </c>
      <c r="D165" t="s">
        <v>116</v>
      </c>
      <c r="E165" t="s">
        <v>418</v>
      </c>
      <c r="F165" t="s">
        <v>6</v>
      </c>
      <c r="G165" t="s">
        <v>130</v>
      </c>
      <c r="H165" s="1">
        <v>46122</v>
      </c>
      <c r="I165" t="s">
        <v>4485</v>
      </c>
      <c r="J165" t="s">
        <v>4486</v>
      </c>
      <c r="K165" t="s">
        <v>2079</v>
      </c>
      <c r="L165" t="s">
        <v>2143</v>
      </c>
      <c r="M165" t="s">
        <v>1057</v>
      </c>
      <c r="N165" s="166">
        <v>20.14</v>
      </c>
      <c r="O165" t="s">
        <v>131</v>
      </c>
    </row>
    <row r="166" spans="1:15">
      <c r="A166" s="166" t="s">
        <v>4487</v>
      </c>
      <c r="B166" t="s">
        <v>111</v>
      </c>
      <c r="C166" t="s">
        <v>135</v>
      </c>
      <c r="D166" t="s">
        <v>116</v>
      </c>
      <c r="E166" t="s">
        <v>418</v>
      </c>
      <c r="F166" t="s">
        <v>6</v>
      </c>
      <c r="G166" t="s">
        <v>130</v>
      </c>
      <c r="H166" s="1">
        <v>46122</v>
      </c>
      <c r="I166" t="s">
        <v>4488</v>
      </c>
      <c r="J166" t="s">
        <v>4489</v>
      </c>
      <c r="K166" t="s">
        <v>1126</v>
      </c>
      <c r="L166" t="s">
        <v>2848</v>
      </c>
      <c r="M166" t="s">
        <v>2154</v>
      </c>
      <c r="N166" s="166">
        <v>20.18</v>
      </c>
      <c r="O166" t="s">
        <v>131</v>
      </c>
    </row>
    <row r="167" spans="1:15">
      <c r="A167" s="166" t="s">
        <v>4490</v>
      </c>
      <c r="B167" t="s">
        <v>111</v>
      </c>
      <c r="C167" t="s">
        <v>133</v>
      </c>
      <c r="D167" t="s">
        <v>116</v>
      </c>
      <c r="E167" t="s">
        <v>418</v>
      </c>
      <c r="F167" t="s">
        <v>6</v>
      </c>
      <c r="G167" t="s">
        <v>130</v>
      </c>
      <c r="H167" s="1">
        <v>46122</v>
      </c>
      <c r="I167" t="s">
        <v>4491</v>
      </c>
      <c r="J167" t="s">
        <v>4492</v>
      </c>
      <c r="K167" t="s">
        <v>4493</v>
      </c>
      <c r="L167" t="s">
        <v>3075</v>
      </c>
      <c r="M167" t="s">
        <v>460</v>
      </c>
      <c r="N167" s="166">
        <v>21.28</v>
      </c>
      <c r="O167" t="s">
        <v>131</v>
      </c>
    </row>
    <row r="168" spans="1:15">
      <c r="A168" s="166" t="s">
        <v>4494</v>
      </c>
      <c r="B168" t="s">
        <v>111</v>
      </c>
      <c r="C168" t="s">
        <v>136</v>
      </c>
      <c r="D168" t="s">
        <v>116</v>
      </c>
      <c r="E168" t="s">
        <v>418</v>
      </c>
      <c r="F168" t="s">
        <v>6</v>
      </c>
      <c r="G168" t="s">
        <v>130</v>
      </c>
      <c r="H168" s="1">
        <v>46122</v>
      </c>
      <c r="I168" t="s">
        <v>4495</v>
      </c>
      <c r="J168" t="s">
        <v>4496</v>
      </c>
      <c r="K168" t="s">
        <v>4388</v>
      </c>
      <c r="L168" t="s">
        <v>837</v>
      </c>
      <c r="M168" t="s">
        <v>3646</v>
      </c>
      <c r="N168" s="166">
        <v>20</v>
      </c>
      <c r="O168" t="s">
        <v>131</v>
      </c>
    </row>
    <row r="169" spans="1:15">
      <c r="A169" s="166" t="s">
        <v>4497</v>
      </c>
      <c r="B169" t="s">
        <v>111</v>
      </c>
      <c r="C169" t="s">
        <v>135</v>
      </c>
      <c r="D169" t="s">
        <v>116</v>
      </c>
      <c r="E169" t="s">
        <v>418</v>
      </c>
      <c r="F169" t="s">
        <v>6</v>
      </c>
      <c r="G169" t="s">
        <v>130</v>
      </c>
      <c r="H169" s="1">
        <v>46122</v>
      </c>
      <c r="I169" t="s">
        <v>4498</v>
      </c>
      <c r="J169" t="s">
        <v>4499</v>
      </c>
      <c r="K169" t="s">
        <v>766</v>
      </c>
      <c r="L169" t="s">
        <v>143</v>
      </c>
      <c r="M169" t="s">
        <v>1866</v>
      </c>
      <c r="N169" s="166">
        <v>22.28</v>
      </c>
      <c r="O169" t="s">
        <v>131</v>
      </c>
    </row>
    <row r="170" spans="1:15">
      <c r="A170" s="166" t="s">
        <v>4500</v>
      </c>
      <c r="B170" t="s">
        <v>111</v>
      </c>
      <c r="C170" t="s">
        <v>133</v>
      </c>
      <c r="D170" t="s">
        <v>116</v>
      </c>
      <c r="E170" t="s">
        <v>418</v>
      </c>
      <c r="F170" t="s">
        <v>6</v>
      </c>
      <c r="G170" t="s">
        <v>130</v>
      </c>
      <c r="H170" s="1">
        <v>46122</v>
      </c>
      <c r="I170" t="s">
        <v>4501</v>
      </c>
      <c r="J170" t="s">
        <v>4502</v>
      </c>
      <c r="K170" t="s">
        <v>3282</v>
      </c>
      <c r="L170" t="s">
        <v>2450</v>
      </c>
      <c r="M170" t="s">
        <v>3145</v>
      </c>
      <c r="N170" s="166">
        <v>21.54</v>
      </c>
      <c r="O170" t="s">
        <v>131</v>
      </c>
    </row>
    <row r="171" spans="1:15">
      <c r="A171" s="166" t="s">
        <v>4503</v>
      </c>
      <c r="B171" t="s">
        <v>111</v>
      </c>
      <c r="C171" t="s">
        <v>136</v>
      </c>
      <c r="D171" t="s">
        <v>116</v>
      </c>
      <c r="E171" t="s">
        <v>418</v>
      </c>
      <c r="F171" t="s">
        <v>6</v>
      </c>
      <c r="G171" t="s">
        <v>130</v>
      </c>
      <c r="H171" s="1">
        <v>46122</v>
      </c>
      <c r="I171" t="s">
        <v>4504</v>
      </c>
      <c r="J171" t="s">
        <v>4505</v>
      </c>
      <c r="K171" t="s">
        <v>4103</v>
      </c>
      <c r="L171" t="s">
        <v>3192</v>
      </c>
      <c r="M171" t="s">
        <v>579</v>
      </c>
      <c r="N171" s="166">
        <v>21.22</v>
      </c>
      <c r="O171" t="s">
        <v>131</v>
      </c>
    </row>
    <row r="172" spans="1:15">
      <c r="A172" s="166" t="s">
        <v>4506</v>
      </c>
      <c r="B172" t="s">
        <v>111</v>
      </c>
      <c r="C172" t="s">
        <v>135</v>
      </c>
      <c r="D172" t="s">
        <v>116</v>
      </c>
      <c r="E172" t="s">
        <v>418</v>
      </c>
      <c r="F172" t="s">
        <v>6</v>
      </c>
      <c r="G172" t="s">
        <v>130</v>
      </c>
      <c r="H172" s="1">
        <v>46122</v>
      </c>
      <c r="I172" t="s">
        <v>4507</v>
      </c>
      <c r="J172" t="s">
        <v>4508</v>
      </c>
      <c r="K172" t="s">
        <v>554</v>
      </c>
      <c r="L172" t="s">
        <v>1109</v>
      </c>
      <c r="M172" t="s">
        <v>3734</v>
      </c>
      <c r="N172" s="166">
        <v>22.02</v>
      </c>
      <c r="O172" t="s">
        <v>131</v>
      </c>
    </row>
    <row r="173" spans="1:15">
      <c r="A173" s="166" t="s">
        <v>4509</v>
      </c>
      <c r="B173" t="s">
        <v>111</v>
      </c>
      <c r="C173" t="s">
        <v>133</v>
      </c>
      <c r="D173" t="s">
        <v>116</v>
      </c>
      <c r="E173" t="s">
        <v>418</v>
      </c>
      <c r="F173" t="s">
        <v>6</v>
      </c>
      <c r="G173" t="s">
        <v>130</v>
      </c>
      <c r="H173" s="1">
        <v>46122</v>
      </c>
      <c r="I173" t="s">
        <v>4510</v>
      </c>
      <c r="J173" t="s">
        <v>4511</v>
      </c>
      <c r="K173" t="s">
        <v>4388</v>
      </c>
      <c r="L173" t="s">
        <v>2678</v>
      </c>
      <c r="M173" t="s">
        <v>466</v>
      </c>
      <c r="N173" s="166">
        <v>20.32</v>
      </c>
      <c r="O173" t="s">
        <v>131</v>
      </c>
    </row>
    <row r="174" spans="1:15">
      <c r="A174" s="166" t="s">
        <v>4512</v>
      </c>
      <c r="B174" t="s">
        <v>111</v>
      </c>
      <c r="C174" t="s">
        <v>136</v>
      </c>
      <c r="D174" t="s">
        <v>116</v>
      </c>
      <c r="E174" t="s">
        <v>418</v>
      </c>
      <c r="F174" t="s">
        <v>6</v>
      </c>
      <c r="G174" t="s">
        <v>130</v>
      </c>
      <c r="H174" s="1">
        <v>46122</v>
      </c>
      <c r="I174" t="s">
        <v>4513</v>
      </c>
      <c r="J174" t="s">
        <v>4514</v>
      </c>
      <c r="K174" t="s">
        <v>1451</v>
      </c>
      <c r="L174" t="s">
        <v>2577</v>
      </c>
      <c r="M174" t="s">
        <v>1237</v>
      </c>
      <c r="N174" s="166">
        <v>20.059999999999999</v>
      </c>
      <c r="O174" t="s">
        <v>131</v>
      </c>
    </row>
    <row r="175" spans="1:15">
      <c r="A175" s="166" t="s">
        <v>4515</v>
      </c>
      <c r="B175" t="s">
        <v>111</v>
      </c>
      <c r="C175" t="s">
        <v>135</v>
      </c>
      <c r="D175" t="s">
        <v>116</v>
      </c>
      <c r="E175" t="s">
        <v>418</v>
      </c>
      <c r="F175" t="s">
        <v>6</v>
      </c>
      <c r="G175" t="s">
        <v>130</v>
      </c>
      <c r="H175" s="1">
        <v>46122</v>
      </c>
      <c r="I175" t="s">
        <v>4516</v>
      </c>
      <c r="J175" t="s">
        <v>4517</v>
      </c>
      <c r="K175" t="s">
        <v>159</v>
      </c>
      <c r="L175" t="s">
        <v>616</v>
      </c>
      <c r="M175" t="s">
        <v>3283</v>
      </c>
      <c r="N175" s="166">
        <v>23.54</v>
      </c>
      <c r="O175" t="s">
        <v>131</v>
      </c>
    </row>
    <row r="176" spans="1:15">
      <c r="A176" s="166" t="s">
        <v>4518</v>
      </c>
      <c r="B176" t="s">
        <v>111</v>
      </c>
      <c r="C176" t="s">
        <v>133</v>
      </c>
      <c r="D176" t="s">
        <v>116</v>
      </c>
      <c r="E176" t="s">
        <v>418</v>
      </c>
      <c r="F176" t="s">
        <v>6</v>
      </c>
      <c r="G176" t="s">
        <v>130</v>
      </c>
      <c r="H176" s="1">
        <v>46122</v>
      </c>
      <c r="I176" t="s">
        <v>4519</v>
      </c>
      <c r="J176" t="s">
        <v>4520</v>
      </c>
      <c r="K176" t="s">
        <v>205</v>
      </c>
      <c r="L176" t="s">
        <v>3534</v>
      </c>
      <c r="M176" t="s">
        <v>4521</v>
      </c>
      <c r="N176" s="166">
        <v>18.46</v>
      </c>
      <c r="O176" t="s">
        <v>131</v>
      </c>
    </row>
    <row r="177" spans="1:15">
      <c r="A177" s="166" t="s">
        <v>4522</v>
      </c>
      <c r="B177" t="s">
        <v>111</v>
      </c>
      <c r="C177" t="s">
        <v>136</v>
      </c>
      <c r="D177" t="s">
        <v>116</v>
      </c>
      <c r="E177" t="s">
        <v>418</v>
      </c>
      <c r="F177" t="s">
        <v>6</v>
      </c>
      <c r="G177" t="s">
        <v>130</v>
      </c>
      <c r="H177" s="1">
        <v>46122</v>
      </c>
      <c r="I177" t="s">
        <v>4523</v>
      </c>
      <c r="J177" t="s">
        <v>4524</v>
      </c>
      <c r="K177" t="s">
        <v>627</v>
      </c>
      <c r="L177" t="s">
        <v>1830</v>
      </c>
      <c r="M177" t="s">
        <v>2450</v>
      </c>
      <c r="N177" s="166">
        <v>17.64</v>
      </c>
      <c r="O177" t="s">
        <v>131</v>
      </c>
    </row>
    <row r="178" spans="1:15">
      <c r="A178" s="166" t="s">
        <v>2292</v>
      </c>
      <c r="B178" t="s">
        <v>111</v>
      </c>
      <c r="C178" t="s">
        <v>135</v>
      </c>
      <c r="D178" t="s">
        <v>116</v>
      </c>
      <c r="E178" t="s">
        <v>418</v>
      </c>
      <c r="F178" t="s">
        <v>6</v>
      </c>
      <c r="G178" t="s">
        <v>130</v>
      </c>
      <c r="H178" s="1">
        <v>46122</v>
      </c>
      <c r="I178" t="s">
        <v>4525</v>
      </c>
      <c r="J178" t="s">
        <v>4526</v>
      </c>
      <c r="K178" t="s">
        <v>4527</v>
      </c>
      <c r="L178" t="s">
        <v>1835</v>
      </c>
      <c r="M178" t="s">
        <v>628</v>
      </c>
      <c r="N178" s="166">
        <v>20.48</v>
      </c>
      <c r="O178" t="s">
        <v>131</v>
      </c>
    </row>
    <row r="179" spans="1:15">
      <c r="A179" s="166" t="s">
        <v>4528</v>
      </c>
      <c r="B179" t="s">
        <v>111</v>
      </c>
      <c r="C179" t="s">
        <v>133</v>
      </c>
      <c r="D179" t="s">
        <v>116</v>
      </c>
      <c r="E179" t="s">
        <v>418</v>
      </c>
      <c r="F179" t="s">
        <v>6</v>
      </c>
      <c r="G179" t="s">
        <v>130</v>
      </c>
      <c r="H179" s="1">
        <v>46122</v>
      </c>
      <c r="I179" t="s">
        <v>4529</v>
      </c>
      <c r="J179" t="s">
        <v>4530</v>
      </c>
      <c r="K179" t="s">
        <v>2629</v>
      </c>
      <c r="L179" t="s">
        <v>611</v>
      </c>
      <c r="M179" t="s">
        <v>4531</v>
      </c>
      <c r="N179" s="166">
        <v>25.14</v>
      </c>
      <c r="O179" t="s">
        <v>131</v>
      </c>
    </row>
    <row r="180" spans="1:15">
      <c r="A180" s="166" t="s">
        <v>4532</v>
      </c>
      <c r="B180" t="s">
        <v>111</v>
      </c>
      <c r="C180" t="s">
        <v>136</v>
      </c>
      <c r="D180" t="s">
        <v>116</v>
      </c>
      <c r="E180" t="s">
        <v>418</v>
      </c>
      <c r="F180" t="s">
        <v>6</v>
      </c>
      <c r="G180" t="s">
        <v>130</v>
      </c>
      <c r="H180" s="1">
        <v>46122</v>
      </c>
      <c r="I180" t="s">
        <v>4533</v>
      </c>
      <c r="J180" t="s">
        <v>4534</v>
      </c>
      <c r="K180" t="s">
        <v>1066</v>
      </c>
      <c r="L180" t="s">
        <v>1369</v>
      </c>
      <c r="M180" t="s">
        <v>786</v>
      </c>
      <c r="N180" s="166">
        <v>15.72</v>
      </c>
      <c r="O180" t="s">
        <v>131</v>
      </c>
    </row>
    <row r="181" spans="1:15">
      <c r="A181" s="166" t="s">
        <v>4535</v>
      </c>
      <c r="B181" t="s">
        <v>111</v>
      </c>
      <c r="C181" t="s">
        <v>135</v>
      </c>
      <c r="D181" t="s">
        <v>116</v>
      </c>
      <c r="E181" t="s">
        <v>418</v>
      </c>
      <c r="F181" t="s">
        <v>6</v>
      </c>
      <c r="G181" t="s">
        <v>130</v>
      </c>
      <c r="H181" s="1">
        <v>46122</v>
      </c>
      <c r="I181" t="s">
        <v>4536</v>
      </c>
      <c r="J181" t="s">
        <v>4537</v>
      </c>
      <c r="K181" t="s">
        <v>2741</v>
      </c>
      <c r="L181" t="s">
        <v>672</v>
      </c>
      <c r="M181" t="s">
        <v>3748</v>
      </c>
      <c r="N181" s="166">
        <v>23.76</v>
      </c>
      <c r="O181" t="s">
        <v>131</v>
      </c>
    </row>
    <row r="182" spans="1:15">
      <c r="A182" s="166" t="s">
        <v>4538</v>
      </c>
      <c r="B182" t="s">
        <v>111</v>
      </c>
      <c r="C182" t="s">
        <v>133</v>
      </c>
      <c r="D182" t="s">
        <v>116</v>
      </c>
      <c r="E182" t="s">
        <v>418</v>
      </c>
      <c r="F182" t="s">
        <v>6</v>
      </c>
      <c r="G182" t="s">
        <v>130</v>
      </c>
      <c r="H182" s="1">
        <v>46122</v>
      </c>
      <c r="I182" t="s">
        <v>4539</v>
      </c>
      <c r="J182" t="s">
        <v>4540</v>
      </c>
      <c r="K182" t="s">
        <v>178</v>
      </c>
      <c r="L182" t="s">
        <v>3229</v>
      </c>
      <c r="M182" t="s">
        <v>2091</v>
      </c>
      <c r="N182" s="166">
        <v>18.02</v>
      </c>
      <c r="O182" t="s">
        <v>131</v>
      </c>
    </row>
    <row r="183" spans="1:15">
      <c r="A183" s="166" t="s">
        <v>4541</v>
      </c>
      <c r="B183" t="s">
        <v>111</v>
      </c>
      <c r="C183" t="s">
        <v>136</v>
      </c>
      <c r="D183" t="s">
        <v>116</v>
      </c>
      <c r="E183" t="s">
        <v>418</v>
      </c>
      <c r="F183" t="s">
        <v>6</v>
      </c>
      <c r="G183" t="s">
        <v>130</v>
      </c>
      <c r="H183" s="1">
        <v>46122</v>
      </c>
      <c r="I183" t="s">
        <v>4542</v>
      </c>
      <c r="J183" t="s">
        <v>4543</v>
      </c>
      <c r="K183" t="s">
        <v>236</v>
      </c>
      <c r="L183" t="s">
        <v>3898</v>
      </c>
      <c r="M183" t="s">
        <v>1934</v>
      </c>
      <c r="N183" s="166">
        <v>19.62</v>
      </c>
      <c r="O183" t="s">
        <v>131</v>
      </c>
    </row>
    <row r="184" spans="1:15">
      <c r="A184" s="166" t="s">
        <v>4544</v>
      </c>
      <c r="B184" t="s">
        <v>111</v>
      </c>
      <c r="C184" t="s">
        <v>135</v>
      </c>
      <c r="D184" t="s">
        <v>116</v>
      </c>
      <c r="E184" t="s">
        <v>418</v>
      </c>
      <c r="F184" t="s">
        <v>6</v>
      </c>
      <c r="G184" t="s">
        <v>130</v>
      </c>
      <c r="H184" s="1">
        <v>46123</v>
      </c>
      <c r="I184" t="s">
        <v>4545</v>
      </c>
      <c r="J184" t="s">
        <v>4546</v>
      </c>
      <c r="K184" t="s">
        <v>534</v>
      </c>
      <c r="L184" t="s">
        <v>2090</v>
      </c>
      <c r="M184" t="s">
        <v>176</v>
      </c>
      <c r="N184" s="166">
        <v>23.02</v>
      </c>
      <c r="O184" t="s">
        <v>131</v>
      </c>
    </row>
    <row r="185" spans="1:15">
      <c r="A185" s="166" t="s">
        <v>4547</v>
      </c>
      <c r="B185" t="s">
        <v>111</v>
      </c>
      <c r="C185" t="s">
        <v>136</v>
      </c>
      <c r="D185" t="s">
        <v>116</v>
      </c>
      <c r="E185" t="s">
        <v>418</v>
      </c>
      <c r="F185" t="s">
        <v>6</v>
      </c>
      <c r="G185" t="s">
        <v>130</v>
      </c>
      <c r="H185" s="1">
        <v>46123</v>
      </c>
      <c r="I185" t="s">
        <v>4548</v>
      </c>
      <c r="J185" t="s">
        <v>4549</v>
      </c>
      <c r="K185" t="s">
        <v>192</v>
      </c>
      <c r="L185" t="s">
        <v>1577</v>
      </c>
      <c r="M185" t="s">
        <v>1430</v>
      </c>
      <c r="N185" s="166">
        <v>18.899999999999999</v>
      </c>
      <c r="O185" t="s">
        <v>131</v>
      </c>
    </row>
    <row r="186" spans="1:15">
      <c r="A186" s="166" t="s">
        <v>4550</v>
      </c>
      <c r="B186" t="s">
        <v>111</v>
      </c>
      <c r="C186" t="s">
        <v>133</v>
      </c>
      <c r="D186" t="s">
        <v>116</v>
      </c>
      <c r="E186" t="s">
        <v>418</v>
      </c>
      <c r="F186" t="s">
        <v>6</v>
      </c>
      <c r="G186" t="s">
        <v>130</v>
      </c>
      <c r="H186" s="1">
        <v>46123</v>
      </c>
      <c r="I186" t="s">
        <v>4551</v>
      </c>
      <c r="J186" t="s">
        <v>4552</v>
      </c>
      <c r="K186" t="s">
        <v>475</v>
      </c>
      <c r="L186" t="s">
        <v>856</v>
      </c>
      <c r="M186" t="s">
        <v>773</v>
      </c>
      <c r="N186" s="166">
        <v>20.66</v>
      </c>
      <c r="O186" t="s">
        <v>131</v>
      </c>
    </row>
    <row r="187" spans="1:15">
      <c r="A187" s="166" t="s">
        <v>4553</v>
      </c>
      <c r="B187" t="s">
        <v>111</v>
      </c>
      <c r="C187" t="s">
        <v>135</v>
      </c>
      <c r="D187" t="s">
        <v>116</v>
      </c>
      <c r="E187" t="s">
        <v>418</v>
      </c>
      <c r="F187" t="s">
        <v>6</v>
      </c>
      <c r="G187" t="s">
        <v>130</v>
      </c>
      <c r="H187" s="1">
        <v>46123</v>
      </c>
      <c r="I187" t="s">
        <v>4554</v>
      </c>
      <c r="J187" t="s">
        <v>4555</v>
      </c>
      <c r="K187" t="s">
        <v>237</v>
      </c>
      <c r="L187" t="s">
        <v>4556</v>
      </c>
      <c r="M187" t="s">
        <v>673</v>
      </c>
      <c r="N187" s="166">
        <v>23.9</v>
      </c>
      <c r="O187" t="s">
        <v>131</v>
      </c>
    </row>
    <row r="188" spans="1:15">
      <c r="A188" s="166" t="s">
        <v>4557</v>
      </c>
      <c r="B188" t="s">
        <v>111</v>
      </c>
      <c r="C188" t="s">
        <v>136</v>
      </c>
      <c r="D188" t="s">
        <v>116</v>
      </c>
      <c r="E188" t="s">
        <v>418</v>
      </c>
      <c r="F188" t="s">
        <v>6</v>
      </c>
      <c r="G188" t="s">
        <v>130</v>
      </c>
      <c r="H188" s="1">
        <v>46123</v>
      </c>
      <c r="I188" t="s">
        <v>4558</v>
      </c>
      <c r="J188" t="s">
        <v>4559</v>
      </c>
      <c r="K188" t="s">
        <v>4560</v>
      </c>
      <c r="L188" t="s">
        <v>1315</v>
      </c>
      <c r="M188" t="s">
        <v>782</v>
      </c>
      <c r="N188" s="166">
        <v>21.92</v>
      </c>
      <c r="O188" t="s">
        <v>131</v>
      </c>
    </row>
    <row r="189" spans="1:15">
      <c r="A189" s="166" t="s">
        <v>4561</v>
      </c>
      <c r="B189" t="s">
        <v>111</v>
      </c>
      <c r="C189" t="s">
        <v>133</v>
      </c>
      <c r="D189" t="s">
        <v>116</v>
      </c>
      <c r="E189" t="s">
        <v>418</v>
      </c>
      <c r="F189" t="s">
        <v>6</v>
      </c>
      <c r="G189" t="s">
        <v>130</v>
      </c>
      <c r="H189" s="1">
        <v>46123</v>
      </c>
      <c r="I189" t="s">
        <v>4562</v>
      </c>
      <c r="J189" t="s">
        <v>4563</v>
      </c>
      <c r="K189" t="s">
        <v>865</v>
      </c>
      <c r="L189" t="s">
        <v>3295</v>
      </c>
      <c r="M189" t="s">
        <v>707</v>
      </c>
      <c r="N189" s="166">
        <v>25.54</v>
      </c>
      <c r="O189" t="s">
        <v>131</v>
      </c>
    </row>
    <row r="190" spans="1:15">
      <c r="A190" s="166" t="s">
        <v>4564</v>
      </c>
      <c r="B190" t="s">
        <v>111</v>
      </c>
      <c r="C190" t="s">
        <v>135</v>
      </c>
      <c r="D190" t="s">
        <v>116</v>
      </c>
      <c r="E190" t="s">
        <v>418</v>
      </c>
      <c r="F190" t="s">
        <v>6</v>
      </c>
      <c r="G190" t="s">
        <v>130</v>
      </c>
      <c r="H190" s="1">
        <v>46123</v>
      </c>
      <c r="I190" t="s">
        <v>4565</v>
      </c>
      <c r="J190" t="s">
        <v>4566</v>
      </c>
      <c r="K190" t="s">
        <v>3324</v>
      </c>
      <c r="L190" t="s">
        <v>3152</v>
      </c>
      <c r="M190" t="s">
        <v>1723</v>
      </c>
      <c r="N190" s="166">
        <v>25.48</v>
      </c>
      <c r="O190" t="s">
        <v>131</v>
      </c>
    </row>
    <row r="191" spans="1:15">
      <c r="A191" s="166" t="s">
        <v>4567</v>
      </c>
      <c r="B191" t="s">
        <v>111</v>
      </c>
      <c r="C191" t="s">
        <v>136</v>
      </c>
      <c r="D191" t="s">
        <v>116</v>
      </c>
      <c r="E191" t="s">
        <v>418</v>
      </c>
      <c r="F191" t="s">
        <v>6</v>
      </c>
      <c r="G191" t="s">
        <v>130</v>
      </c>
      <c r="H191" s="1">
        <v>46123</v>
      </c>
      <c r="I191" t="s">
        <v>4568</v>
      </c>
      <c r="J191" t="s">
        <v>4569</v>
      </c>
      <c r="K191" t="s">
        <v>4570</v>
      </c>
      <c r="L191" t="s">
        <v>1310</v>
      </c>
      <c r="M191" t="s">
        <v>156</v>
      </c>
      <c r="N191" s="166">
        <v>22.98</v>
      </c>
      <c r="O191" t="s">
        <v>131</v>
      </c>
    </row>
    <row r="192" spans="1:15">
      <c r="A192" s="166" t="s">
        <v>4571</v>
      </c>
      <c r="B192" t="s">
        <v>111</v>
      </c>
      <c r="C192" t="s">
        <v>133</v>
      </c>
      <c r="D192" t="s">
        <v>116</v>
      </c>
      <c r="E192" t="s">
        <v>418</v>
      </c>
      <c r="F192" t="s">
        <v>6</v>
      </c>
      <c r="G192" t="s">
        <v>130</v>
      </c>
      <c r="H192" s="1">
        <v>46123</v>
      </c>
      <c r="I192" t="s">
        <v>4572</v>
      </c>
      <c r="J192" t="s">
        <v>4573</v>
      </c>
      <c r="K192" t="s">
        <v>4574</v>
      </c>
      <c r="L192" t="s">
        <v>1845</v>
      </c>
      <c r="M192" t="s">
        <v>4575</v>
      </c>
      <c r="N192" s="166">
        <v>28.38</v>
      </c>
      <c r="O192" t="s">
        <v>131</v>
      </c>
    </row>
    <row r="193" spans="1:15">
      <c r="A193" s="166" t="s">
        <v>4576</v>
      </c>
      <c r="B193" t="s">
        <v>111</v>
      </c>
      <c r="C193" t="s">
        <v>135</v>
      </c>
      <c r="D193" t="s">
        <v>116</v>
      </c>
      <c r="E193" t="s">
        <v>418</v>
      </c>
      <c r="F193" t="s">
        <v>6</v>
      </c>
      <c r="G193" t="s">
        <v>130</v>
      </c>
      <c r="H193" s="1">
        <v>46123</v>
      </c>
      <c r="I193" t="s">
        <v>4577</v>
      </c>
      <c r="J193" t="s">
        <v>4578</v>
      </c>
      <c r="K193" t="s">
        <v>4579</v>
      </c>
      <c r="L193" t="s">
        <v>3350</v>
      </c>
      <c r="M193" t="s">
        <v>4580</v>
      </c>
      <c r="N193" s="166">
        <v>27.84</v>
      </c>
      <c r="O193" t="s">
        <v>131</v>
      </c>
    </row>
    <row r="194" spans="1:15">
      <c r="A194" s="166" t="s">
        <v>4581</v>
      </c>
      <c r="B194" t="s">
        <v>111</v>
      </c>
      <c r="C194" t="s">
        <v>136</v>
      </c>
      <c r="D194" t="s">
        <v>116</v>
      </c>
      <c r="E194" t="s">
        <v>418</v>
      </c>
      <c r="F194" t="s">
        <v>6</v>
      </c>
      <c r="G194" t="s">
        <v>130</v>
      </c>
      <c r="H194" s="1">
        <v>46123</v>
      </c>
      <c r="I194" t="s">
        <v>4582</v>
      </c>
      <c r="J194" t="s">
        <v>4583</v>
      </c>
      <c r="K194" t="s">
        <v>2696</v>
      </c>
      <c r="L194" t="s">
        <v>1988</v>
      </c>
      <c r="M194" t="s">
        <v>3814</v>
      </c>
      <c r="N194" s="166">
        <v>22.08</v>
      </c>
      <c r="O194" t="s">
        <v>131</v>
      </c>
    </row>
    <row r="195" spans="1:15">
      <c r="A195" s="166" t="s">
        <v>4584</v>
      </c>
      <c r="B195" t="s">
        <v>111</v>
      </c>
      <c r="C195" t="s">
        <v>133</v>
      </c>
      <c r="D195" t="s">
        <v>116</v>
      </c>
      <c r="E195" t="s">
        <v>418</v>
      </c>
      <c r="F195" t="s">
        <v>6</v>
      </c>
      <c r="G195" t="s">
        <v>130</v>
      </c>
      <c r="H195" s="1">
        <v>46123</v>
      </c>
      <c r="I195" t="s">
        <v>4585</v>
      </c>
      <c r="J195" t="s">
        <v>4586</v>
      </c>
      <c r="K195" t="s">
        <v>1722</v>
      </c>
      <c r="L195" t="s">
        <v>890</v>
      </c>
      <c r="M195" t="s">
        <v>3704</v>
      </c>
      <c r="N195" s="166">
        <v>24.68</v>
      </c>
      <c r="O195" t="s">
        <v>131</v>
      </c>
    </row>
    <row r="196" spans="1:15">
      <c r="A196" s="166" t="s">
        <v>4587</v>
      </c>
      <c r="B196" t="s">
        <v>111</v>
      </c>
      <c r="C196" t="s">
        <v>135</v>
      </c>
      <c r="D196" t="s">
        <v>116</v>
      </c>
      <c r="E196" t="s">
        <v>418</v>
      </c>
      <c r="F196" t="s">
        <v>6</v>
      </c>
      <c r="G196" t="s">
        <v>130</v>
      </c>
      <c r="H196" s="1">
        <v>46123</v>
      </c>
      <c r="I196" t="s">
        <v>4588</v>
      </c>
      <c r="J196" t="s">
        <v>4589</v>
      </c>
      <c r="K196" t="s">
        <v>4590</v>
      </c>
      <c r="L196" t="s">
        <v>486</v>
      </c>
      <c r="M196" t="s">
        <v>871</v>
      </c>
      <c r="N196" s="166">
        <v>22.86</v>
      </c>
      <c r="O196" t="s">
        <v>131</v>
      </c>
    </row>
    <row r="197" spans="1:15">
      <c r="A197" s="166" t="s">
        <v>4591</v>
      </c>
      <c r="B197" t="s">
        <v>111</v>
      </c>
      <c r="C197" t="s">
        <v>136</v>
      </c>
      <c r="D197" t="s">
        <v>116</v>
      </c>
      <c r="E197" t="s">
        <v>418</v>
      </c>
      <c r="F197" t="s">
        <v>6</v>
      </c>
      <c r="G197" t="s">
        <v>130</v>
      </c>
      <c r="H197" s="1">
        <v>46123</v>
      </c>
      <c r="I197" t="s">
        <v>4592</v>
      </c>
      <c r="J197" t="s">
        <v>4593</v>
      </c>
      <c r="K197" t="s">
        <v>4594</v>
      </c>
      <c r="L197" t="s">
        <v>3174</v>
      </c>
      <c r="M197" t="s">
        <v>3782</v>
      </c>
      <c r="N197" s="166">
        <v>24.04</v>
      </c>
      <c r="O197" t="s">
        <v>131</v>
      </c>
    </row>
    <row r="198" spans="1:15">
      <c r="A198" s="166" t="s">
        <v>1403</v>
      </c>
      <c r="B198" t="s">
        <v>111</v>
      </c>
      <c r="C198" t="s">
        <v>133</v>
      </c>
      <c r="D198" t="s">
        <v>116</v>
      </c>
      <c r="E198" t="s">
        <v>418</v>
      </c>
      <c r="F198" t="s">
        <v>6</v>
      </c>
      <c r="G198" t="s">
        <v>130</v>
      </c>
      <c r="H198" s="1">
        <v>46123</v>
      </c>
      <c r="I198" t="s">
        <v>4595</v>
      </c>
      <c r="J198" t="s">
        <v>4596</v>
      </c>
      <c r="K198" t="s">
        <v>2643</v>
      </c>
      <c r="L198" t="s">
        <v>890</v>
      </c>
      <c r="M198" t="s">
        <v>182</v>
      </c>
      <c r="N198" s="166">
        <v>23.74</v>
      </c>
      <c r="O198" t="s">
        <v>131</v>
      </c>
    </row>
    <row r="199" spans="1:15">
      <c r="A199" s="166" t="s">
        <v>4597</v>
      </c>
      <c r="B199" t="s">
        <v>111</v>
      </c>
      <c r="C199" t="s">
        <v>135</v>
      </c>
      <c r="D199" t="s">
        <v>116</v>
      </c>
      <c r="E199" t="s">
        <v>418</v>
      </c>
      <c r="F199" t="s">
        <v>6</v>
      </c>
      <c r="G199" t="s">
        <v>130</v>
      </c>
      <c r="H199" s="1">
        <v>46123</v>
      </c>
      <c r="I199" t="s">
        <v>4598</v>
      </c>
      <c r="J199" t="s">
        <v>4599</v>
      </c>
      <c r="K199" t="s">
        <v>999</v>
      </c>
      <c r="L199" t="s">
        <v>149</v>
      </c>
      <c r="M199" t="s">
        <v>1723</v>
      </c>
      <c r="N199" s="166">
        <v>25.48</v>
      </c>
      <c r="O199" t="s">
        <v>131</v>
      </c>
    </row>
    <row r="200" spans="1:15">
      <c r="A200" s="166" t="s">
        <v>4600</v>
      </c>
      <c r="B200" t="s">
        <v>111</v>
      </c>
      <c r="C200" t="s">
        <v>136</v>
      </c>
      <c r="D200" t="s">
        <v>116</v>
      </c>
      <c r="E200" t="s">
        <v>418</v>
      </c>
      <c r="F200" t="s">
        <v>6</v>
      </c>
      <c r="G200" t="s">
        <v>130</v>
      </c>
      <c r="H200" s="1">
        <v>46123</v>
      </c>
      <c r="I200" t="s">
        <v>4601</v>
      </c>
      <c r="J200" t="s">
        <v>4602</v>
      </c>
      <c r="K200" t="s">
        <v>4603</v>
      </c>
      <c r="L200" t="s">
        <v>144</v>
      </c>
      <c r="M200" t="s">
        <v>4604</v>
      </c>
      <c r="N200" s="166">
        <v>23.84</v>
      </c>
      <c r="O200" t="s">
        <v>131</v>
      </c>
    </row>
    <row r="201" spans="1:15">
      <c r="A201" s="166" t="s">
        <v>4605</v>
      </c>
      <c r="B201" t="s">
        <v>111</v>
      </c>
      <c r="C201" t="s">
        <v>133</v>
      </c>
      <c r="D201" t="s">
        <v>116</v>
      </c>
      <c r="E201" t="s">
        <v>418</v>
      </c>
      <c r="F201" t="s">
        <v>6</v>
      </c>
      <c r="G201" t="s">
        <v>130</v>
      </c>
      <c r="H201" s="1">
        <v>46123</v>
      </c>
      <c r="I201" t="s">
        <v>4606</v>
      </c>
      <c r="J201" t="s">
        <v>4607</v>
      </c>
      <c r="K201" t="s">
        <v>4590</v>
      </c>
      <c r="L201" t="s">
        <v>1958</v>
      </c>
      <c r="M201" t="s">
        <v>166</v>
      </c>
      <c r="N201" s="166">
        <v>23.1</v>
      </c>
      <c r="O201" t="s">
        <v>131</v>
      </c>
    </row>
    <row r="202" spans="1:15">
      <c r="A202" s="166" t="s">
        <v>4608</v>
      </c>
      <c r="B202" t="s">
        <v>111</v>
      </c>
      <c r="C202" t="s">
        <v>136</v>
      </c>
      <c r="D202" t="s">
        <v>116</v>
      </c>
      <c r="E202" t="s">
        <v>418</v>
      </c>
      <c r="F202" t="s">
        <v>6</v>
      </c>
      <c r="G202" t="s">
        <v>130</v>
      </c>
      <c r="H202" s="1">
        <v>46123</v>
      </c>
      <c r="I202" t="s">
        <v>4609</v>
      </c>
      <c r="J202" t="s">
        <v>4610</v>
      </c>
      <c r="K202" t="s">
        <v>1767</v>
      </c>
      <c r="L202" t="s">
        <v>2657</v>
      </c>
      <c r="M202" t="s">
        <v>4611</v>
      </c>
      <c r="N202" s="166">
        <v>23.88</v>
      </c>
      <c r="O202" t="s">
        <v>131</v>
      </c>
    </row>
    <row r="203" spans="1:15">
      <c r="A203" s="166" t="s">
        <v>4612</v>
      </c>
      <c r="B203" t="s">
        <v>111</v>
      </c>
      <c r="C203" t="s">
        <v>135</v>
      </c>
      <c r="D203" t="s">
        <v>116</v>
      </c>
      <c r="E203" t="s">
        <v>418</v>
      </c>
      <c r="F203" t="s">
        <v>6</v>
      </c>
      <c r="G203" t="s">
        <v>130</v>
      </c>
      <c r="H203" s="1">
        <v>46123</v>
      </c>
      <c r="I203" t="s">
        <v>4613</v>
      </c>
      <c r="J203" t="s">
        <v>4614</v>
      </c>
      <c r="K203" t="s">
        <v>1013</v>
      </c>
      <c r="L203" t="s">
        <v>1881</v>
      </c>
      <c r="M203" t="s">
        <v>3212</v>
      </c>
      <c r="N203" s="166">
        <v>27.66</v>
      </c>
      <c r="O203" t="s">
        <v>131</v>
      </c>
    </row>
    <row r="204" spans="1:15">
      <c r="A204" s="166" t="s">
        <v>4615</v>
      </c>
      <c r="B204" t="s">
        <v>111</v>
      </c>
      <c r="C204" t="s">
        <v>133</v>
      </c>
      <c r="D204" t="s">
        <v>116</v>
      </c>
      <c r="E204" t="s">
        <v>418</v>
      </c>
      <c r="F204" t="s">
        <v>6</v>
      </c>
      <c r="G204" t="s">
        <v>130</v>
      </c>
      <c r="H204" s="1">
        <v>46123</v>
      </c>
      <c r="I204" t="s">
        <v>4616</v>
      </c>
      <c r="J204" t="s">
        <v>4617</v>
      </c>
      <c r="K204" t="s">
        <v>921</v>
      </c>
      <c r="L204" t="s">
        <v>901</v>
      </c>
      <c r="M204" t="s">
        <v>922</v>
      </c>
      <c r="N204" s="166">
        <v>25.2</v>
      </c>
      <c r="O204" t="s">
        <v>131</v>
      </c>
    </row>
    <row r="205" spans="1:15">
      <c r="A205" s="166" t="s">
        <v>4618</v>
      </c>
      <c r="B205" t="s">
        <v>111</v>
      </c>
      <c r="C205" t="s">
        <v>136</v>
      </c>
      <c r="D205" t="s">
        <v>116</v>
      </c>
      <c r="E205" t="s">
        <v>418</v>
      </c>
      <c r="F205" t="s">
        <v>6</v>
      </c>
      <c r="G205" t="s">
        <v>130</v>
      </c>
      <c r="H205" s="1">
        <v>46123</v>
      </c>
      <c r="I205" t="s">
        <v>4619</v>
      </c>
      <c r="J205" t="s">
        <v>4620</v>
      </c>
      <c r="K205" t="s">
        <v>2732</v>
      </c>
      <c r="L205" t="s">
        <v>1101</v>
      </c>
      <c r="M205" t="s">
        <v>4621</v>
      </c>
      <c r="N205" s="166">
        <v>26.18</v>
      </c>
      <c r="O205" t="s">
        <v>131</v>
      </c>
    </row>
    <row r="206" spans="1:15">
      <c r="A206" s="166" t="s">
        <v>4622</v>
      </c>
      <c r="B206" t="s">
        <v>111</v>
      </c>
      <c r="C206" t="s">
        <v>135</v>
      </c>
      <c r="D206" t="s">
        <v>116</v>
      </c>
      <c r="E206" t="s">
        <v>418</v>
      </c>
      <c r="F206" t="s">
        <v>6</v>
      </c>
      <c r="G206" t="s">
        <v>130</v>
      </c>
      <c r="H206" s="1">
        <v>46123</v>
      </c>
      <c r="I206" t="s">
        <v>4623</v>
      </c>
      <c r="J206" t="s">
        <v>4624</v>
      </c>
      <c r="K206" t="s">
        <v>2634</v>
      </c>
      <c r="L206" t="s">
        <v>180</v>
      </c>
      <c r="M206" t="s">
        <v>219</v>
      </c>
      <c r="N206" s="166">
        <v>24.94</v>
      </c>
      <c r="O206" t="s">
        <v>131</v>
      </c>
    </row>
    <row r="207" spans="1:15">
      <c r="A207" s="166" t="s">
        <v>4625</v>
      </c>
      <c r="B207" t="s">
        <v>111</v>
      </c>
      <c r="C207" t="s">
        <v>133</v>
      </c>
      <c r="D207" t="s">
        <v>116</v>
      </c>
      <c r="E207" t="s">
        <v>418</v>
      </c>
      <c r="F207" t="s">
        <v>6</v>
      </c>
      <c r="G207" t="s">
        <v>130</v>
      </c>
      <c r="H207" s="1">
        <v>46123</v>
      </c>
      <c r="I207" t="s">
        <v>4626</v>
      </c>
      <c r="J207" t="s">
        <v>4627</v>
      </c>
      <c r="K207" t="s">
        <v>4628</v>
      </c>
      <c r="L207" t="s">
        <v>870</v>
      </c>
      <c r="M207" t="s">
        <v>995</v>
      </c>
      <c r="N207" s="166">
        <v>25.34</v>
      </c>
      <c r="O207" t="s">
        <v>131</v>
      </c>
    </row>
    <row r="208" spans="1:15">
      <c r="A208" s="166" t="s">
        <v>4629</v>
      </c>
      <c r="B208" t="s">
        <v>111</v>
      </c>
      <c r="C208" t="s">
        <v>136</v>
      </c>
      <c r="D208" t="s">
        <v>116</v>
      </c>
      <c r="E208" t="s">
        <v>418</v>
      </c>
      <c r="F208" t="s">
        <v>6</v>
      </c>
      <c r="G208" t="s">
        <v>130</v>
      </c>
      <c r="H208" s="1">
        <v>46123</v>
      </c>
      <c r="I208" t="s">
        <v>4630</v>
      </c>
      <c r="J208" t="s">
        <v>4631</v>
      </c>
      <c r="K208" t="s">
        <v>1564</v>
      </c>
      <c r="L208" t="s">
        <v>1823</v>
      </c>
      <c r="M208" t="s">
        <v>2100</v>
      </c>
      <c r="N208" s="166">
        <v>20.54</v>
      </c>
      <c r="O208" t="s">
        <v>131</v>
      </c>
    </row>
    <row r="209" spans="1:15">
      <c r="A209" s="166" t="s">
        <v>4632</v>
      </c>
      <c r="B209" t="s">
        <v>111</v>
      </c>
      <c r="C209" t="s">
        <v>135</v>
      </c>
      <c r="D209" t="s">
        <v>116</v>
      </c>
      <c r="E209" t="s">
        <v>418</v>
      </c>
      <c r="F209" t="s">
        <v>6</v>
      </c>
      <c r="G209" t="s">
        <v>130</v>
      </c>
      <c r="H209" s="1">
        <v>46123</v>
      </c>
      <c r="I209" t="s">
        <v>4633</v>
      </c>
      <c r="J209" t="s">
        <v>4634</v>
      </c>
      <c r="K209" t="s">
        <v>221</v>
      </c>
      <c r="L209" t="s">
        <v>2998</v>
      </c>
      <c r="M209" t="s">
        <v>4374</v>
      </c>
      <c r="N209" s="166">
        <v>22.54</v>
      </c>
      <c r="O209" t="s">
        <v>131</v>
      </c>
    </row>
    <row r="210" spans="1:15">
      <c r="A210" s="166" t="s">
        <v>4635</v>
      </c>
      <c r="B210" t="s">
        <v>111</v>
      </c>
      <c r="C210" t="s">
        <v>133</v>
      </c>
      <c r="D210" t="s">
        <v>116</v>
      </c>
      <c r="E210" t="s">
        <v>418</v>
      </c>
      <c r="F210" t="s">
        <v>6</v>
      </c>
      <c r="G210" t="s">
        <v>130</v>
      </c>
      <c r="H210" s="1">
        <v>46123</v>
      </c>
      <c r="I210" t="s">
        <v>4636</v>
      </c>
      <c r="J210" t="s">
        <v>4637</v>
      </c>
      <c r="K210" t="s">
        <v>3871</v>
      </c>
      <c r="L210" t="s">
        <v>180</v>
      </c>
      <c r="M210" t="s">
        <v>917</v>
      </c>
      <c r="N210" s="166">
        <v>22.5</v>
      </c>
      <c r="O210" t="s">
        <v>131</v>
      </c>
    </row>
    <row r="211" spans="1:15">
      <c r="A211" s="166" t="s">
        <v>4638</v>
      </c>
      <c r="B211" t="s">
        <v>111</v>
      </c>
      <c r="C211" t="s">
        <v>136</v>
      </c>
      <c r="D211" t="s">
        <v>116</v>
      </c>
      <c r="E211" t="s">
        <v>418</v>
      </c>
      <c r="F211" t="s">
        <v>6</v>
      </c>
      <c r="G211" t="s">
        <v>130</v>
      </c>
      <c r="H211" s="1">
        <v>46123</v>
      </c>
      <c r="I211" t="s">
        <v>4639</v>
      </c>
      <c r="J211" t="s">
        <v>4640</v>
      </c>
      <c r="K211" t="s">
        <v>221</v>
      </c>
      <c r="L211" t="s">
        <v>4641</v>
      </c>
      <c r="M211" t="s">
        <v>628</v>
      </c>
      <c r="N211" s="166">
        <v>20.48</v>
      </c>
      <c r="O211" t="s">
        <v>131</v>
      </c>
    </row>
    <row r="212" spans="1:15">
      <c r="A212" s="166" t="s">
        <v>4642</v>
      </c>
      <c r="B212" t="s">
        <v>111</v>
      </c>
      <c r="C212" t="s">
        <v>135</v>
      </c>
      <c r="D212" t="s">
        <v>116</v>
      </c>
      <c r="E212" t="s">
        <v>418</v>
      </c>
      <c r="F212" t="s">
        <v>6</v>
      </c>
      <c r="G212" t="s">
        <v>130</v>
      </c>
      <c r="H212" s="1">
        <v>46123</v>
      </c>
      <c r="I212" t="s">
        <v>4643</v>
      </c>
      <c r="J212" t="s">
        <v>4644</v>
      </c>
      <c r="K212" t="s">
        <v>4645</v>
      </c>
      <c r="L212" t="s">
        <v>2019</v>
      </c>
      <c r="M212" t="s">
        <v>3646</v>
      </c>
      <c r="N212" s="166">
        <v>20</v>
      </c>
      <c r="O212" t="s">
        <v>131</v>
      </c>
    </row>
    <row r="213" spans="1:15">
      <c r="A213" s="166" t="s">
        <v>4646</v>
      </c>
      <c r="B213" t="s">
        <v>111</v>
      </c>
      <c r="C213" t="s">
        <v>133</v>
      </c>
      <c r="D213" t="s">
        <v>116</v>
      </c>
      <c r="E213" t="s">
        <v>418</v>
      </c>
      <c r="F213" t="s">
        <v>6</v>
      </c>
      <c r="G213" t="s">
        <v>130</v>
      </c>
      <c r="H213" s="1">
        <v>46123</v>
      </c>
      <c r="I213" t="s">
        <v>4647</v>
      </c>
      <c r="J213" t="s">
        <v>4648</v>
      </c>
      <c r="K213" t="s">
        <v>4649</v>
      </c>
      <c r="L213" t="s">
        <v>509</v>
      </c>
      <c r="M213" t="s">
        <v>455</v>
      </c>
      <c r="N213" s="166">
        <v>21.68</v>
      </c>
      <c r="O213" t="s">
        <v>131</v>
      </c>
    </row>
    <row r="214" spans="1:15">
      <c r="A214" s="166" t="s">
        <v>4650</v>
      </c>
      <c r="B214" t="s">
        <v>111</v>
      </c>
      <c r="C214" t="s">
        <v>136</v>
      </c>
      <c r="D214" t="s">
        <v>116</v>
      </c>
      <c r="E214" t="s">
        <v>418</v>
      </c>
      <c r="F214" t="s">
        <v>6</v>
      </c>
      <c r="G214" t="s">
        <v>130</v>
      </c>
      <c r="H214" s="1">
        <v>46123</v>
      </c>
      <c r="I214" t="s">
        <v>4651</v>
      </c>
      <c r="J214" t="s">
        <v>4652</v>
      </c>
      <c r="K214" t="s">
        <v>644</v>
      </c>
      <c r="L214" t="s">
        <v>1934</v>
      </c>
      <c r="M214" t="s">
        <v>832</v>
      </c>
      <c r="N214" s="166">
        <v>18.72</v>
      </c>
      <c r="O214" t="s">
        <v>131</v>
      </c>
    </row>
    <row r="215" spans="1:15">
      <c r="A215" s="166" t="s">
        <v>4653</v>
      </c>
      <c r="B215" t="s">
        <v>111</v>
      </c>
      <c r="C215" t="s">
        <v>135</v>
      </c>
      <c r="D215" t="s">
        <v>116</v>
      </c>
      <c r="E215" t="s">
        <v>418</v>
      </c>
      <c r="F215" t="s">
        <v>6</v>
      </c>
      <c r="G215" t="s">
        <v>130</v>
      </c>
      <c r="H215" s="1">
        <v>46123</v>
      </c>
      <c r="I215" t="s">
        <v>4654</v>
      </c>
      <c r="J215" t="s">
        <v>4655</v>
      </c>
      <c r="K215" t="s">
        <v>659</v>
      </c>
      <c r="L215" t="s">
        <v>2019</v>
      </c>
      <c r="M215" t="s">
        <v>1545</v>
      </c>
      <c r="N215" s="166">
        <v>20.68</v>
      </c>
      <c r="O215" t="s">
        <v>131</v>
      </c>
    </row>
    <row r="216" spans="1:15">
      <c r="A216" s="166" t="s">
        <v>4656</v>
      </c>
      <c r="B216" t="s">
        <v>111</v>
      </c>
      <c r="C216" t="s">
        <v>133</v>
      </c>
      <c r="D216" t="s">
        <v>116</v>
      </c>
      <c r="E216" t="s">
        <v>418</v>
      </c>
      <c r="F216" t="s">
        <v>6</v>
      </c>
      <c r="G216" t="s">
        <v>130</v>
      </c>
      <c r="H216" s="1">
        <v>46123</v>
      </c>
      <c r="I216" t="s">
        <v>4657</v>
      </c>
      <c r="J216" t="s">
        <v>4658</v>
      </c>
      <c r="K216" t="s">
        <v>1564</v>
      </c>
      <c r="L216" t="s">
        <v>147</v>
      </c>
      <c r="M216" t="s">
        <v>2038</v>
      </c>
      <c r="N216" s="166">
        <v>21.08</v>
      </c>
      <c r="O216" t="s">
        <v>131</v>
      </c>
    </row>
    <row r="217" spans="1:15">
      <c r="A217" s="166" t="s">
        <v>4659</v>
      </c>
      <c r="B217" t="s">
        <v>111</v>
      </c>
      <c r="C217" t="s">
        <v>136</v>
      </c>
      <c r="D217" t="s">
        <v>116</v>
      </c>
      <c r="E217" t="s">
        <v>418</v>
      </c>
      <c r="F217" t="s">
        <v>6</v>
      </c>
      <c r="G217" t="s">
        <v>130</v>
      </c>
      <c r="H217" s="1">
        <v>46123</v>
      </c>
      <c r="I217" t="s">
        <v>4660</v>
      </c>
      <c r="J217" t="s">
        <v>4661</v>
      </c>
      <c r="K217" t="s">
        <v>1514</v>
      </c>
      <c r="L217" t="s">
        <v>4662</v>
      </c>
      <c r="M217" t="s">
        <v>1922</v>
      </c>
      <c r="N217" s="166">
        <v>18.920000000000002</v>
      </c>
      <c r="O217" t="s">
        <v>131</v>
      </c>
    </row>
    <row r="218" spans="1:15">
      <c r="A218" s="166" t="s">
        <v>4663</v>
      </c>
      <c r="B218" t="s">
        <v>111</v>
      </c>
      <c r="C218" t="s">
        <v>135</v>
      </c>
      <c r="D218" t="s">
        <v>116</v>
      </c>
      <c r="E218" t="s">
        <v>418</v>
      </c>
      <c r="F218" t="s">
        <v>6</v>
      </c>
      <c r="G218" t="s">
        <v>130</v>
      </c>
      <c r="H218" s="1">
        <v>46123</v>
      </c>
      <c r="I218" t="s">
        <v>4664</v>
      </c>
      <c r="J218" t="s">
        <v>4665</v>
      </c>
      <c r="K218" t="s">
        <v>800</v>
      </c>
      <c r="L218" t="s">
        <v>3483</v>
      </c>
      <c r="M218" t="s">
        <v>1140</v>
      </c>
      <c r="N218" s="166">
        <v>21.2</v>
      </c>
      <c r="O218" t="s">
        <v>131</v>
      </c>
    </row>
    <row r="219" spans="1:15">
      <c r="A219" s="166" t="s">
        <v>4666</v>
      </c>
      <c r="B219" t="s">
        <v>111</v>
      </c>
      <c r="C219" t="s">
        <v>133</v>
      </c>
      <c r="D219" t="s">
        <v>116</v>
      </c>
      <c r="E219" t="s">
        <v>418</v>
      </c>
      <c r="F219" t="s">
        <v>6</v>
      </c>
      <c r="G219" t="s">
        <v>130</v>
      </c>
      <c r="H219" s="1">
        <v>46123</v>
      </c>
      <c r="I219" t="s">
        <v>4667</v>
      </c>
      <c r="J219" t="s">
        <v>4668</v>
      </c>
      <c r="K219" t="s">
        <v>1131</v>
      </c>
      <c r="L219" t="s">
        <v>3376</v>
      </c>
      <c r="M219" t="s">
        <v>2758</v>
      </c>
      <c r="N219" s="166">
        <v>17.98</v>
      </c>
      <c r="O219" t="s">
        <v>131</v>
      </c>
    </row>
    <row r="220" spans="1:15">
      <c r="A220" s="166" t="s">
        <v>4669</v>
      </c>
      <c r="B220" t="s">
        <v>111</v>
      </c>
      <c r="C220" t="s">
        <v>136</v>
      </c>
      <c r="D220" t="s">
        <v>116</v>
      </c>
      <c r="E220" t="s">
        <v>418</v>
      </c>
      <c r="F220" t="s">
        <v>7</v>
      </c>
      <c r="G220" t="s">
        <v>130</v>
      </c>
      <c r="H220" s="1">
        <v>46123</v>
      </c>
      <c r="I220" t="s">
        <v>4670</v>
      </c>
      <c r="J220" t="s">
        <v>4671</v>
      </c>
      <c r="K220" t="s">
        <v>2340</v>
      </c>
      <c r="L220" t="s">
        <v>1132</v>
      </c>
      <c r="M220" t="s">
        <v>3350</v>
      </c>
      <c r="N220" s="166">
        <v>17.48</v>
      </c>
      <c r="O220" t="s">
        <v>131</v>
      </c>
    </row>
    <row r="221" spans="1:15">
      <c r="A221" s="166" t="s">
        <v>4672</v>
      </c>
      <c r="B221" t="s">
        <v>111</v>
      </c>
      <c r="C221" t="s">
        <v>135</v>
      </c>
      <c r="D221" t="s">
        <v>116</v>
      </c>
      <c r="E221" t="s">
        <v>418</v>
      </c>
      <c r="F221" t="s">
        <v>7</v>
      </c>
      <c r="G221" t="s">
        <v>130</v>
      </c>
      <c r="H221" s="1">
        <v>46123</v>
      </c>
      <c r="I221" t="s">
        <v>4673</v>
      </c>
      <c r="J221" t="s">
        <v>4674</v>
      </c>
      <c r="K221" t="s">
        <v>2326</v>
      </c>
      <c r="L221" t="s">
        <v>3483</v>
      </c>
      <c r="M221" t="s">
        <v>2518</v>
      </c>
      <c r="N221" s="166">
        <v>18.64</v>
      </c>
      <c r="O221" t="s">
        <v>131</v>
      </c>
    </row>
    <row r="222" spans="1:15">
      <c r="A222" s="166" t="s">
        <v>4675</v>
      </c>
      <c r="B222" t="s">
        <v>111</v>
      </c>
      <c r="C222" t="s">
        <v>133</v>
      </c>
      <c r="D222" t="s">
        <v>116</v>
      </c>
      <c r="E222" t="s">
        <v>418</v>
      </c>
      <c r="F222" t="s">
        <v>7</v>
      </c>
      <c r="G222" t="s">
        <v>130</v>
      </c>
      <c r="H222" s="1">
        <v>46123</v>
      </c>
      <c r="I222" t="s">
        <v>4676</v>
      </c>
      <c r="J222" t="s">
        <v>4677</v>
      </c>
      <c r="K222" t="s">
        <v>3475</v>
      </c>
      <c r="L222" t="s">
        <v>3898</v>
      </c>
      <c r="M222" t="s">
        <v>4678</v>
      </c>
      <c r="N222" s="166">
        <v>14.62</v>
      </c>
      <c r="O222" t="s">
        <v>131</v>
      </c>
    </row>
    <row r="223" spans="1:15">
      <c r="A223" s="166" t="s">
        <v>4679</v>
      </c>
      <c r="B223" t="s">
        <v>111</v>
      </c>
      <c r="C223" t="s">
        <v>136</v>
      </c>
      <c r="D223" t="s">
        <v>116</v>
      </c>
      <c r="E223" t="s">
        <v>418</v>
      </c>
      <c r="F223" t="s">
        <v>7</v>
      </c>
      <c r="G223" t="s">
        <v>130</v>
      </c>
      <c r="H223" s="1">
        <v>46123</v>
      </c>
      <c r="I223" t="s">
        <v>4680</v>
      </c>
      <c r="J223" t="s">
        <v>4681</v>
      </c>
      <c r="K223" t="s">
        <v>1591</v>
      </c>
      <c r="L223" t="s">
        <v>1310</v>
      </c>
      <c r="M223" t="s">
        <v>1881</v>
      </c>
      <c r="N223" s="166">
        <v>16.399999999999999</v>
      </c>
      <c r="O223" t="s">
        <v>131</v>
      </c>
    </row>
    <row r="224" spans="1:15">
      <c r="A224" s="166" t="s">
        <v>4682</v>
      </c>
      <c r="B224" t="s">
        <v>111</v>
      </c>
      <c r="C224" t="s">
        <v>135</v>
      </c>
      <c r="D224" t="s">
        <v>116</v>
      </c>
      <c r="E224" t="s">
        <v>418</v>
      </c>
      <c r="F224" t="s">
        <v>7</v>
      </c>
      <c r="G224" t="s">
        <v>130</v>
      </c>
      <c r="H224" s="1">
        <v>46123</v>
      </c>
      <c r="I224" t="s">
        <v>4683</v>
      </c>
      <c r="J224" t="s">
        <v>4684</v>
      </c>
      <c r="K224" t="s">
        <v>204</v>
      </c>
      <c r="L224" t="s">
        <v>2639</v>
      </c>
      <c r="M224" t="s">
        <v>2344</v>
      </c>
      <c r="N224" s="166">
        <v>18.28</v>
      </c>
      <c r="O224" t="s">
        <v>131</v>
      </c>
    </row>
    <row r="225" spans="1:15">
      <c r="A225" s="166" t="s">
        <v>4685</v>
      </c>
      <c r="B225" t="s">
        <v>111</v>
      </c>
      <c r="C225" t="s">
        <v>133</v>
      </c>
      <c r="D225" t="s">
        <v>116</v>
      </c>
      <c r="E225" t="s">
        <v>418</v>
      </c>
      <c r="F225" t="s">
        <v>7</v>
      </c>
      <c r="G225" t="s">
        <v>130</v>
      </c>
      <c r="H225" s="1">
        <v>46123</v>
      </c>
      <c r="I225" t="s">
        <v>4686</v>
      </c>
      <c r="J225" t="s">
        <v>4687</v>
      </c>
      <c r="K225" t="s">
        <v>160</v>
      </c>
      <c r="L225" t="s">
        <v>2019</v>
      </c>
      <c r="M225" t="s">
        <v>1140</v>
      </c>
      <c r="N225" s="166">
        <v>21.2</v>
      </c>
      <c r="O225" t="s">
        <v>131</v>
      </c>
    </row>
    <row r="226" spans="1:15">
      <c r="A226" s="166" t="s">
        <v>4688</v>
      </c>
      <c r="B226" t="s">
        <v>111</v>
      </c>
      <c r="C226" t="s">
        <v>136</v>
      </c>
      <c r="D226" t="s">
        <v>116</v>
      </c>
      <c r="E226" t="s">
        <v>418</v>
      </c>
      <c r="F226" t="s">
        <v>7</v>
      </c>
      <c r="G226" t="s">
        <v>130</v>
      </c>
      <c r="H226" s="1">
        <v>46123</v>
      </c>
      <c r="I226" t="s">
        <v>4689</v>
      </c>
      <c r="J226" t="s">
        <v>4690</v>
      </c>
      <c r="K226" t="s">
        <v>1056</v>
      </c>
      <c r="L226" t="s">
        <v>2402</v>
      </c>
      <c r="M226" t="s">
        <v>611</v>
      </c>
      <c r="N226" s="166">
        <v>15.9</v>
      </c>
      <c r="O226" t="s">
        <v>131</v>
      </c>
    </row>
    <row r="227" spans="1:15">
      <c r="A227" s="166" t="s">
        <v>4691</v>
      </c>
      <c r="B227" t="s">
        <v>111</v>
      </c>
      <c r="C227" t="s">
        <v>135</v>
      </c>
      <c r="D227" t="s">
        <v>116</v>
      </c>
      <c r="E227" t="s">
        <v>418</v>
      </c>
      <c r="F227" t="s">
        <v>7</v>
      </c>
      <c r="G227" t="s">
        <v>130</v>
      </c>
      <c r="H227" s="1">
        <v>46123</v>
      </c>
      <c r="I227" t="s">
        <v>4692</v>
      </c>
      <c r="J227" t="s">
        <v>4693</v>
      </c>
      <c r="K227" t="s">
        <v>1861</v>
      </c>
      <c r="L227" t="s">
        <v>3203</v>
      </c>
      <c r="M227" t="s">
        <v>153</v>
      </c>
      <c r="N227" s="166">
        <v>15.08</v>
      </c>
      <c r="O227" t="s">
        <v>131</v>
      </c>
    </row>
    <row r="228" spans="1:15">
      <c r="A228" s="166" t="s">
        <v>4694</v>
      </c>
      <c r="B228" t="s">
        <v>111</v>
      </c>
      <c r="C228" t="s">
        <v>133</v>
      </c>
      <c r="D228" t="s">
        <v>116</v>
      </c>
      <c r="E228" t="s">
        <v>418</v>
      </c>
      <c r="F228" t="s">
        <v>7</v>
      </c>
      <c r="G228" t="s">
        <v>130</v>
      </c>
      <c r="H228" s="1">
        <v>46123</v>
      </c>
      <c r="I228" t="s">
        <v>4695</v>
      </c>
      <c r="J228" t="s">
        <v>4696</v>
      </c>
      <c r="K228" t="s">
        <v>4406</v>
      </c>
      <c r="L228" t="s">
        <v>2474</v>
      </c>
      <c r="M228" t="s">
        <v>434</v>
      </c>
      <c r="N228" s="166">
        <v>21.6</v>
      </c>
      <c r="O228" t="s">
        <v>131</v>
      </c>
    </row>
    <row r="229" spans="1:15">
      <c r="A229" s="166" t="s">
        <v>4697</v>
      </c>
      <c r="B229" t="s">
        <v>111</v>
      </c>
      <c r="C229" t="s">
        <v>135</v>
      </c>
      <c r="D229" t="s">
        <v>116</v>
      </c>
      <c r="E229" t="s">
        <v>418</v>
      </c>
      <c r="F229" t="s">
        <v>7</v>
      </c>
      <c r="G229" t="s">
        <v>130</v>
      </c>
      <c r="H229" s="1">
        <v>46123</v>
      </c>
      <c r="I229" t="s">
        <v>4698</v>
      </c>
      <c r="J229" t="s">
        <v>4699</v>
      </c>
      <c r="K229" t="s">
        <v>719</v>
      </c>
      <c r="L229" t="s">
        <v>4700</v>
      </c>
      <c r="M229" t="s">
        <v>2406</v>
      </c>
      <c r="N229" s="166">
        <v>20.12</v>
      </c>
      <c r="O229" t="s">
        <v>131</v>
      </c>
    </row>
    <row r="230" spans="1:15">
      <c r="A230" s="166" t="s">
        <v>4701</v>
      </c>
      <c r="B230" t="s">
        <v>111</v>
      </c>
      <c r="C230" t="s">
        <v>136</v>
      </c>
      <c r="D230" t="s">
        <v>116</v>
      </c>
      <c r="E230" t="s">
        <v>418</v>
      </c>
      <c r="F230" t="s">
        <v>7</v>
      </c>
      <c r="G230" t="s">
        <v>130</v>
      </c>
      <c r="H230" s="1">
        <v>46123</v>
      </c>
      <c r="I230" t="s">
        <v>4702</v>
      </c>
      <c r="J230" t="s">
        <v>4703</v>
      </c>
      <c r="K230" t="s">
        <v>755</v>
      </c>
      <c r="L230" t="s">
        <v>2272</v>
      </c>
      <c r="M230" t="s">
        <v>601</v>
      </c>
      <c r="N230" s="166">
        <v>21.46</v>
      </c>
      <c r="O230" t="s">
        <v>131</v>
      </c>
    </row>
    <row r="231" spans="1:15">
      <c r="A231" s="166" t="s">
        <v>4704</v>
      </c>
      <c r="B231" t="s">
        <v>111</v>
      </c>
      <c r="C231" t="s">
        <v>133</v>
      </c>
      <c r="D231" t="s">
        <v>116</v>
      </c>
      <c r="E231" t="s">
        <v>418</v>
      </c>
      <c r="F231" t="s">
        <v>7</v>
      </c>
      <c r="G231" t="s">
        <v>130</v>
      </c>
      <c r="H231" s="1">
        <v>46123</v>
      </c>
      <c r="I231" t="s">
        <v>4705</v>
      </c>
      <c r="J231" t="s">
        <v>4706</v>
      </c>
      <c r="K231" t="s">
        <v>1793</v>
      </c>
      <c r="L231" t="s">
        <v>2154</v>
      </c>
      <c r="M231" t="s">
        <v>1101</v>
      </c>
      <c r="N231" s="166">
        <v>16.68</v>
      </c>
      <c r="O231" t="s">
        <v>131</v>
      </c>
    </row>
    <row r="232" spans="1:15">
      <c r="A232" s="166" t="s">
        <v>4707</v>
      </c>
      <c r="B232" t="s">
        <v>111</v>
      </c>
      <c r="C232" t="s">
        <v>135</v>
      </c>
      <c r="D232" t="s">
        <v>116</v>
      </c>
      <c r="E232" t="s">
        <v>418</v>
      </c>
      <c r="F232" t="s">
        <v>7</v>
      </c>
      <c r="G232" t="s">
        <v>130</v>
      </c>
      <c r="H232" s="1">
        <v>46123</v>
      </c>
      <c r="I232" t="s">
        <v>4708</v>
      </c>
      <c r="J232" t="s">
        <v>4709</v>
      </c>
      <c r="K232" t="s">
        <v>3178</v>
      </c>
      <c r="L232" t="s">
        <v>1155</v>
      </c>
      <c r="M232" t="s">
        <v>2091</v>
      </c>
      <c r="N232" s="166">
        <v>18.02</v>
      </c>
      <c r="O232" t="s">
        <v>131</v>
      </c>
    </row>
    <row r="233" spans="1:15">
      <c r="A233" s="166" t="s">
        <v>4710</v>
      </c>
      <c r="B233" t="s">
        <v>111</v>
      </c>
      <c r="C233" t="s">
        <v>136</v>
      </c>
      <c r="D233" t="s">
        <v>116</v>
      </c>
      <c r="E233" t="s">
        <v>418</v>
      </c>
      <c r="F233" t="s">
        <v>7</v>
      </c>
      <c r="G233" t="s">
        <v>130</v>
      </c>
      <c r="H233" s="1">
        <v>46123</v>
      </c>
      <c r="I233" t="s">
        <v>4711</v>
      </c>
      <c r="J233" t="s">
        <v>4712</v>
      </c>
      <c r="K233" t="s">
        <v>2351</v>
      </c>
      <c r="L233" t="s">
        <v>1062</v>
      </c>
      <c r="M233" t="s">
        <v>596</v>
      </c>
      <c r="N233" s="166">
        <v>20.36</v>
      </c>
      <c r="O233" t="s">
        <v>131</v>
      </c>
    </row>
    <row r="234" spans="1:15">
      <c r="A234" s="166" t="s">
        <v>4713</v>
      </c>
      <c r="B234" t="s">
        <v>111</v>
      </c>
      <c r="C234" t="s">
        <v>133</v>
      </c>
      <c r="D234" t="s">
        <v>116</v>
      </c>
      <c r="E234" t="s">
        <v>418</v>
      </c>
      <c r="F234" t="s">
        <v>7</v>
      </c>
      <c r="G234" t="s">
        <v>130</v>
      </c>
      <c r="H234" s="1">
        <v>46123</v>
      </c>
      <c r="I234" t="s">
        <v>4714</v>
      </c>
      <c r="J234" t="s">
        <v>4715</v>
      </c>
      <c r="K234" t="s">
        <v>4468</v>
      </c>
      <c r="L234" t="s">
        <v>3295</v>
      </c>
      <c r="M234" t="s">
        <v>1108</v>
      </c>
      <c r="N234" s="166">
        <v>20.64</v>
      </c>
      <c r="O234" t="s">
        <v>131</v>
      </c>
    </row>
    <row r="235" spans="1:15">
      <c r="A235" s="166" t="s">
        <v>4716</v>
      </c>
      <c r="B235" t="s">
        <v>111</v>
      </c>
      <c r="C235" t="s">
        <v>133</v>
      </c>
      <c r="D235" t="s">
        <v>116</v>
      </c>
      <c r="E235" t="s">
        <v>418</v>
      </c>
      <c r="F235" t="s">
        <v>7</v>
      </c>
      <c r="G235" t="s">
        <v>130</v>
      </c>
      <c r="H235" s="1">
        <v>46123</v>
      </c>
      <c r="I235" t="s">
        <v>4717</v>
      </c>
      <c r="J235" t="s">
        <v>4718</v>
      </c>
      <c r="K235" t="s">
        <v>4719</v>
      </c>
      <c r="L235" t="s">
        <v>845</v>
      </c>
      <c r="M235" t="s">
        <v>455</v>
      </c>
      <c r="N235" s="166">
        <v>21.68</v>
      </c>
      <c r="O235" t="s">
        <v>131</v>
      </c>
    </row>
    <row r="236" spans="1:15">
      <c r="A236" s="166" t="s">
        <v>4720</v>
      </c>
      <c r="B236" t="s">
        <v>111</v>
      </c>
      <c r="C236" t="s">
        <v>136</v>
      </c>
      <c r="D236" t="s">
        <v>116</v>
      </c>
      <c r="E236" t="s">
        <v>418</v>
      </c>
      <c r="F236" t="s">
        <v>7</v>
      </c>
      <c r="G236" t="s">
        <v>130</v>
      </c>
      <c r="H236" s="1">
        <v>46123</v>
      </c>
      <c r="I236" t="s">
        <v>4721</v>
      </c>
      <c r="J236" t="s">
        <v>4722</v>
      </c>
      <c r="K236" t="s">
        <v>214</v>
      </c>
      <c r="L236" t="s">
        <v>2657</v>
      </c>
      <c r="M236" t="s">
        <v>410</v>
      </c>
      <c r="N236" s="166">
        <v>22.36</v>
      </c>
      <c r="O236" t="s">
        <v>131</v>
      </c>
    </row>
    <row r="237" spans="1:15">
      <c r="A237" s="166" t="s">
        <v>4723</v>
      </c>
      <c r="B237" t="s">
        <v>111</v>
      </c>
      <c r="C237" t="s">
        <v>135</v>
      </c>
      <c r="D237" t="s">
        <v>116</v>
      </c>
      <c r="E237" t="s">
        <v>418</v>
      </c>
      <c r="F237" t="s">
        <v>7</v>
      </c>
      <c r="G237" t="s">
        <v>130</v>
      </c>
      <c r="H237" s="1">
        <v>46123</v>
      </c>
      <c r="I237" t="s">
        <v>4724</v>
      </c>
      <c r="J237" t="s">
        <v>4725</v>
      </c>
      <c r="K237" t="s">
        <v>999</v>
      </c>
      <c r="L237" t="s">
        <v>1977</v>
      </c>
      <c r="M237" t="s">
        <v>3278</v>
      </c>
      <c r="N237" s="166">
        <v>22.32</v>
      </c>
      <c r="O237" t="s">
        <v>131</v>
      </c>
    </row>
    <row r="238" spans="1:15">
      <c r="A238" s="166" t="s">
        <v>1854</v>
      </c>
      <c r="B238" t="s">
        <v>111</v>
      </c>
      <c r="C238" t="s">
        <v>133</v>
      </c>
      <c r="D238" t="s">
        <v>116</v>
      </c>
      <c r="E238" t="s">
        <v>418</v>
      </c>
      <c r="F238" t="s">
        <v>7</v>
      </c>
      <c r="G238" t="s">
        <v>130</v>
      </c>
      <c r="H238" s="1">
        <v>46123</v>
      </c>
      <c r="I238" t="s">
        <v>4726</v>
      </c>
      <c r="J238" t="s">
        <v>4727</v>
      </c>
      <c r="K238" t="s">
        <v>4728</v>
      </c>
      <c r="L238" t="s">
        <v>486</v>
      </c>
      <c r="M238" t="s">
        <v>186</v>
      </c>
      <c r="N238" s="166">
        <v>23.58</v>
      </c>
      <c r="O238" t="s">
        <v>131</v>
      </c>
    </row>
    <row r="239" spans="1:15">
      <c r="A239" s="166" t="s">
        <v>4729</v>
      </c>
      <c r="B239" t="s">
        <v>111</v>
      </c>
      <c r="C239" t="s">
        <v>136</v>
      </c>
      <c r="D239" t="s">
        <v>116</v>
      </c>
      <c r="E239" t="s">
        <v>418</v>
      </c>
      <c r="F239" t="s">
        <v>7</v>
      </c>
      <c r="G239" t="s">
        <v>130</v>
      </c>
      <c r="H239" s="1">
        <v>46123</v>
      </c>
      <c r="I239" t="s">
        <v>4730</v>
      </c>
      <c r="J239" t="s">
        <v>4731</v>
      </c>
      <c r="K239" t="s">
        <v>4420</v>
      </c>
      <c r="L239" t="s">
        <v>3075</v>
      </c>
      <c r="M239" t="s">
        <v>4732</v>
      </c>
      <c r="N239" s="166">
        <v>22.12</v>
      </c>
      <c r="O239" t="s">
        <v>131</v>
      </c>
    </row>
    <row r="240" spans="1:15">
      <c r="A240" s="166" t="s">
        <v>4733</v>
      </c>
      <c r="B240" t="s">
        <v>111</v>
      </c>
      <c r="C240" t="s">
        <v>135</v>
      </c>
      <c r="D240" t="s">
        <v>116</v>
      </c>
      <c r="E240" t="s">
        <v>418</v>
      </c>
      <c r="F240" t="s">
        <v>7</v>
      </c>
      <c r="G240" t="s">
        <v>130</v>
      </c>
      <c r="H240" s="1">
        <v>46123</v>
      </c>
      <c r="I240" t="s">
        <v>4734</v>
      </c>
      <c r="J240" t="s">
        <v>4735</v>
      </c>
      <c r="K240" t="s">
        <v>3833</v>
      </c>
      <c r="L240" t="s">
        <v>645</v>
      </c>
      <c r="M240" t="s">
        <v>4736</v>
      </c>
      <c r="N240" s="166">
        <v>25.12</v>
      </c>
      <c r="O240" t="s">
        <v>131</v>
      </c>
    </row>
    <row r="241" spans="1:15">
      <c r="A241" s="166" t="s">
        <v>4737</v>
      </c>
      <c r="B241" t="s">
        <v>111</v>
      </c>
      <c r="C241" t="s">
        <v>133</v>
      </c>
      <c r="D241" t="s">
        <v>116</v>
      </c>
      <c r="E241" t="s">
        <v>418</v>
      </c>
      <c r="F241" t="s">
        <v>7</v>
      </c>
      <c r="G241" t="s">
        <v>130</v>
      </c>
      <c r="H241" s="1">
        <v>46123</v>
      </c>
      <c r="I241" t="s">
        <v>4738</v>
      </c>
      <c r="J241" t="s">
        <v>4739</v>
      </c>
      <c r="K241" t="s">
        <v>4740</v>
      </c>
      <c r="L241" t="s">
        <v>2603</v>
      </c>
      <c r="M241" t="s">
        <v>4604</v>
      </c>
      <c r="N241" s="166">
        <v>23.84</v>
      </c>
      <c r="O241" t="s">
        <v>131</v>
      </c>
    </row>
    <row r="242" spans="1:15">
      <c r="A242" s="166" t="s">
        <v>4741</v>
      </c>
      <c r="B242" t="s">
        <v>111</v>
      </c>
      <c r="C242" t="s">
        <v>136</v>
      </c>
      <c r="D242" t="s">
        <v>116</v>
      </c>
      <c r="E242" t="s">
        <v>418</v>
      </c>
      <c r="F242" t="s">
        <v>7</v>
      </c>
      <c r="G242" t="s">
        <v>130</v>
      </c>
      <c r="H242" s="1">
        <v>46123</v>
      </c>
      <c r="I242" t="s">
        <v>4742</v>
      </c>
      <c r="J242" t="s">
        <v>4743</v>
      </c>
      <c r="K242" t="s">
        <v>4744</v>
      </c>
      <c r="L242" t="s">
        <v>3441</v>
      </c>
      <c r="M242" t="s">
        <v>2803</v>
      </c>
      <c r="N242" s="166">
        <v>26.28</v>
      </c>
      <c r="O242" t="s">
        <v>131</v>
      </c>
    </row>
    <row r="243" spans="1:15">
      <c r="A243" s="166" t="s">
        <v>4745</v>
      </c>
      <c r="B243" t="s">
        <v>111</v>
      </c>
      <c r="C243" t="s">
        <v>133</v>
      </c>
      <c r="D243" t="s">
        <v>116</v>
      </c>
      <c r="E243" t="s">
        <v>418</v>
      </c>
      <c r="F243" t="s">
        <v>7</v>
      </c>
      <c r="G243" t="s">
        <v>130</v>
      </c>
      <c r="H243" s="1">
        <v>46123</v>
      </c>
      <c r="I243" t="s">
        <v>4746</v>
      </c>
      <c r="J243" t="s">
        <v>4747</v>
      </c>
      <c r="K243" t="s">
        <v>2775</v>
      </c>
      <c r="L243" t="s">
        <v>2572</v>
      </c>
      <c r="M243" t="s">
        <v>3623</v>
      </c>
      <c r="N243" s="166">
        <v>23.3</v>
      </c>
      <c r="O243" t="s">
        <v>131</v>
      </c>
    </row>
    <row r="244" spans="1:15">
      <c r="A244" s="166" t="s">
        <v>4748</v>
      </c>
      <c r="B244" t="s">
        <v>111</v>
      </c>
      <c r="C244" t="s">
        <v>135</v>
      </c>
      <c r="D244" t="s">
        <v>116</v>
      </c>
      <c r="E244" t="s">
        <v>418</v>
      </c>
      <c r="F244" t="s">
        <v>7</v>
      </c>
      <c r="G244" t="s">
        <v>130</v>
      </c>
      <c r="H244" s="1">
        <v>46123</v>
      </c>
      <c r="I244" t="s">
        <v>4749</v>
      </c>
      <c r="J244" t="s">
        <v>4750</v>
      </c>
      <c r="K244" t="s">
        <v>1210</v>
      </c>
      <c r="L244" t="s">
        <v>1072</v>
      </c>
      <c r="M244" t="s">
        <v>4751</v>
      </c>
      <c r="N244" s="166">
        <v>23.24</v>
      </c>
      <c r="O244" t="s">
        <v>131</v>
      </c>
    </row>
    <row r="245" spans="1:15">
      <c r="A245" s="166" t="s">
        <v>4752</v>
      </c>
      <c r="B245" t="s">
        <v>111</v>
      </c>
      <c r="C245" t="s">
        <v>136</v>
      </c>
      <c r="D245" t="s">
        <v>116</v>
      </c>
      <c r="E245" t="s">
        <v>418</v>
      </c>
      <c r="F245" t="s">
        <v>7</v>
      </c>
      <c r="G245" t="s">
        <v>130</v>
      </c>
      <c r="H245" s="1">
        <v>46123</v>
      </c>
      <c r="I245" t="s">
        <v>4753</v>
      </c>
      <c r="J245" t="s">
        <v>4754</v>
      </c>
      <c r="K245" t="s">
        <v>895</v>
      </c>
      <c r="L245" t="s">
        <v>1881</v>
      </c>
      <c r="M245" t="s">
        <v>702</v>
      </c>
      <c r="N245" s="166">
        <v>25</v>
      </c>
      <c r="O245" t="s">
        <v>131</v>
      </c>
    </row>
    <row r="246" spans="1:15">
      <c r="A246" s="166" t="s">
        <v>4755</v>
      </c>
      <c r="B246" t="s">
        <v>111</v>
      </c>
      <c r="C246" t="s">
        <v>133</v>
      </c>
      <c r="D246" t="s">
        <v>116</v>
      </c>
      <c r="E246" t="s">
        <v>418</v>
      </c>
      <c r="F246" t="s">
        <v>7</v>
      </c>
      <c r="G246" t="s">
        <v>130</v>
      </c>
      <c r="H246" s="1">
        <v>46123</v>
      </c>
      <c r="I246" t="s">
        <v>4756</v>
      </c>
      <c r="J246" t="s">
        <v>4757</v>
      </c>
      <c r="K246" t="s">
        <v>528</v>
      </c>
      <c r="L246" t="s">
        <v>2531</v>
      </c>
      <c r="M246" t="s">
        <v>3534</v>
      </c>
      <c r="N246" s="166">
        <v>18.739999999999998</v>
      </c>
      <c r="O246" t="s">
        <v>131</v>
      </c>
    </row>
    <row r="247" spans="1:15">
      <c r="A247" s="166" t="s">
        <v>4758</v>
      </c>
      <c r="B247" t="s">
        <v>111</v>
      </c>
      <c r="C247" t="s">
        <v>135</v>
      </c>
      <c r="D247" t="s">
        <v>116</v>
      </c>
      <c r="E247" t="s">
        <v>418</v>
      </c>
      <c r="F247" t="s">
        <v>7</v>
      </c>
      <c r="G247" t="s">
        <v>130</v>
      </c>
      <c r="H247" s="1">
        <v>46123</v>
      </c>
      <c r="I247" t="s">
        <v>4759</v>
      </c>
      <c r="J247" t="s">
        <v>4760</v>
      </c>
      <c r="K247" t="s">
        <v>800</v>
      </c>
      <c r="L247" t="s">
        <v>786</v>
      </c>
      <c r="M247" t="s">
        <v>187</v>
      </c>
      <c r="N247" s="166">
        <v>22.74</v>
      </c>
      <c r="O247" t="s">
        <v>131</v>
      </c>
    </row>
    <row r="248" spans="1:15">
      <c r="A248" s="166" t="s">
        <v>4761</v>
      </c>
      <c r="B248" t="s">
        <v>111</v>
      </c>
      <c r="C248" t="s">
        <v>136</v>
      </c>
      <c r="D248" t="s">
        <v>116</v>
      </c>
      <c r="E248" t="s">
        <v>418</v>
      </c>
      <c r="F248" t="s">
        <v>7</v>
      </c>
      <c r="G248" t="s">
        <v>130</v>
      </c>
      <c r="H248" s="1">
        <v>46123</v>
      </c>
      <c r="I248" t="s">
        <v>4762</v>
      </c>
      <c r="J248" t="s">
        <v>4763</v>
      </c>
      <c r="K248" t="s">
        <v>844</v>
      </c>
      <c r="L248" t="s">
        <v>1958</v>
      </c>
      <c r="M248" t="s">
        <v>4764</v>
      </c>
      <c r="N248" s="166">
        <v>23.08</v>
      </c>
      <c r="O248" t="s">
        <v>131</v>
      </c>
    </row>
    <row r="249" spans="1:15">
      <c r="A249" s="166" t="s">
        <v>4765</v>
      </c>
      <c r="B249" t="s">
        <v>111</v>
      </c>
      <c r="C249" t="s">
        <v>133</v>
      </c>
      <c r="D249" t="s">
        <v>116</v>
      </c>
      <c r="E249" t="s">
        <v>418</v>
      </c>
      <c r="F249" t="s">
        <v>7</v>
      </c>
      <c r="G249" t="s">
        <v>130</v>
      </c>
      <c r="H249" s="1">
        <v>46123</v>
      </c>
      <c r="I249" t="s">
        <v>4766</v>
      </c>
      <c r="J249" t="s">
        <v>4767</v>
      </c>
      <c r="K249" t="s">
        <v>4768</v>
      </c>
      <c r="L249" t="s">
        <v>870</v>
      </c>
      <c r="M249" t="s">
        <v>434</v>
      </c>
      <c r="N249" s="166">
        <v>21.6</v>
      </c>
      <c r="O249" t="s">
        <v>131</v>
      </c>
    </row>
    <row r="250" spans="1:15">
      <c r="A250" s="166" t="s">
        <v>4769</v>
      </c>
      <c r="B250" t="s">
        <v>111</v>
      </c>
      <c r="C250" t="s">
        <v>136</v>
      </c>
      <c r="D250" t="s">
        <v>116</v>
      </c>
      <c r="E250" t="s">
        <v>418</v>
      </c>
      <c r="F250" t="s">
        <v>7</v>
      </c>
      <c r="G250" t="s">
        <v>130</v>
      </c>
      <c r="H250" s="1">
        <v>46123</v>
      </c>
      <c r="I250" t="s">
        <v>4770</v>
      </c>
      <c r="J250" t="s">
        <v>4771</v>
      </c>
      <c r="K250" t="s">
        <v>3056</v>
      </c>
      <c r="L250" t="s">
        <v>3501</v>
      </c>
      <c r="M250" t="s">
        <v>3076</v>
      </c>
      <c r="N250" s="166">
        <v>23.42</v>
      </c>
      <c r="O250" t="s">
        <v>131</v>
      </c>
    </row>
    <row r="251" spans="1:15">
      <c r="A251" s="166" t="s">
        <v>4772</v>
      </c>
      <c r="B251" t="s">
        <v>111</v>
      </c>
      <c r="C251" t="s">
        <v>135</v>
      </c>
      <c r="D251" t="s">
        <v>116</v>
      </c>
      <c r="E251" t="s">
        <v>418</v>
      </c>
      <c r="F251" t="s">
        <v>7</v>
      </c>
      <c r="G251" t="s">
        <v>130</v>
      </c>
      <c r="H251" s="1">
        <v>46123</v>
      </c>
      <c r="I251" t="s">
        <v>4773</v>
      </c>
      <c r="J251" t="s">
        <v>4774</v>
      </c>
      <c r="K251" t="s">
        <v>1744</v>
      </c>
      <c r="L251" t="s">
        <v>2004</v>
      </c>
      <c r="M251" t="s">
        <v>2943</v>
      </c>
      <c r="N251" s="166">
        <v>25.16</v>
      </c>
      <c r="O251" t="s">
        <v>131</v>
      </c>
    </row>
    <row r="252" spans="1:15">
      <c r="A252" s="166" t="s">
        <v>4775</v>
      </c>
      <c r="B252" t="s">
        <v>111</v>
      </c>
      <c r="C252" t="s">
        <v>133</v>
      </c>
      <c r="D252" t="s">
        <v>116</v>
      </c>
      <c r="E252" t="s">
        <v>418</v>
      </c>
      <c r="F252" t="s">
        <v>7</v>
      </c>
      <c r="G252" t="s">
        <v>130</v>
      </c>
      <c r="H252" s="1">
        <v>46123</v>
      </c>
      <c r="I252" t="s">
        <v>4776</v>
      </c>
      <c r="J252" t="s">
        <v>4777</v>
      </c>
      <c r="K252" t="s">
        <v>191</v>
      </c>
      <c r="L252" t="s">
        <v>1177</v>
      </c>
      <c r="M252" t="s">
        <v>4778</v>
      </c>
      <c r="N252" s="166">
        <v>21.44</v>
      </c>
      <c r="O252" t="s">
        <v>131</v>
      </c>
    </row>
    <row r="253" spans="1:15">
      <c r="A253" s="166" t="s">
        <v>4779</v>
      </c>
      <c r="B253" t="s">
        <v>111</v>
      </c>
      <c r="C253" t="s">
        <v>136</v>
      </c>
      <c r="D253" t="s">
        <v>116</v>
      </c>
      <c r="E253" t="s">
        <v>418</v>
      </c>
      <c r="F253" t="s">
        <v>7</v>
      </c>
      <c r="G253" t="s">
        <v>130</v>
      </c>
      <c r="H253" s="1">
        <v>46123</v>
      </c>
      <c r="I253" t="s">
        <v>4780</v>
      </c>
      <c r="J253" t="s">
        <v>4781</v>
      </c>
      <c r="K253" t="s">
        <v>1619</v>
      </c>
      <c r="L253" t="s">
        <v>2024</v>
      </c>
      <c r="M253" t="s">
        <v>207</v>
      </c>
      <c r="N253" s="166">
        <v>20.92</v>
      </c>
      <c r="O253" t="s">
        <v>131</v>
      </c>
    </row>
    <row r="254" spans="1:15">
      <c r="A254" s="166" t="s">
        <v>4782</v>
      </c>
      <c r="B254" t="s">
        <v>111</v>
      </c>
      <c r="C254" t="s">
        <v>135</v>
      </c>
      <c r="D254" t="s">
        <v>116</v>
      </c>
      <c r="E254" t="s">
        <v>418</v>
      </c>
      <c r="F254" t="s">
        <v>7</v>
      </c>
      <c r="G254" t="s">
        <v>130</v>
      </c>
      <c r="H254" s="1">
        <v>46123</v>
      </c>
      <c r="I254" t="s">
        <v>4783</v>
      </c>
      <c r="J254" t="s">
        <v>4784</v>
      </c>
      <c r="K254" t="s">
        <v>3764</v>
      </c>
      <c r="L254" t="s">
        <v>180</v>
      </c>
      <c r="M254" t="s">
        <v>209</v>
      </c>
      <c r="N254" s="166">
        <v>23.96</v>
      </c>
      <c r="O254" t="s">
        <v>131</v>
      </c>
    </row>
    <row r="255" spans="1:15">
      <c r="A255" s="166" t="s">
        <v>4785</v>
      </c>
      <c r="B255" t="s">
        <v>111</v>
      </c>
      <c r="C255" t="s">
        <v>133</v>
      </c>
      <c r="D255" t="s">
        <v>116</v>
      </c>
      <c r="E255" t="s">
        <v>418</v>
      </c>
      <c r="F255" t="s">
        <v>7</v>
      </c>
      <c r="G255" t="s">
        <v>130</v>
      </c>
      <c r="H255" s="1">
        <v>46123</v>
      </c>
      <c r="I255" t="s">
        <v>4786</v>
      </c>
      <c r="J255" t="s">
        <v>4787</v>
      </c>
      <c r="K255" t="s">
        <v>1619</v>
      </c>
      <c r="L255" t="s">
        <v>2536</v>
      </c>
      <c r="M255" t="s">
        <v>2100</v>
      </c>
      <c r="N255" s="166">
        <v>20.54</v>
      </c>
      <c r="O255" t="s">
        <v>131</v>
      </c>
    </row>
    <row r="256" spans="1:15">
      <c r="A256" s="166" t="s">
        <v>4788</v>
      </c>
      <c r="B256" t="s">
        <v>111</v>
      </c>
      <c r="C256" t="s">
        <v>136</v>
      </c>
      <c r="D256" t="s">
        <v>116</v>
      </c>
      <c r="E256" t="s">
        <v>418</v>
      </c>
      <c r="F256" t="s">
        <v>7</v>
      </c>
      <c r="G256" t="s">
        <v>130</v>
      </c>
      <c r="H256" s="1">
        <v>46123</v>
      </c>
      <c r="I256" t="s">
        <v>4789</v>
      </c>
      <c r="J256" t="s">
        <v>4790</v>
      </c>
      <c r="K256" t="s">
        <v>4791</v>
      </c>
      <c r="L256" t="s">
        <v>1582</v>
      </c>
      <c r="M256" t="s">
        <v>536</v>
      </c>
      <c r="N256" s="166">
        <v>24.9</v>
      </c>
      <c r="O256" t="s">
        <v>131</v>
      </c>
    </row>
    <row r="257" spans="1:15">
      <c r="A257" s="166" t="s">
        <v>4792</v>
      </c>
      <c r="B257" t="s">
        <v>111</v>
      </c>
      <c r="C257" t="s">
        <v>135</v>
      </c>
      <c r="D257" t="s">
        <v>116</v>
      </c>
      <c r="E257" t="s">
        <v>418</v>
      </c>
      <c r="F257" t="s">
        <v>7</v>
      </c>
      <c r="G257" t="s">
        <v>130</v>
      </c>
      <c r="H257" s="1">
        <v>46123</v>
      </c>
      <c r="I257" t="s">
        <v>4793</v>
      </c>
      <c r="J257" t="s">
        <v>4794</v>
      </c>
      <c r="K257" t="s">
        <v>3255</v>
      </c>
      <c r="L257" t="s">
        <v>2544</v>
      </c>
      <c r="M257" t="s">
        <v>3138</v>
      </c>
      <c r="N257" s="166">
        <v>21.94</v>
      </c>
      <c r="O257" t="s">
        <v>131</v>
      </c>
    </row>
    <row r="258" spans="1:15">
      <c r="A258" s="166" t="s">
        <v>3905</v>
      </c>
      <c r="B258" t="s">
        <v>111</v>
      </c>
      <c r="C258" t="s">
        <v>133</v>
      </c>
      <c r="D258" t="s">
        <v>116</v>
      </c>
      <c r="E258" t="s">
        <v>418</v>
      </c>
      <c r="F258" t="s">
        <v>7</v>
      </c>
      <c r="G258" t="s">
        <v>130</v>
      </c>
      <c r="H258" s="1">
        <v>46123</v>
      </c>
      <c r="I258" t="s">
        <v>4795</v>
      </c>
      <c r="J258" t="s">
        <v>4796</v>
      </c>
      <c r="K258" t="s">
        <v>2839</v>
      </c>
      <c r="L258" t="s">
        <v>645</v>
      </c>
      <c r="M258" t="s">
        <v>4797</v>
      </c>
      <c r="N258" s="166">
        <v>24.6</v>
      </c>
      <c r="O258" t="s">
        <v>131</v>
      </c>
    </row>
    <row r="259" spans="1:15">
      <c r="A259" s="166" t="s">
        <v>4798</v>
      </c>
      <c r="B259" t="s">
        <v>111</v>
      </c>
      <c r="C259" t="s">
        <v>135</v>
      </c>
      <c r="D259" t="s">
        <v>116</v>
      </c>
      <c r="E259" t="s">
        <v>418</v>
      </c>
      <c r="F259" t="s">
        <v>7</v>
      </c>
      <c r="G259" t="s">
        <v>130</v>
      </c>
      <c r="H259" s="1">
        <v>46123</v>
      </c>
      <c r="I259" t="s">
        <v>4799</v>
      </c>
      <c r="J259" t="s">
        <v>4800</v>
      </c>
      <c r="K259" t="s">
        <v>999</v>
      </c>
      <c r="L259" t="s">
        <v>154</v>
      </c>
      <c r="M259" t="s">
        <v>4801</v>
      </c>
      <c r="N259" s="166">
        <v>26.14</v>
      </c>
      <c r="O259" t="s">
        <v>131</v>
      </c>
    </row>
    <row r="260" spans="1:15">
      <c r="A260" s="166" t="s">
        <v>4802</v>
      </c>
      <c r="B260" t="s">
        <v>111</v>
      </c>
      <c r="C260" t="s">
        <v>136</v>
      </c>
      <c r="D260" t="s">
        <v>116</v>
      </c>
      <c r="E260" t="s">
        <v>418</v>
      </c>
      <c r="F260" t="s">
        <v>7</v>
      </c>
      <c r="G260" t="s">
        <v>130</v>
      </c>
      <c r="H260" s="1">
        <v>46123</v>
      </c>
      <c r="I260" t="s">
        <v>4803</v>
      </c>
      <c r="J260" t="s">
        <v>4804</v>
      </c>
      <c r="K260" t="s">
        <v>4805</v>
      </c>
      <c r="L260" t="s">
        <v>907</v>
      </c>
      <c r="M260" t="s">
        <v>731</v>
      </c>
      <c r="N260" s="166">
        <v>20.82</v>
      </c>
      <c r="O260" t="s">
        <v>131</v>
      </c>
    </row>
    <row r="261" spans="1:15">
      <c r="A261" s="166" t="s">
        <v>4806</v>
      </c>
      <c r="B261" t="s">
        <v>111</v>
      </c>
      <c r="C261" t="s">
        <v>133</v>
      </c>
      <c r="D261" t="s">
        <v>116</v>
      </c>
      <c r="E261" t="s">
        <v>418</v>
      </c>
      <c r="F261" t="s">
        <v>7</v>
      </c>
      <c r="G261" t="s">
        <v>130</v>
      </c>
      <c r="H261" s="1">
        <v>46123</v>
      </c>
      <c r="I261" t="s">
        <v>4807</v>
      </c>
      <c r="J261" t="s">
        <v>4808</v>
      </c>
      <c r="K261" t="s">
        <v>485</v>
      </c>
      <c r="L261" t="s">
        <v>772</v>
      </c>
      <c r="M261" t="s">
        <v>871</v>
      </c>
      <c r="N261" s="166">
        <v>22.86</v>
      </c>
      <c r="O261" t="s">
        <v>131</v>
      </c>
    </row>
    <row r="262" spans="1:15">
      <c r="A262" s="166" t="s">
        <v>4809</v>
      </c>
      <c r="B262" t="s">
        <v>111</v>
      </c>
      <c r="C262" t="s">
        <v>135</v>
      </c>
      <c r="D262" t="s">
        <v>116</v>
      </c>
      <c r="E262" t="s">
        <v>418</v>
      </c>
      <c r="F262" t="s">
        <v>7</v>
      </c>
      <c r="G262" t="s">
        <v>130</v>
      </c>
      <c r="H262" s="1">
        <v>46123</v>
      </c>
      <c r="I262" t="s">
        <v>4810</v>
      </c>
      <c r="J262" t="s">
        <v>4811</v>
      </c>
      <c r="K262" t="s">
        <v>192</v>
      </c>
      <c r="L262" t="s">
        <v>427</v>
      </c>
      <c r="M262" t="s">
        <v>176</v>
      </c>
      <c r="N262" s="166">
        <v>23.02</v>
      </c>
      <c r="O262" t="s">
        <v>131</v>
      </c>
    </row>
    <row r="263" spans="1:15">
      <c r="A263" s="166" t="s">
        <v>4812</v>
      </c>
      <c r="B263" t="s">
        <v>111</v>
      </c>
      <c r="C263" t="s">
        <v>136</v>
      </c>
      <c r="D263" t="s">
        <v>116</v>
      </c>
      <c r="E263" t="s">
        <v>418</v>
      </c>
      <c r="F263" t="s">
        <v>7</v>
      </c>
      <c r="G263" t="s">
        <v>130</v>
      </c>
      <c r="H263" s="1">
        <v>46123</v>
      </c>
      <c r="I263" t="s">
        <v>4813</v>
      </c>
      <c r="J263" t="s">
        <v>4814</v>
      </c>
      <c r="K263" t="s">
        <v>4815</v>
      </c>
      <c r="L263" t="s">
        <v>845</v>
      </c>
      <c r="M263" t="s">
        <v>3207</v>
      </c>
      <c r="N263" s="166">
        <v>22</v>
      </c>
      <c r="O263" t="s">
        <v>131</v>
      </c>
    </row>
    <row r="264" spans="1:15">
      <c r="A264" s="166" t="s">
        <v>4816</v>
      </c>
      <c r="B264" t="s">
        <v>111</v>
      </c>
      <c r="C264" t="s">
        <v>133</v>
      </c>
      <c r="D264" t="s">
        <v>116</v>
      </c>
      <c r="E264" t="s">
        <v>418</v>
      </c>
      <c r="F264" t="s">
        <v>7</v>
      </c>
      <c r="G264" t="s">
        <v>130</v>
      </c>
      <c r="H264" s="1">
        <v>46123</v>
      </c>
      <c r="I264" t="s">
        <v>4817</v>
      </c>
      <c r="J264" t="s">
        <v>4818</v>
      </c>
      <c r="K264" t="s">
        <v>610</v>
      </c>
      <c r="L264" t="s">
        <v>2095</v>
      </c>
      <c r="M264" t="s">
        <v>1473</v>
      </c>
      <c r="N264" s="166">
        <v>21.34</v>
      </c>
      <c r="O264" t="s">
        <v>131</v>
      </c>
    </row>
    <row r="265" spans="1:15">
      <c r="A265" s="166" t="s">
        <v>4819</v>
      </c>
      <c r="B265" t="s">
        <v>111</v>
      </c>
      <c r="C265" t="s">
        <v>135</v>
      </c>
      <c r="D265" t="s">
        <v>116</v>
      </c>
      <c r="E265" t="s">
        <v>418</v>
      </c>
      <c r="F265" t="s">
        <v>7</v>
      </c>
      <c r="G265" t="s">
        <v>130</v>
      </c>
      <c r="H265" s="1">
        <v>46123</v>
      </c>
      <c r="I265" t="s">
        <v>4820</v>
      </c>
      <c r="J265" t="s">
        <v>4821</v>
      </c>
      <c r="K265" t="s">
        <v>192</v>
      </c>
      <c r="L265" t="s">
        <v>720</v>
      </c>
      <c r="M265" t="s">
        <v>1206</v>
      </c>
      <c r="N265" s="166">
        <v>22.66</v>
      </c>
      <c r="O265" t="s">
        <v>131</v>
      </c>
    </row>
    <row r="266" spans="1:15">
      <c r="A266" s="166" t="s">
        <v>4822</v>
      </c>
      <c r="B266" t="s">
        <v>111</v>
      </c>
      <c r="C266" t="s">
        <v>136</v>
      </c>
      <c r="D266" t="s">
        <v>116</v>
      </c>
      <c r="E266" t="s">
        <v>418</v>
      </c>
      <c r="F266" t="s">
        <v>7</v>
      </c>
      <c r="G266" t="s">
        <v>130</v>
      </c>
      <c r="H266" s="1">
        <v>46123</v>
      </c>
      <c r="I266" t="s">
        <v>4823</v>
      </c>
      <c r="J266" t="s">
        <v>4824</v>
      </c>
      <c r="K266" t="s">
        <v>719</v>
      </c>
      <c r="L266" t="s">
        <v>3040</v>
      </c>
      <c r="M266" t="s">
        <v>871</v>
      </c>
      <c r="N266" s="166">
        <v>22.86</v>
      </c>
      <c r="O266" t="s">
        <v>131</v>
      </c>
    </row>
    <row r="267" spans="1:15">
      <c r="A267" s="166" t="s">
        <v>4825</v>
      </c>
      <c r="B267" t="s">
        <v>111</v>
      </c>
      <c r="C267" t="s">
        <v>133</v>
      </c>
      <c r="D267" t="s">
        <v>116</v>
      </c>
      <c r="E267" t="s">
        <v>418</v>
      </c>
      <c r="F267" t="s">
        <v>7</v>
      </c>
      <c r="G267" t="s">
        <v>130</v>
      </c>
      <c r="H267" s="1">
        <v>46123</v>
      </c>
      <c r="I267" t="s">
        <v>4826</v>
      </c>
      <c r="J267" t="s">
        <v>4827</v>
      </c>
      <c r="K267" t="s">
        <v>177</v>
      </c>
      <c r="L267" t="s">
        <v>1062</v>
      </c>
      <c r="M267" t="s">
        <v>601</v>
      </c>
      <c r="N267" s="166">
        <v>21.46</v>
      </c>
      <c r="O267" t="s">
        <v>131</v>
      </c>
    </row>
    <row r="268" spans="1:15">
      <c r="A268" s="166" t="s">
        <v>4828</v>
      </c>
      <c r="B268" t="s">
        <v>111</v>
      </c>
      <c r="C268" t="s">
        <v>135</v>
      </c>
      <c r="D268" t="s">
        <v>116</v>
      </c>
      <c r="E268" t="s">
        <v>418</v>
      </c>
      <c r="F268" t="s">
        <v>7</v>
      </c>
      <c r="G268" t="s">
        <v>130</v>
      </c>
      <c r="H268" s="1">
        <v>46123</v>
      </c>
      <c r="I268" t="s">
        <v>4829</v>
      </c>
      <c r="J268" t="s">
        <v>4830</v>
      </c>
      <c r="K268" t="s">
        <v>4381</v>
      </c>
      <c r="L268" t="s">
        <v>2568</v>
      </c>
      <c r="M268" t="s">
        <v>651</v>
      </c>
      <c r="N268" s="166">
        <v>22.42</v>
      </c>
      <c r="O268" t="s">
        <v>131</v>
      </c>
    </row>
    <row r="269" spans="1:15">
      <c r="A269" s="166" t="s">
        <v>4831</v>
      </c>
      <c r="B269" t="s">
        <v>111</v>
      </c>
      <c r="C269" t="s">
        <v>133</v>
      </c>
      <c r="D269" t="s">
        <v>116</v>
      </c>
      <c r="E269" t="s">
        <v>418</v>
      </c>
      <c r="F269" t="s">
        <v>7</v>
      </c>
      <c r="G269" t="s">
        <v>130</v>
      </c>
      <c r="H269" s="1">
        <v>46123</v>
      </c>
      <c r="I269" t="s">
        <v>4832</v>
      </c>
      <c r="J269" t="s">
        <v>4833</v>
      </c>
      <c r="K269" t="s">
        <v>225</v>
      </c>
      <c r="L269" t="s">
        <v>3441</v>
      </c>
      <c r="M269" t="s">
        <v>4834</v>
      </c>
      <c r="N269" s="166">
        <v>21.36</v>
      </c>
      <c r="O269" t="s">
        <v>131</v>
      </c>
    </row>
    <row r="270" spans="1:15">
      <c r="A270" s="166" t="s">
        <v>4835</v>
      </c>
      <c r="B270" t="s">
        <v>111</v>
      </c>
      <c r="C270" t="s">
        <v>135</v>
      </c>
      <c r="D270" t="s">
        <v>116</v>
      </c>
      <c r="E270" t="s">
        <v>418</v>
      </c>
      <c r="F270" t="s">
        <v>7</v>
      </c>
      <c r="G270" t="s">
        <v>130</v>
      </c>
      <c r="H270" s="1">
        <v>46123</v>
      </c>
      <c r="I270" t="s">
        <v>4836</v>
      </c>
      <c r="J270" t="s">
        <v>4837</v>
      </c>
      <c r="K270" t="s">
        <v>4838</v>
      </c>
      <c r="L270" t="s">
        <v>3635</v>
      </c>
      <c r="M270" t="s">
        <v>634</v>
      </c>
      <c r="N270" s="166">
        <v>21.06</v>
      </c>
      <c r="O270" t="s">
        <v>131</v>
      </c>
    </row>
    <row r="271" spans="1:15">
      <c r="A271" s="166" t="s">
        <v>4839</v>
      </c>
      <c r="B271" t="s">
        <v>111</v>
      </c>
      <c r="C271" t="s">
        <v>136</v>
      </c>
      <c r="D271" t="s">
        <v>116</v>
      </c>
      <c r="E271" t="s">
        <v>418</v>
      </c>
      <c r="F271" t="s">
        <v>7</v>
      </c>
      <c r="G271" t="s">
        <v>130</v>
      </c>
      <c r="H271" s="1">
        <v>46123</v>
      </c>
      <c r="I271" t="s">
        <v>4840</v>
      </c>
      <c r="J271" t="s">
        <v>4841</v>
      </c>
      <c r="K271" t="s">
        <v>3282</v>
      </c>
      <c r="L271" t="s">
        <v>3075</v>
      </c>
      <c r="M271" t="s">
        <v>767</v>
      </c>
      <c r="N271" s="166">
        <v>22.24</v>
      </c>
      <c r="O271" t="s">
        <v>131</v>
      </c>
    </row>
    <row r="272" spans="1:15">
      <c r="A272" s="166" t="s">
        <v>4842</v>
      </c>
      <c r="B272" t="s">
        <v>111</v>
      </c>
      <c r="C272" t="s">
        <v>133</v>
      </c>
      <c r="D272" t="s">
        <v>116</v>
      </c>
      <c r="E272" t="s">
        <v>418</v>
      </c>
      <c r="F272" t="s">
        <v>7</v>
      </c>
      <c r="G272" t="s">
        <v>130</v>
      </c>
      <c r="H272" s="1">
        <v>46123</v>
      </c>
      <c r="I272" t="s">
        <v>4843</v>
      </c>
      <c r="J272" t="s">
        <v>4844</v>
      </c>
      <c r="K272" t="s">
        <v>3524</v>
      </c>
      <c r="L272" t="s">
        <v>4556</v>
      </c>
      <c r="M272" t="s">
        <v>1323</v>
      </c>
      <c r="N272" s="166">
        <v>20.440000000000001</v>
      </c>
      <c r="O272" t="s">
        <v>131</v>
      </c>
    </row>
    <row r="273" spans="1:15">
      <c r="A273" s="166" t="s">
        <v>4845</v>
      </c>
      <c r="B273" t="s">
        <v>111</v>
      </c>
      <c r="C273" t="s">
        <v>135</v>
      </c>
      <c r="D273" t="s">
        <v>116</v>
      </c>
      <c r="E273" t="s">
        <v>418</v>
      </c>
      <c r="F273" t="s">
        <v>7</v>
      </c>
      <c r="G273" t="s">
        <v>130</v>
      </c>
      <c r="H273" s="1">
        <v>46123</v>
      </c>
      <c r="I273" t="s">
        <v>4846</v>
      </c>
      <c r="J273" t="s">
        <v>4847</v>
      </c>
      <c r="K273" t="s">
        <v>554</v>
      </c>
      <c r="L273" t="s">
        <v>2474</v>
      </c>
      <c r="M273" t="s">
        <v>1710</v>
      </c>
      <c r="N273" s="166">
        <v>19.46</v>
      </c>
      <c r="O273" t="s">
        <v>131</v>
      </c>
    </row>
    <row r="274" spans="1:15">
      <c r="A274" s="166" t="s">
        <v>4848</v>
      </c>
      <c r="B274" t="s">
        <v>111</v>
      </c>
      <c r="C274" t="s">
        <v>136</v>
      </c>
      <c r="D274" t="s">
        <v>116</v>
      </c>
      <c r="E274" t="s">
        <v>418</v>
      </c>
      <c r="F274" t="s">
        <v>6</v>
      </c>
      <c r="G274" t="s">
        <v>130</v>
      </c>
      <c r="H274" s="1">
        <v>46123</v>
      </c>
      <c r="I274" t="s">
        <v>4849</v>
      </c>
      <c r="J274" t="s">
        <v>4850</v>
      </c>
      <c r="K274" t="s">
        <v>4851</v>
      </c>
      <c r="L274" t="s">
        <v>1484</v>
      </c>
      <c r="M274" t="s">
        <v>1452</v>
      </c>
      <c r="N274" s="166">
        <v>22.96</v>
      </c>
      <c r="O274" t="s">
        <v>131</v>
      </c>
    </row>
    <row r="275" spans="1:15">
      <c r="A275" s="166" t="s">
        <v>4852</v>
      </c>
      <c r="B275" t="s">
        <v>111</v>
      </c>
      <c r="C275" t="s">
        <v>133</v>
      </c>
      <c r="D275" t="s">
        <v>116</v>
      </c>
      <c r="E275" t="s">
        <v>418</v>
      </c>
      <c r="F275" t="s">
        <v>6</v>
      </c>
      <c r="G275" t="s">
        <v>130</v>
      </c>
      <c r="H275" s="1">
        <v>46123</v>
      </c>
      <c r="I275" t="s">
        <v>4853</v>
      </c>
      <c r="J275" t="s">
        <v>4854</v>
      </c>
      <c r="K275" t="s">
        <v>3299</v>
      </c>
      <c r="L275" t="s">
        <v>3483</v>
      </c>
      <c r="M275" t="s">
        <v>1182</v>
      </c>
      <c r="N275" s="166">
        <v>23.18</v>
      </c>
      <c r="O275" t="s">
        <v>131</v>
      </c>
    </row>
    <row r="276" spans="1:15">
      <c r="A276" s="166" t="s">
        <v>4855</v>
      </c>
      <c r="B276" t="s">
        <v>111</v>
      </c>
      <c r="C276" t="s">
        <v>135</v>
      </c>
      <c r="D276" t="s">
        <v>116</v>
      </c>
      <c r="E276" t="s">
        <v>418</v>
      </c>
      <c r="F276" t="s">
        <v>6</v>
      </c>
      <c r="G276" t="s">
        <v>130</v>
      </c>
      <c r="H276" s="1">
        <v>46123</v>
      </c>
      <c r="I276" t="s">
        <v>4856</v>
      </c>
      <c r="J276" t="s">
        <v>4857</v>
      </c>
      <c r="K276" t="s">
        <v>4858</v>
      </c>
      <c r="L276" t="s">
        <v>3722</v>
      </c>
      <c r="M276" t="s">
        <v>995</v>
      </c>
      <c r="N276" s="166">
        <v>25.34</v>
      </c>
      <c r="O276" t="s">
        <v>131</v>
      </c>
    </row>
    <row r="277" spans="1:15">
      <c r="A277" s="166" t="s">
        <v>4859</v>
      </c>
      <c r="B277" t="s">
        <v>111</v>
      </c>
      <c r="C277" t="s">
        <v>136</v>
      </c>
      <c r="D277" t="s">
        <v>116</v>
      </c>
      <c r="E277" t="s">
        <v>418</v>
      </c>
      <c r="F277" t="s">
        <v>6</v>
      </c>
      <c r="G277" t="s">
        <v>130</v>
      </c>
      <c r="H277" s="1">
        <v>46123</v>
      </c>
      <c r="I277" t="s">
        <v>4860</v>
      </c>
      <c r="J277" t="s">
        <v>4861</v>
      </c>
      <c r="K277" t="s">
        <v>3211</v>
      </c>
      <c r="L277" t="s">
        <v>4521</v>
      </c>
      <c r="M277" t="s">
        <v>4862</v>
      </c>
      <c r="N277" s="166">
        <v>24.8</v>
      </c>
      <c r="O277" t="s">
        <v>131</v>
      </c>
    </row>
    <row r="278" spans="1:15">
      <c r="A278" s="166" t="s">
        <v>4863</v>
      </c>
      <c r="B278" t="s">
        <v>111</v>
      </c>
      <c r="C278" t="s">
        <v>133</v>
      </c>
      <c r="D278" t="s">
        <v>116</v>
      </c>
      <c r="E278" t="s">
        <v>418</v>
      </c>
      <c r="F278" t="s">
        <v>6</v>
      </c>
      <c r="G278" t="s">
        <v>130</v>
      </c>
      <c r="H278" s="1">
        <v>46123</v>
      </c>
      <c r="I278" t="s">
        <v>4864</v>
      </c>
      <c r="J278" t="s">
        <v>4865</v>
      </c>
      <c r="K278" t="s">
        <v>1214</v>
      </c>
      <c r="L278" t="s">
        <v>2450</v>
      </c>
      <c r="M278" t="s">
        <v>2297</v>
      </c>
      <c r="N278" s="166">
        <v>22.34</v>
      </c>
      <c r="O278" t="s">
        <v>131</v>
      </c>
    </row>
    <row r="279" spans="1:15">
      <c r="A279" s="166" t="s">
        <v>4866</v>
      </c>
      <c r="B279" t="s">
        <v>111</v>
      </c>
      <c r="C279" t="s">
        <v>135</v>
      </c>
      <c r="D279" t="s">
        <v>116</v>
      </c>
      <c r="E279" t="s">
        <v>418</v>
      </c>
      <c r="F279" t="s">
        <v>6</v>
      </c>
      <c r="G279" t="s">
        <v>130</v>
      </c>
      <c r="H279" s="1">
        <v>46123</v>
      </c>
      <c r="I279" t="s">
        <v>4867</v>
      </c>
      <c r="J279" t="s">
        <v>4868</v>
      </c>
      <c r="K279" t="s">
        <v>2857</v>
      </c>
      <c r="L279" t="s">
        <v>2067</v>
      </c>
      <c r="M279" t="s">
        <v>3041</v>
      </c>
      <c r="N279" s="166">
        <v>22.6</v>
      </c>
      <c r="O279" t="s">
        <v>131</v>
      </c>
    </row>
    <row r="280" spans="1:15">
      <c r="A280" s="166" t="s">
        <v>4869</v>
      </c>
      <c r="B280" t="s">
        <v>111</v>
      </c>
      <c r="C280" t="s">
        <v>136</v>
      </c>
      <c r="D280" t="s">
        <v>116</v>
      </c>
      <c r="E280" t="s">
        <v>418</v>
      </c>
      <c r="F280" t="s">
        <v>6</v>
      </c>
      <c r="G280" t="s">
        <v>130</v>
      </c>
      <c r="H280" s="1">
        <v>46123</v>
      </c>
      <c r="I280" t="s">
        <v>4870</v>
      </c>
      <c r="J280" t="s">
        <v>4871</v>
      </c>
      <c r="K280" t="s">
        <v>3233</v>
      </c>
      <c r="L280" t="s">
        <v>1404</v>
      </c>
      <c r="M280" t="s">
        <v>187</v>
      </c>
      <c r="N280" s="166">
        <v>22.74</v>
      </c>
      <c r="O280" t="s">
        <v>131</v>
      </c>
    </row>
    <row r="281" spans="1:15">
      <c r="A281" s="166" t="s">
        <v>4872</v>
      </c>
      <c r="B281" t="s">
        <v>111</v>
      </c>
      <c r="C281" t="s">
        <v>133</v>
      </c>
      <c r="D281" t="s">
        <v>116</v>
      </c>
      <c r="E281" t="s">
        <v>418</v>
      </c>
      <c r="F281" t="s">
        <v>6</v>
      </c>
      <c r="G281" t="s">
        <v>130</v>
      </c>
      <c r="H281" s="1">
        <v>46123</v>
      </c>
      <c r="I281" t="s">
        <v>4873</v>
      </c>
      <c r="J281" t="s">
        <v>4874</v>
      </c>
      <c r="K281" t="s">
        <v>2585</v>
      </c>
      <c r="L281" t="s">
        <v>4875</v>
      </c>
      <c r="M281" t="s">
        <v>1057</v>
      </c>
      <c r="N281" s="166">
        <v>20.14</v>
      </c>
      <c r="O281" t="s">
        <v>131</v>
      </c>
    </row>
    <row r="282" spans="1:15">
      <c r="A282" s="166" t="s">
        <v>4876</v>
      </c>
      <c r="B282" t="s">
        <v>111</v>
      </c>
      <c r="C282" t="s">
        <v>135</v>
      </c>
      <c r="D282" t="s">
        <v>116</v>
      </c>
      <c r="E282" t="s">
        <v>418</v>
      </c>
      <c r="F282" t="s">
        <v>6</v>
      </c>
      <c r="G282" t="s">
        <v>130</v>
      </c>
      <c r="H282" s="1">
        <v>46123</v>
      </c>
      <c r="I282" t="s">
        <v>4877</v>
      </c>
      <c r="J282" t="s">
        <v>4878</v>
      </c>
      <c r="K282" t="s">
        <v>4879</v>
      </c>
      <c r="L282" t="s">
        <v>1263</v>
      </c>
      <c r="M282" t="s">
        <v>2745</v>
      </c>
      <c r="N282" s="166">
        <v>20.78</v>
      </c>
      <c r="O282" t="s">
        <v>131</v>
      </c>
    </row>
    <row r="283" spans="1:15">
      <c r="A283" s="166" t="s">
        <v>4880</v>
      </c>
      <c r="B283" t="s">
        <v>111</v>
      </c>
      <c r="C283" t="s">
        <v>136</v>
      </c>
      <c r="D283" t="s">
        <v>116</v>
      </c>
      <c r="E283" t="s">
        <v>418</v>
      </c>
      <c r="F283" t="s">
        <v>7</v>
      </c>
      <c r="G283" t="s">
        <v>130</v>
      </c>
      <c r="H283" s="1">
        <v>46123</v>
      </c>
      <c r="I283" t="s">
        <v>4881</v>
      </c>
      <c r="J283" t="s">
        <v>4882</v>
      </c>
      <c r="K283" t="s">
        <v>1056</v>
      </c>
      <c r="L283" t="s">
        <v>1072</v>
      </c>
      <c r="M283" t="s">
        <v>194</v>
      </c>
      <c r="N283" s="166">
        <v>20.399999999999999</v>
      </c>
      <c r="O283" t="s">
        <v>131</v>
      </c>
    </row>
    <row r="284" spans="1:15">
      <c r="A284" s="166" t="s">
        <v>4883</v>
      </c>
      <c r="B284" t="s">
        <v>111</v>
      </c>
      <c r="C284" t="s">
        <v>133</v>
      </c>
      <c r="D284" t="s">
        <v>116</v>
      </c>
      <c r="E284" t="s">
        <v>418</v>
      </c>
      <c r="F284" t="s">
        <v>7</v>
      </c>
      <c r="G284" t="s">
        <v>130</v>
      </c>
      <c r="H284" s="1">
        <v>46123</v>
      </c>
      <c r="I284" t="s">
        <v>4884</v>
      </c>
      <c r="J284" t="s">
        <v>4885</v>
      </c>
      <c r="K284" t="s">
        <v>205</v>
      </c>
      <c r="L284" t="s">
        <v>2474</v>
      </c>
      <c r="M284" t="s">
        <v>1425</v>
      </c>
      <c r="N284" s="166">
        <v>19.52</v>
      </c>
      <c r="O284" t="s">
        <v>131</v>
      </c>
    </row>
    <row r="285" spans="1:15">
      <c r="A285" s="166" t="s">
        <v>4886</v>
      </c>
      <c r="B285" t="s">
        <v>111</v>
      </c>
      <c r="C285" t="s">
        <v>135</v>
      </c>
      <c r="D285" t="s">
        <v>116</v>
      </c>
      <c r="E285" t="s">
        <v>418</v>
      </c>
      <c r="F285" t="s">
        <v>7</v>
      </c>
      <c r="G285" t="s">
        <v>130</v>
      </c>
      <c r="H285" s="1">
        <v>46123</v>
      </c>
      <c r="I285" t="s">
        <v>4887</v>
      </c>
      <c r="J285" t="s">
        <v>4888</v>
      </c>
      <c r="K285" t="s">
        <v>514</v>
      </c>
      <c r="L285" t="s">
        <v>162</v>
      </c>
      <c r="M285" t="s">
        <v>530</v>
      </c>
      <c r="N285" s="166">
        <v>21</v>
      </c>
      <c r="O285" t="s">
        <v>131</v>
      </c>
    </row>
    <row r="286" spans="1:15">
      <c r="A286" s="166" t="s">
        <v>4889</v>
      </c>
      <c r="B286" t="s">
        <v>111</v>
      </c>
      <c r="C286" t="s">
        <v>136</v>
      </c>
      <c r="D286" t="s">
        <v>116</v>
      </c>
      <c r="E286" t="s">
        <v>418</v>
      </c>
      <c r="F286" t="s">
        <v>7</v>
      </c>
      <c r="G286" t="s">
        <v>130</v>
      </c>
      <c r="H286" s="1">
        <v>46123</v>
      </c>
      <c r="I286" t="s">
        <v>4890</v>
      </c>
      <c r="J286" t="s">
        <v>4891</v>
      </c>
      <c r="K286" t="s">
        <v>2340</v>
      </c>
      <c r="L286" t="s">
        <v>616</v>
      </c>
      <c r="M286" t="s">
        <v>1057</v>
      </c>
      <c r="N286" s="166">
        <v>20.14</v>
      </c>
      <c r="O286" t="s">
        <v>131</v>
      </c>
    </row>
    <row r="287" spans="1:15">
      <c r="A287" s="166" t="s">
        <v>4892</v>
      </c>
      <c r="B287" t="s">
        <v>111</v>
      </c>
      <c r="C287" t="s">
        <v>135</v>
      </c>
      <c r="D287" t="s">
        <v>116</v>
      </c>
      <c r="E287" t="s">
        <v>418</v>
      </c>
      <c r="F287" t="s">
        <v>7</v>
      </c>
      <c r="G287" t="s">
        <v>130</v>
      </c>
      <c r="H287" s="1">
        <v>46123</v>
      </c>
      <c r="I287" t="s">
        <v>4893</v>
      </c>
      <c r="J287" t="s">
        <v>4894</v>
      </c>
      <c r="K287" t="s">
        <v>3942</v>
      </c>
      <c r="L287" t="s">
        <v>2184</v>
      </c>
      <c r="M287" t="s">
        <v>207</v>
      </c>
      <c r="N287" s="166">
        <v>20.92</v>
      </c>
      <c r="O287" t="s">
        <v>131</v>
      </c>
    </row>
    <row r="288" spans="1:15">
      <c r="A288" s="166" t="s">
        <v>4895</v>
      </c>
      <c r="B288" t="s">
        <v>111</v>
      </c>
      <c r="C288" t="s">
        <v>133</v>
      </c>
      <c r="D288" t="s">
        <v>116</v>
      </c>
      <c r="E288" t="s">
        <v>418</v>
      </c>
      <c r="F288" t="s">
        <v>7</v>
      </c>
      <c r="G288" t="s">
        <v>130</v>
      </c>
      <c r="H288" s="1">
        <v>46123</v>
      </c>
      <c r="I288" t="s">
        <v>4896</v>
      </c>
      <c r="J288" t="s">
        <v>4897</v>
      </c>
      <c r="K288" t="s">
        <v>448</v>
      </c>
      <c r="L288" t="s">
        <v>4875</v>
      </c>
      <c r="M288" t="s">
        <v>1922</v>
      </c>
      <c r="N288" s="166">
        <v>18.920000000000002</v>
      </c>
      <c r="O288" t="s">
        <v>131</v>
      </c>
    </row>
    <row r="289" spans="1:15">
      <c r="A289" s="166" t="s">
        <v>4898</v>
      </c>
      <c r="B289" t="s">
        <v>111</v>
      </c>
      <c r="C289" t="s">
        <v>136</v>
      </c>
      <c r="D289" t="s">
        <v>116</v>
      </c>
      <c r="E289" t="s">
        <v>418</v>
      </c>
      <c r="F289" t="s">
        <v>7</v>
      </c>
      <c r="G289" t="s">
        <v>130</v>
      </c>
      <c r="H289" s="1">
        <v>46123</v>
      </c>
      <c r="I289" t="s">
        <v>4899</v>
      </c>
      <c r="J289" t="s">
        <v>4900</v>
      </c>
      <c r="K289" t="s">
        <v>4468</v>
      </c>
      <c r="L289" t="s">
        <v>1835</v>
      </c>
      <c r="M289" t="s">
        <v>184</v>
      </c>
      <c r="N289" s="166">
        <v>20.98</v>
      </c>
      <c r="O289" t="s">
        <v>131</v>
      </c>
    </row>
    <row r="290" spans="1:15">
      <c r="A290" s="166" t="s">
        <v>4901</v>
      </c>
      <c r="B290" t="s">
        <v>111</v>
      </c>
      <c r="C290" t="s">
        <v>135</v>
      </c>
      <c r="D290" t="s">
        <v>116</v>
      </c>
      <c r="E290" t="s">
        <v>418</v>
      </c>
      <c r="F290" t="s">
        <v>7</v>
      </c>
      <c r="G290" t="s">
        <v>130</v>
      </c>
      <c r="H290" s="1">
        <v>46123</v>
      </c>
      <c r="I290" t="s">
        <v>4902</v>
      </c>
      <c r="J290" t="s">
        <v>4903</v>
      </c>
      <c r="K290" t="s">
        <v>627</v>
      </c>
      <c r="L290" t="s">
        <v>1881</v>
      </c>
      <c r="M290" t="s">
        <v>2175</v>
      </c>
      <c r="N290" s="166">
        <v>19.760000000000002</v>
      </c>
      <c r="O290" t="s">
        <v>131</v>
      </c>
    </row>
    <row r="291" spans="1:15">
      <c r="A291" s="166" t="s">
        <v>4904</v>
      </c>
      <c r="B291" t="s">
        <v>111</v>
      </c>
      <c r="C291" t="s">
        <v>133</v>
      </c>
      <c r="D291" t="s">
        <v>116</v>
      </c>
      <c r="E291" t="s">
        <v>418</v>
      </c>
      <c r="F291" t="s">
        <v>7</v>
      </c>
      <c r="G291" t="s">
        <v>130</v>
      </c>
      <c r="H291" s="1">
        <v>46123</v>
      </c>
      <c r="I291" t="s">
        <v>4905</v>
      </c>
      <c r="J291" t="s">
        <v>4906</v>
      </c>
      <c r="K291" t="s">
        <v>1697</v>
      </c>
      <c r="L291" t="s">
        <v>3722</v>
      </c>
      <c r="M291" t="s">
        <v>3318</v>
      </c>
      <c r="N291" s="166">
        <v>17.62</v>
      </c>
      <c r="O291" t="s">
        <v>131</v>
      </c>
    </row>
    <row r="292" spans="1:15">
      <c r="A292" s="166" t="s">
        <v>4907</v>
      </c>
      <c r="B292" t="s">
        <v>111</v>
      </c>
      <c r="C292" t="s">
        <v>136</v>
      </c>
      <c r="D292" t="s">
        <v>116</v>
      </c>
      <c r="E292" t="s">
        <v>418</v>
      </c>
      <c r="F292" t="s">
        <v>7</v>
      </c>
      <c r="G292" t="s">
        <v>130</v>
      </c>
      <c r="H292" s="1">
        <v>46123</v>
      </c>
      <c r="I292" t="s">
        <v>4908</v>
      </c>
      <c r="J292" t="s">
        <v>4909</v>
      </c>
      <c r="K292" t="s">
        <v>192</v>
      </c>
      <c r="L292" t="s">
        <v>1493</v>
      </c>
      <c r="M292" t="s">
        <v>493</v>
      </c>
      <c r="N292" s="166">
        <v>22.16</v>
      </c>
      <c r="O292" t="s">
        <v>131</v>
      </c>
    </row>
    <row r="293" spans="1:15">
      <c r="A293" s="166" t="s">
        <v>4910</v>
      </c>
      <c r="B293" t="s">
        <v>111</v>
      </c>
      <c r="C293" t="s">
        <v>135</v>
      </c>
      <c r="D293" t="s">
        <v>116</v>
      </c>
      <c r="E293" t="s">
        <v>418</v>
      </c>
      <c r="F293" t="s">
        <v>7</v>
      </c>
      <c r="G293" t="s">
        <v>130</v>
      </c>
      <c r="H293" s="1">
        <v>46123</v>
      </c>
      <c r="I293" t="s">
        <v>4911</v>
      </c>
      <c r="J293" t="s">
        <v>4912</v>
      </c>
      <c r="K293" t="s">
        <v>1080</v>
      </c>
      <c r="L293" t="s">
        <v>1101</v>
      </c>
      <c r="M293" t="s">
        <v>4834</v>
      </c>
      <c r="N293" s="166">
        <v>21.36</v>
      </c>
      <c r="O293" t="s">
        <v>131</v>
      </c>
    </row>
    <row r="294" spans="1:15">
      <c r="A294" s="166" t="s">
        <v>4913</v>
      </c>
      <c r="B294" t="s">
        <v>111</v>
      </c>
      <c r="C294" t="s">
        <v>133</v>
      </c>
      <c r="D294" t="s">
        <v>116</v>
      </c>
      <c r="E294" t="s">
        <v>418</v>
      </c>
      <c r="F294" t="s">
        <v>7</v>
      </c>
      <c r="G294" t="s">
        <v>130</v>
      </c>
      <c r="H294" s="1">
        <v>46123</v>
      </c>
      <c r="I294" t="s">
        <v>4914</v>
      </c>
      <c r="J294" t="s">
        <v>4915</v>
      </c>
      <c r="K294" t="s">
        <v>3942</v>
      </c>
      <c r="L294" t="s">
        <v>1404</v>
      </c>
      <c r="M294" t="s">
        <v>3653</v>
      </c>
      <c r="N294" s="166">
        <v>18.440000000000001</v>
      </c>
      <c r="O294" t="s">
        <v>131</v>
      </c>
    </row>
    <row r="295" spans="1:15">
      <c r="A295" s="166" t="s">
        <v>4916</v>
      </c>
      <c r="B295" t="s">
        <v>111</v>
      </c>
      <c r="C295" t="s">
        <v>136</v>
      </c>
      <c r="D295" t="s">
        <v>116</v>
      </c>
      <c r="E295" t="s">
        <v>418</v>
      </c>
      <c r="F295" t="s">
        <v>7</v>
      </c>
      <c r="G295" t="s">
        <v>130</v>
      </c>
      <c r="H295" s="1">
        <v>46123</v>
      </c>
      <c r="I295" t="s">
        <v>4917</v>
      </c>
      <c r="J295" t="s">
        <v>4918</v>
      </c>
      <c r="K295" t="s">
        <v>4527</v>
      </c>
      <c r="L295" t="s">
        <v>2095</v>
      </c>
      <c r="M295" t="s">
        <v>826</v>
      </c>
      <c r="N295" s="166">
        <v>20.38</v>
      </c>
      <c r="O295" t="s">
        <v>131</v>
      </c>
    </row>
    <row r="296" spans="1:15">
      <c r="A296" s="166" t="s">
        <v>4919</v>
      </c>
      <c r="B296" t="s">
        <v>111</v>
      </c>
      <c r="C296" t="s">
        <v>135</v>
      </c>
      <c r="D296" t="s">
        <v>116</v>
      </c>
      <c r="E296" t="s">
        <v>418</v>
      </c>
      <c r="F296" t="s">
        <v>7</v>
      </c>
      <c r="G296" t="s">
        <v>130</v>
      </c>
      <c r="H296" s="1">
        <v>46123</v>
      </c>
      <c r="I296" t="s">
        <v>4920</v>
      </c>
      <c r="J296" t="s">
        <v>4921</v>
      </c>
      <c r="K296" t="s">
        <v>2351</v>
      </c>
      <c r="L296" t="s">
        <v>2545</v>
      </c>
      <c r="M296" t="s">
        <v>1385</v>
      </c>
      <c r="N296" s="166">
        <v>19.78</v>
      </c>
      <c r="O296" t="s">
        <v>131</v>
      </c>
    </row>
    <row r="297" spans="1:15">
      <c r="A297" s="166" t="s">
        <v>4922</v>
      </c>
      <c r="B297" t="s">
        <v>111</v>
      </c>
      <c r="C297" t="s">
        <v>133</v>
      </c>
      <c r="D297" t="s">
        <v>116</v>
      </c>
      <c r="E297" t="s">
        <v>418</v>
      </c>
      <c r="F297" t="s">
        <v>7</v>
      </c>
      <c r="G297" t="s">
        <v>130</v>
      </c>
      <c r="H297" s="1">
        <v>46123</v>
      </c>
      <c r="I297" t="s">
        <v>4923</v>
      </c>
      <c r="J297" t="s">
        <v>4924</v>
      </c>
      <c r="K297" t="s">
        <v>438</v>
      </c>
      <c r="L297" t="s">
        <v>1086</v>
      </c>
      <c r="M297" t="s">
        <v>1114</v>
      </c>
      <c r="N297" s="166">
        <v>17.8</v>
      </c>
      <c r="O297" t="s">
        <v>131</v>
      </c>
    </row>
    <row r="298" spans="1:15">
      <c r="A298" s="166" t="s">
        <v>1295</v>
      </c>
      <c r="B298" t="s">
        <v>111</v>
      </c>
      <c r="C298" t="s">
        <v>136</v>
      </c>
      <c r="D298" t="s">
        <v>116</v>
      </c>
      <c r="E298" t="s">
        <v>418</v>
      </c>
      <c r="F298" t="s">
        <v>7</v>
      </c>
      <c r="G298" t="s">
        <v>130</v>
      </c>
      <c r="H298" s="1">
        <v>46123</v>
      </c>
      <c r="I298" t="s">
        <v>4925</v>
      </c>
      <c r="J298" t="s">
        <v>4926</v>
      </c>
      <c r="K298" t="s">
        <v>1342</v>
      </c>
      <c r="L298" t="s">
        <v>856</v>
      </c>
      <c r="M298" t="s">
        <v>4927</v>
      </c>
      <c r="N298" s="166">
        <v>18.04</v>
      </c>
      <c r="O298" t="s">
        <v>131</v>
      </c>
    </row>
    <row r="299" spans="1:15">
      <c r="A299" s="166" t="s">
        <v>4928</v>
      </c>
      <c r="B299" t="s">
        <v>111</v>
      </c>
      <c r="C299" t="s">
        <v>133</v>
      </c>
      <c r="D299" t="s">
        <v>116</v>
      </c>
      <c r="E299" t="s">
        <v>418</v>
      </c>
      <c r="F299" t="s">
        <v>7</v>
      </c>
      <c r="G299" t="s">
        <v>130</v>
      </c>
      <c r="H299" s="1">
        <v>46123</v>
      </c>
      <c r="I299" t="s">
        <v>4929</v>
      </c>
      <c r="J299" t="s">
        <v>4930</v>
      </c>
      <c r="K299" t="s">
        <v>2135</v>
      </c>
      <c r="L299" t="s">
        <v>1430</v>
      </c>
      <c r="M299" t="s">
        <v>2058</v>
      </c>
      <c r="N299" s="166">
        <v>16.079999999999998</v>
      </c>
      <c r="O299" t="s">
        <v>131</v>
      </c>
    </row>
    <row r="300" spans="1:15">
      <c r="A300" s="166" t="s">
        <v>4931</v>
      </c>
      <c r="B300" t="s">
        <v>111</v>
      </c>
      <c r="C300" t="s">
        <v>136</v>
      </c>
      <c r="D300" t="s">
        <v>116</v>
      </c>
      <c r="E300" t="s">
        <v>418</v>
      </c>
      <c r="F300" t="s">
        <v>7</v>
      </c>
      <c r="G300" t="s">
        <v>130</v>
      </c>
      <c r="H300" s="1">
        <v>46123</v>
      </c>
      <c r="I300" t="s">
        <v>4932</v>
      </c>
      <c r="J300" t="s">
        <v>4933</v>
      </c>
      <c r="K300" t="s">
        <v>3178</v>
      </c>
      <c r="L300" t="s">
        <v>1280</v>
      </c>
      <c r="M300" t="s">
        <v>3864</v>
      </c>
      <c r="N300" s="166">
        <v>20.16</v>
      </c>
      <c r="O300" t="s">
        <v>131</v>
      </c>
    </row>
    <row r="301" spans="1:15">
      <c r="A301" s="166" t="s">
        <v>4934</v>
      </c>
      <c r="B301" t="s">
        <v>111</v>
      </c>
      <c r="C301" t="s">
        <v>133</v>
      </c>
      <c r="D301" t="s">
        <v>116</v>
      </c>
      <c r="E301" t="s">
        <v>418</v>
      </c>
      <c r="F301" t="s">
        <v>7</v>
      </c>
      <c r="G301" t="s">
        <v>130</v>
      </c>
      <c r="H301" s="1">
        <v>46123</v>
      </c>
      <c r="I301" t="s">
        <v>4935</v>
      </c>
      <c r="J301" t="s">
        <v>4936</v>
      </c>
      <c r="K301" t="s">
        <v>448</v>
      </c>
      <c r="L301" t="s">
        <v>1468</v>
      </c>
      <c r="M301" t="s">
        <v>2473</v>
      </c>
      <c r="N301" s="166">
        <v>17.66</v>
      </c>
      <c r="O301" t="s">
        <v>131</v>
      </c>
    </row>
    <row r="302" spans="1:15">
      <c r="A302" s="166" t="s">
        <v>4937</v>
      </c>
      <c r="B302" t="s">
        <v>111</v>
      </c>
      <c r="C302" t="s">
        <v>136</v>
      </c>
      <c r="D302" t="s">
        <v>116</v>
      </c>
      <c r="E302" t="s">
        <v>418</v>
      </c>
      <c r="F302" t="s">
        <v>7</v>
      </c>
      <c r="G302" t="s">
        <v>130</v>
      </c>
      <c r="H302" s="1">
        <v>46123</v>
      </c>
      <c r="I302" t="s">
        <v>4938</v>
      </c>
      <c r="J302" t="s">
        <v>4939</v>
      </c>
      <c r="K302" t="s">
        <v>1818</v>
      </c>
      <c r="L302" t="s">
        <v>2568</v>
      </c>
      <c r="M302" t="s">
        <v>1127</v>
      </c>
      <c r="N302" s="166">
        <v>19.920000000000002</v>
      </c>
      <c r="O302" t="s">
        <v>131</v>
      </c>
    </row>
    <row r="303" spans="1:15">
      <c r="A303" s="166" t="s">
        <v>4940</v>
      </c>
      <c r="B303" t="s">
        <v>111</v>
      </c>
      <c r="C303" t="s">
        <v>135</v>
      </c>
      <c r="D303" t="s">
        <v>116</v>
      </c>
      <c r="E303" t="s">
        <v>418</v>
      </c>
      <c r="F303" t="s">
        <v>7</v>
      </c>
      <c r="G303" t="s">
        <v>130</v>
      </c>
      <c r="H303" s="1">
        <v>46123</v>
      </c>
      <c r="I303" t="s">
        <v>4941</v>
      </c>
      <c r="J303" t="s">
        <v>4942</v>
      </c>
      <c r="K303" t="s">
        <v>1846</v>
      </c>
      <c r="L303" t="s">
        <v>1257</v>
      </c>
      <c r="M303" t="s">
        <v>4943</v>
      </c>
      <c r="N303" s="166">
        <v>2.72</v>
      </c>
      <c r="O303" t="s">
        <v>131</v>
      </c>
    </row>
    <row r="304" spans="1:15">
      <c r="A304" s="166" t="s">
        <v>4944</v>
      </c>
      <c r="B304" t="s">
        <v>111</v>
      </c>
      <c r="C304" t="s">
        <v>136</v>
      </c>
      <c r="D304" t="s">
        <v>116</v>
      </c>
      <c r="E304" t="s">
        <v>418</v>
      </c>
      <c r="F304" t="s">
        <v>7</v>
      </c>
      <c r="G304" t="s">
        <v>130</v>
      </c>
      <c r="H304" s="1">
        <v>46123</v>
      </c>
      <c r="I304" t="s">
        <v>4945</v>
      </c>
      <c r="J304" t="s">
        <v>4946</v>
      </c>
      <c r="K304" t="s">
        <v>1381</v>
      </c>
      <c r="L304" t="s">
        <v>3295</v>
      </c>
      <c r="M304" t="s">
        <v>1389</v>
      </c>
      <c r="N304" s="166">
        <v>18.54</v>
      </c>
      <c r="O304" t="s">
        <v>131</v>
      </c>
    </row>
    <row r="305" spans="1:15">
      <c r="A305" s="166" t="s">
        <v>4947</v>
      </c>
      <c r="B305" t="s">
        <v>111</v>
      </c>
      <c r="C305" t="s">
        <v>133</v>
      </c>
      <c r="D305" t="s">
        <v>116</v>
      </c>
      <c r="E305" t="s">
        <v>418</v>
      </c>
      <c r="F305" t="s">
        <v>7</v>
      </c>
      <c r="G305" t="s">
        <v>130</v>
      </c>
      <c r="H305" s="1">
        <v>46123</v>
      </c>
      <c r="I305" t="s">
        <v>4948</v>
      </c>
      <c r="J305" t="s">
        <v>4949</v>
      </c>
      <c r="K305" t="s">
        <v>994</v>
      </c>
      <c r="L305" t="s">
        <v>4556</v>
      </c>
      <c r="M305" t="s">
        <v>3782</v>
      </c>
      <c r="N305" s="166">
        <v>24.04</v>
      </c>
      <c r="O305" t="s">
        <v>131</v>
      </c>
    </row>
    <row r="306" spans="1:15">
      <c r="A306" s="166" t="s">
        <v>4950</v>
      </c>
      <c r="B306" t="s">
        <v>111</v>
      </c>
      <c r="C306" t="s">
        <v>134</v>
      </c>
      <c r="D306" t="s">
        <v>116</v>
      </c>
      <c r="E306" t="s">
        <v>418</v>
      </c>
      <c r="F306" t="s">
        <v>7</v>
      </c>
      <c r="G306" t="s">
        <v>130</v>
      </c>
      <c r="H306" s="1">
        <v>46123</v>
      </c>
      <c r="I306" t="s">
        <v>4951</v>
      </c>
      <c r="J306" t="s">
        <v>4952</v>
      </c>
      <c r="K306" t="s">
        <v>2217</v>
      </c>
      <c r="L306" t="s">
        <v>1499</v>
      </c>
      <c r="M306" t="s">
        <v>2625</v>
      </c>
      <c r="N306" s="166">
        <v>26.42</v>
      </c>
      <c r="O306" t="s">
        <v>131</v>
      </c>
    </row>
    <row r="307" spans="1:15">
      <c r="A307" s="166" t="s">
        <v>4953</v>
      </c>
      <c r="B307" t="s">
        <v>111</v>
      </c>
      <c r="C307" t="s">
        <v>136</v>
      </c>
      <c r="D307" t="s">
        <v>116</v>
      </c>
      <c r="E307" t="s">
        <v>418</v>
      </c>
      <c r="F307" t="s">
        <v>7</v>
      </c>
      <c r="G307" t="s">
        <v>130</v>
      </c>
      <c r="H307" s="1">
        <v>46123</v>
      </c>
      <c r="I307" t="s">
        <v>4954</v>
      </c>
      <c r="J307" t="s">
        <v>4955</v>
      </c>
      <c r="K307" t="s">
        <v>4956</v>
      </c>
      <c r="L307" t="s">
        <v>486</v>
      </c>
      <c r="M307" t="s">
        <v>4531</v>
      </c>
      <c r="N307" s="166">
        <v>25.14</v>
      </c>
      <c r="O307" t="s">
        <v>131</v>
      </c>
    </row>
    <row r="308" spans="1:15">
      <c r="A308" s="166" t="s">
        <v>4957</v>
      </c>
      <c r="B308" t="s">
        <v>111</v>
      </c>
      <c r="C308" t="s">
        <v>133</v>
      </c>
      <c r="D308" t="s">
        <v>116</v>
      </c>
      <c r="E308" t="s">
        <v>418</v>
      </c>
      <c r="F308" t="s">
        <v>7</v>
      </c>
      <c r="G308" t="s">
        <v>130</v>
      </c>
      <c r="H308" s="1">
        <v>46123</v>
      </c>
      <c r="I308" t="s">
        <v>4958</v>
      </c>
      <c r="J308" t="s">
        <v>4959</v>
      </c>
      <c r="K308" t="s">
        <v>1210</v>
      </c>
      <c r="L308" t="s">
        <v>2589</v>
      </c>
      <c r="M308" t="s">
        <v>183</v>
      </c>
      <c r="N308" s="166">
        <v>21.64</v>
      </c>
      <c r="O308" t="s">
        <v>131</v>
      </c>
    </row>
    <row r="309" spans="1:15">
      <c r="A309" s="166" t="s">
        <v>4960</v>
      </c>
      <c r="B309" t="s">
        <v>111</v>
      </c>
      <c r="C309" t="s">
        <v>134</v>
      </c>
      <c r="D309" t="s">
        <v>116</v>
      </c>
      <c r="E309" t="s">
        <v>418</v>
      </c>
      <c r="F309" t="s">
        <v>7</v>
      </c>
      <c r="G309" t="s">
        <v>130</v>
      </c>
      <c r="H309" s="1">
        <v>46123</v>
      </c>
      <c r="I309" t="s">
        <v>4961</v>
      </c>
      <c r="J309" t="s">
        <v>4962</v>
      </c>
      <c r="K309" t="s">
        <v>889</v>
      </c>
      <c r="L309" t="s">
        <v>777</v>
      </c>
      <c r="M309" t="s">
        <v>4963</v>
      </c>
      <c r="N309" s="166">
        <v>27.42</v>
      </c>
      <c r="O309" t="s">
        <v>131</v>
      </c>
    </row>
    <row r="310" spans="1:15">
      <c r="A310" s="166" t="s">
        <v>4964</v>
      </c>
      <c r="B310" t="s">
        <v>111</v>
      </c>
      <c r="C310" t="s">
        <v>136</v>
      </c>
      <c r="D310" t="s">
        <v>116</v>
      </c>
      <c r="E310" t="s">
        <v>418</v>
      </c>
      <c r="F310" t="s">
        <v>7</v>
      </c>
      <c r="G310" t="s">
        <v>130</v>
      </c>
      <c r="H310" s="1">
        <v>46123</v>
      </c>
      <c r="I310" t="s">
        <v>4965</v>
      </c>
      <c r="J310" t="s">
        <v>4966</v>
      </c>
      <c r="K310" t="s">
        <v>2942</v>
      </c>
      <c r="L310" t="s">
        <v>3173</v>
      </c>
      <c r="M310" t="s">
        <v>504</v>
      </c>
      <c r="N310" s="166">
        <v>23.16</v>
      </c>
      <c r="O310" t="s">
        <v>131</v>
      </c>
    </row>
    <row r="311" spans="1:15">
      <c r="A311" s="166" t="s">
        <v>4967</v>
      </c>
      <c r="B311" t="s">
        <v>111</v>
      </c>
      <c r="C311" t="s">
        <v>133</v>
      </c>
      <c r="D311" t="s">
        <v>116</v>
      </c>
      <c r="E311" t="s">
        <v>418</v>
      </c>
      <c r="F311" t="s">
        <v>7</v>
      </c>
      <c r="G311" t="s">
        <v>130</v>
      </c>
      <c r="H311" s="1">
        <v>46123</v>
      </c>
      <c r="I311" t="s">
        <v>4968</v>
      </c>
      <c r="J311" t="s">
        <v>4969</v>
      </c>
      <c r="K311" t="s">
        <v>1205</v>
      </c>
      <c r="L311" t="s">
        <v>2532</v>
      </c>
      <c r="M311" t="s">
        <v>782</v>
      </c>
      <c r="N311" s="166">
        <v>21.92</v>
      </c>
      <c r="O311" t="s">
        <v>131</v>
      </c>
    </row>
    <row r="312" spans="1:15">
      <c r="A312" s="166" t="s">
        <v>4970</v>
      </c>
      <c r="B312" t="s">
        <v>111</v>
      </c>
      <c r="C312" t="s">
        <v>134</v>
      </c>
      <c r="D312" t="s">
        <v>116</v>
      </c>
      <c r="E312" t="s">
        <v>418</v>
      </c>
      <c r="F312" t="s">
        <v>7</v>
      </c>
      <c r="G312" t="s">
        <v>130</v>
      </c>
      <c r="H312" s="1">
        <v>46123</v>
      </c>
      <c r="I312" t="s">
        <v>4971</v>
      </c>
      <c r="J312" t="s">
        <v>4972</v>
      </c>
      <c r="K312" t="s">
        <v>4973</v>
      </c>
      <c r="L312" t="s">
        <v>831</v>
      </c>
      <c r="M312" t="s">
        <v>707</v>
      </c>
      <c r="N312" s="166">
        <v>25.54</v>
      </c>
      <c r="O312" t="s">
        <v>131</v>
      </c>
    </row>
    <row r="313" spans="1:15">
      <c r="A313" s="166" t="s">
        <v>4974</v>
      </c>
      <c r="B313" t="s">
        <v>111</v>
      </c>
      <c r="C313" t="s">
        <v>136</v>
      </c>
      <c r="D313" t="s">
        <v>116</v>
      </c>
      <c r="E313" t="s">
        <v>418</v>
      </c>
      <c r="F313" t="s">
        <v>7</v>
      </c>
      <c r="G313" t="s">
        <v>130</v>
      </c>
      <c r="H313" s="1">
        <v>46123</v>
      </c>
      <c r="I313" t="s">
        <v>4975</v>
      </c>
      <c r="J313" t="s">
        <v>4976</v>
      </c>
      <c r="K313" t="s">
        <v>2386</v>
      </c>
      <c r="L313" t="s">
        <v>3268</v>
      </c>
      <c r="M313" t="s">
        <v>1121</v>
      </c>
      <c r="N313" s="166">
        <v>25.32</v>
      </c>
      <c r="O313" t="s">
        <v>131</v>
      </c>
    </row>
    <row r="314" spans="1:15">
      <c r="A314" s="166" t="s">
        <v>4977</v>
      </c>
      <c r="B314" t="s">
        <v>111</v>
      </c>
      <c r="C314" t="s">
        <v>133</v>
      </c>
      <c r="D314" t="s">
        <v>116</v>
      </c>
      <c r="E314" t="s">
        <v>418</v>
      </c>
      <c r="F314" t="s">
        <v>7</v>
      </c>
      <c r="G314" t="s">
        <v>130</v>
      </c>
      <c r="H314" s="1">
        <v>46123</v>
      </c>
      <c r="I314" t="s">
        <v>4978</v>
      </c>
      <c r="J314" t="s">
        <v>4979</v>
      </c>
      <c r="K314" t="s">
        <v>1214</v>
      </c>
      <c r="L314" t="s">
        <v>2523</v>
      </c>
      <c r="M314" t="s">
        <v>2359</v>
      </c>
      <c r="N314" s="166">
        <v>22.48</v>
      </c>
      <c r="O314" t="s">
        <v>131</v>
      </c>
    </row>
    <row r="315" spans="1:15">
      <c r="A315" s="166" t="s">
        <v>4980</v>
      </c>
      <c r="B315" t="s">
        <v>111</v>
      </c>
      <c r="C315" t="s">
        <v>136</v>
      </c>
      <c r="D315" t="s">
        <v>116</v>
      </c>
      <c r="E315" t="s">
        <v>418</v>
      </c>
      <c r="F315" t="s">
        <v>7</v>
      </c>
      <c r="G315" t="s">
        <v>130</v>
      </c>
      <c r="H315" s="1">
        <v>46123</v>
      </c>
      <c r="I315" t="s">
        <v>4981</v>
      </c>
      <c r="J315" t="s">
        <v>4982</v>
      </c>
      <c r="K315" t="s">
        <v>4983</v>
      </c>
      <c r="L315" t="s">
        <v>3376</v>
      </c>
      <c r="M315" t="s">
        <v>487</v>
      </c>
      <c r="N315" s="166">
        <v>21.88</v>
      </c>
      <c r="O315" t="s">
        <v>131</v>
      </c>
    </row>
    <row r="316" spans="1:15">
      <c r="A316" s="166" t="s">
        <v>4984</v>
      </c>
      <c r="B316" t="s">
        <v>111</v>
      </c>
      <c r="C316" t="s">
        <v>134</v>
      </c>
      <c r="D316" t="s">
        <v>116</v>
      </c>
      <c r="E316" t="s">
        <v>418</v>
      </c>
      <c r="F316" t="s">
        <v>7</v>
      </c>
      <c r="G316" t="s">
        <v>130</v>
      </c>
      <c r="H316" s="1">
        <v>46123</v>
      </c>
      <c r="I316" t="s">
        <v>4985</v>
      </c>
      <c r="J316" t="s">
        <v>4986</v>
      </c>
      <c r="K316" t="s">
        <v>4312</v>
      </c>
      <c r="L316" t="s">
        <v>1076</v>
      </c>
      <c r="M316" t="s">
        <v>651</v>
      </c>
      <c r="N316" s="166">
        <v>22.42</v>
      </c>
      <c r="O316" t="s">
        <v>131</v>
      </c>
    </row>
    <row r="317" spans="1:15">
      <c r="A317" s="166" t="s">
        <v>1368</v>
      </c>
      <c r="B317" t="s">
        <v>111</v>
      </c>
      <c r="C317" t="s">
        <v>133</v>
      </c>
      <c r="D317" t="s">
        <v>116</v>
      </c>
      <c r="E317" t="s">
        <v>418</v>
      </c>
      <c r="F317" t="s">
        <v>7</v>
      </c>
      <c r="G317" t="s">
        <v>130</v>
      </c>
      <c r="H317" s="1">
        <v>46123</v>
      </c>
      <c r="I317" t="s">
        <v>4987</v>
      </c>
      <c r="J317" t="s">
        <v>4988</v>
      </c>
      <c r="K317" t="s">
        <v>2857</v>
      </c>
      <c r="L317" t="s">
        <v>3350</v>
      </c>
      <c r="M317" t="s">
        <v>2254</v>
      </c>
      <c r="N317" s="166">
        <v>23.68</v>
      </c>
      <c r="O317" t="s">
        <v>131</v>
      </c>
    </row>
    <row r="318" spans="1:15">
      <c r="A318" s="166" t="s">
        <v>4989</v>
      </c>
      <c r="B318" t="s">
        <v>111</v>
      </c>
      <c r="C318" t="s">
        <v>136</v>
      </c>
      <c r="D318" t="s">
        <v>116</v>
      </c>
      <c r="E318" t="s">
        <v>418</v>
      </c>
      <c r="F318" t="s">
        <v>7</v>
      </c>
      <c r="G318" t="s">
        <v>130</v>
      </c>
      <c r="H318" s="1">
        <v>46123</v>
      </c>
      <c r="I318" t="s">
        <v>4990</v>
      </c>
      <c r="J318" t="s">
        <v>4991</v>
      </c>
      <c r="K318" t="s">
        <v>686</v>
      </c>
      <c r="L318" t="s">
        <v>3483</v>
      </c>
      <c r="M318" t="s">
        <v>220</v>
      </c>
      <c r="N318" s="166">
        <v>24.22</v>
      </c>
      <c r="O318" t="s">
        <v>131</v>
      </c>
    </row>
    <row r="319" spans="1:15">
      <c r="A319" s="166" t="s">
        <v>4992</v>
      </c>
      <c r="B319" t="s">
        <v>111</v>
      </c>
      <c r="C319" t="s">
        <v>134</v>
      </c>
      <c r="D319" t="s">
        <v>116</v>
      </c>
      <c r="E319" t="s">
        <v>418</v>
      </c>
      <c r="F319" t="s">
        <v>7</v>
      </c>
      <c r="G319" t="s">
        <v>130</v>
      </c>
      <c r="H319" s="1">
        <v>46123</v>
      </c>
      <c r="I319" t="s">
        <v>4993</v>
      </c>
      <c r="J319" t="s">
        <v>4994</v>
      </c>
      <c r="K319" t="s">
        <v>4364</v>
      </c>
      <c r="L319" t="s">
        <v>831</v>
      </c>
      <c r="M319" t="s">
        <v>692</v>
      </c>
      <c r="N319" s="166">
        <v>23.82</v>
      </c>
      <c r="O319" t="s">
        <v>131</v>
      </c>
    </row>
    <row r="320" spans="1:15">
      <c r="A320" s="166" t="s">
        <v>4995</v>
      </c>
      <c r="B320" t="s">
        <v>111</v>
      </c>
      <c r="C320" t="s">
        <v>133</v>
      </c>
      <c r="D320" t="s">
        <v>116</v>
      </c>
      <c r="E320" t="s">
        <v>418</v>
      </c>
      <c r="F320" t="s">
        <v>7</v>
      </c>
      <c r="G320" t="s">
        <v>130</v>
      </c>
      <c r="H320" s="1">
        <v>46123</v>
      </c>
      <c r="I320" t="s">
        <v>4996</v>
      </c>
      <c r="J320" t="s">
        <v>4997</v>
      </c>
      <c r="K320" t="s">
        <v>4998</v>
      </c>
      <c r="L320" t="s">
        <v>2652</v>
      </c>
      <c r="M320" t="s">
        <v>2759</v>
      </c>
      <c r="N320" s="166">
        <v>23.7</v>
      </c>
      <c r="O320" t="s">
        <v>131</v>
      </c>
    </row>
    <row r="321" spans="1:15">
      <c r="A321" s="166" t="s">
        <v>4999</v>
      </c>
      <c r="B321" t="s">
        <v>111</v>
      </c>
      <c r="C321" t="s">
        <v>136</v>
      </c>
      <c r="D321" t="s">
        <v>116</v>
      </c>
      <c r="E321" t="s">
        <v>418</v>
      </c>
      <c r="F321" t="s">
        <v>7</v>
      </c>
      <c r="G321" t="s">
        <v>130</v>
      </c>
      <c r="H321" s="1">
        <v>46123</v>
      </c>
      <c r="I321" t="s">
        <v>5000</v>
      </c>
      <c r="J321" t="s">
        <v>5001</v>
      </c>
      <c r="K321" t="s">
        <v>5002</v>
      </c>
      <c r="L321" t="s">
        <v>2624</v>
      </c>
      <c r="M321" t="s">
        <v>2692</v>
      </c>
      <c r="N321" s="166">
        <v>24.92</v>
      </c>
      <c r="O321" t="s">
        <v>131</v>
      </c>
    </row>
    <row r="322" spans="1:15">
      <c r="A322" s="166" t="s">
        <v>5003</v>
      </c>
      <c r="B322" t="s">
        <v>111</v>
      </c>
      <c r="C322" t="s">
        <v>134</v>
      </c>
      <c r="D322" t="s">
        <v>116</v>
      </c>
      <c r="E322" t="s">
        <v>418</v>
      </c>
      <c r="F322" t="s">
        <v>7</v>
      </c>
      <c r="G322" t="s">
        <v>130</v>
      </c>
      <c r="H322" s="1">
        <v>46123</v>
      </c>
      <c r="I322" t="s">
        <v>5004</v>
      </c>
      <c r="J322" t="s">
        <v>5005</v>
      </c>
      <c r="K322" t="s">
        <v>2374</v>
      </c>
      <c r="L322" t="s">
        <v>611</v>
      </c>
      <c r="M322" t="s">
        <v>726</v>
      </c>
      <c r="N322" s="166">
        <v>24.36</v>
      </c>
      <c r="O322" t="s">
        <v>131</v>
      </c>
    </row>
    <row r="323" spans="1:15">
      <c r="A323" s="166" t="s">
        <v>5006</v>
      </c>
      <c r="B323" t="s">
        <v>111</v>
      </c>
      <c r="C323" t="s">
        <v>133</v>
      </c>
      <c r="D323" t="s">
        <v>116</v>
      </c>
      <c r="E323" t="s">
        <v>418</v>
      </c>
      <c r="F323" t="s">
        <v>7</v>
      </c>
      <c r="G323" t="s">
        <v>130</v>
      </c>
      <c r="H323" s="1">
        <v>46123</v>
      </c>
      <c r="I323" t="s">
        <v>5007</v>
      </c>
      <c r="J323" t="s">
        <v>5008</v>
      </c>
      <c r="K323" t="s">
        <v>900</v>
      </c>
      <c r="L323" t="s">
        <v>3318</v>
      </c>
      <c r="M323" t="s">
        <v>201</v>
      </c>
      <c r="N323" s="166">
        <v>24.32</v>
      </c>
      <c r="O323" t="s">
        <v>131</v>
      </c>
    </row>
    <row r="324" spans="1:15">
      <c r="A324" s="166" t="s">
        <v>5009</v>
      </c>
      <c r="B324" t="s">
        <v>111</v>
      </c>
      <c r="C324" t="s">
        <v>136</v>
      </c>
      <c r="D324" t="s">
        <v>116</v>
      </c>
      <c r="E324" t="s">
        <v>418</v>
      </c>
      <c r="F324" t="s">
        <v>7</v>
      </c>
      <c r="G324" t="s">
        <v>130</v>
      </c>
      <c r="H324" s="1">
        <v>46123</v>
      </c>
      <c r="I324" t="s">
        <v>5010</v>
      </c>
      <c r="J324" t="s">
        <v>5011</v>
      </c>
      <c r="K324" t="s">
        <v>3700</v>
      </c>
      <c r="L324" t="s">
        <v>3192</v>
      </c>
      <c r="M324" t="s">
        <v>2759</v>
      </c>
      <c r="N324" s="166">
        <v>23.7</v>
      </c>
      <c r="O324" t="s">
        <v>131</v>
      </c>
    </row>
    <row r="325" spans="1:15">
      <c r="A325" s="166" t="s">
        <v>5012</v>
      </c>
      <c r="B325" t="s">
        <v>111</v>
      </c>
      <c r="C325" t="s">
        <v>134</v>
      </c>
      <c r="D325" t="s">
        <v>116</v>
      </c>
      <c r="E325" t="s">
        <v>418</v>
      </c>
      <c r="F325" t="s">
        <v>7</v>
      </c>
      <c r="G325" t="s">
        <v>130</v>
      </c>
      <c r="H325" s="1">
        <v>46123</v>
      </c>
      <c r="I325" t="s">
        <v>5013</v>
      </c>
      <c r="J325" t="s">
        <v>5014</v>
      </c>
      <c r="K325" t="s">
        <v>5015</v>
      </c>
      <c r="L325" t="s">
        <v>672</v>
      </c>
      <c r="M325" t="s">
        <v>287</v>
      </c>
      <c r="N325" s="166">
        <v>27.02</v>
      </c>
      <c r="O325" t="s">
        <v>131</v>
      </c>
    </row>
    <row r="326" spans="1:15">
      <c r="A326" s="166" t="s">
        <v>5016</v>
      </c>
      <c r="B326" t="s">
        <v>111</v>
      </c>
      <c r="C326" t="s">
        <v>133</v>
      </c>
      <c r="D326" t="s">
        <v>116</v>
      </c>
      <c r="E326" t="s">
        <v>418</v>
      </c>
      <c r="F326" t="s">
        <v>7</v>
      </c>
      <c r="G326" t="s">
        <v>130</v>
      </c>
      <c r="H326" s="1">
        <v>46123</v>
      </c>
      <c r="I326" t="s">
        <v>5017</v>
      </c>
      <c r="J326" t="s">
        <v>5018</v>
      </c>
      <c r="K326" t="s">
        <v>3614</v>
      </c>
      <c r="L326" t="s">
        <v>2143</v>
      </c>
      <c r="M326" t="s">
        <v>796</v>
      </c>
      <c r="N326" s="166">
        <v>24.02</v>
      </c>
      <c r="O326" t="s">
        <v>131</v>
      </c>
    </row>
    <row r="327" spans="1:15">
      <c r="A327" s="166" t="s">
        <v>5019</v>
      </c>
      <c r="B327" t="s">
        <v>111</v>
      </c>
      <c r="C327" t="s">
        <v>134</v>
      </c>
      <c r="D327" t="s">
        <v>116</v>
      </c>
      <c r="E327" t="s">
        <v>418</v>
      </c>
      <c r="F327" t="s">
        <v>7</v>
      </c>
      <c r="G327" t="s">
        <v>130</v>
      </c>
      <c r="H327" s="1">
        <v>46123</v>
      </c>
      <c r="I327" t="s">
        <v>5020</v>
      </c>
      <c r="J327" t="s">
        <v>5021</v>
      </c>
      <c r="K327" t="s">
        <v>1013</v>
      </c>
      <c r="L327" t="s">
        <v>2004</v>
      </c>
      <c r="M327" t="s">
        <v>2789</v>
      </c>
      <c r="N327" s="166">
        <v>28.08</v>
      </c>
      <c r="O327" t="s">
        <v>131</v>
      </c>
    </row>
    <row r="328" spans="1:15">
      <c r="A328" s="166" t="s">
        <v>5022</v>
      </c>
      <c r="B328" t="s">
        <v>111</v>
      </c>
      <c r="C328" t="s">
        <v>133</v>
      </c>
      <c r="D328" t="s">
        <v>116</v>
      </c>
      <c r="E328" t="s">
        <v>418</v>
      </c>
      <c r="F328" t="s">
        <v>7</v>
      </c>
      <c r="G328" t="s">
        <v>130</v>
      </c>
      <c r="H328" s="1">
        <v>46123</v>
      </c>
      <c r="I328" t="s">
        <v>5023</v>
      </c>
      <c r="J328" t="s">
        <v>5024</v>
      </c>
      <c r="K328" t="s">
        <v>2960</v>
      </c>
      <c r="L328" t="s">
        <v>4875</v>
      </c>
      <c r="M328" t="s">
        <v>4862</v>
      </c>
      <c r="N328" s="166">
        <v>24.8</v>
      </c>
      <c r="O328" t="s">
        <v>131</v>
      </c>
    </row>
    <row r="329" spans="1:15">
      <c r="A329" s="166" t="s">
        <v>5025</v>
      </c>
      <c r="B329" t="s">
        <v>111</v>
      </c>
      <c r="C329" t="s">
        <v>134</v>
      </c>
      <c r="D329" t="s">
        <v>116</v>
      </c>
      <c r="E329" t="s">
        <v>418</v>
      </c>
      <c r="F329" t="s">
        <v>7</v>
      </c>
      <c r="G329" t="s">
        <v>130</v>
      </c>
      <c r="H329" s="1">
        <v>46123</v>
      </c>
      <c r="I329" t="s">
        <v>5026</v>
      </c>
      <c r="J329" t="s">
        <v>5027</v>
      </c>
      <c r="K329" t="s">
        <v>4728</v>
      </c>
      <c r="L329" t="s">
        <v>687</v>
      </c>
      <c r="M329" t="s">
        <v>5028</v>
      </c>
      <c r="N329" s="166">
        <v>24.38</v>
      </c>
      <c r="O329" t="s">
        <v>131</v>
      </c>
    </row>
    <row r="330" spans="1:15">
      <c r="A330" s="166" t="s">
        <v>5029</v>
      </c>
      <c r="B330" t="s">
        <v>111</v>
      </c>
      <c r="C330" t="s">
        <v>136</v>
      </c>
      <c r="D330" t="s">
        <v>116</v>
      </c>
      <c r="E330" t="s">
        <v>418</v>
      </c>
      <c r="F330" t="s">
        <v>7</v>
      </c>
      <c r="G330" t="s">
        <v>130</v>
      </c>
      <c r="H330" s="1">
        <v>46123</v>
      </c>
      <c r="I330" t="s">
        <v>5030</v>
      </c>
      <c r="J330" t="s">
        <v>5031</v>
      </c>
      <c r="K330" t="s">
        <v>3730</v>
      </c>
      <c r="L330" t="s">
        <v>2652</v>
      </c>
      <c r="M330" t="s">
        <v>3723</v>
      </c>
      <c r="N330" s="166">
        <v>24.16</v>
      </c>
      <c r="O330" t="s">
        <v>131</v>
      </c>
    </row>
    <row r="331" spans="1:15">
      <c r="A331" s="166" t="s">
        <v>5032</v>
      </c>
      <c r="B331" t="s">
        <v>111</v>
      </c>
      <c r="C331" t="s">
        <v>133</v>
      </c>
      <c r="D331" t="s">
        <v>116</v>
      </c>
      <c r="E331" t="s">
        <v>418</v>
      </c>
      <c r="F331" t="s">
        <v>7</v>
      </c>
      <c r="G331" t="s">
        <v>130</v>
      </c>
      <c r="H331" s="1">
        <v>46123</v>
      </c>
      <c r="I331" t="s">
        <v>5033</v>
      </c>
      <c r="J331" t="s">
        <v>5034</v>
      </c>
      <c r="K331" t="s">
        <v>5035</v>
      </c>
      <c r="L331" t="s">
        <v>3350</v>
      </c>
      <c r="M331" t="s">
        <v>660</v>
      </c>
      <c r="N331" s="166">
        <v>22.3</v>
      </c>
      <c r="O331" t="s">
        <v>131</v>
      </c>
    </row>
    <row r="332" spans="1:15">
      <c r="A332" s="166" t="s">
        <v>5036</v>
      </c>
      <c r="B332" t="s">
        <v>111</v>
      </c>
      <c r="C332" t="s">
        <v>136</v>
      </c>
      <c r="D332" t="s">
        <v>116</v>
      </c>
      <c r="E332" t="s">
        <v>418</v>
      </c>
      <c r="F332" t="s">
        <v>7</v>
      </c>
      <c r="G332" t="s">
        <v>130</v>
      </c>
      <c r="H332" s="1">
        <v>46123</v>
      </c>
      <c r="I332" t="s">
        <v>5037</v>
      </c>
      <c r="J332" t="s">
        <v>5038</v>
      </c>
      <c r="K332" t="s">
        <v>2853</v>
      </c>
      <c r="L332" t="s">
        <v>1281</v>
      </c>
      <c r="M332" t="s">
        <v>821</v>
      </c>
      <c r="N332" s="166">
        <v>23.8</v>
      </c>
      <c r="O332" t="s">
        <v>131</v>
      </c>
    </row>
    <row r="333" spans="1:15">
      <c r="A333" s="166" t="s">
        <v>5039</v>
      </c>
      <c r="B333" t="s">
        <v>111</v>
      </c>
      <c r="C333" t="s">
        <v>133</v>
      </c>
      <c r="D333" t="s">
        <v>116</v>
      </c>
      <c r="E333" t="s">
        <v>418</v>
      </c>
      <c r="F333" t="s">
        <v>7</v>
      </c>
      <c r="G333" t="s">
        <v>130</v>
      </c>
      <c r="H333" s="1">
        <v>46124</v>
      </c>
      <c r="I333" t="s">
        <v>5040</v>
      </c>
      <c r="J333" t="s">
        <v>5041</v>
      </c>
      <c r="K333" t="s">
        <v>223</v>
      </c>
      <c r="L333" t="s">
        <v>1086</v>
      </c>
      <c r="M333" t="s">
        <v>1595</v>
      </c>
      <c r="N333" s="166">
        <v>23.14</v>
      </c>
      <c r="O333" t="s">
        <v>131</v>
      </c>
    </row>
    <row r="334" spans="1:15">
      <c r="A334" s="166" t="s">
        <v>5042</v>
      </c>
      <c r="B334" t="s">
        <v>111</v>
      </c>
      <c r="C334" t="s">
        <v>136</v>
      </c>
      <c r="D334" t="s">
        <v>116</v>
      </c>
      <c r="E334" t="s">
        <v>418</v>
      </c>
      <c r="F334" t="s">
        <v>7</v>
      </c>
      <c r="G334" t="s">
        <v>130</v>
      </c>
      <c r="H334" s="1">
        <v>46124</v>
      </c>
      <c r="I334" t="s">
        <v>5043</v>
      </c>
      <c r="J334" t="s">
        <v>5044</v>
      </c>
      <c r="K334" t="s">
        <v>5045</v>
      </c>
      <c r="L334" t="s">
        <v>1430</v>
      </c>
      <c r="M334" t="s">
        <v>1090</v>
      </c>
      <c r="N334" s="166">
        <v>21.66</v>
      </c>
      <c r="O334" t="s">
        <v>131</v>
      </c>
    </row>
    <row r="335" spans="1:15">
      <c r="A335" s="166" t="s">
        <v>5046</v>
      </c>
      <c r="B335" t="s">
        <v>111</v>
      </c>
      <c r="C335" t="s">
        <v>133</v>
      </c>
      <c r="D335" t="s">
        <v>116</v>
      </c>
      <c r="E335" t="s">
        <v>418</v>
      </c>
      <c r="F335" t="s">
        <v>7</v>
      </c>
      <c r="G335" t="s">
        <v>130</v>
      </c>
      <c r="H335" s="1">
        <v>46124</v>
      </c>
      <c r="I335" t="s">
        <v>5047</v>
      </c>
      <c r="J335" t="s">
        <v>5048</v>
      </c>
      <c r="K335" t="s">
        <v>5049</v>
      </c>
      <c r="L335" t="s">
        <v>2473</v>
      </c>
      <c r="M335" t="s">
        <v>1452</v>
      </c>
      <c r="N335" s="166">
        <v>22.96</v>
      </c>
      <c r="O335" t="s">
        <v>131</v>
      </c>
    </row>
    <row r="336" spans="1:15">
      <c r="A336" s="166" t="s">
        <v>3475</v>
      </c>
      <c r="B336" t="s">
        <v>111</v>
      </c>
      <c r="C336" t="s">
        <v>134</v>
      </c>
      <c r="D336" t="s">
        <v>116</v>
      </c>
      <c r="E336" t="s">
        <v>418</v>
      </c>
      <c r="F336" t="s">
        <v>7</v>
      </c>
      <c r="G336" t="s">
        <v>130</v>
      </c>
      <c r="H336" s="1">
        <v>46124</v>
      </c>
      <c r="I336" t="s">
        <v>5050</v>
      </c>
      <c r="J336" t="s">
        <v>5051</v>
      </c>
      <c r="K336" t="s">
        <v>3262</v>
      </c>
      <c r="L336" t="s">
        <v>2004</v>
      </c>
      <c r="M336" t="s">
        <v>2785</v>
      </c>
      <c r="N336" s="166">
        <v>26.96</v>
      </c>
      <c r="O336" t="s">
        <v>131</v>
      </c>
    </row>
    <row r="337" spans="1:15">
      <c r="A337" s="166" t="s">
        <v>5052</v>
      </c>
      <c r="B337" t="s">
        <v>111</v>
      </c>
      <c r="C337" t="s">
        <v>136</v>
      </c>
      <c r="D337" t="s">
        <v>116</v>
      </c>
      <c r="E337" t="s">
        <v>418</v>
      </c>
      <c r="F337" t="s">
        <v>7</v>
      </c>
      <c r="G337" t="s">
        <v>130</v>
      </c>
      <c r="H337" s="1">
        <v>46124</v>
      </c>
      <c r="I337" t="s">
        <v>5053</v>
      </c>
      <c r="J337" t="s">
        <v>5054</v>
      </c>
      <c r="K337" t="s">
        <v>5055</v>
      </c>
      <c r="L337" t="s">
        <v>1468</v>
      </c>
      <c r="M337" t="s">
        <v>520</v>
      </c>
      <c r="N337" s="166">
        <v>24.42</v>
      </c>
      <c r="O337" t="s">
        <v>131</v>
      </c>
    </row>
    <row r="338" spans="1:15">
      <c r="A338" s="166" t="s">
        <v>5056</v>
      </c>
      <c r="B338" t="s">
        <v>111</v>
      </c>
      <c r="C338" t="s">
        <v>133</v>
      </c>
      <c r="D338" t="s">
        <v>116</v>
      </c>
      <c r="E338" t="s">
        <v>418</v>
      </c>
      <c r="F338" t="s">
        <v>7</v>
      </c>
      <c r="G338" t="s">
        <v>130</v>
      </c>
      <c r="H338" s="1">
        <v>46124</v>
      </c>
      <c r="I338" t="s">
        <v>5057</v>
      </c>
      <c r="J338" t="s">
        <v>5058</v>
      </c>
      <c r="K338" t="s">
        <v>2668</v>
      </c>
      <c r="L338" t="s">
        <v>3350</v>
      </c>
      <c r="M338" t="s">
        <v>471</v>
      </c>
      <c r="N338" s="166">
        <v>22.04</v>
      </c>
      <c r="O338" t="s">
        <v>131</v>
      </c>
    </row>
    <row r="339" spans="1:15">
      <c r="A339" s="166" t="s">
        <v>5059</v>
      </c>
      <c r="B339" t="s">
        <v>111</v>
      </c>
      <c r="C339" t="s">
        <v>134</v>
      </c>
      <c r="D339" t="s">
        <v>116</v>
      </c>
      <c r="E339" t="s">
        <v>418</v>
      </c>
      <c r="F339" t="s">
        <v>7</v>
      </c>
      <c r="G339" t="s">
        <v>130</v>
      </c>
      <c r="H339" s="1">
        <v>46124</v>
      </c>
      <c r="I339" t="s">
        <v>5060</v>
      </c>
      <c r="J339" t="s">
        <v>5061</v>
      </c>
      <c r="K339" t="s">
        <v>3833</v>
      </c>
      <c r="L339" t="s">
        <v>672</v>
      </c>
      <c r="M339" t="s">
        <v>198</v>
      </c>
      <c r="N339" s="166">
        <v>24.54</v>
      </c>
      <c r="O339" t="s">
        <v>131</v>
      </c>
    </row>
    <row r="340" spans="1:15">
      <c r="A340" s="166" t="s">
        <v>5062</v>
      </c>
      <c r="B340" t="s">
        <v>111</v>
      </c>
      <c r="C340" t="s">
        <v>136</v>
      </c>
      <c r="D340" t="s">
        <v>116</v>
      </c>
      <c r="E340" t="s">
        <v>418</v>
      </c>
      <c r="F340" t="s">
        <v>7</v>
      </c>
      <c r="G340" t="s">
        <v>130</v>
      </c>
      <c r="H340" s="1">
        <v>46124</v>
      </c>
      <c r="I340" t="s">
        <v>5063</v>
      </c>
      <c r="J340" t="s">
        <v>5064</v>
      </c>
      <c r="K340" t="s">
        <v>5065</v>
      </c>
      <c r="L340" t="s">
        <v>1577</v>
      </c>
      <c r="M340" t="s">
        <v>995</v>
      </c>
      <c r="N340" s="166">
        <v>25.34</v>
      </c>
      <c r="O340" t="s">
        <v>131</v>
      </c>
    </row>
    <row r="341" spans="1:15">
      <c r="A341" s="166" t="s">
        <v>5066</v>
      </c>
      <c r="B341" t="s">
        <v>111</v>
      </c>
      <c r="C341" t="s">
        <v>133</v>
      </c>
      <c r="D341" t="s">
        <v>116</v>
      </c>
      <c r="E341" t="s">
        <v>418</v>
      </c>
      <c r="F341" t="s">
        <v>7</v>
      </c>
      <c r="G341" t="s">
        <v>130</v>
      </c>
      <c r="H341" s="1">
        <v>46124</v>
      </c>
      <c r="I341" t="s">
        <v>5067</v>
      </c>
      <c r="J341" t="s">
        <v>5068</v>
      </c>
      <c r="K341" t="s">
        <v>1210</v>
      </c>
      <c r="L341" t="s">
        <v>3437</v>
      </c>
      <c r="M341" t="s">
        <v>211</v>
      </c>
      <c r="N341" s="166">
        <v>21.32</v>
      </c>
      <c r="O341" t="s">
        <v>131</v>
      </c>
    </row>
    <row r="342" spans="1:15">
      <c r="A342" s="166" t="s">
        <v>5069</v>
      </c>
      <c r="B342" t="s">
        <v>111</v>
      </c>
      <c r="C342" t="s">
        <v>134</v>
      </c>
      <c r="D342" t="s">
        <v>116</v>
      </c>
      <c r="E342" t="s">
        <v>418</v>
      </c>
      <c r="F342" t="s">
        <v>7</v>
      </c>
      <c r="G342" t="s">
        <v>130</v>
      </c>
      <c r="H342" s="1">
        <v>46124</v>
      </c>
      <c r="I342" t="s">
        <v>5070</v>
      </c>
      <c r="J342" t="s">
        <v>5071</v>
      </c>
      <c r="K342" t="s">
        <v>5072</v>
      </c>
      <c r="L342" t="s">
        <v>2095</v>
      </c>
      <c r="M342" t="s">
        <v>812</v>
      </c>
      <c r="N342" s="166">
        <v>24.18</v>
      </c>
      <c r="O342" t="s">
        <v>131</v>
      </c>
    </row>
    <row r="343" spans="1:15">
      <c r="A343" s="166" t="s">
        <v>5073</v>
      </c>
      <c r="B343" t="s">
        <v>111</v>
      </c>
      <c r="C343" t="s">
        <v>136</v>
      </c>
      <c r="D343" t="s">
        <v>116</v>
      </c>
      <c r="E343" t="s">
        <v>418</v>
      </c>
      <c r="F343" t="s">
        <v>7</v>
      </c>
      <c r="G343" t="s">
        <v>130</v>
      </c>
      <c r="H343" s="1">
        <v>46124</v>
      </c>
      <c r="I343" t="s">
        <v>5074</v>
      </c>
      <c r="J343" t="s">
        <v>5075</v>
      </c>
      <c r="K343" t="s">
        <v>2682</v>
      </c>
      <c r="L343" t="s">
        <v>1710</v>
      </c>
      <c r="M343" t="s">
        <v>1701</v>
      </c>
      <c r="N343" s="166">
        <v>21.14</v>
      </c>
      <c r="O343" t="s">
        <v>131</v>
      </c>
    </row>
    <row r="344" spans="1:15">
      <c r="A344" s="166" t="s">
        <v>5076</v>
      </c>
      <c r="B344" t="s">
        <v>111</v>
      </c>
      <c r="C344" t="s">
        <v>133</v>
      </c>
      <c r="D344" t="s">
        <v>116</v>
      </c>
      <c r="E344" t="s">
        <v>418</v>
      </c>
      <c r="F344" t="s">
        <v>7</v>
      </c>
      <c r="G344" t="s">
        <v>130</v>
      </c>
      <c r="H344" s="1">
        <v>46124</v>
      </c>
      <c r="I344" t="s">
        <v>5077</v>
      </c>
      <c r="J344" t="s">
        <v>5078</v>
      </c>
      <c r="K344" t="s">
        <v>5079</v>
      </c>
      <c r="L344" t="s">
        <v>2531</v>
      </c>
      <c r="M344" t="s">
        <v>189</v>
      </c>
      <c r="N344" s="166">
        <v>24</v>
      </c>
      <c r="O344" t="s">
        <v>131</v>
      </c>
    </row>
    <row r="345" spans="1:15">
      <c r="A345" s="166" t="s">
        <v>5080</v>
      </c>
      <c r="B345" t="s">
        <v>111</v>
      </c>
      <c r="C345" t="s">
        <v>134</v>
      </c>
      <c r="D345" t="s">
        <v>116</v>
      </c>
      <c r="E345" t="s">
        <v>418</v>
      </c>
      <c r="F345" t="s">
        <v>7</v>
      </c>
      <c r="G345" t="s">
        <v>130</v>
      </c>
      <c r="H345" s="1">
        <v>46124</v>
      </c>
      <c r="I345" t="s">
        <v>5081</v>
      </c>
      <c r="J345" t="s">
        <v>5082</v>
      </c>
      <c r="K345" t="s">
        <v>2857</v>
      </c>
      <c r="L345" t="s">
        <v>907</v>
      </c>
      <c r="M345" t="s">
        <v>5083</v>
      </c>
      <c r="N345" s="166">
        <v>25.1</v>
      </c>
      <c r="O345" t="s">
        <v>131</v>
      </c>
    </row>
    <row r="346" spans="1:15">
      <c r="A346" s="166" t="s">
        <v>5084</v>
      </c>
      <c r="B346" t="s">
        <v>111</v>
      </c>
      <c r="C346" t="s">
        <v>136</v>
      </c>
      <c r="D346" t="s">
        <v>116</v>
      </c>
      <c r="E346" t="s">
        <v>418</v>
      </c>
      <c r="F346" t="s">
        <v>7</v>
      </c>
      <c r="G346" t="s">
        <v>130</v>
      </c>
      <c r="H346" s="1">
        <v>46124</v>
      </c>
      <c r="I346" t="s">
        <v>5085</v>
      </c>
      <c r="J346" t="s">
        <v>5086</v>
      </c>
      <c r="K346" t="s">
        <v>5087</v>
      </c>
      <c r="L346" t="s">
        <v>1301</v>
      </c>
      <c r="M346" t="s">
        <v>3623</v>
      </c>
      <c r="N346" s="166">
        <v>23.3</v>
      </c>
      <c r="O346" t="s">
        <v>131</v>
      </c>
    </row>
    <row r="347" spans="1:15">
      <c r="A347" s="166" t="s">
        <v>5088</v>
      </c>
      <c r="B347" t="s">
        <v>111</v>
      </c>
      <c r="C347" t="s">
        <v>133</v>
      </c>
      <c r="D347" t="s">
        <v>116</v>
      </c>
      <c r="E347" t="s">
        <v>418</v>
      </c>
      <c r="F347" t="s">
        <v>7</v>
      </c>
      <c r="G347" t="s">
        <v>130</v>
      </c>
      <c r="H347" s="1">
        <v>46124</v>
      </c>
      <c r="I347" t="s">
        <v>5089</v>
      </c>
      <c r="J347" t="s">
        <v>5090</v>
      </c>
      <c r="K347" t="s">
        <v>3809</v>
      </c>
      <c r="L347" t="s">
        <v>2531</v>
      </c>
      <c r="M347" t="s">
        <v>1452</v>
      </c>
      <c r="N347" s="166">
        <v>22.96</v>
      </c>
      <c r="O347" t="s">
        <v>131</v>
      </c>
    </row>
    <row r="348" spans="1:15">
      <c r="A348" s="166" t="s">
        <v>5091</v>
      </c>
      <c r="B348" t="s">
        <v>111</v>
      </c>
      <c r="C348" t="s">
        <v>134</v>
      </c>
      <c r="D348" t="s">
        <v>116</v>
      </c>
      <c r="E348" t="s">
        <v>418</v>
      </c>
      <c r="F348" t="s">
        <v>7</v>
      </c>
      <c r="G348" t="s">
        <v>130</v>
      </c>
      <c r="H348" s="1">
        <v>46124</v>
      </c>
      <c r="I348" t="s">
        <v>5092</v>
      </c>
      <c r="J348" t="s">
        <v>5093</v>
      </c>
      <c r="K348" t="s">
        <v>1205</v>
      </c>
      <c r="L348" t="s">
        <v>2058</v>
      </c>
      <c r="M348" t="s">
        <v>4407</v>
      </c>
      <c r="N348" s="166">
        <v>23.26</v>
      </c>
      <c r="O348" t="s">
        <v>131</v>
      </c>
    </row>
    <row r="349" spans="1:15">
      <c r="A349" s="166" t="s">
        <v>5094</v>
      </c>
      <c r="B349" t="s">
        <v>111</v>
      </c>
      <c r="C349" t="s">
        <v>136</v>
      </c>
      <c r="D349" t="s">
        <v>116</v>
      </c>
      <c r="E349" t="s">
        <v>418</v>
      </c>
      <c r="F349" t="s">
        <v>7</v>
      </c>
      <c r="G349" t="s">
        <v>130</v>
      </c>
      <c r="H349" s="1">
        <v>46124</v>
      </c>
      <c r="I349" t="s">
        <v>5095</v>
      </c>
      <c r="J349" t="s">
        <v>5096</v>
      </c>
      <c r="K349" t="s">
        <v>5097</v>
      </c>
      <c r="L349" t="s">
        <v>1988</v>
      </c>
      <c r="M349" t="s">
        <v>5098</v>
      </c>
      <c r="N349" s="166">
        <v>22.62</v>
      </c>
      <c r="O349" t="s">
        <v>131</v>
      </c>
    </row>
    <row r="350" spans="1:15">
      <c r="A350" s="166" t="s">
        <v>5099</v>
      </c>
      <c r="B350" t="s">
        <v>111</v>
      </c>
      <c r="C350" t="s">
        <v>133</v>
      </c>
      <c r="D350" t="s">
        <v>116</v>
      </c>
      <c r="E350" t="s">
        <v>418</v>
      </c>
      <c r="F350" t="s">
        <v>7</v>
      </c>
      <c r="G350" t="s">
        <v>130</v>
      </c>
      <c r="H350" s="1">
        <v>46124</v>
      </c>
      <c r="I350" t="s">
        <v>5100</v>
      </c>
      <c r="J350" t="s">
        <v>5101</v>
      </c>
      <c r="K350" t="s">
        <v>2853</v>
      </c>
      <c r="L350" t="s">
        <v>2639</v>
      </c>
      <c r="M350" t="s">
        <v>3199</v>
      </c>
      <c r="N350" s="166">
        <v>24.08</v>
      </c>
      <c r="O350" t="s">
        <v>131</v>
      </c>
    </row>
    <row r="351" spans="1:15">
      <c r="A351" s="166" t="s">
        <v>5102</v>
      </c>
      <c r="B351" t="s">
        <v>111</v>
      </c>
      <c r="C351" t="s">
        <v>134</v>
      </c>
      <c r="D351" t="s">
        <v>116</v>
      </c>
      <c r="E351" t="s">
        <v>418</v>
      </c>
      <c r="F351" t="s">
        <v>7</v>
      </c>
      <c r="G351" t="s">
        <v>130</v>
      </c>
      <c r="H351" s="1">
        <v>46124</v>
      </c>
      <c r="I351" t="s">
        <v>5103</v>
      </c>
      <c r="J351" t="s">
        <v>5104</v>
      </c>
      <c r="K351" t="s">
        <v>739</v>
      </c>
      <c r="L351" t="s">
        <v>1662</v>
      </c>
      <c r="M351" t="s">
        <v>3814</v>
      </c>
      <c r="N351" s="166">
        <v>22.08</v>
      </c>
      <c r="O351" t="s">
        <v>131</v>
      </c>
    </row>
    <row r="352" spans="1:15">
      <c r="A352" s="166" t="s">
        <v>5105</v>
      </c>
      <c r="B352" t="s">
        <v>111</v>
      </c>
      <c r="C352" t="s">
        <v>133</v>
      </c>
      <c r="D352" t="s">
        <v>116</v>
      </c>
      <c r="E352" t="s">
        <v>418</v>
      </c>
      <c r="F352" t="s">
        <v>7</v>
      </c>
      <c r="G352" t="s">
        <v>130</v>
      </c>
      <c r="H352" s="1">
        <v>46124</v>
      </c>
      <c r="I352" t="s">
        <v>5106</v>
      </c>
      <c r="J352" t="s">
        <v>5107</v>
      </c>
      <c r="K352" t="s">
        <v>5108</v>
      </c>
      <c r="L352" t="s">
        <v>3182</v>
      </c>
      <c r="M352" t="s">
        <v>220</v>
      </c>
      <c r="N352" s="166">
        <v>24.22</v>
      </c>
      <c r="O352" t="s">
        <v>131</v>
      </c>
    </row>
    <row r="353" spans="1:15">
      <c r="A353" s="166" t="s">
        <v>5109</v>
      </c>
      <c r="B353" t="s">
        <v>111</v>
      </c>
      <c r="C353" t="s">
        <v>134</v>
      </c>
      <c r="D353" t="s">
        <v>116</v>
      </c>
      <c r="E353" t="s">
        <v>418</v>
      </c>
      <c r="F353" t="s">
        <v>7</v>
      </c>
      <c r="G353" t="s">
        <v>130</v>
      </c>
      <c r="H353" s="1">
        <v>46124</v>
      </c>
      <c r="I353" t="s">
        <v>5110</v>
      </c>
      <c r="J353" t="s">
        <v>5111</v>
      </c>
      <c r="K353" t="s">
        <v>583</v>
      </c>
      <c r="L353" t="s">
        <v>907</v>
      </c>
      <c r="M353" t="s">
        <v>2199</v>
      </c>
      <c r="N353" s="166">
        <v>24.1</v>
      </c>
      <c r="O353" t="s">
        <v>131</v>
      </c>
    </row>
    <row r="354" spans="1:15">
      <c r="A354" s="166" t="s">
        <v>5112</v>
      </c>
      <c r="B354" t="s">
        <v>111</v>
      </c>
      <c r="C354" t="s">
        <v>136</v>
      </c>
      <c r="D354" t="s">
        <v>116</v>
      </c>
      <c r="E354" t="s">
        <v>418</v>
      </c>
      <c r="F354" t="s">
        <v>7</v>
      </c>
      <c r="G354" t="s">
        <v>130</v>
      </c>
      <c r="H354" s="1">
        <v>46124</v>
      </c>
      <c r="I354" t="s">
        <v>5113</v>
      </c>
      <c r="J354" t="s">
        <v>5114</v>
      </c>
      <c r="K354" t="s">
        <v>3618</v>
      </c>
      <c r="L354" t="s">
        <v>1338</v>
      </c>
      <c r="M354" t="s">
        <v>1323</v>
      </c>
      <c r="N354" s="166">
        <v>20.440000000000001</v>
      </c>
      <c r="O354" t="s">
        <v>131</v>
      </c>
    </row>
    <row r="355" spans="1:15">
      <c r="A355" s="166" t="s">
        <v>5115</v>
      </c>
      <c r="B355" t="s">
        <v>111</v>
      </c>
      <c r="C355" t="s">
        <v>133</v>
      </c>
      <c r="D355" t="s">
        <v>116</v>
      </c>
      <c r="E355" t="s">
        <v>418</v>
      </c>
      <c r="F355" t="s">
        <v>7</v>
      </c>
      <c r="G355" t="s">
        <v>130</v>
      </c>
      <c r="H355" s="1">
        <v>46124</v>
      </c>
      <c r="I355" t="s">
        <v>5116</v>
      </c>
      <c r="J355" t="s">
        <v>5117</v>
      </c>
      <c r="K355" t="s">
        <v>3809</v>
      </c>
      <c r="L355" t="s">
        <v>3318</v>
      </c>
      <c r="M355" t="s">
        <v>871</v>
      </c>
      <c r="N355" s="166">
        <v>22.86</v>
      </c>
      <c r="O355" t="s">
        <v>131</v>
      </c>
    </row>
    <row r="356" spans="1:15">
      <c r="A356" s="166" t="s">
        <v>5118</v>
      </c>
      <c r="B356" t="s">
        <v>111</v>
      </c>
      <c r="C356" t="s">
        <v>134</v>
      </c>
      <c r="D356" t="s">
        <v>116</v>
      </c>
      <c r="E356" t="s">
        <v>418</v>
      </c>
      <c r="F356" t="s">
        <v>7</v>
      </c>
      <c r="G356" t="s">
        <v>130</v>
      </c>
      <c r="H356" s="1">
        <v>46124</v>
      </c>
      <c r="I356" t="s">
        <v>5119</v>
      </c>
      <c r="J356" t="s">
        <v>5120</v>
      </c>
      <c r="K356" t="s">
        <v>995</v>
      </c>
      <c r="L356" t="s">
        <v>2184</v>
      </c>
      <c r="M356" t="s">
        <v>5121</v>
      </c>
      <c r="N356" s="166">
        <v>9.24</v>
      </c>
      <c r="O356" t="s">
        <v>131</v>
      </c>
    </row>
    <row r="357" spans="1:15">
      <c r="A357" s="166" t="s">
        <v>5122</v>
      </c>
      <c r="B357" t="s">
        <v>111</v>
      </c>
      <c r="C357" t="s">
        <v>136</v>
      </c>
      <c r="D357" t="s">
        <v>116</v>
      </c>
      <c r="E357" t="s">
        <v>418</v>
      </c>
      <c r="F357" t="s">
        <v>7</v>
      </c>
      <c r="G357" t="s">
        <v>130</v>
      </c>
      <c r="H357" s="1">
        <v>46124</v>
      </c>
      <c r="I357" t="s">
        <v>5123</v>
      </c>
      <c r="J357" t="s">
        <v>5124</v>
      </c>
      <c r="K357" t="s">
        <v>2853</v>
      </c>
      <c r="L357" t="s">
        <v>1136</v>
      </c>
      <c r="M357" t="s">
        <v>5125</v>
      </c>
      <c r="N357" s="166">
        <v>21.76</v>
      </c>
      <c r="O357" t="s">
        <v>131</v>
      </c>
    </row>
    <row r="358" spans="1:15">
      <c r="A358" s="166" t="s">
        <v>5126</v>
      </c>
      <c r="B358" t="s">
        <v>111</v>
      </c>
      <c r="C358" t="s">
        <v>133</v>
      </c>
      <c r="D358" t="s">
        <v>116</v>
      </c>
      <c r="E358" t="s">
        <v>418</v>
      </c>
      <c r="F358" t="s">
        <v>7</v>
      </c>
      <c r="G358" t="s">
        <v>130</v>
      </c>
      <c r="H358" s="1">
        <v>46124</v>
      </c>
      <c r="I358" t="s">
        <v>5127</v>
      </c>
      <c r="J358" t="s">
        <v>5128</v>
      </c>
      <c r="K358" t="s">
        <v>173</v>
      </c>
      <c r="L358" t="s">
        <v>2473</v>
      </c>
      <c r="M358" t="s">
        <v>2297</v>
      </c>
      <c r="N358" s="166">
        <v>22.34</v>
      </c>
      <c r="O358" t="s">
        <v>131</v>
      </c>
    </row>
    <row r="359" spans="1:15">
      <c r="A359" s="166" t="s">
        <v>5129</v>
      </c>
      <c r="B359" t="s">
        <v>111</v>
      </c>
      <c r="C359" t="s">
        <v>134</v>
      </c>
      <c r="D359" t="s">
        <v>116</v>
      </c>
      <c r="E359" t="s">
        <v>418</v>
      </c>
      <c r="F359" t="s">
        <v>7</v>
      </c>
      <c r="G359" t="s">
        <v>130</v>
      </c>
      <c r="H359" s="1">
        <v>46124</v>
      </c>
      <c r="I359" t="s">
        <v>5130</v>
      </c>
      <c r="J359" t="s">
        <v>5131</v>
      </c>
      <c r="K359" t="s">
        <v>686</v>
      </c>
      <c r="L359" t="s">
        <v>2058</v>
      </c>
      <c r="M359" t="s">
        <v>902</v>
      </c>
      <c r="N359" s="166">
        <v>25.4</v>
      </c>
      <c r="O359" t="s">
        <v>131</v>
      </c>
    </row>
    <row r="360" spans="1:15">
      <c r="A360" s="166" t="s">
        <v>5132</v>
      </c>
      <c r="B360" t="s">
        <v>111</v>
      </c>
      <c r="C360" t="s">
        <v>133</v>
      </c>
      <c r="D360" t="s">
        <v>116</v>
      </c>
      <c r="E360" t="s">
        <v>418</v>
      </c>
      <c r="F360" t="s">
        <v>7</v>
      </c>
      <c r="G360" t="s">
        <v>130</v>
      </c>
      <c r="H360" s="1">
        <v>46124</v>
      </c>
      <c r="I360" t="s">
        <v>5133</v>
      </c>
      <c r="J360" t="s">
        <v>5134</v>
      </c>
      <c r="K360" t="s">
        <v>4973</v>
      </c>
      <c r="L360" t="s">
        <v>2143</v>
      </c>
      <c r="M360" t="s">
        <v>182</v>
      </c>
      <c r="N360" s="166">
        <v>23.74</v>
      </c>
      <c r="O360" t="s">
        <v>131</v>
      </c>
    </row>
    <row r="361" spans="1:15">
      <c r="A361" s="166" t="s">
        <v>5135</v>
      </c>
      <c r="B361" t="s">
        <v>111</v>
      </c>
      <c r="C361" t="s">
        <v>134</v>
      </c>
      <c r="D361" t="s">
        <v>116</v>
      </c>
      <c r="E361" t="s">
        <v>418</v>
      </c>
      <c r="F361" t="s">
        <v>7</v>
      </c>
      <c r="G361" t="s">
        <v>130</v>
      </c>
      <c r="H361" s="1">
        <v>46124</v>
      </c>
      <c r="I361" t="s">
        <v>5136</v>
      </c>
      <c r="J361" t="s">
        <v>5137</v>
      </c>
      <c r="K361" t="s">
        <v>177</v>
      </c>
      <c r="L361" t="s">
        <v>2184</v>
      </c>
      <c r="M361" t="s">
        <v>3361</v>
      </c>
      <c r="N361" s="166">
        <v>21.96</v>
      </c>
      <c r="O361" t="s">
        <v>131</v>
      </c>
    </row>
    <row r="362" spans="1:15">
      <c r="A362" s="166" t="s">
        <v>5138</v>
      </c>
      <c r="B362" t="s">
        <v>111</v>
      </c>
      <c r="C362" t="s">
        <v>133</v>
      </c>
      <c r="D362" t="s">
        <v>116</v>
      </c>
      <c r="E362" t="s">
        <v>418</v>
      </c>
      <c r="F362" t="s">
        <v>7</v>
      </c>
      <c r="G362" t="s">
        <v>130</v>
      </c>
      <c r="H362" s="1">
        <v>46124</v>
      </c>
      <c r="I362" t="s">
        <v>5139</v>
      </c>
      <c r="J362" t="s">
        <v>5140</v>
      </c>
      <c r="K362" t="s">
        <v>3809</v>
      </c>
      <c r="L362" t="s">
        <v>2143</v>
      </c>
      <c r="M362" t="s">
        <v>5141</v>
      </c>
      <c r="N362" s="166">
        <v>22.88</v>
      </c>
      <c r="O362" t="s">
        <v>131</v>
      </c>
    </row>
    <row r="363" spans="1:15">
      <c r="A363" s="166" t="s">
        <v>5142</v>
      </c>
      <c r="B363" t="s">
        <v>111</v>
      </c>
      <c r="C363" t="s">
        <v>133</v>
      </c>
      <c r="D363" t="s">
        <v>116</v>
      </c>
      <c r="E363" t="s">
        <v>418</v>
      </c>
      <c r="F363" t="s">
        <v>7</v>
      </c>
      <c r="G363" t="s">
        <v>130</v>
      </c>
      <c r="H363" s="1">
        <v>46124</v>
      </c>
      <c r="I363" t="s">
        <v>5143</v>
      </c>
      <c r="J363" t="s">
        <v>5144</v>
      </c>
      <c r="K363" t="s">
        <v>4360</v>
      </c>
      <c r="L363" t="s">
        <v>3395</v>
      </c>
      <c r="M363" t="s">
        <v>504</v>
      </c>
      <c r="N363" s="166">
        <v>23.16</v>
      </c>
      <c r="O363" t="s">
        <v>131</v>
      </c>
    </row>
    <row r="364" spans="1:15">
      <c r="A364" s="166" t="s">
        <v>5145</v>
      </c>
      <c r="B364" t="s">
        <v>111</v>
      </c>
      <c r="C364" t="s">
        <v>133</v>
      </c>
      <c r="D364" t="s">
        <v>116</v>
      </c>
      <c r="E364" t="s">
        <v>418</v>
      </c>
      <c r="F364" t="s">
        <v>7</v>
      </c>
      <c r="G364" t="s">
        <v>130</v>
      </c>
      <c r="H364" s="1">
        <v>46124</v>
      </c>
      <c r="I364" t="s">
        <v>5146</v>
      </c>
      <c r="J364" t="s">
        <v>5147</v>
      </c>
      <c r="K364" t="s">
        <v>4728</v>
      </c>
      <c r="L364" t="s">
        <v>1830</v>
      </c>
      <c r="M364" t="s">
        <v>1456</v>
      </c>
      <c r="N364" s="166">
        <v>21.78</v>
      </c>
      <c r="O364" t="s">
        <v>131</v>
      </c>
    </row>
    <row r="365" spans="1:15">
      <c r="A365" s="166" t="s">
        <v>5148</v>
      </c>
      <c r="B365" t="s">
        <v>111</v>
      </c>
      <c r="C365" t="s">
        <v>133</v>
      </c>
      <c r="D365" t="s">
        <v>116</v>
      </c>
      <c r="E365" t="s">
        <v>418</v>
      </c>
      <c r="F365" t="s">
        <v>7</v>
      </c>
      <c r="G365" t="s">
        <v>130</v>
      </c>
      <c r="H365" s="1">
        <v>46124</v>
      </c>
      <c r="I365" t="s">
        <v>5149</v>
      </c>
      <c r="J365" t="s">
        <v>5150</v>
      </c>
      <c r="K365" t="s">
        <v>1442</v>
      </c>
      <c r="L365" t="s">
        <v>2024</v>
      </c>
      <c r="M365" t="s">
        <v>2091</v>
      </c>
      <c r="N365" s="166">
        <v>18.02</v>
      </c>
      <c r="O365" t="s">
        <v>131</v>
      </c>
    </row>
    <row r="366" spans="1:15">
      <c r="A366" s="166" t="s">
        <v>5151</v>
      </c>
      <c r="B366" t="s">
        <v>111</v>
      </c>
      <c r="C366" t="s">
        <v>136</v>
      </c>
      <c r="D366" t="s">
        <v>116</v>
      </c>
      <c r="E366" t="s">
        <v>418</v>
      </c>
      <c r="F366" t="s">
        <v>7</v>
      </c>
      <c r="G366" t="s">
        <v>130</v>
      </c>
      <c r="H366" s="1">
        <v>46124</v>
      </c>
      <c r="I366" t="s">
        <v>5152</v>
      </c>
      <c r="J366" t="s">
        <v>5153</v>
      </c>
      <c r="K366" t="s">
        <v>2677</v>
      </c>
      <c r="L366" t="s">
        <v>1136</v>
      </c>
      <c r="M366" t="s">
        <v>1802</v>
      </c>
      <c r="N366" s="166">
        <v>19.399999999999999</v>
      </c>
      <c r="O366" t="s">
        <v>131</v>
      </c>
    </row>
    <row r="367" spans="1:15">
      <c r="A367" s="166" t="s">
        <v>5154</v>
      </c>
      <c r="B367" t="s">
        <v>111</v>
      </c>
      <c r="C367" t="s">
        <v>133</v>
      </c>
      <c r="D367" t="s">
        <v>116</v>
      </c>
      <c r="E367" t="s">
        <v>418</v>
      </c>
      <c r="F367" t="s">
        <v>7</v>
      </c>
      <c r="G367" t="s">
        <v>130</v>
      </c>
      <c r="H367" s="1">
        <v>46124</v>
      </c>
      <c r="I367" t="s">
        <v>5155</v>
      </c>
      <c r="J367" t="s">
        <v>5156</v>
      </c>
      <c r="K367" t="s">
        <v>1172</v>
      </c>
      <c r="L367" t="s">
        <v>1364</v>
      </c>
      <c r="M367" t="s">
        <v>2090</v>
      </c>
      <c r="N367" s="166">
        <v>16.62</v>
      </c>
      <c r="O367" t="s">
        <v>131</v>
      </c>
    </row>
    <row r="368" spans="1:15">
      <c r="A368" s="166" t="s">
        <v>5157</v>
      </c>
      <c r="B368" t="s">
        <v>111</v>
      </c>
      <c r="C368" t="s">
        <v>136</v>
      </c>
      <c r="D368" t="s">
        <v>116</v>
      </c>
      <c r="E368" t="s">
        <v>418</v>
      </c>
      <c r="F368" t="s">
        <v>7</v>
      </c>
      <c r="G368" t="s">
        <v>130</v>
      </c>
      <c r="H368" s="1">
        <v>46124</v>
      </c>
      <c r="I368" t="s">
        <v>5158</v>
      </c>
      <c r="J368" t="s">
        <v>5159</v>
      </c>
      <c r="K368" t="s">
        <v>855</v>
      </c>
      <c r="L368" t="s">
        <v>1076</v>
      </c>
      <c r="M368" t="s">
        <v>2987</v>
      </c>
      <c r="N368" s="166">
        <v>23.28</v>
      </c>
      <c r="O368" t="s">
        <v>131</v>
      </c>
    </row>
    <row r="369" spans="1:15">
      <c r="A369" s="166" t="s">
        <v>5160</v>
      </c>
      <c r="B369" t="s">
        <v>111</v>
      </c>
      <c r="C369" t="s">
        <v>133</v>
      </c>
      <c r="D369" t="s">
        <v>116</v>
      </c>
      <c r="E369" t="s">
        <v>418</v>
      </c>
      <c r="F369" t="s">
        <v>7</v>
      </c>
      <c r="G369" t="s">
        <v>130</v>
      </c>
      <c r="H369" s="1">
        <v>46124</v>
      </c>
      <c r="I369" t="s">
        <v>5161</v>
      </c>
      <c r="J369" t="s">
        <v>5162</v>
      </c>
      <c r="K369" t="s">
        <v>2668</v>
      </c>
      <c r="L369" t="s">
        <v>845</v>
      </c>
      <c r="M369" t="s">
        <v>1645</v>
      </c>
      <c r="N369" s="166">
        <v>23</v>
      </c>
      <c r="O369" t="s">
        <v>131</v>
      </c>
    </row>
    <row r="370" spans="1:15">
      <c r="A370" s="166" t="s">
        <v>5163</v>
      </c>
      <c r="B370" t="s">
        <v>111</v>
      </c>
      <c r="C370" t="s">
        <v>134</v>
      </c>
      <c r="D370" t="s">
        <v>116</v>
      </c>
      <c r="E370" t="s">
        <v>418</v>
      </c>
      <c r="F370" t="s">
        <v>7</v>
      </c>
      <c r="G370" t="s">
        <v>130</v>
      </c>
      <c r="H370" s="1">
        <v>46124</v>
      </c>
      <c r="I370" t="s">
        <v>5164</v>
      </c>
      <c r="J370" t="s">
        <v>5165</v>
      </c>
      <c r="K370" t="s">
        <v>3744</v>
      </c>
      <c r="L370" t="s">
        <v>2095</v>
      </c>
      <c r="M370" t="s">
        <v>796</v>
      </c>
      <c r="N370" s="166">
        <v>24.02</v>
      </c>
      <c r="O370" t="s">
        <v>131</v>
      </c>
    </row>
    <row r="371" spans="1:15">
      <c r="A371" s="166" t="s">
        <v>5166</v>
      </c>
      <c r="B371" t="s">
        <v>111</v>
      </c>
      <c r="C371" t="s">
        <v>136</v>
      </c>
      <c r="D371" t="s">
        <v>116</v>
      </c>
      <c r="E371" t="s">
        <v>418</v>
      </c>
      <c r="F371" t="s">
        <v>7</v>
      </c>
      <c r="G371" t="s">
        <v>130</v>
      </c>
      <c r="H371" s="1">
        <v>46124</v>
      </c>
      <c r="I371" t="s">
        <v>5167</v>
      </c>
      <c r="J371" t="s">
        <v>5168</v>
      </c>
      <c r="K371" t="s">
        <v>5169</v>
      </c>
      <c r="L371" t="s">
        <v>3575</v>
      </c>
      <c r="M371" t="s">
        <v>3704</v>
      </c>
      <c r="N371" s="166">
        <v>24.68</v>
      </c>
      <c r="O371" t="s">
        <v>131</v>
      </c>
    </row>
    <row r="372" spans="1:15">
      <c r="A372" s="166" t="s">
        <v>5170</v>
      </c>
      <c r="B372" t="s">
        <v>111</v>
      </c>
      <c r="C372" t="s">
        <v>133</v>
      </c>
      <c r="D372" t="s">
        <v>116</v>
      </c>
      <c r="E372" t="s">
        <v>418</v>
      </c>
      <c r="F372" t="s">
        <v>7</v>
      </c>
      <c r="G372" t="s">
        <v>130</v>
      </c>
      <c r="H372" s="1">
        <v>46124</v>
      </c>
      <c r="I372" t="s">
        <v>5171</v>
      </c>
      <c r="J372" t="s">
        <v>5172</v>
      </c>
      <c r="K372" t="s">
        <v>2643</v>
      </c>
      <c r="L372" t="s">
        <v>212</v>
      </c>
      <c r="M372" t="s">
        <v>216</v>
      </c>
      <c r="N372" s="166">
        <v>23.4</v>
      </c>
      <c r="O372" t="s">
        <v>131</v>
      </c>
    </row>
    <row r="373" spans="1:15">
      <c r="A373" s="166" t="s">
        <v>5173</v>
      </c>
      <c r="B373" t="s">
        <v>111</v>
      </c>
      <c r="C373" t="s">
        <v>134</v>
      </c>
      <c r="D373" t="s">
        <v>116</v>
      </c>
      <c r="E373" t="s">
        <v>418</v>
      </c>
      <c r="F373" t="s">
        <v>7</v>
      </c>
      <c r="G373" t="s">
        <v>130</v>
      </c>
      <c r="H373" s="1">
        <v>46124</v>
      </c>
      <c r="I373" t="s">
        <v>5174</v>
      </c>
      <c r="J373" t="s">
        <v>5175</v>
      </c>
      <c r="K373" t="s">
        <v>3479</v>
      </c>
      <c r="L373" t="s">
        <v>907</v>
      </c>
      <c r="M373" t="s">
        <v>3420</v>
      </c>
      <c r="N373" s="166">
        <v>21.56</v>
      </c>
      <c r="O373" t="s">
        <v>131</v>
      </c>
    </row>
    <row r="374" spans="1:15">
      <c r="A374" s="166" t="s">
        <v>5176</v>
      </c>
      <c r="B374" t="s">
        <v>111</v>
      </c>
      <c r="C374" t="s">
        <v>136</v>
      </c>
      <c r="D374" t="s">
        <v>116</v>
      </c>
      <c r="E374" t="s">
        <v>418</v>
      </c>
      <c r="F374" t="s">
        <v>7</v>
      </c>
      <c r="G374" t="s">
        <v>130</v>
      </c>
      <c r="H374" s="1">
        <v>46124</v>
      </c>
      <c r="I374" t="s">
        <v>5177</v>
      </c>
      <c r="J374" t="s">
        <v>5178</v>
      </c>
      <c r="K374" t="s">
        <v>2351</v>
      </c>
      <c r="L374" t="s">
        <v>1835</v>
      </c>
      <c r="M374" t="s">
        <v>639</v>
      </c>
      <c r="N374" s="166">
        <v>21.02</v>
      </c>
      <c r="O374" t="s">
        <v>131</v>
      </c>
    </row>
    <row r="375" spans="1:15">
      <c r="A375" s="166" t="s">
        <v>5179</v>
      </c>
      <c r="B375" t="s">
        <v>111</v>
      </c>
      <c r="C375" t="s">
        <v>133</v>
      </c>
      <c r="D375" t="s">
        <v>116</v>
      </c>
      <c r="E375" t="s">
        <v>418</v>
      </c>
      <c r="F375" t="s">
        <v>7</v>
      </c>
      <c r="G375" t="s">
        <v>130</v>
      </c>
      <c r="H375" s="1">
        <v>46124</v>
      </c>
      <c r="I375" t="s">
        <v>5180</v>
      </c>
      <c r="J375" t="s">
        <v>5181</v>
      </c>
      <c r="K375" t="s">
        <v>4983</v>
      </c>
      <c r="L375" t="s">
        <v>2589</v>
      </c>
      <c r="M375" t="s">
        <v>5125</v>
      </c>
      <c r="N375" s="166">
        <v>21.76</v>
      </c>
      <c r="O375" t="s">
        <v>131</v>
      </c>
    </row>
    <row r="376" spans="1:15">
      <c r="A376" s="166" t="s">
        <v>5182</v>
      </c>
      <c r="B376" t="s">
        <v>111</v>
      </c>
      <c r="C376" t="s">
        <v>134</v>
      </c>
      <c r="D376" t="s">
        <v>116</v>
      </c>
      <c r="E376" t="s">
        <v>418</v>
      </c>
      <c r="F376" t="s">
        <v>7</v>
      </c>
      <c r="G376" t="s">
        <v>130</v>
      </c>
      <c r="H376" s="1">
        <v>46124</v>
      </c>
      <c r="I376" t="s">
        <v>5183</v>
      </c>
      <c r="J376" t="s">
        <v>5184</v>
      </c>
      <c r="K376" t="s">
        <v>1896</v>
      </c>
      <c r="L376" t="s">
        <v>907</v>
      </c>
      <c r="M376" t="s">
        <v>1934</v>
      </c>
      <c r="N376" s="166">
        <v>19.62</v>
      </c>
      <c r="O376" t="s">
        <v>131</v>
      </c>
    </row>
    <row r="377" spans="1:15">
      <c r="A377" s="166" t="s">
        <v>5185</v>
      </c>
      <c r="B377" t="s">
        <v>111</v>
      </c>
      <c r="C377" t="s">
        <v>136</v>
      </c>
      <c r="D377" t="s">
        <v>116</v>
      </c>
      <c r="E377" t="s">
        <v>418</v>
      </c>
      <c r="F377" t="s">
        <v>7</v>
      </c>
      <c r="G377" t="s">
        <v>130</v>
      </c>
      <c r="H377" s="1">
        <v>46124</v>
      </c>
      <c r="I377" t="s">
        <v>5186</v>
      </c>
      <c r="J377" t="s">
        <v>5187</v>
      </c>
      <c r="K377" t="s">
        <v>443</v>
      </c>
      <c r="L377" t="s">
        <v>1493</v>
      </c>
      <c r="M377" t="s">
        <v>731</v>
      </c>
      <c r="N377" s="166">
        <v>20.82</v>
      </c>
      <c r="O377" t="s">
        <v>131</v>
      </c>
    </row>
    <row r="378" spans="1:15">
      <c r="A378" s="166" t="s">
        <v>5188</v>
      </c>
      <c r="B378" t="s">
        <v>111</v>
      </c>
      <c r="C378" t="s">
        <v>133</v>
      </c>
      <c r="D378" t="s">
        <v>116</v>
      </c>
      <c r="E378" t="s">
        <v>418</v>
      </c>
      <c r="F378" t="s">
        <v>7</v>
      </c>
      <c r="G378" t="s">
        <v>130</v>
      </c>
      <c r="H378" s="1">
        <v>46124</v>
      </c>
      <c r="I378" t="s">
        <v>5189</v>
      </c>
      <c r="J378" t="s">
        <v>5190</v>
      </c>
      <c r="K378" t="s">
        <v>766</v>
      </c>
      <c r="L378" t="s">
        <v>2019</v>
      </c>
      <c r="M378" t="s">
        <v>2402</v>
      </c>
      <c r="N378" s="166">
        <v>20.04</v>
      </c>
      <c r="O378" t="s">
        <v>131</v>
      </c>
    </row>
    <row r="379" spans="1:15">
      <c r="A379" s="166" t="s">
        <v>5191</v>
      </c>
      <c r="B379" t="s">
        <v>111</v>
      </c>
      <c r="C379" t="s">
        <v>134</v>
      </c>
      <c r="D379" t="s">
        <v>116</v>
      </c>
      <c r="E379" t="s">
        <v>418</v>
      </c>
      <c r="F379" t="s">
        <v>7</v>
      </c>
      <c r="G379" t="s">
        <v>130</v>
      </c>
      <c r="H379" s="1">
        <v>46124</v>
      </c>
      <c r="I379" t="s">
        <v>5192</v>
      </c>
      <c r="J379" t="s">
        <v>5193</v>
      </c>
      <c r="K379" t="s">
        <v>480</v>
      </c>
      <c r="L379" t="s">
        <v>2058</v>
      </c>
      <c r="M379" t="s">
        <v>1140</v>
      </c>
      <c r="N379" s="166">
        <v>21.2</v>
      </c>
      <c r="O379" t="s">
        <v>131</v>
      </c>
    </row>
    <row r="380" spans="1:15">
      <c r="A380" s="166" t="s">
        <v>5194</v>
      </c>
      <c r="B380" t="s">
        <v>111</v>
      </c>
      <c r="C380" t="s">
        <v>134</v>
      </c>
      <c r="D380" t="s">
        <v>116</v>
      </c>
      <c r="E380" t="s">
        <v>418</v>
      </c>
      <c r="F380" t="s">
        <v>6</v>
      </c>
      <c r="G380" t="s">
        <v>130</v>
      </c>
      <c r="H380" s="1">
        <v>46124</v>
      </c>
      <c r="I380" t="s">
        <v>5195</v>
      </c>
      <c r="J380" t="s">
        <v>5196</v>
      </c>
      <c r="K380" t="s">
        <v>1627</v>
      </c>
      <c r="L380" t="s">
        <v>2095</v>
      </c>
      <c r="M380" t="s">
        <v>857</v>
      </c>
      <c r="N380" s="166">
        <v>22.94</v>
      </c>
      <c r="O380" t="s">
        <v>131</v>
      </c>
    </row>
    <row r="381" spans="1:15">
      <c r="A381" s="166" t="s">
        <v>5197</v>
      </c>
      <c r="B381" t="s">
        <v>111</v>
      </c>
      <c r="C381" t="s">
        <v>1104</v>
      </c>
      <c r="D381" t="s">
        <v>116</v>
      </c>
      <c r="E381" t="s">
        <v>418</v>
      </c>
      <c r="F381" t="s">
        <v>6</v>
      </c>
      <c r="G381" t="s">
        <v>130</v>
      </c>
      <c r="H381" s="1">
        <v>46124</v>
      </c>
      <c r="I381" t="s">
        <v>5198</v>
      </c>
      <c r="J381" t="s">
        <v>5199</v>
      </c>
      <c r="K381" t="s">
        <v>659</v>
      </c>
      <c r="L381" t="s">
        <v>1257</v>
      </c>
      <c r="M381" t="s">
        <v>3041</v>
      </c>
      <c r="N381" s="166">
        <v>22.6</v>
      </c>
      <c r="O381" t="s">
        <v>131</v>
      </c>
    </row>
    <row r="382" spans="1:15">
      <c r="A382" s="166" t="s">
        <v>5200</v>
      </c>
      <c r="B382" t="s">
        <v>111</v>
      </c>
      <c r="C382" t="s">
        <v>136</v>
      </c>
      <c r="D382" t="s">
        <v>116</v>
      </c>
      <c r="E382" t="s">
        <v>418</v>
      </c>
      <c r="F382" t="s">
        <v>6</v>
      </c>
      <c r="G382" t="s">
        <v>130</v>
      </c>
      <c r="H382" s="1">
        <v>46124</v>
      </c>
      <c r="I382" t="s">
        <v>5201</v>
      </c>
      <c r="J382" t="s">
        <v>5202</v>
      </c>
      <c r="K382" t="s">
        <v>781</v>
      </c>
      <c r="L382" t="s">
        <v>2058</v>
      </c>
      <c r="M382" t="s">
        <v>1545</v>
      </c>
      <c r="N382" s="166">
        <v>20.68</v>
      </c>
      <c r="O382" t="s">
        <v>131</v>
      </c>
    </row>
    <row r="383" spans="1:15">
      <c r="A383" s="166" t="s">
        <v>5203</v>
      </c>
      <c r="B383" t="s">
        <v>111</v>
      </c>
      <c r="C383" t="s">
        <v>136</v>
      </c>
      <c r="D383" t="s">
        <v>116</v>
      </c>
      <c r="E383" t="s">
        <v>418</v>
      </c>
      <c r="F383" t="s">
        <v>6</v>
      </c>
      <c r="G383" t="s">
        <v>130</v>
      </c>
      <c r="H383" s="1">
        <v>46124</v>
      </c>
      <c r="I383" t="s">
        <v>5204</v>
      </c>
      <c r="J383" t="s">
        <v>5205</v>
      </c>
      <c r="K383" t="s">
        <v>3357</v>
      </c>
      <c r="L383" t="s">
        <v>2272</v>
      </c>
      <c r="M383" t="s">
        <v>1587</v>
      </c>
      <c r="N383" s="166">
        <v>20.5</v>
      </c>
      <c r="O383" t="s">
        <v>131</v>
      </c>
    </row>
    <row r="384" spans="1:15">
      <c r="A384" s="166" t="s">
        <v>5206</v>
      </c>
      <c r="B384" t="s">
        <v>111</v>
      </c>
      <c r="C384" t="s">
        <v>134</v>
      </c>
      <c r="D384" t="s">
        <v>116</v>
      </c>
      <c r="E384" t="s">
        <v>418</v>
      </c>
      <c r="F384" t="s">
        <v>6</v>
      </c>
      <c r="G384" t="s">
        <v>130</v>
      </c>
      <c r="H384" s="1">
        <v>46124</v>
      </c>
      <c r="I384" t="s">
        <v>5207</v>
      </c>
      <c r="J384" t="s">
        <v>5208</v>
      </c>
      <c r="K384" t="s">
        <v>5209</v>
      </c>
      <c r="L384" t="s">
        <v>672</v>
      </c>
      <c r="M384" t="s">
        <v>3646</v>
      </c>
      <c r="N384" s="166">
        <v>20</v>
      </c>
      <c r="O384" t="s">
        <v>131</v>
      </c>
    </row>
    <row r="385" spans="1:15">
      <c r="A385" s="166" t="s">
        <v>5210</v>
      </c>
      <c r="B385" t="s">
        <v>111</v>
      </c>
      <c r="C385" t="s">
        <v>1104</v>
      </c>
      <c r="D385" t="s">
        <v>116</v>
      </c>
      <c r="E385" t="s">
        <v>418</v>
      </c>
      <c r="F385" t="s">
        <v>6</v>
      </c>
      <c r="G385" t="s">
        <v>130</v>
      </c>
      <c r="H385" s="1">
        <v>46124</v>
      </c>
      <c r="I385" t="s">
        <v>5211</v>
      </c>
      <c r="J385" t="s">
        <v>5212</v>
      </c>
      <c r="K385" t="s">
        <v>3357</v>
      </c>
      <c r="L385" t="s">
        <v>1483</v>
      </c>
      <c r="M385" t="s">
        <v>3084</v>
      </c>
      <c r="N385" s="166">
        <v>21.5</v>
      </c>
      <c r="O385" t="s">
        <v>131</v>
      </c>
    </row>
    <row r="386" spans="1:15">
      <c r="A386" s="166" t="s">
        <v>5213</v>
      </c>
      <c r="B386" t="s">
        <v>111</v>
      </c>
      <c r="C386" t="s">
        <v>136</v>
      </c>
      <c r="D386" t="s">
        <v>116</v>
      </c>
      <c r="E386" t="s">
        <v>418</v>
      </c>
      <c r="F386" t="s">
        <v>6</v>
      </c>
      <c r="G386" t="s">
        <v>130</v>
      </c>
      <c r="H386" s="1">
        <v>46124</v>
      </c>
      <c r="I386" t="s">
        <v>5214</v>
      </c>
      <c r="J386" t="s">
        <v>5215</v>
      </c>
      <c r="K386" t="s">
        <v>205</v>
      </c>
      <c r="L386" t="s">
        <v>901</v>
      </c>
      <c r="M386" t="s">
        <v>773</v>
      </c>
      <c r="N386" s="166">
        <v>20.66</v>
      </c>
      <c r="O386" t="s">
        <v>131</v>
      </c>
    </row>
    <row r="387" spans="1:15">
      <c r="A387" s="166" t="s">
        <v>5216</v>
      </c>
      <c r="B387" t="s">
        <v>111</v>
      </c>
      <c r="C387" t="s">
        <v>134</v>
      </c>
      <c r="D387" t="s">
        <v>116</v>
      </c>
      <c r="E387" t="s">
        <v>418</v>
      </c>
      <c r="F387" t="s">
        <v>6</v>
      </c>
      <c r="G387" t="s">
        <v>130</v>
      </c>
      <c r="H387" s="1">
        <v>46124</v>
      </c>
      <c r="I387" t="s">
        <v>5217</v>
      </c>
      <c r="J387" t="s">
        <v>5218</v>
      </c>
      <c r="K387" t="s">
        <v>2559</v>
      </c>
      <c r="L387" t="s">
        <v>2184</v>
      </c>
      <c r="M387" t="s">
        <v>422</v>
      </c>
      <c r="N387" s="166">
        <v>20.420000000000002</v>
      </c>
      <c r="O387" t="s">
        <v>131</v>
      </c>
    </row>
    <row r="388" spans="1:15">
      <c r="A388" s="166" t="s">
        <v>5219</v>
      </c>
      <c r="B388" t="s">
        <v>111</v>
      </c>
      <c r="C388" t="s">
        <v>1104</v>
      </c>
      <c r="D388" t="s">
        <v>116</v>
      </c>
      <c r="E388" t="s">
        <v>418</v>
      </c>
      <c r="F388" t="s">
        <v>6</v>
      </c>
      <c r="G388" t="s">
        <v>130</v>
      </c>
      <c r="H388" s="1">
        <v>46124</v>
      </c>
      <c r="I388" t="s">
        <v>5220</v>
      </c>
      <c r="J388" t="s">
        <v>5221</v>
      </c>
      <c r="K388" t="s">
        <v>4879</v>
      </c>
      <c r="L388" t="s">
        <v>515</v>
      </c>
      <c r="M388" t="s">
        <v>1718</v>
      </c>
      <c r="N388" s="166">
        <v>23.92</v>
      </c>
      <c r="O388" t="s">
        <v>131</v>
      </c>
    </row>
    <row r="389" spans="1:15">
      <c r="A389" s="166" t="s">
        <v>5222</v>
      </c>
      <c r="B389" t="s">
        <v>111</v>
      </c>
      <c r="C389" t="s">
        <v>136</v>
      </c>
      <c r="D389" t="s">
        <v>116</v>
      </c>
      <c r="E389" t="s">
        <v>418</v>
      </c>
      <c r="F389" t="s">
        <v>6</v>
      </c>
      <c r="G389" t="s">
        <v>130</v>
      </c>
      <c r="H389" s="1">
        <v>46124</v>
      </c>
      <c r="I389" t="s">
        <v>5223</v>
      </c>
      <c r="J389" t="s">
        <v>5224</v>
      </c>
      <c r="K389" t="s">
        <v>1332</v>
      </c>
      <c r="L389" t="s">
        <v>901</v>
      </c>
      <c r="M389" t="s">
        <v>1573</v>
      </c>
      <c r="N389" s="166">
        <v>18.32</v>
      </c>
      <c r="O389" t="s">
        <v>131</v>
      </c>
    </row>
    <row r="390" spans="1:15">
      <c r="A390" s="166" t="s">
        <v>5225</v>
      </c>
      <c r="B390" t="s">
        <v>111</v>
      </c>
      <c r="C390" t="s">
        <v>134</v>
      </c>
      <c r="D390" t="s">
        <v>116</v>
      </c>
      <c r="E390" t="s">
        <v>418</v>
      </c>
      <c r="F390" t="s">
        <v>6</v>
      </c>
      <c r="G390" t="s">
        <v>130</v>
      </c>
      <c r="H390" s="1">
        <v>46124</v>
      </c>
      <c r="I390" t="s">
        <v>5226</v>
      </c>
      <c r="J390" t="s">
        <v>5227</v>
      </c>
      <c r="K390" t="s">
        <v>470</v>
      </c>
      <c r="L390" t="s">
        <v>2095</v>
      </c>
      <c r="M390" t="s">
        <v>1701</v>
      </c>
      <c r="N390" s="166">
        <v>21.14</v>
      </c>
      <c r="O390" t="s">
        <v>131</v>
      </c>
    </row>
    <row r="391" spans="1:15">
      <c r="A391" s="166" t="s">
        <v>5228</v>
      </c>
      <c r="B391" t="s">
        <v>111</v>
      </c>
      <c r="C391" t="s">
        <v>136</v>
      </c>
      <c r="D391" t="s">
        <v>116</v>
      </c>
      <c r="E391" t="s">
        <v>418</v>
      </c>
      <c r="F391" t="s">
        <v>6</v>
      </c>
      <c r="G391" t="s">
        <v>130</v>
      </c>
      <c r="H391" s="1">
        <v>46124</v>
      </c>
      <c r="I391" t="s">
        <v>5229</v>
      </c>
      <c r="J391" t="s">
        <v>5230</v>
      </c>
      <c r="K391" t="s">
        <v>4468</v>
      </c>
      <c r="L391" t="s">
        <v>870</v>
      </c>
      <c r="M391" t="s">
        <v>596</v>
      </c>
      <c r="N391" s="166">
        <v>20.36</v>
      </c>
      <c r="O391" t="s">
        <v>131</v>
      </c>
    </row>
    <row r="392" spans="1:15">
      <c r="A392" s="166" t="s">
        <v>5231</v>
      </c>
      <c r="B392" t="s">
        <v>111</v>
      </c>
      <c r="C392" t="s">
        <v>1104</v>
      </c>
      <c r="D392" t="s">
        <v>116</v>
      </c>
      <c r="E392" t="s">
        <v>418</v>
      </c>
      <c r="F392" t="s">
        <v>6</v>
      </c>
      <c r="G392" t="s">
        <v>130</v>
      </c>
      <c r="H392" s="1">
        <v>46124</v>
      </c>
      <c r="I392" t="s">
        <v>5232</v>
      </c>
      <c r="J392" t="s">
        <v>5233</v>
      </c>
      <c r="K392" t="s">
        <v>514</v>
      </c>
      <c r="L392" t="s">
        <v>515</v>
      </c>
      <c r="M392" t="s">
        <v>145</v>
      </c>
      <c r="N392" s="166">
        <v>21.3</v>
      </c>
      <c r="O392" t="s">
        <v>131</v>
      </c>
    </row>
    <row r="393" spans="1:15">
      <c r="A393" s="166" t="s">
        <v>5234</v>
      </c>
      <c r="B393" t="s">
        <v>111</v>
      </c>
      <c r="C393" t="s">
        <v>134</v>
      </c>
      <c r="D393" t="s">
        <v>116</v>
      </c>
      <c r="E393" t="s">
        <v>418</v>
      </c>
      <c r="F393" t="s">
        <v>6</v>
      </c>
      <c r="G393" t="s">
        <v>130</v>
      </c>
      <c r="H393" s="1">
        <v>46124</v>
      </c>
      <c r="I393" t="s">
        <v>5235</v>
      </c>
      <c r="J393" t="s">
        <v>5236</v>
      </c>
      <c r="K393" t="s">
        <v>816</v>
      </c>
      <c r="L393" t="s">
        <v>2095</v>
      </c>
      <c r="M393" t="s">
        <v>3138</v>
      </c>
      <c r="N393" s="166">
        <v>21.94</v>
      </c>
      <c r="O393" t="s">
        <v>131</v>
      </c>
    </row>
    <row r="394" spans="1:15">
      <c r="A394" s="166" t="s">
        <v>1408</v>
      </c>
      <c r="B394" t="s">
        <v>111</v>
      </c>
      <c r="C394" t="s">
        <v>136</v>
      </c>
      <c r="D394" t="s">
        <v>116</v>
      </c>
      <c r="E394" t="s">
        <v>418</v>
      </c>
      <c r="F394" t="s">
        <v>6</v>
      </c>
      <c r="G394" t="s">
        <v>130</v>
      </c>
      <c r="H394" s="1">
        <v>46124</v>
      </c>
      <c r="I394" t="s">
        <v>5237</v>
      </c>
      <c r="J394" t="s">
        <v>5238</v>
      </c>
      <c r="K394" t="s">
        <v>3479</v>
      </c>
      <c r="L394" t="s">
        <v>147</v>
      </c>
      <c r="M394" t="s">
        <v>2745</v>
      </c>
      <c r="N394" s="166">
        <v>20.78</v>
      </c>
      <c r="O394" t="s">
        <v>131</v>
      </c>
    </row>
    <row r="395" spans="1:15">
      <c r="A395" s="166" t="s">
        <v>5239</v>
      </c>
      <c r="B395" t="s">
        <v>111</v>
      </c>
      <c r="C395" t="s">
        <v>1104</v>
      </c>
      <c r="D395" t="s">
        <v>116</v>
      </c>
      <c r="E395" t="s">
        <v>418</v>
      </c>
      <c r="F395" t="s">
        <v>6</v>
      </c>
      <c r="G395" t="s">
        <v>130</v>
      </c>
      <c r="H395" s="1">
        <v>46124</v>
      </c>
      <c r="I395" t="s">
        <v>5240</v>
      </c>
      <c r="J395" t="s">
        <v>5241</v>
      </c>
      <c r="K395" t="s">
        <v>192</v>
      </c>
      <c r="L395" t="s">
        <v>989</v>
      </c>
      <c r="M395" t="s">
        <v>802</v>
      </c>
      <c r="N395" s="166">
        <v>22.68</v>
      </c>
      <c r="O395" t="s">
        <v>131</v>
      </c>
    </row>
    <row r="396" spans="1:15">
      <c r="A396" s="166" t="s">
        <v>5242</v>
      </c>
      <c r="B396" t="s">
        <v>111</v>
      </c>
      <c r="C396" t="s">
        <v>134</v>
      </c>
      <c r="D396" t="s">
        <v>116</v>
      </c>
      <c r="E396" t="s">
        <v>418</v>
      </c>
      <c r="F396" t="s">
        <v>6</v>
      </c>
      <c r="G396" t="s">
        <v>130</v>
      </c>
      <c r="H396" s="1">
        <v>46124</v>
      </c>
      <c r="I396" t="s">
        <v>5243</v>
      </c>
      <c r="J396" t="s">
        <v>5244</v>
      </c>
      <c r="K396" t="s">
        <v>4645</v>
      </c>
      <c r="L396" t="s">
        <v>1280</v>
      </c>
      <c r="M396" t="s">
        <v>428</v>
      </c>
      <c r="N396" s="166">
        <v>20.96</v>
      </c>
      <c r="O396" t="s">
        <v>131</v>
      </c>
    </row>
    <row r="397" spans="1:15">
      <c r="A397" s="166" t="s">
        <v>5245</v>
      </c>
      <c r="B397" t="s">
        <v>111</v>
      </c>
      <c r="C397" t="s">
        <v>136</v>
      </c>
      <c r="D397" t="s">
        <v>116</v>
      </c>
      <c r="E397" t="s">
        <v>418</v>
      </c>
      <c r="F397" t="s">
        <v>6</v>
      </c>
      <c r="G397" t="s">
        <v>130</v>
      </c>
      <c r="H397" s="1">
        <v>46124</v>
      </c>
      <c r="I397" t="s">
        <v>5246</v>
      </c>
      <c r="J397" t="s">
        <v>5247</v>
      </c>
      <c r="K397" t="s">
        <v>443</v>
      </c>
      <c r="L397" t="s">
        <v>3075</v>
      </c>
      <c r="M397" t="s">
        <v>1338</v>
      </c>
      <c r="N397" s="166">
        <v>19.84</v>
      </c>
      <c r="O397" t="s">
        <v>131</v>
      </c>
    </row>
    <row r="398" spans="1:15">
      <c r="A398" s="166" t="s">
        <v>5248</v>
      </c>
      <c r="B398" t="s">
        <v>111</v>
      </c>
      <c r="C398" t="s">
        <v>1104</v>
      </c>
      <c r="D398" t="s">
        <v>116</v>
      </c>
      <c r="E398" t="s">
        <v>418</v>
      </c>
      <c r="F398" t="s">
        <v>6</v>
      </c>
      <c r="G398" t="s">
        <v>130</v>
      </c>
      <c r="H398" s="1">
        <v>46124</v>
      </c>
      <c r="I398" t="s">
        <v>5249</v>
      </c>
      <c r="J398" t="s">
        <v>5250</v>
      </c>
      <c r="K398" t="s">
        <v>4388</v>
      </c>
      <c r="L398" t="s">
        <v>622</v>
      </c>
      <c r="M398" t="s">
        <v>5098</v>
      </c>
      <c r="N398" s="166">
        <v>22.62</v>
      </c>
      <c r="O398" t="s">
        <v>131</v>
      </c>
    </row>
    <row r="399" spans="1:15">
      <c r="A399" s="166" t="s">
        <v>5251</v>
      </c>
      <c r="B399" t="s">
        <v>111</v>
      </c>
      <c r="C399" t="s">
        <v>134</v>
      </c>
      <c r="D399" t="s">
        <v>116</v>
      </c>
      <c r="E399" t="s">
        <v>418</v>
      </c>
      <c r="F399" t="s">
        <v>6</v>
      </c>
      <c r="G399" t="s">
        <v>130</v>
      </c>
      <c r="H399" s="1">
        <v>46124</v>
      </c>
      <c r="I399" t="s">
        <v>5252</v>
      </c>
      <c r="J399" t="s">
        <v>5253</v>
      </c>
      <c r="K399" t="s">
        <v>4983</v>
      </c>
      <c r="L399" t="s">
        <v>2184</v>
      </c>
      <c r="M399" t="s">
        <v>1657</v>
      </c>
      <c r="N399" s="166">
        <v>22.8</v>
      </c>
      <c r="O399" t="s">
        <v>131</v>
      </c>
    </row>
    <row r="400" spans="1:15">
      <c r="A400" s="166" t="s">
        <v>5254</v>
      </c>
      <c r="B400" t="s">
        <v>111</v>
      </c>
      <c r="C400" t="s">
        <v>136</v>
      </c>
      <c r="D400" t="s">
        <v>116</v>
      </c>
      <c r="E400" t="s">
        <v>418</v>
      </c>
      <c r="F400" t="s">
        <v>6</v>
      </c>
      <c r="G400" t="s">
        <v>130</v>
      </c>
      <c r="H400" s="1">
        <v>46124</v>
      </c>
      <c r="I400" t="s">
        <v>5255</v>
      </c>
      <c r="J400" t="s">
        <v>5256</v>
      </c>
      <c r="K400" t="s">
        <v>739</v>
      </c>
      <c r="L400" t="s">
        <v>3501</v>
      </c>
      <c r="M400" t="s">
        <v>530</v>
      </c>
      <c r="N400" s="166">
        <v>21</v>
      </c>
      <c r="O400" t="s">
        <v>131</v>
      </c>
    </row>
    <row r="401" spans="1:15">
      <c r="A401" s="166" t="s">
        <v>5257</v>
      </c>
      <c r="B401" t="s">
        <v>111</v>
      </c>
      <c r="C401" t="s">
        <v>1104</v>
      </c>
      <c r="D401" t="s">
        <v>116</v>
      </c>
      <c r="E401" t="s">
        <v>418</v>
      </c>
      <c r="F401" t="s">
        <v>6</v>
      </c>
      <c r="G401" t="s">
        <v>130</v>
      </c>
      <c r="H401" s="1">
        <v>46124</v>
      </c>
      <c r="I401" t="s">
        <v>5258</v>
      </c>
      <c r="J401" t="s">
        <v>5259</v>
      </c>
      <c r="K401" t="s">
        <v>2540</v>
      </c>
      <c r="L401" t="s">
        <v>208</v>
      </c>
      <c r="M401" t="s">
        <v>3203</v>
      </c>
      <c r="N401" s="166">
        <v>20.76</v>
      </c>
      <c r="O401" t="s">
        <v>131</v>
      </c>
    </row>
    <row r="402" spans="1:15">
      <c r="A402" s="166" t="s">
        <v>5260</v>
      </c>
      <c r="B402" t="s">
        <v>111</v>
      </c>
      <c r="C402" t="s">
        <v>134</v>
      </c>
      <c r="D402" t="s">
        <v>116</v>
      </c>
      <c r="E402" t="s">
        <v>418</v>
      </c>
      <c r="F402" t="s">
        <v>6</v>
      </c>
      <c r="G402" t="s">
        <v>130</v>
      </c>
      <c r="H402" s="1">
        <v>46124</v>
      </c>
      <c r="I402" t="s">
        <v>5261</v>
      </c>
      <c r="J402" t="s">
        <v>5262</v>
      </c>
      <c r="K402" t="s">
        <v>164</v>
      </c>
      <c r="L402" t="s">
        <v>2267</v>
      </c>
      <c r="M402" t="s">
        <v>2502</v>
      </c>
      <c r="N402" s="166">
        <v>19.96</v>
      </c>
      <c r="O402" t="s">
        <v>131</v>
      </c>
    </row>
    <row r="403" spans="1:15">
      <c r="A403" s="166" t="s">
        <v>5263</v>
      </c>
      <c r="B403" t="s">
        <v>111</v>
      </c>
      <c r="C403" t="s">
        <v>136</v>
      </c>
      <c r="D403" t="s">
        <v>116</v>
      </c>
      <c r="E403" t="s">
        <v>418</v>
      </c>
      <c r="F403" t="s">
        <v>6</v>
      </c>
      <c r="G403" t="s">
        <v>130</v>
      </c>
      <c r="H403" s="1">
        <v>46124</v>
      </c>
      <c r="I403" t="s">
        <v>5264</v>
      </c>
      <c r="J403" t="s">
        <v>5265</v>
      </c>
      <c r="K403" t="s">
        <v>217</v>
      </c>
      <c r="L403" t="s">
        <v>2589</v>
      </c>
      <c r="M403" t="s">
        <v>1333</v>
      </c>
      <c r="N403" s="166">
        <v>19.14</v>
      </c>
      <c r="O403" t="s">
        <v>131</v>
      </c>
    </row>
    <row r="404" spans="1:15">
      <c r="A404" s="166" t="s">
        <v>5266</v>
      </c>
      <c r="B404" t="s">
        <v>111</v>
      </c>
      <c r="C404" t="s">
        <v>1104</v>
      </c>
      <c r="D404" t="s">
        <v>116</v>
      </c>
      <c r="E404" t="s">
        <v>418</v>
      </c>
      <c r="F404" t="s">
        <v>6</v>
      </c>
      <c r="G404" t="s">
        <v>130</v>
      </c>
      <c r="H404" s="1">
        <v>46124</v>
      </c>
      <c r="I404" t="s">
        <v>5267</v>
      </c>
      <c r="J404" t="s">
        <v>5268</v>
      </c>
      <c r="K404" t="s">
        <v>573</v>
      </c>
      <c r="L404" t="s">
        <v>162</v>
      </c>
      <c r="M404" t="s">
        <v>3024</v>
      </c>
      <c r="N404" s="166">
        <v>20.56</v>
      </c>
      <c r="O404" t="s">
        <v>131</v>
      </c>
    </row>
    <row r="405" spans="1:15">
      <c r="A405" s="166" t="s">
        <v>5269</v>
      </c>
      <c r="B405" t="s">
        <v>111</v>
      </c>
      <c r="C405" t="s">
        <v>136</v>
      </c>
      <c r="D405" t="s">
        <v>116</v>
      </c>
      <c r="E405" t="s">
        <v>418</v>
      </c>
      <c r="F405" t="s">
        <v>6</v>
      </c>
      <c r="G405" t="s">
        <v>130</v>
      </c>
      <c r="H405" s="1">
        <v>46124</v>
      </c>
      <c r="I405" t="s">
        <v>5270</v>
      </c>
      <c r="J405" t="s">
        <v>5271</v>
      </c>
      <c r="K405" t="s">
        <v>1472</v>
      </c>
      <c r="L405" t="s">
        <v>3483</v>
      </c>
      <c r="M405" t="s">
        <v>2008</v>
      </c>
      <c r="N405" s="166">
        <v>19.04</v>
      </c>
      <c r="O405" t="s">
        <v>131</v>
      </c>
    </row>
    <row r="406" spans="1:15">
      <c r="A406" s="166" t="s">
        <v>5272</v>
      </c>
      <c r="B406" t="s">
        <v>111</v>
      </c>
      <c r="C406" t="s">
        <v>134</v>
      </c>
      <c r="D406" t="s">
        <v>116</v>
      </c>
      <c r="E406" t="s">
        <v>418</v>
      </c>
      <c r="F406" t="s">
        <v>6</v>
      </c>
      <c r="G406" t="s">
        <v>130</v>
      </c>
      <c r="H406" s="1">
        <v>46124</v>
      </c>
      <c r="I406" t="s">
        <v>5273</v>
      </c>
      <c r="J406" t="s">
        <v>5274</v>
      </c>
      <c r="K406" t="s">
        <v>3282</v>
      </c>
      <c r="L406" t="s">
        <v>2657</v>
      </c>
      <c r="M406" t="s">
        <v>1452</v>
      </c>
      <c r="N406" s="166">
        <v>22.96</v>
      </c>
      <c r="O406" t="s">
        <v>131</v>
      </c>
    </row>
    <row r="407" spans="1:15">
      <c r="A407" s="166" t="s">
        <v>5275</v>
      </c>
      <c r="B407" t="s">
        <v>111</v>
      </c>
      <c r="C407" t="s">
        <v>1104</v>
      </c>
      <c r="D407" t="s">
        <v>116</v>
      </c>
      <c r="E407" t="s">
        <v>418</v>
      </c>
      <c r="F407" t="s">
        <v>6</v>
      </c>
      <c r="G407" t="s">
        <v>130</v>
      </c>
      <c r="H407" s="1">
        <v>46124</v>
      </c>
      <c r="I407" t="s">
        <v>5276</v>
      </c>
      <c r="J407" t="s">
        <v>5277</v>
      </c>
      <c r="K407" t="s">
        <v>825</v>
      </c>
      <c r="L407" t="s">
        <v>144</v>
      </c>
      <c r="M407" t="s">
        <v>1907</v>
      </c>
      <c r="N407" s="166">
        <v>19.66</v>
      </c>
      <c r="O407" t="s">
        <v>131</v>
      </c>
    </row>
    <row r="408" spans="1:15">
      <c r="A408" s="166" t="s">
        <v>5278</v>
      </c>
      <c r="B408" t="s">
        <v>111</v>
      </c>
      <c r="C408" t="s">
        <v>136</v>
      </c>
      <c r="D408" t="s">
        <v>116</v>
      </c>
      <c r="E408" t="s">
        <v>418</v>
      </c>
      <c r="F408" t="s">
        <v>6</v>
      </c>
      <c r="G408" t="s">
        <v>130</v>
      </c>
      <c r="H408" s="1">
        <v>46124</v>
      </c>
      <c r="I408" t="s">
        <v>5279</v>
      </c>
      <c r="J408" t="s">
        <v>5280</v>
      </c>
      <c r="K408" t="s">
        <v>1774</v>
      </c>
      <c r="L408" t="s">
        <v>515</v>
      </c>
      <c r="M408" t="s">
        <v>2502</v>
      </c>
      <c r="N408" s="166">
        <v>19.96</v>
      </c>
      <c r="O408" t="s">
        <v>131</v>
      </c>
    </row>
    <row r="409" spans="1:15">
      <c r="A409" s="166" t="s">
        <v>5281</v>
      </c>
      <c r="B409" t="s">
        <v>111</v>
      </c>
      <c r="C409" t="s">
        <v>134</v>
      </c>
      <c r="D409" t="s">
        <v>116</v>
      </c>
      <c r="E409" t="s">
        <v>418</v>
      </c>
      <c r="F409" t="s">
        <v>6</v>
      </c>
      <c r="G409" t="s">
        <v>130</v>
      </c>
      <c r="H409" s="1">
        <v>46124</v>
      </c>
      <c r="I409" t="s">
        <v>5282</v>
      </c>
      <c r="J409" t="s">
        <v>5283</v>
      </c>
      <c r="K409" t="s">
        <v>409</v>
      </c>
      <c r="L409" t="s">
        <v>2267</v>
      </c>
      <c r="M409" t="s">
        <v>487</v>
      </c>
      <c r="N409" s="166">
        <v>21.88</v>
      </c>
      <c r="O409" t="s">
        <v>131</v>
      </c>
    </row>
    <row r="410" spans="1:15">
      <c r="A410" s="166" t="s">
        <v>5284</v>
      </c>
      <c r="B410" t="s">
        <v>111</v>
      </c>
      <c r="C410" t="s">
        <v>1104</v>
      </c>
      <c r="D410" t="s">
        <v>116</v>
      </c>
      <c r="E410" t="s">
        <v>418</v>
      </c>
      <c r="F410" t="s">
        <v>6</v>
      </c>
      <c r="G410" t="s">
        <v>130</v>
      </c>
      <c r="H410" s="1">
        <v>46124</v>
      </c>
      <c r="I410" t="s">
        <v>5285</v>
      </c>
      <c r="J410" t="s">
        <v>5286</v>
      </c>
      <c r="K410" t="s">
        <v>2638</v>
      </c>
      <c r="L410" t="s">
        <v>989</v>
      </c>
      <c r="M410" t="s">
        <v>1693</v>
      </c>
      <c r="N410" s="166">
        <v>23.06</v>
      </c>
      <c r="O410" t="s">
        <v>131</v>
      </c>
    </row>
    <row r="411" spans="1:15">
      <c r="A411" s="166" t="s">
        <v>5287</v>
      </c>
      <c r="B411" t="s">
        <v>111</v>
      </c>
      <c r="C411" t="s">
        <v>136</v>
      </c>
      <c r="D411" t="s">
        <v>116</v>
      </c>
      <c r="E411" t="s">
        <v>418</v>
      </c>
      <c r="F411" t="s">
        <v>7</v>
      </c>
      <c r="G411" t="s">
        <v>130</v>
      </c>
      <c r="H411" s="1">
        <v>46124</v>
      </c>
      <c r="I411" t="s">
        <v>5288</v>
      </c>
      <c r="J411" t="s">
        <v>5289</v>
      </c>
      <c r="K411" t="s">
        <v>1697</v>
      </c>
      <c r="L411" t="s">
        <v>148</v>
      </c>
      <c r="M411" t="s">
        <v>596</v>
      </c>
      <c r="N411" s="166">
        <v>20.36</v>
      </c>
      <c r="O411" t="s">
        <v>131</v>
      </c>
    </row>
    <row r="412" spans="1:15">
      <c r="A412" s="166" t="s">
        <v>5290</v>
      </c>
      <c r="B412" t="s">
        <v>111</v>
      </c>
      <c r="C412" t="s">
        <v>134</v>
      </c>
      <c r="D412" t="s">
        <v>116</v>
      </c>
      <c r="E412" t="s">
        <v>418</v>
      </c>
      <c r="F412" t="s">
        <v>7</v>
      </c>
      <c r="G412" t="s">
        <v>130</v>
      </c>
      <c r="H412" s="1">
        <v>46124</v>
      </c>
      <c r="I412" t="s">
        <v>5291</v>
      </c>
      <c r="J412" t="s">
        <v>5292</v>
      </c>
      <c r="K412" t="s">
        <v>627</v>
      </c>
      <c r="L412" t="s">
        <v>927</v>
      </c>
      <c r="M412" t="s">
        <v>1233</v>
      </c>
      <c r="N412" s="166">
        <v>19.86</v>
      </c>
      <c r="O412" t="s">
        <v>131</v>
      </c>
    </row>
    <row r="413" spans="1:15">
      <c r="A413" s="166" t="s">
        <v>5293</v>
      </c>
      <c r="B413" t="s">
        <v>111</v>
      </c>
      <c r="C413" t="s">
        <v>1104</v>
      </c>
      <c r="D413" t="s">
        <v>116</v>
      </c>
      <c r="E413" t="s">
        <v>418</v>
      </c>
      <c r="F413" t="s">
        <v>7</v>
      </c>
      <c r="G413" t="s">
        <v>130</v>
      </c>
      <c r="H413" s="1">
        <v>46124</v>
      </c>
      <c r="I413" t="s">
        <v>5294</v>
      </c>
      <c r="J413" t="s">
        <v>5295</v>
      </c>
      <c r="K413" t="s">
        <v>1591</v>
      </c>
      <c r="L413" t="s">
        <v>162</v>
      </c>
      <c r="M413" t="s">
        <v>1057</v>
      </c>
      <c r="N413" s="166">
        <v>20.14</v>
      </c>
      <c r="O413" t="s">
        <v>131</v>
      </c>
    </row>
    <row r="414" spans="1:15">
      <c r="A414" s="166" t="s">
        <v>5296</v>
      </c>
      <c r="B414" t="s">
        <v>111</v>
      </c>
      <c r="C414" t="s">
        <v>136</v>
      </c>
      <c r="D414" t="s">
        <v>116</v>
      </c>
      <c r="E414" t="s">
        <v>418</v>
      </c>
      <c r="F414" t="s">
        <v>7</v>
      </c>
      <c r="G414" t="s">
        <v>130</v>
      </c>
      <c r="H414" s="1">
        <v>46124</v>
      </c>
      <c r="I414" t="s">
        <v>5297</v>
      </c>
      <c r="J414" t="s">
        <v>5298</v>
      </c>
      <c r="K414" t="s">
        <v>600</v>
      </c>
      <c r="L414" t="s">
        <v>720</v>
      </c>
      <c r="M414" t="s">
        <v>2165</v>
      </c>
      <c r="N414" s="166">
        <v>21.26</v>
      </c>
      <c r="O414" t="s">
        <v>131</v>
      </c>
    </row>
    <row r="415" spans="1:15">
      <c r="A415" s="166" t="s">
        <v>5299</v>
      </c>
      <c r="B415" t="s">
        <v>111</v>
      </c>
      <c r="C415" t="s">
        <v>134</v>
      </c>
      <c r="D415" t="s">
        <v>116</v>
      </c>
      <c r="E415" t="s">
        <v>418</v>
      </c>
      <c r="F415" t="s">
        <v>7</v>
      </c>
      <c r="G415" t="s">
        <v>130</v>
      </c>
      <c r="H415" s="1">
        <v>46124</v>
      </c>
      <c r="I415" t="s">
        <v>5300</v>
      </c>
      <c r="J415" t="s">
        <v>5301</v>
      </c>
      <c r="K415" t="s">
        <v>1818</v>
      </c>
      <c r="L415" t="s">
        <v>2568</v>
      </c>
      <c r="M415" t="s">
        <v>1127</v>
      </c>
      <c r="N415" s="166">
        <v>19.920000000000002</v>
      </c>
      <c r="O415" t="s">
        <v>131</v>
      </c>
    </row>
    <row r="416" spans="1:15">
      <c r="A416" s="166" t="s">
        <v>5302</v>
      </c>
      <c r="B416" t="s">
        <v>111</v>
      </c>
      <c r="C416" t="s">
        <v>136</v>
      </c>
      <c r="D416" t="s">
        <v>116</v>
      </c>
      <c r="E416" t="s">
        <v>418</v>
      </c>
      <c r="F416" t="s">
        <v>7</v>
      </c>
      <c r="G416" t="s">
        <v>130</v>
      </c>
      <c r="H416" s="1">
        <v>46124</v>
      </c>
      <c r="I416" t="s">
        <v>5303</v>
      </c>
      <c r="J416" t="s">
        <v>5304</v>
      </c>
      <c r="K416" t="s">
        <v>781</v>
      </c>
      <c r="L416" t="s">
        <v>3032</v>
      </c>
      <c r="M416" t="s">
        <v>4834</v>
      </c>
      <c r="N416" s="166">
        <v>21.36</v>
      </c>
      <c r="O416" t="s">
        <v>131</v>
      </c>
    </row>
    <row r="417" spans="1:15">
      <c r="A417" s="166" t="s">
        <v>5305</v>
      </c>
      <c r="B417" t="s">
        <v>111</v>
      </c>
      <c r="C417" t="s">
        <v>136</v>
      </c>
      <c r="D417" t="s">
        <v>116</v>
      </c>
      <c r="E417" t="s">
        <v>418</v>
      </c>
      <c r="F417" t="s">
        <v>7</v>
      </c>
      <c r="G417" t="s">
        <v>130</v>
      </c>
      <c r="H417" s="1">
        <v>46124</v>
      </c>
      <c r="I417" t="s">
        <v>5306</v>
      </c>
      <c r="J417" t="s">
        <v>5307</v>
      </c>
      <c r="K417" t="s">
        <v>790</v>
      </c>
      <c r="L417" t="s">
        <v>645</v>
      </c>
      <c r="M417" t="s">
        <v>416</v>
      </c>
      <c r="N417" s="166">
        <v>19.3</v>
      </c>
      <c r="O417" t="s">
        <v>131</v>
      </c>
    </row>
    <row r="418" spans="1:15">
      <c r="A418" s="166" t="s">
        <v>5308</v>
      </c>
      <c r="B418" t="s">
        <v>111</v>
      </c>
      <c r="C418" t="s">
        <v>134</v>
      </c>
      <c r="D418" t="s">
        <v>116</v>
      </c>
      <c r="E418" t="s">
        <v>418</v>
      </c>
      <c r="F418" t="s">
        <v>7</v>
      </c>
      <c r="G418" t="s">
        <v>130</v>
      </c>
      <c r="H418" s="1">
        <v>46124</v>
      </c>
      <c r="I418" t="s">
        <v>5309</v>
      </c>
      <c r="J418" t="s">
        <v>5310</v>
      </c>
      <c r="K418" t="s">
        <v>550</v>
      </c>
      <c r="L418" t="s">
        <v>927</v>
      </c>
      <c r="M418" t="s">
        <v>1178</v>
      </c>
      <c r="N418" s="166">
        <v>21.12</v>
      </c>
      <c r="O418" t="s">
        <v>131</v>
      </c>
    </row>
    <row r="419" spans="1:15">
      <c r="A419" s="166" t="s">
        <v>5311</v>
      </c>
      <c r="B419" t="s">
        <v>111</v>
      </c>
      <c r="C419" t="s">
        <v>1104</v>
      </c>
      <c r="D419" t="s">
        <v>116</v>
      </c>
      <c r="E419" t="s">
        <v>418</v>
      </c>
      <c r="F419" t="s">
        <v>7</v>
      </c>
      <c r="G419" t="s">
        <v>130</v>
      </c>
      <c r="H419" s="1">
        <v>46124</v>
      </c>
      <c r="I419" t="s">
        <v>5312</v>
      </c>
      <c r="J419" t="s">
        <v>5313</v>
      </c>
      <c r="K419" t="s">
        <v>1290</v>
      </c>
      <c r="L419" t="s">
        <v>193</v>
      </c>
      <c r="M419" t="s">
        <v>2678</v>
      </c>
      <c r="N419" s="166">
        <v>17.82</v>
      </c>
      <c r="O419" t="s">
        <v>131</v>
      </c>
    </row>
    <row r="420" spans="1:15">
      <c r="A420" s="166" t="s">
        <v>5314</v>
      </c>
      <c r="B420" t="s">
        <v>111</v>
      </c>
      <c r="C420" t="s">
        <v>133</v>
      </c>
      <c r="D420" t="s">
        <v>116</v>
      </c>
      <c r="E420" t="s">
        <v>418</v>
      </c>
      <c r="F420" t="s">
        <v>7</v>
      </c>
      <c r="G420" t="s">
        <v>130</v>
      </c>
      <c r="H420" s="1">
        <v>46124</v>
      </c>
      <c r="I420" t="s">
        <v>5315</v>
      </c>
      <c r="J420" t="s">
        <v>5316</v>
      </c>
      <c r="K420" t="s">
        <v>2965</v>
      </c>
      <c r="L420" t="s">
        <v>2544</v>
      </c>
      <c r="M420" t="s">
        <v>579</v>
      </c>
      <c r="N420" s="166">
        <v>21.22</v>
      </c>
      <c r="O420" t="s">
        <v>131</v>
      </c>
    </row>
    <row r="421" spans="1:15">
      <c r="A421" s="166" t="s">
        <v>5317</v>
      </c>
      <c r="B421" t="s">
        <v>111</v>
      </c>
      <c r="C421" t="s">
        <v>134</v>
      </c>
      <c r="D421" t="s">
        <v>118</v>
      </c>
      <c r="E421" t="s">
        <v>2618</v>
      </c>
      <c r="F421" t="s">
        <v>7</v>
      </c>
      <c r="G421" t="s">
        <v>130</v>
      </c>
      <c r="H421" s="1">
        <v>46124</v>
      </c>
      <c r="I421" t="s">
        <v>5318</v>
      </c>
      <c r="J421" t="s">
        <v>5319</v>
      </c>
      <c r="K421" t="s">
        <v>550</v>
      </c>
      <c r="L421" t="s">
        <v>1845</v>
      </c>
      <c r="M421" t="s">
        <v>2586</v>
      </c>
      <c r="N421" s="166">
        <v>21.04</v>
      </c>
      <c r="O421" t="s">
        <v>131</v>
      </c>
    </row>
    <row r="422" spans="1:15">
      <c r="A422" s="166" t="s">
        <v>5320</v>
      </c>
      <c r="B422" t="s">
        <v>111</v>
      </c>
      <c r="C422" t="s">
        <v>1104</v>
      </c>
      <c r="D422" t="s">
        <v>118</v>
      </c>
      <c r="E422" t="s">
        <v>2618</v>
      </c>
      <c r="F422" t="s">
        <v>7</v>
      </c>
      <c r="G422" t="s">
        <v>130</v>
      </c>
      <c r="H422" s="1">
        <v>46124</v>
      </c>
      <c r="I422" t="s">
        <v>5321</v>
      </c>
      <c r="J422" t="s">
        <v>5322</v>
      </c>
      <c r="K422" t="s">
        <v>3357</v>
      </c>
      <c r="L422" t="s">
        <v>193</v>
      </c>
      <c r="M422" t="s">
        <v>579</v>
      </c>
      <c r="N422" s="166">
        <v>21.22</v>
      </c>
      <c r="O422" t="s">
        <v>131</v>
      </c>
    </row>
    <row r="423" spans="1:15">
      <c r="A423" s="166" t="s">
        <v>5323</v>
      </c>
      <c r="B423" t="s">
        <v>111</v>
      </c>
      <c r="C423" t="s">
        <v>136</v>
      </c>
      <c r="D423" t="s">
        <v>118</v>
      </c>
      <c r="E423" t="s">
        <v>2618</v>
      </c>
      <c r="F423" t="s">
        <v>7</v>
      </c>
      <c r="G423" t="s">
        <v>130</v>
      </c>
      <c r="H423" s="1">
        <v>46124</v>
      </c>
      <c r="I423" t="s">
        <v>5324</v>
      </c>
      <c r="J423" t="s">
        <v>5325</v>
      </c>
      <c r="K423" t="s">
        <v>659</v>
      </c>
      <c r="L423" t="s">
        <v>645</v>
      </c>
      <c r="M423" t="s">
        <v>546</v>
      </c>
      <c r="N423" s="166">
        <v>22.38</v>
      </c>
      <c r="O423" t="s">
        <v>131</v>
      </c>
    </row>
    <row r="424" spans="1:15">
      <c r="A424" s="166" t="s">
        <v>5326</v>
      </c>
      <c r="B424" t="s">
        <v>111</v>
      </c>
      <c r="C424" t="s">
        <v>134</v>
      </c>
      <c r="D424" t="s">
        <v>118</v>
      </c>
      <c r="E424" t="s">
        <v>2618</v>
      </c>
      <c r="F424" t="s">
        <v>7</v>
      </c>
      <c r="G424" t="s">
        <v>130</v>
      </c>
      <c r="H424" s="1">
        <v>46124</v>
      </c>
      <c r="I424" t="s">
        <v>5327</v>
      </c>
      <c r="J424" t="s">
        <v>5328</v>
      </c>
      <c r="K424" t="s">
        <v>2994</v>
      </c>
      <c r="L424" t="s">
        <v>465</v>
      </c>
      <c r="M424" t="s">
        <v>460</v>
      </c>
      <c r="N424" s="166">
        <v>21.28</v>
      </c>
      <c r="O424" t="s">
        <v>131</v>
      </c>
    </row>
    <row r="425" spans="1:15">
      <c r="A425" s="166" t="s">
        <v>5329</v>
      </c>
      <c r="B425" t="s">
        <v>111</v>
      </c>
      <c r="C425" t="s">
        <v>133</v>
      </c>
      <c r="D425" t="s">
        <v>118</v>
      </c>
      <c r="E425" t="s">
        <v>2618</v>
      </c>
      <c r="F425" t="s">
        <v>7</v>
      </c>
      <c r="G425" t="s">
        <v>130</v>
      </c>
      <c r="H425" s="1">
        <v>46124</v>
      </c>
      <c r="I425" t="s">
        <v>5330</v>
      </c>
      <c r="J425" t="s">
        <v>5331</v>
      </c>
      <c r="K425" t="s">
        <v>2937</v>
      </c>
      <c r="L425" t="s">
        <v>3437</v>
      </c>
      <c r="M425" t="s">
        <v>3311</v>
      </c>
      <c r="N425" s="166">
        <v>23.64</v>
      </c>
      <c r="O425" t="s">
        <v>131</v>
      </c>
    </row>
    <row r="426" spans="1:15">
      <c r="A426" s="166" t="s">
        <v>5332</v>
      </c>
      <c r="B426" t="s">
        <v>111</v>
      </c>
      <c r="C426" t="s">
        <v>1104</v>
      </c>
      <c r="D426" t="s">
        <v>118</v>
      </c>
      <c r="E426" t="s">
        <v>2618</v>
      </c>
      <c r="F426" t="s">
        <v>7</v>
      </c>
      <c r="G426" t="s">
        <v>130</v>
      </c>
      <c r="H426" s="1">
        <v>46124</v>
      </c>
      <c r="I426" t="s">
        <v>5333</v>
      </c>
      <c r="J426" t="s">
        <v>5334</v>
      </c>
      <c r="K426" t="s">
        <v>1451</v>
      </c>
      <c r="L426" t="s">
        <v>772</v>
      </c>
      <c r="M426" t="s">
        <v>917</v>
      </c>
      <c r="N426" s="166">
        <v>22.5</v>
      </c>
      <c r="O426" t="s">
        <v>131</v>
      </c>
    </row>
    <row r="427" spans="1:15">
      <c r="A427" s="166" t="s">
        <v>5335</v>
      </c>
      <c r="B427" t="s">
        <v>111</v>
      </c>
      <c r="C427" t="s">
        <v>136</v>
      </c>
      <c r="D427" t="s">
        <v>118</v>
      </c>
      <c r="E427" t="s">
        <v>139</v>
      </c>
      <c r="F427" t="s">
        <v>6</v>
      </c>
      <c r="G427" t="s">
        <v>130</v>
      </c>
      <c r="H427" s="1">
        <v>46124</v>
      </c>
      <c r="I427" t="s">
        <v>5336</v>
      </c>
      <c r="J427" t="s">
        <v>5337</v>
      </c>
      <c r="K427" t="s">
        <v>2942</v>
      </c>
      <c r="L427" t="s">
        <v>162</v>
      </c>
      <c r="M427" t="s">
        <v>3112</v>
      </c>
      <c r="N427" s="166">
        <v>24.5</v>
      </c>
      <c r="O427" t="s">
        <v>131</v>
      </c>
    </row>
    <row r="428" spans="1:15">
      <c r="A428" s="166" t="s">
        <v>5338</v>
      </c>
      <c r="B428" t="s">
        <v>111</v>
      </c>
      <c r="C428" t="s">
        <v>134</v>
      </c>
      <c r="D428" t="s">
        <v>118</v>
      </c>
      <c r="E428" t="s">
        <v>139</v>
      </c>
      <c r="F428" t="s">
        <v>6</v>
      </c>
      <c r="G428" t="s">
        <v>130</v>
      </c>
      <c r="H428" s="1">
        <v>46124</v>
      </c>
      <c r="I428" t="s">
        <v>5339</v>
      </c>
      <c r="J428" t="s">
        <v>5340</v>
      </c>
      <c r="K428" t="s">
        <v>1834</v>
      </c>
      <c r="L428" t="s">
        <v>948</v>
      </c>
      <c r="M428" t="s">
        <v>3623</v>
      </c>
      <c r="N428" s="166">
        <v>23.3</v>
      </c>
      <c r="O428" t="s">
        <v>131</v>
      </c>
    </row>
    <row r="429" spans="1:15">
      <c r="A429" s="166" t="s">
        <v>5341</v>
      </c>
      <c r="B429" t="s">
        <v>111</v>
      </c>
      <c r="C429" t="s">
        <v>1104</v>
      </c>
      <c r="D429" t="s">
        <v>118</v>
      </c>
      <c r="E429" t="s">
        <v>139</v>
      </c>
      <c r="F429" t="s">
        <v>6</v>
      </c>
      <c r="G429" t="s">
        <v>130</v>
      </c>
      <c r="H429" s="1">
        <v>46124</v>
      </c>
      <c r="I429" t="s">
        <v>5342</v>
      </c>
      <c r="J429" t="s">
        <v>5343</v>
      </c>
      <c r="K429" t="s">
        <v>1627</v>
      </c>
      <c r="L429" t="s">
        <v>193</v>
      </c>
      <c r="M429" t="s">
        <v>747</v>
      </c>
      <c r="N429" s="166">
        <v>23.38</v>
      </c>
      <c r="O429" t="s">
        <v>131</v>
      </c>
    </row>
    <row r="430" spans="1:15">
      <c r="A430" s="166" t="s">
        <v>5344</v>
      </c>
      <c r="B430" t="s">
        <v>111</v>
      </c>
      <c r="C430" t="s">
        <v>133</v>
      </c>
      <c r="D430" t="s">
        <v>118</v>
      </c>
      <c r="E430" t="s">
        <v>139</v>
      </c>
      <c r="F430" t="s">
        <v>6</v>
      </c>
      <c r="G430" t="s">
        <v>130</v>
      </c>
      <c r="H430" s="1">
        <v>46124</v>
      </c>
      <c r="I430" t="s">
        <v>5345</v>
      </c>
      <c r="J430" t="s">
        <v>5346</v>
      </c>
      <c r="K430" t="s">
        <v>999</v>
      </c>
      <c r="L430" t="s">
        <v>2143</v>
      </c>
      <c r="M430" t="s">
        <v>747</v>
      </c>
      <c r="N430" s="166">
        <v>23.38</v>
      </c>
      <c r="O430" t="s">
        <v>131</v>
      </c>
    </row>
    <row r="431" spans="1:15">
      <c r="A431" s="166" t="s">
        <v>5347</v>
      </c>
      <c r="B431" t="s">
        <v>111</v>
      </c>
      <c r="C431" t="s">
        <v>136</v>
      </c>
      <c r="D431" t="s">
        <v>118</v>
      </c>
      <c r="E431" t="s">
        <v>139</v>
      </c>
      <c r="F431" t="s">
        <v>6</v>
      </c>
      <c r="G431" t="s">
        <v>130</v>
      </c>
      <c r="H431" s="1">
        <v>46124</v>
      </c>
      <c r="I431" t="s">
        <v>5348</v>
      </c>
      <c r="J431" t="s">
        <v>5349</v>
      </c>
      <c r="K431" t="s">
        <v>158</v>
      </c>
      <c r="L431" t="s">
        <v>761</v>
      </c>
      <c r="M431" t="s">
        <v>1182</v>
      </c>
      <c r="N431" s="166">
        <v>23.18</v>
      </c>
      <c r="O431" t="s">
        <v>131</v>
      </c>
    </row>
    <row r="432" spans="1:15">
      <c r="A432" s="166" t="s">
        <v>5350</v>
      </c>
      <c r="B432" t="s">
        <v>111</v>
      </c>
      <c r="C432" t="s">
        <v>134</v>
      </c>
      <c r="D432" t="s">
        <v>118</v>
      </c>
      <c r="E432" t="s">
        <v>2618</v>
      </c>
      <c r="F432" t="s">
        <v>6</v>
      </c>
      <c r="G432" t="s">
        <v>130</v>
      </c>
      <c r="H432" s="1">
        <v>46124</v>
      </c>
      <c r="I432" t="s">
        <v>5351</v>
      </c>
      <c r="J432" t="s">
        <v>5352</v>
      </c>
      <c r="K432" t="s">
        <v>4364</v>
      </c>
      <c r="L432" t="s">
        <v>1845</v>
      </c>
      <c r="M432" t="s">
        <v>4751</v>
      </c>
      <c r="N432" s="166">
        <v>23.24</v>
      </c>
      <c r="O432" t="s">
        <v>131</v>
      </c>
    </row>
    <row r="433" spans="1:15">
      <c r="A433" s="166" t="s">
        <v>5353</v>
      </c>
      <c r="B433" t="s">
        <v>111</v>
      </c>
      <c r="C433" t="s">
        <v>1104</v>
      </c>
      <c r="D433" t="s">
        <v>118</v>
      </c>
      <c r="E433" t="s">
        <v>2618</v>
      </c>
      <c r="F433" t="s">
        <v>6</v>
      </c>
      <c r="G433" t="s">
        <v>130</v>
      </c>
      <c r="H433" s="1">
        <v>46124</v>
      </c>
      <c r="I433" t="s">
        <v>5354</v>
      </c>
      <c r="J433" t="s">
        <v>5355</v>
      </c>
      <c r="K433" t="s">
        <v>2374</v>
      </c>
      <c r="L433" t="s">
        <v>786</v>
      </c>
      <c r="M433" t="s">
        <v>198</v>
      </c>
      <c r="N433" s="166">
        <v>24.54</v>
      </c>
      <c r="O433" t="s">
        <v>131</v>
      </c>
    </row>
    <row r="434" spans="1:15">
      <c r="A434" s="166" t="s">
        <v>3992</v>
      </c>
      <c r="B434" t="s">
        <v>111</v>
      </c>
      <c r="C434" t="s">
        <v>133</v>
      </c>
      <c r="D434" t="s">
        <v>118</v>
      </c>
      <c r="E434" t="s">
        <v>2618</v>
      </c>
      <c r="F434" t="s">
        <v>6</v>
      </c>
      <c r="G434" t="s">
        <v>130</v>
      </c>
      <c r="H434" s="1">
        <v>46124</v>
      </c>
      <c r="I434" t="s">
        <v>5356</v>
      </c>
      <c r="J434" t="s">
        <v>5357</v>
      </c>
      <c r="K434" t="s">
        <v>906</v>
      </c>
      <c r="L434" t="s">
        <v>3169</v>
      </c>
      <c r="M434" t="s">
        <v>1182</v>
      </c>
      <c r="N434" s="166">
        <v>23.18</v>
      </c>
      <c r="O434" t="s">
        <v>131</v>
      </c>
    </row>
    <row r="435" spans="1:15">
      <c r="A435" s="166" t="s">
        <v>5358</v>
      </c>
      <c r="B435" t="s">
        <v>111</v>
      </c>
      <c r="C435" t="s">
        <v>136</v>
      </c>
      <c r="D435" t="s">
        <v>118</v>
      </c>
      <c r="E435" t="s">
        <v>139</v>
      </c>
      <c r="F435" t="s">
        <v>6</v>
      </c>
      <c r="G435" t="s">
        <v>130</v>
      </c>
      <c r="H435" s="1">
        <v>46124</v>
      </c>
      <c r="I435" t="s">
        <v>5359</v>
      </c>
      <c r="J435" t="s">
        <v>5360</v>
      </c>
      <c r="K435" t="s">
        <v>2638</v>
      </c>
      <c r="L435" t="s">
        <v>2184</v>
      </c>
      <c r="M435" t="s">
        <v>481</v>
      </c>
      <c r="N435" s="166">
        <v>22.4</v>
      </c>
      <c r="O435" t="s">
        <v>131</v>
      </c>
    </row>
    <row r="436" spans="1:15">
      <c r="A436" s="166" t="s">
        <v>5361</v>
      </c>
      <c r="B436" t="s">
        <v>111</v>
      </c>
      <c r="C436" t="s">
        <v>136</v>
      </c>
      <c r="D436" t="s">
        <v>118</v>
      </c>
      <c r="E436" t="s">
        <v>139</v>
      </c>
      <c r="F436" t="s">
        <v>6</v>
      </c>
      <c r="G436" t="s">
        <v>130</v>
      </c>
      <c r="H436" s="1">
        <v>46124</v>
      </c>
      <c r="I436" t="s">
        <v>5362</v>
      </c>
      <c r="J436" t="s">
        <v>5363</v>
      </c>
      <c r="K436" t="s">
        <v>1627</v>
      </c>
      <c r="L436" t="s">
        <v>2095</v>
      </c>
      <c r="M436" t="s">
        <v>857</v>
      </c>
      <c r="N436" s="166">
        <v>22.94</v>
      </c>
      <c r="O436" t="s">
        <v>131</v>
      </c>
    </row>
    <row r="437" spans="1:15">
      <c r="A437" s="166" t="s">
        <v>5364</v>
      </c>
      <c r="B437" t="s">
        <v>111</v>
      </c>
      <c r="C437" t="s">
        <v>134</v>
      </c>
      <c r="D437" t="s">
        <v>118</v>
      </c>
      <c r="E437" t="s">
        <v>2618</v>
      </c>
      <c r="F437" t="s">
        <v>6</v>
      </c>
      <c r="G437" t="s">
        <v>130</v>
      </c>
      <c r="H437" s="1">
        <v>46124</v>
      </c>
      <c r="I437" t="s">
        <v>5365</v>
      </c>
      <c r="J437" t="s">
        <v>5366</v>
      </c>
      <c r="K437" t="s">
        <v>3070</v>
      </c>
      <c r="L437" t="s">
        <v>1845</v>
      </c>
      <c r="M437" t="s">
        <v>3076</v>
      </c>
      <c r="N437" s="166">
        <v>23.42</v>
      </c>
      <c r="O437" t="s">
        <v>131</v>
      </c>
    </row>
    <row r="438" spans="1:15">
      <c r="A438" s="166" t="s">
        <v>5367</v>
      </c>
      <c r="B438" t="s">
        <v>111</v>
      </c>
      <c r="C438" t="s">
        <v>133</v>
      </c>
      <c r="D438" t="s">
        <v>118</v>
      </c>
      <c r="E438" t="s">
        <v>2618</v>
      </c>
      <c r="F438" t="s">
        <v>6</v>
      </c>
      <c r="G438" t="s">
        <v>130</v>
      </c>
      <c r="H438" s="1">
        <v>46124</v>
      </c>
      <c r="I438" t="s">
        <v>5368</v>
      </c>
      <c r="J438" t="s">
        <v>5369</v>
      </c>
      <c r="K438" t="s">
        <v>1564</v>
      </c>
      <c r="L438" t="s">
        <v>1977</v>
      </c>
      <c r="M438" t="s">
        <v>2816</v>
      </c>
      <c r="N438" s="166">
        <v>19.260000000000002</v>
      </c>
      <c r="O438" t="s">
        <v>131</v>
      </c>
    </row>
    <row r="439" spans="1:15">
      <c r="A439" s="166" t="s">
        <v>5370</v>
      </c>
      <c r="B439" t="s">
        <v>111</v>
      </c>
      <c r="C439" t="s">
        <v>1104</v>
      </c>
      <c r="D439" t="s">
        <v>118</v>
      </c>
      <c r="E439" t="s">
        <v>2618</v>
      </c>
      <c r="F439" t="s">
        <v>6</v>
      </c>
      <c r="G439" t="s">
        <v>130</v>
      </c>
      <c r="H439" s="1">
        <v>46124</v>
      </c>
      <c r="I439" t="s">
        <v>5371</v>
      </c>
      <c r="J439" t="s">
        <v>5372</v>
      </c>
      <c r="K439" t="s">
        <v>1709</v>
      </c>
      <c r="L439" t="s">
        <v>1835</v>
      </c>
      <c r="M439" t="s">
        <v>1333</v>
      </c>
      <c r="N439" s="166">
        <v>19.14</v>
      </c>
      <c r="O439" t="s">
        <v>131</v>
      </c>
    </row>
    <row r="440" spans="1:15">
      <c r="A440" s="166" t="s">
        <v>5373</v>
      </c>
      <c r="B440" t="s">
        <v>111</v>
      </c>
      <c r="C440" t="s">
        <v>136</v>
      </c>
      <c r="D440" t="s">
        <v>118</v>
      </c>
      <c r="E440" t="s">
        <v>2618</v>
      </c>
      <c r="F440" t="s">
        <v>6</v>
      </c>
      <c r="G440" t="s">
        <v>130</v>
      </c>
      <c r="H440" s="1">
        <v>46124</v>
      </c>
      <c r="I440" t="s">
        <v>5374</v>
      </c>
      <c r="J440" t="s">
        <v>5375</v>
      </c>
      <c r="K440" t="s">
        <v>638</v>
      </c>
      <c r="L440" t="s">
        <v>2657</v>
      </c>
      <c r="M440" t="s">
        <v>466</v>
      </c>
      <c r="N440" s="166">
        <v>20.32</v>
      </c>
      <c r="O440" t="s">
        <v>131</v>
      </c>
    </row>
    <row r="441" spans="1:15">
      <c r="A441" s="166" t="s">
        <v>5376</v>
      </c>
      <c r="B441" t="s">
        <v>111</v>
      </c>
      <c r="C441" t="s">
        <v>134</v>
      </c>
      <c r="D441" t="s">
        <v>118</v>
      </c>
      <c r="E441" t="s">
        <v>2618</v>
      </c>
      <c r="F441" t="s">
        <v>6</v>
      </c>
      <c r="G441" t="s">
        <v>130</v>
      </c>
      <c r="H441" s="1">
        <v>46124</v>
      </c>
      <c r="I441" t="s">
        <v>5377</v>
      </c>
      <c r="J441" t="s">
        <v>5378</v>
      </c>
      <c r="K441" t="s">
        <v>2135</v>
      </c>
      <c r="L441" t="s">
        <v>1845</v>
      </c>
      <c r="M441" t="s">
        <v>1359</v>
      </c>
      <c r="N441" s="166">
        <v>18.600000000000001</v>
      </c>
      <c r="O441" t="s">
        <v>131</v>
      </c>
    </row>
    <row r="442" spans="1:15">
      <c r="A442" s="166" t="s">
        <v>5379</v>
      </c>
      <c r="B442" t="s">
        <v>111</v>
      </c>
      <c r="C442" t="s">
        <v>133</v>
      </c>
      <c r="D442" t="s">
        <v>118</v>
      </c>
      <c r="E442" t="s">
        <v>2618</v>
      </c>
      <c r="F442" t="s">
        <v>6</v>
      </c>
      <c r="G442" t="s">
        <v>130</v>
      </c>
      <c r="H442" s="1">
        <v>46124</v>
      </c>
      <c r="I442" t="s">
        <v>5380</v>
      </c>
      <c r="J442" t="s">
        <v>5381</v>
      </c>
      <c r="K442" t="s">
        <v>3303</v>
      </c>
      <c r="L442" t="s">
        <v>1988</v>
      </c>
      <c r="M442" t="s">
        <v>1701</v>
      </c>
      <c r="N442" s="166">
        <v>21.14</v>
      </c>
      <c r="O442" t="s">
        <v>131</v>
      </c>
    </row>
    <row r="443" spans="1:15">
      <c r="A443" s="166" t="s">
        <v>5382</v>
      </c>
      <c r="B443" t="s">
        <v>111</v>
      </c>
      <c r="C443" t="s">
        <v>1104</v>
      </c>
      <c r="D443" t="s">
        <v>118</v>
      </c>
      <c r="E443" t="s">
        <v>2618</v>
      </c>
      <c r="F443" t="s">
        <v>6</v>
      </c>
      <c r="G443" t="s">
        <v>130</v>
      </c>
      <c r="H443" s="1">
        <v>46124</v>
      </c>
      <c r="I443" t="s">
        <v>5383</v>
      </c>
      <c r="J443" t="s">
        <v>5384</v>
      </c>
      <c r="K443" t="s">
        <v>497</v>
      </c>
      <c r="L443" t="s">
        <v>5385</v>
      </c>
      <c r="M443" t="s">
        <v>1529</v>
      </c>
      <c r="N443" s="166">
        <v>19.88</v>
      </c>
      <c r="O443" t="s">
        <v>131</v>
      </c>
    </row>
    <row r="444" spans="1:15">
      <c r="A444" s="166" t="s">
        <v>5386</v>
      </c>
      <c r="B444" t="s">
        <v>111</v>
      </c>
      <c r="C444" t="s">
        <v>136</v>
      </c>
      <c r="D444" t="s">
        <v>118</v>
      </c>
      <c r="E444" t="s">
        <v>2618</v>
      </c>
      <c r="F444" t="s">
        <v>6</v>
      </c>
      <c r="G444" t="s">
        <v>130</v>
      </c>
      <c r="H444" s="1">
        <v>46124</v>
      </c>
      <c r="I444" t="s">
        <v>5387</v>
      </c>
      <c r="J444" t="s">
        <v>5388</v>
      </c>
      <c r="K444" t="s">
        <v>217</v>
      </c>
      <c r="L444" t="s">
        <v>1081</v>
      </c>
      <c r="M444" t="s">
        <v>1421</v>
      </c>
      <c r="N444" s="166">
        <v>19.7</v>
      </c>
      <c r="O444" t="s">
        <v>131</v>
      </c>
    </row>
    <row r="445" spans="1:15">
      <c r="A445" s="166" t="s">
        <v>5389</v>
      </c>
      <c r="B445" t="s">
        <v>111</v>
      </c>
      <c r="C445" t="s">
        <v>134</v>
      </c>
      <c r="D445" t="s">
        <v>118</v>
      </c>
      <c r="E445" t="s">
        <v>2618</v>
      </c>
      <c r="F445" t="s">
        <v>6</v>
      </c>
      <c r="G445" t="s">
        <v>130</v>
      </c>
      <c r="H445" s="1">
        <v>46124</v>
      </c>
      <c r="I445" t="s">
        <v>5390</v>
      </c>
      <c r="J445" t="s">
        <v>5391</v>
      </c>
      <c r="K445" t="s">
        <v>443</v>
      </c>
      <c r="L445" t="s">
        <v>890</v>
      </c>
      <c r="M445" t="s">
        <v>1159</v>
      </c>
      <c r="N445" s="166">
        <v>20.34</v>
      </c>
      <c r="O445" t="s">
        <v>131</v>
      </c>
    </row>
    <row r="446" spans="1:15">
      <c r="A446" s="166" t="s">
        <v>5392</v>
      </c>
      <c r="B446" t="s">
        <v>111</v>
      </c>
      <c r="C446" t="s">
        <v>133</v>
      </c>
      <c r="D446" t="s">
        <v>118</v>
      </c>
      <c r="E446" t="s">
        <v>2618</v>
      </c>
      <c r="F446" t="s">
        <v>6</v>
      </c>
      <c r="G446" t="s">
        <v>130</v>
      </c>
      <c r="H446" s="1">
        <v>46124</v>
      </c>
      <c r="I446" t="s">
        <v>5393</v>
      </c>
      <c r="J446" t="s">
        <v>5394</v>
      </c>
      <c r="K446" t="s">
        <v>781</v>
      </c>
      <c r="L446" t="s">
        <v>1057</v>
      </c>
      <c r="M446" t="s">
        <v>2090</v>
      </c>
      <c r="N446" s="166">
        <v>16.62</v>
      </c>
      <c r="O446" t="s">
        <v>131</v>
      </c>
    </row>
    <row r="447" spans="1:15">
      <c r="A447" s="166" t="s">
        <v>5395</v>
      </c>
      <c r="B447" t="s">
        <v>111</v>
      </c>
      <c r="C447" t="s">
        <v>1104</v>
      </c>
      <c r="D447" t="s">
        <v>118</v>
      </c>
      <c r="E447" t="s">
        <v>2618</v>
      </c>
      <c r="F447" t="s">
        <v>6</v>
      </c>
      <c r="G447" t="s">
        <v>130</v>
      </c>
      <c r="H447" s="1">
        <v>46124</v>
      </c>
      <c r="I447" t="s">
        <v>5396</v>
      </c>
      <c r="J447" t="s">
        <v>5397</v>
      </c>
      <c r="K447" t="s">
        <v>820</v>
      </c>
      <c r="L447" t="s">
        <v>3318</v>
      </c>
      <c r="M447" t="s">
        <v>5398</v>
      </c>
      <c r="N447" s="166">
        <v>21.86</v>
      </c>
      <c r="O447" t="s">
        <v>131</v>
      </c>
    </row>
    <row r="448" spans="1:15">
      <c r="A448" s="166" t="s">
        <v>5399</v>
      </c>
      <c r="B448" t="s">
        <v>111</v>
      </c>
      <c r="C448" t="s">
        <v>136</v>
      </c>
      <c r="D448" t="s">
        <v>118</v>
      </c>
      <c r="E448" t="s">
        <v>2618</v>
      </c>
      <c r="F448" t="s">
        <v>6</v>
      </c>
      <c r="G448" t="s">
        <v>130</v>
      </c>
      <c r="H448" s="1">
        <v>46124</v>
      </c>
      <c r="I448" t="s">
        <v>5400</v>
      </c>
      <c r="J448" t="s">
        <v>5401</v>
      </c>
      <c r="K448" t="s">
        <v>644</v>
      </c>
      <c r="L448" t="s">
        <v>3813</v>
      </c>
      <c r="M448" t="s">
        <v>487</v>
      </c>
      <c r="N448" s="166">
        <v>21.88</v>
      </c>
      <c r="O448" t="s">
        <v>131</v>
      </c>
    </row>
    <row r="449" spans="1:15">
      <c r="A449" s="166" t="s">
        <v>5402</v>
      </c>
      <c r="B449" t="s">
        <v>111</v>
      </c>
      <c r="C449" t="s">
        <v>134</v>
      </c>
      <c r="D449" t="s">
        <v>118</v>
      </c>
      <c r="E449" t="s">
        <v>2618</v>
      </c>
      <c r="F449" t="s">
        <v>6</v>
      </c>
      <c r="G449" t="s">
        <v>130</v>
      </c>
      <c r="H449" s="1">
        <v>46124</v>
      </c>
      <c r="I449" t="s">
        <v>5403</v>
      </c>
      <c r="J449" t="s">
        <v>5404</v>
      </c>
      <c r="K449" t="s">
        <v>204</v>
      </c>
      <c r="L449" t="s">
        <v>2523</v>
      </c>
      <c r="M449" t="s">
        <v>1252</v>
      </c>
      <c r="N449" s="166">
        <v>18.36</v>
      </c>
      <c r="O449" t="s">
        <v>131</v>
      </c>
    </row>
    <row r="450" spans="1:15">
      <c r="A450" s="166" t="s">
        <v>5405</v>
      </c>
      <c r="B450" t="s">
        <v>111</v>
      </c>
      <c r="C450" t="s">
        <v>135</v>
      </c>
      <c r="D450" t="s">
        <v>118</v>
      </c>
      <c r="E450" t="s">
        <v>2618</v>
      </c>
      <c r="F450" t="s">
        <v>6</v>
      </c>
      <c r="G450" t="s">
        <v>130</v>
      </c>
      <c r="H450" s="1">
        <v>46124</v>
      </c>
      <c r="I450" t="s">
        <v>5406</v>
      </c>
      <c r="J450" t="s">
        <v>5407</v>
      </c>
      <c r="K450" t="s">
        <v>3291</v>
      </c>
      <c r="L450" t="s">
        <v>622</v>
      </c>
      <c r="M450" t="s">
        <v>556</v>
      </c>
      <c r="N450" s="166">
        <v>22.44</v>
      </c>
      <c r="O450" t="s">
        <v>131</v>
      </c>
    </row>
    <row r="451" spans="1:15">
      <c r="A451" s="166" t="s">
        <v>5408</v>
      </c>
      <c r="B451" t="s">
        <v>111</v>
      </c>
      <c r="C451" t="s">
        <v>134</v>
      </c>
      <c r="D451" t="s">
        <v>118</v>
      </c>
      <c r="E451" t="s">
        <v>2618</v>
      </c>
      <c r="F451" t="s">
        <v>6</v>
      </c>
      <c r="G451" t="s">
        <v>130</v>
      </c>
      <c r="H451" s="1">
        <v>46124</v>
      </c>
      <c r="I451" t="s">
        <v>5409</v>
      </c>
      <c r="J451" t="s">
        <v>5410</v>
      </c>
      <c r="K451" t="s">
        <v>1521</v>
      </c>
      <c r="L451" t="s">
        <v>2090</v>
      </c>
      <c r="M451" t="s">
        <v>207</v>
      </c>
      <c r="N451" s="166">
        <v>20.92</v>
      </c>
      <c r="O451" t="s">
        <v>131</v>
      </c>
    </row>
    <row r="452" spans="1:15">
      <c r="A452" s="166" t="s">
        <v>5411</v>
      </c>
      <c r="B452" t="s">
        <v>111</v>
      </c>
      <c r="C452" t="s">
        <v>133</v>
      </c>
      <c r="D452" t="s">
        <v>118</v>
      </c>
      <c r="E452" t="s">
        <v>2618</v>
      </c>
      <c r="F452" t="s">
        <v>6</v>
      </c>
      <c r="G452" t="s">
        <v>130</v>
      </c>
      <c r="H452" s="1">
        <v>46124</v>
      </c>
      <c r="I452" t="s">
        <v>5412</v>
      </c>
      <c r="J452" t="s">
        <v>5413</v>
      </c>
      <c r="K452" t="s">
        <v>210</v>
      </c>
      <c r="L452" t="s">
        <v>645</v>
      </c>
      <c r="M452" t="s">
        <v>1545</v>
      </c>
      <c r="N452" s="166">
        <v>20.68</v>
      </c>
      <c r="O452" t="s">
        <v>131</v>
      </c>
    </row>
    <row r="453" spans="1:15">
      <c r="A453" s="166" t="s">
        <v>5414</v>
      </c>
      <c r="B453" t="s">
        <v>111</v>
      </c>
      <c r="C453" t="s">
        <v>136</v>
      </c>
      <c r="D453" t="s">
        <v>118</v>
      </c>
      <c r="E453" t="s">
        <v>2618</v>
      </c>
      <c r="F453" t="s">
        <v>6</v>
      </c>
      <c r="G453" t="s">
        <v>130</v>
      </c>
      <c r="H453" s="1">
        <v>46124</v>
      </c>
      <c r="I453" t="s">
        <v>5415</v>
      </c>
      <c r="J453" t="s">
        <v>5416</v>
      </c>
      <c r="K453" t="s">
        <v>735</v>
      </c>
      <c r="L453" t="s">
        <v>845</v>
      </c>
      <c r="M453" t="s">
        <v>767</v>
      </c>
      <c r="N453" s="166">
        <v>22.24</v>
      </c>
      <c r="O453" t="s">
        <v>131</v>
      </c>
    </row>
    <row r="454" spans="1:15">
      <c r="A454" s="166" t="s">
        <v>4147</v>
      </c>
      <c r="B454" t="s">
        <v>111</v>
      </c>
      <c r="C454" t="s">
        <v>134</v>
      </c>
      <c r="D454" t="s">
        <v>116</v>
      </c>
      <c r="E454" t="s">
        <v>418</v>
      </c>
      <c r="F454" t="s">
        <v>7</v>
      </c>
      <c r="G454" t="s">
        <v>130</v>
      </c>
      <c r="H454" s="1">
        <v>46124</v>
      </c>
      <c r="I454" t="s">
        <v>5417</v>
      </c>
      <c r="J454" t="s">
        <v>5418</v>
      </c>
      <c r="K454" t="s">
        <v>4119</v>
      </c>
      <c r="L454" t="s">
        <v>1081</v>
      </c>
      <c r="M454" t="s">
        <v>207</v>
      </c>
      <c r="N454" s="166">
        <v>20.92</v>
      </c>
      <c r="O454" t="s">
        <v>131</v>
      </c>
    </row>
    <row r="455" spans="1:15">
      <c r="A455" s="166" t="s">
        <v>5419</v>
      </c>
      <c r="B455" t="s">
        <v>111</v>
      </c>
      <c r="C455" t="s">
        <v>133</v>
      </c>
      <c r="D455" t="s">
        <v>116</v>
      </c>
      <c r="E455" t="s">
        <v>418</v>
      </c>
      <c r="F455" t="s">
        <v>7</v>
      </c>
      <c r="G455" t="s">
        <v>130</v>
      </c>
      <c r="H455" s="1">
        <v>46124</v>
      </c>
      <c r="I455" t="s">
        <v>5420</v>
      </c>
      <c r="J455" t="s">
        <v>5421</v>
      </c>
      <c r="K455" t="s">
        <v>3670</v>
      </c>
      <c r="L455" t="s">
        <v>831</v>
      </c>
      <c r="M455" t="s">
        <v>807</v>
      </c>
      <c r="N455" s="166">
        <v>24.28</v>
      </c>
      <c r="O455" t="s">
        <v>131</v>
      </c>
    </row>
    <row r="456" spans="1:15">
      <c r="A456" s="166" t="s">
        <v>5422</v>
      </c>
      <c r="B456" t="s">
        <v>111</v>
      </c>
      <c r="C456" t="s">
        <v>136</v>
      </c>
      <c r="D456" t="s">
        <v>116</v>
      </c>
      <c r="E456" t="s">
        <v>418</v>
      </c>
      <c r="F456" t="s">
        <v>7</v>
      </c>
      <c r="G456" t="s">
        <v>130</v>
      </c>
      <c r="H456" s="1">
        <v>46124</v>
      </c>
      <c r="I456" t="s">
        <v>5423</v>
      </c>
      <c r="J456" t="s">
        <v>5424</v>
      </c>
      <c r="K456" t="s">
        <v>1564</v>
      </c>
      <c r="L456" t="s">
        <v>486</v>
      </c>
      <c r="M456" t="s">
        <v>1140</v>
      </c>
      <c r="N456" s="166">
        <v>21.2</v>
      </c>
      <c r="O456" t="s">
        <v>131</v>
      </c>
    </row>
    <row r="457" spans="1:15">
      <c r="A457" s="166" t="s">
        <v>5425</v>
      </c>
      <c r="B457" t="s">
        <v>111</v>
      </c>
      <c r="C457" t="s">
        <v>134</v>
      </c>
      <c r="D457" t="s">
        <v>116</v>
      </c>
      <c r="E457" t="s">
        <v>418</v>
      </c>
      <c r="F457" t="s">
        <v>7</v>
      </c>
      <c r="G457" t="s">
        <v>130</v>
      </c>
      <c r="H457" s="1">
        <v>46124</v>
      </c>
      <c r="I457" t="s">
        <v>5426</v>
      </c>
      <c r="J457" t="s">
        <v>5427</v>
      </c>
      <c r="K457" t="s">
        <v>3926</v>
      </c>
      <c r="L457" t="s">
        <v>1062</v>
      </c>
      <c r="M457" t="s">
        <v>207</v>
      </c>
      <c r="N457" s="166">
        <v>20.92</v>
      </c>
      <c r="O457" t="s">
        <v>131</v>
      </c>
    </row>
    <row r="458" spans="1:15">
      <c r="A458" s="166" t="s">
        <v>5428</v>
      </c>
      <c r="B458" t="s">
        <v>111</v>
      </c>
      <c r="C458" t="s">
        <v>133</v>
      </c>
      <c r="D458" t="s">
        <v>116</v>
      </c>
      <c r="E458" t="s">
        <v>418</v>
      </c>
      <c r="F458" t="s">
        <v>7</v>
      </c>
      <c r="G458" t="s">
        <v>130</v>
      </c>
      <c r="H458" s="1">
        <v>46124</v>
      </c>
      <c r="I458" t="s">
        <v>5429</v>
      </c>
      <c r="J458" t="s">
        <v>5430</v>
      </c>
      <c r="K458" t="s">
        <v>2394</v>
      </c>
      <c r="L458" t="s">
        <v>672</v>
      </c>
      <c r="M458" t="s">
        <v>2669</v>
      </c>
      <c r="N458" s="166">
        <v>23.32</v>
      </c>
      <c r="O458" t="s">
        <v>131</v>
      </c>
    </row>
    <row r="459" spans="1:15">
      <c r="A459" s="166" t="s">
        <v>5431</v>
      </c>
      <c r="B459" t="s">
        <v>111</v>
      </c>
      <c r="C459" t="s">
        <v>136</v>
      </c>
      <c r="D459" t="s">
        <v>116</v>
      </c>
      <c r="E459" t="s">
        <v>418</v>
      </c>
      <c r="F459" t="s">
        <v>7</v>
      </c>
      <c r="G459" t="s">
        <v>130</v>
      </c>
      <c r="H459" s="1">
        <v>46124</v>
      </c>
      <c r="I459" t="s">
        <v>5432</v>
      </c>
      <c r="J459" t="s">
        <v>5433</v>
      </c>
      <c r="K459" t="s">
        <v>820</v>
      </c>
      <c r="L459" t="s">
        <v>486</v>
      </c>
      <c r="M459" t="s">
        <v>1223</v>
      </c>
      <c r="N459" s="166">
        <v>22.76</v>
      </c>
      <c r="O459" t="s">
        <v>131</v>
      </c>
    </row>
    <row r="460" spans="1:15">
      <c r="A460" s="166" t="s">
        <v>5434</v>
      </c>
      <c r="B460" t="s">
        <v>111</v>
      </c>
      <c r="C460" t="s">
        <v>134</v>
      </c>
      <c r="D460" t="s">
        <v>116</v>
      </c>
      <c r="E460" t="s">
        <v>418</v>
      </c>
      <c r="F460" t="s">
        <v>7</v>
      </c>
      <c r="G460" t="s">
        <v>130</v>
      </c>
      <c r="H460" s="1">
        <v>46124</v>
      </c>
      <c r="I460" t="s">
        <v>5435</v>
      </c>
      <c r="J460" t="s">
        <v>5436</v>
      </c>
      <c r="K460" t="s">
        <v>514</v>
      </c>
      <c r="L460" t="s">
        <v>1081</v>
      </c>
      <c r="M460" t="s">
        <v>1237</v>
      </c>
      <c r="N460" s="166">
        <v>20.059999999999999</v>
      </c>
      <c r="O460" t="s">
        <v>131</v>
      </c>
    </row>
    <row r="461" spans="1:15">
      <c r="A461" s="166" t="s">
        <v>5437</v>
      </c>
      <c r="B461" t="s">
        <v>111</v>
      </c>
      <c r="C461" t="s">
        <v>133</v>
      </c>
      <c r="D461" t="s">
        <v>116</v>
      </c>
      <c r="E461" t="s">
        <v>418</v>
      </c>
      <c r="F461" t="s">
        <v>7</v>
      </c>
      <c r="G461" t="s">
        <v>130</v>
      </c>
      <c r="H461" s="1">
        <v>46124</v>
      </c>
      <c r="I461" t="s">
        <v>5438</v>
      </c>
      <c r="J461" t="s">
        <v>5439</v>
      </c>
      <c r="K461" t="s">
        <v>3291</v>
      </c>
      <c r="L461" t="s">
        <v>2058</v>
      </c>
      <c r="M461" t="s">
        <v>487</v>
      </c>
      <c r="N461" s="166">
        <v>21.88</v>
      </c>
      <c r="O461" t="s">
        <v>131</v>
      </c>
    </row>
    <row r="462" spans="1:15">
      <c r="A462" s="166" t="s">
        <v>5440</v>
      </c>
      <c r="B462" t="s">
        <v>111</v>
      </c>
      <c r="C462" t="s">
        <v>136</v>
      </c>
      <c r="D462" t="s">
        <v>116</v>
      </c>
      <c r="E462" t="s">
        <v>418</v>
      </c>
      <c r="F462" t="s">
        <v>7</v>
      </c>
      <c r="G462" t="s">
        <v>130</v>
      </c>
      <c r="H462" s="1">
        <v>46124</v>
      </c>
      <c r="I462" t="s">
        <v>5441</v>
      </c>
      <c r="J462" t="s">
        <v>5442</v>
      </c>
      <c r="K462" t="s">
        <v>1549</v>
      </c>
      <c r="L462" t="s">
        <v>2603</v>
      </c>
      <c r="M462" t="s">
        <v>2046</v>
      </c>
      <c r="N462" s="166">
        <v>19.16</v>
      </c>
      <c r="O462" t="s">
        <v>131</v>
      </c>
    </row>
    <row r="463" spans="1:15">
      <c r="A463" s="166" t="s">
        <v>5443</v>
      </c>
      <c r="B463" t="s">
        <v>111</v>
      </c>
      <c r="C463" t="s">
        <v>134</v>
      </c>
      <c r="D463" t="s">
        <v>116</v>
      </c>
      <c r="E463" t="s">
        <v>418</v>
      </c>
      <c r="F463" t="s">
        <v>7</v>
      </c>
      <c r="G463" t="s">
        <v>130</v>
      </c>
      <c r="H463" s="1">
        <v>46124</v>
      </c>
      <c r="I463" t="s">
        <v>5444</v>
      </c>
      <c r="J463" t="s">
        <v>5445</v>
      </c>
      <c r="K463" t="s">
        <v>3614</v>
      </c>
      <c r="L463" t="s">
        <v>1062</v>
      </c>
      <c r="M463" t="s">
        <v>5446</v>
      </c>
      <c r="N463" s="166">
        <v>25.02</v>
      </c>
      <c r="O463" t="s">
        <v>131</v>
      </c>
    </row>
    <row r="464" spans="1:15">
      <c r="A464" s="166" t="s">
        <v>5447</v>
      </c>
      <c r="B464" t="s">
        <v>111</v>
      </c>
      <c r="C464" t="s">
        <v>133</v>
      </c>
      <c r="D464" t="s">
        <v>116</v>
      </c>
      <c r="E464" t="s">
        <v>418</v>
      </c>
      <c r="F464" t="s">
        <v>7</v>
      </c>
      <c r="G464" t="s">
        <v>130</v>
      </c>
      <c r="H464" s="1">
        <v>46124</v>
      </c>
      <c r="I464" t="s">
        <v>5448</v>
      </c>
      <c r="J464" t="s">
        <v>5449</v>
      </c>
      <c r="K464" t="s">
        <v>491</v>
      </c>
      <c r="L464" t="s">
        <v>2184</v>
      </c>
      <c r="M464" t="s">
        <v>1674</v>
      </c>
      <c r="N464" s="166">
        <v>21.24</v>
      </c>
      <c r="O464" t="s">
        <v>131</v>
      </c>
    </row>
    <row r="465" spans="1:15">
      <c r="A465" s="166" t="s">
        <v>5450</v>
      </c>
      <c r="B465" t="s">
        <v>111</v>
      </c>
      <c r="C465" t="s">
        <v>134</v>
      </c>
      <c r="D465" t="s">
        <v>116</v>
      </c>
      <c r="E465" t="s">
        <v>418</v>
      </c>
      <c r="F465" t="s">
        <v>7</v>
      </c>
      <c r="G465" t="s">
        <v>130</v>
      </c>
      <c r="H465" s="1">
        <v>46124</v>
      </c>
      <c r="I465" t="s">
        <v>5451</v>
      </c>
      <c r="J465" t="s">
        <v>5452</v>
      </c>
      <c r="K465" t="s">
        <v>686</v>
      </c>
      <c r="L465" t="s">
        <v>1062</v>
      </c>
      <c r="M465" t="s">
        <v>585</v>
      </c>
      <c r="N465" s="166">
        <v>24.88</v>
      </c>
      <c r="O465" t="s">
        <v>131</v>
      </c>
    </row>
    <row r="466" spans="1:15">
      <c r="A466" s="166" t="s">
        <v>5453</v>
      </c>
      <c r="B466" t="s">
        <v>111</v>
      </c>
      <c r="C466" t="s">
        <v>136</v>
      </c>
      <c r="D466" t="s">
        <v>116</v>
      </c>
      <c r="E466" t="s">
        <v>418</v>
      </c>
      <c r="F466" t="s">
        <v>7</v>
      </c>
      <c r="G466" t="s">
        <v>130</v>
      </c>
      <c r="H466" s="1">
        <v>46124</v>
      </c>
      <c r="I466" t="s">
        <v>5454</v>
      </c>
      <c r="J466" t="s">
        <v>5455</v>
      </c>
      <c r="K466" t="s">
        <v>159</v>
      </c>
      <c r="L466" t="s">
        <v>2624</v>
      </c>
      <c r="M466" t="s">
        <v>660</v>
      </c>
      <c r="N466" s="166">
        <v>22.3</v>
      </c>
      <c r="O466" t="s">
        <v>131</v>
      </c>
    </row>
    <row r="467" spans="1:15">
      <c r="A467" s="166" t="s">
        <v>5456</v>
      </c>
      <c r="B467" t="s">
        <v>111</v>
      </c>
      <c r="C467" t="s">
        <v>134</v>
      </c>
      <c r="D467" t="s">
        <v>116</v>
      </c>
      <c r="E467" t="s">
        <v>418</v>
      </c>
      <c r="F467" t="s">
        <v>7</v>
      </c>
      <c r="G467" t="s">
        <v>130</v>
      </c>
      <c r="H467" s="1">
        <v>46124</v>
      </c>
      <c r="I467" t="s">
        <v>5457</v>
      </c>
      <c r="J467" t="s">
        <v>5458</v>
      </c>
      <c r="K467" t="s">
        <v>2707</v>
      </c>
      <c r="L467" t="s">
        <v>465</v>
      </c>
      <c r="M467" t="s">
        <v>5459</v>
      </c>
      <c r="N467" s="166">
        <v>24.78</v>
      </c>
      <c r="O467" t="s">
        <v>131</v>
      </c>
    </row>
    <row r="468" spans="1:15">
      <c r="A468" s="166" t="s">
        <v>5460</v>
      </c>
      <c r="B468" t="s">
        <v>111</v>
      </c>
      <c r="C468" t="s">
        <v>133</v>
      </c>
      <c r="D468" t="s">
        <v>116</v>
      </c>
      <c r="E468" t="s">
        <v>418</v>
      </c>
      <c r="F468" t="s">
        <v>7</v>
      </c>
      <c r="G468" t="s">
        <v>130</v>
      </c>
      <c r="H468" s="1">
        <v>46124</v>
      </c>
      <c r="I468" t="s">
        <v>5461</v>
      </c>
      <c r="J468" t="s">
        <v>5462</v>
      </c>
      <c r="K468" t="s">
        <v>4527</v>
      </c>
      <c r="L468" t="s">
        <v>856</v>
      </c>
      <c r="M468" t="s">
        <v>1553</v>
      </c>
      <c r="N468" s="166">
        <v>20.239999999999998</v>
      </c>
      <c r="O468" t="s">
        <v>131</v>
      </c>
    </row>
    <row r="469" spans="1:15">
      <c r="A469" s="166" t="s">
        <v>5463</v>
      </c>
      <c r="B469" t="s">
        <v>111</v>
      </c>
      <c r="C469" t="s">
        <v>136</v>
      </c>
      <c r="D469" t="s">
        <v>116</v>
      </c>
      <c r="E469" t="s">
        <v>418</v>
      </c>
      <c r="F469" t="s">
        <v>7</v>
      </c>
      <c r="G469" t="s">
        <v>130</v>
      </c>
      <c r="H469" s="1">
        <v>46124</v>
      </c>
      <c r="I469" t="s">
        <v>5464</v>
      </c>
      <c r="J469" t="s">
        <v>5465</v>
      </c>
      <c r="K469" t="s">
        <v>2965</v>
      </c>
      <c r="L469" t="s">
        <v>3152</v>
      </c>
      <c r="M469" t="s">
        <v>1653</v>
      </c>
      <c r="N469" s="166">
        <v>21.42</v>
      </c>
      <c r="O469" t="s">
        <v>131</v>
      </c>
    </row>
    <row r="470" spans="1:15">
      <c r="A470" s="166" t="s">
        <v>5466</v>
      </c>
      <c r="B470" t="s">
        <v>111</v>
      </c>
      <c r="C470" t="s">
        <v>134</v>
      </c>
      <c r="D470" t="s">
        <v>116</v>
      </c>
      <c r="E470" t="s">
        <v>418</v>
      </c>
      <c r="F470" t="s">
        <v>7</v>
      </c>
      <c r="G470" t="s">
        <v>130</v>
      </c>
      <c r="H470" s="1">
        <v>46124</v>
      </c>
      <c r="I470" t="s">
        <v>5467</v>
      </c>
      <c r="J470" t="s">
        <v>5468</v>
      </c>
      <c r="K470" t="s">
        <v>188</v>
      </c>
      <c r="L470" t="s">
        <v>465</v>
      </c>
      <c r="M470" t="s">
        <v>2188</v>
      </c>
      <c r="N470" s="166">
        <v>22.26</v>
      </c>
      <c r="O470" t="s">
        <v>131</v>
      </c>
    </row>
    <row r="471" spans="1:15">
      <c r="A471" s="166" t="s">
        <v>5469</v>
      </c>
      <c r="B471" t="s">
        <v>111</v>
      </c>
      <c r="C471" t="s">
        <v>133</v>
      </c>
      <c r="D471" t="s">
        <v>116</v>
      </c>
      <c r="E471" t="s">
        <v>418</v>
      </c>
      <c r="F471" t="s">
        <v>7</v>
      </c>
      <c r="G471" t="s">
        <v>130</v>
      </c>
      <c r="H471" s="1">
        <v>46124</v>
      </c>
      <c r="I471" t="s">
        <v>5470</v>
      </c>
      <c r="J471" t="s">
        <v>5471</v>
      </c>
      <c r="K471" t="s">
        <v>3267</v>
      </c>
      <c r="L471" t="s">
        <v>2657</v>
      </c>
      <c r="M471" t="s">
        <v>651</v>
      </c>
      <c r="N471" s="166">
        <v>22.42</v>
      </c>
      <c r="O471" t="s">
        <v>131</v>
      </c>
    </row>
    <row r="472" spans="1:15">
      <c r="A472" s="166" t="s">
        <v>5472</v>
      </c>
      <c r="B472" t="s">
        <v>111</v>
      </c>
      <c r="C472" t="s">
        <v>136</v>
      </c>
      <c r="D472" t="s">
        <v>116</v>
      </c>
      <c r="E472" t="s">
        <v>418</v>
      </c>
      <c r="F472" t="s">
        <v>7</v>
      </c>
      <c r="G472" t="s">
        <v>130</v>
      </c>
      <c r="H472" s="1">
        <v>46124</v>
      </c>
      <c r="I472" t="s">
        <v>5473</v>
      </c>
      <c r="J472" t="s">
        <v>5474</v>
      </c>
      <c r="K472" t="s">
        <v>743</v>
      </c>
      <c r="L472" t="s">
        <v>3517</v>
      </c>
      <c r="M472" t="s">
        <v>682</v>
      </c>
      <c r="N472" s="166">
        <v>23.34</v>
      </c>
      <c r="O472" t="s">
        <v>131</v>
      </c>
    </row>
    <row r="473" spans="1:15">
      <c r="A473" s="166" t="s">
        <v>5475</v>
      </c>
      <c r="B473" t="s">
        <v>111</v>
      </c>
      <c r="C473" t="s">
        <v>134</v>
      </c>
      <c r="D473" t="s">
        <v>116</v>
      </c>
      <c r="E473" t="s">
        <v>418</v>
      </c>
      <c r="F473" t="s">
        <v>7</v>
      </c>
      <c r="G473" t="s">
        <v>130</v>
      </c>
      <c r="H473" s="1">
        <v>46124</v>
      </c>
      <c r="I473" t="s">
        <v>5476</v>
      </c>
      <c r="J473" t="s">
        <v>5477</v>
      </c>
      <c r="K473" t="s">
        <v>4364</v>
      </c>
      <c r="L473" t="s">
        <v>2090</v>
      </c>
      <c r="M473" t="s">
        <v>1645</v>
      </c>
      <c r="N473" s="166">
        <v>23</v>
      </c>
      <c r="O473" t="s">
        <v>131</v>
      </c>
    </row>
    <row r="474" spans="1:15">
      <c r="A474" s="166" t="s">
        <v>3960</v>
      </c>
      <c r="B474" t="s">
        <v>111</v>
      </c>
      <c r="C474" t="s">
        <v>133</v>
      </c>
      <c r="D474" t="s">
        <v>116</v>
      </c>
      <c r="E474" t="s">
        <v>418</v>
      </c>
      <c r="F474" t="s">
        <v>7</v>
      </c>
      <c r="G474" t="s">
        <v>130</v>
      </c>
      <c r="H474" s="1">
        <v>46125</v>
      </c>
      <c r="I474" t="s">
        <v>5478</v>
      </c>
      <c r="J474" t="s">
        <v>5479</v>
      </c>
      <c r="K474" t="s">
        <v>229</v>
      </c>
      <c r="L474" t="s">
        <v>2644</v>
      </c>
      <c r="M474" t="s">
        <v>1595</v>
      </c>
      <c r="N474" s="166">
        <v>23.14</v>
      </c>
      <c r="O474" t="s">
        <v>131</v>
      </c>
    </row>
    <row r="475" spans="1:15">
      <c r="A475" s="166" t="s">
        <v>5480</v>
      </c>
      <c r="B475" t="s">
        <v>111</v>
      </c>
      <c r="C475" t="s">
        <v>136</v>
      </c>
      <c r="D475" t="s">
        <v>116</v>
      </c>
      <c r="E475" t="s">
        <v>418</v>
      </c>
      <c r="F475" t="s">
        <v>7</v>
      </c>
      <c r="G475" t="s">
        <v>130</v>
      </c>
      <c r="H475" s="1">
        <v>46125</v>
      </c>
      <c r="I475" t="s">
        <v>5481</v>
      </c>
      <c r="J475" t="s">
        <v>5482</v>
      </c>
      <c r="K475" t="s">
        <v>3871</v>
      </c>
      <c r="L475" t="s">
        <v>2589</v>
      </c>
      <c r="M475" t="s">
        <v>762</v>
      </c>
      <c r="N475" s="166">
        <v>22.06</v>
      </c>
      <c r="O475" t="s">
        <v>131</v>
      </c>
    </row>
    <row r="476" spans="1:15">
      <c r="A476" s="166" t="s">
        <v>5483</v>
      </c>
      <c r="B476" t="s">
        <v>111</v>
      </c>
      <c r="C476" t="s">
        <v>134</v>
      </c>
      <c r="D476" t="s">
        <v>116</v>
      </c>
      <c r="E476" t="s">
        <v>418</v>
      </c>
      <c r="F476" t="s">
        <v>7</v>
      </c>
      <c r="G476" t="s">
        <v>130</v>
      </c>
      <c r="H476" s="1">
        <v>46125</v>
      </c>
      <c r="I476" t="s">
        <v>5484</v>
      </c>
      <c r="J476" t="s">
        <v>5485</v>
      </c>
      <c r="K476" t="s">
        <v>4973</v>
      </c>
      <c r="L476" t="s">
        <v>1101</v>
      </c>
      <c r="M476" t="s">
        <v>5486</v>
      </c>
      <c r="N476" s="166">
        <v>24.66</v>
      </c>
      <c r="O476" t="s">
        <v>131</v>
      </c>
    </row>
    <row r="477" spans="1:15">
      <c r="A477" s="166" t="s">
        <v>5487</v>
      </c>
      <c r="B477" t="s">
        <v>111</v>
      </c>
      <c r="C477" t="s">
        <v>133</v>
      </c>
      <c r="D477" t="s">
        <v>116</v>
      </c>
      <c r="E477" t="s">
        <v>418</v>
      </c>
      <c r="F477" t="s">
        <v>7</v>
      </c>
      <c r="G477" t="s">
        <v>130</v>
      </c>
      <c r="H477" s="1">
        <v>46125</v>
      </c>
      <c r="I477" t="s">
        <v>5488</v>
      </c>
      <c r="J477" t="s">
        <v>5489</v>
      </c>
      <c r="K477" t="s">
        <v>1080</v>
      </c>
      <c r="L477" t="s">
        <v>3441</v>
      </c>
      <c r="M477" t="s">
        <v>569</v>
      </c>
      <c r="N477" s="166">
        <v>21.7</v>
      </c>
      <c r="O477" t="s">
        <v>131</v>
      </c>
    </row>
    <row r="478" spans="1:15">
      <c r="A478" s="166" t="s">
        <v>5490</v>
      </c>
      <c r="B478" t="s">
        <v>111</v>
      </c>
      <c r="C478" t="s">
        <v>136</v>
      </c>
      <c r="D478" t="s">
        <v>116</v>
      </c>
      <c r="E478" t="s">
        <v>418</v>
      </c>
      <c r="F478" t="s">
        <v>7</v>
      </c>
      <c r="G478" t="s">
        <v>130</v>
      </c>
      <c r="H478" s="1">
        <v>46125</v>
      </c>
      <c r="I478" t="s">
        <v>5491</v>
      </c>
      <c r="J478" t="s">
        <v>5492</v>
      </c>
      <c r="K478" t="s">
        <v>5493</v>
      </c>
      <c r="L478" t="s">
        <v>3483</v>
      </c>
      <c r="M478" t="s">
        <v>707</v>
      </c>
      <c r="N478" s="166">
        <v>25.54</v>
      </c>
      <c r="O478" t="s">
        <v>131</v>
      </c>
    </row>
    <row r="479" spans="1:15">
      <c r="A479" s="166" t="s">
        <v>5494</v>
      </c>
      <c r="B479" t="s">
        <v>111</v>
      </c>
      <c r="C479" t="s">
        <v>134</v>
      </c>
      <c r="D479" t="s">
        <v>116</v>
      </c>
      <c r="E479" t="s">
        <v>418</v>
      </c>
      <c r="F479" t="s">
        <v>7</v>
      </c>
      <c r="G479" t="s">
        <v>130</v>
      </c>
      <c r="H479" s="1">
        <v>46125</v>
      </c>
      <c r="I479" t="s">
        <v>5495</v>
      </c>
      <c r="J479" t="s">
        <v>5496</v>
      </c>
      <c r="K479" t="s">
        <v>181</v>
      </c>
      <c r="L479" t="s">
        <v>486</v>
      </c>
      <c r="M479" t="s">
        <v>2759</v>
      </c>
      <c r="N479" s="166">
        <v>23.7</v>
      </c>
      <c r="O479" t="s">
        <v>131</v>
      </c>
    </row>
    <row r="480" spans="1:15">
      <c r="A480" s="166" t="s">
        <v>5497</v>
      </c>
      <c r="B480" t="s">
        <v>111</v>
      </c>
      <c r="C480" t="s">
        <v>136</v>
      </c>
      <c r="D480" t="s">
        <v>116</v>
      </c>
      <c r="E480" t="s">
        <v>418</v>
      </c>
      <c r="F480" t="s">
        <v>7</v>
      </c>
      <c r="G480" t="s">
        <v>130</v>
      </c>
      <c r="H480" s="1">
        <v>46125</v>
      </c>
      <c r="I480" t="s">
        <v>5498</v>
      </c>
      <c r="J480" t="s">
        <v>5499</v>
      </c>
      <c r="K480" t="s">
        <v>5500</v>
      </c>
      <c r="L480" t="s">
        <v>4662</v>
      </c>
      <c r="M480" t="s">
        <v>3138</v>
      </c>
      <c r="N480" s="166">
        <v>21.94</v>
      </c>
      <c r="O480" t="s">
        <v>131</v>
      </c>
    </row>
    <row r="481" spans="1:15">
      <c r="A481" s="166" t="s">
        <v>5501</v>
      </c>
      <c r="B481" t="s">
        <v>111</v>
      </c>
      <c r="C481" t="s">
        <v>133</v>
      </c>
      <c r="D481" t="s">
        <v>116</v>
      </c>
      <c r="E481" t="s">
        <v>418</v>
      </c>
      <c r="F481" t="s">
        <v>7</v>
      </c>
      <c r="G481" t="s">
        <v>130</v>
      </c>
      <c r="H481" s="1">
        <v>46125</v>
      </c>
      <c r="I481" t="s">
        <v>5502</v>
      </c>
      <c r="J481" t="s">
        <v>5503</v>
      </c>
      <c r="K481" t="s">
        <v>236</v>
      </c>
      <c r="L481" t="s">
        <v>890</v>
      </c>
      <c r="M481" t="s">
        <v>767</v>
      </c>
      <c r="N481" s="166">
        <v>22.24</v>
      </c>
      <c r="O481" t="s">
        <v>131</v>
      </c>
    </row>
    <row r="482" spans="1:15">
      <c r="A482" s="166" t="s">
        <v>5504</v>
      </c>
      <c r="B482" t="s">
        <v>111</v>
      </c>
      <c r="C482" t="s">
        <v>134</v>
      </c>
      <c r="D482" t="s">
        <v>116</v>
      </c>
      <c r="E482" t="s">
        <v>418</v>
      </c>
      <c r="F482" t="s">
        <v>7</v>
      </c>
      <c r="G482" t="s">
        <v>130</v>
      </c>
      <c r="H482" s="1">
        <v>46125</v>
      </c>
      <c r="I482" t="s">
        <v>5505</v>
      </c>
      <c r="J482" t="s">
        <v>5506</v>
      </c>
      <c r="K482" t="s">
        <v>649</v>
      </c>
      <c r="L482" t="s">
        <v>212</v>
      </c>
      <c r="M482" t="s">
        <v>3084</v>
      </c>
      <c r="N482" s="166">
        <v>21.5</v>
      </c>
      <c r="O482" t="s">
        <v>131</v>
      </c>
    </row>
    <row r="483" spans="1:15">
      <c r="A483" s="166" t="s">
        <v>5507</v>
      </c>
      <c r="B483" t="s">
        <v>111</v>
      </c>
      <c r="C483" t="s">
        <v>136</v>
      </c>
      <c r="D483" t="s">
        <v>116</v>
      </c>
      <c r="E483" t="s">
        <v>418</v>
      </c>
      <c r="F483" t="s">
        <v>7</v>
      </c>
      <c r="G483" t="s">
        <v>130</v>
      </c>
      <c r="H483" s="1">
        <v>46125</v>
      </c>
      <c r="I483" t="s">
        <v>5508</v>
      </c>
      <c r="J483" t="s">
        <v>5509</v>
      </c>
      <c r="K483" t="s">
        <v>4012</v>
      </c>
      <c r="L483" t="s">
        <v>2532</v>
      </c>
      <c r="M483" t="s">
        <v>1701</v>
      </c>
      <c r="N483" s="166">
        <v>21.14</v>
      </c>
      <c r="O483" t="s">
        <v>131</v>
      </c>
    </row>
    <row r="484" spans="1:15">
      <c r="A484" s="166" t="s">
        <v>5510</v>
      </c>
      <c r="B484" t="s">
        <v>111</v>
      </c>
      <c r="C484" t="s">
        <v>134</v>
      </c>
      <c r="D484" t="s">
        <v>116</v>
      </c>
      <c r="E484" t="s">
        <v>418</v>
      </c>
      <c r="F484" t="s">
        <v>7</v>
      </c>
      <c r="G484" t="s">
        <v>130</v>
      </c>
      <c r="H484" s="1">
        <v>46125</v>
      </c>
      <c r="I484" t="s">
        <v>5511</v>
      </c>
      <c r="J484" t="s">
        <v>5512</v>
      </c>
      <c r="K484" t="s">
        <v>5513</v>
      </c>
      <c r="L484" t="s">
        <v>2549</v>
      </c>
      <c r="M484" t="s">
        <v>3311</v>
      </c>
      <c r="N484" s="166">
        <v>23.64</v>
      </c>
      <c r="O484" t="s">
        <v>131</v>
      </c>
    </row>
    <row r="485" spans="1:15">
      <c r="A485" s="166" t="s">
        <v>5514</v>
      </c>
      <c r="B485" t="s">
        <v>111</v>
      </c>
      <c r="C485" t="s">
        <v>133</v>
      </c>
      <c r="D485" t="s">
        <v>116</v>
      </c>
      <c r="E485" t="s">
        <v>418</v>
      </c>
      <c r="F485" t="s">
        <v>7</v>
      </c>
      <c r="G485" t="s">
        <v>130</v>
      </c>
      <c r="H485" s="1">
        <v>46125</v>
      </c>
      <c r="I485" t="s">
        <v>5515</v>
      </c>
      <c r="J485" t="s">
        <v>5516</v>
      </c>
      <c r="K485" t="s">
        <v>3228</v>
      </c>
      <c r="L485" t="s">
        <v>1845</v>
      </c>
      <c r="M485" t="s">
        <v>238</v>
      </c>
      <c r="N485" s="166">
        <v>24.44</v>
      </c>
      <c r="O485" t="s">
        <v>131</v>
      </c>
    </row>
    <row r="486" spans="1:15">
      <c r="A486" s="166" t="s">
        <v>5517</v>
      </c>
      <c r="B486" t="s">
        <v>111</v>
      </c>
      <c r="C486" t="s">
        <v>136</v>
      </c>
      <c r="D486" t="s">
        <v>116</v>
      </c>
      <c r="E486" t="s">
        <v>418</v>
      </c>
      <c r="F486" t="s">
        <v>7</v>
      </c>
      <c r="G486" t="s">
        <v>130</v>
      </c>
      <c r="H486" s="1">
        <v>46125</v>
      </c>
      <c r="I486" t="s">
        <v>5518</v>
      </c>
      <c r="J486" t="s">
        <v>5519</v>
      </c>
      <c r="K486" t="s">
        <v>4468</v>
      </c>
      <c r="L486" t="s">
        <v>3182</v>
      </c>
      <c r="M486" t="s">
        <v>1301</v>
      </c>
      <c r="N486" s="166">
        <v>19.36</v>
      </c>
      <c r="O486" t="s">
        <v>131</v>
      </c>
    </row>
    <row r="487" spans="1:15">
      <c r="A487" s="166" t="s">
        <v>5520</v>
      </c>
      <c r="B487" t="s">
        <v>111</v>
      </c>
      <c r="C487" t="s">
        <v>134</v>
      </c>
      <c r="D487" t="s">
        <v>116</v>
      </c>
      <c r="E487" t="s">
        <v>418</v>
      </c>
      <c r="F487" t="s">
        <v>7</v>
      </c>
      <c r="G487" t="s">
        <v>130</v>
      </c>
      <c r="H487" s="1">
        <v>46125</v>
      </c>
      <c r="I487" t="s">
        <v>5521</v>
      </c>
      <c r="J487" t="s">
        <v>5522</v>
      </c>
      <c r="K487" t="s">
        <v>583</v>
      </c>
      <c r="L487" t="s">
        <v>2639</v>
      </c>
      <c r="M487" t="s">
        <v>1537</v>
      </c>
      <c r="N487" s="166">
        <v>22.58</v>
      </c>
      <c r="O487" t="s">
        <v>131</v>
      </c>
    </row>
    <row r="488" spans="1:15">
      <c r="A488" s="166" t="s">
        <v>5523</v>
      </c>
      <c r="B488" t="s">
        <v>111</v>
      </c>
      <c r="C488" t="s">
        <v>136</v>
      </c>
      <c r="D488" t="s">
        <v>116</v>
      </c>
      <c r="E488" t="s">
        <v>418</v>
      </c>
      <c r="F488" t="s">
        <v>7</v>
      </c>
      <c r="G488" t="s">
        <v>130</v>
      </c>
      <c r="H488" s="1">
        <v>46125</v>
      </c>
      <c r="I488" t="s">
        <v>5524</v>
      </c>
      <c r="J488" t="s">
        <v>5525</v>
      </c>
      <c r="K488" t="s">
        <v>4998</v>
      </c>
      <c r="L488" t="s">
        <v>3318</v>
      </c>
      <c r="M488" t="s">
        <v>2708</v>
      </c>
      <c r="N488" s="166">
        <v>23.62</v>
      </c>
      <c r="O488" t="s">
        <v>131</v>
      </c>
    </row>
    <row r="489" spans="1:15">
      <c r="A489" s="166" t="s">
        <v>5526</v>
      </c>
      <c r="B489" t="s">
        <v>111</v>
      </c>
      <c r="C489" t="s">
        <v>133</v>
      </c>
      <c r="D489" t="s">
        <v>116</v>
      </c>
      <c r="E489" t="s">
        <v>418</v>
      </c>
      <c r="F489" t="s">
        <v>7</v>
      </c>
      <c r="G489" t="s">
        <v>130</v>
      </c>
      <c r="H489" s="1">
        <v>46125</v>
      </c>
      <c r="I489" t="s">
        <v>5527</v>
      </c>
      <c r="J489" t="s">
        <v>5528</v>
      </c>
      <c r="K489" t="s">
        <v>2225</v>
      </c>
      <c r="L489" t="s">
        <v>1845</v>
      </c>
      <c r="M489" t="s">
        <v>3036</v>
      </c>
      <c r="N489" s="166">
        <v>25.68</v>
      </c>
      <c r="O489" t="s">
        <v>131</v>
      </c>
    </row>
    <row r="490" spans="1:15">
      <c r="A490" s="166" t="s">
        <v>5529</v>
      </c>
      <c r="B490" t="s">
        <v>111</v>
      </c>
      <c r="C490" t="s">
        <v>134</v>
      </c>
      <c r="D490" t="s">
        <v>116</v>
      </c>
      <c r="E490" t="s">
        <v>418</v>
      </c>
      <c r="F490" t="s">
        <v>7</v>
      </c>
      <c r="G490" t="s">
        <v>130</v>
      </c>
      <c r="H490" s="1">
        <v>46125</v>
      </c>
      <c r="I490" t="s">
        <v>5530</v>
      </c>
      <c r="J490" t="s">
        <v>5531</v>
      </c>
      <c r="K490" t="s">
        <v>3056</v>
      </c>
      <c r="L490" t="s">
        <v>3318</v>
      </c>
      <c r="M490" t="s">
        <v>1447</v>
      </c>
      <c r="N490" s="166">
        <v>22.9</v>
      </c>
      <c r="O490" t="s">
        <v>131</v>
      </c>
    </row>
    <row r="491" spans="1:15">
      <c r="A491" s="166" t="s">
        <v>5532</v>
      </c>
      <c r="B491" t="s">
        <v>111</v>
      </c>
      <c r="C491" t="s">
        <v>136</v>
      </c>
      <c r="D491" t="s">
        <v>116</v>
      </c>
      <c r="E491" t="s">
        <v>418</v>
      </c>
      <c r="F491" t="s">
        <v>7</v>
      </c>
      <c r="G491" t="s">
        <v>130</v>
      </c>
      <c r="H491" s="1">
        <v>46125</v>
      </c>
      <c r="I491" t="s">
        <v>5533</v>
      </c>
      <c r="J491" t="s">
        <v>5534</v>
      </c>
      <c r="K491" t="s">
        <v>706</v>
      </c>
      <c r="L491" t="s">
        <v>2473</v>
      </c>
      <c r="M491" t="s">
        <v>5535</v>
      </c>
      <c r="N491" s="166">
        <v>23.36</v>
      </c>
      <c r="O491" t="s">
        <v>131</v>
      </c>
    </row>
    <row r="492" spans="1:15">
      <c r="A492" s="166" t="s">
        <v>5536</v>
      </c>
      <c r="B492" t="s">
        <v>111</v>
      </c>
      <c r="C492" t="s">
        <v>133</v>
      </c>
      <c r="D492" t="s">
        <v>116</v>
      </c>
      <c r="E492" t="s">
        <v>418</v>
      </c>
      <c r="F492" t="s">
        <v>7</v>
      </c>
      <c r="G492" t="s">
        <v>130</v>
      </c>
      <c r="H492" s="1">
        <v>46125</v>
      </c>
      <c r="I492" t="s">
        <v>5537</v>
      </c>
      <c r="J492" t="s">
        <v>5538</v>
      </c>
      <c r="K492" t="s">
        <v>3299</v>
      </c>
      <c r="L492" t="s">
        <v>3075</v>
      </c>
      <c r="M492" t="s">
        <v>1623</v>
      </c>
      <c r="N492" s="166">
        <v>23.5</v>
      </c>
      <c r="O492" t="s">
        <v>131</v>
      </c>
    </row>
    <row r="493" spans="1:15">
      <c r="A493" s="166" t="s">
        <v>5539</v>
      </c>
      <c r="B493" t="s">
        <v>111</v>
      </c>
      <c r="C493" t="s">
        <v>134</v>
      </c>
      <c r="D493" t="s">
        <v>116</v>
      </c>
      <c r="E493" t="s">
        <v>418</v>
      </c>
      <c r="F493" t="s">
        <v>7</v>
      </c>
      <c r="G493" t="s">
        <v>130</v>
      </c>
      <c r="H493" s="1">
        <v>46125</v>
      </c>
      <c r="I493" t="s">
        <v>5540</v>
      </c>
      <c r="J493" t="s">
        <v>5541</v>
      </c>
      <c r="K493" t="s">
        <v>2857</v>
      </c>
      <c r="L493" t="s">
        <v>515</v>
      </c>
      <c r="M493" t="s">
        <v>5542</v>
      </c>
      <c r="N493" s="166">
        <v>25.82</v>
      </c>
      <c r="O493" t="s">
        <v>131</v>
      </c>
    </row>
    <row r="494" spans="1:15">
      <c r="A494" s="166" t="s">
        <v>2062</v>
      </c>
      <c r="B494" t="s">
        <v>111</v>
      </c>
      <c r="C494" t="s">
        <v>136</v>
      </c>
      <c r="D494" t="s">
        <v>116</v>
      </c>
      <c r="E494" t="s">
        <v>418</v>
      </c>
      <c r="F494" t="s">
        <v>7</v>
      </c>
      <c r="G494" t="s">
        <v>130</v>
      </c>
      <c r="H494" s="1">
        <v>46125</v>
      </c>
      <c r="I494" t="s">
        <v>5543</v>
      </c>
      <c r="J494" t="s">
        <v>5544</v>
      </c>
      <c r="K494" t="s">
        <v>550</v>
      </c>
      <c r="L494" t="s">
        <v>3372</v>
      </c>
      <c r="M494" t="s">
        <v>1710</v>
      </c>
      <c r="N494" s="166">
        <v>19.46</v>
      </c>
      <c r="O494" t="s">
        <v>131</v>
      </c>
    </row>
    <row r="495" spans="1:15">
      <c r="A495" s="166" t="s">
        <v>5545</v>
      </c>
      <c r="B495" t="s">
        <v>111</v>
      </c>
      <c r="C495" t="s">
        <v>133</v>
      </c>
      <c r="D495" t="s">
        <v>116</v>
      </c>
      <c r="E495" t="s">
        <v>418</v>
      </c>
      <c r="F495" t="s">
        <v>7</v>
      </c>
      <c r="G495" t="s">
        <v>130</v>
      </c>
      <c r="H495" s="1">
        <v>46125</v>
      </c>
      <c r="I495" t="s">
        <v>5546</v>
      </c>
      <c r="J495" t="s">
        <v>5547</v>
      </c>
      <c r="K495" t="s">
        <v>2394</v>
      </c>
      <c r="L495" t="s">
        <v>2536</v>
      </c>
      <c r="M495" t="s">
        <v>2653</v>
      </c>
      <c r="N495" s="166">
        <v>21.16</v>
      </c>
      <c r="O495" t="s">
        <v>131</v>
      </c>
    </row>
    <row r="496" spans="1:15">
      <c r="A496" s="166" t="s">
        <v>5548</v>
      </c>
      <c r="B496" t="s">
        <v>111</v>
      </c>
      <c r="C496" t="s">
        <v>134</v>
      </c>
      <c r="D496" t="s">
        <v>116</v>
      </c>
      <c r="E496" t="s">
        <v>418</v>
      </c>
      <c r="F496" t="s">
        <v>7</v>
      </c>
      <c r="G496" t="s">
        <v>130</v>
      </c>
      <c r="H496" s="1">
        <v>46125</v>
      </c>
      <c r="I496" t="s">
        <v>5549</v>
      </c>
      <c r="J496" t="s">
        <v>5550</v>
      </c>
      <c r="K496" t="s">
        <v>3744</v>
      </c>
      <c r="L496" t="s">
        <v>148</v>
      </c>
      <c r="M496" t="s">
        <v>880</v>
      </c>
      <c r="N496" s="166">
        <v>24.7</v>
      </c>
      <c r="O496" t="s">
        <v>131</v>
      </c>
    </row>
    <row r="497" spans="1:15">
      <c r="A497" s="166" t="s">
        <v>5551</v>
      </c>
      <c r="B497" t="s">
        <v>111</v>
      </c>
      <c r="C497" t="s">
        <v>133</v>
      </c>
      <c r="D497" t="s">
        <v>116</v>
      </c>
      <c r="E497" t="s">
        <v>418</v>
      </c>
      <c r="F497" t="s">
        <v>7</v>
      </c>
      <c r="G497" t="s">
        <v>130</v>
      </c>
      <c r="H497" s="1">
        <v>46125</v>
      </c>
      <c r="I497" t="s">
        <v>5552</v>
      </c>
      <c r="J497" t="s">
        <v>5553</v>
      </c>
      <c r="K497" t="s">
        <v>3056</v>
      </c>
      <c r="L497" t="s">
        <v>2046</v>
      </c>
      <c r="M497" t="s">
        <v>4834</v>
      </c>
      <c r="N497" s="166">
        <v>21.36</v>
      </c>
      <c r="O497" t="s">
        <v>131</v>
      </c>
    </row>
    <row r="498" spans="1:15">
      <c r="A498" s="166" t="s">
        <v>5554</v>
      </c>
      <c r="B498" t="s">
        <v>111</v>
      </c>
      <c r="C498" t="s">
        <v>136</v>
      </c>
      <c r="D498" t="s">
        <v>116</v>
      </c>
      <c r="E498" t="s">
        <v>418</v>
      </c>
      <c r="F498" t="s">
        <v>7</v>
      </c>
      <c r="G498" t="s">
        <v>130</v>
      </c>
      <c r="H498" s="1">
        <v>46125</v>
      </c>
      <c r="I498" t="s">
        <v>5555</v>
      </c>
      <c r="J498" t="s">
        <v>5556</v>
      </c>
      <c r="K498" t="s">
        <v>644</v>
      </c>
      <c r="L498" t="s">
        <v>4927</v>
      </c>
      <c r="M498" t="s">
        <v>2273</v>
      </c>
      <c r="N498" s="166">
        <v>20.3</v>
      </c>
      <c r="O498" t="s">
        <v>131</v>
      </c>
    </row>
    <row r="499" spans="1:15">
      <c r="A499" s="166" t="s">
        <v>5557</v>
      </c>
      <c r="B499" t="s">
        <v>111</v>
      </c>
      <c r="C499" t="s">
        <v>134</v>
      </c>
      <c r="D499" t="s">
        <v>116</v>
      </c>
      <c r="E499" t="s">
        <v>418</v>
      </c>
      <c r="F499" t="s">
        <v>7</v>
      </c>
      <c r="G499" t="s">
        <v>130</v>
      </c>
      <c r="H499" s="1">
        <v>46125</v>
      </c>
      <c r="I499" t="s">
        <v>5558</v>
      </c>
      <c r="J499" t="s">
        <v>5559</v>
      </c>
      <c r="K499" t="s">
        <v>3070</v>
      </c>
      <c r="L499" t="s">
        <v>515</v>
      </c>
      <c r="M499" t="s">
        <v>3325</v>
      </c>
      <c r="N499" s="166">
        <v>24.46</v>
      </c>
      <c r="O499" t="s">
        <v>131</v>
      </c>
    </row>
    <row r="500" spans="1:15">
      <c r="A500" s="166" t="s">
        <v>5560</v>
      </c>
      <c r="B500" t="s">
        <v>111</v>
      </c>
      <c r="C500" t="s">
        <v>133</v>
      </c>
      <c r="D500" t="s">
        <v>116</v>
      </c>
      <c r="E500" t="s">
        <v>418</v>
      </c>
      <c r="F500" t="s">
        <v>7</v>
      </c>
      <c r="G500" t="s">
        <v>130</v>
      </c>
      <c r="H500" s="1">
        <v>46125</v>
      </c>
      <c r="I500" t="s">
        <v>5561</v>
      </c>
      <c r="J500" t="s">
        <v>5562</v>
      </c>
      <c r="K500" t="s">
        <v>3282</v>
      </c>
      <c r="L500" t="s">
        <v>492</v>
      </c>
      <c r="M500" t="s">
        <v>189</v>
      </c>
      <c r="N500" s="166">
        <v>24</v>
      </c>
      <c r="O500" t="s">
        <v>131</v>
      </c>
    </row>
    <row r="501" spans="1:15">
      <c r="A501" s="166" t="s">
        <v>5563</v>
      </c>
      <c r="B501" t="s">
        <v>111</v>
      </c>
      <c r="C501" t="s">
        <v>136</v>
      </c>
      <c r="D501" t="s">
        <v>116</v>
      </c>
      <c r="E501" t="s">
        <v>418</v>
      </c>
      <c r="F501" t="s">
        <v>7</v>
      </c>
      <c r="G501" t="s">
        <v>130</v>
      </c>
      <c r="H501" s="1">
        <v>46125</v>
      </c>
      <c r="I501" t="s">
        <v>5564</v>
      </c>
      <c r="J501" t="s">
        <v>5565</v>
      </c>
      <c r="K501" t="s">
        <v>2668</v>
      </c>
      <c r="L501" t="s">
        <v>1926</v>
      </c>
      <c r="M501" t="s">
        <v>211</v>
      </c>
      <c r="N501" s="166">
        <v>21.32</v>
      </c>
      <c r="O501" t="s">
        <v>131</v>
      </c>
    </row>
    <row r="502" spans="1:15">
      <c r="A502" s="166" t="s">
        <v>5566</v>
      </c>
      <c r="B502" t="s">
        <v>111</v>
      </c>
      <c r="C502" t="s">
        <v>134</v>
      </c>
      <c r="D502" t="s">
        <v>116</v>
      </c>
      <c r="E502" t="s">
        <v>418</v>
      </c>
      <c r="F502" t="s">
        <v>7</v>
      </c>
      <c r="G502" t="s">
        <v>130</v>
      </c>
      <c r="H502" s="1">
        <v>46125</v>
      </c>
      <c r="I502" t="s">
        <v>5567</v>
      </c>
      <c r="J502" t="s">
        <v>5568</v>
      </c>
      <c r="K502" t="s">
        <v>3056</v>
      </c>
      <c r="L502" t="s">
        <v>148</v>
      </c>
      <c r="M502" t="s">
        <v>2943</v>
      </c>
      <c r="N502" s="166">
        <v>25.16</v>
      </c>
      <c r="O502" t="s">
        <v>131</v>
      </c>
    </row>
    <row r="503" spans="1:15">
      <c r="A503" s="166" t="s">
        <v>5569</v>
      </c>
      <c r="B503" t="s">
        <v>111</v>
      </c>
      <c r="C503" t="s">
        <v>133</v>
      </c>
      <c r="D503" t="s">
        <v>116</v>
      </c>
      <c r="E503" t="s">
        <v>418</v>
      </c>
      <c r="F503" t="s">
        <v>7</v>
      </c>
      <c r="G503" t="s">
        <v>130</v>
      </c>
      <c r="H503" s="1">
        <v>46125</v>
      </c>
      <c r="I503" t="s">
        <v>5570</v>
      </c>
      <c r="J503" t="s">
        <v>5571</v>
      </c>
      <c r="K503" t="s">
        <v>205</v>
      </c>
      <c r="L503" t="s">
        <v>148</v>
      </c>
      <c r="M503" t="s">
        <v>861</v>
      </c>
      <c r="N503" s="166">
        <v>21.84</v>
      </c>
      <c r="O503" t="s">
        <v>131</v>
      </c>
    </row>
    <row r="504" spans="1:15">
      <c r="A504" s="166" t="s">
        <v>5572</v>
      </c>
      <c r="B504" t="s">
        <v>111</v>
      </c>
      <c r="C504" t="s">
        <v>136</v>
      </c>
      <c r="D504" t="s">
        <v>116</v>
      </c>
      <c r="E504" t="s">
        <v>418</v>
      </c>
      <c r="F504" t="s">
        <v>7</v>
      </c>
      <c r="G504" t="s">
        <v>130</v>
      </c>
      <c r="H504" s="1">
        <v>46125</v>
      </c>
      <c r="I504" t="s">
        <v>5573</v>
      </c>
      <c r="J504" t="s">
        <v>5574</v>
      </c>
      <c r="K504" t="s">
        <v>221</v>
      </c>
      <c r="L504" t="s">
        <v>832</v>
      </c>
      <c r="M504" t="s">
        <v>2745</v>
      </c>
      <c r="N504" s="166">
        <v>20.78</v>
      </c>
      <c r="O504" t="s">
        <v>131</v>
      </c>
    </row>
    <row r="505" spans="1:15">
      <c r="A505" s="166" t="s">
        <v>5575</v>
      </c>
      <c r="B505" t="s">
        <v>111</v>
      </c>
      <c r="C505" t="s">
        <v>134</v>
      </c>
      <c r="D505" t="s">
        <v>116</v>
      </c>
      <c r="E505" t="s">
        <v>418</v>
      </c>
      <c r="F505" t="s">
        <v>7</v>
      </c>
      <c r="G505" t="s">
        <v>130</v>
      </c>
      <c r="H505" s="1">
        <v>46125</v>
      </c>
      <c r="I505" t="s">
        <v>5576</v>
      </c>
      <c r="J505" t="s">
        <v>5577</v>
      </c>
      <c r="K505" t="s">
        <v>4879</v>
      </c>
      <c r="L505" t="s">
        <v>645</v>
      </c>
      <c r="M505" t="s">
        <v>4604</v>
      </c>
      <c r="N505" s="166">
        <v>23.84</v>
      </c>
      <c r="O505" t="s">
        <v>131</v>
      </c>
    </row>
    <row r="506" spans="1:15">
      <c r="A506" s="166" t="s">
        <v>5578</v>
      </c>
      <c r="B506" t="s">
        <v>111</v>
      </c>
      <c r="C506" t="s">
        <v>133</v>
      </c>
      <c r="D506" t="s">
        <v>116</v>
      </c>
      <c r="E506" t="s">
        <v>418</v>
      </c>
      <c r="F506" t="s">
        <v>7</v>
      </c>
      <c r="G506" t="s">
        <v>130</v>
      </c>
      <c r="H506" s="1">
        <v>46125</v>
      </c>
      <c r="I506" t="s">
        <v>5579</v>
      </c>
      <c r="J506" t="s">
        <v>5580</v>
      </c>
      <c r="K506" t="s">
        <v>554</v>
      </c>
      <c r="L506" t="s">
        <v>1560</v>
      </c>
      <c r="M506" t="s">
        <v>1494</v>
      </c>
      <c r="N506" s="166">
        <v>21.9</v>
      </c>
      <c r="O506" t="s">
        <v>131</v>
      </c>
    </row>
    <row r="507" spans="1:15">
      <c r="A507" s="166" t="s">
        <v>5581</v>
      </c>
      <c r="B507" t="s">
        <v>111</v>
      </c>
      <c r="C507" t="s">
        <v>136</v>
      </c>
      <c r="D507" t="s">
        <v>116</v>
      </c>
      <c r="E507" t="s">
        <v>418</v>
      </c>
      <c r="F507" t="s">
        <v>7</v>
      </c>
      <c r="G507" t="s">
        <v>130</v>
      </c>
      <c r="H507" s="1">
        <v>46125</v>
      </c>
      <c r="I507" t="s">
        <v>5582</v>
      </c>
      <c r="J507" t="s">
        <v>5583</v>
      </c>
      <c r="K507" t="s">
        <v>1163</v>
      </c>
      <c r="L507" t="s">
        <v>1267</v>
      </c>
      <c r="M507" t="s">
        <v>1114</v>
      </c>
      <c r="N507" s="166">
        <v>17.8</v>
      </c>
      <c r="O507" t="s">
        <v>131</v>
      </c>
    </row>
    <row r="508" spans="1:15">
      <c r="A508" s="166" t="s">
        <v>5584</v>
      </c>
      <c r="B508" t="s">
        <v>111</v>
      </c>
      <c r="C508" t="s">
        <v>133</v>
      </c>
      <c r="D508" t="s">
        <v>116</v>
      </c>
      <c r="E508" t="s">
        <v>418</v>
      </c>
      <c r="F508" t="s">
        <v>7</v>
      </c>
      <c r="G508" t="s">
        <v>130</v>
      </c>
      <c r="H508" s="1">
        <v>46125</v>
      </c>
      <c r="I508" t="s">
        <v>5585</v>
      </c>
      <c r="J508" t="s">
        <v>5586</v>
      </c>
      <c r="K508" t="s">
        <v>3092</v>
      </c>
      <c r="L508" t="s">
        <v>1582</v>
      </c>
      <c r="M508" t="s">
        <v>4148</v>
      </c>
      <c r="N508" s="166">
        <v>17.899999999999999</v>
      </c>
      <c r="O508" t="s">
        <v>131</v>
      </c>
    </row>
    <row r="509" spans="1:15">
      <c r="A509" s="166" t="s">
        <v>5587</v>
      </c>
      <c r="B509" t="s">
        <v>111</v>
      </c>
      <c r="C509" t="s">
        <v>136</v>
      </c>
      <c r="D509" t="s">
        <v>116</v>
      </c>
      <c r="E509" t="s">
        <v>418</v>
      </c>
      <c r="F509" t="s">
        <v>7</v>
      </c>
      <c r="G509" t="s">
        <v>130</v>
      </c>
      <c r="H509" s="1">
        <v>46125</v>
      </c>
      <c r="I509" t="s">
        <v>5588</v>
      </c>
      <c r="J509" t="s">
        <v>5589</v>
      </c>
      <c r="K509" t="s">
        <v>159</v>
      </c>
      <c r="L509" t="s">
        <v>1263</v>
      </c>
      <c r="M509" t="s">
        <v>2096</v>
      </c>
      <c r="N509" s="166">
        <v>20.74</v>
      </c>
      <c r="O509" t="s">
        <v>131</v>
      </c>
    </row>
    <row r="510" spans="1:15">
      <c r="A510" s="166" t="s">
        <v>5590</v>
      </c>
      <c r="B510" t="s">
        <v>111</v>
      </c>
      <c r="C510" t="s">
        <v>134</v>
      </c>
      <c r="D510" t="s">
        <v>116</v>
      </c>
      <c r="E510" t="s">
        <v>418</v>
      </c>
      <c r="F510" t="s">
        <v>7</v>
      </c>
      <c r="G510" t="s">
        <v>130</v>
      </c>
      <c r="H510" s="1">
        <v>46125</v>
      </c>
      <c r="I510" t="s">
        <v>5591</v>
      </c>
      <c r="J510" t="s">
        <v>5592</v>
      </c>
      <c r="K510" t="s">
        <v>3553</v>
      </c>
      <c r="L510" t="s">
        <v>3032</v>
      </c>
      <c r="M510" t="s">
        <v>455</v>
      </c>
      <c r="N510" s="166">
        <v>21.68</v>
      </c>
      <c r="O510" t="s">
        <v>131</v>
      </c>
    </row>
    <row r="511" spans="1:15">
      <c r="A511" s="166" t="s">
        <v>5593</v>
      </c>
      <c r="B511" t="s">
        <v>111</v>
      </c>
      <c r="C511" t="s">
        <v>133</v>
      </c>
      <c r="D511" t="s">
        <v>116</v>
      </c>
      <c r="E511" t="s">
        <v>418</v>
      </c>
      <c r="F511" t="s">
        <v>7</v>
      </c>
      <c r="G511" t="s">
        <v>130</v>
      </c>
      <c r="H511" s="1">
        <v>46125</v>
      </c>
      <c r="I511" t="s">
        <v>5594</v>
      </c>
      <c r="J511" t="s">
        <v>5595</v>
      </c>
      <c r="K511" t="s">
        <v>192</v>
      </c>
      <c r="L511" t="s">
        <v>1560</v>
      </c>
      <c r="M511" t="s">
        <v>5141</v>
      </c>
      <c r="N511" s="166">
        <v>22.88</v>
      </c>
      <c r="O511" t="s">
        <v>131</v>
      </c>
    </row>
    <row r="512" spans="1:15">
      <c r="A512" s="166" t="s">
        <v>5596</v>
      </c>
      <c r="B512" t="s">
        <v>111</v>
      </c>
      <c r="C512" t="s">
        <v>136</v>
      </c>
      <c r="D512" t="s">
        <v>116</v>
      </c>
      <c r="E512" t="s">
        <v>418</v>
      </c>
      <c r="F512" t="s">
        <v>7</v>
      </c>
      <c r="G512" t="s">
        <v>130</v>
      </c>
      <c r="H512" s="1">
        <v>46125</v>
      </c>
      <c r="I512" t="s">
        <v>5597</v>
      </c>
      <c r="J512" t="s">
        <v>5598</v>
      </c>
      <c r="K512" t="s">
        <v>1896</v>
      </c>
      <c r="L512" t="s">
        <v>1102</v>
      </c>
      <c r="M512" t="s">
        <v>169</v>
      </c>
      <c r="N512" s="166">
        <v>16.8</v>
      </c>
      <c r="O512" t="s">
        <v>131</v>
      </c>
    </row>
    <row r="513" spans="1:15">
      <c r="A513" s="166" t="s">
        <v>5599</v>
      </c>
      <c r="B513" t="s">
        <v>111</v>
      </c>
      <c r="C513" t="s">
        <v>134</v>
      </c>
      <c r="D513" t="s">
        <v>116</v>
      </c>
      <c r="E513" t="s">
        <v>418</v>
      </c>
      <c r="F513" t="s">
        <v>7</v>
      </c>
      <c r="G513" t="s">
        <v>130</v>
      </c>
      <c r="H513" s="1">
        <v>46125</v>
      </c>
      <c r="I513" t="s">
        <v>5600</v>
      </c>
      <c r="J513" t="s">
        <v>5601</v>
      </c>
      <c r="K513" t="s">
        <v>2079</v>
      </c>
      <c r="L513" t="s">
        <v>645</v>
      </c>
      <c r="M513" t="s">
        <v>3278</v>
      </c>
      <c r="N513" s="166">
        <v>22.32</v>
      </c>
      <c r="O513" t="s">
        <v>131</v>
      </c>
    </row>
    <row r="514" spans="1:15">
      <c r="A514" s="166" t="s">
        <v>1149</v>
      </c>
      <c r="B514" t="s">
        <v>111</v>
      </c>
      <c r="C514" t="s">
        <v>134</v>
      </c>
      <c r="D514" t="s">
        <v>116</v>
      </c>
      <c r="E514" t="s">
        <v>418</v>
      </c>
      <c r="F514" t="s">
        <v>7</v>
      </c>
      <c r="G514" t="s">
        <v>130</v>
      </c>
      <c r="H514" s="1">
        <v>46125</v>
      </c>
      <c r="I514" t="s">
        <v>5602</v>
      </c>
      <c r="J514" t="s">
        <v>5603</v>
      </c>
      <c r="K514" t="s">
        <v>1163</v>
      </c>
      <c r="L514" t="s">
        <v>989</v>
      </c>
      <c r="M514" t="s">
        <v>471</v>
      </c>
      <c r="N514" s="166">
        <v>22.04</v>
      </c>
      <c r="O514" t="s">
        <v>131</v>
      </c>
    </row>
    <row r="515" spans="1:15">
      <c r="A515" s="166" t="s">
        <v>5604</v>
      </c>
      <c r="B515" t="s">
        <v>111</v>
      </c>
      <c r="C515" t="s">
        <v>133</v>
      </c>
      <c r="D515" t="s">
        <v>116</v>
      </c>
      <c r="E515" t="s">
        <v>418</v>
      </c>
      <c r="F515" t="s">
        <v>7</v>
      </c>
      <c r="G515" t="s">
        <v>130</v>
      </c>
      <c r="H515" s="1">
        <v>46125</v>
      </c>
      <c r="I515" t="s">
        <v>5605</v>
      </c>
      <c r="J515" t="s">
        <v>5606</v>
      </c>
      <c r="K515" t="s">
        <v>4119</v>
      </c>
      <c r="L515" t="s">
        <v>645</v>
      </c>
      <c r="M515" t="s">
        <v>3814</v>
      </c>
      <c r="N515" s="166">
        <v>22.08</v>
      </c>
      <c r="O515" t="s">
        <v>131</v>
      </c>
    </row>
    <row r="516" spans="1:15">
      <c r="A516" s="166" t="s">
        <v>5607</v>
      </c>
      <c r="B516" t="s">
        <v>111</v>
      </c>
      <c r="C516" t="s">
        <v>136</v>
      </c>
      <c r="D516" t="s">
        <v>116</v>
      </c>
      <c r="E516" t="s">
        <v>418</v>
      </c>
      <c r="F516" t="s">
        <v>7</v>
      </c>
      <c r="G516" t="s">
        <v>130</v>
      </c>
      <c r="H516" s="1">
        <v>46125</v>
      </c>
      <c r="I516" t="s">
        <v>5608</v>
      </c>
      <c r="J516" t="s">
        <v>5609</v>
      </c>
      <c r="K516" t="s">
        <v>1880</v>
      </c>
      <c r="L516" t="s">
        <v>5610</v>
      </c>
      <c r="M516" t="s">
        <v>2523</v>
      </c>
      <c r="N516" s="166">
        <v>17.5</v>
      </c>
      <c r="O516" t="s">
        <v>131</v>
      </c>
    </row>
    <row r="517" spans="1:15">
      <c r="A517" s="166" t="s">
        <v>5611</v>
      </c>
      <c r="B517" t="s">
        <v>111</v>
      </c>
      <c r="C517" t="s">
        <v>133</v>
      </c>
      <c r="D517" t="s">
        <v>116</v>
      </c>
      <c r="E517" t="s">
        <v>418</v>
      </c>
      <c r="F517" t="s">
        <v>7</v>
      </c>
      <c r="G517" t="s">
        <v>130</v>
      </c>
      <c r="H517" s="1">
        <v>46125</v>
      </c>
      <c r="I517" t="s">
        <v>5612</v>
      </c>
      <c r="J517" t="s">
        <v>5613</v>
      </c>
      <c r="K517" t="s">
        <v>192</v>
      </c>
      <c r="L517" t="s">
        <v>645</v>
      </c>
      <c r="M517" t="s">
        <v>3765</v>
      </c>
      <c r="N517" s="166">
        <v>22.7</v>
      </c>
      <c r="O517" t="s">
        <v>131</v>
      </c>
    </row>
    <row r="518" spans="1:15">
      <c r="A518" s="166" t="s">
        <v>5614</v>
      </c>
      <c r="B518" t="s">
        <v>111</v>
      </c>
      <c r="C518" t="s">
        <v>136</v>
      </c>
      <c r="D518" t="s">
        <v>116</v>
      </c>
      <c r="E518" t="s">
        <v>418</v>
      </c>
      <c r="F518" t="s">
        <v>7</v>
      </c>
      <c r="G518" t="s">
        <v>130</v>
      </c>
      <c r="H518" s="1">
        <v>46125</v>
      </c>
      <c r="I518" t="s">
        <v>5615</v>
      </c>
      <c r="J518" t="s">
        <v>5616</v>
      </c>
      <c r="K518" t="s">
        <v>1810</v>
      </c>
      <c r="L518" t="s">
        <v>1710</v>
      </c>
      <c r="M518" t="s">
        <v>3295</v>
      </c>
      <c r="N518" s="166">
        <v>16.28</v>
      </c>
      <c r="O518" t="s">
        <v>131</v>
      </c>
    </row>
    <row r="519" spans="1:15">
      <c r="A519" s="166" t="s">
        <v>5617</v>
      </c>
      <c r="B519" t="s">
        <v>111</v>
      </c>
      <c r="C519" t="s">
        <v>134</v>
      </c>
      <c r="D519" t="s">
        <v>116</v>
      </c>
      <c r="E519" t="s">
        <v>418</v>
      </c>
      <c r="F519" t="s">
        <v>7</v>
      </c>
      <c r="G519" t="s">
        <v>130</v>
      </c>
      <c r="H519" s="1">
        <v>46125</v>
      </c>
      <c r="I519" t="s">
        <v>5618</v>
      </c>
      <c r="J519" t="s">
        <v>5619</v>
      </c>
      <c r="K519" t="s">
        <v>3553</v>
      </c>
      <c r="L519" t="s">
        <v>720</v>
      </c>
      <c r="M519" t="s">
        <v>498</v>
      </c>
      <c r="N519" s="166">
        <v>21.62</v>
      </c>
      <c r="O519" t="s">
        <v>131</v>
      </c>
    </row>
    <row r="520" spans="1:15">
      <c r="A520" s="166" t="s">
        <v>5620</v>
      </c>
      <c r="B520" t="s">
        <v>111</v>
      </c>
      <c r="C520" t="s">
        <v>133</v>
      </c>
      <c r="D520" t="s">
        <v>116</v>
      </c>
      <c r="E520" t="s">
        <v>418</v>
      </c>
      <c r="F520" t="s">
        <v>7</v>
      </c>
      <c r="G520" t="s">
        <v>130</v>
      </c>
      <c r="H520" s="1">
        <v>46125</v>
      </c>
      <c r="I520" t="s">
        <v>5621</v>
      </c>
      <c r="J520" t="s">
        <v>5622</v>
      </c>
      <c r="K520" t="s">
        <v>2478</v>
      </c>
      <c r="L520" t="s">
        <v>720</v>
      </c>
      <c r="M520" t="s">
        <v>184</v>
      </c>
      <c r="N520" s="166">
        <v>20.98</v>
      </c>
      <c r="O520" t="s">
        <v>131</v>
      </c>
    </row>
    <row r="521" spans="1:15">
      <c r="A521" s="166" t="s">
        <v>5623</v>
      </c>
      <c r="B521" t="s">
        <v>111</v>
      </c>
      <c r="C521" t="s">
        <v>136</v>
      </c>
      <c r="D521" t="s">
        <v>116</v>
      </c>
      <c r="E521" t="s">
        <v>418</v>
      </c>
      <c r="F521" t="s">
        <v>7</v>
      </c>
      <c r="G521" t="s">
        <v>130</v>
      </c>
      <c r="H521" s="1">
        <v>46125</v>
      </c>
      <c r="I521" t="s">
        <v>5624</v>
      </c>
      <c r="J521" t="s">
        <v>5625</v>
      </c>
      <c r="K521" t="s">
        <v>519</v>
      </c>
      <c r="L521" t="s">
        <v>1814</v>
      </c>
      <c r="M521" t="s">
        <v>1127</v>
      </c>
      <c r="N521" s="166">
        <v>19.920000000000002</v>
      </c>
      <c r="O521" t="s">
        <v>131</v>
      </c>
    </row>
    <row r="522" spans="1:15">
      <c r="A522" s="166" t="s">
        <v>5626</v>
      </c>
      <c r="B522" t="s">
        <v>111</v>
      </c>
      <c r="C522" t="s">
        <v>134</v>
      </c>
      <c r="D522" t="s">
        <v>116</v>
      </c>
      <c r="E522" t="s">
        <v>418</v>
      </c>
      <c r="F522" t="s">
        <v>7</v>
      </c>
      <c r="G522" t="s">
        <v>130</v>
      </c>
      <c r="H522" s="1">
        <v>46125</v>
      </c>
      <c r="I522" t="s">
        <v>5627</v>
      </c>
      <c r="J522" t="s">
        <v>5628</v>
      </c>
      <c r="K522" t="s">
        <v>1627</v>
      </c>
      <c r="L522" t="s">
        <v>149</v>
      </c>
      <c r="M522" t="s">
        <v>1189</v>
      </c>
      <c r="N522" s="166">
        <v>23.48</v>
      </c>
      <c r="O522" t="s">
        <v>131</v>
      </c>
    </row>
    <row r="523" spans="1:15">
      <c r="A523" s="166" t="s">
        <v>5629</v>
      </c>
      <c r="B523" t="s">
        <v>111</v>
      </c>
      <c r="C523" t="s">
        <v>133</v>
      </c>
      <c r="D523" t="s">
        <v>116</v>
      </c>
      <c r="E523" t="s">
        <v>418</v>
      </c>
      <c r="F523" t="s">
        <v>7</v>
      </c>
      <c r="G523" t="s">
        <v>130</v>
      </c>
      <c r="H523" s="1">
        <v>46125</v>
      </c>
      <c r="I523" t="s">
        <v>5630</v>
      </c>
      <c r="J523" t="s">
        <v>5631</v>
      </c>
      <c r="K523" t="s">
        <v>2430</v>
      </c>
      <c r="L523" t="s">
        <v>665</v>
      </c>
      <c r="M523" t="s">
        <v>1127</v>
      </c>
      <c r="N523" s="166">
        <v>19.920000000000002</v>
      </c>
      <c r="O523" t="s">
        <v>131</v>
      </c>
    </row>
    <row r="524" spans="1:15">
      <c r="A524" s="166" t="s">
        <v>5632</v>
      </c>
      <c r="B524" t="s">
        <v>111</v>
      </c>
      <c r="C524" t="s">
        <v>136</v>
      </c>
      <c r="D524" t="s">
        <v>118</v>
      </c>
      <c r="E524" t="s">
        <v>139</v>
      </c>
      <c r="F524" t="s">
        <v>7</v>
      </c>
      <c r="G524" t="s">
        <v>130</v>
      </c>
      <c r="H524" s="1">
        <v>46125</v>
      </c>
      <c r="I524" t="s">
        <v>5633</v>
      </c>
      <c r="J524" t="s">
        <v>5634</v>
      </c>
      <c r="K524" t="s">
        <v>1488</v>
      </c>
      <c r="L524" t="s">
        <v>144</v>
      </c>
      <c r="M524" t="s">
        <v>2071</v>
      </c>
      <c r="N524" s="166">
        <v>18.38</v>
      </c>
      <c r="O524" t="s">
        <v>131</v>
      </c>
    </row>
    <row r="525" spans="1:15">
      <c r="A525" s="166" t="s">
        <v>5635</v>
      </c>
      <c r="B525" t="s">
        <v>111</v>
      </c>
      <c r="C525" t="s">
        <v>135</v>
      </c>
      <c r="D525" t="s">
        <v>118</v>
      </c>
      <c r="E525" t="s">
        <v>139</v>
      </c>
      <c r="F525" t="s">
        <v>7</v>
      </c>
      <c r="G525" t="s">
        <v>130</v>
      </c>
      <c r="H525" s="1">
        <v>46125</v>
      </c>
      <c r="I525" t="s">
        <v>5636</v>
      </c>
      <c r="J525" t="s">
        <v>5637</v>
      </c>
      <c r="K525" t="s">
        <v>150</v>
      </c>
      <c r="L525" t="s">
        <v>1499</v>
      </c>
      <c r="M525" t="s">
        <v>2158</v>
      </c>
      <c r="N525" s="166">
        <v>20.94</v>
      </c>
      <c r="O525" t="s">
        <v>131</v>
      </c>
    </row>
    <row r="526" spans="1:15">
      <c r="A526" s="166" t="s">
        <v>5638</v>
      </c>
      <c r="B526" t="s">
        <v>111</v>
      </c>
      <c r="C526" t="s">
        <v>133</v>
      </c>
      <c r="D526" t="s">
        <v>118</v>
      </c>
      <c r="E526" t="s">
        <v>139</v>
      </c>
      <c r="F526" t="s">
        <v>7</v>
      </c>
      <c r="G526" t="s">
        <v>130</v>
      </c>
      <c r="H526" s="1">
        <v>46125</v>
      </c>
      <c r="I526" t="s">
        <v>5639</v>
      </c>
      <c r="J526" t="s">
        <v>5640</v>
      </c>
      <c r="K526" t="s">
        <v>589</v>
      </c>
      <c r="L526" t="s">
        <v>1499</v>
      </c>
      <c r="M526" t="s">
        <v>2188</v>
      </c>
      <c r="N526" s="166">
        <v>22.26</v>
      </c>
      <c r="O526" t="s">
        <v>131</v>
      </c>
    </row>
    <row r="527" spans="1:15">
      <c r="A527" s="166" t="s">
        <v>5641</v>
      </c>
      <c r="B527" t="s">
        <v>111</v>
      </c>
      <c r="C527" t="s">
        <v>134</v>
      </c>
      <c r="D527" t="s">
        <v>118</v>
      </c>
      <c r="E527" t="s">
        <v>139</v>
      </c>
      <c r="F527" t="s">
        <v>7</v>
      </c>
      <c r="G527" t="s">
        <v>130</v>
      </c>
      <c r="H527" s="1">
        <v>46125</v>
      </c>
      <c r="I527" t="s">
        <v>5642</v>
      </c>
      <c r="J527" t="s">
        <v>5643</v>
      </c>
      <c r="K527" t="s">
        <v>4645</v>
      </c>
      <c r="L527" t="s">
        <v>2128</v>
      </c>
      <c r="M527" t="s">
        <v>3653</v>
      </c>
      <c r="N527" s="166">
        <v>18.440000000000001</v>
      </c>
      <c r="O527" t="s">
        <v>131</v>
      </c>
    </row>
    <row r="528" spans="1:15">
      <c r="A528" s="166" t="s">
        <v>5644</v>
      </c>
      <c r="B528" t="s">
        <v>111</v>
      </c>
      <c r="C528" t="s">
        <v>136</v>
      </c>
      <c r="D528" t="s">
        <v>118</v>
      </c>
      <c r="E528" t="s">
        <v>139</v>
      </c>
      <c r="F528" t="s">
        <v>7</v>
      </c>
      <c r="G528" t="s">
        <v>130</v>
      </c>
      <c r="H528" s="1">
        <v>46125</v>
      </c>
      <c r="I528" t="s">
        <v>5645</v>
      </c>
      <c r="J528" t="s">
        <v>5646</v>
      </c>
      <c r="K528" t="s">
        <v>550</v>
      </c>
      <c r="L528" t="s">
        <v>515</v>
      </c>
      <c r="M528" t="s">
        <v>3814</v>
      </c>
      <c r="N528" s="166">
        <v>22.08</v>
      </c>
      <c r="O528" t="s">
        <v>131</v>
      </c>
    </row>
    <row r="529" spans="1:15">
      <c r="A529" s="166" t="s">
        <v>5647</v>
      </c>
      <c r="B529" t="s">
        <v>111</v>
      </c>
      <c r="C529" t="s">
        <v>135</v>
      </c>
      <c r="D529" t="s">
        <v>118</v>
      </c>
      <c r="E529" t="s">
        <v>139</v>
      </c>
      <c r="F529" t="s">
        <v>7</v>
      </c>
      <c r="G529" t="s">
        <v>130</v>
      </c>
      <c r="H529" s="1">
        <v>46125</v>
      </c>
      <c r="I529" t="s">
        <v>5648</v>
      </c>
      <c r="J529" t="s">
        <v>5649</v>
      </c>
      <c r="K529" t="s">
        <v>5650</v>
      </c>
      <c r="L529" t="s">
        <v>155</v>
      </c>
      <c r="M529" t="s">
        <v>714</v>
      </c>
      <c r="N529" s="166">
        <v>15.76</v>
      </c>
      <c r="O529" t="s">
        <v>131</v>
      </c>
    </row>
    <row r="530" spans="1:15">
      <c r="A530" s="166" t="s">
        <v>5651</v>
      </c>
      <c r="B530" t="s">
        <v>111</v>
      </c>
      <c r="C530" t="s">
        <v>133</v>
      </c>
      <c r="D530" t="s">
        <v>116</v>
      </c>
      <c r="E530" t="s">
        <v>418</v>
      </c>
      <c r="F530" t="s">
        <v>7</v>
      </c>
      <c r="G530" t="s">
        <v>130</v>
      </c>
      <c r="H530" s="1">
        <v>46125</v>
      </c>
      <c r="I530" t="s">
        <v>5652</v>
      </c>
      <c r="J530" t="s">
        <v>5653</v>
      </c>
      <c r="K530" t="s">
        <v>1080</v>
      </c>
      <c r="L530" t="s">
        <v>1499</v>
      </c>
      <c r="M530" t="s">
        <v>187</v>
      </c>
      <c r="N530" s="166">
        <v>22.74</v>
      </c>
      <c r="O530" t="s">
        <v>131</v>
      </c>
    </row>
    <row r="531" spans="1:15">
      <c r="A531" s="166" t="s">
        <v>5654</v>
      </c>
      <c r="B531" t="s">
        <v>111</v>
      </c>
      <c r="C531" t="s">
        <v>136</v>
      </c>
      <c r="D531" t="s">
        <v>116</v>
      </c>
      <c r="E531" t="s">
        <v>418</v>
      </c>
      <c r="F531" t="s">
        <v>7</v>
      </c>
      <c r="G531" t="s">
        <v>130</v>
      </c>
      <c r="H531" s="1">
        <v>46125</v>
      </c>
      <c r="I531" t="s">
        <v>5655</v>
      </c>
      <c r="J531" t="s">
        <v>5656</v>
      </c>
      <c r="K531" t="s">
        <v>1377</v>
      </c>
      <c r="L531" t="s">
        <v>149</v>
      </c>
      <c r="M531" t="s">
        <v>3484</v>
      </c>
      <c r="N531" s="166">
        <v>19.98</v>
      </c>
      <c r="O531" t="s">
        <v>131</v>
      </c>
    </row>
    <row r="532" spans="1:15">
      <c r="A532" s="166" t="s">
        <v>5657</v>
      </c>
      <c r="B532" t="s">
        <v>111</v>
      </c>
      <c r="C532" t="s">
        <v>135</v>
      </c>
      <c r="D532" t="s">
        <v>116</v>
      </c>
      <c r="E532" t="s">
        <v>418</v>
      </c>
      <c r="F532" t="s">
        <v>7</v>
      </c>
      <c r="G532" t="s">
        <v>130</v>
      </c>
      <c r="H532" s="1">
        <v>46125</v>
      </c>
      <c r="I532" t="s">
        <v>5658</v>
      </c>
      <c r="J532" t="s">
        <v>5659</v>
      </c>
      <c r="K532" t="s">
        <v>4284</v>
      </c>
      <c r="L532" t="s">
        <v>492</v>
      </c>
      <c r="M532" t="s">
        <v>2095</v>
      </c>
      <c r="N532" s="166">
        <v>16.04</v>
      </c>
      <c r="O532" t="s">
        <v>131</v>
      </c>
    </row>
    <row r="533" spans="1:15">
      <c r="A533" s="166" t="s">
        <v>5660</v>
      </c>
      <c r="B533" t="s">
        <v>111</v>
      </c>
      <c r="C533" t="s">
        <v>133</v>
      </c>
      <c r="D533" t="s">
        <v>116</v>
      </c>
      <c r="E533" t="s">
        <v>418</v>
      </c>
      <c r="F533" t="s">
        <v>7</v>
      </c>
      <c r="G533" t="s">
        <v>130</v>
      </c>
      <c r="H533" s="1">
        <v>46125</v>
      </c>
      <c r="I533" t="s">
        <v>5661</v>
      </c>
      <c r="J533" t="s">
        <v>5662</v>
      </c>
      <c r="K533" t="s">
        <v>3371</v>
      </c>
      <c r="L533" t="s">
        <v>1280</v>
      </c>
      <c r="M533" t="s">
        <v>2019</v>
      </c>
      <c r="N533" s="166">
        <v>17.12</v>
      </c>
      <c r="O533" t="s">
        <v>131</v>
      </c>
    </row>
    <row r="534" spans="1:15">
      <c r="A534" s="166" t="s">
        <v>4436</v>
      </c>
      <c r="B534" t="s">
        <v>111</v>
      </c>
      <c r="C534" t="s">
        <v>135</v>
      </c>
      <c r="D534" t="s">
        <v>116</v>
      </c>
      <c r="E534" t="s">
        <v>418</v>
      </c>
      <c r="F534" t="s">
        <v>7</v>
      </c>
      <c r="G534" t="s">
        <v>130</v>
      </c>
      <c r="H534" s="1">
        <v>46125</v>
      </c>
      <c r="I534" t="s">
        <v>5663</v>
      </c>
      <c r="J534" t="s">
        <v>5664</v>
      </c>
      <c r="K534" t="s">
        <v>1358</v>
      </c>
      <c r="L534" t="s">
        <v>148</v>
      </c>
      <c r="M534" t="s">
        <v>837</v>
      </c>
      <c r="N534" s="166">
        <v>18.14</v>
      </c>
      <c r="O534" t="s">
        <v>131</v>
      </c>
    </row>
    <row r="535" spans="1:15">
      <c r="A535" s="166" t="s">
        <v>5665</v>
      </c>
      <c r="B535" t="s">
        <v>111</v>
      </c>
      <c r="C535" t="s">
        <v>136</v>
      </c>
      <c r="D535" t="s">
        <v>116</v>
      </c>
      <c r="E535" t="s">
        <v>418</v>
      </c>
      <c r="F535" t="s">
        <v>7</v>
      </c>
      <c r="G535" t="s">
        <v>130</v>
      </c>
      <c r="H535" s="1">
        <v>46125</v>
      </c>
      <c r="I535" t="s">
        <v>5666</v>
      </c>
      <c r="J535" t="s">
        <v>5667</v>
      </c>
      <c r="K535" t="s">
        <v>5668</v>
      </c>
      <c r="L535" t="s">
        <v>144</v>
      </c>
      <c r="M535" t="s">
        <v>3395</v>
      </c>
      <c r="N535" s="166">
        <v>18.420000000000002</v>
      </c>
      <c r="O535" t="s">
        <v>131</v>
      </c>
    </row>
    <row r="536" spans="1:15">
      <c r="A536" s="166" t="s">
        <v>5669</v>
      </c>
      <c r="B536" t="s">
        <v>111</v>
      </c>
      <c r="C536" t="s">
        <v>133</v>
      </c>
      <c r="D536" t="s">
        <v>116</v>
      </c>
      <c r="E536" t="s">
        <v>418</v>
      </c>
      <c r="F536" t="s">
        <v>7</v>
      </c>
      <c r="G536" t="s">
        <v>130</v>
      </c>
      <c r="H536" s="1">
        <v>46125</v>
      </c>
      <c r="I536" t="s">
        <v>5670</v>
      </c>
      <c r="J536" t="s">
        <v>5671</v>
      </c>
      <c r="K536" t="s">
        <v>5672</v>
      </c>
      <c r="L536" t="s">
        <v>3635</v>
      </c>
      <c r="M536" t="s">
        <v>503</v>
      </c>
      <c r="N536" s="166">
        <v>14.86</v>
      </c>
      <c r="O536" t="s">
        <v>131</v>
      </c>
    </row>
    <row r="537" spans="1:15">
      <c r="A537" s="166" t="s">
        <v>5673</v>
      </c>
      <c r="B537" t="s">
        <v>111</v>
      </c>
      <c r="C537" t="s">
        <v>135</v>
      </c>
      <c r="D537" t="s">
        <v>116</v>
      </c>
      <c r="E537" t="s">
        <v>418</v>
      </c>
      <c r="F537" t="s">
        <v>7</v>
      </c>
      <c r="G537" t="s">
        <v>130</v>
      </c>
      <c r="H537" s="1">
        <v>46125</v>
      </c>
      <c r="I537" t="s">
        <v>5674</v>
      </c>
      <c r="J537" t="s">
        <v>5675</v>
      </c>
      <c r="K537" t="s">
        <v>960</v>
      </c>
      <c r="L537" t="s">
        <v>1503</v>
      </c>
      <c r="M537" t="s">
        <v>2544</v>
      </c>
      <c r="N537" s="166">
        <v>17.2</v>
      </c>
      <c r="O537" t="s">
        <v>131</v>
      </c>
    </row>
    <row r="538" spans="1:15">
      <c r="A538" s="166" t="s">
        <v>5676</v>
      </c>
      <c r="B538" t="s">
        <v>111</v>
      </c>
      <c r="C538" t="s">
        <v>136</v>
      </c>
      <c r="D538" t="s">
        <v>116</v>
      </c>
      <c r="E538" t="s">
        <v>418</v>
      </c>
      <c r="F538" t="s">
        <v>7</v>
      </c>
      <c r="G538" t="s">
        <v>130</v>
      </c>
      <c r="H538" s="1">
        <v>46125</v>
      </c>
      <c r="I538" t="s">
        <v>5677</v>
      </c>
      <c r="J538" t="s">
        <v>5678</v>
      </c>
      <c r="K538" t="s">
        <v>1285</v>
      </c>
      <c r="L538" t="s">
        <v>193</v>
      </c>
      <c r="M538" t="s">
        <v>1127</v>
      </c>
      <c r="N538" s="166">
        <v>19.920000000000002</v>
      </c>
      <c r="O538" t="s">
        <v>131</v>
      </c>
    </row>
    <row r="539" spans="1:15">
      <c r="A539" s="166" t="s">
        <v>5679</v>
      </c>
      <c r="B539" t="s">
        <v>111</v>
      </c>
      <c r="C539" t="s">
        <v>133</v>
      </c>
      <c r="D539" t="s">
        <v>116</v>
      </c>
      <c r="E539" t="s">
        <v>418</v>
      </c>
      <c r="F539" t="s">
        <v>7</v>
      </c>
      <c r="G539" t="s">
        <v>130</v>
      </c>
      <c r="H539" s="1">
        <v>46125</v>
      </c>
      <c r="I539" t="s">
        <v>5680</v>
      </c>
      <c r="J539" t="s">
        <v>5681</v>
      </c>
      <c r="K539" t="s">
        <v>1085</v>
      </c>
      <c r="L539" t="s">
        <v>1934</v>
      </c>
      <c r="M539" t="s">
        <v>154</v>
      </c>
      <c r="N539" s="166">
        <v>14.84</v>
      </c>
      <c r="O539" t="s">
        <v>131</v>
      </c>
    </row>
    <row r="540" spans="1:15">
      <c r="A540" s="166" t="s">
        <v>5682</v>
      </c>
      <c r="B540" t="s">
        <v>111</v>
      </c>
      <c r="C540" t="s">
        <v>135</v>
      </c>
      <c r="D540" t="s">
        <v>116</v>
      </c>
      <c r="E540" t="s">
        <v>418</v>
      </c>
      <c r="F540" t="s">
        <v>7</v>
      </c>
      <c r="G540" t="s">
        <v>130</v>
      </c>
      <c r="H540" s="1">
        <v>46125</v>
      </c>
      <c r="I540" t="s">
        <v>5683</v>
      </c>
      <c r="J540" t="s">
        <v>5684</v>
      </c>
      <c r="K540" t="s">
        <v>1987</v>
      </c>
      <c r="L540" t="s">
        <v>3032</v>
      </c>
      <c r="M540" t="s">
        <v>2046</v>
      </c>
      <c r="N540" s="166">
        <v>19.16</v>
      </c>
      <c r="O540" t="s">
        <v>131</v>
      </c>
    </row>
    <row r="541" spans="1:15">
      <c r="A541" s="166" t="s">
        <v>5685</v>
      </c>
      <c r="B541" t="s">
        <v>111</v>
      </c>
      <c r="C541" t="s">
        <v>136</v>
      </c>
      <c r="D541" t="s">
        <v>116</v>
      </c>
      <c r="E541" t="s">
        <v>418</v>
      </c>
      <c r="F541" t="s">
        <v>7</v>
      </c>
      <c r="G541" t="s">
        <v>130</v>
      </c>
      <c r="H541" s="1">
        <v>46125</v>
      </c>
      <c r="I541" t="s">
        <v>5686</v>
      </c>
      <c r="J541" t="s">
        <v>5687</v>
      </c>
      <c r="K541" t="s">
        <v>488</v>
      </c>
      <c r="L541" t="s">
        <v>974</v>
      </c>
      <c r="M541" t="s">
        <v>147</v>
      </c>
      <c r="N541" s="166">
        <v>16.84</v>
      </c>
      <c r="O541" t="s">
        <v>131</v>
      </c>
    </row>
    <row r="542" spans="1:15">
      <c r="A542" s="166" t="s">
        <v>5688</v>
      </c>
      <c r="B542" t="s">
        <v>111</v>
      </c>
      <c r="C542" t="s">
        <v>133</v>
      </c>
      <c r="D542" t="s">
        <v>116</v>
      </c>
      <c r="E542" t="s">
        <v>418</v>
      </c>
      <c r="F542" t="s">
        <v>7</v>
      </c>
      <c r="G542" t="s">
        <v>130</v>
      </c>
      <c r="H542" s="1">
        <v>46125</v>
      </c>
      <c r="I542" t="s">
        <v>5689</v>
      </c>
      <c r="J542" t="s">
        <v>5690</v>
      </c>
      <c r="K542" t="s">
        <v>178</v>
      </c>
      <c r="L542" t="s">
        <v>149</v>
      </c>
      <c r="M542" t="s">
        <v>1127</v>
      </c>
      <c r="N542" s="166">
        <v>19.920000000000002</v>
      </c>
      <c r="O542" t="s">
        <v>131</v>
      </c>
    </row>
    <row r="543" spans="1:15">
      <c r="A543" s="166" t="s">
        <v>5691</v>
      </c>
      <c r="B543" t="s">
        <v>111</v>
      </c>
      <c r="C543" t="s">
        <v>135</v>
      </c>
      <c r="D543" t="s">
        <v>116</v>
      </c>
      <c r="E543" t="s">
        <v>418</v>
      </c>
      <c r="F543" t="s">
        <v>7</v>
      </c>
      <c r="G543" t="s">
        <v>130</v>
      </c>
      <c r="H543" s="1">
        <v>46125</v>
      </c>
      <c r="I543" t="s">
        <v>5692</v>
      </c>
      <c r="J543" t="s">
        <v>5693</v>
      </c>
      <c r="K543" t="s">
        <v>5694</v>
      </c>
      <c r="L543" t="s">
        <v>645</v>
      </c>
      <c r="M543" t="s">
        <v>2004</v>
      </c>
      <c r="N543" s="166">
        <v>15.98</v>
      </c>
      <c r="O543" t="s">
        <v>131</v>
      </c>
    </row>
    <row r="544" spans="1:15">
      <c r="A544" s="166" t="s">
        <v>5695</v>
      </c>
      <c r="B544" t="s">
        <v>111</v>
      </c>
      <c r="C544" t="s">
        <v>136</v>
      </c>
      <c r="D544" t="s">
        <v>116</v>
      </c>
      <c r="E544" t="s">
        <v>418</v>
      </c>
      <c r="F544" t="s">
        <v>7</v>
      </c>
      <c r="G544" t="s">
        <v>130</v>
      </c>
      <c r="H544" s="1">
        <v>46125</v>
      </c>
      <c r="I544" t="s">
        <v>5696</v>
      </c>
      <c r="J544" t="s">
        <v>5697</v>
      </c>
      <c r="K544" t="s">
        <v>1126</v>
      </c>
      <c r="L544" t="s">
        <v>193</v>
      </c>
      <c r="M544" t="s">
        <v>5610</v>
      </c>
      <c r="N544" s="166">
        <v>19.239999999999998</v>
      </c>
      <c r="O544" t="s">
        <v>131</v>
      </c>
    </row>
    <row r="545" spans="1:15">
      <c r="A545" s="166" t="s">
        <v>5698</v>
      </c>
      <c r="B545" t="s">
        <v>111</v>
      </c>
      <c r="C545" t="s">
        <v>133</v>
      </c>
      <c r="D545" t="s">
        <v>116</v>
      </c>
      <c r="E545" t="s">
        <v>418</v>
      </c>
      <c r="F545" t="s">
        <v>7</v>
      </c>
      <c r="G545" t="s">
        <v>130</v>
      </c>
      <c r="H545" s="1">
        <v>46125</v>
      </c>
      <c r="I545" t="s">
        <v>5699</v>
      </c>
      <c r="J545" t="s">
        <v>5700</v>
      </c>
      <c r="K545" t="s">
        <v>1327</v>
      </c>
      <c r="L545" t="s">
        <v>786</v>
      </c>
      <c r="M545" t="s">
        <v>1394</v>
      </c>
      <c r="N545" s="166">
        <v>18.96</v>
      </c>
      <c r="O545" t="s">
        <v>131</v>
      </c>
    </row>
    <row r="546" spans="1:15">
      <c r="A546" s="166" t="s">
        <v>5701</v>
      </c>
      <c r="B546" t="s">
        <v>111</v>
      </c>
      <c r="C546" t="s">
        <v>135</v>
      </c>
      <c r="D546" t="s">
        <v>116</v>
      </c>
      <c r="E546" t="s">
        <v>418</v>
      </c>
      <c r="F546" t="s">
        <v>7</v>
      </c>
      <c r="G546" t="s">
        <v>130</v>
      </c>
      <c r="H546" s="1">
        <v>46125</v>
      </c>
      <c r="I546" t="s">
        <v>5702</v>
      </c>
      <c r="J546" t="s">
        <v>5703</v>
      </c>
      <c r="K546" t="s">
        <v>1377</v>
      </c>
      <c r="L546" t="s">
        <v>3032</v>
      </c>
      <c r="M546" t="s">
        <v>444</v>
      </c>
      <c r="N546" s="166">
        <v>20.079999999999998</v>
      </c>
      <c r="O546" t="s">
        <v>131</v>
      </c>
    </row>
    <row r="547" spans="1:15">
      <c r="A547" s="166" t="s">
        <v>5704</v>
      </c>
      <c r="B547" t="s">
        <v>111</v>
      </c>
      <c r="C547" t="s">
        <v>136</v>
      </c>
      <c r="D547" t="s">
        <v>116</v>
      </c>
      <c r="E547" t="s">
        <v>418</v>
      </c>
      <c r="F547" t="s">
        <v>7</v>
      </c>
      <c r="G547" t="s">
        <v>130</v>
      </c>
      <c r="H547" s="1">
        <v>46125</v>
      </c>
      <c r="I547" t="s">
        <v>5705</v>
      </c>
      <c r="J547" t="s">
        <v>5706</v>
      </c>
      <c r="K547" t="s">
        <v>5707</v>
      </c>
      <c r="L547" t="s">
        <v>162</v>
      </c>
      <c r="M547" t="s">
        <v>601</v>
      </c>
      <c r="N547" s="166">
        <v>21.46</v>
      </c>
      <c r="O547" t="s">
        <v>131</v>
      </c>
    </row>
    <row r="548" spans="1:15">
      <c r="A548" s="166" t="s">
        <v>5708</v>
      </c>
      <c r="B548" t="s">
        <v>111</v>
      </c>
      <c r="C548" t="s">
        <v>133</v>
      </c>
      <c r="D548" t="s">
        <v>116</v>
      </c>
      <c r="E548" t="s">
        <v>418</v>
      </c>
      <c r="F548" t="s">
        <v>7</v>
      </c>
      <c r="G548" t="s">
        <v>130</v>
      </c>
      <c r="H548" s="1">
        <v>46125</v>
      </c>
      <c r="I548" t="s">
        <v>5709</v>
      </c>
      <c r="J548" t="s">
        <v>5710</v>
      </c>
      <c r="K548" t="s">
        <v>1314</v>
      </c>
      <c r="L548" t="s">
        <v>714</v>
      </c>
      <c r="M548" t="s">
        <v>3395</v>
      </c>
      <c r="N548" s="166">
        <v>18.420000000000002</v>
      </c>
      <c r="O548" t="s">
        <v>131</v>
      </c>
    </row>
    <row r="549" spans="1:15">
      <c r="A549" s="166" t="s">
        <v>5711</v>
      </c>
      <c r="B549" t="s">
        <v>111</v>
      </c>
      <c r="C549" t="s">
        <v>135</v>
      </c>
      <c r="D549" t="s">
        <v>116</v>
      </c>
      <c r="E549" t="s">
        <v>418</v>
      </c>
      <c r="F549" t="s">
        <v>7</v>
      </c>
      <c r="G549" t="s">
        <v>130</v>
      </c>
      <c r="H549" s="1">
        <v>46125</v>
      </c>
      <c r="I549" t="s">
        <v>5712</v>
      </c>
      <c r="J549" t="s">
        <v>5713</v>
      </c>
      <c r="K549" t="s">
        <v>5209</v>
      </c>
      <c r="L549" t="s">
        <v>3032</v>
      </c>
      <c r="M549" t="s">
        <v>2560</v>
      </c>
      <c r="N549" s="166">
        <v>20.6</v>
      </c>
      <c r="O549" t="s">
        <v>131</v>
      </c>
    </row>
    <row r="550" spans="1:15">
      <c r="A550" s="166" t="s">
        <v>5714</v>
      </c>
      <c r="B550" t="s">
        <v>111</v>
      </c>
      <c r="C550" t="s">
        <v>136</v>
      </c>
      <c r="D550" t="s">
        <v>116</v>
      </c>
      <c r="E550" t="s">
        <v>418</v>
      </c>
      <c r="F550" t="s">
        <v>7</v>
      </c>
      <c r="G550" t="s">
        <v>130</v>
      </c>
      <c r="H550" s="1">
        <v>46125</v>
      </c>
      <c r="I550" t="s">
        <v>5715</v>
      </c>
      <c r="J550" t="s">
        <v>5716</v>
      </c>
      <c r="K550" t="s">
        <v>1377</v>
      </c>
      <c r="L550" t="s">
        <v>974</v>
      </c>
      <c r="M550" t="s">
        <v>1233</v>
      </c>
      <c r="N550" s="166">
        <v>19.86</v>
      </c>
      <c r="O550" t="s">
        <v>131</v>
      </c>
    </row>
    <row r="551" spans="1:15">
      <c r="A551" s="166" t="s">
        <v>5717</v>
      </c>
      <c r="B551" t="s">
        <v>111</v>
      </c>
      <c r="C551" t="s">
        <v>133</v>
      </c>
      <c r="D551" t="s">
        <v>116</v>
      </c>
      <c r="E551" t="s">
        <v>418</v>
      </c>
      <c r="F551" t="s">
        <v>7</v>
      </c>
      <c r="G551" t="s">
        <v>130</v>
      </c>
      <c r="H551" s="1">
        <v>46125</v>
      </c>
      <c r="I551" t="s">
        <v>5718</v>
      </c>
      <c r="J551" t="s">
        <v>5719</v>
      </c>
      <c r="K551" t="s">
        <v>573</v>
      </c>
      <c r="L551" t="s">
        <v>801</v>
      </c>
      <c r="M551" t="s">
        <v>422</v>
      </c>
      <c r="N551" s="166">
        <v>20.420000000000002</v>
      </c>
      <c r="O551" t="s">
        <v>131</v>
      </c>
    </row>
    <row r="552" spans="1:15">
      <c r="A552" s="166" t="s">
        <v>5720</v>
      </c>
      <c r="B552" t="s">
        <v>111</v>
      </c>
      <c r="C552" t="s">
        <v>135</v>
      </c>
      <c r="D552" t="s">
        <v>116</v>
      </c>
      <c r="E552" t="s">
        <v>418</v>
      </c>
      <c r="F552" t="s">
        <v>7</v>
      </c>
      <c r="G552" t="s">
        <v>130</v>
      </c>
      <c r="H552" s="1">
        <v>46125</v>
      </c>
      <c r="I552" t="s">
        <v>5721</v>
      </c>
      <c r="J552" t="s">
        <v>5722</v>
      </c>
      <c r="K552" t="s">
        <v>1705</v>
      </c>
      <c r="L552" t="s">
        <v>1072</v>
      </c>
      <c r="M552" t="s">
        <v>1237</v>
      </c>
      <c r="N552" s="166">
        <v>20.059999999999999</v>
      </c>
      <c r="O552" t="s">
        <v>131</v>
      </c>
    </row>
    <row r="553" spans="1:15">
      <c r="A553" s="166" t="s">
        <v>5723</v>
      </c>
      <c r="B553" t="s">
        <v>111</v>
      </c>
      <c r="C553" t="s">
        <v>136</v>
      </c>
      <c r="D553" t="s">
        <v>118</v>
      </c>
      <c r="E553" t="s">
        <v>139</v>
      </c>
      <c r="F553" t="s">
        <v>7</v>
      </c>
      <c r="G553" t="s">
        <v>130</v>
      </c>
      <c r="H553" s="1">
        <v>46125</v>
      </c>
      <c r="I553" t="s">
        <v>5724</v>
      </c>
      <c r="J553" t="s">
        <v>5725</v>
      </c>
      <c r="K553" t="s">
        <v>1976</v>
      </c>
      <c r="L553" t="s">
        <v>786</v>
      </c>
      <c r="M553" t="s">
        <v>1907</v>
      </c>
      <c r="N553" s="166">
        <v>19.66</v>
      </c>
      <c r="O553" t="s">
        <v>131</v>
      </c>
    </row>
    <row r="554" spans="1:15">
      <c r="A554" s="166" t="s">
        <v>2527</v>
      </c>
      <c r="B554" t="s">
        <v>111</v>
      </c>
      <c r="C554" t="s">
        <v>135</v>
      </c>
      <c r="D554" t="s">
        <v>118</v>
      </c>
      <c r="E554" t="s">
        <v>139</v>
      </c>
      <c r="F554" t="s">
        <v>7</v>
      </c>
      <c r="G554" t="s">
        <v>130</v>
      </c>
      <c r="H554" s="1">
        <v>46125</v>
      </c>
      <c r="I554" t="s">
        <v>5726</v>
      </c>
      <c r="J554" t="s">
        <v>5727</v>
      </c>
      <c r="K554" t="s">
        <v>632</v>
      </c>
      <c r="L554" t="s">
        <v>622</v>
      </c>
      <c r="M554" t="s">
        <v>3174</v>
      </c>
      <c r="N554" s="166">
        <v>20.7</v>
      </c>
      <c r="O554" t="s">
        <v>131</v>
      </c>
    </row>
    <row r="555" spans="1:15">
      <c r="A555" s="166" t="s">
        <v>5728</v>
      </c>
      <c r="B555" t="s">
        <v>111</v>
      </c>
      <c r="C555" t="s">
        <v>133</v>
      </c>
      <c r="D555" t="s">
        <v>118</v>
      </c>
      <c r="E555" t="s">
        <v>139</v>
      </c>
      <c r="F555" t="s">
        <v>7</v>
      </c>
      <c r="G555" t="s">
        <v>130</v>
      </c>
      <c r="H555" s="1">
        <v>46125</v>
      </c>
      <c r="I555" t="s">
        <v>5729</v>
      </c>
      <c r="J555" t="s">
        <v>5730</v>
      </c>
      <c r="K555" t="s">
        <v>1274</v>
      </c>
      <c r="L555" t="s">
        <v>2272</v>
      </c>
      <c r="M555" t="s">
        <v>2450</v>
      </c>
      <c r="N555" s="166">
        <v>17.64</v>
      </c>
      <c r="O555" t="s">
        <v>131</v>
      </c>
    </row>
    <row r="556" spans="1:15">
      <c r="A556" s="166" t="s">
        <v>5731</v>
      </c>
      <c r="B556" t="s">
        <v>111</v>
      </c>
      <c r="C556" t="s">
        <v>136</v>
      </c>
      <c r="D556" t="s">
        <v>116</v>
      </c>
      <c r="E556" t="s">
        <v>418</v>
      </c>
      <c r="F556" t="s">
        <v>7</v>
      </c>
      <c r="G556" t="s">
        <v>130</v>
      </c>
      <c r="H556" s="1">
        <v>46125</v>
      </c>
      <c r="I556" t="s">
        <v>5732</v>
      </c>
      <c r="J556" t="s">
        <v>5733</v>
      </c>
      <c r="K556" t="s">
        <v>1606</v>
      </c>
      <c r="L556" t="s">
        <v>1076</v>
      </c>
      <c r="M556" t="s">
        <v>1244</v>
      </c>
      <c r="N556" s="166">
        <v>21.8</v>
      </c>
      <c r="O556" t="s">
        <v>131</v>
      </c>
    </row>
    <row r="557" spans="1:15">
      <c r="A557" s="166" t="s">
        <v>5734</v>
      </c>
      <c r="B557" t="s">
        <v>111</v>
      </c>
      <c r="C557" t="s">
        <v>134</v>
      </c>
      <c r="D557" t="s">
        <v>118</v>
      </c>
      <c r="E557" t="s">
        <v>139</v>
      </c>
      <c r="F557" t="s">
        <v>7</v>
      </c>
      <c r="G557" t="s">
        <v>130</v>
      </c>
      <c r="H557" s="1">
        <v>46125</v>
      </c>
      <c r="I557" t="s">
        <v>5735</v>
      </c>
      <c r="J557" t="s">
        <v>5736</v>
      </c>
      <c r="K557" t="s">
        <v>4103</v>
      </c>
      <c r="L557" t="s">
        <v>165</v>
      </c>
      <c r="M557" t="s">
        <v>1189</v>
      </c>
      <c r="N557" s="166">
        <v>23.48</v>
      </c>
      <c r="O557" t="s">
        <v>131</v>
      </c>
    </row>
    <row r="558" spans="1:15">
      <c r="A558" s="166" t="s">
        <v>5737</v>
      </c>
      <c r="B558" t="s">
        <v>111</v>
      </c>
      <c r="C558" t="s">
        <v>133</v>
      </c>
      <c r="D558" t="s">
        <v>116</v>
      </c>
      <c r="E558" t="s">
        <v>418</v>
      </c>
      <c r="F558" t="s">
        <v>7</v>
      </c>
      <c r="G558" t="s">
        <v>130</v>
      </c>
      <c r="H558" s="1">
        <v>46125</v>
      </c>
      <c r="I558" t="s">
        <v>5738</v>
      </c>
      <c r="J558" t="s">
        <v>5739</v>
      </c>
      <c r="K558" t="s">
        <v>1100</v>
      </c>
      <c r="L558" t="s">
        <v>1493</v>
      </c>
      <c r="M558" t="s">
        <v>1988</v>
      </c>
      <c r="N558" s="166">
        <v>19.600000000000001</v>
      </c>
      <c r="O558" t="s">
        <v>131</v>
      </c>
    </row>
    <row r="559" spans="1:15">
      <c r="A559" s="166" t="s">
        <v>5740</v>
      </c>
      <c r="B559" t="s">
        <v>111</v>
      </c>
      <c r="C559" t="s">
        <v>135</v>
      </c>
      <c r="D559" t="s">
        <v>116</v>
      </c>
      <c r="E559" t="s">
        <v>418</v>
      </c>
      <c r="F559" t="s">
        <v>7</v>
      </c>
      <c r="G559" t="s">
        <v>130</v>
      </c>
      <c r="H559" s="1">
        <v>46125</v>
      </c>
      <c r="I559" t="s">
        <v>5741</v>
      </c>
      <c r="J559" t="s">
        <v>5742</v>
      </c>
      <c r="K559" t="s">
        <v>4645</v>
      </c>
      <c r="L559" t="s">
        <v>777</v>
      </c>
      <c r="M559" t="s">
        <v>601</v>
      </c>
      <c r="N559" s="166">
        <v>21.46</v>
      </c>
      <c r="O559" t="s">
        <v>131</v>
      </c>
    </row>
    <row r="560" spans="1:15">
      <c r="A560" s="166" t="s">
        <v>5743</v>
      </c>
      <c r="B560" t="s">
        <v>111</v>
      </c>
      <c r="C560" t="s">
        <v>136</v>
      </c>
      <c r="D560" t="s">
        <v>116</v>
      </c>
      <c r="E560" t="s">
        <v>418</v>
      </c>
      <c r="F560" t="s">
        <v>7</v>
      </c>
      <c r="G560" t="s">
        <v>130</v>
      </c>
      <c r="H560" s="1">
        <v>46125</v>
      </c>
      <c r="I560" t="s">
        <v>5744</v>
      </c>
      <c r="J560" t="s">
        <v>5745</v>
      </c>
      <c r="K560" t="s">
        <v>5746</v>
      </c>
      <c r="L560" t="s">
        <v>761</v>
      </c>
      <c r="M560" t="s">
        <v>4096</v>
      </c>
      <c r="N560" s="166">
        <v>25.3</v>
      </c>
      <c r="O560" t="s">
        <v>131</v>
      </c>
    </row>
    <row r="561" spans="1:15">
      <c r="A561" s="166" t="s">
        <v>5747</v>
      </c>
      <c r="B561" t="s">
        <v>111</v>
      </c>
      <c r="C561" t="s">
        <v>134</v>
      </c>
      <c r="D561" t="s">
        <v>118</v>
      </c>
      <c r="E561" t="s">
        <v>139</v>
      </c>
      <c r="F561" t="s">
        <v>7</v>
      </c>
      <c r="G561" t="s">
        <v>130</v>
      </c>
      <c r="H561" s="1">
        <v>46125</v>
      </c>
      <c r="I561" t="s">
        <v>5748</v>
      </c>
      <c r="J561" t="s">
        <v>5749</v>
      </c>
      <c r="K561" t="s">
        <v>627</v>
      </c>
      <c r="L561" t="s">
        <v>203</v>
      </c>
      <c r="M561" t="s">
        <v>579</v>
      </c>
      <c r="N561" s="166">
        <v>21.22</v>
      </c>
      <c r="O561" t="s">
        <v>131</v>
      </c>
    </row>
    <row r="562" spans="1:15">
      <c r="A562" s="166" t="s">
        <v>5750</v>
      </c>
      <c r="B562" t="s">
        <v>111</v>
      </c>
      <c r="C562" t="s">
        <v>136</v>
      </c>
      <c r="D562" t="s">
        <v>116</v>
      </c>
      <c r="E562" t="s">
        <v>418</v>
      </c>
      <c r="F562" t="s">
        <v>7</v>
      </c>
      <c r="G562" t="s">
        <v>130</v>
      </c>
      <c r="H562" s="1">
        <v>46125</v>
      </c>
      <c r="I562" t="s">
        <v>5751</v>
      </c>
      <c r="J562" t="s">
        <v>5752</v>
      </c>
      <c r="K562" t="s">
        <v>545</v>
      </c>
      <c r="L562" t="s">
        <v>777</v>
      </c>
      <c r="M562" t="s">
        <v>5753</v>
      </c>
      <c r="N562" s="166">
        <v>21.58</v>
      </c>
      <c r="O562" t="s">
        <v>131</v>
      </c>
    </row>
    <row r="563" spans="1:15">
      <c r="A563" s="166" t="s">
        <v>5754</v>
      </c>
      <c r="B563" t="s">
        <v>111</v>
      </c>
      <c r="C563" t="s">
        <v>134</v>
      </c>
      <c r="D563" t="s">
        <v>118</v>
      </c>
      <c r="E563" t="s">
        <v>139</v>
      </c>
      <c r="F563" t="s">
        <v>7</v>
      </c>
      <c r="G563" t="s">
        <v>130</v>
      </c>
      <c r="H563" s="1">
        <v>46125</v>
      </c>
      <c r="I563" t="s">
        <v>5755</v>
      </c>
      <c r="J563" t="s">
        <v>5756</v>
      </c>
      <c r="K563" t="s">
        <v>150</v>
      </c>
      <c r="L563" t="s">
        <v>146</v>
      </c>
      <c r="M563" t="s">
        <v>211</v>
      </c>
      <c r="N563" s="166">
        <v>21.32</v>
      </c>
      <c r="O563" t="s">
        <v>131</v>
      </c>
    </row>
    <row r="564" spans="1:15">
      <c r="A564" s="166" t="s">
        <v>5757</v>
      </c>
      <c r="B564" t="s">
        <v>111</v>
      </c>
      <c r="C564" t="s">
        <v>133</v>
      </c>
      <c r="D564" t="s">
        <v>116</v>
      </c>
      <c r="E564" t="s">
        <v>418</v>
      </c>
      <c r="F564" t="s">
        <v>7</v>
      </c>
      <c r="G564" t="s">
        <v>130</v>
      </c>
      <c r="H564" s="1">
        <v>46125</v>
      </c>
      <c r="I564" t="s">
        <v>5758</v>
      </c>
      <c r="J564" t="s">
        <v>5759</v>
      </c>
      <c r="K564" t="s">
        <v>4628</v>
      </c>
      <c r="L564" t="s">
        <v>672</v>
      </c>
      <c r="M564" t="s">
        <v>2891</v>
      </c>
      <c r="N564" s="166">
        <v>25.9</v>
      </c>
      <c r="O564" t="s">
        <v>131</v>
      </c>
    </row>
    <row r="565" spans="1:15">
      <c r="A565" s="166" t="s">
        <v>5760</v>
      </c>
      <c r="B565" t="s">
        <v>111</v>
      </c>
      <c r="C565" t="s">
        <v>135</v>
      </c>
      <c r="D565" t="s">
        <v>116</v>
      </c>
      <c r="E565" t="s">
        <v>418</v>
      </c>
      <c r="F565" t="s">
        <v>7</v>
      </c>
      <c r="G565" t="s">
        <v>130</v>
      </c>
      <c r="H565" s="1">
        <v>46125</v>
      </c>
      <c r="I565" t="s">
        <v>5761</v>
      </c>
      <c r="J565" t="s">
        <v>5762</v>
      </c>
      <c r="K565" t="s">
        <v>1727</v>
      </c>
      <c r="L565" t="s">
        <v>714</v>
      </c>
      <c r="M565" t="s">
        <v>3666</v>
      </c>
      <c r="N565" s="166">
        <v>24.12</v>
      </c>
      <c r="O565" t="s">
        <v>131</v>
      </c>
    </row>
    <row r="566" spans="1:15">
      <c r="A566" s="166" t="s">
        <v>5763</v>
      </c>
      <c r="B566" t="s">
        <v>111</v>
      </c>
      <c r="C566" t="s">
        <v>136</v>
      </c>
      <c r="D566" t="s">
        <v>116</v>
      </c>
      <c r="E566" t="s">
        <v>418</v>
      </c>
      <c r="F566" t="s">
        <v>7</v>
      </c>
      <c r="G566" t="s">
        <v>130</v>
      </c>
      <c r="H566" s="1">
        <v>46125</v>
      </c>
      <c r="I566" t="s">
        <v>5764</v>
      </c>
      <c r="J566" t="s">
        <v>5765</v>
      </c>
      <c r="K566" t="s">
        <v>2937</v>
      </c>
      <c r="L566" t="s">
        <v>616</v>
      </c>
      <c r="M566" t="s">
        <v>5766</v>
      </c>
      <c r="N566" s="166">
        <v>25.42</v>
      </c>
      <c r="O566" t="s">
        <v>131</v>
      </c>
    </row>
    <row r="567" spans="1:15">
      <c r="A567" s="166" t="s">
        <v>5767</v>
      </c>
      <c r="B567" t="s">
        <v>111</v>
      </c>
      <c r="C567" t="s">
        <v>406</v>
      </c>
      <c r="D567" t="s">
        <v>118</v>
      </c>
      <c r="E567" t="s">
        <v>139</v>
      </c>
      <c r="F567" t="s">
        <v>7</v>
      </c>
      <c r="G567" t="s">
        <v>130</v>
      </c>
      <c r="H567" s="1">
        <v>46125</v>
      </c>
      <c r="I567" t="s">
        <v>5768</v>
      </c>
      <c r="J567" t="s">
        <v>5769</v>
      </c>
      <c r="K567" t="s">
        <v>2478</v>
      </c>
      <c r="L567" t="s">
        <v>149</v>
      </c>
      <c r="M567" t="s">
        <v>2158</v>
      </c>
      <c r="N567" s="166">
        <v>20.94</v>
      </c>
      <c r="O567" t="s">
        <v>131</v>
      </c>
    </row>
    <row r="568" spans="1:15">
      <c r="A568" s="166" t="s">
        <v>5770</v>
      </c>
      <c r="B568" t="s">
        <v>111</v>
      </c>
      <c r="C568" t="s">
        <v>134</v>
      </c>
      <c r="D568" t="s">
        <v>118</v>
      </c>
      <c r="E568" t="s">
        <v>139</v>
      </c>
      <c r="F568" t="s">
        <v>7</v>
      </c>
      <c r="G568" t="s">
        <v>130</v>
      </c>
      <c r="H568" s="1">
        <v>46125</v>
      </c>
      <c r="I568" t="s">
        <v>5771</v>
      </c>
      <c r="J568" t="s">
        <v>5772</v>
      </c>
      <c r="K568" t="s">
        <v>1714</v>
      </c>
      <c r="L568" t="s">
        <v>203</v>
      </c>
      <c r="M568" t="s">
        <v>917</v>
      </c>
      <c r="N568" s="166">
        <v>22.5</v>
      </c>
      <c r="O568" t="s">
        <v>131</v>
      </c>
    </row>
    <row r="569" spans="1:15">
      <c r="A569" s="166" t="s">
        <v>5773</v>
      </c>
      <c r="B569" t="s">
        <v>111</v>
      </c>
      <c r="C569" t="s">
        <v>133</v>
      </c>
      <c r="D569" t="s">
        <v>116</v>
      </c>
      <c r="E569" t="s">
        <v>418</v>
      </c>
      <c r="F569" t="s">
        <v>7</v>
      </c>
      <c r="G569" t="s">
        <v>130</v>
      </c>
      <c r="H569" s="1">
        <v>46125</v>
      </c>
      <c r="I569" t="s">
        <v>5774</v>
      </c>
      <c r="J569" t="s">
        <v>5775</v>
      </c>
      <c r="K569" t="s">
        <v>2296</v>
      </c>
      <c r="L569" t="s">
        <v>672</v>
      </c>
      <c r="M569" t="s">
        <v>1090</v>
      </c>
      <c r="N569" s="166">
        <v>21.66</v>
      </c>
      <c r="O569" t="s">
        <v>131</v>
      </c>
    </row>
    <row r="570" spans="1:15">
      <c r="A570" s="166" t="s">
        <v>5776</v>
      </c>
      <c r="B570" t="s">
        <v>111</v>
      </c>
      <c r="C570" t="s">
        <v>406</v>
      </c>
      <c r="D570" t="s">
        <v>118</v>
      </c>
      <c r="E570" t="s">
        <v>139</v>
      </c>
      <c r="F570" t="s">
        <v>7</v>
      </c>
      <c r="G570" t="s">
        <v>130</v>
      </c>
      <c r="H570" s="1">
        <v>46125</v>
      </c>
      <c r="I570" t="s">
        <v>5777</v>
      </c>
      <c r="J570" t="s">
        <v>5778</v>
      </c>
      <c r="K570" t="s">
        <v>573</v>
      </c>
      <c r="L570" t="s">
        <v>157</v>
      </c>
      <c r="M570" t="s">
        <v>1674</v>
      </c>
      <c r="N570" s="166">
        <v>21.24</v>
      </c>
      <c r="O570" t="s">
        <v>131</v>
      </c>
    </row>
    <row r="571" spans="1:15">
      <c r="A571" s="166" t="s">
        <v>5779</v>
      </c>
      <c r="B571" t="s">
        <v>111</v>
      </c>
      <c r="C571" t="s">
        <v>134</v>
      </c>
      <c r="D571" t="s">
        <v>118</v>
      </c>
      <c r="E571" t="s">
        <v>139</v>
      </c>
      <c r="F571" t="s">
        <v>7</v>
      </c>
      <c r="G571" t="s">
        <v>130</v>
      </c>
      <c r="H571" s="1">
        <v>46125</v>
      </c>
      <c r="I571" t="s">
        <v>5780</v>
      </c>
      <c r="J571" t="s">
        <v>5781</v>
      </c>
      <c r="K571" t="s">
        <v>852</v>
      </c>
      <c r="L571" t="s">
        <v>143</v>
      </c>
      <c r="M571" t="s">
        <v>2474</v>
      </c>
      <c r="N571" s="166">
        <v>17.68</v>
      </c>
      <c r="O571" t="s">
        <v>131</v>
      </c>
    </row>
    <row r="572" spans="1:15">
      <c r="A572" s="166" t="s">
        <v>5782</v>
      </c>
      <c r="B572" t="s">
        <v>111</v>
      </c>
      <c r="C572" t="s">
        <v>133</v>
      </c>
      <c r="D572" t="s">
        <v>118</v>
      </c>
      <c r="E572" t="s">
        <v>139</v>
      </c>
      <c r="F572" t="s">
        <v>7</v>
      </c>
      <c r="G572" t="s">
        <v>130</v>
      </c>
      <c r="H572" s="1">
        <v>46125</v>
      </c>
      <c r="I572" t="s">
        <v>5783</v>
      </c>
      <c r="J572" t="s">
        <v>5784</v>
      </c>
      <c r="K572" t="s">
        <v>3083</v>
      </c>
      <c r="L572" t="s">
        <v>907</v>
      </c>
      <c r="M572" t="s">
        <v>1819</v>
      </c>
      <c r="N572" s="166">
        <v>20.62</v>
      </c>
      <c r="O572" t="s">
        <v>131</v>
      </c>
    </row>
    <row r="573" spans="1:15">
      <c r="A573" s="166" t="s">
        <v>5785</v>
      </c>
      <c r="B573" t="s">
        <v>111</v>
      </c>
      <c r="C573" t="s">
        <v>135</v>
      </c>
      <c r="D573" t="s">
        <v>118</v>
      </c>
      <c r="E573" t="s">
        <v>139</v>
      </c>
      <c r="F573" t="s">
        <v>7</v>
      </c>
      <c r="G573" t="s">
        <v>130</v>
      </c>
      <c r="H573" s="1">
        <v>46125</v>
      </c>
      <c r="I573" t="s">
        <v>5786</v>
      </c>
      <c r="J573" t="s">
        <v>5787</v>
      </c>
      <c r="K573" t="s">
        <v>5788</v>
      </c>
      <c r="L573" t="s">
        <v>772</v>
      </c>
      <c r="M573" t="s">
        <v>725</v>
      </c>
      <c r="N573" s="166">
        <v>15.88</v>
      </c>
      <c r="O573" t="s">
        <v>131</v>
      </c>
    </row>
    <row r="574" spans="1:15">
      <c r="A574" s="166" t="s">
        <v>4263</v>
      </c>
      <c r="B574" t="s">
        <v>111</v>
      </c>
      <c r="C574" t="s">
        <v>136</v>
      </c>
      <c r="D574" t="s">
        <v>118</v>
      </c>
      <c r="E574" t="s">
        <v>139</v>
      </c>
      <c r="F574" t="s">
        <v>7</v>
      </c>
      <c r="G574" t="s">
        <v>130</v>
      </c>
      <c r="H574" s="1">
        <v>46125</v>
      </c>
      <c r="I574" t="s">
        <v>5789</v>
      </c>
      <c r="J574" t="s">
        <v>5790</v>
      </c>
      <c r="K574" t="s">
        <v>1322</v>
      </c>
      <c r="L574" t="s">
        <v>650</v>
      </c>
      <c r="M574" t="s">
        <v>1710</v>
      </c>
      <c r="N574" s="166">
        <v>19.46</v>
      </c>
      <c r="O574" t="s">
        <v>131</v>
      </c>
    </row>
    <row r="575" spans="1:15">
      <c r="A575" s="166" t="s">
        <v>5791</v>
      </c>
      <c r="B575" t="s">
        <v>111</v>
      </c>
      <c r="C575" t="s">
        <v>406</v>
      </c>
      <c r="D575" t="s">
        <v>118</v>
      </c>
      <c r="E575" t="s">
        <v>139</v>
      </c>
      <c r="F575" t="s">
        <v>7</v>
      </c>
      <c r="G575" t="s">
        <v>130</v>
      </c>
      <c r="H575" s="1">
        <v>46125</v>
      </c>
      <c r="I575" t="s">
        <v>5792</v>
      </c>
      <c r="J575" t="s">
        <v>5793</v>
      </c>
      <c r="K575" t="s">
        <v>1635</v>
      </c>
      <c r="L575" t="s">
        <v>811</v>
      </c>
      <c r="M575" t="s">
        <v>439</v>
      </c>
      <c r="N575" s="166">
        <v>21.72</v>
      </c>
      <c r="O575" t="s">
        <v>131</v>
      </c>
    </row>
    <row r="576" spans="1:15">
      <c r="A576" s="166" t="s">
        <v>5794</v>
      </c>
      <c r="B576" t="s">
        <v>111</v>
      </c>
      <c r="C576" t="s">
        <v>134</v>
      </c>
      <c r="D576" t="s">
        <v>118</v>
      </c>
      <c r="E576" t="s">
        <v>139</v>
      </c>
      <c r="F576" t="s">
        <v>7</v>
      </c>
      <c r="G576" t="s">
        <v>130</v>
      </c>
      <c r="H576" s="1">
        <v>46125</v>
      </c>
      <c r="I576" t="s">
        <v>5795</v>
      </c>
      <c r="J576" t="s">
        <v>5796</v>
      </c>
      <c r="K576" t="s">
        <v>206</v>
      </c>
      <c r="L576" t="s">
        <v>146</v>
      </c>
      <c r="M576" t="s">
        <v>487</v>
      </c>
      <c r="N576" s="166">
        <v>21.88</v>
      </c>
      <c r="O576" t="s">
        <v>131</v>
      </c>
    </row>
    <row r="577" spans="1:15">
      <c r="A577" s="166" t="s">
        <v>5797</v>
      </c>
      <c r="B577" t="s">
        <v>111</v>
      </c>
      <c r="C577" t="s">
        <v>133</v>
      </c>
      <c r="D577" t="s">
        <v>118</v>
      </c>
      <c r="E577" t="s">
        <v>139</v>
      </c>
      <c r="F577" t="s">
        <v>7</v>
      </c>
      <c r="G577" t="s">
        <v>130</v>
      </c>
      <c r="H577" s="1">
        <v>46125</v>
      </c>
      <c r="I577" t="s">
        <v>5798</v>
      </c>
      <c r="J577" t="s">
        <v>5799</v>
      </c>
      <c r="K577" t="s">
        <v>655</v>
      </c>
      <c r="L577" t="s">
        <v>2095</v>
      </c>
      <c r="M577" t="s">
        <v>5800</v>
      </c>
      <c r="N577" s="166">
        <v>22.14</v>
      </c>
      <c r="O577" t="s">
        <v>131</v>
      </c>
    </row>
    <row r="578" spans="1:15">
      <c r="A578" s="166" t="s">
        <v>5801</v>
      </c>
      <c r="B578" t="s">
        <v>111</v>
      </c>
      <c r="C578" t="s">
        <v>135</v>
      </c>
      <c r="D578" t="s">
        <v>118</v>
      </c>
      <c r="E578" t="s">
        <v>139</v>
      </c>
      <c r="F578" t="s">
        <v>7</v>
      </c>
      <c r="G578" t="s">
        <v>130</v>
      </c>
      <c r="H578" s="1">
        <v>46125</v>
      </c>
      <c r="I578" t="s">
        <v>5802</v>
      </c>
      <c r="J578" t="s">
        <v>5803</v>
      </c>
      <c r="K578" t="s">
        <v>448</v>
      </c>
      <c r="L578" t="s">
        <v>772</v>
      </c>
      <c r="M578" t="s">
        <v>207</v>
      </c>
      <c r="N578" s="166">
        <v>20.92</v>
      </c>
      <c r="O578" t="s">
        <v>131</v>
      </c>
    </row>
    <row r="579" spans="1:15">
      <c r="A579" s="166" t="s">
        <v>5804</v>
      </c>
      <c r="B579" t="s">
        <v>111</v>
      </c>
      <c r="C579" t="s">
        <v>136</v>
      </c>
      <c r="D579" t="s">
        <v>118</v>
      </c>
      <c r="E579" t="s">
        <v>139</v>
      </c>
      <c r="F579" t="s">
        <v>7</v>
      </c>
      <c r="G579" t="s">
        <v>130</v>
      </c>
      <c r="H579" s="1">
        <v>46125</v>
      </c>
      <c r="I579" t="s">
        <v>5805</v>
      </c>
      <c r="J579" t="s">
        <v>5806</v>
      </c>
      <c r="K579" t="s">
        <v>638</v>
      </c>
      <c r="L579" t="s">
        <v>801</v>
      </c>
      <c r="M579" t="s">
        <v>3203</v>
      </c>
      <c r="N579" s="166">
        <v>20.76</v>
      </c>
      <c r="O579" t="s">
        <v>131</v>
      </c>
    </row>
    <row r="580" spans="1:15">
      <c r="A580" s="166" t="s">
        <v>5807</v>
      </c>
      <c r="B580" t="s">
        <v>111</v>
      </c>
      <c r="C580" t="s">
        <v>134</v>
      </c>
      <c r="D580" t="s">
        <v>118</v>
      </c>
      <c r="E580" t="s">
        <v>139</v>
      </c>
      <c r="F580" t="s">
        <v>7</v>
      </c>
      <c r="G580" t="s">
        <v>130</v>
      </c>
      <c r="H580" s="1">
        <v>46125</v>
      </c>
      <c r="I580" t="s">
        <v>5808</v>
      </c>
      <c r="J580" t="s">
        <v>5809</v>
      </c>
      <c r="K580" t="s">
        <v>766</v>
      </c>
      <c r="L580" t="s">
        <v>146</v>
      </c>
      <c r="M580" t="s">
        <v>767</v>
      </c>
      <c r="N580" s="166">
        <v>22.24</v>
      </c>
      <c r="O580" t="s">
        <v>131</v>
      </c>
    </row>
    <row r="581" spans="1:15">
      <c r="A581" s="166" t="s">
        <v>5810</v>
      </c>
      <c r="B581" t="s">
        <v>111</v>
      </c>
      <c r="C581" t="s">
        <v>133</v>
      </c>
      <c r="D581" t="s">
        <v>118</v>
      </c>
      <c r="E581" t="s">
        <v>139</v>
      </c>
      <c r="F581" t="s">
        <v>7</v>
      </c>
      <c r="G581" t="s">
        <v>130</v>
      </c>
      <c r="H581" s="1">
        <v>46125</v>
      </c>
      <c r="I581" t="s">
        <v>5811</v>
      </c>
      <c r="J581" t="s">
        <v>5812</v>
      </c>
      <c r="K581" t="s">
        <v>2585</v>
      </c>
      <c r="L581" t="s">
        <v>907</v>
      </c>
      <c r="M581" t="s">
        <v>476</v>
      </c>
      <c r="N581" s="166">
        <v>21.82</v>
      </c>
      <c r="O581" t="s">
        <v>131</v>
      </c>
    </row>
    <row r="582" spans="1:15">
      <c r="A582" s="166" t="s">
        <v>5813</v>
      </c>
      <c r="B582" t="s">
        <v>111</v>
      </c>
      <c r="C582" t="s">
        <v>135</v>
      </c>
      <c r="D582" t="s">
        <v>118</v>
      </c>
      <c r="E582" t="s">
        <v>139</v>
      </c>
      <c r="F582" t="s">
        <v>7</v>
      </c>
      <c r="G582" t="s">
        <v>130</v>
      </c>
      <c r="H582" s="1">
        <v>46125</v>
      </c>
      <c r="I582" t="s">
        <v>5814</v>
      </c>
      <c r="J582" t="s">
        <v>5815</v>
      </c>
      <c r="K582" t="s">
        <v>150</v>
      </c>
      <c r="L582" t="s">
        <v>714</v>
      </c>
      <c r="M582" t="s">
        <v>628</v>
      </c>
      <c r="N582" s="166">
        <v>20.48</v>
      </c>
      <c r="O582" t="s">
        <v>131</v>
      </c>
    </row>
    <row r="583" spans="1:15">
      <c r="A583" s="166" t="s">
        <v>5816</v>
      </c>
      <c r="B583" t="s">
        <v>111</v>
      </c>
      <c r="C583" t="s">
        <v>136</v>
      </c>
      <c r="D583" t="s">
        <v>118</v>
      </c>
      <c r="E583" t="s">
        <v>139</v>
      </c>
      <c r="F583" t="s">
        <v>7</v>
      </c>
      <c r="G583" t="s">
        <v>130</v>
      </c>
      <c r="H583" s="1">
        <v>46125</v>
      </c>
      <c r="I583" t="s">
        <v>5817</v>
      </c>
      <c r="J583" t="s">
        <v>5818</v>
      </c>
      <c r="K583" t="s">
        <v>480</v>
      </c>
      <c r="L583" t="s">
        <v>801</v>
      </c>
      <c r="M583" t="s">
        <v>3084</v>
      </c>
      <c r="N583" s="166">
        <v>21.5</v>
      </c>
      <c r="O583" t="s">
        <v>131</v>
      </c>
    </row>
    <row r="584" spans="1:15">
      <c r="A584" s="166" t="s">
        <v>5819</v>
      </c>
      <c r="B584" t="s">
        <v>111</v>
      </c>
      <c r="C584" t="s">
        <v>134</v>
      </c>
      <c r="D584" t="s">
        <v>118</v>
      </c>
      <c r="E584" t="s">
        <v>139</v>
      </c>
      <c r="F584" t="s">
        <v>7</v>
      </c>
      <c r="G584" t="s">
        <v>130</v>
      </c>
      <c r="H584" s="1">
        <v>46125</v>
      </c>
      <c r="I584" t="s">
        <v>5820</v>
      </c>
      <c r="J584" t="s">
        <v>5821</v>
      </c>
      <c r="K584" t="s">
        <v>1818</v>
      </c>
      <c r="L584" t="s">
        <v>165</v>
      </c>
      <c r="M584" t="s">
        <v>579</v>
      </c>
      <c r="N584" s="166">
        <v>21.22</v>
      </c>
      <c r="O584" t="s">
        <v>131</v>
      </c>
    </row>
    <row r="585" spans="1:15">
      <c r="A585" s="166" t="s">
        <v>5822</v>
      </c>
      <c r="B585" t="s">
        <v>111</v>
      </c>
      <c r="C585" t="s">
        <v>133</v>
      </c>
      <c r="D585" t="s">
        <v>118</v>
      </c>
      <c r="E585" t="s">
        <v>139</v>
      </c>
      <c r="F585" t="s">
        <v>7</v>
      </c>
      <c r="G585" t="s">
        <v>130</v>
      </c>
      <c r="H585" s="1">
        <v>46125</v>
      </c>
      <c r="I585" t="s">
        <v>5823</v>
      </c>
      <c r="J585" t="s">
        <v>5824</v>
      </c>
      <c r="K585" t="s">
        <v>2340</v>
      </c>
      <c r="L585" t="s">
        <v>907</v>
      </c>
      <c r="M585" t="s">
        <v>2175</v>
      </c>
      <c r="N585" s="166">
        <v>19.760000000000002</v>
      </c>
      <c r="O585" t="s">
        <v>131</v>
      </c>
    </row>
    <row r="586" spans="1:15">
      <c r="A586" s="166" t="s">
        <v>5825</v>
      </c>
      <c r="B586" t="s">
        <v>111</v>
      </c>
      <c r="C586" t="s">
        <v>135</v>
      </c>
      <c r="D586" t="s">
        <v>118</v>
      </c>
      <c r="E586" t="s">
        <v>139</v>
      </c>
      <c r="F586" t="s">
        <v>7</v>
      </c>
      <c r="G586" t="s">
        <v>130</v>
      </c>
      <c r="H586" s="1">
        <v>46125</v>
      </c>
      <c r="I586" t="s">
        <v>5826</v>
      </c>
      <c r="J586" t="s">
        <v>5827</v>
      </c>
      <c r="K586" t="s">
        <v>1806</v>
      </c>
      <c r="L586" t="s">
        <v>831</v>
      </c>
      <c r="M586" t="s">
        <v>3024</v>
      </c>
      <c r="N586" s="166">
        <v>20.56</v>
      </c>
      <c r="O586" t="s">
        <v>131</v>
      </c>
    </row>
    <row r="587" spans="1:15">
      <c r="A587" s="166" t="s">
        <v>5828</v>
      </c>
      <c r="B587" t="s">
        <v>111</v>
      </c>
      <c r="C587" t="s">
        <v>136</v>
      </c>
      <c r="D587" t="s">
        <v>118</v>
      </c>
      <c r="E587" t="s">
        <v>139</v>
      </c>
      <c r="F587" t="s">
        <v>7</v>
      </c>
      <c r="G587" t="s">
        <v>130</v>
      </c>
      <c r="H587" s="1">
        <v>46125</v>
      </c>
      <c r="I587" t="s">
        <v>5829</v>
      </c>
      <c r="J587" t="s">
        <v>5830</v>
      </c>
      <c r="K587" t="s">
        <v>1714</v>
      </c>
      <c r="L587" t="s">
        <v>801</v>
      </c>
      <c r="M587" t="s">
        <v>1090</v>
      </c>
      <c r="N587" s="166">
        <v>21.66</v>
      </c>
      <c r="O587" t="s">
        <v>131</v>
      </c>
    </row>
    <row r="588" spans="1:15">
      <c r="A588" s="166" t="s">
        <v>5831</v>
      </c>
      <c r="B588" t="s">
        <v>111</v>
      </c>
      <c r="C588" t="s">
        <v>134</v>
      </c>
      <c r="D588" t="s">
        <v>118</v>
      </c>
      <c r="E588" t="s">
        <v>139</v>
      </c>
      <c r="F588" t="s">
        <v>7</v>
      </c>
      <c r="G588" t="s">
        <v>130</v>
      </c>
      <c r="H588" s="1">
        <v>46125</v>
      </c>
      <c r="I588" t="s">
        <v>5832</v>
      </c>
      <c r="J588" t="s">
        <v>5833</v>
      </c>
      <c r="K588" t="s">
        <v>1052</v>
      </c>
      <c r="L588" t="s">
        <v>165</v>
      </c>
      <c r="M588" t="s">
        <v>3207</v>
      </c>
      <c r="N588" s="166">
        <v>22</v>
      </c>
      <c r="O588" t="s">
        <v>131</v>
      </c>
    </row>
    <row r="589" spans="1:15">
      <c r="A589" s="166" t="s">
        <v>5834</v>
      </c>
      <c r="B589" t="s">
        <v>111</v>
      </c>
      <c r="C589" t="s">
        <v>133</v>
      </c>
      <c r="D589" t="s">
        <v>118</v>
      </c>
      <c r="E589" t="s">
        <v>139</v>
      </c>
      <c r="F589" t="s">
        <v>7</v>
      </c>
      <c r="G589" t="s">
        <v>130</v>
      </c>
      <c r="H589" s="1">
        <v>46125</v>
      </c>
      <c r="I589" t="s">
        <v>5835</v>
      </c>
      <c r="J589" t="s">
        <v>5836</v>
      </c>
      <c r="K589" t="s">
        <v>755</v>
      </c>
      <c r="L589" t="s">
        <v>907</v>
      </c>
      <c r="M589" t="s">
        <v>439</v>
      </c>
      <c r="N589" s="166">
        <v>21.72</v>
      </c>
      <c r="O589" t="s">
        <v>131</v>
      </c>
    </row>
    <row r="590" spans="1:15">
      <c r="A590" s="166" t="s">
        <v>5837</v>
      </c>
      <c r="B590" t="s">
        <v>111</v>
      </c>
      <c r="C590" t="s">
        <v>135</v>
      </c>
      <c r="D590" t="s">
        <v>118</v>
      </c>
      <c r="E590" t="s">
        <v>2618</v>
      </c>
      <c r="F590" t="s">
        <v>7</v>
      </c>
      <c r="G590" t="s">
        <v>130</v>
      </c>
      <c r="H590" s="1">
        <v>46125</v>
      </c>
      <c r="I590" t="s">
        <v>5838</v>
      </c>
      <c r="J590" t="s">
        <v>5839</v>
      </c>
      <c r="K590" t="s">
        <v>5840</v>
      </c>
      <c r="L590" t="s">
        <v>730</v>
      </c>
      <c r="M590" t="s">
        <v>3582</v>
      </c>
      <c r="N590" s="166">
        <v>19.72</v>
      </c>
      <c r="O590" t="s">
        <v>131</v>
      </c>
    </row>
    <row r="591" spans="1:15">
      <c r="A591" s="166" t="s">
        <v>5841</v>
      </c>
      <c r="B591" t="s">
        <v>111</v>
      </c>
      <c r="C591" t="s">
        <v>136</v>
      </c>
      <c r="D591" t="s">
        <v>118</v>
      </c>
      <c r="E591" t="s">
        <v>2618</v>
      </c>
      <c r="F591" t="s">
        <v>7</v>
      </c>
      <c r="G591" t="s">
        <v>130</v>
      </c>
      <c r="H591" s="1">
        <v>46125</v>
      </c>
      <c r="I591" t="s">
        <v>5842</v>
      </c>
      <c r="J591" t="s">
        <v>5843</v>
      </c>
      <c r="K591" t="s">
        <v>2559</v>
      </c>
      <c r="L591" t="s">
        <v>831</v>
      </c>
      <c r="M591" t="s">
        <v>185</v>
      </c>
      <c r="N591" s="166">
        <v>20.72</v>
      </c>
      <c r="O591" t="s">
        <v>131</v>
      </c>
    </row>
    <row r="592" spans="1:15">
      <c r="A592" s="166" t="s">
        <v>5844</v>
      </c>
      <c r="B592" t="s">
        <v>111</v>
      </c>
      <c r="C592" t="s">
        <v>134</v>
      </c>
      <c r="D592" t="s">
        <v>118</v>
      </c>
      <c r="E592" t="s">
        <v>2618</v>
      </c>
      <c r="F592" t="s">
        <v>7</v>
      </c>
      <c r="G592" t="s">
        <v>130</v>
      </c>
      <c r="H592" s="1">
        <v>46125</v>
      </c>
      <c r="I592" t="s">
        <v>5845</v>
      </c>
      <c r="J592" t="s">
        <v>5846</v>
      </c>
      <c r="K592" t="s">
        <v>825</v>
      </c>
      <c r="L592" t="s">
        <v>146</v>
      </c>
      <c r="M592" t="s">
        <v>2273</v>
      </c>
      <c r="N592" s="166">
        <v>20.3</v>
      </c>
      <c r="O592" t="s">
        <v>131</v>
      </c>
    </row>
    <row r="593" spans="1:15">
      <c r="A593" s="166" t="s">
        <v>5847</v>
      </c>
      <c r="B593" t="s">
        <v>111</v>
      </c>
      <c r="C593" t="s">
        <v>133</v>
      </c>
      <c r="D593" t="s">
        <v>118</v>
      </c>
      <c r="E593" t="s">
        <v>2618</v>
      </c>
      <c r="F593" t="s">
        <v>7</v>
      </c>
      <c r="G593" t="s">
        <v>130</v>
      </c>
      <c r="H593" s="1">
        <v>46125</v>
      </c>
      <c r="I593" t="s">
        <v>5848</v>
      </c>
      <c r="J593" t="s">
        <v>5849</v>
      </c>
      <c r="K593" t="s">
        <v>4768</v>
      </c>
      <c r="L593" t="s">
        <v>2267</v>
      </c>
      <c r="M593" t="s">
        <v>471</v>
      </c>
      <c r="N593" s="166">
        <v>22.04</v>
      </c>
      <c r="O593" t="s">
        <v>131</v>
      </c>
    </row>
    <row r="594" spans="1:15">
      <c r="A594" s="166" t="s">
        <v>1488</v>
      </c>
      <c r="B594" t="s">
        <v>111</v>
      </c>
      <c r="C594" t="s">
        <v>135</v>
      </c>
      <c r="D594" t="s">
        <v>118</v>
      </c>
      <c r="E594" t="s">
        <v>2618</v>
      </c>
      <c r="F594" t="s">
        <v>7</v>
      </c>
      <c r="G594" t="s">
        <v>130</v>
      </c>
      <c r="H594" s="1">
        <v>46125</v>
      </c>
      <c r="I594" t="s">
        <v>5850</v>
      </c>
      <c r="J594" t="s">
        <v>5851</v>
      </c>
      <c r="K594" t="s">
        <v>448</v>
      </c>
      <c r="L594" t="s">
        <v>1076</v>
      </c>
      <c r="M594" t="s">
        <v>731</v>
      </c>
      <c r="N594" s="166">
        <v>20.82</v>
      </c>
      <c r="O594" t="s">
        <v>131</v>
      </c>
    </row>
    <row r="595" spans="1:15">
      <c r="A595" s="166" t="s">
        <v>5852</v>
      </c>
      <c r="B595" t="s">
        <v>111</v>
      </c>
      <c r="C595" t="s">
        <v>136</v>
      </c>
      <c r="D595" t="s">
        <v>118</v>
      </c>
      <c r="E595" t="s">
        <v>2618</v>
      </c>
      <c r="F595" t="s">
        <v>7</v>
      </c>
      <c r="G595" t="s">
        <v>130</v>
      </c>
      <c r="H595" s="1">
        <v>46125</v>
      </c>
      <c r="I595" t="s">
        <v>5853</v>
      </c>
      <c r="J595" t="s">
        <v>5854</v>
      </c>
      <c r="K595" t="s">
        <v>4347</v>
      </c>
      <c r="L595" t="s">
        <v>730</v>
      </c>
      <c r="M595" t="s">
        <v>1057</v>
      </c>
      <c r="N595" s="166">
        <v>20.14</v>
      </c>
      <c r="O595" t="s">
        <v>131</v>
      </c>
    </row>
    <row r="596" spans="1:15">
      <c r="A596" s="166" t="s">
        <v>5855</v>
      </c>
      <c r="B596" t="s">
        <v>111</v>
      </c>
      <c r="C596" t="s">
        <v>134</v>
      </c>
      <c r="D596" t="s">
        <v>118</v>
      </c>
      <c r="E596" t="s">
        <v>2618</v>
      </c>
      <c r="F596" t="s">
        <v>7</v>
      </c>
      <c r="G596" t="s">
        <v>130</v>
      </c>
      <c r="H596" s="1">
        <v>46125</v>
      </c>
      <c r="I596" t="s">
        <v>5856</v>
      </c>
      <c r="J596" t="s">
        <v>5857</v>
      </c>
      <c r="K596" t="s">
        <v>1327</v>
      </c>
      <c r="L596" t="s">
        <v>157</v>
      </c>
      <c r="M596" t="s">
        <v>3582</v>
      </c>
      <c r="N596" s="166">
        <v>19.72</v>
      </c>
      <c r="O596" t="s">
        <v>131</v>
      </c>
    </row>
    <row r="597" spans="1:15">
      <c r="A597" s="166" t="s">
        <v>5858</v>
      </c>
      <c r="B597" t="s">
        <v>111</v>
      </c>
      <c r="C597" t="s">
        <v>133</v>
      </c>
      <c r="D597" t="s">
        <v>118</v>
      </c>
      <c r="E597" t="s">
        <v>2618</v>
      </c>
      <c r="F597" t="s">
        <v>7</v>
      </c>
      <c r="G597" t="s">
        <v>130</v>
      </c>
      <c r="H597" s="1">
        <v>46125</v>
      </c>
      <c r="I597" t="s">
        <v>5859</v>
      </c>
      <c r="J597" t="s">
        <v>5860</v>
      </c>
      <c r="K597" t="s">
        <v>1279</v>
      </c>
      <c r="L597" t="s">
        <v>2267</v>
      </c>
      <c r="M597" t="s">
        <v>4148</v>
      </c>
      <c r="N597" s="166">
        <v>17.899999999999999</v>
      </c>
      <c r="O597" t="s">
        <v>131</v>
      </c>
    </row>
    <row r="598" spans="1:15">
      <c r="A598" s="166" t="s">
        <v>5861</v>
      </c>
      <c r="B598" t="s">
        <v>111</v>
      </c>
      <c r="C598" t="s">
        <v>135</v>
      </c>
      <c r="D598" t="s">
        <v>118</v>
      </c>
      <c r="E598" t="s">
        <v>2618</v>
      </c>
      <c r="F598" t="s">
        <v>7</v>
      </c>
      <c r="G598" t="s">
        <v>130</v>
      </c>
      <c r="H598" s="1">
        <v>46125</v>
      </c>
      <c r="I598" t="s">
        <v>5862</v>
      </c>
      <c r="J598" t="s">
        <v>5863</v>
      </c>
      <c r="K598" t="s">
        <v>1251</v>
      </c>
      <c r="L598" t="s">
        <v>611</v>
      </c>
      <c r="M598" t="s">
        <v>3229</v>
      </c>
      <c r="N598" s="166">
        <v>17.399999999999999</v>
      </c>
      <c r="O598" t="s">
        <v>131</v>
      </c>
    </row>
    <row r="599" spans="1:15">
      <c r="A599" s="166" t="s">
        <v>5864</v>
      </c>
      <c r="B599" t="s">
        <v>111</v>
      </c>
      <c r="C599" t="s">
        <v>136</v>
      </c>
      <c r="D599" t="s">
        <v>118</v>
      </c>
      <c r="E599" t="s">
        <v>2618</v>
      </c>
      <c r="F599" t="s">
        <v>7</v>
      </c>
      <c r="G599" t="s">
        <v>130</v>
      </c>
      <c r="H599" s="1">
        <v>46125</v>
      </c>
      <c r="I599" t="s">
        <v>5865</v>
      </c>
      <c r="J599" t="s">
        <v>5866</v>
      </c>
      <c r="K599" t="s">
        <v>739</v>
      </c>
      <c r="L599" t="s">
        <v>1076</v>
      </c>
      <c r="M599" t="s">
        <v>2188</v>
      </c>
      <c r="N599" s="166">
        <v>22.26</v>
      </c>
      <c r="O599" t="s">
        <v>131</v>
      </c>
    </row>
    <row r="600" spans="1:15">
      <c r="A600" s="166" t="s">
        <v>5867</v>
      </c>
      <c r="B600" t="s">
        <v>111</v>
      </c>
      <c r="C600" t="s">
        <v>134</v>
      </c>
      <c r="D600" t="s">
        <v>118</v>
      </c>
      <c r="E600" t="s">
        <v>2618</v>
      </c>
      <c r="F600" t="s">
        <v>7</v>
      </c>
      <c r="G600" t="s">
        <v>130</v>
      </c>
      <c r="H600" s="1">
        <v>46125</v>
      </c>
      <c r="I600" t="s">
        <v>5868</v>
      </c>
      <c r="J600" t="s">
        <v>5869</v>
      </c>
      <c r="K600" t="s">
        <v>1697</v>
      </c>
      <c r="L600" t="s">
        <v>163</v>
      </c>
      <c r="M600" t="s">
        <v>2096</v>
      </c>
      <c r="N600" s="166">
        <v>20.74</v>
      </c>
      <c r="O600" t="s">
        <v>131</v>
      </c>
    </row>
    <row r="601" spans="1:15">
      <c r="A601" s="166" t="s">
        <v>5870</v>
      </c>
      <c r="B601" t="s">
        <v>111</v>
      </c>
      <c r="C601" t="s">
        <v>133</v>
      </c>
      <c r="D601" t="s">
        <v>118</v>
      </c>
      <c r="E601" t="s">
        <v>2618</v>
      </c>
      <c r="F601" t="s">
        <v>7</v>
      </c>
      <c r="G601" t="s">
        <v>130</v>
      </c>
      <c r="H601" s="1">
        <v>46125</v>
      </c>
      <c r="I601" t="s">
        <v>5871</v>
      </c>
      <c r="J601" t="s">
        <v>5872</v>
      </c>
      <c r="K601" t="s">
        <v>1442</v>
      </c>
      <c r="L601" t="s">
        <v>2267</v>
      </c>
      <c r="M601" t="s">
        <v>1267</v>
      </c>
      <c r="N601" s="166">
        <v>19.68</v>
      </c>
      <c r="O601" t="s">
        <v>131</v>
      </c>
    </row>
    <row r="602" spans="1:15">
      <c r="A602" s="166" t="s">
        <v>5873</v>
      </c>
      <c r="B602" t="s">
        <v>111</v>
      </c>
      <c r="C602" t="s">
        <v>134</v>
      </c>
      <c r="D602" t="s">
        <v>118</v>
      </c>
      <c r="E602" t="s">
        <v>2618</v>
      </c>
      <c r="F602" t="s">
        <v>7</v>
      </c>
      <c r="G602" t="s">
        <v>130</v>
      </c>
      <c r="H602" s="1">
        <v>46125</v>
      </c>
      <c r="I602" t="s">
        <v>5874</v>
      </c>
      <c r="J602" t="s">
        <v>5875</v>
      </c>
      <c r="K602" t="s">
        <v>4645</v>
      </c>
      <c r="L602" t="s">
        <v>492</v>
      </c>
      <c r="M602" t="s">
        <v>3138</v>
      </c>
      <c r="N602" s="166">
        <v>21.94</v>
      </c>
      <c r="O602" t="s">
        <v>131</v>
      </c>
    </row>
    <row r="603" spans="1:15">
      <c r="A603" s="166" t="s">
        <v>5876</v>
      </c>
      <c r="B603" t="s">
        <v>111</v>
      </c>
      <c r="C603" t="s">
        <v>136</v>
      </c>
      <c r="D603" t="s">
        <v>118</v>
      </c>
      <c r="E603" t="s">
        <v>2618</v>
      </c>
      <c r="F603" t="s">
        <v>7</v>
      </c>
      <c r="G603" t="s">
        <v>130</v>
      </c>
      <c r="H603" s="1">
        <v>46125</v>
      </c>
      <c r="I603" t="s">
        <v>5877</v>
      </c>
      <c r="J603" t="s">
        <v>5878</v>
      </c>
      <c r="K603" t="s">
        <v>1442</v>
      </c>
      <c r="L603" t="s">
        <v>650</v>
      </c>
      <c r="M603" t="s">
        <v>1443</v>
      </c>
      <c r="N603" s="166">
        <v>19.940000000000001</v>
      </c>
      <c r="O603" t="s">
        <v>131</v>
      </c>
    </row>
    <row r="604" spans="1:15">
      <c r="A604" s="166" t="s">
        <v>5879</v>
      </c>
      <c r="B604" t="s">
        <v>111</v>
      </c>
      <c r="C604" t="s">
        <v>133</v>
      </c>
      <c r="D604" t="s">
        <v>118</v>
      </c>
      <c r="E604" t="s">
        <v>2618</v>
      </c>
      <c r="F604" t="s">
        <v>7</v>
      </c>
      <c r="G604" t="s">
        <v>130</v>
      </c>
      <c r="H604" s="1">
        <v>46125</v>
      </c>
      <c r="I604" t="s">
        <v>5880</v>
      </c>
      <c r="J604" t="s">
        <v>5881</v>
      </c>
      <c r="K604" t="s">
        <v>739</v>
      </c>
      <c r="L604" t="s">
        <v>2657</v>
      </c>
      <c r="M604" t="s">
        <v>487</v>
      </c>
      <c r="N604" s="166">
        <v>21.88</v>
      </c>
      <c r="O604" t="s">
        <v>131</v>
      </c>
    </row>
    <row r="605" spans="1:15">
      <c r="A605" s="166" t="s">
        <v>5882</v>
      </c>
      <c r="B605" t="s">
        <v>111</v>
      </c>
      <c r="C605" t="s">
        <v>134</v>
      </c>
      <c r="D605" t="s">
        <v>118</v>
      </c>
      <c r="E605" t="s">
        <v>2618</v>
      </c>
      <c r="F605" t="s">
        <v>7</v>
      </c>
      <c r="G605" t="s">
        <v>130</v>
      </c>
      <c r="H605" s="1">
        <v>46125</v>
      </c>
      <c r="I605" t="s">
        <v>5883</v>
      </c>
      <c r="J605" t="s">
        <v>5884</v>
      </c>
      <c r="K605" t="s">
        <v>1948</v>
      </c>
      <c r="L605" t="s">
        <v>1560</v>
      </c>
      <c r="M605" t="s">
        <v>194</v>
      </c>
      <c r="N605" s="166">
        <v>20.399999999999999</v>
      </c>
      <c r="O605" t="s">
        <v>131</v>
      </c>
    </row>
    <row r="606" spans="1:15">
      <c r="A606" s="166" t="s">
        <v>5885</v>
      </c>
      <c r="B606" t="s">
        <v>111</v>
      </c>
      <c r="C606" t="s">
        <v>136</v>
      </c>
      <c r="D606" t="s">
        <v>118</v>
      </c>
      <c r="E606" t="s">
        <v>2618</v>
      </c>
      <c r="F606" t="s">
        <v>7</v>
      </c>
      <c r="G606" t="s">
        <v>130</v>
      </c>
      <c r="H606" s="1">
        <v>46125</v>
      </c>
      <c r="I606" t="s">
        <v>5886</v>
      </c>
      <c r="J606" t="s">
        <v>5887</v>
      </c>
      <c r="K606" t="s">
        <v>2942</v>
      </c>
      <c r="L606" t="s">
        <v>725</v>
      </c>
      <c r="M606" t="s">
        <v>5888</v>
      </c>
      <c r="N606" s="166">
        <v>24.26</v>
      </c>
      <c r="O606" t="s">
        <v>131</v>
      </c>
    </row>
    <row r="607" spans="1:15">
      <c r="A607" s="166" t="s">
        <v>5889</v>
      </c>
      <c r="B607" t="s">
        <v>111</v>
      </c>
      <c r="C607" t="s">
        <v>133</v>
      </c>
      <c r="D607" t="s">
        <v>118</v>
      </c>
      <c r="E607" t="s">
        <v>2618</v>
      </c>
      <c r="F607" t="s">
        <v>7</v>
      </c>
      <c r="G607" t="s">
        <v>130</v>
      </c>
      <c r="H607" s="1">
        <v>46125</v>
      </c>
      <c r="I607" t="s">
        <v>5890</v>
      </c>
      <c r="J607" t="s">
        <v>5891</v>
      </c>
      <c r="K607" t="s">
        <v>2904</v>
      </c>
      <c r="L607" t="s">
        <v>3441</v>
      </c>
      <c r="M607" t="s">
        <v>1447</v>
      </c>
      <c r="N607" s="166">
        <v>22.9</v>
      </c>
      <c r="O607" t="s">
        <v>131</v>
      </c>
    </row>
    <row r="608" spans="1:15">
      <c r="A608" s="166" t="s">
        <v>5892</v>
      </c>
      <c r="B608" t="s">
        <v>111</v>
      </c>
      <c r="C608" t="s">
        <v>134</v>
      </c>
      <c r="D608" t="s">
        <v>118</v>
      </c>
      <c r="E608" t="s">
        <v>2618</v>
      </c>
      <c r="F608" t="s">
        <v>7</v>
      </c>
      <c r="G608" t="s">
        <v>130</v>
      </c>
      <c r="H608" s="1">
        <v>46125</v>
      </c>
      <c r="I608" t="s">
        <v>5893</v>
      </c>
      <c r="J608" t="s">
        <v>5894</v>
      </c>
      <c r="K608" t="s">
        <v>5895</v>
      </c>
      <c r="L608" t="s">
        <v>1560</v>
      </c>
      <c r="M608" t="s">
        <v>1102</v>
      </c>
      <c r="N608" s="166">
        <v>18.88</v>
      </c>
      <c r="O608" t="s">
        <v>131</v>
      </c>
    </row>
    <row r="609" spans="1:15">
      <c r="A609" s="166" t="s">
        <v>5896</v>
      </c>
      <c r="B609" t="s">
        <v>111</v>
      </c>
      <c r="C609" t="s">
        <v>136</v>
      </c>
      <c r="D609" t="s">
        <v>118</v>
      </c>
      <c r="E609" t="s">
        <v>2618</v>
      </c>
      <c r="F609" t="s">
        <v>7</v>
      </c>
      <c r="G609" t="s">
        <v>130</v>
      </c>
      <c r="H609" s="1">
        <v>46125</v>
      </c>
      <c r="I609" t="s">
        <v>5897</v>
      </c>
      <c r="J609" t="s">
        <v>5898</v>
      </c>
      <c r="K609" t="s">
        <v>167</v>
      </c>
      <c r="L609" t="s">
        <v>725</v>
      </c>
      <c r="M609" t="s">
        <v>1577</v>
      </c>
      <c r="N609" s="166">
        <v>19.22</v>
      </c>
      <c r="O609" t="s">
        <v>131</v>
      </c>
    </row>
    <row r="610" spans="1:15">
      <c r="A610" s="166" t="s">
        <v>5899</v>
      </c>
      <c r="B610" t="s">
        <v>111</v>
      </c>
      <c r="C610" t="s">
        <v>133</v>
      </c>
      <c r="D610" t="s">
        <v>118</v>
      </c>
      <c r="E610" t="s">
        <v>2618</v>
      </c>
      <c r="F610" t="s">
        <v>7</v>
      </c>
      <c r="G610" t="s">
        <v>130</v>
      </c>
      <c r="H610" s="1">
        <v>46125</v>
      </c>
      <c r="I610" t="s">
        <v>5900</v>
      </c>
      <c r="J610" t="s">
        <v>5901</v>
      </c>
      <c r="K610" t="s">
        <v>1818</v>
      </c>
      <c r="L610" t="s">
        <v>1845</v>
      </c>
      <c r="M610" t="s">
        <v>1850</v>
      </c>
      <c r="N610" s="166">
        <v>19.739999999999998</v>
      </c>
      <c r="O610" t="s">
        <v>131</v>
      </c>
    </row>
    <row r="611" spans="1:15">
      <c r="A611" s="166" t="s">
        <v>5902</v>
      </c>
      <c r="B611" t="s">
        <v>111</v>
      </c>
      <c r="C611" t="s">
        <v>134</v>
      </c>
      <c r="D611" t="s">
        <v>118</v>
      </c>
      <c r="E611" t="s">
        <v>2618</v>
      </c>
      <c r="F611" t="s">
        <v>7</v>
      </c>
      <c r="G611" t="s">
        <v>130</v>
      </c>
      <c r="H611" s="1">
        <v>46125</v>
      </c>
      <c r="I611" t="s">
        <v>5903</v>
      </c>
      <c r="J611" t="s">
        <v>5904</v>
      </c>
      <c r="K611" t="s">
        <v>1885</v>
      </c>
      <c r="L611" t="s">
        <v>529</v>
      </c>
      <c r="M611" t="s">
        <v>455</v>
      </c>
      <c r="N611" s="166">
        <v>21.68</v>
      </c>
      <c r="O611" t="s">
        <v>131</v>
      </c>
    </row>
    <row r="612" spans="1:15">
      <c r="A612" s="166" t="s">
        <v>5905</v>
      </c>
      <c r="B612" t="s">
        <v>111</v>
      </c>
      <c r="C612" t="s">
        <v>136</v>
      </c>
      <c r="D612" t="s">
        <v>118</v>
      </c>
      <c r="E612" t="s">
        <v>2618</v>
      </c>
      <c r="F612" t="s">
        <v>7</v>
      </c>
      <c r="G612" t="s">
        <v>130</v>
      </c>
      <c r="H612" s="1">
        <v>46125</v>
      </c>
      <c r="I612" t="s">
        <v>5906</v>
      </c>
      <c r="J612" t="s">
        <v>5907</v>
      </c>
      <c r="K612" t="s">
        <v>3905</v>
      </c>
      <c r="L612" t="s">
        <v>725</v>
      </c>
      <c r="M612" t="s">
        <v>2034</v>
      </c>
      <c r="N612" s="166">
        <v>17.72</v>
      </c>
      <c r="O612" t="s">
        <v>131</v>
      </c>
    </row>
    <row r="613" spans="1:15">
      <c r="A613" s="166" t="s">
        <v>5908</v>
      </c>
      <c r="B613" t="s">
        <v>111</v>
      </c>
      <c r="C613" t="s">
        <v>133</v>
      </c>
      <c r="D613" t="s">
        <v>118</v>
      </c>
      <c r="E613" t="s">
        <v>2618</v>
      </c>
      <c r="F613" t="s">
        <v>7</v>
      </c>
      <c r="G613" t="s">
        <v>130</v>
      </c>
      <c r="H613" s="1">
        <v>46125</v>
      </c>
      <c r="I613" t="s">
        <v>5909</v>
      </c>
      <c r="J613" t="s">
        <v>5910</v>
      </c>
      <c r="K613" t="s">
        <v>1914</v>
      </c>
      <c r="L613" t="s">
        <v>1881</v>
      </c>
      <c r="M613" t="s">
        <v>3075</v>
      </c>
      <c r="N613" s="166">
        <v>16.940000000000001</v>
      </c>
      <c r="O613" t="s">
        <v>131</v>
      </c>
    </row>
    <row r="614" spans="1:15">
      <c r="A614" s="166" t="s">
        <v>1274</v>
      </c>
      <c r="B614" t="s">
        <v>111</v>
      </c>
      <c r="C614" t="s">
        <v>134</v>
      </c>
      <c r="D614" t="s">
        <v>118</v>
      </c>
      <c r="E614" t="s">
        <v>2618</v>
      </c>
      <c r="F614" t="s">
        <v>7</v>
      </c>
      <c r="G614" t="s">
        <v>130</v>
      </c>
      <c r="H614" s="1">
        <v>46125</v>
      </c>
      <c r="I614" t="s">
        <v>5911</v>
      </c>
      <c r="J614" t="s">
        <v>5912</v>
      </c>
      <c r="K614" t="s">
        <v>1810</v>
      </c>
      <c r="L614" t="s">
        <v>584</v>
      </c>
      <c r="M614" t="s">
        <v>2116</v>
      </c>
      <c r="N614" s="166">
        <v>20.46</v>
      </c>
      <c r="O614" t="s">
        <v>131</v>
      </c>
    </row>
    <row r="615" spans="1:15">
      <c r="A615" s="166" t="s">
        <v>5913</v>
      </c>
      <c r="B615" t="s">
        <v>111</v>
      </c>
      <c r="C615" t="s">
        <v>136</v>
      </c>
      <c r="D615" t="s">
        <v>116</v>
      </c>
      <c r="E615" t="s">
        <v>418</v>
      </c>
      <c r="F615" t="s">
        <v>7</v>
      </c>
      <c r="G615" t="s">
        <v>130</v>
      </c>
      <c r="H615" s="1">
        <v>46125</v>
      </c>
      <c r="I615" t="s">
        <v>5914</v>
      </c>
      <c r="J615" t="s">
        <v>5915</v>
      </c>
      <c r="K615" t="s">
        <v>4312</v>
      </c>
      <c r="L615" t="s">
        <v>687</v>
      </c>
      <c r="M615" t="s">
        <v>2297</v>
      </c>
      <c r="N615" s="166">
        <v>22.34</v>
      </c>
      <c r="O615" t="s">
        <v>131</v>
      </c>
    </row>
    <row r="616" spans="1:15">
      <c r="A616" s="166" t="s">
        <v>5916</v>
      </c>
      <c r="B616" t="s">
        <v>111</v>
      </c>
      <c r="C616" t="s">
        <v>133</v>
      </c>
      <c r="D616" t="s">
        <v>116</v>
      </c>
      <c r="E616" t="s">
        <v>418</v>
      </c>
      <c r="F616" t="s">
        <v>7</v>
      </c>
      <c r="G616" t="s">
        <v>130</v>
      </c>
      <c r="H616" s="1">
        <v>46125</v>
      </c>
      <c r="I616" t="s">
        <v>5917</v>
      </c>
      <c r="J616" t="s">
        <v>5918</v>
      </c>
      <c r="K616" t="s">
        <v>3233</v>
      </c>
      <c r="L616" t="s">
        <v>890</v>
      </c>
      <c r="M616" t="s">
        <v>585</v>
      </c>
      <c r="N616" s="166">
        <v>24.88</v>
      </c>
      <c r="O616" t="s">
        <v>131</v>
      </c>
    </row>
    <row r="617" spans="1:15">
      <c r="A617" s="166" t="s">
        <v>5919</v>
      </c>
      <c r="B617" t="s">
        <v>111</v>
      </c>
      <c r="C617" t="s">
        <v>134</v>
      </c>
      <c r="D617" t="s">
        <v>116</v>
      </c>
      <c r="E617" t="s">
        <v>418</v>
      </c>
      <c r="F617" t="s">
        <v>7</v>
      </c>
      <c r="G617" t="s">
        <v>130</v>
      </c>
      <c r="H617" s="1">
        <v>46125</v>
      </c>
      <c r="I617" t="s">
        <v>5920</v>
      </c>
      <c r="J617" t="s">
        <v>5921</v>
      </c>
      <c r="K617" t="s">
        <v>5922</v>
      </c>
      <c r="L617" t="s">
        <v>584</v>
      </c>
      <c r="M617" t="s">
        <v>5923</v>
      </c>
      <c r="N617" s="166">
        <v>27.12</v>
      </c>
      <c r="O617" t="s">
        <v>131</v>
      </c>
    </row>
    <row r="618" spans="1:15">
      <c r="A618" s="166" t="s">
        <v>5924</v>
      </c>
      <c r="B618" t="s">
        <v>111</v>
      </c>
      <c r="C618" t="s">
        <v>136</v>
      </c>
      <c r="D618" t="s">
        <v>116</v>
      </c>
      <c r="E618" t="s">
        <v>418</v>
      </c>
      <c r="F618" t="s">
        <v>7</v>
      </c>
      <c r="G618" t="s">
        <v>130</v>
      </c>
      <c r="H618" s="1">
        <v>46125</v>
      </c>
      <c r="I618" t="s">
        <v>5925</v>
      </c>
      <c r="J618" t="s">
        <v>5926</v>
      </c>
      <c r="K618" t="s">
        <v>3618</v>
      </c>
      <c r="L618" t="s">
        <v>1835</v>
      </c>
      <c r="M618" t="s">
        <v>851</v>
      </c>
      <c r="N618" s="166">
        <v>24.34</v>
      </c>
      <c r="O618" t="s">
        <v>131</v>
      </c>
    </row>
    <row r="619" spans="1:15">
      <c r="A619" s="166" t="s">
        <v>5927</v>
      </c>
      <c r="B619" t="s">
        <v>111</v>
      </c>
      <c r="C619" t="s">
        <v>133</v>
      </c>
      <c r="D619" t="s">
        <v>116</v>
      </c>
      <c r="E619" t="s">
        <v>418</v>
      </c>
      <c r="F619" t="s">
        <v>7</v>
      </c>
      <c r="G619" t="s">
        <v>130</v>
      </c>
      <c r="H619" s="1">
        <v>46125</v>
      </c>
      <c r="I619" t="s">
        <v>5928</v>
      </c>
      <c r="J619" t="s">
        <v>5929</v>
      </c>
      <c r="K619" t="s">
        <v>1214</v>
      </c>
      <c r="L619" t="s">
        <v>3813</v>
      </c>
      <c r="M619" t="s">
        <v>5930</v>
      </c>
      <c r="N619" s="166">
        <v>23.52</v>
      </c>
      <c r="O619" t="s">
        <v>131</v>
      </c>
    </row>
    <row r="620" spans="1:15">
      <c r="A620" s="166" t="s">
        <v>5931</v>
      </c>
      <c r="B620" t="s">
        <v>111</v>
      </c>
      <c r="C620" t="s">
        <v>133</v>
      </c>
      <c r="D620" t="s">
        <v>116</v>
      </c>
      <c r="E620" t="s">
        <v>418</v>
      </c>
      <c r="F620" t="s">
        <v>7</v>
      </c>
      <c r="G620" t="s">
        <v>130</v>
      </c>
      <c r="H620" s="1">
        <v>46125</v>
      </c>
      <c r="I620" t="s">
        <v>5932</v>
      </c>
      <c r="J620" t="s">
        <v>5933</v>
      </c>
      <c r="K620" t="s">
        <v>5049</v>
      </c>
      <c r="L620" t="s">
        <v>3129</v>
      </c>
      <c r="M620" t="s">
        <v>3666</v>
      </c>
      <c r="N620" s="166">
        <v>24.12</v>
      </c>
      <c r="O620" t="s">
        <v>131</v>
      </c>
    </row>
    <row r="621" spans="1:15">
      <c r="A621" s="166" t="s">
        <v>5934</v>
      </c>
      <c r="B621" t="s">
        <v>111</v>
      </c>
      <c r="C621" t="s">
        <v>134</v>
      </c>
      <c r="D621" t="s">
        <v>116</v>
      </c>
      <c r="E621" t="s">
        <v>418</v>
      </c>
      <c r="F621" t="s">
        <v>7</v>
      </c>
      <c r="G621" t="s">
        <v>130</v>
      </c>
      <c r="H621" s="1">
        <v>46126</v>
      </c>
      <c r="I621" t="s">
        <v>5935</v>
      </c>
      <c r="J621" t="s">
        <v>5936</v>
      </c>
      <c r="K621" t="s">
        <v>701</v>
      </c>
      <c r="L621" t="s">
        <v>515</v>
      </c>
      <c r="M621" t="s">
        <v>4096</v>
      </c>
      <c r="N621" s="166">
        <v>25.3</v>
      </c>
      <c r="O621" t="s">
        <v>131</v>
      </c>
    </row>
    <row r="622" spans="1:15">
      <c r="A622" s="166" t="s">
        <v>5937</v>
      </c>
      <c r="B622" t="s">
        <v>111</v>
      </c>
      <c r="C622" t="s">
        <v>136</v>
      </c>
      <c r="D622" t="s">
        <v>116</v>
      </c>
      <c r="E622" t="s">
        <v>418</v>
      </c>
      <c r="F622" t="s">
        <v>7</v>
      </c>
      <c r="G622" t="s">
        <v>130</v>
      </c>
      <c r="H622" s="1">
        <v>46126</v>
      </c>
      <c r="I622" t="s">
        <v>5938</v>
      </c>
      <c r="J622" t="s">
        <v>5939</v>
      </c>
      <c r="K622" t="s">
        <v>244</v>
      </c>
      <c r="L622" t="s">
        <v>2004</v>
      </c>
      <c r="M622" t="s">
        <v>5940</v>
      </c>
      <c r="N622" s="166">
        <v>26.66</v>
      </c>
      <c r="O622" t="s">
        <v>131</v>
      </c>
    </row>
    <row r="623" spans="1:15">
      <c r="A623" s="166" t="s">
        <v>5941</v>
      </c>
      <c r="B623" t="s">
        <v>111</v>
      </c>
      <c r="C623" t="s">
        <v>133</v>
      </c>
      <c r="D623" t="s">
        <v>116</v>
      </c>
      <c r="E623" t="s">
        <v>418</v>
      </c>
      <c r="F623" t="s">
        <v>7</v>
      </c>
      <c r="G623" t="s">
        <v>130</v>
      </c>
      <c r="H623" s="1">
        <v>46126</v>
      </c>
      <c r="I623" t="s">
        <v>5942</v>
      </c>
      <c r="J623" t="s">
        <v>5943</v>
      </c>
      <c r="K623" t="s">
        <v>2296</v>
      </c>
      <c r="L623" t="s">
        <v>901</v>
      </c>
      <c r="M623" t="s">
        <v>1178</v>
      </c>
      <c r="N623" s="166">
        <v>21.12</v>
      </c>
      <c r="O623" t="s">
        <v>131</v>
      </c>
    </row>
    <row r="624" spans="1:15">
      <c r="A624" s="166" t="s">
        <v>5944</v>
      </c>
      <c r="B624" t="s">
        <v>111</v>
      </c>
      <c r="C624" t="s">
        <v>134</v>
      </c>
      <c r="D624" t="s">
        <v>116</v>
      </c>
      <c r="E624" t="s">
        <v>418</v>
      </c>
      <c r="F624" t="s">
        <v>7</v>
      </c>
      <c r="G624" t="s">
        <v>130</v>
      </c>
      <c r="H624" s="1">
        <v>46126</v>
      </c>
      <c r="I624" t="s">
        <v>5945</v>
      </c>
      <c r="J624" t="s">
        <v>5946</v>
      </c>
      <c r="K624" t="s">
        <v>2668</v>
      </c>
      <c r="L624" t="s">
        <v>515</v>
      </c>
      <c r="M624" t="s">
        <v>812</v>
      </c>
      <c r="N624" s="166">
        <v>24.18</v>
      </c>
      <c r="O624" t="s">
        <v>131</v>
      </c>
    </row>
    <row r="625" spans="1:15">
      <c r="A625" s="166" t="s">
        <v>5947</v>
      </c>
      <c r="B625" t="s">
        <v>111</v>
      </c>
      <c r="C625" t="s">
        <v>136</v>
      </c>
      <c r="D625" t="s">
        <v>116</v>
      </c>
      <c r="E625" t="s">
        <v>418</v>
      </c>
      <c r="F625" t="s">
        <v>7</v>
      </c>
      <c r="G625" t="s">
        <v>130</v>
      </c>
      <c r="H625" s="1">
        <v>46126</v>
      </c>
      <c r="I625" t="s">
        <v>5948</v>
      </c>
      <c r="J625" t="s">
        <v>5949</v>
      </c>
      <c r="K625" t="s">
        <v>4360</v>
      </c>
      <c r="L625" t="s">
        <v>1662</v>
      </c>
      <c r="M625" t="s">
        <v>688</v>
      </c>
      <c r="N625" s="166">
        <v>25.56</v>
      </c>
      <c r="O625" t="s">
        <v>131</v>
      </c>
    </row>
    <row r="626" spans="1:15">
      <c r="A626" s="166" t="s">
        <v>5950</v>
      </c>
      <c r="B626" t="s">
        <v>111</v>
      </c>
      <c r="C626" t="s">
        <v>135</v>
      </c>
      <c r="D626" t="s">
        <v>116</v>
      </c>
      <c r="E626" t="s">
        <v>418</v>
      </c>
      <c r="F626" t="s">
        <v>7</v>
      </c>
      <c r="G626" t="s">
        <v>130</v>
      </c>
      <c r="H626" s="1">
        <v>46126</v>
      </c>
      <c r="I626" t="s">
        <v>5951</v>
      </c>
      <c r="J626" t="s">
        <v>5952</v>
      </c>
      <c r="K626" t="s">
        <v>1619</v>
      </c>
      <c r="L626" t="s">
        <v>1835</v>
      </c>
      <c r="M626" t="s">
        <v>1223</v>
      </c>
      <c r="N626" s="166">
        <v>22.76</v>
      </c>
      <c r="O626" t="s">
        <v>131</v>
      </c>
    </row>
    <row r="627" spans="1:15">
      <c r="A627" s="166" t="s">
        <v>5953</v>
      </c>
      <c r="B627" t="s">
        <v>111</v>
      </c>
      <c r="C627" t="s">
        <v>133</v>
      </c>
      <c r="D627" t="s">
        <v>116</v>
      </c>
      <c r="E627" t="s">
        <v>418</v>
      </c>
      <c r="F627" t="s">
        <v>7</v>
      </c>
      <c r="G627" t="s">
        <v>130</v>
      </c>
      <c r="H627" s="1">
        <v>46126</v>
      </c>
      <c r="I627" t="s">
        <v>5954</v>
      </c>
      <c r="J627" t="s">
        <v>5955</v>
      </c>
      <c r="K627" t="s">
        <v>4649</v>
      </c>
      <c r="L627" t="s">
        <v>5385</v>
      </c>
      <c r="M627" t="s">
        <v>498</v>
      </c>
      <c r="N627" s="166">
        <v>21.62</v>
      </c>
      <c r="O627" t="s">
        <v>131</v>
      </c>
    </row>
    <row r="628" spans="1:15">
      <c r="A628" s="166" t="s">
        <v>5956</v>
      </c>
      <c r="B628" t="s">
        <v>111</v>
      </c>
      <c r="C628" t="s">
        <v>136</v>
      </c>
      <c r="D628" t="s">
        <v>116</v>
      </c>
      <c r="E628" t="s">
        <v>418</v>
      </c>
      <c r="F628" t="s">
        <v>7</v>
      </c>
      <c r="G628" t="s">
        <v>130</v>
      </c>
      <c r="H628" s="1">
        <v>46126</v>
      </c>
      <c r="I628" t="s">
        <v>5957</v>
      </c>
      <c r="J628" t="s">
        <v>5958</v>
      </c>
      <c r="K628" t="s">
        <v>5035</v>
      </c>
      <c r="L628" t="s">
        <v>672</v>
      </c>
      <c r="M628" t="s">
        <v>1095</v>
      </c>
      <c r="N628" s="166">
        <v>23.78</v>
      </c>
      <c r="O628" t="s">
        <v>131</v>
      </c>
    </row>
    <row r="629" spans="1:15">
      <c r="A629" s="166" t="s">
        <v>5959</v>
      </c>
      <c r="B629" t="s">
        <v>111</v>
      </c>
      <c r="C629" t="s">
        <v>135</v>
      </c>
      <c r="D629" t="s">
        <v>116</v>
      </c>
      <c r="E629" t="s">
        <v>418</v>
      </c>
      <c r="F629" t="s">
        <v>7</v>
      </c>
      <c r="G629" t="s">
        <v>130</v>
      </c>
      <c r="H629" s="1">
        <v>46126</v>
      </c>
      <c r="I629" t="s">
        <v>5960</v>
      </c>
      <c r="J629" t="s">
        <v>5961</v>
      </c>
      <c r="K629" t="s">
        <v>2677</v>
      </c>
      <c r="L629" t="s">
        <v>2004</v>
      </c>
      <c r="M629" t="s">
        <v>2669</v>
      </c>
      <c r="N629" s="166">
        <v>23.32</v>
      </c>
      <c r="O629" t="s">
        <v>131</v>
      </c>
    </row>
    <row r="630" spans="1:15">
      <c r="A630" s="166" t="s">
        <v>5962</v>
      </c>
      <c r="B630" t="s">
        <v>111</v>
      </c>
      <c r="C630" t="s">
        <v>133</v>
      </c>
      <c r="D630" t="s">
        <v>116</v>
      </c>
      <c r="E630" t="s">
        <v>418</v>
      </c>
      <c r="F630" t="s">
        <v>7</v>
      </c>
      <c r="G630" t="s">
        <v>130</v>
      </c>
      <c r="H630" s="1">
        <v>46126</v>
      </c>
      <c r="I630" t="s">
        <v>5963</v>
      </c>
      <c r="J630" t="s">
        <v>5964</v>
      </c>
      <c r="K630" t="s">
        <v>3255</v>
      </c>
      <c r="L630" t="s">
        <v>890</v>
      </c>
      <c r="M630" t="s">
        <v>3765</v>
      </c>
      <c r="N630" s="166">
        <v>22.7</v>
      </c>
      <c r="O630" t="s">
        <v>131</v>
      </c>
    </row>
    <row r="631" spans="1:15">
      <c r="A631" s="166" t="s">
        <v>5965</v>
      </c>
      <c r="B631" t="s">
        <v>111</v>
      </c>
      <c r="C631" t="s">
        <v>136</v>
      </c>
      <c r="D631" t="s">
        <v>116</v>
      </c>
      <c r="E631" t="s">
        <v>418</v>
      </c>
      <c r="F631" t="s">
        <v>7</v>
      </c>
      <c r="G631" t="s">
        <v>130</v>
      </c>
      <c r="H631" s="1">
        <v>46126</v>
      </c>
      <c r="I631" t="s">
        <v>5966</v>
      </c>
      <c r="J631" t="s">
        <v>5967</v>
      </c>
      <c r="K631" t="s">
        <v>2198</v>
      </c>
      <c r="L631" t="s">
        <v>2058</v>
      </c>
      <c r="M631" t="s">
        <v>857</v>
      </c>
      <c r="N631" s="166">
        <v>22.94</v>
      </c>
      <c r="O631" t="s">
        <v>131</v>
      </c>
    </row>
    <row r="632" spans="1:15">
      <c r="A632" s="166" t="s">
        <v>5968</v>
      </c>
      <c r="B632" t="s">
        <v>111</v>
      </c>
      <c r="C632" t="s">
        <v>135</v>
      </c>
      <c r="D632" t="s">
        <v>116</v>
      </c>
      <c r="E632" t="s">
        <v>418</v>
      </c>
      <c r="F632" t="s">
        <v>7</v>
      </c>
      <c r="G632" t="s">
        <v>130</v>
      </c>
      <c r="H632" s="1">
        <v>46126</v>
      </c>
      <c r="I632" t="s">
        <v>5969</v>
      </c>
      <c r="J632" t="s">
        <v>5970</v>
      </c>
      <c r="K632" t="s">
        <v>3614</v>
      </c>
      <c r="L632" t="s">
        <v>907</v>
      </c>
      <c r="M632" t="s">
        <v>688</v>
      </c>
      <c r="N632" s="166">
        <v>25.56</v>
      </c>
      <c r="O632" t="s">
        <v>131</v>
      </c>
    </row>
    <row r="633" spans="1:15">
      <c r="A633" s="166" t="s">
        <v>5971</v>
      </c>
      <c r="B633" t="s">
        <v>111</v>
      </c>
      <c r="C633" t="s">
        <v>133</v>
      </c>
      <c r="D633" t="s">
        <v>116</v>
      </c>
      <c r="E633" t="s">
        <v>418</v>
      </c>
      <c r="F633" t="s">
        <v>7</v>
      </c>
      <c r="G633" t="s">
        <v>130</v>
      </c>
      <c r="H633" s="1">
        <v>46126</v>
      </c>
      <c r="I633" t="s">
        <v>5972</v>
      </c>
      <c r="J633" t="s">
        <v>5973</v>
      </c>
      <c r="K633" t="s">
        <v>158</v>
      </c>
      <c r="L633" t="s">
        <v>870</v>
      </c>
      <c r="M633" t="s">
        <v>3278</v>
      </c>
      <c r="N633" s="166">
        <v>22.32</v>
      </c>
      <c r="O633" t="s">
        <v>131</v>
      </c>
    </row>
    <row r="634" spans="1:15">
      <c r="A634" s="166" t="s">
        <v>5668</v>
      </c>
      <c r="B634" t="s">
        <v>111</v>
      </c>
      <c r="C634" t="s">
        <v>136</v>
      </c>
      <c r="D634" t="s">
        <v>116</v>
      </c>
      <c r="E634" t="s">
        <v>418</v>
      </c>
      <c r="F634" t="s">
        <v>7</v>
      </c>
      <c r="G634" t="s">
        <v>130</v>
      </c>
      <c r="H634" s="1">
        <v>46126</v>
      </c>
      <c r="I634" t="s">
        <v>5974</v>
      </c>
      <c r="J634" t="s">
        <v>5975</v>
      </c>
      <c r="K634" t="s">
        <v>719</v>
      </c>
      <c r="L634" t="s">
        <v>2127</v>
      </c>
      <c r="M634" t="s">
        <v>202</v>
      </c>
      <c r="N634" s="166">
        <v>23.46</v>
      </c>
      <c r="O634" t="s">
        <v>131</v>
      </c>
    </row>
    <row r="635" spans="1:15">
      <c r="A635" s="166" t="s">
        <v>5976</v>
      </c>
      <c r="B635" t="s">
        <v>111</v>
      </c>
      <c r="C635" t="s">
        <v>135</v>
      </c>
      <c r="D635" t="s">
        <v>116</v>
      </c>
      <c r="E635" t="s">
        <v>418</v>
      </c>
      <c r="F635" t="s">
        <v>7</v>
      </c>
      <c r="G635" t="s">
        <v>130</v>
      </c>
      <c r="H635" s="1">
        <v>46126</v>
      </c>
      <c r="I635" t="s">
        <v>5977</v>
      </c>
      <c r="J635" t="s">
        <v>5978</v>
      </c>
      <c r="K635" t="s">
        <v>3282</v>
      </c>
      <c r="L635" t="s">
        <v>2657</v>
      </c>
      <c r="M635" t="s">
        <v>1452</v>
      </c>
      <c r="N635" s="166">
        <v>22.96</v>
      </c>
      <c r="O635" t="s">
        <v>131</v>
      </c>
    </row>
    <row r="636" spans="1:15">
      <c r="A636" s="166" t="s">
        <v>5979</v>
      </c>
      <c r="B636" t="s">
        <v>111</v>
      </c>
      <c r="C636" t="s">
        <v>133</v>
      </c>
      <c r="D636" t="s">
        <v>116</v>
      </c>
      <c r="E636" t="s">
        <v>418</v>
      </c>
      <c r="F636" t="s">
        <v>7</v>
      </c>
      <c r="G636" t="s">
        <v>130</v>
      </c>
      <c r="H636" s="1">
        <v>46126</v>
      </c>
      <c r="I636" t="s">
        <v>5980</v>
      </c>
      <c r="J636" t="s">
        <v>5981</v>
      </c>
      <c r="K636" t="s">
        <v>228</v>
      </c>
      <c r="L636" t="s">
        <v>3967</v>
      </c>
      <c r="M636" t="s">
        <v>5753</v>
      </c>
      <c r="N636" s="166">
        <v>21.58</v>
      </c>
      <c r="O636" t="s">
        <v>131</v>
      </c>
    </row>
    <row r="637" spans="1:15">
      <c r="A637" s="166" t="s">
        <v>5982</v>
      </c>
      <c r="B637" t="s">
        <v>111</v>
      </c>
      <c r="C637" t="s">
        <v>136</v>
      </c>
      <c r="D637" t="s">
        <v>116</v>
      </c>
      <c r="E637" t="s">
        <v>418</v>
      </c>
      <c r="F637" t="s">
        <v>7</v>
      </c>
      <c r="G637" t="s">
        <v>130</v>
      </c>
      <c r="H637" s="1">
        <v>46126</v>
      </c>
      <c r="I637" t="s">
        <v>5983</v>
      </c>
      <c r="J637" t="s">
        <v>5984</v>
      </c>
      <c r="K637" t="s">
        <v>4360</v>
      </c>
      <c r="L637" t="s">
        <v>2127</v>
      </c>
      <c r="M637" t="s">
        <v>3689</v>
      </c>
      <c r="N637" s="166">
        <v>25.44</v>
      </c>
      <c r="O637" t="s">
        <v>131</v>
      </c>
    </row>
    <row r="638" spans="1:15">
      <c r="A638" s="166" t="s">
        <v>5985</v>
      </c>
      <c r="B638" t="s">
        <v>111</v>
      </c>
      <c r="C638" t="s">
        <v>135</v>
      </c>
      <c r="D638" t="s">
        <v>116</v>
      </c>
      <c r="E638" t="s">
        <v>418</v>
      </c>
      <c r="F638" t="s">
        <v>7</v>
      </c>
      <c r="G638" t="s">
        <v>130</v>
      </c>
      <c r="H638" s="1">
        <v>46126</v>
      </c>
      <c r="I638" t="s">
        <v>5986</v>
      </c>
      <c r="J638" t="s">
        <v>5987</v>
      </c>
      <c r="K638" t="s">
        <v>4815</v>
      </c>
      <c r="L638" t="s">
        <v>1280</v>
      </c>
      <c r="M638" t="s">
        <v>410</v>
      </c>
      <c r="N638" s="166">
        <v>22.36</v>
      </c>
      <c r="O638" t="s">
        <v>131</v>
      </c>
    </row>
    <row r="639" spans="1:15">
      <c r="A639" s="166" t="s">
        <v>5988</v>
      </c>
      <c r="B639" t="s">
        <v>111</v>
      </c>
      <c r="C639" t="s">
        <v>133</v>
      </c>
      <c r="D639" t="s">
        <v>116</v>
      </c>
      <c r="E639" t="s">
        <v>418</v>
      </c>
      <c r="F639" t="s">
        <v>7</v>
      </c>
      <c r="G639" t="s">
        <v>130</v>
      </c>
      <c r="H639" s="1">
        <v>46126</v>
      </c>
      <c r="I639" t="s">
        <v>5989</v>
      </c>
      <c r="J639" t="s">
        <v>5990</v>
      </c>
      <c r="K639" t="s">
        <v>3744</v>
      </c>
      <c r="L639" t="s">
        <v>1101</v>
      </c>
      <c r="M639" t="s">
        <v>747</v>
      </c>
      <c r="N639" s="166">
        <v>23.38</v>
      </c>
      <c r="O639" t="s">
        <v>131</v>
      </c>
    </row>
    <row r="640" spans="1:15">
      <c r="A640" s="166" t="s">
        <v>5991</v>
      </c>
      <c r="B640" t="s">
        <v>111</v>
      </c>
      <c r="C640" t="s">
        <v>136</v>
      </c>
      <c r="D640" t="s">
        <v>116</v>
      </c>
      <c r="E640" t="s">
        <v>418</v>
      </c>
      <c r="F640" t="s">
        <v>7</v>
      </c>
      <c r="G640" t="s">
        <v>130</v>
      </c>
      <c r="H640" s="1">
        <v>46126</v>
      </c>
      <c r="I640" t="s">
        <v>5992</v>
      </c>
      <c r="J640" t="s">
        <v>5993</v>
      </c>
      <c r="K640" t="s">
        <v>706</v>
      </c>
      <c r="L640" t="s">
        <v>2184</v>
      </c>
      <c r="M640" t="s">
        <v>2692</v>
      </c>
      <c r="N640" s="166">
        <v>24.92</v>
      </c>
      <c r="O640" t="s">
        <v>131</v>
      </c>
    </row>
    <row r="641" spans="1:15">
      <c r="A641" s="166" t="s">
        <v>5994</v>
      </c>
      <c r="B641" t="s">
        <v>111</v>
      </c>
      <c r="C641" t="s">
        <v>135</v>
      </c>
      <c r="D641" t="s">
        <v>116</v>
      </c>
      <c r="E641" t="s">
        <v>418</v>
      </c>
      <c r="F641" t="s">
        <v>7</v>
      </c>
      <c r="G641" t="s">
        <v>130</v>
      </c>
      <c r="H641" s="1">
        <v>46126</v>
      </c>
      <c r="I641" t="s">
        <v>5995</v>
      </c>
      <c r="J641" t="s">
        <v>5996</v>
      </c>
      <c r="K641" t="s">
        <v>3871</v>
      </c>
      <c r="L641" t="s">
        <v>1280</v>
      </c>
      <c r="M641" t="s">
        <v>846</v>
      </c>
      <c r="N641" s="166">
        <v>23.04</v>
      </c>
      <c r="O641" t="s">
        <v>131</v>
      </c>
    </row>
    <row r="642" spans="1:15">
      <c r="A642" s="166" t="s">
        <v>5997</v>
      </c>
      <c r="B642" t="s">
        <v>111</v>
      </c>
      <c r="C642" t="s">
        <v>133</v>
      </c>
      <c r="D642" t="s">
        <v>116</v>
      </c>
      <c r="E642" t="s">
        <v>418</v>
      </c>
      <c r="F642" t="s">
        <v>7</v>
      </c>
      <c r="G642" t="s">
        <v>130</v>
      </c>
      <c r="H642" s="1">
        <v>46126</v>
      </c>
      <c r="I642" t="s">
        <v>5998</v>
      </c>
      <c r="J642" t="s">
        <v>5999</v>
      </c>
      <c r="K642" t="s">
        <v>1834</v>
      </c>
      <c r="L642" t="s">
        <v>3129</v>
      </c>
      <c r="M642" t="s">
        <v>504</v>
      </c>
      <c r="N642" s="166">
        <v>23.16</v>
      </c>
      <c r="O642" t="s">
        <v>131</v>
      </c>
    </row>
    <row r="643" spans="1:15">
      <c r="A643" s="166" t="s">
        <v>6000</v>
      </c>
      <c r="B643" t="s">
        <v>111</v>
      </c>
      <c r="C643" t="s">
        <v>136</v>
      </c>
      <c r="D643" t="s">
        <v>116</v>
      </c>
      <c r="E643" t="s">
        <v>418</v>
      </c>
      <c r="F643" t="s">
        <v>7</v>
      </c>
      <c r="G643" t="s">
        <v>130</v>
      </c>
      <c r="H643" s="1">
        <v>46126</v>
      </c>
      <c r="I643" t="s">
        <v>6001</v>
      </c>
      <c r="J643" t="s">
        <v>6002</v>
      </c>
      <c r="K643" t="s">
        <v>895</v>
      </c>
      <c r="L643" t="s">
        <v>687</v>
      </c>
      <c r="M643" t="s">
        <v>1723</v>
      </c>
      <c r="N643" s="166">
        <v>25.48</v>
      </c>
      <c r="O643" t="s">
        <v>131</v>
      </c>
    </row>
    <row r="644" spans="1:15">
      <c r="A644" s="166" t="s">
        <v>6003</v>
      </c>
      <c r="B644" t="s">
        <v>111</v>
      </c>
      <c r="C644" t="s">
        <v>135</v>
      </c>
      <c r="D644" t="s">
        <v>116</v>
      </c>
      <c r="E644" t="s">
        <v>418</v>
      </c>
      <c r="F644" t="s">
        <v>7</v>
      </c>
      <c r="G644" t="s">
        <v>130</v>
      </c>
      <c r="H644" s="1">
        <v>46126</v>
      </c>
      <c r="I644" t="s">
        <v>6004</v>
      </c>
      <c r="J644" t="s">
        <v>6005</v>
      </c>
      <c r="K644" t="s">
        <v>2203</v>
      </c>
      <c r="L644" t="s">
        <v>2657</v>
      </c>
      <c r="M644" t="s">
        <v>2721</v>
      </c>
      <c r="N644" s="166">
        <v>25.7</v>
      </c>
      <c r="O644" t="s">
        <v>131</v>
      </c>
    </row>
    <row r="645" spans="1:15">
      <c r="A645" s="166" t="s">
        <v>6006</v>
      </c>
      <c r="B645" t="s">
        <v>111</v>
      </c>
      <c r="C645" t="s">
        <v>133</v>
      </c>
      <c r="D645" t="s">
        <v>116</v>
      </c>
      <c r="E645" t="s">
        <v>418</v>
      </c>
      <c r="F645" t="s">
        <v>7</v>
      </c>
      <c r="G645" t="s">
        <v>130</v>
      </c>
      <c r="H645" s="1">
        <v>46126</v>
      </c>
      <c r="I645" t="s">
        <v>6007</v>
      </c>
      <c r="J645" t="s">
        <v>6008</v>
      </c>
      <c r="K645" t="s">
        <v>2629</v>
      </c>
      <c r="L645" t="s">
        <v>465</v>
      </c>
      <c r="M645" t="s">
        <v>5028</v>
      </c>
      <c r="N645" s="166">
        <v>24.38</v>
      </c>
      <c r="O645" t="s">
        <v>131</v>
      </c>
    </row>
    <row r="646" spans="1:15">
      <c r="A646" s="166" t="s">
        <v>6009</v>
      </c>
      <c r="B646" t="s">
        <v>111</v>
      </c>
      <c r="C646" t="s">
        <v>136</v>
      </c>
      <c r="D646" t="s">
        <v>116</v>
      </c>
      <c r="E646" t="s">
        <v>418</v>
      </c>
      <c r="F646" t="s">
        <v>7</v>
      </c>
      <c r="G646" t="s">
        <v>130</v>
      </c>
      <c r="H646" s="1">
        <v>46126</v>
      </c>
      <c r="I646" t="s">
        <v>6010</v>
      </c>
      <c r="J646" t="s">
        <v>6011</v>
      </c>
      <c r="K646" t="s">
        <v>3670</v>
      </c>
      <c r="L646" t="s">
        <v>2544</v>
      </c>
      <c r="M646" t="s">
        <v>5141</v>
      </c>
      <c r="N646" s="166">
        <v>22.88</v>
      </c>
      <c r="O646" t="s">
        <v>131</v>
      </c>
    </row>
    <row r="647" spans="1:15">
      <c r="A647" s="166" t="s">
        <v>6012</v>
      </c>
      <c r="B647" t="s">
        <v>111</v>
      </c>
      <c r="C647" t="s">
        <v>135</v>
      </c>
      <c r="D647" t="s">
        <v>116</v>
      </c>
      <c r="E647" t="s">
        <v>418</v>
      </c>
      <c r="F647" t="s">
        <v>7</v>
      </c>
      <c r="G647" t="s">
        <v>130</v>
      </c>
      <c r="H647" s="1">
        <v>46126</v>
      </c>
      <c r="I647" t="s">
        <v>6013</v>
      </c>
      <c r="J647" t="s">
        <v>6014</v>
      </c>
      <c r="K647" t="s">
        <v>844</v>
      </c>
      <c r="L647" t="s">
        <v>2568</v>
      </c>
      <c r="M647" t="s">
        <v>5535</v>
      </c>
      <c r="N647" s="166">
        <v>23.36</v>
      </c>
      <c r="O647" t="s">
        <v>131</v>
      </c>
    </row>
    <row r="648" spans="1:15">
      <c r="A648" s="166" t="s">
        <v>6015</v>
      </c>
      <c r="B648" t="s">
        <v>111</v>
      </c>
      <c r="C648" t="s">
        <v>133</v>
      </c>
      <c r="D648" t="s">
        <v>116</v>
      </c>
      <c r="E648" t="s">
        <v>418</v>
      </c>
      <c r="F648" t="s">
        <v>7</v>
      </c>
      <c r="G648" t="s">
        <v>130</v>
      </c>
      <c r="H648" s="1">
        <v>46126</v>
      </c>
      <c r="I648" t="s">
        <v>6016</v>
      </c>
      <c r="J648" t="s">
        <v>6017</v>
      </c>
      <c r="K648" t="s">
        <v>879</v>
      </c>
      <c r="L648" t="s">
        <v>1177</v>
      </c>
      <c r="M648" t="s">
        <v>2975</v>
      </c>
      <c r="N648" s="166">
        <v>24.06</v>
      </c>
      <c r="O648" t="s">
        <v>131</v>
      </c>
    </row>
    <row r="649" spans="1:15">
      <c r="A649" s="166" t="s">
        <v>6018</v>
      </c>
      <c r="B649" t="s">
        <v>111</v>
      </c>
      <c r="C649" t="s">
        <v>136</v>
      </c>
      <c r="D649" t="s">
        <v>116</v>
      </c>
      <c r="E649" t="s">
        <v>418</v>
      </c>
      <c r="F649" t="s">
        <v>7</v>
      </c>
      <c r="G649" t="s">
        <v>130</v>
      </c>
      <c r="H649" s="1">
        <v>46126</v>
      </c>
      <c r="I649" t="s">
        <v>6019</v>
      </c>
      <c r="J649" t="s">
        <v>6020</v>
      </c>
      <c r="K649" t="s">
        <v>1606</v>
      </c>
      <c r="L649" t="s">
        <v>3295</v>
      </c>
      <c r="M649" t="s">
        <v>4834</v>
      </c>
      <c r="N649" s="166">
        <v>21.36</v>
      </c>
      <c r="O649" t="s">
        <v>131</v>
      </c>
    </row>
    <row r="650" spans="1:15">
      <c r="A650" s="166" t="s">
        <v>6021</v>
      </c>
      <c r="B650" t="s">
        <v>111</v>
      </c>
      <c r="C650" t="s">
        <v>135</v>
      </c>
      <c r="D650" t="s">
        <v>116</v>
      </c>
      <c r="E650" t="s">
        <v>418</v>
      </c>
      <c r="F650" t="s">
        <v>7</v>
      </c>
      <c r="G650" t="s">
        <v>130</v>
      </c>
      <c r="H650" s="1">
        <v>46126</v>
      </c>
      <c r="I650" t="s">
        <v>6022</v>
      </c>
      <c r="J650" t="s">
        <v>6023</v>
      </c>
      <c r="K650" t="s">
        <v>4879</v>
      </c>
      <c r="L650" t="s">
        <v>169</v>
      </c>
      <c r="M650" t="s">
        <v>1164</v>
      </c>
      <c r="N650" s="166">
        <v>22.46</v>
      </c>
      <c r="O650" t="s">
        <v>131</v>
      </c>
    </row>
    <row r="651" spans="1:15">
      <c r="A651" s="166" t="s">
        <v>6024</v>
      </c>
      <c r="B651" t="s">
        <v>111</v>
      </c>
      <c r="C651" t="s">
        <v>133</v>
      </c>
      <c r="D651" t="s">
        <v>116</v>
      </c>
      <c r="E651" t="s">
        <v>418</v>
      </c>
      <c r="F651" t="s">
        <v>7</v>
      </c>
      <c r="G651" t="s">
        <v>130</v>
      </c>
      <c r="H651" s="1">
        <v>46126</v>
      </c>
      <c r="I651" t="s">
        <v>6025</v>
      </c>
      <c r="J651" t="s">
        <v>6026</v>
      </c>
      <c r="K651" t="s">
        <v>1727</v>
      </c>
      <c r="L651" t="s">
        <v>1177</v>
      </c>
      <c r="M651" t="s">
        <v>4751</v>
      </c>
      <c r="N651" s="166">
        <v>23.24</v>
      </c>
      <c r="O651" t="s">
        <v>131</v>
      </c>
    </row>
    <row r="652" spans="1:15">
      <c r="A652" s="166" t="s">
        <v>6027</v>
      </c>
      <c r="B652" t="s">
        <v>111</v>
      </c>
      <c r="C652" t="s">
        <v>136</v>
      </c>
      <c r="D652" t="s">
        <v>116</v>
      </c>
      <c r="E652" t="s">
        <v>418</v>
      </c>
      <c r="F652" t="s">
        <v>7</v>
      </c>
      <c r="G652" t="s">
        <v>130</v>
      </c>
      <c r="H652" s="1">
        <v>46126</v>
      </c>
      <c r="I652" t="s">
        <v>6028</v>
      </c>
      <c r="J652" t="s">
        <v>6029</v>
      </c>
      <c r="K652" t="s">
        <v>161</v>
      </c>
      <c r="L652" t="s">
        <v>2272</v>
      </c>
      <c r="M652" t="s">
        <v>2395</v>
      </c>
      <c r="N652" s="166">
        <v>23.22</v>
      </c>
      <c r="O652" t="s">
        <v>131</v>
      </c>
    </row>
    <row r="653" spans="1:15">
      <c r="A653" s="166" t="s">
        <v>6030</v>
      </c>
      <c r="B653" t="s">
        <v>111</v>
      </c>
      <c r="C653" t="s">
        <v>135</v>
      </c>
      <c r="D653" t="s">
        <v>116</v>
      </c>
      <c r="E653" t="s">
        <v>418</v>
      </c>
      <c r="F653" t="s">
        <v>7</v>
      </c>
      <c r="G653" t="s">
        <v>130</v>
      </c>
      <c r="H653" s="1">
        <v>46126</v>
      </c>
      <c r="I653" t="s">
        <v>6031</v>
      </c>
      <c r="J653" t="s">
        <v>6032</v>
      </c>
      <c r="K653" t="s">
        <v>649</v>
      </c>
      <c r="L653" t="s">
        <v>2523</v>
      </c>
      <c r="M653" t="s">
        <v>2745</v>
      </c>
      <c r="N653" s="166">
        <v>20.78</v>
      </c>
      <c r="O653" t="s">
        <v>131</v>
      </c>
    </row>
    <row r="654" spans="1:15">
      <c r="A654" s="166" t="s">
        <v>4111</v>
      </c>
      <c r="B654" t="s">
        <v>111</v>
      </c>
      <c r="C654" t="s">
        <v>133</v>
      </c>
      <c r="D654" t="s">
        <v>116</v>
      </c>
      <c r="E654" t="s">
        <v>418</v>
      </c>
      <c r="F654" t="s">
        <v>7</v>
      </c>
      <c r="G654" t="s">
        <v>130</v>
      </c>
      <c r="H654" s="1">
        <v>46126</v>
      </c>
      <c r="I654" t="s">
        <v>6033</v>
      </c>
      <c r="J654" t="s">
        <v>6034</v>
      </c>
      <c r="K654" t="s">
        <v>664</v>
      </c>
      <c r="L654" t="s">
        <v>2090</v>
      </c>
      <c r="M654" t="s">
        <v>1164</v>
      </c>
      <c r="N654" s="166">
        <v>22.46</v>
      </c>
      <c r="O654" t="s">
        <v>131</v>
      </c>
    </row>
    <row r="655" spans="1:15">
      <c r="A655" s="166" t="s">
        <v>6035</v>
      </c>
      <c r="B655" t="s">
        <v>111</v>
      </c>
      <c r="C655" t="s">
        <v>136</v>
      </c>
      <c r="D655" t="s">
        <v>116</v>
      </c>
      <c r="E655" t="s">
        <v>418</v>
      </c>
      <c r="F655" t="s">
        <v>7</v>
      </c>
      <c r="G655" t="s">
        <v>130</v>
      </c>
      <c r="H655" s="1">
        <v>46126</v>
      </c>
      <c r="I655" t="s">
        <v>6036</v>
      </c>
      <c r="J655" t="s">
        <v>6037</v>
      </c>
      <c r="K655" t="s">
        <v>528</v>
      </c>
      <c r="L655" t="s">
        <v>1845</v>
      </c>
      <c r="M655" t="s">
        <v>1529</v>
      </c>
      <c r="N655" s="166">
        <v>19.88</v>
      </c>
      <c r="O655" t="s">
        <v>131</v>
      </c>
    </row>
    <row r="656" spans="1:15">
      <c r="A656" s="166" t="s">
        <v>6038</v>
      </c>
      <c r="B656" t="s">
        <v>111</v>
      </c>
      <c r="C656" t="s">
        <v>135</v>
      </c>
      <c r="D656" t="s">
        <v>116</v>
      </c>
      <c r="E656" t="s">
        <v>418</v>
      </c>
      <c r="F656" t="s">
        <v>7</v>
      </c>
      <c r="G656" t="s">
        <v>130</v>
      </c>
      <c r="H656" s="1">
        <v>46126</v>
      </c>
      <c r="I656" t="s">
        <v>6039</v>
      </c>
      <c r="J656" t="s">
        <v>6040</v>
      </c>
      <c r="K656" t="s">
        <v>2853</v>
      </c>
      <c r="L656" t="s">
        <v>2473</v>
      </c>
      <c r="M656" t="s">
        <v>189</v>
      </c>
      <c r="N656" s="166">
        <v>24</v>
      </c>
      <c r="O656" t="s">
        <v>131</v>
      </c>
    </row>
    <row r="657" spans="1:15">
      <c r="A657" s="166" t="s">
        <v>6041</v>
      </c>
      <c r="B657" t="s">
        <v>111</v>
      </c>
      <c r="C657" t="s">
        <v>133</v>
      </c>
      <c r="D657" t="s">
        <v>116</v>
      </c>
      <c r="E657" t="s">
        <v>418</v>
      </c>
      <c r="F657" t="s">
        <v>7</v>
      </c>
      <c r="G657" t="s">
        <v>130</v>
      </c>
      <c r="H657" s="1">
        <v>46126</v>
      </c>
      <c r="I657" t="s">
        <v>6042</v>
      </c>
      <c r="J657" t="s">
        <v>6043</v>
      </c>
      <c r="K657" t="s">
        <v>3693</v>
      </c>
      <c r="L657" t="s">
        <v>2090</v>
      </c>
      <c r="M657" t="s">
        <v>756</v>
      </c>
      <c r="N657" s="166">
        <v>22.1</v>
      </c>
      <c r="O657" t="s">
        <v>131</v>
      </c>
    </row>
    <row r="658" spans="1:15">
      <c r="A658" s="166" t="s">
        <v>6044</v>
      </c>
      <c r="B658" t="s">
        <v>111</v>
      </c>
      <c r="C658" t="s">
        <v>136</v>
      </c>
      <c r="D658" t="s">
        <v>116</v>
      </c>
      <c r="E658" t="s">
        <v>418</v>
      </c>
      <c r="F658" t="s">
        <v>7</v>
      </c>
      <c r="G658" t="s">
        <v>130</v>
      </c>
      <c r="H658" s="1">
        <v>46126</v>
      </c>
      <c r="I658" t="s">
        <v>6045</v>
      </c>
      <c r="J658" t="s">
        <v>6046</v>
      </c>
      <c r="K658" t="s">
        <v>1214</v>
      </c>
      <c r="L658" t="s">
        <v>1845</v>
      </c>
      <c r="M658" t="s">
        <v>666</v>
      </c>
      <c r="N658" s="166">
        <v>23.6</v>
      </c>
      <c r="O658" t="s">
        <v>131</v>
      </c>
    </row>
    <row r="659" spans="1:15">
      <c r="A659" s="166" t="s">
        <v>6047</v>
      </c>
      <c r="B659" t="s">
        <v>111</v>
      </c>
      <c r="C659" t="s">
        <v>135</v>
      </c>
      <c r="D659" t="s">
        <v>116</v>
      </c>
      <c r="E659" t="s">
        <v>418</v>
      </c>
      <c r="F659" t="s">
        <v>7</v>
      </c>
      <c r="G659" t="s">
        <v>130</v>
      </c>
      <c r="H659" s="1">
        <v>46126</v>
      </c>
      <c r="I659" t="s">
        <v>6048</v>
      </c>
      <c r="J659" t="s">
        <v>6049</v>
      </c>
      <c r="K659" t="s">
        <v>4983</v>
      </c>
      <c r="L659" t="s">
        <v>3857</v>
      </c>
      <c r="M659" t="s">
        <v>634</v>
      </c>
      <c r="N659" s="166">
        <v>21.06</v>
      </c>
      <c r="O659" t="s">
        <v>131</v>
      </c>
    </row>
    <row r="660" spans="1:15">
      <c r="A660" s="166" t="s">
        <v>6050</v>
      </c>
      <c r="B660" t="s">
        <v>111</v>
      </c>
      <c r="C660" t="s">
        <v>133</v>
      </c>
      <c r="D660" t="s">
        <v>116</v>
      </c>
      <c r="E660" t="s">
        <v>418</v>
      </c>
      <c r="F660" t="s">
        <v>7</v>
      </c>
      <c r="G660" t="s">
        <v>130</v>
      </c>
      <c r="H660" s="1">
        <v>46126</v>
      </c>
      <c r="I660" t="s">
        <v>6051</v>
      </c>
      <c r="J660" t="s">
        <v>6052</v>
      </c>
      <c r="K660" t="s">
        <v>3627</v>
      </c>
      <c r="L660" t="s">
        <v>1177</v>
      </c>
      <c r="M660" t="s">
        <v>2254</v>
      </c>
      <c r="N660" s="166">
        <v>23.68</v>
      </c>
      <c r="O660" t="s">
        <v>131</v>
      </c>
    </row>
    <row r="661" spans="1:15">
      <c r="A661" s="166" t="s">
        <v>6053</v>
      </c>
      <c r="B661" t="s">
        <v>111</v>
      </c>
      <c r="C661" t="s">
        <v>136</v>
      </c>
      <c r="D661" t="s">
        <v>116</v>
      </c>
      <c r="E661" t="s">
        <v>418</v>
      </c>
      <c r="F661" t="s">
        <v>7</v>
      </c>
      <c r="G661" t="s">
        <v>130</v>
      </c>
      <c r="H661" s="1">
        <v>46126</v>
      </c>
      <c r="I661" t="s">
        <v>6054</v>
      </c>
      <c r="J661" t="s">
        <v>6055</v>
      </c>
      <c r="K661" t="s">
        <v>2928</v>
      </c>
      <c r="L661" t="s">
        <v>3813</v>
      </c>
      <c r="M661" t="s">
        <v>5028</v>
      </c>
      <c r="N661" s="166">
        <v>24.38</v>
      </c>
      <c r="O661" t="s">
        <v>131</v>
      </c>
    </row>
    <row r="662" spans="1:15">
      <c r="A662" s="166" t="s">
        <v>6056</v>
      </c>
      <c r="B662" t="s">
        <v>111</v>
      </c>
      <c r="C662" t="s">
        <v>135</v>
      </c>
      <c r="D662" t="s">
        <v>116</v>
      </c>
      <c r="E662" t="s">
        <v>418</v>
      </c>
      <c r="F662" t="s">
        <v>7</v>
      </c>
      <c r="G662" t="s">
        <v>130</v>
      </c>
      <c r="H662" s="1">
        <v>46126</v>
      </c>
      <c r="I662" t="s">
        <v>6057</v>
      </c>
      <c r="J662" t="s">
        <v>6058</v>
      </c>
      <c r="K662" t="s">
        <v>2741</v>
      </c>
      <c r="L662" t="s">
        <v>155</v>
      </c>
      <c r="M662" t="s">
        <v>4107</v>
      </c>
      <c r="N662" s="166">
        <v>24.74</v>
      </c>
      <c r="O662" t="s">
        <v>131</v>
      </c>
    </row>
    <row r="663" spans="1:15">
      <c r="A663" s="166" t="s">
        <v>6059</v>
      </c>
      <c r="B663" t="s">
        <v>111</v>
      </c>
      <c r="C663" t="s">
        <v>133</v>
      </c>
      <c r="D663" t="s">
        <v>116</v>
      </c>
      <c r="E663" t="s">
        <v>418</v>
      </c>
      <c r="F663" t="s">
        <v>7</v>
      </c>
      <c r="G663" t="s">
        <v>130</v>
      </c>
      <c r="H663" s="1">
        <v>46126</v>
      </c>
      <c r="I663" t="s">
        <v>6060</v>
      </c>
      <c r="J663" t="s">
        <v>6061</v>
      </c>
      <c r="K663" t="s">
        <v>5049</v>
      </c>
      <c r="L663" t="s">
        <v>465</v>
      </c>
      <c r="M663" t="s">
        <v>209</v>
      </c>
      <c r="N663" s="166">
        <v>23.96</v>
      </c>
      <c r="O663" t="s">
        <v>131</v>
      </c>
    </row>
    <row r="664" spans="1:15">
      <c r="A664" s="166" t="s">
        <v>6062</v>
      </c>
      <c r="B664" t="s">
        <v>111</v>
      </c>
      <c r="C664" t="s">
        <v>136</v>
      </c>
      <c r="D664" t="s">
        <v>116</v>
      </c>
      <c r="E664" t="s">
        <v>418</v>
      </c>
      <c r="F664" t="s">
        <v>7</v>
      </c>
      <c r="G664" t="s">
        <v>130</v>
      </c>
      <c r="H664" s="1">
        <v>46126</v>
      </c>
      <c r="I664" t="s">
        <v>6063</v>
      </c>
      <c r="J664" t="s">
        <v>6064</v>
      </c>
      <c r="K664" t="s">
        <v>1767</v>
      </c>
      <c r="L664" t="s">
        <v>3129</v>
      </c>
      <c r="M664" t="s">
        <v>666</v>
      </c>
      <c r="N664" s="166">
        <v>23.6</v>
      </c>
      <c r="O664" t="s">
        <v>131</v>
      </c>
    </row>
    <row r="665" spans="1:15">
      <c r="A665" s="166" t="s">
        <v>6065</v>
      </c>
      <c r="B665" t="s">
        <v>111</v>
      </c>
      <c r="C665" t="s">
        <v>135</v>
      </c>
      <c r="D665" t="s">
        <v>116</v>
      </c>
      <c r="E665" t="s">
        <v>418</v>
      </c>
      <c r="F665" t="s">
        <v>7</v>
      </c>
      <c r="G665" t="s">
        <v>130</v>
      </c>
      <c r="H665" s="1">
        <v>46126</v>
      </c>
      <c r="I665" t="s">
        <v>6066</v>
      </c>
      <c r="J665" t="s">
        <v>6067</v>
      </c>
      <c r="K665" t="s">
        <v>4879</v>
      </c>
      <c r="L665" t="s">
        <v>427</v>
      </c>
      <c r="M665" t="s">
        <v>3723</v>
      </c>
      <c r="N665" s="166">
        <v>24.16</v>
      </c>
      <c r="O665" t="s">
        <v>131</v>
      </c>
    </row>
    <row r="666" spans="1:15">
      <c r="A666" s="166" t="s">
        <v>6068</v>
      </c>
      <c r="B666" t="s">
        <v>111</v>
      </c>
      <c r="C666" t="s">
        <v>133</v>
      </c>
      <c r="D666" t="s">
        <v>116</v>
      </c>
      <c r="E666" t="s">
        <v>418</v>
      </c>
      <c r="F666" t="s">
        <v>7</v>
      </c>
      <c r="G666" t="s">
        <v>130</v>
      </c>
      <c r="H666" s="1">
        <v>46126</v>
      </c>
      <c r="I666" t="s">
        <v>6069</v>
      </c>
      <c r="J666" t="s">
        <v>6070</v>
      </c>
      <c r="K666" t="s">
        <v>2629</v>
      </c>
      <c r="L666" t="s">
        <v>1101</v>
      </c>
      <c r="M666" t="s">
        <v>726</v>
      </c>
      <c r="N666" s="166">
        <v>24.36</v>
      </c>
      <c r="O666" t="s">
        <v>131</v>
      </c>
    </row>
    <row r="667" spans="1:15">
      <c r="A667" s="166" t="s">
        <v>6071</v>
      </c>
      <c r="B667" t="s">
        <v>111</v>
      </c>
      <c r="C667" t="s">
        <v>136</v>
      </c>
      <c r="D667" t="s">
        <v>116</v>
      </c>
      <c r="E667" t="s">
        <v>418</v>
      </c>
      <c r="F667" t="s">
        <v>7</v>
      </c>
      <c r="G667" t="s">
        <v>130</v>
      </c>
      <c r="H667" s="1">
        <v>46126</v>
      </c>
      <c r="I667" t="s">
        <v>6072</v>
      </c>
      <c r="J667" t="s">
        <v>6073</v>
      </c>
      <c r="K667" t="s">
        <v>4956</v>
      </c>
      <c r="L667" t="s">
        <v>870</v>
      </c>
      <c r="M667" t="s">
        <v>4096</v>
      </c>
      <c r="N667" s="166">
        <v>25.3</v>
      </c>
      <c r="O667" t="s">
        <v>131</v>
      </c>
    </row>
    <row r="668" spans="1:15">
      <c r="A668" s="166" t="s">
        <v>6074</v>
      </c>
      <c r="B668" t="s">
        <v>111</v>
      </c>
      <c r="C668" t="s">
        <v>135</v>
      </c>
      <c r="D668" t="s">
        <v>116</v>
      </c>
      <c r="E668" t="s">
        <v>418</v>
      </c>
      <c r="F668" t="s">
        <v>7</v>
      </c>
      <c r="G668" t="s">
        <v>130</v>
      </c>
      <c r="H668" s="1">
        <v>46126</v>
      </c>
      <c r="I668" t="s">
        <v>6075</v>
      </c>
      <c r="J668" t="s">
        <v>6076</v>
      </c>
      <c r="K668" t="s">
        <v>2203</v>
      </c>
      <c r="L668" t="s">
        <v>584</v>
      </c>
      <c r="M668" t="s">
        <v>891</v>
      </c>
      <c r="N668" s="166">
        <v>26.64</v>
      </c>
      <c r="O668" t="s">
        <v>131</v>
      </c>
    </row>
    <row r="669" spans="1:15">
      <c r="A669" s="166" t="s">
        <v>6077</v>
      </c>
      <c r="B669" t="s">
        <v>111</v>
      </c>
      <c r="C669" t="s">
        <v>133</v>
      </c>
      <c r="D669" t="s">
        <v>116</v>
      </c>
      <c r="E669" t="s">
        <v>418</v>
      </c>
      <c r="F669" t="s">
        <v>7</v>
      </c>
      <c r="G669" t="s">
        <v>130</v>
      </c>
      <c r="H669" s="1">
        <v>46126</v>
      </c>
      <c r="I669" t="s">
        <v>6078</v>
      </c>
      <c r="J669" t="s">
        <v>6079</v>
      </c>
      <c r="K669" t="s">
        <v>2979</v>
      </c>
      <c r="L669" t="s">
        <v>5385</v>
      </c>
      <c r="M669" t="s">
        <v>198</v>
      </c>
      <c r="N669" s="166">
        <v>24.54</v>
      </c>
      <c r="O669" t="s">
        <v>131</v>
      </c>
    </row>
    <row r="670" spans="1:15">
      <c r="A670" s="166" t="s">
        <v>6080</v>
      </c>
      <c r="B670" t="s">
        <v>111</v>
      </c>
      <c r="C670" t="s">
        <v>135</v>
      </c>
      <c r="D670" t="s">
        <v>116</v>
      </c>
      <c r="E670" t="s">
        <v>418</v>
      </c>
      <c r="F670" t="s">
        <v>7</v>
      </c>
      <c r="G670" t="s">
        <v>130</v>
      </c>
      <c r="H670" s="1">
        <v>46126</v>
      </c>
      <c r="I670" t="s">
        <v>6081</v>
      </c>
      <c r="J670" t="s">
        <v>6082</v>
      </c>
      <c r="K670" t="s">
        <v>900</v>
      </c>
      <c r="L670" t="s">
        <v>1483</v>
      </c>
      <c r="M670" t="s">
        <v>6083</v>
      </c>
      <c r="N670" s="166">
        <v>26.62</v>
      </c>
      <c r="O670" t="s">
        <v>131</v>
      </c>
    </row>
    <row r="671" spans="1:15">
      <c r="A671" s="166" t="s">
        <v>6084</v>
      </c>
      <c r="B671" t="s">
        <v>111</v>
      </c>
      <c r="C671" t="s">
        <v>133</v>
      </c>
      <c r="D671" t="s">
        <v>116</v>
      </c>
      <c r="E671" t="s">
        <v>418</v>
      </c>
      <c r="F671" t="s">
        <v>7</v>
      </c>
      <c r="G671" t="s">
        <v>130</v>
      </c>
      <c r="H671" s="1">
        <v>46126</v>
      </c>
      <c r="I671" t="s">
        <v>6085</v>
      </c>
      <c r="J671" t="s">
        <v>6086</v>
      </c>
      <c r="K671" t="s">
        <v>5746</v>
      </c>
      <c r="L671" t="s">
        <v>169</v>
      </c>
      <c r="M671" t="s">
        <v>2952</v>
      </c>
      <c r="N671" s="166">
        <v>24.2</v>
      </c>
      <c r="O671" t="s">
        <v>131</v>
      </c>
    </row>
    <row r="672" spans="1:15">
      <c r="A672" s="166" t="s">
        <v>6087</v>
      </c>
      <c r="B672" t="s">
        <v>111</v>
      </c>
      <c r="C672" t="s">
        <v>133</v>
      </c>
      <c r="D672" t="s">
        <v>116</v>
      </c>
      <c r="E672" t="s">
        <v>418</v>
      </c>
      <c r="F672" t="s">
        <v>7</v>
      </c>
      <c r="G672" t="s">
        <v>130</v>
      </c>
      <c r="H672" s="1">
        <v>46126</v>
      </c>
      <c r="I672" t="s">
        <v>6088</v>
      </c>
      <c r="J672" t="s">
        <v>6089</v>
      </c>
      <c r="K672" t="s">
        <v>3282</v>
      </c>
      <c r="L672" t="s">
        <v>3040</v>
      </c>
      <c r="M672" t="s">
        <v>556</v>
      </c>
      <c r="N672" s="166">
        <v>22.44</v>
      </c>
      <c r="O672" t="s">
        <v>131</v>
      </c>
    </row>
    <row r="673" spans="1:15">
      <c r="A673" s="166" t="s">
        <v>6090</v>
      </c>
      <c r="B673" t="s">
        <v>111</v>
      </c>
      <c r="C673" t="s">
        <v>134</v>
      </c>
      <c r="D673" t="s">
        <v>116</v>
      </c>
      <c r="E673" t="s">
        <v>418</v>
      </c>
      <c r="F673" t="s">
        <v>7</v>
      </c>
      <c r="G673" t="s">
        <v>130</v>
      </c>
      <c r="H673" s="1">
        <v>46126</v>
      </c>
      <c r="I673" t="s">
        <v>6091</v>
      </c>
      <c r="J673" t="s">
        <v>6092</v>
      </c>
      <c r="K673" t="s">
        <v>3070</v>
      </c>
      <c r="L673" t="s">
        <v>1483</v>
      </c>
      <c r="M673" t="s">
        <v>190</v>
      </c>
      <c r="N673" s="166">
        <v>24.48</v>
      </c>
      <c r="O673" t="s">
        <v>131</v>
      </c>
    </row>
    <row r="674" spans="1:15">
      <c r="A674" s="166" t="s">
        <v>1279</v>
      </c>
      <c r="B674" t="s">
        <v>111</v>
      </c>
      <c r="C674" t="s">
        <v>135</v>
      </c>
      <c r="D674" t="s">
        <v>116</v>
      </c>
      <c r="E674" t="s">
        <v>418</v>
      </c>
      <c r="F674" t="s">
        <v>7</v>
      </c>
      <c r="G674" t="s">
        <v>130</v>
      </c>
      <c r="H674" s="1">
        <v>46126</v>
      </c>
      <c r="I674" t="s">
        <v>6093</v>
      </c>
      <c r="J674" t="s">
        <v>6094</v>
      </c>
      <c r="K674" t="s">
        <v>3622</v>
      </c>
      <c r="L674" t="s">
        <v>1076</v>
      </c>
      <c r="M674" t="s">
        <v>4107</v>
      </c>
      <c r="N674" s="166">
        <v>24.74</v>
      </c>
      <c r="O674" t="s">
        <v>131</v>
      </c>
    </row>
    <row r="675" spans="1:15">
      <c r="A675" s="166" t="s">
        <v>6095</v>
      </c>
      <c r="B675" t="s">
        <v>111</v>
      </c>
      <c r="C675" t="s">
        <v>133</v>
      </c>
      <c r="D675" t="s">
        <v>116</v>
      </c>
      <c r="E675" t="s">
        <v>418</v>
      </c>
      <c r="F675" t="s">
        <v>7</v>
      </c>
      <c r="G675" t="s">
        <v>130</v>
      </c>
      <c r="H675" s="1">
        <v>46126</v>
      </c>
      <c r="I675" t="s">
        <v>6096</v>
      </c>
      <c r="J675" t="s">
        <v>6097</v>
      </c>
      <c r="K675" t="s">
        <v>6098</v>
      </c>
      <c r="L675" t="s">
        <v>2589</v>
      </c>
      <c r="M675" t="s">
        <v>2796</v>
      </c>
      <c r="N675" s="166">
        <v>25.76</v>
      </c>
      <c r="O675" t="s">
        <v>131</v>
      </c>
    </row>
    <row r="676" spans="1:15">
      <c r="A676" s="166" t="s">
        <v>6099</v>
      </c>
      <c r="B676" t="s">
        <v>111</v>
      </c>
      <c r="C676" t="s">
        <v>134</v>
      </c>
      <c r="D676" t="s">
        <v>116</v>
      </c>
      <c r="E676" t="s">
        <v>418</v>
      </c>
      <c r="F676" t="s">
        <v>7</v>
      </c>
      <c r="G676" t="s">
        <v>130</v>
      </c>
      <c r="H676" s="1">
        <v>46126</v>
      </c>
      <c r="I676" t="s">
        <v>6100</v>
      </c>
      <c r="J676" t="s">
        <v>6101</v>
      </c>
      <c r="K676" t="s">
        <v>5922</v>
      </c>
      <c r="L676" t="s">
        <v>665</v>
      </c>
      <c r="M676" t="s">
        <v>6102</v>
      </c>
      <c r="N676" s="166">
        <v>26.92</v>
      </c>
      <c r="O676" t="s">
        <v>131</v>
      </c>
    </row>
    <row r="677" spans="1:15">
      <c r="A677" s="166" t="s">
        <v>6103</v>
      </c>
      <c r="B677" t="s">
        <v>111</v>
      </c>
      <c r="C677" t="s">
        <v>135</v>
      </c>
      <c r="D677" t="s">
        <v>116</v>
      </c>
      <c r="E677" t="s">
        <v>418</v>
      </c>
      <c r="F677" t="s">
        <v>7</v>
      </c>
      <c r="G677" t="s">
        <v>130</v>
      </c>
      <c r="H677" s="1">
        <v>46126</v>
      </c>
      <c r="I677" t="s">
        <v>6104</v>
      </c>
      <c r="J677" t="s">
        <v>6105</v>
      </c>
      <c r="K677" t="s">
        <v>4364</v>
      </c>
      <c r="L677" t="s">
        <v>616</v>
      </c>
      <c r="M677" t="s">
        <v>2645</v>
      </c>
      <c r="N677" s="166">
        <v>23.94</v>
      </c>
      <c r="O677" t="s">
        <v>131</v>
      </c>
    </row>
    <row r="678" spans="1:15">
      <c r="A678" s="166" t="s">
        <v>6106</v>
      </c>
      <c r="B678" t="s">
        <v>111</v>
      </c>
      <c r="C678" t="s">
        <v>134</v>
      </c>
      <c r="D678" t="s">
        <v>116</v>
      </c>
      <c r="E678" t="s">
        <v>418</v>
      </c>
      <c r="F678" t="s">
        <v>7</v>
      </c>
      <c r="G678" t="s">
        <v>130</v>
      </c>
      <c r="H678" s="1">
        <v>46126</v>
      </c>
      <c r="I678" t="s">
        <v>6107</v>
      </c>
      <c r="J678" t="s">
        <v>6108</v>
      </c>
      <c r="K678" t="s">
        <v>1094</v>
      </c>
      <c r="L678" t="s">
        <v>208</v>
      </c>
      <c r="M678" t="s">
        <v>6109</v>
      </c>
      <c r="N678" s="166">
        <v>22.72</v>
      </c>
      <c r="O678" t="s">
        <v>131</v>
      </c>
    </row>
    <row r="679" spans="1:15">
      <c r="A679" s="166" t="s">
        <v>6110</v>
      </c>
      <c r="B679" t="s">
        <v>111</v>
      </c>
      <c r="C679" t="s">
        <v>135</v>
      </c>
      <c r="D679" t="s">
        <v>116</v>
      </c>
      <c r="E679" t="s">
        <v>418</v>
      </c>
      <c r="F679" t="s">
        <v>7</v>
      </c>
      <c r="G679" t="s">
        <v>130</v>
      </c>
      <c r="H679" s="1">
        <v>46126</v>
      </c>
      <c r="I679" t="s">
        <v>6111</v>
      </c>
      <c r="J679" t="s">
        <v>6112</v>
      </c>
      <c r="K679" t="s">
        <v>6113</v>
      </c>
      <c r="L679" t="s">
        <v>761</v>
      </c>
      <c r="M679" t="s">
        <v>682</v>
      </c>
      <c r="N679" s="166">
        <v>23.34</v>
      </c>
      <c r="O679" t="s">
        <v>131</v>
      </c>
    </row>
    <row r="680" spans="1:15">
      <c r="A680" s="166" t="s">
        <v>6114</v>
      </c>
      <c r="B680" t="s">
        <v>111</v>
      </c>
      <c r="C680" t="s">
        <v>133</v>
      </c>
      <c r="D680" t="s">
        <v>116</v>
      </c>
      <c r="E680" t="s">
        <v>418</v>
      </c>
      <c r="F680" t="s">
        <v>7</v>
      </c>
      <c r="G680" t="s">
        <v>130</v>
      </c>
      <c r="H680" s="1">
        <v>46126</v>
      </c>
      <c r="I680" t="s">
        <v>6115</v>
      </c>
      <c r="J680" t="s">
        <v>6116</v>
      </c>
      <c r="K680" t="s">
        <v>6117</v>
      </c>
      <c r="L680" t="s">
        <v>3501</v>
      </c>
      <c r="M680" t="s">
        <v>3207</v>
      </c>
      <c r="N680" s="166">
        <v>22</v>
      </c>
      <c r="O680" t="s">
        <v>131</v>
      </c>
    </row>
    <row r="681" spans="1:15">
      <c r="A681" s="166" t="s">
        <v>6118</v>
      </c>
      <c r="B681" t="s">
        <v>111</v>
      </c>
      <c r="C681" t="s">
        <v>134</v>
      </c>
      <c r="D681" t="s">
        <v>116</v>
      </c>
      <c r="E681" t="s">
        <v>418</v>
      </c>
      <c r="F681" t="s">
        <v>7</v>
      </c>
      <c r="G681" t="s">
        <v>130</v>
      </c>
      <c r="H681" s="1">
        <v>46126</v>
      </c>
      <c r="I681" t="s">
        <v>6119</v>
      </c>
      <c r="J681" t="s">
        <v>6120</v>
      </c>
      <c r="K681" t="s">
        <v>1722</v>
      </c>
      <c r="L681" t="s">
        <v>761</v>
      </c>
      <c r="M681" t="s">
        <v>5766</v>
      </c>
      <c r="N681" s="166">
        <v>25.42</v>
      </c>
      <c r="O681" t="s">
        <v>131</v>
      </c>
    </row>
    <row r="682" spans="1:15">
      <c r="A682" s="166" t="s">
        <v>6121</v>
      </c>
      <c r="B682" t="s">
        <v>111</v>
      </c>
      <c r="C682" t="s">
        <v>135</v>
      </c>
      <c r="D682" t="s">
        <v>116</v>
      </c>
      <c r="E682" t="s">
        <v>418</v>
      </c>
      <c r="F682" t="s">
        <v>7</v>
      </c>
      <c r="G682" t="s">
        <v>130</v>
      </c>
      <c r="H682" s="1">
        <v>46126</v>
      </c>
      <c r="I682" t="s">
        <v>6122</v>
      </c>
      <c r="J682" t="s">
        <v>6123</v>
      </c>
      <c r="K682" t="s">
        <v>3618</v>
      </c>
      <c r="L682" t="s">
        <v>162</v>
      </c>
      <c r="M682" t="s">
        <v>2835</v>
      </c>
      <c r="N682" s="166">
        <v>24.64</v>
      </c>
      <c r="O682" t="s">
        <v>131</v>
      </c>
    </row>
    <row r="683" spans="1:15">
      <c r="A683" s="166" t="s">
        <v>6124</v>
      </c>
      <c r="B683" t="s">
        <v>111</v>
      </c>
      <c r="C683" t="s">
        <v>133</v>
      </c>
      <c r="D683" t="s">
        <v>116</v>
      </c>
      <c r="E683" t="s">
        <v>418</v>
      </c>
      <c r="F683" t="s">
        <v>7</v>
      </c>
      <c r="G683" t="s">
        <v>130</v>
      </c>
      <c r="H683" s="1">
        <v>46126</v>
      </c>
      <c r="I683" t="s">
        <v>6125</v>
      </c>
      <c r="J683" t="s">
        <v>6126</v>
      </c>
      <c r="K683" t="s">
        <v>3871</v>
      </c>
      <c r="L683" t="s">
        <v>2545</v>
      </c>
      <c r="M683" t="s">
        <v>3734</v>
      </c>
      <c r="N683" s="166">
        <v>22.02</v>
      </c>
      <c r="O683" t="s">
        <v>131</v>
      </c>
    </row>
    <row r="684" spans="1:15">
      <c r="A684" s="166" t="s">
        <v>6127</v>
      </c>
      <c r="B684" t="s">
        <v>111</v>
      </c>
      <c r="C684" t="s">
        <v>134</v>
      </c>
      <c r="D684" t="s">
        <v>116</v>
      </c>
      <c r="E684" t="s">
        <v>418</v>
      </c>
      <c r="F684" t="s">
        <v>7</v>
      </c>
      <c r="G684" t="s">
        <v>130</v>
      </c>
      <c r="H684" s="1">
        <v>46126</v>
      </c>
      <c r="I684" t="s">
        <v>6128</v>
      </c>
      <c r="J684" t="s">
        <v>6129</v>
      </c>
      <c r="K684" t="s">
        <v>159</v>
      </c>
      <c r="L684" t="s">
        <v>5668</v>
      </c>
      <c r="M684" t="s">
        <v>6130</v>
      </c>
      <c r="N684" s="166">
        <v>5.24</v>
      </c>
      <c r="O684" t="s">
        <v>131</v>
      </c>
    </row>
    <row r="685" spans="1:15">
      <c r="A685" s="166" t="s">
        <v>6131</v>
      </c>
      <c r="B685" t="s">
        <v>111</v>
      </c>
      <c r="C685" t="s">
        <v>133</v>
      </c>
      <c r="D685" t="s">
        <v>116</v>
      </c>
      <c r="E685" t="s">
        <v>418</v>
      </c>
      <c r="F685" t="s">
        <v>7</v>
      </c>
      <c r="G685" t="s">
        <v>130</v>
      </c>
      <c r="H685" s="1">
        <v>46126</v>
      </c>
      <c r="I685" t="s">
        <v>6132</v>
      </c>
      <c r="J685" t="s">
        <v>6133</v>
      </c>
      <c r="K685" t="s">
        <v>1810</v>
      </c>
      <c r="L685" t="s">
        <v>155</v>
      </c>
      <c r="M685" t="s">
        <v>185</v>
      </c>
      <c r="N685" s="166">
        <v>20.72</v>
      </c>
      <c r="O685" t="s">
        <v>131</v>
      </c>
    </row>
    <row r="686" spans="1:15">
      <c r="A686" s="166" t="s">
        <v>6134</v>
      </c>
      <c r="B686" t="s">
        <v>111</v>
      </c>
      <c r="C686" t="s">
        <v>406</v>
      </c>
      <c r="D686" t="s">
        <v>116</v>
      </c>
      <c r="E686" t="s">
        <v>418</v>
      </c>
      <c r="F686" t="s">
        <v>7</v>
      </c>
      <c r="G686" t="s">
        <v>130</v>
      </c>
      <c r="H686" s="1">
        <v>46126</v>
      </c>
      <c r="I686" t="s">
        <v>6135</v>
      </c>
      <c r="J686" t="s">
        <v>6136</v>
      </c>
      <c r="K686" t="s">
        <v>6137</v>
      </c>
      <c r="L686" t="s">
        <v>6138</v>
      </c>
      <c r="M686" t="s">
        <v>3653</v>
      </c>
      <c r="N686" s="166">
        <v>18.440000000000001</v>
      </c>
      <c r="O686" t="s">
        <v>131</v>
      </c>
    </row>
    <row r="687" spans="1:15">
      <c r="A687" s="166" t="s">
        <v>6139</v>
      </c>
      <c r="B687" t="s">
        <v>111</v>
      </c>
      <c r="C687" t="s">
        <v>1104</v>
      </c>
      <c r="D687" t="s">
        <v>116</v>
      </c>
      <c r="E687" t="s">
        <v>418</v>
      </c>
      <c r="F687" t="s">
        <v>7</v>
      </c>
      <c r="G687" t="s">
        <v>130</v>
      </c>
      <c r="H687" s="1">
        <v>46126</v>
      </c>
      <c r="I687" t="s">
        <v>6140</v>
      </c>
      <c r="J687" t="s">
        <v>6141</v>
      </c>
      <c r="K687" t="s">
        <v>1861</v>
      </c>
      <c r="L687" t="s">
        <v>208</v>
      </c>
      <c r="M687" t="s">
        <v>1797</v>
      </c>
      <c r="N687" s="166">
        <v>20.260000000000002</v>
      </c>
      <c r="O687" t="s">
        <v>131</v>
      </c>
    </row>
    <row r="688" spans="1:15">
      <c r="A688" s="166" t="s">
        <v>6142</v>
      </c>
      <c r="B688" t="s">
        <v>111</v>
      </c>
      <c r="C688" t="s">
        <v>133</v>
      </c>
      <c r="D688" t="s">
        <v>116</v>
      </c>
      <c r="E688" t="s">
        <v>418</v>
      </c>
      <c r="F688" t="s">
        <v>7</v>
      </c>
      <c r="G688" t="s">
        <v>130</v>
      </c>
      <c r="H688" s="1">
        <v>46126</v>
      </c>
      <c r="I688" t="s">
        <v>6143</v>
      </c>
      <c r="J688" t="s">
        <v>6144</v>
      </c>
      <c r="K688" t="s">
        <v>4329</v>
      </c>
      <c r="L688" t="s">
        <v>801</v>
      </c>
      <c r="M688" t="s">
        <v>2474</v>
      </c>
      <c r="N688" s="166">
        <v>17.68</v>
      </c>
      <c r="O688" t="s">
        <v>131</v>
      </c>
    </row>
    <row r="689" spans="1:15">
      <c r="A689" s="166" t="s">
        <v>6145</v>
      </c>
      <c r="B689" t="s">
        <v>111</v>
      </c>
      <c r="C689" t="s">
        <v>406</v>
      </c>
      <c r="D689" t="s">
        <v>116</v>
      </c>
      <c r="E689" t="s">
        <v>418</v>
      </c>
      <c r="F689" t="s">
        <v>7</v>
      </c>
      <c r="G689" t="s">
        <v>130</v>
      </c>
      <c r="H689" s="1">
        <v>46126</v>
      </c>
      <c r="I689" t="s">
        <v>6146</v>
      </c>
      <c r="J689" t="s">
        <v>6147</v>
      </c>
      <c r="K689" t="s">
        <v>3475</v>
      </c>
      <c r="L689" t="s">
        <v>143</v>
      </c>
      <c r="M689" t="s">
        <v>3169</v>
      </c>
      <c r="N689" s="166">
        <v>18.8</v>
      </c>
      <c r="O689" t="s">
        <v>131</v>
      </c>
    </row>
    <row r="690" spans="1:15">
      <c r="A690" s="166" t="s">
        <v>6148</v>
      </c>
      <c r="B690" t="s">
        <v>111</v>
      </c>
      <c r="C690" t="s">
        <v>1104</v>
      </c>
      <c r="D690" t="s">
        <v>116</v>
      </c>
      <c r="E690" t="s">
        <v>418</v>
      </c>
      <c r="F690" t="s">
        <v>7</v>
      </c>
      <c r="G690" t="s">
        <v>130</v>
      </c>
      <c r="H690" s="1">
        <v>46126</v>
      </c>
      <c r="I690" t="s">
        <v>6149</v>
      </c>
      <c r="J690" t="s">
        <v>6150</v>
      </c>
      <c r="K690" t="s">
        <v>2050</v>
      </c>
      <c r="L690" t="s">
        <v>845</v>
      </c>
      <c r="M690" t="s">
        <v>1067</v>
      </c>
      <c r="N690" s="166">
        <v>18.84</v>
      </c>
      <c r="O690" t="s">
        <v>131</v>
      </c>
    </row>
    <row r="691" spans="1:15">
      <c r="A691" s="166" t="s">
        <v>6151</v>
      </c>
      <c r="B691" t="s">
        <v>111</v>
      </c>
      <c r="C691" t="s">
        <v>133</v>
      </c>
      <c r="D691" t="s">
        <v>116</v>
      </c>
      <c r="E691" t="s">
        <v>418</v>
      </c>
      <c r="F691" t="s">
        <v>7</v>
      </c>
      <c r="G691" t="s">
        <v>130</v>
      </c>
      <c r="H691" s="1">
        <v>46126</v>
      </c>
      <c r="I691" t="s">
        <v>6152</v>
      </c>
      <c r="J691" t="s">
        <v>6153</v>
      </c>
      <c r="K691" t="s">
        <v>1635</v>
      </c>
      <c r="L691" t="s">
        <v>801</v>
      </c>
      <c r="M691" t="s">
        <v>3174</v>
      </c>
      <c r="N691" s="166">
        <v>20.7</v>
      </c>
      <c r="O691" t="s">
        <v>131</v>
      </c>
    </row>
    <row r="692" spans="1:15">
      <c r="A692" s="166" t="s">
        <v>6154</v>
      </c>
      <c r="B692" t="s">
        <v>111</v>
      </c>
      <c r="C692" t="s">
        <v>406</v>
      </c>
      <c r="D692" t="s">
        <v>116</v>
      </c>
      <c r="E692" t="s">
        <v>418</v>
      </c>
      <c r="F692" t="s">
        <v>7</v>
      </c>
      <c r="G692" t="s">
        <v>130</v>
      </c>
      <c r="H692" s="1">
        <v>46126</v>
      </c>
      <c r="I692" t="s">
        <v>6155</v>
      </c>
      <c r="J692" t="s">
        <v>6156</v>
      </c>
      <c r="K692" t="s">
        <v>1295</v>
      </c>
      <c r="L692" t="s">
        <v>157</v>
      </c>
      <c r="M692" t="s">
        <v>2128</v>
      </c>
      <c r="N692" s="166">
        <v>18.68</v>
      </c>
      <c r="O692" t="s">
        <v>131</v>
      </c>
    </row>
    <row r="693" spans="1:15">
      <c r="A693" s="166" t="s">
        <v>6157</v>
      </c>
      <c r="B693" t="s">
        <v>111</v>
      </c>
      <c r="C693" t="s">
        <v>1104</v>
      </c>
      <c r="D693" t="s">
        <v>116</v>
      </c>
      <c r="E693" t="s">
        <v>418</v>
      </c>
      <c r="F693" t="s">
        <v>7</v>
      </c>
      <c r="G693" t="s">
        <v>130</v>
      </c>
      <c r="H693" s="1">
        <v>46126</v>
      </c>
      <c r="I693" t="s">
        <v>6158</v>
      </c>
      <c r="J693" t="s">
        <v>6159</v>
      </c>
      <c r="K693" t="s">
        <v>825</v>
      </c>
      <c r="L693" t="s">
        <v>3517</v>
      </c>
      <c r="M693" t="s">
        <v>2536</v>
      </c>
      <c r="N693" s="166">
        <v>18.16</v>
      </c>
      <c r="O693" t="s">
        <v>131</v>
      </c>
    </row>
    <row r="694" spans="1:15">
      <c r="A694" s="166" t="s">
        <v>2576</v>
      </c>
      <c r="B694" t="s">
        <v>111</v>
      </c>
      <c r="C694" t="s">
        <v>133</v>
      </c>
      <c r="D694" t="s">
        <v>116</v>
      </c>
      <c r="E694" t="s">
        <v>418</v>
      </c>
      <c r="F694" t="s">
        <v>7</v>
      </c>
      <c r="G694" t="s">
        <v>130</v>
      </c>
      <c r="H694" s="1">
        <v>46126</v>
      </c>
      <c r="I694" t="s">
        <v>6160</v>
      </c>
      <c r="J694" t="s">
        <v>6161</v>
      </c>
      <c r="K694" t="s">
        <v>615</v>
      </c>
      <c r="L694" t="s">
        <v>831</v>
      </c>
      <c r="M694" t="s">
        <v>1136</v>
      </c>
      <c r="N694" s="166">
        <v>19.899999999999999</v>
      </c>
      <c r="O694" t="s">
        <v>131</v>
      </c>
    </row>
    <row r="695" spans="1:15">
      <c r="A695" s="166" t="s">
        <v>6162</v>
      </c>
      <c r="B695" t="s">
        <v>111</v>
      </c>
      <c r="C695" t="s">
        <v>406</v>
      </c>
      <c r="D695" t="s">
        <v>116</v>
      </c>
      <c r="E695" t="s">
        <v>418</v>
      </c>
      <c r="F695" t="s">
        <v>7</v>
      </c>
      <c r="G695" t="s">
        <v>130</v>
      </c>
      <c r="H695" s="1">
        <v>46126</v>
      </c>
      <c r="I695" t="s">
        <v>6163</v>
      </c>
      <c r="J695" t="s">
        <v>6164</v>
      </c>
      <c r="K695" t="s">
        <v>3242</v>
      </c>
      <c r="L695" t="s">
        <v>152</v>
      </c>
      <c r="M695" t="s">
        <v>2075</v>
      </c>
      <c r="N695" s="166">
        <v>18.12</v>
      </c>
      <c r="O695" t="s">
        <v>131</v>
      </c>
    </row>
    <row r="696" spans="1:15">
      <c r="A696" s="166" t="s">
        <v>6165</v>
      </c>
      <c r="B696" t="s">
        <v>111</v>
      </c>
      <c r="C696" t="s">
        <v>1104</v>
      </c>
      <c r="D696" t="s">
        <v>116</v>
      </c>
      <c r="E696" t="s">
        <v>418</v>
      </c>
      <c r="F696" t="s">
        <v>7</v>
      </c>
      <c r="G696" t="s">
        <v>130</v>
      </c>
      <c r="H696" s="1">
        <v>46126</v>
      </c>
      <c r="I696" t="s">
        <v>6166</v>
      </c>
      <c r="J696" t="s">
        <v>6167</v>
      </c>
      <c r="K696" t="s">
        <v>1785</v>
      </c>
      <c r="L696" t="s">
        <v>2019</v>
      </c>
      <c r="M696" t="s">
        <v>2316</v>
      </c>
      <c r="N696" s="166">
        <v>17.32</v>
      </c>
      <c r="O696" t="s">
        <v>131</v>
      </c>
    </row>
    <row r="697" spans="1:15">
      <c r="A697" s="166" t="s">
        <v>6168</v>
      </c>
      <c r="B697" t="s">
        <v>111</v>
      </c>
      <c r="C697" t="s">
        <v>133</v>
      </c>
      <c r="D697" t="s">
        <v>116</v>
      </c>
      <c r="E697" t="s">
        <v>418</v>
      </c>
      <c r="F697" t="s">
        <v>7</v>
      </c>
      <c r="G697" t="s">
        <v>130</v>
      </c>
      <c r="H697" s="1">
        <v>46126</v>
      </c>
      <c r="I697" t="s">
        <v>6169</v>
      </c>
      <c r="J697" t="s">
        <v>6170</v>
      </c>
      <c r="K697" t="s">
        <v>1327</v>
      </c>
      <c r="L697" t="s">
        <v>616</v>
      </c>
      <c r="M697" t="s">
        <v>1468</v>
      </c>
      <c r="N697" s="166">
        <v>19</v>
      </c>
      <c r="O697" t="s">
        <v>131</v>
      </c>
    </row>
    <row r="698" spans="1:15">
      <c r="A698" s="166" t="s">
        <v>6171</v>
      </c>
      <c r="B698" t="s">
        <v>111</v>
      </c>
      <c r="C698" t="s">
        <v>1104</v>
      </c>
      <c r="D698" t="s">
        <v>118</v>
      </c>
      <c r="E698" t="s">
        <v>139</v>
      </c>
      <c r="F698" t="s">
        <v>7</v>
      </c>
      <c r="G698" t="s">
        <v>130</v>
      </c>
      <c r="H698" s="1">
        <v>46126</v>
      </c>
      <c r="I698" t="s">
        <v>6172</v>
      </c>
      <c r="J698" t="s">
        <v>6173</v>
      </c>
      <c r="K698" t="s">
        <v>610</v>
      </c>
      <c r="L698" t="s">
        <v>2589</v>
      </c>
      <c r="M698" t="s">
        <v>1553</v>
      </c>
      <c r="N698" s="166">
        <v>20.239999999999998</v>
      </c>
      <c r="O698" t="s">
        <v>131</v>
      </c>
    </row>
    <row r="699" spans="1:15">
      <c r="A699" s="166" t="s">
        <v>6174</v>
      </c>
      <c r="B699" t="s">
        <v>111</v>
      </c>
      <c r="C699" t="s">
        <v>406</v>
      </c>
      <c r="D699" t="s">
        <v>118</v>
      </c>
      <c r="E699" t="s">
        <v>139</v>
      </c>
      <c r="F699" t="s">
        <v>7</v>
      </c>
      <c r="G699" t="s">
        <v>130</v>
      </c>
      <c r="H699" s="1">
        <v>46126</v>
      </c>
      <c r="I699" t="s">
        <v>6175</v>
      </c>
      <c r="J699" t="s">
        <v>6176</v>
      </c>
      <c r="K699" t="s">
        <v>6177</v>
      </c>
      <c r="L699" t="s">
        <v>163</v>
      </c>
      <c r="M699" t="s">
        <v>2046</v>
      </c>
      <c r="N699" s="166">
        <v>19.16</v>
      </c>
      <c r="O699" t="s">
        <v>131</v>
      </c>
    </row>
    <row r="700" spans="1:15">
      <c r="A700" s="166" t="s">
        <v>6178</v>
      </c>
      <c r="B700" t="s">
        <v>111</v>
      </c>
      <c r="C700" t="s">
        <v>133</v>
      </c>
      <c r="D700" t="s">
        <v>118</v>
      </c>
      <c r="E700" t="s">
        <v>139</v>
      </c>
      <c r="F700" t="s">
        <v>7</v>
      </c>
      <c r="G700" t="s">
        <v>130</v>
      </c>
      <c r="H700" s="1">
        <v>46126</v>
      </c>
      <c r="I700" t="s">
        <v>6179</v>
      </c>
      <c r="J700" t="s">
        <v>6180</v>
      </c>
      <c r="K700" t="s">
        <v>615</v>
      </c>
      <c r="L700" t="s">
        <v>193</v>
      </c>
      <c r="M700" t="s">
        <v>179</v>
      </c>
      <c r="N700" s="166">
        <v>20.100000000000001</v>
      </c>
      <c r="O700" t="s">
        <v>131</v>
      </c>
    </row>
    <row r="701" spans="1:15">
      <c r="A701" s="166" t="s">
        <v>6181</v>
      </c>
      <c r="B701" t="s">
        <v>111</v>
      </c>
      <c r="C701" t="s">
        <v>1104</v>
      </c>
      <c r="D701" t="s">
        <v>118</v>
      </c>
      <c r="E701" t="s">
        <v>139</v>
      </c>
      <c r="F701" t="s">
        <v>7</v>
      </c>
      <c r="G701" t="s">
        <v>130</v>
      </c>
      <c r="H701" s="1">
        <v>46126</v>
      </c>
      <c r="I701" t="s">
        <v>6182</v>
      </c>
      <c r="J701" t="s">
        <v>6183</v>
      </c>
      <c r="K701" t="s">
        <v>1131</v>
      </c>
      <c r="L701" t="s">
        <v>4662</v>
      </c>
      <c r="M701" t="s">
        <v>2024</v>
      </c>
      <c r="N701" s="166">
        <v>17.78</v>
      </c>
      <c r="O701" t="s">
        <v>131</v>
      </c>
    </row>
    <row r="702" spans="1:15">
      <c r="A702" s="166" t="s">
        <v>6184</v>
      </c>
      <c r="B702" t="s">
        <v>111</v>
      </c>
      <c r="C702" t="s">
        <v>406</v>
      </c>
      <c r="D702" t="s">
        <v>118</v>
      </c>
      <c r="E702" t="s">
        <v>139</v>
      </c>
      <c r="F702" t="s">
        <v>7</v>
      </c>
      <c r="G702" t="s">
        <v>130</v>
      </c>
      <c r="H702" s="1">
        <v>46126</v>
      </c>
      <c r="I702" t="s">
        <v>6185</v>
      </c>
      <c r="J702" t="s">
        <v>6186</v>
      </c>
      <c r="K702" t="s">
        <v>1541</v>
      </c>
      <c r="L702" t="s">
        <v>155</v>
      </c>
      <c r="M702" t="s">
        <v>2406</v>
      </c>
      <c r="N702" s="166">
        <v>20.12</v>
      </c>
      <c r="O702" t="s">
        <v>131</v>
      </c>
    </row>
    <row r="703" spans="1:15">
      <c r="A703" s="166" t="s">
        <v>6187</v>
      </c>
      <c r="B703" t="s">
        <v>111</v>
      </c>
      <c r="C703" t="s">
        <v>133</v>
      </c>
      <c r="D703" t="s">
        <v>118</v>
      </c>
      <c r="E703" t="s">
        <v>139</v>
      </c>
      <c r="F703" t="s">
        <v>7</v>
      </c>
      <c r="G703" t="s">
        <v>130</v>
      </c>
      <c r="H703" s="1">
        <v>46126</v>
      </c>
      <c r="I703" t="s">
        <v>6188</v>
      </c>
      <c r="J703" t="s">
        <v>6189</v>
      </c>
      <c r="K703" t="s">
        <v>2478</v>
      </c>
      <c r="L703" t="s">
        <v>974</v>
      </c>
      <c r="M703" t="s">
        <v>731</v>
      </c>
      <c r="N703" s="166">
        <v>20.82</v>
      </c>
      <c r="O703" t="s">
        <v>131</v>
      </c>
    </row>
    <row r="704" spans="1:15">
      <c r="A704" s="166" t="s">
        <v>6190</v>
      </c>
      <c r="B704" t="s">
        <v>111</v>
      </c>
      <c r="C704" t="s">
        <v>1104</v>
      </c>
      <c r="D704" t="s">
        <v>118</v>
      </c>
      <c r="E704" t="s">
        <v>139</v>
      </c>
      <c r="F704" t="s">
        <v>7</v>
      </c>
      <c r="G704" t="s">
        <v>130</v>
      </c>
      <c r="H704" s="1">
        <v>46126</v>
      </c>
      <c r="I704" t="s">
        <v>6191</v>
      </c>
      <c r="J704" t="s">
        <v>6192</v>
      </c>
      <c r="K704" t="s">
        <v>1810</v>
      </c>
      <c r="L704" t="s">
        <v>3483</v>
      </c>
      <c r="M704" t="s">
        <v>1263</v>
      </c>
      <c r="N704" s="166">
        <v>18.48</v>
      </c>
      <c r="O704" t="s">
        <v>131</v>
      </c>
    </row>
    <row r="705" spans="1:15">
      <c r="A705" s="166" t="s">
        <v>6193</v>
      </c>
      <c r="B705" t="s">
        <v>111</v>
      </c>
      <c r="C705" t="s">
        <v>406</v>
      </c>
      <c r="D705" t="s">
        <v>118</v>
      </c>
      <c r="E705" t="s">
        <v>139</v>
      </c>
      <c r="F705" t="s">
        <v>7</v>
      </c>
      <c r="G705" t="s">
        <v>130</v>
      </c>
      <c r="H705" s="1">
        <v>46126</v>
      </c>
      <c r="I705" t="s">
        <v>6194</v>
      </c>
      <c r="J705" t="s">
        <v>6195</v>
      </c>
      <c r="K705" t="s">
        <v>1889</v>
      </c>
      <c r="L705" t="s">
        <v>153</v>
      </c>
      <c r="M705" t="s">
        <v>1797</v>
      </c>
      <c r="N705" s="166">
        <v>20.260000000000002</v>
      </c>
      <c r="O705" t="s">
        <v>131</v>
      </c>
    </row>
    <row r="706" spans="1:15">
      <c r="A706" s="166" t="s">
        <v>6196</v>
      </c>
      <c r="B706" t="s">
        <v>111</v>
      </c>
      <c r="C706" t="s">
        <v>133</v>
      </c>
      <c r="D706" t="s">
        <v>118</v>
      </c>
      <c r="E706" t="s">
        <v>139</v>
      </c>
      <c r="F706" t="s">
        <v>7</v>
      </c>
      <c r="G706" t="s">
        <v>130</v>
      </c>
      <c r="H706" s="1">
        <v>46126</v>
      </c>
      <c r="I706" t="s">
        <v>6197</v>
      </c>
      <c r="J706" t="s">
        <v>6198</v>
      </c>
      <c r="K706" t="s">
        <v>1969</v>
      </c>
      <c r="L706" t="s">
        <v>611</v>
      </c>
      <c r="M706" t="s">
        <v>1310</v>
      </c>
      <c r="N706" s="166">
        <v>19.38</v>
      </c>
      <c r="O706" t="s">
        <v>131</v>
      </c>
    </row>
    <row r="707" spans="1:15">
      <c r="A707" s="166" t="s">
        <v>6199</v>
      </c>
      <c r="B707" t="s">
        <v>111</v>
      </c>
      <c r="C707" t="s">
        <v>1104</v>
      </c>
      <c r="D707" t="s">
        <v>118</v>
      </c>
      <c r="E707" t="s">
        <v>139</v>
      </c>
      <c r="F707" t="s">
        <v>7</v>
      </c>
      <c r="G707" t="s">
        <v>130</v>
      </c>
      <c r="H707" s="1">
        <v>46126</v>
      </c>
      <c r="I707" t="s">
        <v>6200</v>
      </c>
      <c r="J707" t="s">
        <v>6201</v>
      </c>
      <c r="K707" t="s">
        <v>1314</v>
      </c>
      <c r="L707" t="s">
        <v>1484</v>
      </c>
      <c r="M707" t="s">
        <v>1493</v>
      </c>
      <c r="N707" s="166">
        <v>15.96</v>
      </c>
      <c r="O707" t="s">
        <v>131</v>
      </c>
    </row>
    <row r="708" spans="1:15">
      <c r="A708" s="166" t="s">
        <v>6202</v>
      </c>
      <c r="B708" t="s">
        <v>111</v>
      </c>
      <c r="C708" t="s">
        <v>406</v>
      </c>
      <c r="D708" t="s">
        <v>118</v>
      </c>
      <c r="E708" t="s">
        <v>139</v>
      </c>
      <c r="F708" t="s">
        <v>7</v>
      </c>
      <c r="G708" t="s">
        <v>130</v>
      </c>
      <c r="H708" s="1">
        <v>46126</v>
      </c>
      <c r="I708" t="s">
        <v>6203</v>
      </c>
      <c r="J708" t="s">
        <v>6204</v>
      </c>
      <c r="K708" t="s">
        <v>4396</v>
      </c>
      <c r="L708" t="s">
        <v>1560</v>
      </c>
      <c r="M708" t="s">
        <v>3993</v>
      </c>
      <c r="N708" s="166">
        <v>18.239999999999998</v>
      </c>
      <c r="O708" t="s">
        <v>131</v>
      </c>
    </row>
    <row r="709" spans="1:15">
      <c r="A709" s="166" t="s">
        <v>6205</v>
      </c>
      <c r="B709" t="s">
        <v>111</v>
      </c>
      <c r="C709" t="s">
        <v>133</v>
      </c>
      <c r="D709" t="s">
        <v>118</v>
      </c>
      <c r="E709" t="s">
        <v>139</v>
      </c>
      <c r="F709" t="s">
        <v>7</v>
      </c>
      <c r="G709" t="s">
        <v>130</v>
      </c>
      <c r="H709" s="1">
        <v>46126</v>
      </c>
      <c r="I709" t="s">
        <v>6206</v>
      </c>
      <c r="J709" t="s">
        <v>6207</v>
      </c>
      <c r="K709" t="s">
        <v>1948</v>
      </c>
      <c r="L709" t="s">
        <v>650</v>
      </c>
      <c r="M709" t="s">
        <v>1385</v>
      </c>
      <c r="N709" s="166">
        <v>19.78</v>
      </c>
      <c r="O709" t="s">
        <v>131</v>
      </c>
    </row>
    <row r="710" spans="1:15">
      <c r="A710" s="166" t="s">
        <v>6208</v>
      </c>
      <c r="B710" t="s">
        <v>111</v>
      </c>
      <c r="C710" t="s">
        <v>1104</v>
      </c>
      <c r="D710" t="s">
        <v>118</v>
      </c>
      <c r="E710" t="s">
        <v>139</v>
      </c>
      <c r="F710" t="s">
        <v>7</v>
      </c>
      <c r="G710" t="s">
        <v>130</v>
      </c>
      <c r="H710" s="1">
        <v>46126</v>
      </c>
      <c r="I710" t="s">
        <v>6209</v>
      </c>
      <c r="J710" t="s">
        <v>6210</v>
      </c>
      <c r="K710" t="s">
        <v>1285</v>
      </c>
      <c r="L710" t="s">
        <v>6211</v>
      </c>
      <c r="M710" t="s">
        <v>6212</v>
      </c>
      <c r="N710" s="166">
        <v>8.48</v>
      </c>
      <c r="O710" t="s">
        <v>131</v>
      </c>
    </row>
    <row r="711" spans="1:15">
      <c r="A711" s="166" t="s">
        <v>6213</v>
      </c>
      <c r="B711" t="s">
        <v>111</v>
      </c>
      <c r="C711" t="s">
        <v>406</v>
      </c>
      <c r="D711" t="s">
        <v>118</v>
      </c>
      <c r="E711" t="s">
        <v>139</v>
      </c>
      <c r="F711" t="s">
        <v>7</v>
      </c>
      <c r="G711" t="s">
        <v>130</v>
      </c>
      <c r="H711" s="1">
        <v>46126</v>
      </c>
      <c r="I711" t="s">
        <v>6214</v>
      </c>
      <c r="J711" t="s">
        <v>6215</v>
      </c>
      <c r="K711" t="s">
        <v>6216</v>
      </c>
      <c r="L711" t="s">
        <v>193</v>
      </c>
      <c r="M711" t="s">
        <v>2336</v>
      </c>
      <c r="N711" s="166">
        <v>19.440000000000001</v>
      </c>
      <c r="O711" t="s">
        <v>131</v>
      </c>
    </row>
    <row r="712" spans="1:15">
      <c r="A712" s="166" t="s">
        <v>6217</v>
      </c>
      <c r="B712" t="s">
        <v>111</v>
      </c>
      <c r="C712" t="s">
        <v>133</v>
      </c>
      <c r="D712" t="s">
        <v>118</v>
      </c>
      <c r="E712" t="s">
        <v>139</v>
      </c>
      <c r="F712" t="s">
        <v>7</v>
      </c>
      <c r="G712" t="s">
        <v>130</v>
      </c>
      <c r="H712" s="1">
        <v>46126</v>
      </c>
      <c r="I712" t="s">
        <v>6218</v>
      </c>
      <c r="J712" t="s">
        <v>6219</v>
      </c>
      <c r="K712" t="s">
        <v>5176</v>
      </c>
      <c r="L712" t="s">
        <v>2184</v>
      </c>
      <c r="M712" t="s">
        <v>3318</v>
      </c>
      <c r="N712" s="166">
        <v>17.62</v>
      </c>
      <c r="O712" t="s">
        <v>131</v>
      </c>
    </row>
    <row r="713" spans="1:15">
      <c r="A713" s="166" t="s">
        <v>6220</v>
      </c>
      <c r="B713" t="s">
        <v>111</v>
      </c>
      <c r="C713" t="s">
        <v>1104</v>
      </c>
      <c r="D713" t="s">
        <v>118</v>
      </c>
      <c r="E713" t="s">
        <v>139</v>
      </c>
      <c r="F713" t="s">
        <v>7</v>
      </c>
      <c r="G713" t="s">
        <v>130</v>
      </c>
      <c r="H713" s="1">
        <v>46126</v>
      </c>
      <c r="I713" t="s">
        <v>6221</v>
      </c>
      <c r="J713" t="s">
        <v>6222</v>
      </c>
      <c r="K713" t="s">
        <v>3524</v>
      </c>
      <c r="L713" t="s">
        <v>2297</v>
      </c>
      <c r="M713" t="s">
        <v>157</v>
      </c>
      <c r="N713" s="166">
        <v>14.96</v>
      </c>
      <c r="O713" t="s">
        <v>131</v>
      </c>
    </row>
    <row r="714" spans="1:15">
      <c r="A714" s="166" t="s">
        <v>1789</v>
      </c>
      <c r="B714" t="s">
        <v>111</v>
      </c>
      <c r="C714" t="s">
        <v>406</v>
      </c>
      <c r="D714" t="s">
        <v>118</v>
      </c>
      <c r="E714" t="s">
        <v>139</v>
      </c>
      <c r="F714" t="s">
        <v>7</v>
      </c>
      <c r="G714" t="s">
        <v>130</v>
      </c>
      <c r="H714" s="1">
        <v>46126</v>
      </c>
      <c r="I714" t="s">
        <v>6223</v>
      </c>
      <c r="J714" t="s">
        <v>6224</v>
      </c>
      <c r="K714" t="s">
        <v>4663</v>
      </c>
      <c r="L714" t="s">
        <v>616</v>
      </c>
      <c r="M714" t="s">
        <v>3967</v>
      </c>
      <c r="N714" s="166">
        <v>17.88</v>
      </c>
      <c r="O714" t="s">
        <v>131</v>
      </c>
    </row>
    <row r="715" spans="1:15">
      <c r="A715" s="166" t="s">
        <v>6225</v>
      </c>
      <c r="B715" t="s">
        <v>111</v>
      </c>
      <c r="C715" t="s">
        <v>133</v>
      </c>
      <c r="D715" t="s">
        <v>118</v>
      </c>
      <c r="E715" t="s">
        <v>139</v>
      </c>
      <c r="F715" t="s">
        <v>7</v>
      </c>
      <c r="G715" t="s">
        <v>130</v>
      </c>
      <c r="H715" s="1">
        <v>46126</v>
      </c>
      <c r="I715" t="s">
        <v>6226</v>
      </c>
      <c r="J715" t="s">
        <v>6227</v>
      </c>
      <c r="K715" t="s">
        <v>2379</v>
      </c>
      <c r="L715" t="s">
        <v>1081</v>
      </c>
      <c r="M715" t="s">
        <v>1468</v>
      </c>
      <c r="N715" s="166">
        <v>19</v>
      </c>
      <c r="O715" t="s">
        <v>131</v>
      </c>
    </row>
    <row r="716" spans="1:15">
      <c r="A716" s="166" t="s">
        <v>6228</v>
      </c>
      <c r="B716" t="s">
        <v>111</v>
      </c>
      <c r="C716" t="s">
        <v>406</v>
      </c>
      <c r="D716" t="s">
        <v>118</v>
      </c>
      <c r="E716" t="s">
        <v>139</v>
      </c>
      <c r="F716" t="s">
        <v>7</v>
      </c>
      <c r="G716" t="s">
        <v>130</v>
      </c>
      <c r="H716" s="1">
        <v>46126</v>
      </c>
      <c r="I716" t="s">
        <v>6229</v>
      </c>
      <c r="J716" t="s">
        <v>6230</v>
      </c>
      <c r="K716" t="s">
        <v>217</v>
      </c>
      <c r="L716" t="s">
        <v>1280</v>
      </c>
      <c r="M716" t="s">
        <v>2406</v>
      </c>
      <c r="N716" s="166">
        <v>20.12</v>
      </c>
      <c r="O716" t="s">
        <v>131</v>
      </c>
    </row>
    <row r="717" spans="1:15">
      <c r="A717" s="166" t="s">
        <v>6231</v>
      </c>
      <c r="B717" t="s">
        <v>111</v>
      </c>
      <c r="C717" t="s">
        <v>1104</v>
      </c>
      <c r="D717" t="s">
        <v>118</v>
      </c>
      <c r="E717" t="s">
        <v>139</v>
      </c>
      <c r="F717" t="s">
        <v>7</v>
      </c>
      <c r="G717" t="s">
        <v>130</v>
      </c>
      <c r="H717" s="1">
        <v>46126</v>
      </c>
      <c r="I717" t="s">
        <v>6232</v>
      </c>
      <c r="J717" t="s">
        <v>6233</v>
      </c>
      <c r="K717" t="s">
        <v>204</v>
      </c>
      <c r="L717" t="s">
        <v>2987</v>
      </c>
      <c r="M717" t="s">
        <v>6234</v>
      </c>
      <c r="N717" s="166">
        <v>12.58</v>
      </c>
      <c r="O717" t="s">
        <v>131</v>
      </c>
    </row>
    <row r="718" spans="1:15">
      <c r="A718" s="166" t="s">
        <v>6235</v>
      </c>
      <c r="B718" t="s">
        <v>111</v>
      </c>
      <c r="C718" t="s">
        <v>133</v>
      </c>
      <c r="D718" t="s">
        <v>118</v>
      </c>
      <c r="E718" t="s">
        <v>139</v>
      </c>
      <c r="F718" t="s">
        <v>7</v>
      </c>
      <c r="G718" t="s">
        <v>130</v>
      </c>
      <c r="H718" s="1">
        <v>46126</v>
      </c>
      <c r="I718" t="s">
        <v>6236</v>
      </c>
      <c r="J718" t="s">
        <v>6237</v>
      </c>
      <c r="K718" t="s">
        <v>655</v>
      </c>
      <c r="L718" t="s">
        <v>2127</v>
      </c>
      <c r="M718" t="s">
        <v>471</v>
      </c>
      <c r="N718" s="166">
        <v>22.04</v>
      </c>
      <c r="O718" t="s">
        <v>131</v>
      </c>
    </row>
    <row r="719" spans="1:15">
      <c r="A719" s="166" t="s">
        <v>6238</v>
      </c>
      <c r="B719" t="s">
        <v>111</v>
      </c>
      <c r="C719" t="s">
        <v>406</v>
      </c>
      <c r="D719" t="s">
        <v>118</v>
      </c>
      <c r="E719" t="s">
        <v>139</v>
      </c>
      <c r="F719" t="s">
        <v>7</v>
      </c>
      <c r="G719" t="s">
        <v>130</v>
      </c>
      <c r="H719" s="1">
        <v>46126</v>
      </c>
      <c r="I719" t="s">
        <v>6239</v>
      </c>
      <c r="J719" t="s">
        <v>6240</v>
      </c>
      <c r="K719" t="s">
        <v>6241</v>
      </c>
      <c r="L719" t="s">
        <v>622</v>
      </c>
      <c r="M719" t="s">
        <v>1582</v>
      </c>
      <c r="N719" s="166">
        <v>15.22</v>
      </c>
      <c r="O719" t="s">
        <v>131</v>
      </c>
    </row>
    <row r="720" spans="1:15">
      <c r="A720" s="166" t="s">
        <v>6242</v>
      </c>
      <c r="B720" t="s">
        <v>111</v>
      </c>
      <c r="C720" t="s">
        <v>1104</v>
      </c>
      <c r="D720" t="s">
        <v>118</v>
      </c>
      <c r="E720" t="s">
        <v>139</v>
      </c>
      <c r="F720" t="s">
        <v>7</v>
      </c>
      <c r="G720" t="s">
        <v>130</v>
      </c>
      <c r="H720" s="1">
        <v>46126</v>
      </c>
      <c r="I720" t="s">
        <v>6243</v>
      </c>
      <c r="J720" t="s">
        <v>6244</v>
      </c>
      <c r="K720" t="s">
        <v>1840</v>
      </c>
      <c r="L720" t="s">
        <v>891</v>
      </c>
      <c r="M720" t="s">
        <v>6245</v>
      </c>
      <c r="N720" s="166">
        <v>8.16</v>
      </c>
      <c r="O720" t="s">
        <v>131</v>
      </c>
    </row>
    <row r="721" spans="1:15">
      <c r="A721" s="166" t="s">
        <v>6246</v>
      </c>
      <c r="B721" t="s">
        <v>111</v>
      </c>
      <c r="C721" t="s">
        <v>406</v>
      </c>
      <c r="D721" t="s">
        <v>118</v>
      </c>
      <c r="E721" t="s">
        <v>139</v>
      </c>
      <c r="F721" t="s">
        <v>7</v>
      </c>
      <c r="G721" t="s">
        <v>130</v>
      </c>
      <c r="H721" s="1">
        <v>46126</v>
      </c>
      <c r="I721" t="s">
        <v>6247</v>
      </c>
      <c r="J721" t="s">
        <v>6248</v>
      </c>
      <c r="K721" t="s">
        <v>1113</v>
      </c>
      <c r="L721" t="s">
        <v>672</v>
      </c>
      <c r="M721" t="s">
        <v>3268</v>
      </c>
      <c r="N721" s="166">
        <v>17.440000000000001</v>
      </c>
      <c r="O721" t="s">
        <v>131</v>
      </c>
    </row>
    <row r="722" spans="1:15">
      <c r="A722" s="166" t="s">
        <v>6249</v>
      </c>
      <c r="B722" t="s">
        <v>111</v>
      </c>
      <c r="C722" t="s">
        <v>1104</v>
      </c>
      <c r="D722" t="s">
        <v>118</v>
      </c>
      <c r="E722" t="s">
        <v>139</v>
      </c>
      <c r="F722" t="s">
        <v>7</v>
      </c>
      <c r="G722" t="s">
        <v>130</v>
      </c>
      <c r="H722" s="1">
        <v>46126</v>
      </c>
      <c r="I722" t="s">
        <v>6250</v>
      </c>
      <c r="J722" t="s">
        <v>6251</v>
      </c>
      <c r="K722" t="s">
        <v>1205</v>
      </c>
      <c r="L722" t="s">
        <v>6252</v>
      </c>
      <c r="M722" t="s">
        <v>6253</v>
      </c>
      <c r="N722" s="166">
        <v>10.7</v>
      </c>
      <c r="O722" t="s">
        <v>131</v>
      </c>
    </row>
    <row r="723" spans="1:15">
      <c r="A723" s="166" t="s">
        <v>6254</v>
      </c>
      <c r="B723" t="s">
        <v>111</v>
      </c>
      <c r="C723" t="s">
        <v>133</v>
      </c>
      <c r="D723" t="s">
        <v>118</v>
      </c>
      <c r="E723" t="s">
        <v>139</v>
      </c>
      <c r="F723" t="s">
        <v>7</v>
      </c>
      <c r="G723" t="s">
        <v>130</v>
      </c>
      <c r="H723" s="1">
        <v>46126</v>
      </c>
      <c r="I723" t="s">
        <v>6255</v>
      </c>
      <c r="J723" t="s">
        <v>6256</v>
      </c>
      <c r="K723" t="s">
        <v>1052</v>
      </c>
      <c r="L723" t="s">
        <v>4148</v>
      </c>
      <c r="M723" t="s">
        <v>1468</v>
      </c>
      <c r="N723" s="166">
        <v>19</v>
      </c>
      <c r="O723" t="s">
        <v>131</v>
      </c>
    </row>
    <row r="724" spans="1:15">
      <c r="A724" s="166" t="s">
        <v>6257</v>
      </c>
      <c r="B724" t="s">
        <v>111</v>
      </c>
      <c r="C724" t="s">
        <v>406</v>
      </c>
      <c r="D724" t="s">
        <v>118</v>
      </c>
      <c r="E724" t="s">
        <v>139</v>
      </c>
      <c r="F724" t="s">
        <v>7</v>
      </c>
      <c r="G724" t="s">
        <v>130</v>
      </c>
      <c r="H724" s="1">
        <v>46126</v>
      </c>
      <c r="I724" t="s">
        <v>6258</v>
      </c>
      <c r="J724" t="s">
        <v>6259</v>
      </c>
      <c r="K724" t="s">
        <v>3389</v>
      </c>
      <c r="L724" t="s">
        <v>2095</v>
      </c>
      <c r="M724" t="s">
        <v>3192</v>
      </c>
      <c r="N724" s="166">
        <v>17.16</v>
      </c>
      <c r="O724" t="s">
        <v>131</v>
      </c>
    </row>
    <row r="725" spans="1:15">
      <c r="A725" s="166" t="s">
        <v>6260</v>
      </c>
      <c r="B725" t="s">
        <v>111</v>
      </c>
      <c r="C725" t="s">
        <v>1104</v>
      </c>
      <c r="D725" t="s">
        <v>118</v>
      </c>
      <c r="E725" t="s">
        <v>139</v>
      </c>
      <c r="F725" t="s">
        <v>7</v>
      </c>
      <c r="G725" t="s">
        <v>130</v>
      </c>
      <c r="H725" s="1">
        <v>46126</v>
      </c>
      <c r="I725" t="s">
        <v>6261</v>
      </c>
      <c r="J725" t="s">
        <v>6262</v>
      </c>
      <c r="K725" t="s">
        <v>3926</v>
      </c>
      <c r="L725" t="s">
        <v>6263</v>
      </c>
      <c r="M725" t="s">
        <v>6264</v>
      </c>
      <c r="N725" s="166">
        <v>8.1199999999999992</v>
      </c>
      <c r="O725" t="s">
        <v>131</v>
      </c>
    </row>
    <row r="726" spans="1:15">
      <c r="A726" s="166" t="s">
        <v>6265</v>
      </c>
      <c r="B726" t="s">
        <v>111</v>
      </c>
      <c r="C726" t="s">
        <v>133</v>
      </c>
      <c r="D726" t="s">
        <v>118</v>
      </c>
      <c r="E726" t="s">
        <v>139</v>
      </c>
      <c r="F726" t="s">
        <v>7</v>
      </c>
      <c r="G726" t="s">
        <v>130</v>
      </c>
      <c r="H726" s="1">
        <v>46126</v>
      </c>
      <c r="I726" t="s">
        <v>6266</v>
      </c>
      <c r="J726" t="s">
        <v>6267</v>
      </c>
      <c r="K726" t="s">
        <v>6268</v>
      </c>
      <c r="L726" t="s">
        <v>3075</v>
      </c>
      <c r="M726" t="s">
        <v>2008</v>
      </c>
      <c r="N726" s="166">
        <v>19.04</v>
      </c>
      <c r="O726" t="s">
        <v>131</v>
      </c>
    </row>
    <row r="727" spans="1:15">
      <c r="A727" s="166" t="s">
        <v>6269</v>
      </c>
      <c r="B727" t="s">
        <v>111</v>
      </c>
      <c r="C727" t="s">
        <v>406</v>
      </c>
      <c r="D727" t="s">
        <v>118</v>
      </c>
      <c r="E727" t="s">
        <v>139</v>
      </c>
      <c r="F727" t="s">
        <v>7</v>
      </c>
      <c r="G727" t="s">
        <v>130</v>
      </c>
      <c r="H727" s="1">
        <v>46126</v>
      </c>
      <c r="I727" t="s">
        <v>6270</v>
      </c>
      <c r="J727" t="s">
        <v>6271</v>
      </c>
      <c r="K727" t="s">
        <v>1914</v>
      </c>
      <c r="L727" t="s">
        <v>509</v>
      </c>
      <c r="M727" t="s">
        <v>1081</v>
      </c>
      <c r="N727" s="166">
        <v>16.579999999999998</v>
      </c>
      <c r="O727" t="s">
        <v>131</v>
      </c>
    </row>
    <row r="728" spans="1:15">
      <c r="A728" s="166" t="s">
        <v>6272</v>
      </c>
      <c r="B728" t="s">
        <v>111</v>
      </c>
      <c r="C728" t="s">
        <v>1104</v>
      </c>
      <c r="D728" t="s">
        <v>118</v>
      </c>
      <c r="E728" t="s">
        <v>139</v>
      </c>
      <c r="F728" t="s">
        <v>7</v>
      </c>
      <c r="G728" t="s">
        <v>130</v>
      </c>
      <c r="H728" s="1">
        <v>46126</v>
      </c>
      <c r="I728" t="s">
        <v>6273</v>
      </c>
      <c r="J728" t="s">
        <v>6274</v>
      </c>
      <c r="K728" t="s">
        <v>6275</v>
      </c>
      <c r="L728" t="s">
        <v>2218</v>
      </c>
      <c r="M728" t="s">
        <v>6276</v>
      </c>
      <c r="N728" s="166">
        <v>13.34</v>
      </c>
      <c r="O728" t="s">
        <v>131</v>
      </c>
    </row>
    <row r="729" spans="1:15">
      <c r="A729" s="166" t="s">
        <v>6277</v>
      </c>
      <c r="B729" t="s">
        <v>111</v>
      </c>
      <c r="C729" t="s">
        <v>133</v>
      </c>
      <c r="D729" t="s">
        <v>118</v>
      </c>
      <c r="E729" t="s">
        <v>139</v>
      </c>
      <c r="F729" t="s">
        <v>7</v>
      </c>
      <c r="G729" t="s">
        <v>130</v>
      </c>
      <c r="H729" s="1">
        <v>46126</v>
      </c>
      <c r="I729" t="s">
        <v>6278</v>
      </c>
      <c r="J729" t="s">
        <v>6279</v>
      </c>
      <c r="K729" t="s">
        <v>1793</v>
      </c>
      <c r="L729" t="s">
        <v>3501</v>
      </c>
      <c r="M729" t="s">
        <v>2175</v>
      </c>
      <c r="N729" s="166">
        <v>19.760000000000002</v>
      </c>
      <c r="O729" t="s">
        <v>131</v>
      </c>
    </row>
    <row r="730" spans="1:15">
      <c r="A730" s="166" t="s">
        <v>6280</v>
      </c>
      <c r="B730" t="s">
        <v>111</v>
      </c>
      <c r="C730" t="s">
        <v>406</v>
      </c>
      <c r="D730" t="s">
        <v>118</v>
      </c>
      <c r="E730" t="s">
        <v>139</v>
      </c>
      <c r="F730" t="s">
        <v>7</v>
      </c>
      <c r="G730" t="s">
        <v>130</v>
      </c>
      <c r="H730" s="1">
        <v>46126</v>
      </c>
      <c r="I730" t="s">
        <v>6281</v>
      </c>
      <c r="J730" t="s">
        <v>6282</v>
      </c>
      <c r="K730" t="s">
        <v>4663</v>
      </c>
      <c r="L730" t="s">
        <v>4662</v>
      </c>
      <c r="M730" t="s">
        <v>3441</v>
      </c>
      <c r="N730" s="166">
        <v>16.34</v>
      </c>
      <c r="O730" t="s">
        <v>131</v>
      </c>
    </row>
    <row r="731" spans="1:15">
      <c r="A731" s="166" t="s">
        <v>6283</v>
      </c>
      <c r="B731" t="s">
        <v>111</v>
      </c>
      <c r="C731" t="s">
        <v>1104</v>
      </c>
      <c r="D731" t="s">
        <v>118</v>
      </c>
      <c r="E731" t="s">
        <v>139</v>
      </c>
      <c r="F731" t="s">
        <v>7</v>
      </c>
      <c r="G731" t="s">
        <v>130</v>
      </c>
      <c r="H731" s="1">
        <v>46126</v>
      </c>
      <c r="I731" t="s">
        <v>6284</v>
      </c>
      <c r="J731" t="s">
        <v>6285</v>
      </c>
      <c r="K731" t="s">
        <v>3074</v>
      </c>
      <c r="L731" t="s">
        <v>6286</v>
      </c>
      <c r="M731" t="s">
        <v>6287</v>
      </c>
      <c r="N731" s="166">
        <v>14.16</v>
      </c>
      <c r="O731" t="s">
        <v>131</v>
      </c>
    </row>
    <row r="732" spans="1:15">
      <c r="A732" s="166" t="s">
        <v>6288</v>
      </c>
      <c r="B732" t="s">
        <v>111</v>
      </c>
      <c r="C732" t="s">
        <v>133</v>
      </c>
      <c r="D732" t="s">
        <v>118</v>
      </c>
      <c r="E732" t="s">
        <v>139</v>
      </c>
      <c r="F732" t="s">
        <v>7</v>
      </c>
      <c r="G732" t="s">
        <v>130</v>
      </c>
      <c r="H732" s="1">
        <v>46126</v>
      </c>
      <c r="I732" t="s">
        <v>6289</v>
      </c>
      <c r="J732" t="s">
        <v>6290</v>
      </c>
      <c r="K732" t="s">
        <v>464</v>
      </c>
      <c r="L732" t="s">
        <v>2523</v>
      </c>
      <c r="M732" t="s">
        <v>4700</v>
      </c>
      <c r="N732" s="166">
        <v>19.48</v>
      </c>
      <c r="O732" t="s">
        <v>131</v>
      </c>
    </row>
    <row r="733" spans="1:15">
      <c r="A733" s="166" t="s">
        <v>6291</v>
      </c>
      <c r="B733" t="s">
        <v>111</v>
      </c>
      <c r="C733" t="s">
        <v>406</v>
      </c>
      <c r="D733" t="s">
        <v>118</v>
      </c>
      <c r="E733" t="s">
        <v>558</v>
      </c>
      <c r="F733" t="s">
        <v>7</v>
      </c>
      <c r="G733" t="s">
        <v>130</v>
      </c>
      <c r="H733" s="1">
        <v>46126</v>
      </c>
      <c r="I733" t="s">
        <v>6292</v>
      </c>
      <c r="J733" t="s">
        <v>6293</v>
      </c>
      <c r="K733" t="s">
        <v>5108</v>
      </c>
      <c r="L733" t="s">
        <v>168</v>
      </c>
      <c r="M733" t="s">
        <v>2826</v>
      </c>
      <c r="N733" s="166">
        <v>26.78</v>
      </c>
      <c r="O733" t="s">
        <v>131</v>
      </c>
    </row>
    <row r="734" spans="1:15">
      <c r="A734" s="166" t="s">
        <v>1753</v>
      </c>
      <c r="B734" t="s">
        <v>111</v>
      </c>
      <c r="C734" t="s">
        <v>136</v>
      </c>
      <c r="D734" t="s">
        <v>118</v>
      </c>
      <c r="E734" t="s">
        <v>558</v>
      </c>
      <c r="F734" t="s">
        <v>7</v>
      </c>
      <c r="G734" t="s">
        <v>130</v>
      </c>
      <c r="H734" s="1">
        <v>46126</v>
      </c>
      <c r="I734" t="s">
        <v>6294</v>
      </c>
      <c r="J734" t="s">
        <v>6295</v>
      </c>
      <c r="K734" t="s">
        <v>214</v>
      </c>
      <c r="L734" t="s">
        <v>2272</v>
      </c>
      <c r="M734" t="s">
        <v>2188</v>
      </c>
      <c r="N734" s="166">
        <v>22.26</v>
      </c>
      <c r="O734" t="s">
        <v>131</v>
      </c>
    </row>
    <row r="735" spans="1:15">
      <c r="A735" s="166" t="s">
        <v>6296</v>
      </c>
      <c r="B735" t="s">
        <v>111</v>
      </c>
      <c r="C735" t="s">
        <v>1104</v>
      </c>
      <c r="D735" t="s">
        <v>118</v>
      </c>
      <c r="E735" t="s">
        <v>558</v>
      </c>
      <c r="F735" t="s">
        <v>7</v>
      </c>
      <c r="G735" t="s">
        <v>130</v>
      </c>
      <c r="H735" s="1">
        <v>46126</v>
      </c>
      <c r="I735" t="s">
        <v>6297</v>
      </c>
      <c r="J735" t="s">
        <v>6298</v>
      </c>
      <c r="K735" t="s">
        <v>1793</v>
      </c>
      <c r="L735" t="s">
        <v>1835</v>
      </c>
      <c r="M735" t="s">
        <v>207</v>
      </c>
      <c r="N735" s="166">
        <v>20.92</v>
      </c>
      <c r="O735" t="s">
        <v>131</v>
      </c>
    </row>
    <row r="736" spans="1:15">
      <c r="A736" s="166" t="s">
        <v>6299</v>
      </c>
      <c r="B736" t="s">
        <v>111</v>
      </c>
      <c r="C736" t="s">
        <v>133</v>
      </c>
      <c r="D736" t="s">
        <v>118</v>
      </c>
      <c r="E736" t="s">
        <v>558</v>
      </c>
      <c r="F736" t="s">
        <v>7</v>
      </c>
      <c r="G736" t="s">
        <v>130</v>
      </c>
      <c r="H736" s="1">
        <v>46126</v>
      </c>
      <c r="I736" t="s">
        <v>6300</v>
      </c>
      <c r="J736" t="s">
        <v>6301</v>
      </c>
      <c r="K736" t="s">
        <v>5707</v>
      </c>
      <c r="L736" t="s">
        <v>845</v>
      </c>
      <c r="M736" t="s">
        <v>4325</v>
      </c>
      <c r="N736" s="166">
        <v>20.58</v>
      </c>
      <c r="O736" t="s">
        <v>131</v>
      </c>
    </row>
    <row r="737" spans="1:15">
      <c r="A737" s="166" t="s">
        <v>6302</v>
      </c>
      <c r="B737" t="s">
        <v>111</v>
      </c>
      <c r="C737" t="s">
        <v>406</v>
      </c>
      <c r="D737" t="s">
        <v>118</v>
      </c>
      <c r="E737" t="s">
        <v>558</v>
      </c>
      <c r="F737" t="s">
        <v>7</v>
      </c>
      <c r="G737" t="s">
        <v>130</v>
      </c>
      <c r="H737" s="1">
        <v>46126</v>
      </c>
      <c r="I737" t="s">
        <v>6303</v>
      </c>
      <c r="J737" t="s">
        <v>6304</v>
      </c>
      <c r="K737" t="s">
        <v>2559</v>
      </c>
      <c r="L737" t="s">
        <v>152</v>
      </c>
      <c r="M737" t="s">
        <v>575</v>
      </c>
      <c r="N737" s="166">
        <v>21.48</v>
      </c>
      <c r="O737" t="s">
        <v>131</v>
      </c>
    </row>
    <row r="738" spans="1:15">
      <c r="A738" s="166" t="s">
        <v>6305</v>
      </c>
      <c r="B738" t="s">
        <v>111</v>
      </c>
      <c r="C738" t="s">
        <v>136</v>
      </c>
      <c r="D738" t="s">
        <v>118</v>
      </c>
      <c r="E738" t="s">
        <v>558</v>
      </c>
      <c r="F738" t="s">
        <v>7</v>
      </c>
      <c r="G738" t="s">
        <v>130</v>
      </c>
      <c r="H738" s="1">
        <v>46126</v>
      </c>
      <c r="I738" t="s">
        <v>6306</v>
      </c>
      <c r="J738" t="s">
        <v>6307</v>
      </c>
      <c r="K738" t="s">
        <v>475</v>
      </c>
      <c r="L738" t="s">
        <v>948</v>
      </c>
      <c r="M738" t="s">
        <v>628</v>
      </c>
      <c r="N738" s="166">
        <v>20.48</v>
      </c>
      <c r="O738" t="s">
        <v>131</v>
      </c>
    </row>
    <row r="739" spans="1:15">
      <c r="A739" s="166" t="s">
        <v>6308</v>
      </c>
      <c r="B739" t="s">
        <v>111</v>
      </c>
      <c r="C739" t="s">
        <v>1104</v>
      </c>
      <c r="D739" t="s">
        <v>118</v>
      </c>
      <c r="E739" t="s">
        <v>558</v>
      </c>
      <c r="F739" t="s">
        <v>7</v>
      </c>
      <c r="G739" t="s">
        <v>130</v>
      </c>
      <c r="H739" s="1">
        <v>46126</v>
      </c>
      <c r="I739" t="s">
        <v>6309</v>
      </c>
      <c r="J739" t="s">
        <v>6310</v>
      </c>
      <c r="K739" t="s">
        <v>475</v>
      </c>
      <c r="L739" t="s">
        <v>2267</v>
      </c>
      <c r="M739" t="s">
        <v>185</v>
      </c>
      <c r="N739" s="166">
        <v>20.72</v>
      </c>
      <c r="O739" t="s">
        <v>131</v>
      </c>
    </row>
    <row r="740" spans="1:15">
      <c r="A740" s="166" t="s">
        <v>6311</v>
      </c>
      <c r="B740" t="s">
        <v>111</v>
      </c>
      <c r="C740" t="s">
        <v>133</v>
      </c>
      <c r="D740" t="s">
        <v>118</v>
      </c>
      <c r="E740" t="s">
        <v>558</v>
      </c>
      <c r="F740" t="s">
        <v>7</v>
      </c>
      <c r="G740" t="s">
        <v>130</v>
      </c>
      <c r="H740" s="1">
        <v>46126</v>
      </c>
      <c r="I740" t="s">
        <v>6312</v>
      </c>
      <c r="J740" t="s">
        <v>6313</v>
      </c>
      <c r="K740" t="s">
        <v>3693</v>
      </c>
      <c r="L740" t="s">
        <v>3028</v>
      </c>
      <c r="M740" t="s">
        <v>4778</v>
      </c>
      <c r="N740" s="166">
        <v>21.44</v>
      </c>
      <c r="O740" t="s">
        <v>131</v>
      </c>
    </row>
    <row r="741" spans="1:15">
      <c r="A741" s="166" t="s">
        <v>6314</v>
      </c>
      <c r="B741" t="s">
        <v>111</v>
      </c>
      <c r="C741" t="s">
        <v>134</v>
      </c>
      <c r="D741" t="s">
        <v>118</v>
      </c>
      <c r="E741" t="s">
        <v>430</v>
      </c>
      <c r="F741" t="s">
        <v>7</v>
      </c>
      <c r="G741" t="s">
        <v>130</v>
      </c>
      <c r="H741" s="1">
        <v>46126</v>
      </c>
      <c r="I741" t="s">
        <v>6315</v>
      </c>
      <c r="J741" t="s">
        <v>6316</v>
      </c>
      <c r="K741" t="s">
        <v>760</v>
      </c>
      <c r="L741" t="s">
        <v>650</v>
      </c>
      <c r="M741" t="s">
        <v>1494</v>
      </c>
      <c r="N741" s="166">
        <v>21.9</v>
      </c>
      <c r="O741" t="s">
        <v>131</v>
      </c>
    </row>
    <row r="742" spans="1:15">
      <c r="A742" s="166" t="s">
        <v>6317</v>
      </c>
      <c r="B742" t="s">
        <v>111</v>
      </c>
      <c r="C742" t="s">
        <v>136</v>
      </c>
      <c r="D742" t="s">
        <v>118</v>
      </c>
      <c r="E742" t="s">
        <v>430</v>
      </c>
      <c r="F742" t="s">
        <v>7</v>
      </c>
      <c r="G742" t="s">
        <v>130</v>
      </c>
      <c r="H742" s="1">
        <v>46126</v>
      </c>
      <c r="I742" t="s">
        <v>6318</v>
      </c>
      <c r="J742" t="s">
        <v>6319</v>
      </c>
      <c r="K742" t="s">
        <v>5707</v>
      </c>
      <c r="L742" t="s">
        <v>870</v>
      </c>
      <c r="M742" t="s">
        <v>2100</v>
      </c>
      <c r="N742" s="166">
        <v>20.54</v>
      </c>
      <c r="O742" t="s">
        <v>131</v>
      </c>
    </row>
    <row r="743" spans="1:15">
      <c r="A743" s="166" t="s">
        <v>6320</v>
      </c>
      <c r="B743" t="s">
        <v>111</v>
      </c>
      <c r="C743" t="s">
        <v>133</v>
      </c>
      <c r="D743" t="s">
        <v>118</v>
      </c>
      <c r="E743" t="s">
        <v>430</v>
      </c>
      <c r="F743" t="s">
        <v>7</v>
      </c>
      <c r="G743" t="s">
        <v>130</v>
      </c>
      <c r="H743" s="1">
        <v>46126</v>
      </c>
      <c r="I743" t="s">
        <v>6321</v>
      </c>
      <c r="J743" t="s">
        <v>6322</v>
      </c>
      <c r="K743" t="s">
        <v>6323</v>
      </c>
      <c r="L743" t="s">
        <v>2599</v>
      </c>
      <c r="M743" t="s">
        <v>1159</v>
      </c>
      <c r="N743" s="166">
        <v>20.34</v>
      </c>
      <c r="O743" t="s">
        <v>131</v>
      </c>
    </row>
    <row r="744" spans="1:15">
      <c r="A744" s="166" t="s">
        <v>6324</v>
      </c>
      <c r="B744" t="s">
        <v>111</v>
      </c>
      <c r="C744" t="s">
        <v>1104</v>
      </c>
      <c r="D744" t="s">
        <v>118</v>
      </c>
      <c r="E744" t="s">
        <v>430</v>
      </c>
      <c r="F744" t="s">
        <v>7</v>
      </c>
      <c r="G744" t="s">
        <v>130</v>
      </c>
      <c r="H744" s="1">
        <v>46126</v>
      </c>
      <c r="I744" t="s">
        <v>6325</v>
      </c>
      <c r="J744" t="s">
        <v>6326</v>
      </c>
      <c r="K744" t="s">
        <v>205</v>
      </c>
      <c r="L744" t="s">
        <v>3129</v>
      </c>
      <c r="M744" t="s">
        <v>3174</v>
      </c>
      <c r="N744" s="166">
        <v>20.7</v>
      </c>
      <c r="O744" t="s">
        <v>131</v>
      </c>
    </row>
    <row r="745" spans="1:15">
      <c r="A745" s="166" t="s">
        <v>6327</v>
      </c>
      <c r="B745" t="s">
        <v>111</v>
      </c>
      <c r="C745" t="s">
        <v>136</v>
      </c>
      <c r="D745" t="s">
        <v>118</v>
      </c>
      <c r="E745" t="s">
        <v>430</v>
      </c>
      <c r="F745" t="s">
        <v>7</v>
      </c>
      <c r="G745" t="s">
        <v>130</v>
      </c>
      <c r="H745" s="1">
        <v>46126</v>
      </c>
      <c r="I745" t="s">
        <v>6328</v>
      </c>
      <c r="J745" t="s">
        <v>6329</v>
      </c>
      <c r="K745" t="s">
        <v>743</v>
      </c>
      <c r="L745" t="s">
        <v>1101</v>
      </c>
      <c r="M745" t="s">
        <v>1836</v>
      </c>
      <c r="N745" s="166">
        <v>23.72</v>
      </c>
      <c r="O745" t="s">
        <v>131</v>
      </c>
    </row>
    <row r="746" spans="1:15">
      <c r="A746" s="166" t="s">
        <v>6330</v>
      </c>
      <c r="B746" t="s">
        <v>111</v>
      </c>
      <c r="C746" t="s">
        <v>133</v>
      </c>
      <c r="D746" t="s">
        <v>118</v>
      </c>
      <c r="E746" t="s">
        <v>430</v>
      </c>
      <c r="F746" t="s">
        <v>7</v>
      </c>
      <c r="G746" t="s">
        <v>130</v>
      </c>
      <c r="H746" s="1">
        <v>46126</v>
      </c>
      <c r="I746" t="s">
        <v>6331</v>
      </c>
      <c r="J746" t="s">
        <v>6332</v>
      </c>
      <c r="K746" t="s">
        <v>1222</v>
      </c>
      <c r="L746" t="s">
        <v>3287</v>
      </c>
      <c r="M746" t="s">
        <v>466</v>
      </c>
      <c r="N746" s="166">
        <v>20.32</v>
      </c>
      <c r="O746" t="s">
        <v>131</v>
      </c>
    </row>
    <row r="747" spans="1:15">
      <c r="A747" s="166" t="s">
        <v>6333</v>
      </c>
      <c r="B747" t="s">
        <v>111</v>
      </c>
      <c r="C747" t="s">
        <v>1104</v>
      </c>
      <c r="D747" t="s">
        <v>118</v>
      </c>
      <c r="E747" t="s">
        <v>430</v>
      </c>
      <c r="F747" t="s">
        <v>7</v>
      </c>
      <c r="G747" t="s">
        <v>130</v>
      </c>
      <c r="H747" s="1">
        <v>46126</v>
      </c>
      <c r="I747" t="s">
        <v>6334</v>
      </c>
      <c r="J747" t="s">
        <v>6335</v>
      </c>
      <c r="K747" t="s">
        <v>621</v>
      </c>
      <c r="L747" t="s">
        <v>4556</v>
      </c>
      <c r="M747" t="s">
        <v>1425</v>
      </c>
      <c r="N747" s="166">
        <v>19.52</v>
      </c>
      <c r="O747" t="s">
        <v>131</v>
      </c>
    </row>
    <row r="748" spans="1:15">
      <c r="A748" s="166" t="s">
        <v>6336</v>
      </c>
      <c r="B748" t="s">
        <v>111</v>
      </c>
      <c r="C748" t="s">
        <v>134</v>
      </c>
      <c r="D748" t="s">
        <v>118</v>
      </c>
      <c r="E748" t="s">
        <v>430</v>
      </c>
      <c r="F748" t="s">
        <v>7</v>
      </c>
      <c r="G748" t="s">
        <v>130</v>
      </c>
      <c r="H748" s="1">
        <v>46126</v>
      </c>
      <c r="I748" t="s">
        <v>6337</v>
      </c>
      <c r="J748" t="s">
        <v>6338</v>
      </c>
      <c r="K748" t="s">
        <v>5072</v>
      </c>
      <c r="L748" t="s">
        <v>2058</v>
      </c>
      <c r="M748" t="s">
        <v>721</v>
      </c>
      <c r="N748" s="166">
        <v>24.14</v>
      </c>
      <c r="O748" t="s">
        <v>131</v>
      </c>
    </row>
    <row r="749" spans="1:15">
      <c r="A749" s="166" t="s">
        <v>6339</v>
      </c>
      <c r="B749" t="s">
        <v>111</v>
      </c>
      <c r="C749" t="s">
        <v>406</v>
      </c>
      <c r="D749" t="s">
        <v>118</v>
      </c>
      <c r="E749" t="s">
        <v>430</v>
      </c>
      <c r="F749" t="s">
        <v>7</v>
      </c>
      <c r="G749" t="s">
        <v>130</v>
      </c>
      <c r="H749" s="1">
        <v>46126</v>
      </c>
      <c r="I749" t="s">
        <v>6340</v>
      </c>
      <c r="J749" t="s">
        <v>6341</v>
      </c>
      <c r="K749" t="s">
        <v>1705</v>
      </c>
      <c r="L749" t="s">
        <v>1109</v>
      </c>
      <c r="M749" t="s">
        <v>628</v>
      </c>
      <c r="N749" s="166">
        <v>20.48</v>
      </c>
      <c r="O749" t="s">
        <v>131</v>
      </c>
    </row>
    <row r="750" spans="1:15">
      <c r="A750" s="166" t="s">
        <v>6342</v>
      </c>
      <c r="B750" t="s">
        <v>111</v>
      </c>
      <c r="C750" t="s">
        <v>136</v>
      </c>
      <c r="D750" t="s">
        <v>118</v>
      </c>
      <c r="E750" t="s">
        <v>430</v>
      </c>
      <c r="F750" t="s">
        <v>7</v>
      </c>
      <c r="G750" t="s">
        <v>130</v>
      </c>
      <c r="H750" s="1">
        <v>46126</v>
      </c>
      <c r="I750" t="s">
        <v>6343</v>
      </c>
      <c r="J750" t="s">
        <v>6344</v>
      </c>
      <c r="K750" t="s">
        <v>3063</v>
      </c>
      <c r="L750" t="s">
        <v>2090</v>
      </c>
      <c r="M750" t="s">
        <v>1836</v>
      </c>
      <c r="N750" s="166">
        <v>23.72</v>
      </c>
      <c r="O750" t="s">
        <v>131</v>
      </c>
    </row>
    <row r="751" spans="1:15">
      <c r="A751" s="166" t="s">
        <v>6345</v>
      </c>
      <c r="B751" t="s">
        <v>111</v>
      </c>
      <c r="C751" t="s">
        <v>1104</v>
      </c>
      <c r="D751" t="s">
        <v>118</v>
      </c>
      <c r="E751" t="s">
        <v>430</v>
      </c>
      <c r="F751" t="s">
        <v>7</v>
      </c>
      <c r="G751" t="s">
        <v>130</v>
      </c>
      <c r="H751" s="1">
        <v>46126</v>
      </c>
      <c r="I751" t="s">
        <v>6346</v>
      </c>
      <c r="J751" t="s">
        <v>6347</v>
      </c>
      <c r="K751" t="s">
        <v>1840</v>
      </c>
      <c r="L751" t="s">
        <v>3517</v>
      </c>
      <c r="M751" t="s">
        <v>4875</v>
      </c>
      <c r="N751" s="166">
        <v>17.739999999999998</v>
      </c>
      <c r="O751" t="s">
        <v>131</v>
      </c>
    </row>
    <row r="752" spans="1:15">
      <c r="A752" s="166" t="s">
        <v>6348</v>
      </c>
      <c r="B752" t="s">
        <v>111</v>
      </c>
      <c r="C752" t="s">
        <v>135</v>
      </c>
      <c r="D752" t="s">
        <v>118</v>
      </c>
      <c r="E752" t="s">
        <v>430</v>
      </c>
      <c r="F752" t="s">
        <v>7</v>
      </c>
      <c r="G752" t="s">
        <v>130</v>
      </c>
      <c r="H752" s="1">
        <v>46126</v>
      </c>
      <c r="I752" t="s">
        <v>6349</v>
      </c>
      <c r="J752" t="s">
        <v>6350</v>
      </c>
      <c r="K752" t="s">
        <v>2677</v>
      </c>
      <c r="L752" t="s">
        <v>772</v>
      </c>
      <c r="M752" t="s">
        <v>6351</v>
      </c>
      <c r="N752" s="166">
        <v>23.56</v>
      </c>
      <c r="O752" t="s">
        <v>131</v>
      </c>
    </row>
    <row r="753" spans="1:15">
      <c r="A753" s="166" t="s">
        <v>6352</v>
      </c>
      <c r="B753" t="s">
        <v>111</v>
      </c>
      <c r="C753" t="s">
        <v>133</v>
      </c>
      <c r="D753" t="s">
        <v>118</v>
      </c>
      <c r="E753" t="s">
        <v>430</v>
      </c>
      <c r="F753" t="s">
        <v>7</v>
      </c>
      <c r="G753" t="s">
        <v>130</v>
      </c>
      <c r="H753" s="1">
        <v>46126</v>
      </c>
      <c r="I753" t="s">
        <v>6353</v>
      </c>
      <c r="J753" t="s">
        <v>6354</v>
      </c>
      <c r="K753" t="s">
        <v>433</v>
      </c>
      <c r="L753" t="s">
        <v>3751</v>
      </c>
      <c r="M753" t="s">
        <v>416</v>
      </c>
      <c r="N753" s="166">
        <v>19.3</v>
      </c>
      <c r="O753" t="s">
        <v>131</v>
      </c>
    </row>
    <row r="754" spans="1:15">
      <c r="A754" s="166" t="s">
        <v>414</v>
      </c>
      <c r="B754" t="s">
        <v>111</v>
      </c>
      <c r="C754" t="s">
        <v>134</v>
      </c>
      <c r="D754" t="s">
        <v>118</v>
      </c>
      <c r="E754" t="s">
        <v>430</v>
      </c>
      <c r="F754" t="s">
        <v>7</v>
      </c>
      <c r="G754" t="s">
        <v>130</v>
      </c>
      <c r="H754" s="1">
        <v>46126</v>
      </c>
      <c r="I754" t="s">
        <v>6355</v>
      </c>
      <c r="J754" t="s">
        <v>6356</v>
      </c>
      <c r="K754" t="s">
        <v>464</v>
      </c>
      <c r="L754" t="s">
        <v>672</v>
      </c>
      <c r="M754" t="s">
        <v>184</v>
      </c>
      <c r="N754" s="166">
        <v>20.98</v>
      </c>
      <c r="O754" t="s">
        <v>131</v>
      </c>
    </row>
    <row r="755" spans="1:15">
      <c r="A755" s="166" t="s">
        <v>6357</v>
      </c>
      <c r="B755" t="s">
        <v>111</v>
      </c>
      <c r="C755" t="s">
        <v>136</v>
      </c>
      <c r="D755" t="s">
        <v>116</v>
      </c>
      <c r="E755" t="s">
        <v>418</v>
      </c>
      <c r="F755" t="s">
        <v>7</v>
      </c>
      <c r="G755" t="s">
        <v>130</v>
      </c>
      <c r="H755" s="1">
        <v>46126</v>
      </c>
      <c r="I755" t="s">
        <v>6358</v>
      </c>
      <c r="J755" t="s">
        <v>6359</v>
      </c>
      <c r="K755" t="s">
        <v>825</v>
      </c>
      <c r="L755" t="s">
        <v>3040</v>
      </c>
      <c r="M755" t="s">
        <v>1263</v>
      </c>
      <c r="N755" s="166">
        <v>18.48</v>
      </c>
      <c r="O755" t="s">
        <v>131</v>
      </c>
    </row>
    <row r="756" spans="1:15">
      <c r="A756" s="166" t="s">
        <v>6360</v>
      </c>
      <c r="B756" t="s">
        <v>111</v>
      </c>
      <c r="C756" t="s">
        <v>1104</v>
      </c>
      <c r="D756" t="s">
        <v>116</v>
      </c>
      <c r="E756" t="s">
        <v>418</v>
      </c>
      <c r="F756" t="s">
        <v>7</v>
      </c>
      <c r="G756" t="s">
        <v>130</v>
      </c>
      <c r="H756" s="1">
        <v>46126</v>
      </c>
      <c r="I756" t="s">
        <v>6361</v>
      </c>
      <c r="J756" t="s">
        <v>6362</v>
      </c>
      <c r="K756" t="s">
        <v>1332</v>
      </c>
      <c r="L756" t="s">
        <v>2090</v>
      </c>
      <c r="M756" t="s">
        <v>3993</v>
      </c>
      <c r="N756" s="166">
        <v>18.239999999999998</v>
      </c>
      <c r="O756" t="s">
        <v>131</v>
      </c>
    </row>
    <row r="757" spans="1:15">
      <c r="A757" s="166" t="s">
        <v>6363</v>
      </c>
      <c r="B757" t="s">
        <v>111</v>
      </c>
      <c r="C757" t="s">
        <v>133</v>
      </c>
      <c r="D757" t="s">
        <v>116</v>
      </c>
      <c r="E757" t="s">
        <v>418</v>
      </c>
      <c r="F757" t="s">
        <v>7</v>
      </c>
      <c r="G757" t="s">
        <v>130</v>
      </c>
      <c r="H757" s="1">
        <v>46126</v>
      </c>
      <c r="I757" t="s">
        <v>6364</v>
      </c>
      <c r="J757" t="s">
        <v>6365</v>
      </c>
      <c r="K757" t="s">
        <v>3011</v>
      </c>
      <c r="L757" t="s">
        <v>901</v>
      </c>
      <c r="M757" t="s">
        <v>870</v>
      </c>
      <c r="N757" s="166">
        <v>16.559999999999999</v>
      </c>
      <c r="O757" t="s">
        <v>131</v>
      </c>
    </row>
    <row r="758" spans="1:15">
      <c r="A758" s="166" t="s">
        <v>6366</v>
      </c>
      <c r="B758" t="s">
        <v>111</v>
      </c>
      <c r="C758" t="s">
        <v>134</v>
      </c>
      <c r="D758" t="s">
        <v>118</v>
      </c>
      <c r="E758" t="s">
        <v>2618</v>
      </c>
      <c r="F758" t="s">
        <v>7</v>
      </c>
      <c r="G758" t="s">
        <v>130</v>
      </c>
      <c r="H758" s="1">
        <v>46126</v>
      </c>
      <c r="I758" t="s">
        <v>6367</v>
      </c>
      <c r="J758" t="s">
        <v>6368</v>
      </c>
      <c r="K758" t="s">
        <v>994</v>
      </c>
      <c r="L758" t="s">
        <v>2058</v>
      </c>
      <c r="M758" t="s">
        <v>6369</v>
      </c>
      <c r="N758" s="166">
        <v>24.82</v>
      </c>
      <c r="O758" t="s">
        <v>131</v>
      </c>
    </row>
    <row r="759" spans="1:15">
      <c r="A759" s="166" t="s">
        <v>6370</v>
      </c>
      <c r="B759" t="s">
        <v>111</v>
      </c>
      <c r="C759" t="s">
        <v>136</v>
      </c>
      <c r="D759" t="s">
        <v>118</v>
      </c>
      <c r="E759" t="s">
        <v>2618</v>
      </c>
      <c r="F759" t="s">
        <v>7</v>
      </c>
      <c r="G759" t="s">
        <v>130</v>
      </c>
      <c r="H759" s="1">
        <v>46126</v>
      </c>
      <c r="I759" t="s">
        <v>6371</v>
      </c>
      <c r="J759" t="s">
        <v>6372</v>
      </c>
      <c r="K759" t="s">
        <v>2983</v>
      </c>
      <c r="L759" t="s">
        <v>3040</v>
      </c>
      <c r="M759" t="s">
        <v>3704</v>
      </c>
      <c r="N759" s="166">
        <v>24.68</v>
      </c>
      <c r="O759" t="s">
        <v>131</v>
      </c>
    </row>
    <row r="760" spans="1:15">
      <c r="A760" s="166" t="s">
        <v>6373</v>
      </c>
      <c r="B760" t="s">
        <v>111</v>
      </c>
      <c r="C760" t="s">
        <v>1104</v>
      </c>
      <c r="D760" t="s">
        <v>118</v>
      </c>
      <c r="E760" t="s">
        <v>2618</v>
      </c>
      <c r="F760" t="s">
        <v>7</v>
      </c>
      <c r="G760" t="s">
        <v>130</v>
      </c>
      <c r="H760" s="1">
        <v>46126</v>
      </c>
      <c r="I760" t="s">
        <v>6374</v>
      </c>
      <c r="J760" t="s">
        <v>6375</v>
      </c>
      <c r="K760" t="s">
        <v>4815</v>
      </c>
      <c r="L760" t="s">
        <v>2657</v>
      </c>
      <c r="M760" t="s">
        <v>660</v>
      </c>
      <c r="N760" s="166">
        <v>22.3</v>
      </c>
      <c r="O760" t="s">
        <v>131</v>
      </c>
    </row>
    <row r="761" spans="1:15">
      <c r="A761" s="166" t="s">
        <v>6376</v>
      </c>
      <c r="B761" t="s">
        <v>111</v>
      </c>
      <c r="C761" t="s">
        <v>133</v>
      </c>
      <c r="D761" t="s">
        <v>118</v>
      </c>
      <c r="E761" t="s">
        <v>2618</v>
      </c>
      <c r="F761" t="s">
        <v>7</v>
      </c>
      <c r="G761" t="s">
        <v>130</v>
      </c>
      <c r="H761" s="1">
        <v>46126</v>
      </c>
      <c r="I761" t="s">
        <v>6377</v>
      </c>
      <c r="J761" t="s">
        <v>6378</v>
      </c>
      <c r="K761" t="s">
        <v>228</v>
      </c>
      <c r="L761" t="s">
        <v>3040</v>
      </c>
      <c r="M761" t="s">
        <v>6109</v>
      </c>
      <c r="N761" s="166">
        <v>22.72</v>
      </c>
      <c r="O761" t="s">
        <v>131</v>
      </c>
    </row>
    <row r="762" spans="1:15">
      <c r="A762" s="166" t="s">
        <v>6379</v>
      </c>
      <c r="B762" t="s">
        <v>111</v>
      </c>
      <c r="C762" t="s">
        <v>134</v>
      </c>
      <c r="D762" t="s">
        <v>118</v>
      </c>
      <c r="E762" t="s">
        <v>2618</v>
      </c>
      <c r="F762" t="s">
        <v>7</v>
      </c>
      <c r="G762" t="s">
        <v>130</v>
      </c>
      <c r="H762" s="1">
        <v>46126</v>
      </c>
      <c r="I762" t="s">
        <v>6380</v>
      </c>
      <c r="J762" t="s">
        <v>6381</v>
      </c>
      <c r="K762" t="s">
        <v>895</v>
      </c>
      <c r="L762" t="s">
        <v>1280</v>
      </c>
      <c r="M762" t="s">
        <v>6382</v>
      </c>
      <c r="N762" s="166">
        <v>25.24</v>
      </c>
      <c r="O762" t="s">
        <v>131</v>
      </c>
    </row>
    <row r="763" spans="1:15">
      <c r="A763" s="166" t="s">
        <v>6383</v>
      </c>
      <c r="B763" t="s">
        <v>111</v>
      </c>
      <c r="C763" t="s">
        <v>136</v>
      </c>
      <c r="D763" t="s">
        <v>118</v>
      </c>
      <c r="E763" t="s">
        <v>2618</v>
      </c>
      <c r="F763" t="s">
        <v>7</v>
      </c>
      <c r="G763" t="s">
        <v>130</v>
      </c>
      <c r="H763" s="1">
        <v>46127</v>
      </c>
      <c r="I763" t="s">
        <v>6384</v>
      </c>
      <c r="J763" t="s">
        <v>6385</v>
      </c>
      <c r="K763" t="s">
        <v>4983</v>
      </c>
      <c r="L763" t="s">
        <v>509</v>
      </c>
      <c r="M763" t="s">
        <v>5800</v>
      </c>
      <c r="N763" s="166">
        <v>22.14</v>
      </c>
      <c r="O763" t="s">
        <v>131</v>
      </c>
    </row>
    <row r="764" spans="1:15">
      <c r="A764" s="166" t="s">
        <v>6386</v>
      </c>
      <c r="B764" t="s">
        <v>111</v>
      </c>
      <c r="C764" t="s">
        <v>133</v>
      </c>
      <c r="D764" t="s">
        <v>118</v>
      </c>
      <c r="E764" t="s">
        <v>2618</v>
      </c>
      <c r="F764" t="s">
        <v>7</v>
      </c>
      <c r="G764" t="s">
        <v>130</v>
      </c>
      <c r="H764" s="1">
        <v>46127</v>
      </c>
      <c r="I764" t="s">
        <v>6387</v>
      </c>
      <c r="J764" t="s">
        <v>6388</v>
      </c>
      <c r="K764" t="s">
        <v>3125</v>
      </c>
      <c r="L764" t="s">
        <v>3075</v>
      </c>
      <c r="M764" t="s">
        <v>826</v>
      </c>
      <c r="N764" s="166">
        <v>20.38</v>
      </c>
      <c r="O764" t="s">
        <v>131</v>
      </c>
    </row>
    <row r="765" spans="1:15">
      <c r="A765" s="166" t="s">
        <v>6389</v>
      </c>
      <c r="B765" t="s">
        <v>111</v>
      </c>
      <c r="C765" t="s">
        <v>1104</v>
      </c>
      <c r="D765" t="s">
        <v>118</v>
      </c>
      <c r="E765" t="s">
        <v>2618</v>
      </c>
      <c r="F765" t="s">
        <v>7</v>
      </c>
      <c r="G765" t="s">
        <v>130</v>
      </c>
      <c r="H765" s="1">
        <v>46127</v>
      </c>
      <c r="I765" t="s">
        <v>6390</v>
      </c>
      <c r="J765" t="s">
        <v>6391</v>
      </c>
      <c r="K765" t="s">
        <v>1948</v>
      </c>
      <c r="L765" t="s">
        <v>3192</v>
      </c>
      <c r="M765" t="s">
        <v>1263</v>
      </c>
      <c r="N765" s="166">
        <v>18.48</v>
      </c>
      <c r="O765" t="s">
        <v>131</v>
      </c>
    </row>
    <row r="766" spans="1:15">
      <c r="A766" s="166" t="s">
        <v>6392</v>
      </c>
      <c r="B766" t="s">
        <v>111</v>
      </c>
      <c r="C766" t="s">
        <v>134</v>
      </c>
      <c r="D766" t="s">
        <v>118</v>
      </c>
      <c r="E766" t="s">
        <v>2618</v>
      </c>
      <c r="F766" t="s">
        <v>7</v>
      </c>
      <c r="G766" t="s">
        <v>130</v>
      </c>
      <c r="H766" s="1">
        <v>46127</v>
      </c>
      <c r="I766" t="s">
        <v>6393</v>
      </c>
      <c r="J766" t="s">
        <v>6394</v>
      </c>
      <c r="K766" t="s">
        <v>1052</v>
      </c>
      <c r="L766" t="s">
        <v>2568</v>
      </c>
      <c r="M766" t="s">
        <v>3174</v>
      </c>
      <c r="N766" s="166">
        <v>20.7</v>
      </c>
      <c r="O766" t="s">
        <v>131</v>
      </c>
    </row>
    <row r="767" spans="1:15">
      <c r="A767" s="166" t="s">
        <v>6395</v>
      </c>
      <c r="B767" t="s">
        <v>111</v>
      </c>
      <c r="C767" t="s">
        <v>136</v>
      </c>
      <c r="D767" t="s">
        <v>118</v>
      </c>
      <c r="E767" t="s">
        <v>2618</v>
      </c>
      <c r="F767" t="s">
        <v>7</v>
      </c>
      <c r="G767" t="s">
        <v>130</v>
      </c>
      <c r="H767" s="1">
        <v>46127</v>
      </c>
      <c r="I767" t="s">
        <v>6396</v>
      </c>
      <c r="J767" t="s">
        <v>6397</v>
      </c>
      <c r="K767" t="s">
        <v>1377</v>
      </c>
      <c r="L767" t="s">
        <v>3040</v>
      </c>
      <c r="M767" t="s">
        <v>3534</v>
      </c>
      <c r="N767" s="166">
        <v>18.739999999999998</v>
      </c>
      <c r="O767" t="s">
        <v>131</v>
      </c>
    </row>
    <row r="768" spans="1:15">
      <c r="A768" s="166" t="s">
        <v>6398</v>
      </c>
      <c r="B768" t="s">
        <v>111</v>
      </c>
      <c r="C768" t="s">
        <v>133</v>
      </c>
      <c r="D768" t="s">
        <v>118</v>
      </c>
      <c r="E768" t="s">
        <v>2618</v>
      </c>
      <c r="F768" t="s">
        <v>7</v>
      </c>
      <c r="G768" t="s">
        <v>130</v>
      </c>
      <c r="H768" s="1">
        <v>46127</v>
      </c>
      <c r="I768" t="s">
        <v>6399</v>
      </c>
      <c r="J768" t="s">
        <v>6400</v>
      </c>
      <c r="K768" t="s">
        <v>1163</v>
      </c>
      <c r="L768" t="s">
        <v>1281</v>
      </c>
      <c r="M768" t="s">
        <v>1934</v>
      </c>
      <c r="N768" s="166">
        <v>19.62</v>
      </c>
      <c r="O768" t="s">
        <v>131</v>
      </c>
    </row>
    <row r="769" spans="1:15">
      <c r="A769" s="166" t="s">
        <v>6401</v>
      </c>
      <c r="B769" t="s">
        <v>111</v>
      </c>
      <c r="C769" t="s">
        <v>1104</v>
      </c>
      <c r="D769" t="s">
        <v>118</v>
      </c>
      <c r="E769" t="s">
        <v>2618</v>
      </c>
      <c r="F769" t="s">
        <v>7</v>
      </c>
      <c r="G769" t="s">
        <v>130</v>
      </c>
      <c r="H769" s="1">
        <v>46127</v>
      </c>
      <c r="I769" t="s">
        <v>6402</v>
      </c>
      <c r="J769" t="s">
        <v>6403</v>
      </c>
      <c r="K769" t="s">
        <v>3693</v>
      </c>
      <c r="L769" t="s">
        <v>1177</v>
      </c>
      <c r="M769" t="s">
        <v>3814</v>
      </c>
      <c r="N769" s="166">
        <v>22.08</v>
      </c>
      <c r="O769" t="s">
        <v>131</v>
      </c>
    </row>
    <row r="770" spans="1:15">
      <c r="A770" s="166" t="s">
        <v>6404</v>
      </c>
      <c r="B770" t="s">
        <v>111</v>
      </c>
      <c r="C770" t="s">
        <v>134</v>
      </c>
      <c r="D770" t="s">
        <v>118</v>
      </c>
      <c r="E770" t="s">
        <v>2618</v>
      </c>
      <c r="F770" t="s">
        <v>7</v>
      </c>
      <c r="G770" t="s">
        <v>130</v>
      </c>
      <c r="H770" s="1">
        <v>46127</v>
      </c>
      <c r="I770" t="s">
        <v>6405</v>
      </c>
      <c r="J770" t="s">
        <v>6406</v>
      </c>
      <c r="K770" t="s">
        <v>2668</v>
      </c>
      <c r="L770" t="s">
        <v>1081</v>
      </c>
      <c r="M770" t="s">
        <v>857</v>
      </c>
      <c r="N770" s="166">
        <v>22.94</v>
      </c>
      <c r="O770" t="s">
        <v>131</v>
      </c>
    </row>
    <row r="771" spans="1:15">
      <c r="A771" s="166" t="s">
        <v>6407</v>
      </c>
      <c r="B771" t="s">
        <v>111</v>
      </c>
      <c r="C771" t="s">
        <v>136</v>
      </c>
      <c r="D771" t="s">
        <v>118</v>
      </c>
      <c r="E771" t="s">
        <v>2618</v>
      </c>
      <c r="F771" t="s">
        <v>7</v>
      </c>
      <c r="G771" t="s">
        <v>130</v>
      </c>
      <c r="H771" s="1">
        <v>46127</v>
      </c>
      <c r="I771" t="s">
        <v>6408</v>
      </c>
      <c r="J771" t="s">
        <v>6409</v>
      </c>
      <c r="K771" t="s">
        <v>480</v>
      </c>
      <c r="L771" t="s">
        <v>169</v>
      </c>
      <c r="M771" t="s">
        <v>628</v>
      </c>
      <c r="N771" s="166">
        <v>20.48</v>
      </c>
      <c r="O771" t="s">
        <v>131</v>
      </c>
    </row>
    <row r="772" spans="1:15">
      <c r="A772" s="166" t="s">
        <v>6410</v>
      </c>
      <c r="B772" t="s">
        <v>111</v>
      </c>
      <c r="C772" t="s">
        <v>133</v>
      </c>
      <c r="D772" t="s">
        <v>118</v>
      </c>
      <c r="E772" t="s">
        <v>2618</v>
      </c>
      <c r="F772" t="s">
        <v>7</v>
      </c>
      <c r="G772" t="s">
        <v>130</v>
      </c>
      <c r="H772" s="1">
        <v>46127</v>
      </c>
      <c r="I772" t="s">
        <v>6411</v>
      </c>
      <c r="J772" t="s">
        <v>6412</v>
      </c>
      <c r="K772" t="s">
        <v>1492</v>
      </c>
      <c r="L772" t="s">
        <v>2128</v>
      </c>
      <c r="M772" t="s">
        <v>1663</v>
      </c>
      <c r="N772" s="166">
        <v>19.18</v>
      </c>
      <c r="O772" t="s">
        <v>131</v>
      </c>
    </row>
    <row r="773" spans="1:15">
      <c r="A773" s="166" t="s">
        <v>6413</v>
      </c>
      <c r="B773" t="s">
        <v>111</v>
      </c>
      <c r="C773" t="s">
        <v>134</v>
      </c>
      <c r="D773" t="s">
        <v>118</v>
      </c>
      <c r="E773" t="s">
        <v>2618</v>
      </c>
      <c r="F773" t="s">
        <v>7</v>
      </c>
      <c r="G773" t="s">
        <v>130</v>
      </c>
      <c r="H773" s="1">
        <v>46127</v>
      </c>
      <c r="I773" t="s">
        <v>6414</v>
      </c>
      <c r="J773" t="s">
        <v>6415</v>
      </c>
      <c r="K773" t="s">
        <v>1541</v>
      </c>
      <c r="L773" t="s">
        <v>2599</v>
      </c>
      <c r="M773" t="s">
        <v>4148</v>
      </c>
      <c r="N773" s="166">
        <v>17.899999999999999</v>
      </c>
      <c r="O773" t="s">
        <v>131</v>
      </c>
    </row>
    <row r="774" spans="1:15">
      <c r="A774" s="166" t="s">
        <v>5895</v>
      </c>
      <c r="B774" t="s">
        <v>111</v>
      </c>
      <c r="C774" t="s">
        <v>136</v>
      </c>
      <c r="D774" t="s">
        <v>118</v>
      </c>
      <c r="E774" t="s">
        <v>2618</v>
      </c>
      <c r="F774" t="s">
        <v>7</v>
      </c>
      <c r="G774" t="s">
        <v>130</v>
      </c>
      <c r="H774" s="1">
        <v>46127</v>
      </c>
      <c r="I774" t="s">
        <v>6416</v>
      </c>
      <c r="J774" t="s">
        <v>6417</v>
      </c>
      <c r="K774" t="s">
        <v>2540</v>
      </c>
      <c r="L774" t="s">
        <v>169</v>
      </c>
      <c r="M774" t="s">
        <v>1328</v>
      </c>
      <c r="N774" s="166">
        <v>19.54</v>
      </c>
      <c r="O774" t="s">
        <v>131</v>
      </c>
    </row>
    <row r="775" spans="1:15">
      <c r="A775" s="166" t="s">
        <v>6418</v>
      </c>
      <c r="B775" t="s">
        <v>111</v>
      </c>
      <c r="C775" t="s">
        <v>133</v>
      </c>
      <c r="D775" t="s">
        <v>118</v>
      </c>
      <c r="E775" t="s">
        <v>2618</v>
      </c>
      <c r="F775" t="s">
        <v>7</v>
      </c>
      <c r="G775" t="s">
        <v>130</v>
      </c>
      <c r="H775" s="1">
        <v>46127</v>
      </c>
      <c r="I775" t="s">
        <v>6419</v>
      </c>
      <c r="J775" t="s">
        <v>6420</v>
      </c>
      <c r="K775" t="s">
        <v>1564</v>
      </c>
      <c r="L775" t="s">
        <v>3192</v>
      </c>
      <c r="M775" t="s">
        <v>3203</v>
      </c>
      <c r="N775" s="166">
        <v>20.76</v>
      </c>
      <c r="O775" t="s">
        <v>131</v>
      </c>
    </row>
    <row r="776" spans="1:15">
      <c r="A776" s="166" t="s">
        <v>6421</v>
      </c>
      <c r="B776" t="s">
        <v>111</v>
      </c>
      <c r="C776" t="s">
        <v>1104</v>
      </c>
      <c r="D776" t="s">
        <v>118</v>
      </c>
      <c r="E776" t="s">
        <v>2618</v>
      </c>
      <c r="F776" t="s">
        <v>7</v>
      </c>
      <c r="G776" t="s">
        <v>130</v>
      </c>
      <c r="H776" s="1">
        <v>46127</v>
      </c>
      <c r="I776" t="s">
        <v>6422</v>
      </c>
      <c r="J776" t="s">
        <v>6423</v>
      </c>
      <c r="K776" t="s">
        <v>627</v>
      </c>
      <c r="L776" t="s">
        <v>2549</v>
      </c>
      <c r="M776" t="s">
        <v>1995</v>
      </c>
      <c r="N776" s="166">
        <v>19.12</v>
      </c>
      <c r="O776" t="s">
        <v>131</v>
      </c>
    </row>
    <row r="777" spans="1:15">
      <c r="A777" s="166" t="s">
        <v>6424</v>
      </c>
      <c r="B777" t="s">
        <v>111</v>
      </c>
      <c r="C777" t="s">
        <v>134</v>
      </c>
      <c r="D777" t="s">
        <v>118</v>
      </c>
      <c r="E777" t="s">
        <v>2618</v>
      </c>
      <c r="F777" t="s">
        <v>7</v>
      </c>
      <c r="G777" t="s">
        <v>130</v>
      </c>
      <c r="H777" s="1">
        <v>46127</v>
      </c>
      <c r="I777" t="s">
        <v>6425</v>
      </c>
      <c r="J777" t="s">
        <v>6426</v>
      </c>
      <c r="K777" t="s">
        <v>573</v>
      </c>
      <c r="L777" t="s">
        <v>3268</v>
      </c>
      <c r="M777" t="s">
        <v>1296</v>
      </c>
      <c r="N777" s="166">
        <v>18.760000000000002</v>
      </c>
      <c r="O777" t="s">
        <v>131</v>
      </c>
    </row>
    <row r="778" spans="1:15">
      <c r="A778" s="166" t="s">
        <v>6427</v>
      </c>
      <c r="B778" t="s">
        <v>111</v>
      </c>
      <c r="C778" t="s">
        <v>133</v>
      </c>
      <c r="D778" t="s">
        <v>116</v>
      </c>
      <c r="E778" t="s">
        <v>418</v>
      </c>
      <c r="F778" t="s">
        <v>7</v>
      </c>
      <c r="G778" t="s">
        <v>130</v>
      </c>
      <c r="H778" s="1">
        <v>46127</v>
      </c>
      <c r="I778" t="s">
        <v>6428</v>
      </c>
      <c r="J778" t="s">
        <v>6429</v>
      </c>
      <c r="K778" t="s">
        <v>426</v>
      </c>
      <c r="L778" t="s">
        <v>3635</v>
      </c>
      <c r="M778" t="s">
        <v>832</v>
      </c>
      <c r="N778" s="166">
        <v>18.72</v>
      </c>
      <c r="O778" t="s">
        <v>131</v>
      </c>
    </row>
    <row r="779" spans="1:15">
      <c r="A779" s="166" t="s">
        <v>6430</v>
      </c>
      <c r="B779" t="s">
        <v>111</v>
      </c>
      <c r="C779" t="s">
        <v>134</v>
      </c>
      <c r="D779" t="s">
        <v>116</v>
      </c>
      <c r="E779" t="s">
        <v>418</v>
      </c>
      <c r="F779" t="s">
        <v>7</v>
      </c>
      <c r="G779" t="s">
        <v>130</v>
      </c>
      <c r="H779" s="1">
        <v>46127</v>
      </c>
      <c r="I779" t="s">
        <v>6431</v>
      </c>
      <c r="J779" t="s">
        <v>6432</v>
      </c>
      <c r="K779" t="s">
        <v>3291</v>
      </c>
      <c r="L779" t="s">
        <v>4927</v>
      </c>
      <c r="M779" t="s">
        <v>1127</v>
      </c>
      <c r="N779" s="166">
        <v>19.920000000000002</v>
      </c>
      <c r="O779" t="s">
        <v>131</v>
      </c>
    </row>
    <row r="780" spans="1:15">
      <c r="A780" s="166" t="s">
        <v>6433</v>
      </c>
      <c r="B780" t="s">
        <v>111</v>
      </c>
      <c r="C780" t="s">
        <v>136</v>
      </c>
      <c r="D780" t="s">
        <v>116</v>
      </c>
      <c r="E780" t="s">
        <v>418</v>
      </c>
      <c r="F780" t="s">
        <v>7</v>
      </c>
      <c r="G780" t="s">
        <v>130</v>
      </c>
      <c r="H780" s="1">
        <v>46127</v>
      </c>
      <c r="I780" t="s">
        <v>6434</v>
      </c>
      <c r="J780" t="s">
        <v>6435</v>
      </c>
      <c r="K780" t="s">
        <v>3592</v>
      </c>
      <c r="L780" t="s">
        <v>2624</v>
      </c>
      <c r="M780" t="s">
        <v>476</v>
      </c>
      <c r="N780" s="166">
        <v>21.82</v>
      </c>
      <c r="O780" t="s">
        <v>131</v>
      </c>
    </row>
    <row r="781" spans="1:15">
      <c r="A781" s="166" t="s">
        <v>6436</v>
      </c>
      <c r="B781" t="s">
        <v>111</v>
      </c>
      <c r="C781" t="s">
        <v>1104</v>
      </c>
      <c r="D781" t="s">
        <v>116</v>
      </c>
      <c r="E781" t="s">
        <v>418</v>
      </c>
      <c r="F781" t="s">
        <v>7</v>
      </c>
      <c r="G781" t="s">
        <v>130</v>
      </c>
      <c r="H781" s="1">
        <v>46127</v>
      </c>
      <c r="I781" t="s">
        <v>6437</v>
      </c>
      <c r="J781" t="s">
        <v>6438</v>
      </c>
      <c r="K781" t="s">
        <v>4103</v>
      </c>
      <c r="L781" t="s">
        <v>1416</v>
      </c>
      <c r="M781" t="s">
        <v>1323</v>
      </c>
      <c r="N781" s="166">
        <v>20.440000000000001</v>
      </c>
      <c r="O781" t="s">
        <v>131</v>
      </c>
    </row>
    <row r="782" spans="1:15">
      <c r="A782" s="166" t="s">
        <v>6439</v>
      </c>
      <c r="B782" t="s">
        <v>111</v>
      </c>
      <c r="C782" t="s">
        <v>133</v>
      </c>
      <c r="D782" t="s">
        <v>116</v>
      </c>
      <c r="E782" t="s">
        <v>418</v>
      </c>
      <c r="F782" t="s">
        <v>7</v>
      </c>
      <c r="G782" t="s">
        <v>130</v>
      </c>
      <c r="H782" s="1">
        <v>46127</v>
      </c>
      <c r="I782" t="s">
        <v>6440</v>
      </c>
      <c r="J782" t="s">
        <v>6441</v>
      </c>
      <c r="K782" t="s">
        <v>178</v>
      </c>
      <c r="L782" t="s">
        <v>2473</v>
      </c>
      <c r="M782" t="s">
        <v>1364</v>
      </c>
      <c r="N782" s="166">
        <v>17.760000000000002</v>
      </c>
      <c r="O782" t="s">
        <v>131</v>
      </c>
    </row>
    <row r="783" spans="1:15">
      <c r="A783" s="166" t="s">
        <v>6442</v>
      </c>
      <c r="B783" t="s">
        <v>111</v>
      </c>
      <c r="C783" t="s">
        <v>134</v>
      </c>
      <c r="D783" t="s">
        <v>116</v>
      </c>
      <c r="E783" t="s">
        <v>418</v>
      </c>
      <c r="F783" t="s">
        <v>7</v>
      </c>
      <c r="G783" t="s">
        <v>130</v>
      </c>
      <c r="H783" s="1">
        <v>46127</v>
      </c>
      <c r="I783" t="s">
        <v>6443</v>
      </c>
      <c r="J783" t="s">
        <v>6444</v>
      </c>
      <c r="K783" t="s">
        <v>1549</v>
      </c>
      <c r="L783" t="s">
        <v>1830</v>
      </c>
      <c r="M783" t="s">
        <v>2531</v>
      </c>
      <c r="N783" s="166">
        <v>17.52</v>
      </c>
      <c r="O783" t="s">
        <v>131</v>
      </c>
    </row>
    <row r="784" spans="1:15">
      <c r="A784" s="166" t="s">
        <v>6445</v>
      </c>
      <c r="B784" t="s">
        <v>111</v>
      </c>
      <c r="C784" t="s">
        <v>136</v>
      </c>
      <c r="D784" t="s">
        <v>116</v>
      </c>
      <c r="E784" t="s">
        <v>418</v>
      </c>
      <c r="F784" t="s">
        <v>7</v>
      </c>
      <c r="G784" t="s">
        <v>130</v>
      </c>
      <c r="H784" s="1">
        <v>46127</v>
      </c>
      <c r="I784" t="s">
        <v>6446</v>
      </c>
      <c r="J784" t="s">
        <v>6447</v>
      </c>
      <c r="K784" t="s">
        <v>659</v>
      </c>
      <c r="L784" t="s">
        <v>2019</v>
      </c>
      <c r="M784" t="s">
        <v>1545</v>
      </c>
      <c r="N784" s="166">
        <v>20.68</v>
      </c>
      <c r="O784" t="s">
        <v>131</v>
      </c>
    </row>
    <row r="785" spans="1:15">
      <c r="A785" s="166" t="s">
        <v>6448</v>
      </c>
      <c r="B785" t="s">
        <v>111</v>
      </c>
      <c r="C785" t="s">
        <v>1104</v>
      </c>
      <c r="D785" t="s">
        <v>116</v>
      </c>
      <c r="E785" t="s">
        <v>418</v>
      </c>
      <c r="F785" t="s">
        <v>7</v>
      </c>
      <c r="G785" t="s">
        <v>130</v>
      </c>
      <c r="H785" s="1">
        <v>46127</v>
      </c>
      <c r="I785" t="s">
        <v>6449</v>
      </c>
      <c r="J785" t="s">
        <v>6450</v>
      </c>
      <c r="K785" t="s">
        <v>3926</v>
      </c>
      <c r="L785" t="s">
        <v>1757</v>
      </c>
      <c r="M785" t="s">
        <v>2599</v>
      </c>
      <c r="N785" s="166">
        <v>17.239999999999998</v>
      </c>
      <c r="O785" t="s">
        <v>131</v>
      </c>
    </row>
    <row r="786" spans="1:15">
      <c r="A786" s="166" t="s">
        <v>6451</v>
      </c>
      <c r="B786" t="s">
        <v>111</v>
      </c>
      <c r="C786" t="s">
        <v>133</v>
      </c>
      <c r="D786" t="s">
        <v>116</v>
      </c>
      <c r="E786" t="s">
        <v>418</v>
      </c>
      <c r="F786" t="s">
        <v>7</v>
      </c>
      <c r="G786" t="s">
        <v>130</v>
      </c>
      <c r="H786" s="1">
        <v>46127</v>
      </c>
      <c r="I786" t="s">
        <v>6452</v>
      </c>
      <c r="J786" t="s">
        <v>6453</v>
      </c>
      <c r="K786" t="s">
        <v>2292</v>
      </c>
      <c r="L786" t="s">
        <v>1333</v>
      </c>
      <c r="M786" t="s">
        <v>6454</v>
      </c>
      <c r="N786" s="166">
        <v>14.38</v>
      </c>
      <c r="O786" t="s">
        <v>131</v>
      </c>
    </row>
    <row r="787" spans="1:15">
      <c r="A787" s="166" t="s">
        <v>6455</v>
      </c>
      <c r="B787" t="s">
        <v>111</v>
      </c>
      <c r="C787" t="s">
        <v>1104</v>
      </c>
      <c r="D787" t="s">
        <v>116</v>
      </c>
      <c r="E787" t="s">
        <v>418</v>
      </c>
      <c r="F787" t="s">
        <v>7</v>
      </c>
      <c r="G787" t="s">
        <v>130</v>
      </c>
      <c r="H787" s="1">
        <v>46127</v>
      </c>
      <c r="I787" t="s">
        <v>6456</v>
      </c>
      <c r="J787" t="s">
        <v>6457</v>
      </c>
      <c r="K787" t="s">
        <v>1889</v>
      </c>
      <c r="L787" t="s">
        <v>832</v>
      </c>
      <c r="M787" t="s">
        <v>2090</v>
      </c>
      <c r="N787" s="166">
        <v>16.62</v>
      </c>
      <c r="O787" t="s">
        <v>131</v>
      </c>
    </row>
    <row r="788" spans="1:15">
      <c r="A788" s="166" t="s">
        <v>6458</v>
      </c>
      <c r="B788" t="s">
        <v>111</v>
      </c>
      <c r="C788" t="s">
        <v>136</v>
      </c>
      <c r="D788" t="s">
        <v>116</v>
      </c>
      <c r="E788" t="s">
        <v>418</v>
      </c>
      <c r="F788" t="s">
        <v>7</v>
      </c>
      <c r="G788" t="s">
        <v>130</v>
      </c>
      <c r="H788" s="1">
        <v>46127</v>
      </c>
      <c r="I788" t="s">
        <v>6459</v>
      </c>
      <c r="J788" t="s">
        <v>6460</v>
      </c>
      <c r="K788" t="s">
        <v>1305</v>
      </c>
      <c r="L788" t="s">
        <v>3653</v>
      </c>
      <c r="M788" t="s">
        <v>1958</v>
      </c>
      <c r="N788" s="166">
        <v>16.48</v>
      </c>
      <c r="O788" t="s">
        <v>131</v>
      </c>
    </row>
    <row r="789" spans="1:15">
      <c r="A789" s="166" t="s">
        <v>6461</v>
      </c>
      <c r="B789" t="s">
        <v>111</v>
      </c>
      <c r="C789" t="s">
        <v>133</v>
      </c>
      <c r="D789" t="s">
        <v>116</v>
      </c>
      <c r="E789" t="s">
        <v>418</v>
      </c>
      <c r="F789" t="s">
        <v>7</v>
      </c>
      <c r="G789" t="s">
        <v>130</v>
      </c>
      <c r="H789" s="1">
        <v>46127</v>
      </c>
      <c r="I789" t="s">
        <v>6462</v>
      </c>
      <c r="J789" t="s">
        <v>6463</v>
      </c>
      <c r="K789" t="s">
        <v>1393</v>
      </c>
      <c r="L789" t="s">
        <v>1101</v>
      </c>
      <c r="M789" t="s">
        <v>3542</v>
      </c>
      <c r="N789" s="166">
        <v>18.059999999999999</v>
      </c>
      <c r="O789" t="s">
        <v>131</v>
      </c>
    </row>
    <row r="790" spans="1:15">
      <c r="A790" s="166" t="s">
        <v>6464</v>
      </c>
      <c r="B790" t="s">
        <v>111</v>
      </c>
      <c r="C790" t="s">
        <v>134</v>
      </c>
      <c r="D790" t="s">
        <v>116</v>
      </c>
      <c r="E790" t="s">
        <v>418</v>
      </c>
      <c r="F790" t="s">
        <v>7</v>
      </c>
      <c r="G790" t="s">
        <v>130</v>
      </c>
      <c r="H790" s="1">
        <v>46127</v>
      </c>
      <c r="I790" t="s">
        <v>6465</v>
      </c>
      <c r="J790" t="s">
        <v>6466</v>
      </c>
      <c r="K790" t="s">
        <v>409</v>
      </c>
      <c r="L790" t="s">
        <v>471</v>
      </c>
      <c r="M790" t="s">
        <v>1493</v>
      </c>
      <c r="N790" s="166">
        <v>15.96</v>
      </c>
      <c r="O790" t="s">
        <v>131</v>
      </c>
    </row>
    <row r="791" spans="1:15">
      <c r="A791" s="166" t="s">
        <v>6467</v>
      </c>
      <c r="B791" t="s">
        <v>111</v>
      </c>
      <c r="C791" t="s">
        <v>1104</v>
      </c>
      <c r="D791" t="s">
        <v>116</v>
      </c>
      <c r="E791" t="s">
        <v>418</v>
      </c>
      <c r="F791" t="s">
        <v>7</v>
      </c>
      <c r="G791" t="s">
        <v>130</v>
      </c>
      <c r="H791" s="1">
        <v>46127</v>
      </c>
      <c r="I791" t="s">
        <v>6468</v>
      </c>
      <c r="J791" t="s">
        <v>6469</v>
      </c>
      <c r="K791" t="s">
        <v>448</v>
      </c>
      <c r="L791" t="s">
        <v>1145</v>
      </c>
      <c r="M791" t="s">
        <v>2572</v>
      </c>
      <c r="N791" s="166">
        <v>17.079999999999998</v>
      </c>
      <c r="O791" t="s">
        <v>131</v>
      </c>
    </row>
    <row r="792" spans="1:15">
      <c r="A792" s="166" t="s">
        <v>6470</v>
      </c>
      <c r="B792" t="s">
        <v>111</v>
      </c>
      <c r="C792" t="s">
        <v>136</v>
      </c>
      <c r="D792" t="s">
        <v>116</v>
      </c>
      <c r="E792" t="s">
        <v>418</v>
      </c>
      <c r="F792" t="s">
        <v>7</v>
      </c>
      <c r="G792" t="s">
        <v>130</v>
      </c>
      <c r="H792" s="1">
        <v>46127</v>
      </c>
      <c r="I792" t="s">
        <v>6471</v>
      </c>
      <c r="J792" t="s">
        <v>6472</v>
      </c>
      <c r="K792" t="s">
        <v>2965</v>
      </c>
      <c r="L792" t="s">
        <v>1573</v>
      </c>
      <c r="M792" t="s">
        <v>179</v>
      </c>
      <c r="N792" s="166">
        <v>20.100000000000001</v>
      </c>
      <c r="O792" t="s">
        <v>131</v>
      </c>
    </row>
    <row r="793" spans="1:15">
      <c r="A793" s="166" t="s">
        <v>6473</v>
      </c>
      <c r="B793" t="s">
        <v>111</v>
      </c>
      <c r="C793" t="s">
        <v>133</v>
      </c>
      <c r="D793" t="s">
        <v>116</v>
      </c>
      <c r="E793" t="s">
        <v>418</v>
      </c>
      <c r="F793" t="s">
        <v>7</v>
      </c>
      <c r="G793" t="s">
        <v>130</v>
      </c>
      <c r="H793" s="1">
        <v>46127</v>
      </c>
      <c r="I793" t="s">
        <v>6474</v>
      </c>
      <c r="J793" t="s">
        <v>6475</v>
      </c>
      <c r="K793" t="s">
        <v>3092</v>
      </c>
      <c r="L793" t="s">
        <v>2549</v>
      </c>
      <c r="M793" t="s">
        <v>2058</v>
      </c>
      <c r="N793" s="166">
        <v>16.079999999999998</v>
      </c>
      <c r="O793" t="s">
        <v>131</v>
      </c>
    </row>
    <row r="794" spans="1:15">
      <c r="A794" s="166" t="s">
        <v>6177</v>
      </c>
      <c r="B794" t="s">
        <v>111</v>
      </c>
      <c r="C794" t="s">
        <v>135</v>
      </c>
      <c r="D794" t="s">
        <v>116</v>
      </c>
      <c r="E794" t="s">
        <v>418</v>
      </c>
      <c r="F794" t="s">
        <v>7</v>
      </c>
      <c r="G794" t="s">
        <v>130</v>
      </c>
      <c r="H794" s="1">
        <v>46127</v>
      </c>
      <c r="I794" t="s">
        <v>6476</v>
      </c>
      <c r="J794" t="s">
        <v>6477</v>
      </c>
      <c r="K794" t="s">
        <v>1987</v>
      </c>
      <c r="L794" t="s">
        <v>1072</v>
      </c>
      <c r="M794" t="s">
        <v>4641</v>
      </c>
      <c r="N794" s="166">
        <v>19.02</v>
      </c>
      <c r="O794" t="s">
        <v>131</v>
      </c>
    </row>
    <row r="795" spans="1:15">
      <c r="A795" s="166" t="s">
        <v>6478</v>
      </c>
      <c r="B795" t="s">
        <v>111</v>
      </c>
      <c r="C795" t="s">
        <v>406</v>
      </c>
      <c r="D795" t="s">
        <v>116</v>
      </c>
      <c r="E795" t="s">
        <v>418</v>
      </c>
      <c r="F795" t="s">
        <v>7</v>
      </c>
      <c r="G795" t="s">
        <v>130</v>
      </c>
      <c r="H795" s="1">
        <v>46127</v>
      </c>
      <c r="I795" t="s">
        <v>6479</v>
      </c>
      <c r="J795" t="s">
        <v>6480</v>
      </c>
      <c r="K795" t="s">
        <v>5788</v>
      </c>
      <c r="L795" t="s">
        <v>529</v>
      </c>
      <c r="M795" t="s">
        <v>948</v>
      </c>
      <c r="N795" s="166">
        <v>16.36</v>
      </c>
      <c r="O795" t="s">
        <v>131</v>
      </c>
    </row>
    <row r="796" spans="1:15">
      <c r="A796" s="166" t="s">
        <v>6481</v>
      </c>
      <c r="B796" t="s">
        <v>111</v>
      </c>
      <c r="C796" t="s">
        <v>135</v>
      </c>
      <c r="D796" t="s">
        <v>118</v>
      </c>
      <c r="E796" t="s">
        <v>139</v>
      </c>
      <c r="F796" t="s">
        <v>7</v>
      </c>
      <c r="G796" t="s">
        <v>130</v>
      </c>
      <c r="H796" s="1">
        <v>46127</v>
      </c>
      <c r="I796" t="s">
        <v>6482</v>
      </c>
      <c r="J796" t="s">
        <v>6483</v>
      </c>
      <c r="K796" t="s">
        <v>2956</v>
      </c>
      <c r="L796" t="s">
        <v>801</v>
      </c>
      <c r="M796" t="s">
        <v>5083</v>
      </c>
      <c r="N796" s="166">
        <v>25.1</v>
      </c>
      <c r="O796" t="s">
        <v>131</v>
      </c>
    </row>
    <row r="797" spans="1:15">
      <c r="A797" s="166" t="s">
        <v>6484</v>
      </c>
      <c r="B797" t="s">
        <v>111</v>
      </c>
      <c r="C797" t="s">
        <v>136</v>
      </c>
      <c r="D797" t="s">
        <v>118</v>
      </c>
      <c r="E797" t="s">
        <v>139</v>
      </c>
      <c r="F797" t="s">
        <v>7</v>
      </c>
      <c r="G797" t="s">
        <v>130</v>
      </c>
      <c r="H797" s="1">
        <v>46127</v>
      </c>
      <c r="I797" t="s">
        <v>6485</v>
      </c>
      <c r="J797" t="s">
        <v>6486</v>
      </c>
      <c r="K797" t="s">
        <v>2847</v>
      </c>
      <c r="L797" t="s">
        <v>179</v>
      </c>
      <c r="M797" t="s">
        <v>5800</v>
      </c>
      <c r="N797" s="166">
        <v>22.14</v>
      </c>
      <c r="O797" t="s">
        <v>131</v>
      </c>
    </row>
    <row r="798" spans="1:15">
      <c r="A798" s="166" t="s">
        <v>6487</v>
      </c>
      <c r="B798" t="s">
        <v>111</v>
      </c>
      <c r="C798" t="s">
        <v>406</v>
      </c>
      <c r="D798" t="s">
        <v>116</v>
      </c>
      <c r="E798" t="s">
        <v>418</v>
      </c>
      <c r="F798" t="s">
        <v>6</v>
      </c>
      <c r="G798" t="s">
        <v>130</v>
      </c>
      <c r="H798" s="1">
        <v>46127</v>
      </c>
      <c r="I798" t="s">
        <v>6488</v>
      </c>
      <c r="J798" t="s">
        <v>6489</v>
      </c>
      <c r="K798" t="s">
        <v>1218</v>
      </c>
      <c r="L798" t="s">
        <v>174</v>
      </c>
      <c r="M798" t="s">
        <v>634</v>
      </c>
      <c r="N798" s="166">
        <v>21.06</v>
      </c>
      <c r="O798" t="s">
        <v>131</v>
      </c>
    </row>
    <row r="799" spans="1:15">
      <c r="A799" s="166" t="s">
        <v>6490</v>
      </c>
      <c r="B799" t="s">
        <v>111</v>
      </c>
      <c r="C799" t="s">
        <v>135</v>
      </c>
      <c r="D799" t="s">
        <v>116</v>
      </c>
      <c r="E799" t="s">
        <v>418</v>
      </c>
      <c r="F799" t="s">
        <v>6</v>
      </c>
      <c r="G799" t="s">
        <v>130</v>
      </c>
      <c r="H799" s="1">
        <v>46127</v>
      </c>
      <c r="I799" t="s">
        <v>6491</v>
      </c>
      <c r="J799" t="s">
        <v>6492</v>
      </c>
      <c r="K799" t="s">
        <v>4768</v>
      </c>
      <c r="L799" t="s">
        <v>650</v>
      </c>
      <c r="M799" t="s">
        <v>660</v>
      </c>
      <c r="N799" s="166">
        <v>22.3</v>
      </c>
      <c r="O799" t="s">
        <v>131</v>
      </c>
    </row>
    <row r="800" spans="1:15">
      <c r="A800" s="166" t="s">
        <v>6493</v>
      </c>
      <c r="B800" t="s">
        <v>111</v>
      </c>
      <c r="C800" t="s">
        <v>136</v>
      </c>
      <c r="D800" t="s">
        <v>116</v>
      </c>
      <c r="E800" t="s">
        <v>418</v>
      </c>
      <c r="F800" t="s">
        <v>6</v>
      </c>
      <c r="G800" t="s">
        <v>130</v>
      </c>
      <c r="H800" s="1">
        <v>46127</v>
      </c>
      <c r="I800" t="s">
        <v>6494</v>
      </c>
      <c r="J800" t="s">
        <v>6495</v>
      </c>
      <c r="K800" t="s">
        <v>1521</v>
      </c>
      <c r="L800" t="s">
        <v>194</v>
      </c>
      <c r="M800" t="s">
        <v>2589</v>
      </c>
      <c r="N800" s="166">
        <v>17.14</v>
      </c>
      <c r="O800" t="s">
        <v>131</v>
      </c>
    </row>
    <row r="801" spans="1:15">
      <c r="A801" s="166" t="s">
        <v>6496</v>
      </c>
      <c r="B801" t="s">
        <v>111</v>
      </c>
      <c r="C801" t="s">
        <v>406</v>
      </c>
      <c r="D801" t="s">
        <v>116</v>
      </c>
      <c r="E801" t="s">
        <v>418</v>
      </c>
      <c r="F801" t="s">
        <v>6</v>
      </c>
      <c r="G801" t="s">
        <v>130</v>
      </c>
      <c r="H801" s="1">
        <v>46127</v>
      </c>
      <c r="I801" t="s">
        <v>6497</v>
      </c>
      <c r="J801" t="s">
        <v>6498</v>
      </c>
      <c r="K801" t="s">
        <v>589</v>
      </c>
      <c r="L801" t="s">
        <v>152</v>
      </c>
      <c r="M801" t="s">
        <v>3631</v>
      </c>
      <c r="N801" s="166">
        <v>22.52</v>
      </c>
      <c r="O801" t="s">
        <v>131</v>
      </c>
    </row>
    <row r="802" spans="1:15">
      <c r="A802" s="166" t="s">
        <v>6499</v>
      </c>
      <c r="B802" t="s">
        <v>111</v>
      </c>
      <c r="C802" t="s">
        <v>135</v>
      </c>
      <c r="D802" t="s">
        <v>116</v>
      </c>
      <c r="E802" t="s">
        <v>418</v>
      </c>
      <c r="F802" t="s">
        <v>6</v>
      </c>
      <c r="G802" t="s">
        <v>130</v>
      </c>
      <c r="H802" s="1">
        <v>46127</v>
      </c>
      <c r="I802" t="s">
        <v>6500</v>
      </c>
      <c r="J802" t="s">
        <v>6501</v>
      </c>
      <c r="K802" t="s">
        <v>1689</v>
      </c>
      <c r="L802" t="s">
        <v>672</v>
      </c>
      <c r="M802" t="s">
        <v>4374</v>
      </c>
      <c r="N802" s="166">
        <v>22.54</v>
      </c>
      <c r="O802" t="s">
        <v>131</v>
      </c>
    </row>
    <row r="803" spans="1:15">
      <c r="A803" s="166" t="s">
        <v>6502</v>
      </c>
      <c r="B803" t="s">
        <v>111</v>
      </c>
      <c r="C803" t="s">
        <v>136</v>
      </c>
      <c r="D803" t="s">
        <v>116</v>
      </c>
      <c r="E803" t="s">
        <v>418</v>
      </c>
      <c r="F803" t="s">
        <v>6</v>
      </c>
      <c r="G803" t="s">
        <v>130</v>
      </c>
      <c r="H803" s="1">
        <v>46127</v>
      </c>
      <c r="I803" t="s">
        <v>6503</v>
      </c>
      <c r="J803" t="s">
        <v>6504</v>
      </c>
      <c r="K803" t="s">
        <v>3592</v>
      </c>
      <c r="L803" t="s">
        <v>180</v>
      </c>
      <c r="M803" t="s">
        <v>471</v>
      </c>
      <c r="N803" s="166">
        <v>22.04</v>
      </c>
      <c r="O803" t="s">
        <v>131</v>
      </c>
    </row>
    <row r="804" spans="1:15">
      <c r="A804" s="166" t="s">
        <v>6505</v>
      </c>
      <c r="B804" t="s">
        <v>111</v>
      </c>
      <c r="C804" t="s">
        <v>406</v>
      </c>
      <c r="D804" t="s">
        <v>116</v>
      </c>
      <c r="E804" t="s">
        <v>418</v>
      </c>
      <c r="F804" t="s">
        <v>6</v>
      </c>
      <c r="G804" t="s">
        <v>130</v>
      </c>
      <c r="H804" s="1">
        <v>46127</v>
      </c>
      <c r="I804" t="s">
        <v>6506</v>
      </c>
      <c r="J804" t="s">
        <v>6507</v>
      </c>
      <c r="K804" t="s">
        <v>2042</v>
      </c>
      <c r="L804" t="s">
        <v>157</v>
      </c>
      <c r="M804" t="s">
        <v>4107</v>
      </c>
      <c r="N804" s="166">
        <v>24.74</v>
      </c>
      <c r="O804" t="s">
        <v>131</v>
      </c>
    </row>
    <row r="805" spans="1:15">
      <c r="A805" s="166" t="s">
        <v>6508</v>
      </c>
      <c r="B805" t="s">
        <v>111</v>
      </c>
      <c r="C805" t="s">
        <v>135</v>
      </c>
      <c r="D805" t="s">
        <v>116</v>
      </c>
      <c r="E805" t="s">
        <v>418</v>
      </c>
      <c r="F805" t="s">
        <v>6</v>
      </c>
      <c r="G805" t="s">
        <v>130</v>
      </c>
      <c r="H805" s="1">
        <v>46127</v>
      </c>
      <c r="I805" t="s">
        <v>6509</v>
      </c>
      <c r="J805" t="s">
        <v>6510</v>
      </c>
      <c r="K805" t="s">
        <v>3926</v>
      </c>
      <c r="L805" t="s">
        <v>3501</v>
      </c>
      <c r="M805" t="s">
        <v>422</v>
      </c>
      <c r="N805" s="166">
        <v>20.420000000000002</v>
      </c>
      <c r="O805" t="s">
        <v>131</v>
      </c>
    </row>
    <row r="806" spans="1:15">
      <c r="A806" s="166" t="s">
        <v>6511</v>
      </c>
      <c r="B806" t="s">
        <v>111</v>
      </c>
      <c r="C806" t="s">
        <v>136</v>
      </c>
      <c r="D806" t="s">
        <v>116</v>
      </c>
      <c r="E806" t="s">
        <v>418</v>
      </c>
      <c r="F806" t="s">
        <v>6</v>
      </c>
      <c r="G806" t="s">
        <v>130</v>
      </c>
      <c r="H806" s="1">
        <v>46127</v>
      </c>
      <c r="I806" t="s">
        <v>6512</v>
      </c>
      <c r="J806" t="s">
        <v>6513</v>
      </c>
      <c r="K806" t="s">
        <v>4879</v>
      </c>
      <c r="L806" t="s">
        <v>1101</v>
      </c>
      <c r="M806" t="s">
        <v>1537</v>
      </c>
      <c r="N806" s="166">
        <v>22.58</v>
      </c>
      <c r="O806" t="s">
        <v>131</v>
      </c>
    </row>
    <row r="807" spans="1:15">
      <c r="A807" s="166" t="s">
        <v>6514</v>
      </c>
      <c r="B807" t="s">
        <v>111</v>
      </c>
      <c r="C807" t="s">
        <v>406</v>
      </c>
      <c r="D807" t="s">
        <v>116</v>
      </c>
      <c r="E807" t="s">
        <v>418</v>
      </c>
      <c r="F807" t="s">
        <v>6</v>
      </c>
      <c r="G807" t="s">
        <v>130</v>
      </c>
      <c r="H807" s="1">
        <v>46127</v>
      </c>
      <c r="I807" t="s">
        <v>6515</v>
      </c>
      <c r="J807" t="s">
        <v>6516</v>
      </c>
      <c r="K807" t="s">
        <v>5209</v>
      </c>
      <c r="L807" t="s">
        <v>203</v>
      </c>
      <c r="M807" t="s">
        <v>634</v>
      </c>
      <c r="N807" s="166">
        <v>21.06</v>
      </c>
      <c r="O807" t="s">
        <v>131</v>
      </c>
    </row>
    <row r="808" spans="1:15">
      <c r="A808" s="166" t="s">
        <v>6517</v>
      </c>
      <c r="B808" t="s">
        <v>111</v>
      </c>
      <c r="C808" t="s">
        <v>135</v>
      </c>
      <c r="D808" t="s">
        <v>116</v>
      </c>
      <c r="E808" t="s">
        <v>418</v>
      </c>
      <c r="F808" t="s">
        <v>6</v>
      </c>
      <c r="G808" t="s">
        <v>130</v>
      </c>
      <c r="H808" s="1">
        <v>46127</v>
      </c>
      <c r="I808" t="s">
        <v>6518</v>
      </c>
      <c r="J808" t="s">
        <v>6519</v>
      </c>
      <c r="K808" t="s">
        <v>2567</v>
      </c>
      <c r="L808" t="s">
        <v>611</v>
      </c>
      <c r="M808" t="s">
        <v>3084</v>
      </c>
      <c r="N808" s="166">
        <v>21.5</v>
      </c>
      <c r="O808" t="s">
        <v>131</v>
      </c>
    </row>
    <row r="809" spans="1:15">
      <c r="A809" s="166" t="s">
        <v>6520</v>
      </c>
      <c r="B809" t="s">
        <v>111</v>
      </c>
      <c r="C809" t="s">
        <v>136</v>
      </c>
      <c r="D809" t="s">
        <v>116</v>
      </c>
      <c r="E809" t="s">
        <v>418</v>
      </c>
      <c r="F809" t="s">
        <v>6</v>
      </c>
      <c r="G809" t="s">
        <v>130</v>
      </c>
      <c r="H809" s="1">
        <v>46127</v>
      </c>
      <c r="I809" t="s">
        <v>6521</v>
      </c>
      <c r="J809" t="s">
        <v>6522</v>
      </c>
      <c r="K809" t="s">
        <v>1071</v>
      </c>
      <c r="L809" t="s">
        <v>212</v>
      </c>
      <c r="M809" t="s">
        <v>1267</v>
      </c>
      <c r="N809" s="166">
        <v>19.68</v>
      </c>
      <c r="O809" t="s">
        <v>131</v>
      </c>
    </row>
    <row r="810" spans="1:15">
      <c r="A810" s="166" t="s">
        <v>6523</v>
      </c>
      <c r="B810" t="s">
        <v>111</v>
      </c>
      <c r="C810" t="s">
        <v>406</v>
      </c>
      <c r="D810" t="s">
        <v>116</v>
      </c>
      <c r="E810" t="s">
        <v>418</v>
      </c>
      <c r="F810" t="s">
        <v>6</v>
      </c>
      <c r="G810" t="s">
        <v>130</v>
      </c>
      <c r="H810" s="1">
        <v>46127</v>
      </c>
      <c r="I810" t="s">
        <v>6524</v>
      </c>
      <c r="J810" t="s">
        <v>6525</v>
      </c>
      <c r="K810" t="s">
        <v>1056</v>
      </c>
      <c r="L810" t="s">
        <v>168</v>
      </c>
      <c r="M810" t="s">
        <v>2158</v>
      </c>
      <c r="N810" s="166">
        <v>20.94</v>
      </c>
      <c r="O810" t="s">
        <v>131</v>
      </c>
    </row>
    <row r="811" spans="1:15">
      <c r="A811" s="166" t="s">
        <v>6526</v>
      </c>
      <c r="B811" t="s">
        <v>111</v>
      </c>
      <c r="C811" t="s">
        <v>135</v>
      </c>
      <c r="D811" t="s">
        <v>116</v>
      </c>
      <c r="E811" t="s">
        <v>418</v>
      </c>
      <c r="F811" t="s">
        <v>6</v>
      </c>
      <c r="G811" t="s">
        <v>130</v>
      </c>
      <c r="H811" s="1">
        <v>46127</v>
      </c>
      <c r="I811" t="s">
        <v>6527</v>
      </c>
      <c r="J811" t="s">
        <v>6528</v>
      </c>
      <c r="K811" t="s">
        <v>4879</v>
      </c>
      <c r="L811" t="s">
        <v>2004</v>
      </c>
      <c r="M811" t="s">
        <v>2987</v>
      </c>
      <c r="N811" s="166">
        <v>23.28</v>
      </c>
      <c r="O811" t="s">
        <v>131</v>
      </c>
    </row>
    <row r="812" spans="1:15">
      <c r="A812" s="166" t="s">
        <v>6529</v>
      </c>
      <c r="B812" t="s">
        <v>111</v>
      </c>
      <c r="C812" t="s">
        <v>136</v>
      </c>
      <c r="D812" t="s">
        <v>116</v>
      </c>
      <c r="E812" t="s">
        <v>418</v>
      </c>
      <c r="F812" t="s">
        <v>6</v>
      </c>
      <c r="G812" t="s">
        <v>130</v>
      </c>
      <c r="H812" s="1">
        <v>46127</v>
      </c>
      <c r="I812" t="s">
        <v>6530</v>
      </c>
      <c r="J812" t="s">
        <v>6531</v>
      </c>
      <c r="K812" t="s">
        <v>1201</v>
      </c>
      <c r="L812" t="s">
        <v>2572</v>
      </c>
      <c r="M812" t="s">
        <v>1057</v>
      </c>
      <c r="N812" s="166">
        <v>20.14</v>
      </c>
      <c r="O812" t="s">
        <v>131</v>
      </c>
    </row>
    <row r="813" spans="1:15">
      <c r="A813" s="166" t="s">
        <v>6532</v>
      </c>
      <c r="B813" t="s">
        <v>111</v>
      </c>
      <c r="C813" t="s">
        <v>406</v>
      </c>
      <c r="D813" t="s">
        <v>116</v>
      </c>
      <c r="E813" t="s">
        <v>418</v>
      </c>
      <c r="F813" t="s">
        <v>6</v>
      </c>
      <c r="G813" t="s">
        <v>130</v>
      </c>
      <c r="H813" s="1">
        <v>46127</v>
      </c>
      <c r="I813" t="s">
        <v>6533</v>
      </c>
      <c r="J813" t="s">
        <v>6534</v>
      </c>
      <c r="K813" t="s">
        <v>210</v>
      </c>
      <c r="L813" t="s">
        <v>152</v>
      </c>
      <c r="M813" t="s">
        <v>634</v>
      </c>
      <c r="N813" s="166">
        <v>21.06</v>
      </c>
      <c r="O813" t="s">
        <v>131</v>
      </c>
    </row>
    <row r="814" spans="1:15">
      <c r="A814" s="166" t="s">
        <v>1144</v>
      </c>
      <c r="B814" t="s">
        <v>111</v>
      </c>
      <c r="C814" t="s">
        <v>135</v>
      </c>
      <c r="D814" t="s">
        <v>116</v>
      </c>
      <c r="E814" t="s">
        <v>418</v>
      </c>
      <c r="F814" t="s">
        <v>6</v>
      </c>
      <c r="G814" t="s">
        <v>130</v>
      </c>
      <c r="H814" s="1">
        <v>46127</v>
      </c>
      <c r="I814" t="s">
        <v>6535</v>
      </c>
      <c r="J814" t="s">
        <v>6536</v>
      </c>
      <c r="K814" t="s">
        <v>1094</v>
      </c>
      <c r="L814" t="s">
        <v>2568</v>
      </c>
      <c r="M814" t="s">
        <v>756</v>
      </c>
      <c r="N814" s="166">
        <v>22.1</v>
      </c>
      <c r="O814" t="s">
        <v>131</v>
      </c>
    </row>
    <row r="815" spans="1:15">
      <c r="A815" s="166" t="s">
        <v>6537</v>
      </c>
      <c r="B815" t="s">
        <v>111</v>
      </c>
      <c r="C815" t="s">
        <v>136</v>
      </c>
      <c r="D815" t="s">
        <v>116</v>
      </c>
      <c r="E815" t="s">
        <v>418</v>
      </c>
      <c r="F815" t="s">
        <v>6</v>
      </c>
      <c r="G815" t="s">
        <v>130</v>
      </c>
      <c r="H815" s="1">
        <v>46127</v>
      </c>
      <c r="I815" t="s">
        <v>6538</v>
      </c>
      <c r="J815" t="s">
        <v>6539</v>
      </c>
      <c r="K815" t="s">
        <v>2478</v>
      </c>
      <c r="L815" t="s">
        <v>3376</v>
      </c>
      <c r="M815" t="s">
        <v>1258</v>
      </c>
      <c r="N815" s="166">
        <v>19.420000000000002</v>
      </c>
      <c r="O815" t="s">
        <v>131</v>
      </c>
    </row>
    <row r="816" spans="1:15">
      <c r="A816" s="166" t="s">
        <v>6540</v>
      </c>
      <c r="B816" t="s">
        <v>111</v>
      </c>
      <c r="C816" t="s">
        <v>406</v>
      </c>
      <c r="D816" t="s">
        <v>116</v>
      </c>
      <c r="E816" t="s">
        <v>418</v>
      </c>
      <c r="F816" t="s">
        <v>6</v>
      </c>
      <c r="G816" t="s">
        <v>130</v>
      </c>
      <c r="H816" s="1">
        <v>46127</v>
      </c>
      <c r="I816" t="s">
        <v>6541</v>
      </c>
      <c r="J816" t="s">
        <v>6542</v>
      </c>
      <c r="K816" t="s">
        <v>627</v>
      </c>
      <c r="L816" t="s">
        <v>155</v>
      </c>
      <c r="M816" t="s">
        <v>1701</v>
      </c>
      <c r="N816" s="166">
        <v>21.14</v>
      </c>
      <c r="O816" t="s">
        <v>131</v>
      </c>
    </row>
    <row r="817" spans="1:15">
      <c r="A817" s="166" t="s">
        <v>6543</v>
      </c>
      <c r="B817" t="s">
        <v>111</v>
      </c>
      <c r="C817" t="s">
        <v>135</v>
      </c>
      <c r="D817" t="s">
        <v>116</v>
      </c>
      <c r="E817" t="s">
        <v>418</v>
      </c>
      <c r="F817" t="s">
        <v>6</v>
      </c>
      <c r="G817" t="s">
        <v>130</v>
      </c>
      <c r="H817" s="1">
        <v>46127</v>
      </c>
      <c r="I817" t="s">
        <v>6544</v>
      </c>
      <c r="J817" t="s">
        <v>6545</v>
      </c>
      <c r="K817" t="s">
        <v>644</v>
      </c>
      <c r="L817" t="s">
        <v>2184</v>
      </c>
      <c r="M817" t="s">
        <v>767</v>
      </c>
      <c r="N817" s="166">
        <v>22.24</v>
      </c>
      <c r="O817" t="s">
        <v>131</v>
      </c>
    </row>
    <row r="818" spans="1:15">
      <c r="A818" s="166" t="s">
        <v>6546</v>
      </c>
      <c r="B818" t="s">
        <v>111</v>
      </c>
      <c r="C818" t="s">
        <v>406</v>
      </c>
      <c r="D818" t="s">
        <v>116</v>
      </c>
      <c r="E818" t="s">
        <v>418</v>
      </c>
      <c r="F818" t="s">
        <v>6</v>
      </c>
      <c r="G818" t="s">
        <v>130</v>
      </c>
      <c r="H818" s="1">
        <v>46127</v>
      </c>
      <c r="I818" t="s">
        <v>6547</v>
      </c>
      <c r="J818" t="s">
        <v>6548</v>
      </c>
      <c r="K818" t="s">
        <v>480</v>
      </c>
      <c r="L818" t="s">
        <v>168</v>
      </c>
      <c r="M818" t="s">
        <v>1866</v>
      </c>
      <c r="N818" s="166">
        <v>22.28</v>
      </c>
      <c r="O818" t="s">
        <v>131</v>
      </c>
    </row>
    <row r="819" spans="1:15">
      <c r="A819" s="166" t="s">
        <v>6549</v>
      </c>
      <c r="B819" t="s">
        <v>111</v>
      </c>
      <c r="C819" t="s">
        <v>136</v>
      </c>
      <c r="D819" t="s">
        <v>116</v>
      </c>
      <c r="E819" t="s">
        <v>418</v>
      </c>
      <c r="F819" t="s">
        <v>6</v>
      </c>
      <c r="G819" t="s">
        <v>130</v>
      </c>
      <c r="H819" s="1">
        <v>46127</v>
      </c>
      <c r="I819" t="s">
        <v>6550</v>
      </c>
      <c r="J819" t="s">
        <v>6551</v>
      </c>
      <c r="K819" t="s">
        <v>655</v>
      </c>
      <c r="L819" t="s">
        <v>3040</v>
      </c>
      <c r="M819" t="s">
        <v>4778</v>
      </c>
      <c r="N819" s="166">
        <v>21.44</v>
      </c>
      <c r="O819" t="s">
        <v>131</v>
      </c>
    </row>
    <row r="820" spans="1:15">
      <c r="A820" s="166" t="s">
        <v>6552</v>
      </c>
      <c r="B820" t="s">
        <v>111</v>
      </c>
      <c r="C820" t="s">
        <v>135</v>
      </c>
      <c r="D820" t="s">
        <v>116</v>
      </c>
      <c r="E820" t="s">
        <v>418</v>
      </c>
      <c r="F820" t="s">
        <v>6</v>
      </c>
      <c r="G820" t="s">
        <v>130</v>
      </c>
      <c r="H820" s="1">
        <v>46127</v>
      </c>
      <c r="I820" t="s">
        <v>6553</v>
      </c>
      <c r="J820" t="s">
        <v>6554</v>
      </c>
      <c r="K820" t="s">
        <v>2042</v>
      </c>
      <c r="L820" t="s">
        <v>2095</v>
      </c>
      <c r="M820" t="s">
        <v>1628</v>
      </c>
      <c r="N820" s="166">
        <v>23.66</v>
      </c>
      <c r="O820" t="s">
        <v>131</v>
      </c>
    </row>
    <row r="821" spans="1:15">
      <c r="A821" s="166" t="s">
        <v>6555</v>
      </c>
      <c r="B821" t="s">
        <v>111</v>
      </c>
      <c r="C821" t="s">
        <v>406</v>
      </c>
      <c r="D821" t="s">
        <v>116</v>
      </c>
      <c r="E821" t="s">
        <v>418</v>
      </c>
      <c r="F821" t="s">
        <v>6</v>
      </c>
      <c r="G821" t="s">
        <v>130</v>
      </c>
      <c r="H821" s="1">
        <v>46127</v>
      </c>
      <c r="I821" t="s">
        <v>6556</v>
      </c>
      <c r="J821" t="s">
        <v>6557</v>
      </c>
      <c r="K821" t="s">
        <v>2478</v>
      </c>
      <c r="L821" t="s">
        <v>155</v>
      </c>
      <c r="M821" t="s">
        <v>1653</v>
      </c>
      <c r="N821" s="166">
        <v>21.42</v>
      </c>
      <c r="O821" t="s">
        <v>131</v>
      </c>
    </row>
    <row r="822" spans="1:15">
      <c r="A822" s="166" t="s">
        <v>6558</v>
      </c>
      <c r="B822" t="s">
        <v>111</v>
      </c>
      <c r="C822" t="s">
        <v>136</v>
      </c>
      <c r="D822" t="s">
        <v>116</v>
      </c>
      <c r="E822" t="s">
        <v>418</v>
      </c>
      <c r="F822" t="s">
        <v>6</v>
      </c>
      <c r="G822" t="s">
        <v>130</v>
      </c>
      <c r="H822" s="1">
        <v>46127</v>
      </c>
      <c r="I822" t="s">
        <v>6559</v>
      </c>
      <c r="J822" t="s">
        <v>6560</v>
      </c>
      <c r="K822" t="s">
        <v>5072</v>
      </c>
      <c r="L822" t="s">
        <v>2624</v>
      </c>
      <c r="M822" t="s">
        <v>3623</v>
      </c>
      <c r="N822" s="166">
        <v>23.3</v>
      </c>
      <c r="O822" t="s">
        <v>131</v>
      </c>
    </row>
    <row r="823" spans="1:15">
      <c r="A823" s="166" t="s">
        <v>6561</v>
      </c>
      <c r="B823" t="s">
        <v>111</v>
      </c>
      <c r="C823" t="s">
        <v>135</v>
      </c>
      <c r="D823" t="s">
        <v>116</v>
      </c>
      <c r="E823" t="s">
        <v>418</v>
      </c>
      <c r="F823" t="s">
        <v>6</v>
      </c>
      <c r="G823" t="s">
        <v>130</v>
      </c>
      <c r="H823" s="1">
        <v>46127</v>
      </c>
      <c r="I823" t="s">
        <v>6562</v>
      </c>
      <c r="J823" t="s">
        <v>6563</v>
      </c>
      <c r="K823" t="s">
        <v>2830</v>
      </c>
      <c r="L823" t="s">
        <v>2267</v>
      </c>
      <c r="M823" t="s">
        <v>6564</v>
      </c>
      <c r="N823" s="166">
        <v>26.08</v>
      </c>
      <c r="O823" t="s">
        <v>131</v>
      </c>
    </row>
    <row r="824" spans="1:15">
      <c r="A824" s="166" t="s">
        <v>6565</v>
      </c>
      <c r="B824" t="s">
        <v>111</v>
      </c>
      <c r="C824" t="s">
        <v>406</v>
      </c>
      <c r="D824" t="s">
        <v>116</v>
      </c>
      <c r="E824" t="s">
        <v>418</v>
      </c>
      <c r="F824" t="s">
        <v>6</v>
      </c>
      <c r="G824" t="s">
        <v>130</v>
      </c>
      <c r="H824" s="1">
        <v>46127</v>
      </c>
      <c r="I824" t="s">
        <v>6566</v>
      </c>
      <c r="J824" t="s">
        <v>6567</v>
      </c>
      <c r="K824" t="s">
        <v>2340</v>
      </c>
      <c r="L824" t="s">
        <v>151</v>
      </c>
      <c r="M824" t="s">
        <v>3203</v>
      </c>
      <c r="N824" s="166">
        <v>20.76</v>
      </c>
      <c r="O824" t="s">
        <v>131</v>
      </c>
    </row>
    <row r="825" spans="1:15">
      <c r="A825" s="166" t="s">
        <v>6568</v>
      </c>
      <c r="B825" t="s">
        <v>111</v>
      </c>
      <c r="C825" t="s">
        <v>136</v>
      </c>
      <c r="D825" t="s">
        <v>116</v>
      </c>
      <c r="E825" t="s">
        <v>418</v>
      </c>
      <c r="F825" t="s">
        <v>6</v>
      </c>
      <c r="G825" t="s">
        <v>130</v>
      </c>
      <c r="H825" s="1">
        <v>46127</v>
      </c>
      <c r="I825" t="s">
        <v>6569</v>
      </c>
      <c r="J825" t="s">
        <v>6570</v>
      </c>
      <c r="K825" t="s">
        <v>218</v>
      </c>
      <c r="L825" t="s">
        <v>2019</v>
      </c>
      <c r="M825" t="s">
        <v>3765</v>
      </c>
      <c r="N825" s="166">
        <v>22.7</v>
      </c>
      <c r="O825" t="s">
        <v>131</v>
      </c>
    </row>
    <row r="826" spans="1:15">
      <c r="A826" s="166" t="s">
        <v>6571</v>
      </c>
      <c r="B826" t="s">
        <v>111</v>
      </c>
      <c r="C826" t="s">
        <v>135</v>
      </c>
      <c r="D826" t="s">
        <v>116</v>
      </c>
      <c r="E826" t="s">
        <v>418</v>
      </c>
      <c r="F826" t="s">
        <v>6</v>
      </c>
      <c r="G826" t="s">
        <v>130</v>
      </c>
      <c r="H826" s="1">
        <v>46127</v>
      </c>
      <c r="I826" t="s">
        <v>6572</v>
      </c>
      <c r="J826" t="s">
        <v>6573</v>
      </c>
      <c r="K826" t="s">
        <v>1767</v>
      </c>
      <c r="L826" t="s">
        <v>2127</v>
      </c>
      <c r="M826" t="s">
        <v>209</v>
      </c>
      <c r="N826" s="166">
        <v>23.96</v>
      </c>
      <c r="O826" t="s">
        <v>131</v>
      </c>
    </row>
    <row r="827" spans="1:15">
      <c r="A827" s="166" t="s">
        <v>6574</v>
      </c>
      <c r="B827" t="s">
        <v>111</v>
      </c>
      <c r="C827" t="s">
        <v>136</v>
      </c>
      <c r="D827" t="s">
        <v>116</v>
      </c>
      <c r="E827" t="s">
        <v>418</v>
      </c>
      <c r="F827" t="s">
        <v>6</v>
      </c>
      <c r="G827" t="s">
        <v>130</v>
      </c>
      <c r="H827" s="1">
        <v>46127</v>
      </c>
      <c r="I827" t="s">
        <v>6575</v>
      </c>
      <c r="J827" t="s">
        <v>6576</v>
      </c>
      <c r="K827" t="s">
        <v>1619</v>
      </c>
      <c r="L827" t="s">
        <v>4556</v>
      </c>
      <c r="M827" t="s">
        <v>861</v>
      </c>
      <c r="N827" s="166">
        <v>21.84</v>
      </c>
      <c r="O827" t="s">
        <v>131</v>
      </c>
    </row>
    <row r="828" spans="1:15">
      <c r="A828" s="166" t="s">
        <v>6577</v>
      </c>
      <c r="B828" t="s">
        <v>111</v>
      </c>
      <c r="C828" t="s">
        <v>406</v>
      </c>
      <c r="D828" t="s">
        <v>116</v>
      </c>
      <c r="E828" t="s">
        <v>418</v>
      </c>
      <c r="F828" t="s">
        <v>6</v>
      </c>
      <c r="G828" t="s">
        <v>130</v>
      </c>
      <c r="H828" s="1">
        <v>46127</v>
      </c>
      <c r="I828" t="s">
        <v>6578</v>
      </c>
      <c r="J828" t="s">
        <v>6579</v>
      </c>
      <c r="K828" t="s">
        <v>2301</v>
      </c>
      <c r="L828" t="s">
        <v>427</v>
      </c>
      <c r="M828" t="s">
        <v>1267</v>
      </c>
      <c r="N828" s="166">
        <v>19.68</v>
      </c>
      <c r="O828" t="s">
        <v>131</v>
      </c>
    </row>
    <row r="829" spans="1:15">
      <c r="A829" s="166" t="s">
        <v>6580</v>
      </c>
      <c r="B829" t="s">
        <v>111</v>
      </c>
      <c r="C829" t="s">
        <v>136</v>
      </c>
      <c r="D829" t="s">
        <v>116</v>
      </c>
      <c r="E829" t="s">
        <v>418</v>
      </c>
      <c r="F829" t="s">
        <v>6</v>
      </c>
      <c r="G829" t="s">
        <v>130</v>
      </c>
      <c r="H829" s="1">
        <v>46127</v>
      </c>
      <c r="I829" t="s">
        <v>6581</v>
      </c>
      <c r="J829" t="s">
        <v>6582</v>
      </c>
      <c r="K829" t="s">
        <v>3125</v>
      </c>
      <c r="L829" t="s">
        <v>212</v>
      </c>
      <c r="M829" t="s">
        <v>2100</v>
      </c>
      <c r="N829" s="166">
        <v>20.54</v>
      </c>
      <c r="O829" t="s">
        <v>131</v>
      </c>
    </row>
    <row r="830" spans="1:15">
      <c r="A830" s="166" t="s">
        <v>6583</v>
      </c>
      <c r="B830" t="s">
        <v>111</v>
      </c>
      <c r="C830" t="s">
        <v>134</v>
      </c>
      <c r="D830" t="s">
        <v>116</v>
      </c>
      <c r="E830" t="s">
        <v>418</v>
      </c>
      <c r="F830" t="s">
        <v>6</v>
      </c>
      <c r="G830" t="s">
        <v>130</v>
      </c>
      <c r="H830" s="1">
        <v>46127</v>
      </c>
      <c r="I830" t="s">
        <v>6584</v>
      </c>
      <c r="J830" t="s">
        <v>6585</v>
      </c>
      <c r="K830" t="s">
        <v>1727</v>
      </c>
      <c r="L830" t="s">
        <v>639</v>
      </c>
      <c r="M830" t="s">
        <v>1150</v>
      </c>
      <c r="N830" s="166">
        <v>18.86</v>
      </c>
      <c r="O830" t="s">
        <v>131</v>
      </c>
    </row>
    <row r="831" spans="1:15">
      <c r="A831" s="166" t="s">
        <v>6586</v>
      </c>
      <c r="B831" t="s">
        <v>111</v>
      </c>
      <c r="C831" t="s">
        <v>406</v>
      </c>
      <c r="D831" t="s">
        <v>116</v>
      </c>
      <c r="E831" t="s">
        <v>418</v>
      </c>
      <c r="F831" t="s">
        <v>6</v>
      </c>
      <c r="G831" t="s">
        <v>130</v>
      </c>
      <c r="H831" s="1">
        <v>46127</v>
      </c>
      <c r="I831" t="s">
        <v>6587</v>
      </c>
      <c r="J831" t="s">
        <v>6588</v>
      </c>
      <c r="K831" t="s">
        <v>524</v>
      </c>
      <c r="L831" t="s">
        <v>449</v>
      </c>
      <c r="M831" t="s">
        <v>5398</v>
      </c>
      <c r="N831" s="166">
        <v>21.86</v>
      </c>
      <c r="O831" t="s">
        <v>131</v>
      </c>
    </row>
    <row r="832" spans="1:15">
      <c r="A832" s="166" t="s">
        <v>6589</v>
      </c>
      <c r="B832" t="s">
        <v>111</v>
      </c>
      <c r="C832" t="s">
        <v>136</v>
      </c>
      <c r="D832" t="s">
        <v>116</v>
      </c>
      <c r="E832" t="s">
        <v>418</v>
      </c>
      <c r="F832" t="s">
        <v>6</v>
      </c>
      <c r="G832" t="s">
        <v>130</v>
      </c>
      <c r="H832" s="1">
        <v>46127</v>
      </c>
      <c r="I832" t="s">
        <v>6590</v>
      </c>
      <c r="J832" t="s">
        <v>6591</v>
      </c>
      <c r="K832" t="s">
        <v>4381</v>
      </c>
      <c r="L832" t="s">
        <v>212</v>
      </c>
      <c r="M832" t="s">
        <v>861</v>
      </c>
      <c r="N832" s="166">
        <v>21.84</v>
      </c>
      <c r="O832" t="s">
        <v>131</v>
      </c>
    </row>
    <row r="833" spans="1:15">
      <c r="A833" s="166" t="s">
        <v>6592</v>
      </c>
      <c r="B833" t="s">
        <v>111</v>
      </c>
      <c r="C833" t="s">
        <v>134</v>
      </c>
      <c r="D833" t="s">
        <v>116</v>
      </c>
      <c r="E833" t="s">
        <v>418</v>
      </c>
      <c r="F833" t="s">
        <v>6</v>
      </c>
      <c r="G833" t="s">
        <v>130</v>
      </c>
      <c r="H833" s="1">
        <v>46127</v>
      </c>
      <c r="I833" t="s">
        <v>6593</v>
      </c>
      <c r="J833" t="s">
        <v>6594</v>
      </c>
      <c r="K833" t="s">
        <v>1080</v>
      </c>
      <c r="L833" t="s">
        <v>2165</v>
      </c>
      <c r="M833" t="s">
        <v>212</v>
      </c>
      <c r="N833" s="166">
        <v>16.78</v>
      </c>
      <c r="O833" t="s">
        <v>131</v>
      </c>
    </row>
    <row r="834" spans="1:15">
      <c r="A834" s="166" t="s">
        <v>1314</v>
      </c>
      <c r="B834" t="s">
        <v>111</v>
      </c>
      <c r="C834" t="s">
        <v>406</v>
      </c>
      <c r="D834" t="s">
        <v>116</v>
      </c>
      <c r="E834" t="s">
        <v>418</v>
      </c>
      <c r="F834" t="s">
        <v>6</v>
      </c>
      <c r="G834" t="s">
        <v>130</v>
      </c>
      <c r="H834" s="1">
        <v>46127</v>
      </c>
      <c r="I834" t="s">
        <v>6595</v>
      </c>
      <c r="J834" t="s">
        <v>6596</v>
      </c>
      <c r="K834" t="s">
        <v>497</v>
      </c>
      <c r="L834" t="s">
        <v>153</v>
      </c>
      <c r="M834" t="s">
        <v>498</v>
      </c>
      <c r="N834" s="166">
        <v>21.62</v>
      </c>
      <c r="O834" t="s">
        <v>131</v>
      </c>
    </row>
    <row r="835" spans="1:15">
      <c r="A835" s="166" t="s">
        <v>6597</v>
      </c>
      <c r="B835" t="s">
        <v>111</v>
      </c>
      <c r="C835" t="s">
        <v>136</v>
      </c>
      <c r="D835" t="s">
        <v>116</v>
      </c>
      <c r="E835" t="s">
        <v>418</v>
      </c>
      <c r="F835" t="s">
        <v>6</v>
      </c>
      <c r="G835" t="s">
        <v>130</v>
      </c>
      <c r="H835" s="1">
        <v>46127</v>
      </c>
      <c r="I835" t="s">
        <v>6598</v>
      </c>
      <c r="J835" t="s">
        <v>6599</v>
      </c>
      <c r="K835" t="s">
        <v>454</v>
      </c>
      <c r="L835" t="s">
        <v>4556</v>
      </c>
      <c r="M835" t="s">
        <v>1421</v>
      </c>
      <c r="N835" s="166">
        <v>19.7</v>
      </c>
      <c r="O835" t="s">
        <v>131</v>
      </c>
    </row>
    <row r="836" spans="1:15">
      <c r="A836" s="166" t="s">
        <v>6600</v>
      </c>
      <c r="B836" t="s">
        <v>111</v>
      </c>
      <c r="C836" t="s">
        <v>134</v>
      </c>
      <c r="D836" t="s">
        <v>116</v>
      </c>
      <c r="E836" t="s">
        <v>418</v>
      </c>
      <c r="F836" t="s">
        <v>6</v>
      </c>
      <c r="G836" t="s">
        <v>130</v>
      </c>
      <c r="H836" s="1">
        <v>46127</v>
      </c>
      <c r="I836" t="s">
        <v>6601</v>
      </c>
      <c r="J836" t="s">
        <v>6602</v>
      </c>
      <c r="K836" t="s">
        <v>875</v>
      </c>
      <c r="L836" t="s">
        <v>1072</v>
      </c>
      <c r="M836" t="s">
        <v>6603</v>
      </c>
      <c r="N836" s="166">
        <v>22.82</v>
      </c>
      <c r="O836" t="s">
        <v>131</v>
      </c>
    </row>
    <row r="837" spans="1:15">
      <c r="A837" s="166" t="s">
        <v>6604</v>
      </c>
      <c r="B837" t="s">
        <v>111</v>
      </c>
      <c r="C837" t="s">
        <v>406</v>
      </c>
      <c r="D837" t="s">
        <v>116</v>
      </c>
      <c r="E837" t="s">
        <v>418</v>
      </c>
      <c r="F837" t="s">
        <v>6</v>
      </c>
      <c r="G837" t="s">
        <v>130</v>
      </c>
      <c r="H837" s="1">
        <v>46127</v>
      </c>
      <c r="I837" t="s">
        <v>6605</v>
      </c>
      <c r="J837" t="s">
        <v>6606</v>
      </c>
      <c r="K837" t="s">
        <v>1210</v>
      </c>
      <c r="L837" t="s">
        <v>449</v>
      </c>
      <c r="M837" t="s">
        <v>3311</v>
      </c>
      <c r="N837" s="166">
        <v>23.64</v>
      </c>
      <c r="O837" t="s">
        <v>131</v>
      </c>
    </row>
    <row r="838" spans="1:15">
      <c r="A838" s="166" t="s">
        <v>6607</v>
      </c>
      <c r="B838" t="s">
        <v>111</v>
      </c>
      <c r="C838" t="s">
        <v>136</v>
      </c>
      <c r="D838" t="s">
        <v>116</v>
      </c>
      <c r="E838" t="s">
        <v>418</v>
      </c>
      <c r="F838" t="s">
        <v>6</v>
      </c>
      <c r="G838" t="s">
        <v>130</v>
      </c>
      <c r="H838" s="1">
        <v>46127</v>
      </c>
      <c r="I838" t="s">
        <v>6608</v>
      </c>
      <c r="J838" t="s">
        <v>6609</v>
      </c>
      <c r="K838" t="s">
        <v>4719</v>
      </c>
      <c r="L838" t="s">
        <v>3376</v>
      </c>
      <c r="M838" t="s">
        <v>541</v>
      </c>
      <c r="N838" s="166">
        <v>21.18</v>
      </c>
      <c r="O838" t="s">
        <v>131</v>
      </c>
    </row>
    <row r="839" spans="1:15">
      <c r="A839" s="166" t="s">
        <v>6610</v>
      </c>
      <c r="B839" t="s">
        <v>111</v>
      </c>
      <c r="C839" t="s">
        <v>134</v>
      </c>
      <c r="D839" t="s">
        <v>116</v>
      </c>
      <c r="E839" t="s">
        <v>418</v>
      </c>
      <c r="F839" t="s">
        <v>6</v>
      </c>
      <c r="G839" t="s">
        <v>130</v>
      </c>
      <c r="H839" s="1">
        <v>46127</v>
      </c>
      <c r="I839" t="s">
        <v>6611</v>
      </c>
      <c r="J839" t="s">
        <v>6612</v>
      </c>
      <c r="K839" t="s">
        <v>3133</v>
      </c>
      <c r="L839" t="s">
        <v>1280</v>
      </c>
      <c r="M839" t="s">
        <v>145</v>
      </c>
      <c r="N839" s="166">
        <v>21.3</v>
      </c>
      <c r="O839" t="s">
        <v>131</v>
      </c>
    </row>
    <row r="840" spans="1:15">
      <c r="A840" s="166" t="s">
        <v>6613</v>
      </c>
      <c r="B840" t="s">
        <v>111</v>
      </c>
      <c r="C840" t="s">
        <v>406</v>
      </c>
      <c r="D840" t="s">
        <v>116</v>
      </c>
      <c r="E840" t="s">
        <v>418</v>
      </c>
      <c r="F840" t="s">
        <v>6</v>
      </c>
      <c r="G840" t="s">
        <v>130</v>
      </c>
      <c r="H840" s="1">
        <v>46127</v>
      </c>
      <c r="I840" t="s">
        <v>6614</v>
      </c>
      <c r="J840" t="s">
        <v>6615</v>
      </c>
      <c r="K840" t="s">
        <v>627</v>
      </c>
      <c r="L840" t="s">
        <v>633</v>
      </c>
      <c r="M840" t="s">
        <v>530</v>
      </c>
      <c r="N840" s="166">
        <v>21</v>
      </c>
      <c r="O840" t="s">
        <v>131</v>
      </c>
    </row>
    <row r="841" spans="1:15">
      <c r="A841" s="166" t="s">
        <v>6616</v>
      </c>
      <c r="B841" t="s">
        <v>111</v>
      </c>
      <c r="C841" t="s">
        <v>136</v>
      </c>
      <c r="D841" t="s">
        <v>116</v>
      </c>
      <c r="E841" t="s">
        <v>418</v>
      </c>
      <c r="F841" t="s">
        <v>7</v>
      </c>
      <c r="G841" t="s">
        <v>130</v>
      </c>
      <c r="H841" s="1">
        <v>46127</v>
      </c>
      <c r="I841" t="s">
        <v>6617</v>
      </c>
      <c r="J841" t="s">
        <v>6618</v>
      </c>
      <c r="K841" t="s">
        <v>3233</v>
      </c>
      <c r="L841" t="s">
        <v>2603</v>
      </c>
      <c r="M841" t="s">
        <v>238</v>
      </c>
      <c r="N841" s="166">
        <v>24.44</v>
      </c>
      <c r="O841" t="s">
        <v>131</v>
      </c>
    </row>
    <row r="842" spans="1:15">
      <c r="A842" s="166" t="s">
        <v>6619</v>
      </c>
      <c r="B842" t="s">
        <v>111</v>
      </c>
      <c r="C842" t="s">
        <v>135</v>
      </c>
      <c r="D842" t="s">
        <v>116</v>
      </c>
      <c r="E842" t="s">
        <v>418</v>
      </c>
      <c r="F842" t="s">
        <v>7</v>
      </c>
      <c r="G842" t="s">
        <v>130</v>
      </c>
      <c r="H842" s="1">
        <v>46127</v>
      </c>
      <c r="I842" t="s">
        <v>6620</v>
      </c>
      <c r="J842" t="s">
        <v>6621</v>
      </c>
      <c r="K842" t="s">
        <v>6113</v>
      </c>
      <c r="L842" t="s">
        <v>1280</v>
      </c>
      <c r="M842" t="s">
        <v>5141</v>
      </c>
      <c r="N842" s="166">
        <v>22.88</v>
      </c>
      <c r="O842" t="s">
        <v>131</v>
      </c>
    </row>
    <row r="843" spans="1:15">
      <c r="A843" s="166" t="s">
        <v>6622</v>
      </c>
      <c r="B843" t="s">
        <v>111</v>
      </c>
      <c r="C843" t="s">
        <v>134</v>
      </c>
      <c r="D843" t="s">
        <v>116</v>
      </c>
      <c r="E843" t="s">
        <v>418</v>
      </c>
      <c r="F843" t="s">
        <v>7</v>
      </c>
      <c r="G843" t="s">
        <v>130</v>
      </c>
      <c r="H843" s="1">
        <v>46127</v>
      </c>
      <c r="I843" t="s">
        <v>6623</v>
      </c>
      <c r="J843" t="s">
        <v>6624</v>
      </c>
      <c r="K843" t="s">
        <v>228</v>
      </c>
      <c r="L843" t="s">
        <v>4556</v>
      </c>
      <c r="M843" t="s">
        <v>3041</v>
      </c>
      <c r="N843" s="166">
        <v>22.6</v>
      </c>
      <c r="O843" t="s">
        <v>131</v>
      </c>
    </row>
    <row r="844" spans="1:15">
      <c r="A844" s="166" t="s">
        <v>6625</v>
      </c>
      <c r="B844" t="s">
        <v>111</v>
      </c>
      <c r="C844" t="s">
        <v>406</v>
      </c>
      <c r="D844" t="s">
        <v>116</v>
      </c>
      <c r="E844" t="s">
        <v>418</v>
      </c>
      <c r="F844" t="s">
        <v>7</v>
      </c>
      <c r="G844" t="s">
        <v>130</v>
      </c>
      <c r="H844" s="1">
        <v>46127</v>
      </c>
      <c r="I844" t="s">
        <v>6626</v>
      </c>
      <c r="J844" t="s">
        <v>6627</v>
      </c>
      <c r="K844" t="s">
        <v>514</v>
      </c>
      <c r="L844" t="s">
        <v>1582</v>
      </c>
      <c r="M844" t="s">
        <v>1653</v>
      </c>
      <c r="N844" s="166">
        <v>21.42</v>
      </c>
      <c r="O844" t="s">
        <v>131</v>
      </c>
    </row>
    <row r="845" spans="1:15">
      <c r="A845" s="166" t="s">
        <v>6628</v>
      </c>
      <c r="B845" t="s">
        <v>111</v>
      </c>
      <c r="C845" t="s">
        <v>136</v>
      </c>
      <c r="D845" t="s">
        <v>116</v>
      </c>
      <c r="E845" t="s">
        <v>418</v>
      </c>
      <c r="F845" t="s">
        <v>7</v>
      </c>
      <c r="G845" t="s">
        <v>130</v>
      </c>
      <c r="H845" s="1">
        <v>46127</v>
      </c>
      <c r="I845" t="s">
        <v>6629</v>
      </c>
      <c r="J845" t="s">
        <v>6630</v>
      </c>
      <c r="K845" t="s">
        <v>649</v>
      </c>
      <c r="L845" t="s">
        <v>3075</v>
      </c>
      <c r="M845" t="s">
        <v>1473</v>
      </c>
      <c r="N845" s="166">
        <v>21.34</v>
      </c>
      <c r="O845" t="s">
        <v>131</v>
      </c>
    </row>
    <row r="846" spans="1:15">
      <c r="A846" s="166" t="s">
        <v>6631</v>
      </c>
      <c r="B846" t="s">
        <v>111</v>
      </c>
      <c r="C846" t="s">
        <v>135</v>
      </c>
      <c r="D846" t="s">
        <v>116</v>
      </c>
      <c r="E846" t="s">
        <v>418</v>
      </c>
      <c r="F846" t="s">
        <v>7</v>
      </c>
      <c r="G846" t="s">
        <v>130</v>
      </c>
      <c r="H846" s="1">
        <v>46127</v>
      </c>
      <c r="I846" t="s">
        <v>6632</v>
      </c>
      <c r="J846" t="s">
        <v>6633</v>
      </c>
      <c r="K846" t="s">
        <v>480</v>
      </c>
      <c r="L846" t="s">
        <v>2267</v>
      </c>
      <c r="M846" t="s">
        <v>2653</v>
      </c>
      <c r="N846" s="166">
        <v>21.16</v>
      </c>
      <c r="O846" t="s">
        <v>131</v>
      </c>
    </row>
    <row r="847" spans="1:15">
      <c r="A847" s="166" t="s">
        <v>6634</v>
      </c>
      <c r="B847" t="s">
        <v>111</v>
      </c>
      <c r="C847" t="s">
        <v>134</v>
      </c>
      <c r="D847" t="s">
        <v>116</v>
      </c>
      <c r="E847" t="s">
        <v>418</v>
      </c>
      <c r="F847" t="s">
        <v>7</v>
      </c>
      <c r="G847" t="s">
        <v>130</v>
      </c>
      <c r="H847" s="1">
        <v>46127</v>
      </c>
      <c r="I847" t="s">
        <v>6635</v>
      </c>
      <c r="J847" t="s">
        <v>6636</v>
      </c>
      <c r="K847" t="s">
        <v>615</v>
      </c>
      <c r="L847" t="s">
        <v>1881</v>
      </c>
      <c r="M847" t="s">
        <v>416</v>
      </c>
      <c r="N847" s="166">
        <v>19.3</v>
      </c>
      <c r="O847" t="s">
        <v>131</v>
      </c>
    </row>
    <row r="848" spans="1:15">
      <c r="A848" s="166" t="s">
        <v>6637</v>
      </c>
      <c r="B848" t="s">
        <v>111</v>
      </c>
      <c r="C848" t="s">
        <v>406</v>
      </c>
      <c r="D848" t="s">
        <v>116</v>
      </c>
      <c r="E848" t="s">
        <v>418</v>
      </c>
      <c r="F848" t="s">
        <v>7</v>
      </c>
      <c r="G848" t="s">
        <v>130</v>
      </c>
      <c r="H848" s="1">
        <v>46127</v>
      </c>
      <c r="I848" t="s">
        <v>6638</v>
      </c>
      <c r="J848" t="s">
        <v>6639</v>
      </c>
      <c r="K848" t="s">
        <v>573</v>
      </c>
      <c r="L848" t="s">
        <v>611</v>
      </c>
      <c r="M848" t="s">
        <v>2273</v>
      </c>
      <c r="N848" s="166">
        <v>20.3</v>
      </c>
      <c r="O848" t="s">
        <v>131</v>
      </c>
    </row>
    <row r="849" spans="1:15">
      <c r="A849" s="166" t="s">
        <v>6640</v>
      </c>
      <c r="B849" t="s">
        <v>111</v>
      </c>
      <c r="C849" t="s">
        <v>136</v>
      </c>
      <c r="D849" t="s">
        <v>116</v>
      </c>
      <c r="E849" t="s">
        <v>418</v>
      </c>
      <c r="F849" t="s">
        <v>7</v>
      </c>
      <c r="G849" t="s">
        <v>130</v>
      </c>
      <c r="H849" s="1">
        <v>46127</v>
      </c>
      <c r="I849" t="s">
        <v>6641</v>
      </c>
      <c r="J849" t="s">
        <v>6642</v>
      </c>
      <c r="K849" t="s">
        <v>2179</v>
      </c>
      <c r="L849" t="s">
        <v>2624</v>
      </c>
      <c r="M849" t="s">
        <v>1545</v>
      </c>
      <c r="N849" s="166">
        <v>20.68</v>
      </c>
      <c r="O849" t="s">
        <v>131</v>
      </c>
    </row>
    <row r="850" spans="1:15">
      <c r="A850" s="166" t="s">
        <v>6643</v>
      </c>
      <c r="B850" t="s">
        <v>111</v>
      </c>
      <c r="C850" t="s">
        <v>135</v>
      </c>
      <c r="D850" t="s">
        <v>116</v>
      </c>
      <c r="E850" t="s">
        <v>418</v>
      </c>
      <c r="F850" t="s">
        <v>7</v>
      </c>
      <c r="G850" t="s">
        <v>130</v>
      </c>
      <c r="H850" s="1">
        <v>46127</v>
      </c>
      <c r="I850" t="s">
        <v>6644</v>
      </c>
      <c r="J850" t="s">
        <v>6645</v>
      </c>
      <c r="K850" t="s">
        <v>2567</v>
      </c>
      <c r="L850" t="s">
        <v>1177</v>
      </c>
      <c r="M850" t="s">
        <v>3203</v>
      </c>
      <c r="N850" s="166">
        <v>20.76</v>
      </c>
      <c r="O850" t="s">
        <v>131</v>
      </c>
    </row>
    <row r="851" spans="1:15">
      <c r="A851" s="166" t="s">
        <v>6646</v>
      </c>
      <c r="B851" t="s">
        <v>111</v>
      </c>
      <c r="C851" t="s">
        <v>134</v>
      </c>
      <c r="D851" t="s">
        <v>116</v>
      </c>
      <c r="E851" t="s">
        <v>418</v>
      </c>
      <c r="F851" t="s">
        <v>7</v>
      </c>
      <c r="G851" t="s">
        <v>130</v>
      </c>
      <c r="H851" s="1">
        <v>46127</v>
      </c>
      <c r="I851" t="s">
        <v>6647</v>
      </c>
      <c r="J851" t="s">
        <v>6648</v>
      </c>
      <c r="K851" t="s">
        <v>3357</v>
      </c>
      <c r="L851" t="s">
        <v>890</v>
      </c>
      <c r="M851" t="s">
        <v>826</v>
      </c>
      <c r="N851" s="166">
        <v>20.38</v>
      </c>
      <c r="O851" t="s">
        <v>131</v>
      </c>
    </row>
    <row r="852" spans="1:15">
      <c r="A852" s="166" t="s">
        <v>6649</v>
      </c>
      <c r="B852" t="s">
        <v>111</v>
      </c>
      <c r="C852" t="s">
        <v>406</v>
      </c>
      <c r="D852" t="s">
        <v>116</v>
      </c>
      <c r="E852" t="s">
        <v>418</v>
      </c>
      <c r="F852" t="s">
        <v>7</v>
      </c>
      <c r="G852" t="s">
        <v>130</v>
      </c>
      <c r="H852" s="1">
        <v>46127</v>
      </c>
      <c r="I852" t="s">
        <v>6650</v>
      </c>
      <c r="J852" t="s">
        <v>6651</v>
      </c>
      <c r="K852" t="s">
        <v>3926</v>
      </c>
      <c r="L852" t="s">
        <v>1582</v>
      </c>
      <c r="M852" t="s">
        <v>660</v>
      </c>
      <c r="N852" s="166">
        <v>22.3</v>
      </c>
      <c r="O852" t="s">
        <v>131</v>
      </c>
    </row>
    <row r="853" spans="1:15">
      <c r="A853" s="166" t="s">
        <v>6652</v>
      </c>
      <c r="B853" t="s">
        <v>111</v>
      </c>
      <c r="C853" t="s">
        <v>136</v>
      </c>
      <c r="D853" t="s">
        <v>118</v>
      </c>
      <c r="E853" t="s">
        <v>139</v>
      </c>
      <c r="F853" t="s">
        <v>7</v>
      </c>
      <c r="G853" t="s">
        <v>130</v>
      </c>
      <c r="H853" s="1">
        <v>46127</v>
      </c>
      <c r="I853" t="s">
        <v>6653</v>
      </c>
      <c r="J853" t="s">
        <v>6654</v>
      </c>
      <c r="K853" t="s">
        <v>1193</v>
      </c>
      <c r="L853" t="s">
        <v>3134</v>
      </c>
      <c r="M853" t="s">
        <v>530</v>
      </c>
      <c r="N853" s="166">
        <v>21</v>
      </c>
      <c r="O853" t="s">
        <v>131</v>
      </c>
    </row>
    <row r="854" spans="1:15">
      <c r="A854" s="166" t="s">
        <v>1346</v>
      </c>
      <c r="B854" t="s">
        <v>111</v>
      </c>
      <c r="C854" t="s">
        <v>135</v>
      </c>
      <c r="D854" t="s">
        <v>118</v>
      </c>
      <c r="E854" t="s">
        <v>139</v>
      </c>
      <c r="F854" t="s">
        <v>7</v>
      </c>
      <c r="G854" t="s">
        <v>130</v>
      </c>
      <c r="H854" s="1">
        <v>46127</v>
      </c>
      <c r="I854" t="s">
        <v>6655</v>
      </c>
      <c r="J854" t="s">
        <v>6656</v>
      </c>
      <c r="K854" t="s">
        <v>426</v>
      </c>
      <c r="L854" t="s">
        <v>1280</v>
      </c>
      <c r="M854" t="s">
        <v>1136</v>
      </c>
      <c r="N854" s="166">
        <v>19.899999999999999</v>
      </c>
      <c r="O854" t="s">
        <v>131</v>
      </c>
    </row>
    <row r="855" spans="1:15">
      <c r="A855" s="166" t="s">
        <v>6657</v>
      </c>
      <c r="B855" t="s">
        <v>111</v>
      </c>
      <c r="C855" t="s">
        <v>406</v>
      </c>
      <c r="D855" t="s">
        <v>118</v>
      </c>
      <c r="E855" t="s">
        <v>139</v>
      </c>
      <c r="F855" t="s">
        <v>7</v>
      </c>
      <c r="G855" t="s">
        <v>130</v>
      </c>
      <c r="H855" s="1">
        <v>46127</v>
      </c>
      <c r="I855" t="s">
        <v>6658</v>
      </c>
      <c r="J855" t="s">
        <v>6659</v>
      </c>
      <c r="K855" t="s">
        <v>2616</v>
      </c>
      <c r="L855" t="s">
        <v>529</v>
      </c>
      <c r="M855" t="s">
        <v>2395</v>
      </c>
      <c r="N855" s="166">
        <v>23.22</v>
      </c>
      <c r="O855" t="s">
        <v>131</v>
      </c>
    </row>
    <row r="856" spans="1:15">
      <c r="A856" s="166" t="s">
        <v>6660</v>
      </c>
      <c r="B856" t="s">
        <v>111</v>
      </c>
      <c r="C856" t="s">
        <v>134</v>
      </c>
      <c r="D856" t="s">
        <v>118</v>
      </c>
      <c r="E856" t="s">
        <v>139</v>
      </c>
      <c r="F856" t="s">
        <v>7</v>
      </c>
      <c r="G856" t="s">
        <v>130</v>
      </c>
      <c r="H856" s="1">
        <v>46127</v>
      </c>
      <c r="I856" t="s">
        <v>6661</v>
      </c>
      <c r="J856" t="s">
        <v>6662</v>
      </c>
      <c r="K856" t="s">
        <v>218</v>
      </c>
      <c r="L856" t="s">
        <v>465</v>
      </c>
      <c r="M856" t="s">
        <v>504</v>
      </c>
      <c r="N856" s="166">
        <v>23.16</v>
      </c>
      <c r="O856" t="s">
        <v>131</v>
      </c>
    </row>
    <row r="857" spans="1:15">
      <c r="A857" s="166" t="s">
        <v>6663</v>
      </c>
      <c r="B857" t="s">
        <v>111</v>
      </c>
      <c r="C857" t="s">
        <v>136</v>
      </c>
      <c r="D857" t="s">
        <v>118</v>
      </c>
      <c r="E857" t="s">
        <v>139</v>
      </c>
      <c r="F857" t="s">
        <v>7</v>
      </c>
      <c r="G857" t="s">
        <v>130</v>
      </c>
      <c r="H857" s="1">
        <v>46127</v>
      </c>
      <c r="I857" t="s">
        <v>6664</v>
      </c>
      <c r="J857" t="s">
        <v>6665</v>
      </c>
      <c r="K857" t="s">
        <v>2585</v>
      </c>
      <c r="L857" t="s">
        <v>3376</v>
      </c>
      <c r="M857" t="s">
        <v>623</v>
      </c>
      <c r="N857" s="166">
        <v>20.86</v>
      </c>
      <c r="O857" t="s">
        <v>131</v>
      </c>
    </row>
    <row r="858" spans="1:15">
      <c r="A858" s="166" t="s">
        <v>6666</v>
      </c>
      <c r="B858" t="s">
        <v>111</v>
      </c>
      <c r="C858" t="s">
        <v>135</v>
      </c>
      <c r="D858" t="s">
        <v>118</v>
      </c>
      <c r="E858" t="s">
        <v>139</v>
      </c>
      <c r="F858" t="s">
        <v>7</v>
      </c>
      <c r="G858" t="s">
        <v>130</v>
      </c>
      <c r="H858" s="1">
        <v>46127</v>
      </c>
      <c r="I858" t="s">
        <v>6667</v>
      </c>
      <c r="J858" t="s">
        <v>6668</v>
      </c>
      <c r="K858" t="s">
        <v>4103</v>
      </c>
      <c r="L858" t="s">
        <v>927</v>
      </c>
      <c r="M858" t="s">
        <v>3814</v>
      </c>
      <c r="N858" s="166">
        <v>22.08</v>
      </c>
      <c r="O858" t="s">
        <v>131</v>
      </c>
    </row>
    <row r="859" spans="1:15">
      <c r="A859" s="166" t="s">
        <v>6669</v>
      </c>
      <c r="B859" t="s">
        <v>111</v>
      </c>
      <c r="C859" t="s">
        <v>406</v>
      </c>
      <c r="D859" t="s">
        <v>118</v>
      </c>
      <c r="E859" t="s">
        <v>139</v>
      </c>
      <c r="F859" t="s">
        <v>7</v>
      </c>
      <c r="G859" t="s">
        <v>130</v>
      </c>
      <c r="H859" s="1">
        <v>46127</v>
      </c>
      <c r="I859" t="s">
        <v>6670</v>
      </c>
      <c r="J859" t="s">
        <v>6671</v>
      </c>
      <c r="K859" t="s">
        <v>760</v>
      </c>
      <c r="L859" t="s">
        <v>1582</v>
      </c>
      <c r="M859" t="s">
        <v>4374</v>
      </c>
      <c r="N859" s="166">
        <v>22.54</v>
      </c>
      <c r="O859" t="s">
        <v>131</v>
      </c>
    </row>
    <row r="860" spans="1:15">
      <c r="A860" s="166" t="s">
        <v>6672</v>
      </c>
      <c r="B860" t="s">
        <v>111</v>
      </c>
      <c r="C860" t="s">
        <v>135</v>
      </c>
      <c r="D860" t="s">
        <v>118</v>
      </c>
      <c r="E860" t="s">
        <v>139</v>
      </c>
      <c r="F860" t="s">
        <v>7</v>
      </c>
      <c r="G860" t="s">
        <v>130</v>
      </c>
      <c r="H860" s="1">
        <v>46127</v>
      </c>
      <c r="I860" t="s">
        <v>6673</v>
      </c>
      <c r="J860" t="s">
        <v>6674</v>
      </c>
      <c r="K860" t="s">
        <v>215</v>
      </c>
      <c r="L860" t="s">
        <v>2272</v>
      </c>
      <c r="M860" t="s">
        <v>1797</v>
      </c>
      <c r="N860" s="166">
        <v>20.260000000000002</v>
      </c>
      <c r="O860" t="s">
        <v>131</v>
      </c>
    </row>
    <row r="861" spans="1:15">
      <c r="A861" s="166" t="s">
        <v>6675</v>
      </c>
      <c r="B861" t="s">
        <v>111</v>
      </c>
      <c r="C861" t="s">
        <v>134</v>
      </c>
      <c r="D861" t="s">
        <v>118</v>
      </c>
      <c r="E861" t="s">
        <v>139</v>
      </c>
      <c r="F861" t="s">
        <v>7</v>
      </c>
      <c r="G861" t="s">
        <v>130</v>
      </c>
      <c r="H861" s="1">
        <v>46127</v>
      </c>
      <c r="I861" t="s">
        <v>6676</v>
      </c>
      <c r="J861" t="s">
        <v>6677</v>
      </c>
      <c r="K861" t="s">
        <v>1619</v>
      </c>
      <c r="L861" t="s">
        <v>1081</v>
      </c>
      <c r="M861" t="s">
        <v>4732</v>
      </c>
      <c r="N861" s="166">
        <v>22.12</v>
      </c>
      <c r="O861" t="s">
        <v>131</v>
      </c>
    </row>
    <row r="862" spans="1:15">
      <c r="A862" s="166" t="s">
        <v>6678</v>
      </c>
      <c r="B862" t="s">
        <v>111</v>
      </c>
      <c r="C862" t="s">
        <v>136</v>
      </c>
      <c r="D862" t="s">
        <v>118</v>
      </c>
      <c r="E862" t="s">
        <v>139</v>
      </c>
      <c r="F862" t="s">
        <v>7</v>
      </c>
      <c r="G862" t="s">
        <v>130</v>
      </c>
      <c r="H862" s="1">
        <v>46127</v>
      </c>
      <c r="I862" t="s">
        <v>6679</v>
      </c>
      <c r="J862" t="s">
        <v>6680</v>
      </c>
      <c r="K862" t="s">
        <v>4719</v>
      </c>
      <c r="L862" t="s">
        <v>3376</v>
      </c>
      <c r="M862" t="s">
        <v>541</v>
      </c>
      <c r="N862" s="166">
        <v>21.18</v>
      </c>
      <c r="O862" t="s">
        <v>131</v>
      </c>
    </row>
    <row r="863" spans="1:15">
      <c r="A863" s="166" t="s">
        <v>6681</v>
      </c>
      <c r="B863" t="s">
        <v>111</v>
      </c>
      <c r="C863" t="s">
        <v>406</v>
      </c>
      <c r="D863" t="s">
        <v>118</v>
      </c>
      <c r="E863" t="s">
        <v>139</v>
      </c>
      <c r="F863" t="s">
        <v>7</v>
      </c>
      <c r="G863" t="s">
        <v>130</v>
      </c>
      <c r="H863" s="1">
        <v>46127</v>
      </c>
      <c r="I863" t="s">
        <v>6682</v>
      </c>
      <c r="J863" t="s">
        <v>6683</v>
      </c>
      <c r="K863" t="s">
        <v>2843</v>
      </c>
      <c r="L863" t="s">
        <v>1499</v>
      </c>
      <c r="M863" t="s">
        <v>5486</v>
      </c>
      <c r="N863" s="166">
        <v>24.66</v>
      </c>
      <c r="O863" t="s">
        <v>131</v>
      </c>
    </row>
    <row r="864" spans="1:15">
      <c r="A864" s="166" t="s">
        <v>6684</v>
      </c>
      <c r="B864" t="s">
        <v>111</v>
      </c>
      <c r="C864" t="s">
        <v>134</v>
      </c>
      <c r="D864" t="s">
        <v>118</v>
      </c>
      <c r="E864" t="s">
        <v>139</v>
      </c>
      <c r="F864" t="s">
        <v>6</v>
      </c>
      <c r="G864" t="s">
        <v>130</v>
      </c>
      <c r="H864" s="1">
        <v>46127</v>
      </c>
      <c r="I864" t="s">
        <v>6685</v>
      </c>
      <c r="J864" t="s">
        <v>6686</v>
      </c>
      <c r="K864" t="s">
        <v>994</v>
      </c>
      <c r="L864" t="s">
        <v>509</v>
      </c>
      <c r="M864" t="s">
        <v>721</v>
      </c>
      <c r="N864" s="166">
        <v>24.14</v>
      </c>
      <c r="O864" t="s">
        <v>131</v>
      </c>
    </row>
    <row r="865" spans="1:15">
      <c r="A865" s="166" t="s">
        <v>6687</v>
      </c>
      <c r="B865" t="s">
        <v>111</v>
      </c>
      <c r="C865" t="s">
        <v>406</v>
      </c>
      <c r="D865" t="s">
        <v>118</v>
      </c>
      <c r="E865" t="s">
        <v>139</v>
      </c>
      <c r="F865" t="s">
        <v>6</v>
      </c>
      <c r="G865" t="s">
        <v>130</v>
      </c>
      <c r="H865" s="1">
        <v>46127</v>
      </c>
      <c r="I865" t="s">
        <v>6688</v>
      </c>
      <c r="J865" t="s">
        <v>6689</v>
      </c>
      <c r="K865" t="s">
        <v>1309</v>
      </c>
      <c r="L865" t="s">
        <v>153</v>
      </c>
      <c r="M865" t="s">
        <v>179</v>
      </c>
      <c r="N865" s="166">
        <v>20.100000000000001</v>
      </c>
      <c r="O865" t="s">
        <v>131</v>
      </c>
    </row>
    <row r="866" spans="1:15">
      <c r="A866" s="166" t="s">
        <v>6690</v>
      </c>
      <c r="B866" t="s">
        <v>111</v>
      </c>
      <c r="C866" t="s">
        <v>136</v>
      </c>
      <c r="D866" t="s">
        <v>118</v>
      </c>
      <c r="E866" t="s">
        <v>139</v>
      </c>
      <c r="F866" t="s">
        <v>6</v>
      </c>
      <c r="G866" t="s">
        <v>130</v>
      </c>
      <c r="H866" s="1">
        <v>46127</v>
      </c>
      <c r="I866" t="s">
        <v>6691</v>
      </c>
      <c r="J866" t="s">
        <v>6692</v>
      </c>
      <c r="K866" t="s">
        <v>1606</v>
      </c>
      <c r="L866" t="s">
        <v>3376</v>
      </c>
      <c r="M866" t="s">
        <v>1819</v>
      </c>
      <c r="N866" s="166">
        <v>20.62</v>
      </c>
      <c r="O866" t="s">
        <v>131</v>
      </c>
    </row>
    <row r="867" spans="1:15">
      <c r="A867" s="166" t="s">
        <v>6693</v>
      </c>
      <c r="B867" t="s">
        <v>111</v>
      </c>
      <c r="C867" t="s">
        <v>134</v>
      </c>
      <c r="D867" t="s">
        <v>118</v>
      </c>
      <c r="E867" t="s">
        <v>139</v>
      </c>
      <c r="F867" t="s">
        <v>6</v>
      </c>
      <c r="G867" t="s">
        <v>130</v>
      </c>
      <c r="H867" s="1">
        <v>46127</v>
      </c>
      <c r="I867" t="s">
        <v>6694</v>
      </c>
      <c r="J867" t="s">
        <v>6695</v>
      </c>
      <c r="K867" t="s">
        <v>534</v>
      </c>
      <c r="L867" t="s">
        <v>486</v>
      </c>
      <c r="M867" t="s">
        <v>591</v>
      </c>
      <c r="N867" s="166">
        <v>22.92</v>
      </c>
      <c r="O867" t="s">
        <v>131</v>
      </c>
    </row>
    <row r="868" spans="1:15">
      <c r="A868" s="166" t="s">
        <v>6696</v>
      </c>
      <c r="B868" t="s">
        <v>111</v>
      </c>
      <c r="C868" t="s">
        <v>406</v>
      </c>
      <c r="D868" t="s">
        <v>118</v>
      </c>
      <c r="E868" t="s">
        <v>139</v>
      </c>
      <c r="F868" t="s">
        <v>6</v>
      </c>
      <c r="G868" t="s">
        <v>130</v>
      </c>
      <c r="H868" s="1">
        <v>46127</v>
      </c>
      <c r="I868" t="s">
        <v>6697</v>
      </c>
      <c r="J868" t="s">
        <v>6698</v>
      </c>
      <c r="K868" t="s">
        <v>528</v>
      </c>
      <c r="L868" t="s">
        <v>427</v>
      </c>
      <c r="M868" t="s">
        <v>2653</v>
      </c>
      <c r="N868" s="166">
        <v>21.16</v>
      </c>
      <c r="O868" t="s">
        <v>131</v>
      </c>
    </row>
    <row r="869" spans="1:15">
      <c r="A869" s="166" t="s">
        <v>6699</v>
      </c>
      <c r="B869" t="s">
        <v>111</v>
      </c>
      <c r="C869" t="s">
        <v>136</v>
      </c>
      <c r="D869" t="s">
        <v>118</v>
      </c>
      <c r="E869" t="s">
        <v>139</v>
      </c>
      <c r="F869" t="s">
        <v>6</v>
      </c>
      <c r="G869" t="s">
        <v>130</v>
      </c>
      <c r="H869" s="1">
        <v>46127</v>
      </c>
      <c r="I869" t="s">
        <v>6700</v>
      </c>
      <c r="J869" t="s">
        <v>6701</v>
      </c>
      <c r="K869" t="s">
        <v>205</v>
      </c>
      <c r="L869" t="s">
        <v>3501</v>
      </c>
      <c r="M869" t="s">
        <v>179</v>
      </c>
      <c r="N869" s="166">
        <v>20.100000000000001</v>
      </c>
      <c r="O869" t="s">
        <v>131</v>
      </c>
    </row>
    <row r="870" spans="1:15">
      <c r="A870" s="166" t="s">
        <v>6702</v>
      </c>
      <c r="B870" t="s">
        <v>111</v>
      </c>
      <c r="C870" t="s">
        <v>134</v>
      </c>
      <c r="D870" t="s">
        <v>118</v>
      </c>
      <c r="E870" t="s">
        <v>6703</v>
      </c>
      <c r="F870" t="s">
        <v>7</v>
      </c>
      <c r="G870" t="s">
        <v>130</v>
      </c>
      <c r="H870" s="1">
        <v>46127</v>
      </c>
      <c r="I870" t="s">
        <v>6704</v>
      </c>
      <c r="J870" t="s">
        <v>6705</v>
      </c>
      <c r="K870" t="s">
        <v>554</v>
      </c>
      <c r="L870" t="s">
        <v>2572</v>
      </c>
      <c r="M870" t="s">
        <v>1237</v>
      </c>
      <c r="N870" s="166">
        <v>20.059999999999999</v>
      </c>
      <c r="O870" t="s">
        <v>131</v>
      </c>
    </row>
    <row r="871" spans="1:15">
      <c r="A871" s="166" t="s">
        <v>6706</v>
      </c>
      <c r="B871" t="s">
        <v>111</v>
      </c>
      <c r="C871" t="s">
        <v>133</v>
      </c>
      <c r="D871" t="s">
        <v>118</v>
      </c>
      <c r="E871" t="s">
        <v>6703</v>
      </c>
      <c r="F871" t="s">
        <v>7</v>
      </c>
      <c r="G871" t="s">
        <v>130</v>
      </c>
      <c r="H871" s="1">
        <v>46127</v>
      </c>
      <c r="I871" t="s">
        <v>6707</v>
      </c>
      <c r="J871" t="s">
        <v>6708</v>
      </c>
      <c r="K871" t="s">
        <v>6117</v>
      </c>
      <c r="L871" t="s">
        <v>1862</v>
      </c>
      <c r="M871" t="s">
        <v>802</v>
      </c>
      <c r="N871" s="166">
        <v>22.68</v>
      </c>
      <c r="O871" t="s">
        <v>131</v>
      </c>
    </row>
    <row r="872" spans="1:15">
      <c r="A872" s="166" t="s">
        <v>6709</v>
      </c>
      <c r="B872" t="s">
        <v>111</v>
      </c>
      <c r="C872" t="s">
        <v>406</v>
      </c>
      <c r="D872" t="s">
        <v>118</v>
      </c>
      <c r="E872" t="s">
        <v>6703</v>
      </c>
      <c r="F872" t="s">
        <v>7</v>
      </c>
      <c r="G872" t="s">
        <v>130</v>
      </c>
      <c r="H872" s="1">
        <v>46127</v>
      </c>
      <c r="I872" t="s">
        <v>6710</v>
      </c>
      <c r="J872" t="s">
        <v>6711</v>
      </c>
      <c r="K872" t="s">
        <v>3818</v>
      </c>
      <c r="L872" t="s">
        <v>152</v>
      </c>
      <c r="M872" t="s">
        <v>2344</v>
      </c>
      <c r="N872" s="166">
        <v>18.28</v>
      </c>
      <c r="O872" t="s">
        <v>131</v>
      </c>
    </row>
    <row r="873" spans="1:15">
      <c r="A873" s="166" t="s">
        <v>6712</v>
      </c>
      <c r="B873" t="s">
        <v>111</v>
      </c>
      <c r="C873" t="s">
        <v>1104</v>
      </c>
      <c r="D873" t="s">
        <v>118</v>
      </c>
      <c r="E873" t="s">
        <v>6703</v>
      </c>
      <c r="F873" t="s">
        <v>7</v>
      </c>
      <c r="G873" t="s">
        <v>130</v>
      </c>
      <c r="H873" s="1">
        <v>46127</v>
      </c>
      <c r="I873" t="s">
        <v>6713</v>
      </c>
      <c r="J873" t="s">
        <v>6714</v>
      </c>
      <c r="K873" t="s">
        <v>1635</v>
      </c>
      <c r="L873" t="s">
        <v>193</v>
      </c>
      <c r="M873" t="s">
        <v>751</v>
      </c>
      <c r="N873" s="166">
        <v>20.88</v>
      </c>
      <c r="O873" t="s">
        <v>131</v>
      </c>
    </row>
    <row r="874" spans="1:15">
      <c r="A874" s="166" t="s">
        <v>1342</v>
      </c>
      <c r="B874" t="s">
        <v>111</v>
      </c>
      <c r="C874" t="s">
        <v>136</v>
      </c>
      <c r="D874" t="s">
        <v>118</v>
      </c>
      <c r="E874" t="s">
        <v>6703</v>
      </c>
      <c r="F874" t="s">
        <v>7</v>
      </c>
      <c r="G874" t="s">
        <v>130</v>
      </c>
      <c r="H874" s="1">
        <v>46127</v>
      </c>
      <c r="I874" t="s">
        <v>6715</v>
      </c>
      <c r="J874" t="s">
        <v>6716</v>
      </c>
      <c r="K874" t="s">
        <v>3809</v>
      </c>
      <c r="L874" t="s">
        <v>3192</v>
      </c>
      <c r="M874" t="s">
        <v>2669</v>
      </c>
      <c r="N874" s="166">
        <v>23.32</v>
      </c>
      <c r="O874" t="s">
        <v>131</v>
      </c>
    </row>
    <row r="875" spans="1:15">
      <c r="A875" s="166" t="s">
        <v>6717</v>
      </c>
      <c r="B875" t="s">
        <v>111</v>
      </c>
      <c r="C875" t="s">
        <v>134</v>
      </c>
      <c r="D875" t="s">
        <v>118</v>
      </c>
      <c r="E875" t="s">
        <v>6703</v>
      </c>
      <c r="F875" t="s">
        <v>7</v>
      </c>
      <c r="G875" t="s">
        <v>130</v>
      </c>
      <c r="H875" s="1">
        <v>46127</v>
      </c>
      <c r="I875" t="s">
        <v>6718</v>
      </c>
      <c r="J875" t="s">
        <v>6719</v>
      </c>
      <c r="K875" t="s">
        <v>1834</v>
      </c>
      <c r="L875" t="s">
        <v>509</v>
      </c>
      <c r="M875" t="s">
        <v>1447</v>
      </c>
      <c r="N875" s="166">
        <v>22.9</v>
      </c>
      <c r="O875" t="s">
        <v>131</v>
      </c>
    </row>
    <row r="876" spans="1:15">
      <c r="A876" s="166" t="s">
        <v>6720</v>
      </c>
      <c r="B876" t="s">
        <v>111</v>
      </c>
      <c r="C876" t="s">
        <v>133</v>
      </c>
      <c r="D876" t="s">
        <v>118</v>
      </c>
      <c r="E876" t="s">
        <v>6703</v>
      </c>
      <c r="F876" t="s">
        <v>7</v>
      </c>
      <c r="G876" t="s">
        <v>130</v>
      </c>
      <c r="H876" s="1">
        <v>46127</v>
      </c>
      <c r="I876" t="s">
        <v>6721</v>
      </c>
      <c r="J876" t="s">
        <v>6722</v>
      </c>
      <c r="K876" t="s">
        <v>1154</v>
      </c>
      <c r="L876" t="s">
        <v>845</v>
      </c>
      <c r="M876" t="s">
        <v>1168</v>
      </c>
      <c r="N876" s="166">
        <v>18.5</v>
      </c>
      <c r="O876" t="s">
        <v>131</v>
      </c>
    </row>
    <row r="877" spans="1:15">
      <c r="A877" s="166" t="s">
        <v>6723</v>
      </c>
      <c r="B877" t="s">
        <v>111</v>
      </c>
      <c r="C877" t="s">
        <v>406</v>
      </c>
      <c r="D877" t="s">
        <v>118</v>
      </c>
      <c r="E877" t="s">
        <v>6703</v>
      </c>
      <c r="F877" t="s">
        <v>7</v>
      </c>
      <c r="G877" t="s">
        <v>130</v>
      </c>
      <c r="H877" s="1">
        <v>46127</v>
      </c>
      <c r="I877" t="s">
        <v>6724</v>
      </c>
      <c r="J877" t="s">
        <v>6725</v>
      </c>
      <c r="K877" t="s">
        <v>1126</v>
      </c>
      <c r="L877" t="s">
        <v>492</v>
      </c>
      <c r="M877" t="s">
        <v>1907</v>
      </c>
      <c r="N877" s="166">
        <v>19.66</v>
      </c>
      <c r="O877" t="s">
        <v>131</v>
      </c>
    </row>
    <row r="878" spans="1:15">
      <c r="A878" s="166" t="s">
        <v>6726</v>
      </c>
      <c r="B878" t="s">
        <v>111</v>
      </c>
      <c r="C878" t="s">
        <v>1104</v>
      </c>
      <c r="D878" t="s">
        <v>116</v>
      </c>
      <c r="E878" t="s">
        <v>418</v>
      </c>
      <c r="F878" t="s">
        <v>7</v>
      </c>
      <c r="G878" t="s">
        <v>130</v>
      </c>
      <c r="H878" s="1">
        <v>46127</v>
      </c>
      <c r="I878" t="s">
        <v>6727</v>
      </c>
      <c r="J878" t="s">
        <v>6728</v>
      </c>
      <c r="K878" t="s">
        <v>1801</v>
      </c>
      <c r="L878" t="s">
        <v>890</v>
      </c>
      <c r="M878" t="s">
        <v>2758</v>
      </c>
      <c r="N878" s="166">
        <v>17.98</v>
      </c>
      <c r="O878" t="s">
        <v>131</v>
      </c>
    </row>
    <row r="879" spans="1:15">
      <c r="A879" s="166" t="s">
        <v>6729</v>
      </c>
      <c r="B879" t="s">
        <v>111</v>
      </c>
      <c r="C879" t="s">
        <v>133</v>
      </c>
      <c r="D879" t="s">
        <v>116</v>
      </c>
      <c r="E879" t="s">
        <v>418</v>
      </c>
      <c r="F879" t="s">
        <v>7</v>
      </c>
      <c r="G879" t="s">
        <v>130</v>
      </c>
      <c r="H879" s="1">
        <v>46127</v>
      </c>
      <c r="I879" t="s">
        <v>6730</v>
      </c>
      <c r="J879" t="s">
        <v>6731</v>
      </c>
      <c r="K879" t="s">
        <v>1969</v>
      </c>
      <c r="L879" t="s">
        <v>761</v>
      </c>
      <c r="M879" t="s">
        <v>1145</v>
      </c>
      <c r="N879" s="166">
        <v>19.579999999999998</v>
      </c>
      <c r="O879" t="s">
        <v>131</v>
      </c>
    </row>
    <row r="880" spans="1:15">
      <c r="A880" s="166" t="s">
        <v>6732</v>
      </c>
      <c r="B880" t="s">
        <v>111</v>
      </c>
      <c r="C880" t="s">
        <v>136</v>
      </c>
      <c r="D880" t="s">
        <v>116</v>
      </c>
      <c r="E880" t="s">
        <v>418</v>
      </c>
      <c r="F880" t="s">
        <v>7</v>
      </c>
      <c r="G880" t="s">
        <v>130</v>
      </c>
      <c r="H880" s="1">
        <v>46127</v>
      </c>
      <c r="I880" t="s">
        <v>6733</v>
      </c>
      <c r="J880" t="s">
        <v>6734</v>
      </c>
      <c r="K880" t="s">
        <v>1100</v>
      </c>
      <c r="L880" t="s">
        <v>4662</v>
      </c>
      <c r="M880" t="s">
        <v>1132</v>
      </c>
      <c r="N880" s="166">
        <v>18.34</v>
      </c>
      <c r="O880" t="s">
        <v>131</v>
      </c>
    </row>
    <row r="881" spans="1:15">
      <c r="A881" s="166" t="s">
        <v>6735</v>
      </c>
      <c r="B881" t="s">
        <v>111</v>
      </c>
      <c r="C881" t="s">
        <v>1104</v>
      </c>
      <c r="D881" t="s">
        <v>116</v>
      </c>
      <c r="E881" t="s">
        <v>418</v>
      </c>
      <c r="F881" t="s">
        <v>7</v>
      </c>
      <c r="G881" t="s">
        <v>130</v>
      </c>
      <c r="H881" s="1">
        <v>46127</v>
      </c>
      <c r="I881" t="s">
        <v>6736</v>
      </c>
      <c r="J881" t="s">
        <v>6737</v>
      </c>
      <c r="K881" t="s">
        <v>1085</v>
      </c>
      <c r="L881" t="s">
        <v>845</v>
      </c>
      <c r="M881" t="s">
        <v>1416</v>
      </c>
      <c r="N881" s="166">
        <v>17.940000000000001</v>
      </c>
      <c r="O881" t="s">
        <v>131</v>
      </c>
    </row>
    <row r="882" spans="1:15">
      <c r="A882" s="166" t="s">
        <v>6738</v>
      </c>
      <c r="B882" t="s">
        <v>111</v>
      </c>
      <c r="C882" t="s">
        <v>133</v>
      </c>
      <c r="D882" t="s">
        <v>116</v>
      </c>
      <c r="E882" t="s">
        <v>418</v>
      </c>
      <c r="F882" t="s">
        <v>7</v>
      </c>
      <c r="G882" t="s">
        <v>130</v>
      </c>
      <c r="H882" s="1">
        <v>46127</v>
      </c>
      <c r="I882" t="s">
        <v>6739</v>
      </c>
      <c r="J882" t="s">
        <v>6740</v>
      </c>
      <c r="K882" t="s">
        <v>1749</v>
      </c>
      <c r="L882" t="s">
        <v>1076</v>
      </c>
      <c r="M882" t="s">
        <v>2518</v>
      </c>
      <c r="N882" s="166">
        <v>18.64</v>
      </c>
      <c r="O882" t="s">
        <v>131</v>
      </c>
    </row>
    <row r="883" spans="1:15">
      <c r="A883" s="166" t="s">
        <v>6741</v>
      </c>
      <c r="B883" t="s">
        <v>111</v>
      </c>
      <c r="C883" t="s">
        <v>1104</v>
      </c>
      <c r="D883" t="s">
        <v>116</v>
      </c>
      <c r="E883" t="s">
        <v>418</v>
      </c>
      <c r="F883" t="s">
        <v>7</v>
      </c>
      <c r="G883" t="s">
        <v>130</v>
      </c>
      <c r="H883" s="1">
        <v>46127</v>
      </c>
      <c r="I883" t="s">
        <v>6742</v>
      </c>
      <c r="J883" t="s">
        <v>6743</v>
      </c>
      <c r="K883" t="s">
        <v>1785</v>
      </c>
      <c r="L883" t="s">
        <v>3028</v>
      </c>
      <c r="M883" t="s">
        <v>3192</v>
      </c>
      <c r="N883" s="166">
        <v>17.16</v>
      </c>
      <c r="O883" t="s">
        <v>131</v>
      </c>
    </row>
    <row r="884" spans="1:15">
      <c r="A884" s="166" t="s">
        <v>6744</v>
      </c>
      <c r="B884" t="s">
        <v>111</v>
      </c>
      <c r="C884" t="s">
        <v>136</v>
      </c>
      <c r="D884" t="s">
        <v>116</v>
      </c>
      <c r="E884" t="s">
        <v>418</v>
      </c>
      <c r="F884" t="s">
        <v>7</v>
      </c>
      <c r="G884" t="s">
        <v>130</v>
      </c>
      <c r="H884" s="1">
        <v>46127</v>
      </c>
      <c r="I884" t="s">
        <v>6745</v>
      </c>
      <c r="J884" t="s">
        <v>6746</v>
      </c>
      <c r="K884" t="s">
        <v>739</v>
      </c>
      <c r="L884" t="s">
        <v>4662</v>
      </c>
      <c r="M884" t="s">
        <v>751</v>
      </c>
      <c r="N884" s="166">
        <v>20.88</v>
      </c>
      <c r="O884" t="s">
        <v>131</v>
      </c>
    </row>
    <row r="885" spans="1:15">
      <c r="A885" s="166" t="s">
        <v>6747</v>
      </c>
      <c r="B885" t="s">
        <v>111</v>
      </c>
      <c r="C885" t="s">
        <v>133</v>
      </c>
      <c r="D885" t="s">
        <v>116</v>
      </c>
      <c r="E885" t="s">
        <v>418</v>
      </c>
      <c r="F885" t="s">
        <v>7</v>
      </c>
      <c r="G885" t="s">
        <v>130</v>
      </c>
      <c r="H885" s="1">
        <v>46127</v>
      </c>
      <c r="I885" t="s">
        <v>6748</v>
      </c>
      <c r="J885" t="s">
        <v>6749</v>
      </c>
      <c r="K885" t="s">
        <v>6750</v>
      </c>
      <c r="L885" t="s">
        <v>687</v>
      </c>
      <c r="M885" t="s">
        <v>1573</v>
      </c>
      <c r="N885" s="166">
        <v>18.32</v>
      </c>
      <c r="O885" t="s">
        <v>131</v>
      </c>
    </row>
    <row r="886" spans="1:15">
      <c r="A886" s="166" t="s">
        <v>6751</v>
      </c>
      <c r="B886" t="s">
        <v>111</v>
      </c>
      <c r="C886" t="s">
        <v>1104</v>
      </c>
      <c r="D886" t="s">
        <v>116</v>
      </c>
      <c r="E886" t="s">
        <v>418</v>
      </c>
      <c r="F886" t="s">
        <v>7</v>
      </c>
      <c r="G886" t="s">
        <v>130</v>
      </c>
      <c r="H886" s="1">
        <v>46127</v>
      </c>
      <c r="I886" t="s">
        <v>6752</v>
      </c>
      <c r="J886" t="s">
        <v>6753</v>
      </c>
      <c r="K886" t="s">
        <v>2559</v>
      </c>
      <c r="L886" t="s">
        <v>1404</v>
      </c>
      <c r="M886" t="s">
        <v>1416</v>
      </c>
      <c r="N886" s="166">
        <v>17.940000000000001</v>
      </c>
      <c r="O886" t="s">
        <v>131</v>
      </c>
    </row>
    <row r="887" spans="1:15">
      <c r="A887" s="166" t="s">
        <v>6754</v>
      </c>
      <c r="B887" t="s">
        <v>111</v>
      </c>
      <c r="C887" t="s">
        <v>136</v>
      </c>
      <c r="D887" t="s">
        <v>116</v>
      </c>
      <c r="E887" t="s">
        <v>418</v>
      </c>
      <c r="F887" t="s">
        <v>7</v>
      </c>
      <c r="G887" t="s">
        <v>130</v>
      </c>
      <c r="H887" s="1">
        <v>46127</v>
      </c>
      <c r="I887" t="s">
        <v>6755</v>
      </c>
      <c r="J887" t="s">
        <v>6756</v>
      </c>
      <c r="K887" t="s">
        <v>1377</v>
      </c>
      <c r="L887" t="s">
        <v>2008</v>
      </c>
      <c r="M887" t="s">
        <v>890</v>
      </c>
      <c r="N887" s="166">
        <v>16.440000000000001</v>
      </c>
      <c r="O887" t="s">
        <v>131</v>
      </c>
    </row>
    <row r="888" spans="1:15">
      <c r="A888" s="166" t="s">
        <v>6757</v>
      </c>
      <c r="B888" t="s">
        <v>111</v>
      </c>
      <c r="C888" t="s">
        <v>133</v>
      </c>
      <c r="D888" t="s">
        <v>116</v>
      </c>
      <c r="E888" t="s">
        <v>418</v>
      </c>
      <c r="F888" t="s">
        <v>7</v>
      </c>
      <c r="G888" t="s">
        <v>130</v>
      </c>
      <c r="H888" s="1">
        <v>46127</v>
      </c>
      <c r="I888" t="s">
        <v>6758</v>
      </c>
      <c r="J888" t="s">
        <v>6759</v>
      </c>
      <c r="K888" t="s">
        <v>433</v>
      </c>
      <c r="L888" t="s">
        <v>927</v>
      </c>
      <c r="M888" t="s">
        <v>2273</v>
      </c>
      <c r="N888" s="166">
        <v>20.3</v>
      </c>
      <c r="O888" t="s">
        <v>131</v>
      </c>
    </row>
    <row r="889" spans="1:15">
      <c r="A889" s="166" t="s">
        <v>6760</v>
      </c>
      <c r="B889" t="s">
        <v>111</v>
      </c>
      <c r="C889" t="s">
        <v>1104</v>
      </c>
      <c r="D889" t="s">
        <v>116</v>
      </c>
      <c r="E889" t="s">
        <v>418</v>
      </c>
      <c r="F889" t="s">
        <v>7</v>
      </c>
      <c r="G889" t="s">
        <v>130</v>
      </c>
      <c r="H889" s="1">
        <v>46128</v>
      </c>
      <c r="I889" t="s">
        <v>6761</v>
      </c>
      <c r="J889" t="s">
        <v>6762</v>
      </c>
      <c r="K889" t="s">
        <v>4527</v>
      </c>
      <c r="L889" t="s">
        <v>1108</v>
      </c>
      <c r="M889" t="s">
        <v>801</v>
      </c>
      <c r="N889" s="166">
        <v>15.78</v>
      </c>
      <c r="O889" t="s">
        <v>131</v>
      </c>
    </row>
    <row r="890" spans="1:15">
      <c r="A890" s="166" t="s">
        <v>6763</v>
      </c>
      <c r="B890" t="s">
        <v>111</v>
      </c>
      <c r="C890" t="s">
        <v>136</v>
      </c>
      <c r="D890" t="s">
        <v>116</v>
      </c>
      <c r="E890" t="s">
        <v>418</v>
      </c>
      <c r="F890" t="s">
        <v>7</v>
      </c>
      <c r="G890" t="s">
        <v>130</v>
      </c>
      <c r="H890" s="1">
        <v>46128</v>
      </c>
      <c r="I890" t="s">
        <v>6764</v>
      </c>
      <c r="J890" t="s">
        <v>6765</v>
      </c>
      <c r="K890" t="s">
        <v>1322</v>
      </c>
      <c r="L890" t="s">
        <v>1823</v>
      </c>
      <c r="M890" t="s">
        <v>1416</v>
      </c>
      <c r="N890" s="166">
        <v>17.940000000000001</v>
      </c>
      <c r="O890" t="s">
        <v>131</v>
      </c>
    </row>
    <row r="891" spans="1:15">
      <c r="A891" s="166" t="s">
        <v>6766</v>
      </c>
      <c r="B891" t="s">
        <v>111</v>
      </c>
      <c r="C891" t="s">
        <v>133</v>
      </c>
      <c r="D891" t="s">
        <v>116</v>
      </c>
      <c r="E891" t="s">
        <v>418</v>
      </c>
      <c r="F891" t="s">
        <v>7</v>
      </c>
      <c r="G891" t="s">
        <v>130</v>
      </c>
      <c r="H891" s="1">
        <v>46128</v>
      </c>
      <c r="I891" t="s">
        <v>6767</v>
      </c>
      <c r="J891" t="s">
        <v>6768</v>
      </c>
      <c r="K891" t="s">
        <v>816</v>
      </c>
      <c r="L891" t="s">
        <v>1177</v>
      </c>
      <c r="M891" t="s">
        <v>1473</v>
      </c>
      <c r="N891" s="166">
        <v>21.34</v>
      </c>
      <c r="O891" t="s">
        <v>131</v>
      </c>
    </row>
    <row r="892" spans="1:15">
      <c r="A892" s="166" t="s">
        <v>6769</v>
      </c>
      <c r="B892" t="s">
        <v>111</v>
      </c>
      <c r="C892" t="s">
        <v>1104</v>
      </c>
      <c r="D892" t="s">
        <v>116</v>
      </c>
      <c r="E892" t="s">
        <v>418</v>
      </c>
      <c r="F892" t="s">
        <v>7</v>
      </c>
      <c r="G892" t="s">
        <v>130</v>
      </c>
      <c r="H892" s="1">
        <v>46128</v>
      </c>
      <c r="I892" t="s">
        <v>6770</v>
      </c>
      <c r="J892" t="s">
        <v>6771</v>
      </c>
      <c r="K892" t="s">
        <v>627</v>
      </c>
      <c r="L892" t="s">
        <v>767</v>
      </c>
      <c r="M892" t="s">
        <v>6772</v>
      </c>
      <c r="N892" s="166">
        <v>13.92</v>
      </c>
      <c r="O892" t="s">
        <v>131</v>
      </c>
    </row>
    <row r="893" spans="1:15">
      <c r="A893" s="166" t="s">
        <v>6773</v>
      </c>
      <c r="B893" t="s">
        <v>111</v>
      </c>
      <c r="C893" t="s">
        <v>136</v>
      </c>
      <c r="D893" t="s">
        <v>116</v>
      </c>
      <c r="E893" t="s">
        <v>418</v>
      </c>
      <c r="F893" t="s">
        <v>7</v>
      </c>
      <c r="G893" t="s">
        <v>130</v>
      </c>
      <c r="H893" s="1">
        <v>46128</v>
      </c>
      <c r="I893" t="s">
        <v>6774</v>
      </c>
      <c r="J893" t="s">
        <v>6775</v>
      </c>
      <c r="K893" t="s">
        <v>1855</v>
      </c>
      <c r="L893" t="s">
        <v>2450</v>
      </c>
      <c r="M893" t="s">
        <v>633</v>
      </c>
      <c r="N893" s="166">
        <v>15.16</v>
      </c>
      <c r="O893" t="s">
        <v>131</v>
      </c>
    </row>
    <row r="894" spans="1:15">
      <c r="A894" s="166" t="s">
        <v>6750</v>
      </c>
      <c r="B894" t="s">
        <v>111</v>
      </c>
      <c r="C894" t="s">
        <v>133</v>
      </c>
      <c r="D894" t="s">
        <v>116</v>
      </c>
      <c r="E894" t="s">
        <v>418</v>
      </c>
      <c r="F894" t="s">
        <v>7</v>
      </c>
      <c r="G894" t="s">
        <v>130</v>
      </c>
      <c r="H894" s="1">
        <v>46128</v>
      </c>
      <c r="I894" t="s">
        <v>6776</v>
      </c>
      <c r="J894" t="s">
        <v>6777</v>
      </c>
      <c r="K894" t="s">
        <v>488</v>
      </c>
      <c r="L894" t="s">
        <v>212</v>
      </c>
      <c r="M894" t="s">
        <v>616</v>
      </c>
      <c r="N894" s="166">
        <v>15.68</v>
      </c>
      <c r="O894" t="s">
        <v>131</v>
      </c>
    </row>
    <row r="895" spans="1:15">
      <c r="A895" s="166" t="s">
        <v>6778</v>
      </c>
      <c r="B895" t="s">
        <v>111</v>
      </c>
      <c r="C895" t="s">
        <v>1104</v>
      </c>
      <c r="D895" t="s">
        <v>116</v>
      </c>
      <c r="E895" t="s">
        <v>418</v>
      </c>
      <c r="F895" t="s">
        <v>7</v>
      </c>
      <c r="G895" t="s">
        <v>130</v>
      </c>
      <c r="H895" s="1">
        <v>46128</v>
      </c>
      <c r="I895" t="s">
        <v>6779</v>
      </c>
      <c r="J895" t="s">
        <v>6780</v>
      </c>
      <c r="K895" t="s">
        <v>1840</v>
      </c>
      <c r="L895" t="s">
        <v>410</v>
      </c>
      <c r="M895" t="s">
        <v>6781</v>
      </c>
      <c r="N895" s="166">
        <v>12.44</v>
      </c>
      <c r="O895" t="s">
        <v>131</v>
      </c>
    </row>
    <row r="896" spans="1:15">
      <c r="A896" s="166" t="s">
        <v>6782</v>
      </c>
      <c r="B896" t="s">
        <v>111</v>
      </c>
      <c r="C896" t="s">
        <v>136</v>
      </c>
      <c r="D896" t="s">
        <v>116</v>
      </c>
      <c r="E896" t="s">
        <v>418</v>
      </c>
      <c r="F896" t="s">
        <v>7</v>
      </c>
      <c r="G896" t="s">
        <v>130</v>
      </c>
      <c r="H896" s="1">
        <v>46128</v>
      </c>
      <c r="I896" t="s">
        <v>6783</v>
      </c>
      <c r="J896" t="s">
        <v>6784</v>
      </c>
      <c r="K896" t="s">
        <v>1602</v>
      </c>
      <c r="L896" t="s">
        <v>2531</v>
      </c>
      <c r="M896" t="s">
        <v>1168</v>
      </c>
      <c r="N896" s="166">
        <v>18.5</v>
      </c>
      <c r="O896" t="s">
        <v>131</v>
      </c>
    </row>
    <row r="897" spans="1:15">
      <c r="A897" s="166" t="s">
        <v>6785</v>
      </c>
      <c r="B897" t="s">
        <v>111</v>
      </c>
      <c r="C897" t="s">
        <v>136</v>
      </c>
      <c r="D897" t="s">
        <v>116</v>
      </c>
      <c r="E897" t="s">
        <v>418</v>
      </c>
      <c r="F897" t="s">
        <v>7</v>
      </c>
      <c r="G897" t="s">
        <v>130</v>
      </c>
      <c r="H897" s="1">
        <v>46128</v>
      </c>
      <c r="I897" t="s">
        <v>6786</v>
      </c>
      <c r="J897" t="s">
        <v>6787</v>
      </c>
      <c r="K897" t="s">
        <v>3056</v>
      </c>
      <c r="L897" t="s">
        <v>1359</v>
      </c>
      <c r="M897" t="s">
        <v>782</v>
      </c>
      <c r="N897" s="166">
        <v>21.92</v>
      </c>
      <c r="O897" t="s">
        <v>131</v>
      </c>
    </row>
    <row r="898" spans="1:15">
      <c r="A898" s="166" t="s">
        <v>6788</v>
      </c>
      <c r="B898" t="s">
        <v>111</v>
      </c>
      <c r="C898" t="s">
        <v>1104</v>
      </c>
      <c r="D898" t="s">
        <v>116</v>
      </c>
      <c r="E898" t="s">
        <v>418</v>
      </c>
      <c r="F898" t="s">
        <v>7</v>
      </c>
      <c r="G898" t="s">
        <v>130</v>
      </c>
      <c r="H898" s="1">
        <v>46128</v>
      </c>
      <c r="I898" t="s">
        <v>6789</v>
      </c>
      <c r="J898" t="s">
        <v>6790</v>
      </c>
      <c r="K898" t="s">
        <v>2225</v>
      </c>
      <c r="L898" t="s">
        <v>4764</v>
      </c>
      <c r="M898" t="s">
        <v>1275</v>
      </c>
      <c r="N898" s="166">
        <v>18.98</v>
      </c>
      <c r="O898" t="s">
        <v>131</v>
      </c>
    </row>
    <row r="899" spans="1:15">
      <c r="A899" s="166" t="s">
        <v>6791</v>
      </c>
      <c r="B899" t="s">
        <v>111</v>
      </c>
      <c r="C899" t="s">
        <v>136</v>
      </c>
      <c r="D899" t="s">
        <v>116</v>
      </c>
      <c r="E899" t="s">
        <v>418</v>
      </c>
      <c r="F899" t="s">
        <v>7</v>
      </c>
      <c r="G899" t="s">
        <v>130</v>
      </c>
      <c r="H899" s="1">
        <v>46128</v>
      </c>
      <c r="I899" t="s">
        <v>6792</v>
      </c>
      <c r="J899" t="s">
        <v>6793</v>
      </c>
      <c r="K899" t="s">
        <v>2983</v>
      </c>
      <c r="L899" t="s">
        <v>2450</v>
      </c>
      <c r="M899" t="s">
        <v>1095</v>
      </c>
      <c r="N899" s="166">
        <v>23.78</v>
      </c>
      <c r="O899" t="s">
        <v>131</v>
      </c>
    </row>
    <row r="900" spans="1:15">
      <c r="A900" s="166" t="s">
        <v>6794</v>
      </c>
      <c r="B900" t="s">
        <v>111</v>
      </c>
      <c r="C900" t="s">
        <v>406</v>
      </c>
      <c r="D900" t="s">
        <v>116</v>
      </c>
      <c r="E900" t="s">
        <v>418</v>
      </c>
      <c r="F900" t="s">
        <v>7</v>
      </c>
      <c r="G900" t="s">
        <v>130</v>
      </c>
      <c r="H900" s="1">
        <v>46128</v>
      </c>
      <c r="I900" t="s">
        <v>6795</v>
      </c>
      <c r="J900" t="s">
        <v>6796</v>
      </c>
      <c r="K900" t="s">
        <v>229</v>
      </c>
      <c r="L900" t="s">
        <v>584</v>
      </c>
      <c r="M900" t="s">
        <v>2199</v>
      </c>
      <c r="N900" s="166">
        <v>24.1</v>
      </c>
      <c r="O900" t="s">
        <v>131</v>
      </c>
    </row>
    <row r="901" spans="1:15">
      <c r="A901" s="166" t="s">
        <v>6797</v>
      </c>
      <c r="B901" t="s">
        <v>111</v>
      </c>
      <c r="C901" t="s">
        <v>134</v>
      </c>
      <c r="D901" t="s">
        <v>116</v>
      </c>
      <c r="E901" t="s">
        <v>418</v>
      </c>
      <c r="F901" t="s">
        <v>7</v>
      </c>
      <c r="G901" t="s">
        <v>130</v>
      </c>
      <c r="H901" s="1">
        <v>46128</v>
      </c>
      <c r="I901" t="s">
        <v>6798</v>
      </c>
      <c r="J901" t="s">
        <v>6799</v>
      </c>
      <c r="K901" t="s">
        <v>6800</v>
      </c>
      <c r="L901" t="s">
        <v>3134</v>
      </c>
      <c r="M901" t="s">
        <v>3623</v>
      </c>
      <c r="N901" s="166">
        <v>23.3</v>
      </c>
      <c r="O901" t="s">
        <v>131</v>
      </c>
    </row>
    <row r="902" spans="1:15">
      <c r="A902" s="166" t="s">
        <v>6801</v>
      </c>
      <c r="B902" t="s">
        <v>111</v>
      </c>
      <c r="C902" t="s">
        <v>136</v>
      </c>
      <c r="D902" t="s">
        <v>116</v>
      </c>
      <c r="E902" t="s">
        <v>418</v>
      </c>
      <c r="F902" t="s">
        <v>7</v>
      </c>
      <c r="G902" t="s">
        <v>130</v>
      </c>
      <c r="H902" s="1">
        <v>46128</v>
      </c>
      <c r="I902" t="s">
        <v>6802</v>
      </c>
      <c r="J902" t="s">
        <v>6803</v>
      </c>
      <c r="K902" t="s">
        <v>205</v>
      </c>
      <c r="L902" t="s">
        <v>3542</v>
      </c>
      <c r="M902" t="s">
        <v>1333</v>
      </c>
      <c r="N902" s="166">
        <v>19.14</v>
      </c>
      <c r="O902" t="s">
        <v>131</v>
      </c>
    </row>
    <row r="903" spans="1:15">
      <c r="A903" s="166" t="s">
        <v>6804</v>
      </c>
      <c r="B903" t="s">
        <v>111</v>
      </c>
      <c r="C903" t="s">
        <v>406</v>
      </c>
      <c r="D903" t="s">
        <v>116</v>
      </c>
      <c r="E903" t="s">
        <v>418</v>
      </c>
      <c r="F903" t="s">
        <v>7</v>
      </c>
      <c r="G903" t="s">
        <v>130</v>
      </c>
      <c r="H903" s="1">
        <v>46128</v>
      </c>
      <c r="I903" t="s">
        <v>6805</v>
      </c>
      <c r="J903" t="s">
        <v>6806</v>
      </c>
      <c r="K903" t="s">
        <v>5707</v>
      </c>
      <c r="L903" t="s">
        <v>148</v>
      </c>
      <c r="M903" t="s">
        <v>6807</v>
      </c>
      <c r="N903" s="166">
        <v>21.74</v>
      </c>
      <c r="O903" t="s">
        <v>131</v>
      </c>
    </row>
    <row r="904" spans="1:15">
      <c r="A904" s="166" t="s">
        <v>6808</v>
      </c>
      <c r="B904" t="s">
        <v>111</v>
      </c>
      <c r="C904" t="s">
        <v>134</v>
      </c>
      <c r="D904" t="s">
        <v>116</v>
      </c>
      <c r="E904" t="s">
        <v>418</v>
      </c>
      <c r="F904" t="s">
        <v>7</v>
      </c>
      <c r="G904" t="s">
        <v>130</v>
      </c>
      <c r="H904" s="1">
        <v>46128</v>
      </c>
      <c r="I904" t="s">
        <v>6809</v>
      </c>
      <c r="J904" t="s">
        <v>6810</v>
      </c>
      <c r="K904" t="s">
        <v>5079</v>
      </c>
      <c r="L904" t="s">
        <v>3134</v>
      </c>
      <c r="M904" t="s">
        <v>3663</v>
      </c>
      <c r="N904" s="166">
        <v>24.62</v>
      </c>
      <c r="O904" t="s">
        <v>131</v>
      </c>
    </row>
    <row r="905" spans="1:15">
      <c r="A905" s="166" t="s">
        <v>6811</v>
      </c>
      <c r="B905" t="s">
        <v>111</v>
      </c>
      <c r="C905" t="s">
        <v>136</v>
      </c>
      <c r="D905" t="s">
        <v>116</v>
      </c>
      <c r="E905" t="s">
        <v>418</v>
      </c>
      <c r="F905" t="s">
        <v>7</v>
      </c>
      <c r="G905" t="s">
        <v>130</v>
      </c>
      <c r="H905" s="1">
        <v>46128</v>
      </c>
      <c r="I905" t="s">
        <v>6812</v>
      </c>
      <c r="J905" t="s">
        <v>6813</v>
      </c>
      <c r="K905" t="s">
        <v>649</v>
      </c>
      <c r="L905" t="s">
        <v>1291</v>
      </c>
      <c r="M905" t="s">
        <v>1529</v>
      </c>
      <c r="N905" s="166">
        <v>19.88</v>
      </c>
      <c r="O905" t="s">
        <v>131</v>
      </c>
    </row>
    <row r="906" spans="1:15">
      <c r="A906" s="166" t="s">
        <v>6814</v>
      </c>
      <c r="B906" t="s">
        <v>111</v>
      </c>
      <c r="C906" t="s">
        <v>406</v>
      </c>
      <c r="D906" t="s">
        <v>116</v>
      </c>
      <c r="E906" t="s">
        <v>418</v>
      </c>
      <c r="F906" t="s">
        <v>7</v>
      </c>
      <c r="G906" t="s">
        <v>130</v>
      </c>
      <c r="H906" s="1">
        <v>46128</v>
      </c>
      <c r="I906" t="s">
        <v>6815</v>
      </c>
      <c r="J906" t="s">
        <v>6816</v>
      </c>
      <c r="K906" t="s">
        <v>781</v>
      </c>
      <c r="L906" t="s">
        <v>714</v>
      </c>
      <c r="M906" t="s">
        <v>530</v>
      </c>
      <c r="N906" s="166">
        <v>21</v>
      </c>
      <c r="O906" t="s">
        <v>131</v>
      </c>
    </row>
    <row r="907" spans="1:15">
      <c r="A907" s="166" t="s">
        <v>6817</v>
      </c>
      <c r="B907" t="s">
        <v>111</v>
      </c>
      <c r="C907" t="s">
        <v>133</v>
      </c>
      <c r="D907" t="s">
        <v>116</v>
      </c>
      <c r="E907" t="s">
        <v>418</v>
      </c>
      <c r="F907" t="s">
        <v>7</v>
      </c>
      <c r="G907" t="s">
        <v>130</v>
      </c>
      <c r="H907" s="1">
        <v>46128</v>
      </c>
      <c r="I907" t="s">
        <v>6818</v>
      </c>
      <c r="J907" t="s">
        <v>6819</v>
      </c>
      <c r="K907" t="s">
        <v>2947</v>
      </c>
      <c r="L907" t="s">
        <v>2019</v>
      </c>
      <c r="M907" t="s">
        <v>747</v>
      </c>
      <c r="N907" s="166">
        <v>23.38</v>
      </c>
      <c r="O907" t="s">
        <v>131</v>
      </c>
    </row>
    <row r="908" spans="1:15">
      <c r="A908" s="166" t="s">
        <v>6820</v>
      </c>
      <c r="B908" t="s">
        <v>111</v>
      </c>
      <c r="C908" t="s">
        <v>134</v>
      </c>
      <c r="D908" t="s">
        <v>116</v>
      </c>
      <c r="E908" t="s">
        <v>418</v>
      </c>
      <c r="F908" t="s">
        <v>7</v>
      </c>
      <c r="G908" t="s">
        <v>130</v>
      </c>
      <c r="H908" s="1">
        <v>46128</v>
      </c>
      <c r="I908" t="s">
        <v>6821</v>
      </c>
      <c r="J908" t="s">
        <v>6822</v>
      </c>
      <c r="K908" t="s">
        <v>1619</v>
      </c>
      <c r="L908" t="s">
        <v>3152</v>
      </c>
      <c r="M908" t="s">
        <v>569</v>
      </c>
      <c r="N908" s="166">
        <v>21.7</v>
      </c>
      <c r="O908" t="s">
        <v>131</v>
      </c>
    </row>
    <row r="909" spans="1:15">
      <c r="A909" s="166" t="s">
        <v>6823</v>
      </c>
      <c r="B909" t="s">
        <v>111</v>
      </c>
      <c r="C909" t="s">
        <v>406</v>
      </c>
      <c r="D909" t="s">
        <v>116</v>
      </c>
      <c r="E909" t="s">
        <v>418</v>
      </c>
      <c r="F909" t="s">
        <v>7</v>
      </c>
      <c r="G909" t="s">
        <v>130</v>
      </c>
      <c r="H909" s="1">
        <v>46128</v>
      </c>
      <c r="I909" t="s">
        <v>6824</v>
      </c>
      <c r="J909" t="s">
        <v>6825</v>
      </c>
      <c r="K909" t="s">
        <v>150</v>
      </c>
      <c r="L909" t="s">
        <v>645</v>
      </c>
      <c r="M909" t="s">
        <v>731</v>
      </c>
      <c r="N909" s="166">
        <v>20.82</v>
      </c>
      <c r="O909" t="s">
        <v>131</v>
      </c>
    </row>
    <row r="910" spans="1:15">
      <c r="A910" s="166" t="s">
        <v>6826</v>
      </c>
      <c r="B910" t="s">
        <v>111</v>
      </c>
      <c r="C910" t="s">
        <v>133</v>
      </c>
      <c r="D910" t="s">
        <v>116</v>
      </c>
      <c r="E910" t="s">
        <v>418</v>
      </c>
      <c r="F910" t="s">
        <v>7</v>
      </c>
      <c r="G910" t="s">
        <v>130</v>
      </c>
      <c r="H910" s="1">
        <v>46128</v>
      </c>
      <c r="I910" t="s">
        <v>6827</v>
      </c>
      <c r="J910" t="s">
        <v>6828</v>
      </c>
      <c r="K910" t="s">
        <v>3853</v>
      </c>
      <c r="L910" t="s">
        <v>194</v>
      </c>
      <c r="M910" t="s">
        <v>1710</v>
      </c>
      <c r="N910" s="166">
        <v>19.46</v>
      </c>
      <c r="O910" t="s">
        <v>131</v>
      </c>
    </row>
    <row r="911" spans="1:15">
      <c r="A911" s="166" t="s">
        <v>6829</v>
      </c>
      <c r="B911" t="s">
        <v>111</v>
      </c>
      <c r="C911" t="s">
        <v>134</v>
      </c>
      <c r="D911" t="s">
        <v>116</v>
      </c>
      <c r="E911" t="s">
        <v>418</v>
      </c>
      <c r="F911" t="s">
        <v>7</v>
      </c>
      <c r="G911" t="s">
        <v>130</v>
      </c>
      <c r="H911" s="1">
        <v>46128</v>
      </c>
      <c r="I911" t="s">
        <v>6830</v>
      </c>
      <c r="J911" t="s">
        <v>6831</v>
      </c>
      <c r="K911" t="s">
        <v>2413</v>
      </c>
      <c r="L911" t="s">
        <v>772</v>
      </c>
      <c r="M911" t="s">
        <v>498</v>
      </c>
      <c r="N911" s="166">
        <v>21.62</v>
      </c>
      <c r="O911" t="s">
        <v>131</v>
      </c>
    </row>
    <row r="912" spans="1:15">
      <c r="A912" s="166" t="s">
        <v>6832</v>
      </c>
      <c r="B912" t="s">
        <v>111</v>
      </c>
      <c r="C912" t="s">
        <v>406</v>
      </c>
      <c r="D912" t="s">
        <v>116</v>
      </c>
      <c r="E912" t="s">
        <v>418</v>
      </c>
      <c r="F912" t="s">
        <v>7</v>
      </c>
      <c r="G912" t="s">
        <v>130</v>
      </c>
      <c r="H912" s="1">
        <v>46128</v>
      </c>
      <c r="I912" t="s">
        <v>6833</v>
      </c>
      <c r="J912" t="s">
        <v>6834</v>
      </c>
      <c r="K912" t="s">
        <v>2135</v>
      </c>
      <c r="L912" t="s">
        <v>989</v>
      </c>
      <c r="M912" t="s">
        <v>1328</v>
      </c>
      <c r="N912" s="166">
        <v>19.54</v>
      </c>
      <c r="O912" t="s">
        <v>131</v>
      </c>
    </row>
    <row r="913" spans="1:15">
      <c r="A913" s="166" t="s">
        <v>6835</v>
      </c>
      <c r="B913" t="s">
        <v>111</v>
      </c>
      <c r="C913" t="s">
        <v>1104</v>
      </c>
      <c r="D913" t="s">
        <v>116</v>
      </c>
      <c r="E913" t="s">
        <v>418</v>
      </c>
      <c r="F913" t="s">
        <v>7</v>
      </c>
      <c r="G913" t="s">
        <v>130</v>
      </c>
      <c r="H913" s="1">
        <v>46128</v>
      </c>
      <c r="I913" t="s">
        <v>6836</v>
      </c>
      <c r="J913" t="s">
        <v>6837</v>
      </c>
      <c r="K913" t="s">
        <v>3730</v>
      </c>
      <c r="L913" t="s">
        <v>2254</v>
      </c>
      <c r="M913" t="s">
        <v>2091</v>
      </c>
      <c r="N913" s="166">
        <v>18.02</v>
      </c>
      <c r="O913" t="s">
        <v>131</v>
      </c>
    </row>
    <row r="914" spans="1:15">
      <c r="A914" s="166" t="s">
        <v>1300</v>
      </c>
      <c r="B914" t="s">
        <v>111</v>
      </c>
      <c r="C914" t="s">
        <v>133</v>
      </c>
      <c r="D914" t="s">
        <v>116</v>
      </c>
      <c r="E914" t="s">
        <v>418</v>
      </c>
      <c r="F914" t="s">
        <v>7</v>
      </c>
      <c r="G914" t="s">
        <v>130</v>
      </c>
      <c r="H914" s="1">
        <v>46128</v>
      </c>
      <c r="I914" t="s">
        <v>6838</v>
      </c>
      <c r="J914" t="s">
        <v>6839</v>
      </c>
      <c r="K914" t="s">
        <v>2775</v>
      </c>
      <c r="L914" t="s">
        <v>3152</v>
      </c>
      <c r="M914" t="s">
        <v>747</v>
      </c>
      <c r="N914" s="166">
        <v>23.38</v>
      </c>
      <c r="O914" t="s">
        <v>131</v>
      </c>
    </row>
    <row r="915" spans="1:15">
      <c r="A915" s="166" t="s">
        <v>6840</v>
      </c>
      <c r="B915" t="s">
        <v>111</v>
      </c>
      <c r="C915" t="s">
        <v>134</v>
      </c>
      <c r="D915" t="s">
        <v>116</v>
      </c>
      <c r="E915" t="s">
        <v>418</v>
      </c>
      <c r="F915" t="s">
        <v>7</v>
      </c>
      <c r="G915" t="s">
        <v>130</v>
      </c>
      <c r="H915" s="1">
        <v>46128</v>
      </c>
      <c r="I915" t="s">
        <v>6841</v>
      </c>
      <c r="J915" t="s">
        <v>6842</v>
      </c>
      <c r="K915" t="s">
        <v>497</v>
      </c>
      <c r="L915" t="s">
        <v>616</v>
      </c>
      <c r="M915" t="s">
        <v>639</v>
      </c>
      <c r="N915" s="166">
        <v>21.02</v>
      </c>
      <c r="O915" t="s">
        <v>131</v>
      </c>
    </row>
    <row r="916" spans="1:15">
      <c r="A916" s="166" t="s">
        <v>6843</v>
      </c>
      <c r="B916" t="s">
        <v>111</v>
      </c>
      <c r="C916" t="s">
        <v>406</v>
      </c>
      <c r="D916" t="s">
        <v>116</v>
      </c>
      <c r="E916" t="s">
        <v>418</v>
      </c>
      <c r="F916" t="s">
        <v>7</v>
      </c>
      <c r="G916" t="s">
        <v>130</v>
      </c>
      <c r="H916" s="1">
        <v>46128</v>
      </c>
      <c r="I916" t="s">
        <v>6844</v>
      </c>
      <c r="J916" t="s">
        <v>6845</v>
      </c>
      <c r="K916" t="s">
        <v>4493</v>
      </c>
      <c r="L916" t="s">
        <v>622</v>
      </c>
      <c r="M916" t="s">
        <v>3765</v>
      </c>
      <c r="N916" s="166">
        <v>22.7</v>
      </c>
      <c r="O916" t="s">
        <v>131</v>
      </c>
    </row>
    <row r="917" spans="1:15">
      <c r="A917" s="166" t="s">
        <v>6846</v>
      </c>
      <c r="B917" t="s">
        <v>111</v>
      </c>
      <c r="C917" t="s">
        <v>134</v>
      </c>
      <c r="D917" t="s">
        <v>118</v>
      </c>
      <c r="E917" t="s">
        <v>139</v>
      </c>
      <c r="F917" t="s">
        <v>7</v>
      </c>
      <c r="G917" t="s">
        <v>130</v>
      </c>
      <c r="H917" s="1">
        <v>46128</v>
      </c>
      <c r="I917" t="s">
        <v>6847</v>
      </c>
      <c r="J917" t="s">
        <v>6848</v>
      </c>
      <c r="K917" t="s">
        <v>158</v>
      </c>
      <c r="L917" t="s">
        <v>3542</v>
      </c>
      <c r="M917" t="s">
        <v>731</v>
      </c>
      <c r="N917" s="166">
        <v>20.82</v>
      </c>
      <c r="O917" t="s">
        <v>131</v>
      </c>
    </row>
    <row r="918" spans="1:15">
      <c r="A918" s="166" t="s">
        <v>6849</v>
      </c>
      <c r="B918" t="s">
        <v>111</v>
      </c>
      <c r="C918" t="s">
        <v>1104</v>
      </c>
      <c r="D918" t="s">
        <v>118</v>
      </c>
      <c r="E918" t="s">
        <v>139</v>
      </c>
      <c r="F918" t="s">
        <v>7</v>
      </c>
      <c r="G918" t="s">
        <v>130</v>
      </c>
      <c r="H918" s="1">
        <v>46128</v>
      </c>
      <c r="I918" t="s">
        <v>6850</v>
      </c>
      <c r="J918" t="s">
        <v>6851</v>
      </c>
      <c r="K918" t="s">
        <v>5049</v>
      </c>
      <c r="L918" t="s">
        <v>673</v>
      </c>
      <c r="M918" t="s">
        <v>486</v>
      </c>
      <c r="N918" s="166">
        <v>16.72</v>
      </c>
      <c r="O918" t="s">
        <v>131</v>
      </c>
    </row>
    <row r="919" spans="1:15">
      <c r="A919" s="166" t="s">
        <v>6852</v>
      </c>
      <c r="B919" t="s">
        <v>111</v>
      </c>
      <c r="C919" t="s">
        <v>134</v>
      </c>
      <c r="D919" t="s">
        <v>118</v>
      </c>
      <c r="E919" t="s">
        <v>139</v>
      </c>
      <c r="F919" t="s">
        <v>7</v>
      </c>
      <c r="G919" t="s">
        <v>130</v>
      </c>
      <c r="H919" s="1">
        <v>46128</v>
      </c>
      <c r="I919" t="s">
        <v>6853</v>
      </c>
      <c r="J919" t="s">
        <v>6854</v>
      </c>
      <c r="K919" t="s">
        <v>443</v>
      </c>
      <c r="L919" t="s">
        <v>1484</v>
      </c>
      <c r="M919" t="s">
        <v>2067</v>
      </c>
      <c r="N919" s="166">
        <v>18.559999999999999</v>
      </c>
      <c r="O919" t="s">
        <v>131</v>
      </c>
    </row>
    <row r="920" spans="1:15">
      <c r="A920" s="166" t="s">
        <v>6855</v>
      </c>
      <c r="B920" t="s">
        <v>111</v>
      </c>
      <c r="C920" t="s">
        <v>1104</v>
      </c>
      <c r="D920" t="s">
        <v>118</v>
      </c>
      <c r="E920" t="s">
        <v>2618</v>
      </c>
      <c r="F920" t="s">
        <v>7</v>
      </c>
      <c r="G920" t="s">
        <v>130</v>
      </c>
      <c r="H920" s="1">
        <v>46128</v>
      </c>
      <c r="I920" t="s">
        <v>6856</v>
      </c>
      <c r="J920" t="s">
        <v>6857</v>
      </c>
      <c r="K920" t="s">
        <v>2771</v>
      </c>
      <c r="L920" t="s">
        <v>4736</v>
      </c>
      <c r="M920" t="s">
        <v>3635</v>
      </c>
      <c r="N920" s="166">
        <v>17.34</v>
      </c>
      <c r="O920" t="s">
        <v>131</v>
      </c>
    </row>
    <row r="921" spans="1:15">
      <c r="A921" s="166" t="s">
        <v>6858</v>
      </c>
      <c r="B921" t="s">
        <v>111</v>
      </c>
      <c r="C921" t="s">
        <v>134</v>
      </c>
      <c r="D921" t="s">
        <v>118</v>
      </c>
      <c r="E921" t="s">
        <v>139</v>
      </c>
      <c r="F921" t="s">
        <v>7</v>
      </c>
      <c r="G921" t="s">
        <v>130</v>
      </c>
      <c r="H921" s="1">
        <v>46128</v>
      </c>
      <c r="I921" t="s">
        <v>6859</v>
      </c>
      <c r="J921" t="s">
        <v>6860</v>
      </c>
      <c r="K921" t="s">
        <v>196</v>
      </c>
      <c r="L921" t="s">
        <v>1926</v>
      </c>
      <c r="M921" t="s">
        <v>2653</v>
      </c>
      <c r="N921" s="166">
        <v>21.16</v>
      </c>
      <c r="O921" t="s">
        <v>131</v>
      </c>
    </row>
    <row r="922" spans="1:15">
      <c r="A922" s="166" t="s">
        <v>6861</v>
      </c>
      <c r="B922" t="s">
        <v>111</v>
      </c>
      <c r="C922" t="s">
        <v>133</v>
      </c>
      <c r="D922" t="s">
        <v>116</v>
      </c>
      <c r="E922" t="s">
        <v>418</v>
      </c>
      <c r="F922" t="s">
        <v>6</v>
      </c>
      <c r="G922" t="s">
        <v>130</v>
      </c>
      <c r="H922" s="1">
        <v>46128</v>
      </c>
      <c r="I922" t="s">
        <v>6862</v>
      </c>
      <c r="J922" t="s">
        <v>6863</v>
      </c>
      <c r="K922" t="s">
        <v>1210</v>
      </c>
      <c r="L922" t="s">
        <v>3906</v>
      </c>
      <c r="M922" t="s">
        <v>2038</v>
      </c>
      <c r="N922" s="166">
        <v>21.08</v>
      </c>
      <c r="O922" t="s">
        <v>131</v>
      </c>
    </row>
    <row r="923" spans="1:15">
      <c r="A923" s="166" t="s">
        <v>6864</v>
      </c>
      <c r="B923" t="s">
        <v>111</v>
      </c>
      <c r="C923" t="s">
        <v>134</v>
      </c>
      <c r="D923" t="s">
        <v>116</v>
      </c>
      <c r="E923" t="s">
        <v>418</v>
      </c>
      <c r="F923" t="s">
        <v>6</v>
      </c>
      <c r="G923" t="s">
        <v>130</v>
      </c>
      <c r="H923" s="1">
        <v>46128</v>
      </c>
      <c r="I923" t="s">
        <v>6865</v>
      </c>
      <c r="J923" t="s">
        <v>6866</v>
      </c>
      <c r="K923" t="s">
        <v>491</v>
      </c>
      <c r="L923" t="s">
        <v>1483</v>
      </c>
      <c r="M923" t="s">
        <v>3734</v>
      </c>
      <c r="N923" s="166">
        <v>22.02</v>
      </c>
      <c r="O923" t="s">
        <v>131</v>
      </c>
    </row>
    <row r="924" spans="1:15">
      <c r="A924" s="166" t="s">
        <v>6867</v>
      </c>
      <c r="B924" t="s">
        <v>111</v>
      </c>
      <c r="C924" t="s">
        <v>406</v>
      </c>
      <c r="D924" t="s">
        <v>116</v>
      </c>
      <c r="E924" t="s">
        <v>418</v>
      </c>
      <c r="F924" t="s">
        <v>6</v>
      </c>
      <c r="G924" t="s">
        <v>130</v>
      </c>
      <c r="H924" s="1">
        <v>46128</v>
      </c>
      <c r="I924" t="s">
        <v>6868</v>
      </c>
      <c r="J924" t="s">
        <v>6869</v>
      </c>
      <c r="K924" t="s">
        <v>191</v>
      </c>
      <c r="L924" t="s">
        <v>622</v>
      </c>
      <c r="M924" t="s">
        <v>2355</v>
      </c>
      <c r="N924" s="166">
        <v>22.56</v>
      </c>
      <c r="O924" t="s">
        <v>131</v>
      </c>
    </row>
    <row r="925" spans="1:15">
      <c r="A925" s="166" t="s">
        <v>6870</v>
      </c>
      <c r="B925" t="s">
        <v>111</v>
      </c>
      <c r="C925" t="s">
        <v>136</v>
      </c>
      <c r="D925" t="s">
        <v>116</v>
      </c>
      <c r="E925" t="s">
        <v>418</v>
      </c>
      <c r="F925" t="s">
        <v>6</v>
      </c>
      <c r="G925" t="s">
        <v>130</v>
      </c>
      <c r="H925" s="1">
        <v>46128</v>
      </c>
      <c r="I925" t="s">
        <v>6871</v>
      </c>
      <c r="J925" t="s">
        <v>6872</v>
      </c>
      <c r="K925" t="s">
        <v>4768</v>
      </c>
      <c r="L925" t="s">
        <v>3575</v>
      </c>
      <c r="M925" t="s">
        <v>1494</v>
      </c>
      <c r="N925" s="166">
        <v>21.9</v>
      </c>
      <c r="O925" t="s">
        <v>131</v>
      </c>
    </row>
    <row r="926" spans="1:15">
      <c r="A926" s="166" t="s">
        <v>6873</v>
      </c>
      <c r="B926" t="s">
        <v>111</v>
      </c>
      <c r="C926" t="s">
        <v>133</v>
      </c>
      <c r="D926" t="s">
        <v>116</v>
      </c>
      <c r="E926" t="s">
        <v>418</v>
      </c>
      <c r="F926" t="s">
        <v>6</v>
      </c>
      <c r="G926" t="s">
        <v>130</v>
      </c>
      <c r="H926" s="1">
        <v>46128</v>
      </c>
      <c r="I926" t="s">
        <v>6874</v>
      </c>
      <c r="J926" t="s">
        <v>6875</v>
      </c>
      <c r="K926" t="s">
        <v>6275</v>
      </c>
      <c r="L926" t="s">
        <v>3967</v>
      </c>
      <c r="M926" t="s">
        <v>1178</v>
      </c>
      <c r="N926" s="166">
        <v>21.12</v>
      </c>
      <c r="O926" t="s">
        <v>131</v>
      </c>
    </row>
    <row r="927" spans="1:15">
      <c r="A927" s="166" t="s">
        <v>6876</v>
      </c>
      <c r="B927" t="s">
        <v>111</v>
      </c>
      <c r="C927" t="s">
        <v>134</v>
      </c>
      <c r="D927" t="s">
        <v>116</v>
      </c>
      <c r="E927" t="s">
        <v>418</v>
      </c>
      <c r="F927" t="s">
        <v>6</v>
      </c>
      <c r="G927" t="s">
        <v>130</v>
      </c>
      <c r="H927" s="1">
        <v>46128</v>
      </c>
      <c r="I927" t="s">
        <v>6877</v>
      </c>
      <c r="J927" t="s">
        <v>6878</v>
      </c>
      <c r="K927" t="s">
        <v>2616</v>
      </c>
      <c r="L927" t="s">
        <v>1499</v>
      </c>
      <c r="M927" t="s">
        <v>1182</v>
      </c>
      <c r="N927" s="166">
        <v>23.18</v>
      </c>
      <c r="O927" t="s">
        <v>131</v>
      </c>
    </row>
    <row r="928" spans="1:15">
      <c r="A928" s="166" t="s">
        <v>6879</v>
      </c>
      <c r="B928" t="s">
        <v>111</v>
      </c>
      <c r="C928" t="s">
        <v>406</v>
      </c>
      <c r="D928" t="s">
        <v>116</v>
      </c>
      <c r="E928" t="s">
        <v>418</v>
      </c>
      <c r="F928" t="s">
        <v>6</v>
      </c>
      <c r="G928" t="s">
        <v>130</v>
      </c>
      <c r="H928" s="1">
        <v>46128</v>
      </c>
      <c r="I928" t="s">
        <v>6880</v>
      </c>
      <c r="J928" t="s">
        <v>6881</v>
      </c>
      <c r="K928" t="s">
        <v>1094</v>
      </c>
      <c r="L928" t="s">
        <v>1072</v>
      </c>
      <c r="M928" t="s">
        <v>1223</v>
      </c>
      <c r="N928" s="166">
        <v>22.76</v>
      </c>
      <c r="O928" t="s">
        <v>131</v>
      </c>
    </row>
    <row r="929" spans="1:15">
      <c r="A929" s="166" t="s">
        <v>6882</v>
      </c>
      <c r="B929" t="s">
        <v>111</v>
      </c>
      <c r="C929" t="s">
        <v>136</v>
      </c>
      <c r="D929" t="s">
        <v>116</v>
      </c>
      <c r="E929" t="s">
        <v>418</v>
      </c>
      <c r="F929" t="s">
        <v>6</v>
      </c>
      <c r="G929" t="s">
        <v>130</v>
      </c>
      <c r="H929" s="1">
        <v>46128</v>
      </c>
      <c r="I929" t="s">
        <v>6883</v>
      </c>
      <c r="J929" t="s">
        <v>6884</v>
      </c>
      <c r="K929" t="s">
        <v>1193</v>
      </c>
      <c r="L929" t="s">
        <v>3173</v>
      </c>
      <c r="M929" t="s">
        <v>207</v>
      </c>
      <c r="N929" s="166">
        <v>20.92</v>
      </c>
      <c r="O929" t="s">
        <v>131</v>
      </c>
    </row>
    <row r="930" spans="1:15">
      <c r="A930" s="166" t="s">
        <v>6885</v>
      </c>
      <c r="B930" t="s">
        <v>111</v>
      </c>
      <c r="C930" t="s">
        <v>133</v>
      </c>
      <c r="D930" t="s">
        <v>116</v>
      </c>
      <c r="E930" t="s">
        <v>418</v>
      </c>
      <c r="F930" t="s">
        <v>6</v>
      </c>
      <c r="G930" t="s">
        <v>130</v>
      </c>
      <c r="H930" s="1">
        <v>46128</v>
      </c>
      <c r="I930" t="s">
        <v>6886</v>
      </c>
      <c r="J930" t="s">
        <v>6887</v>
      </c>
      <c r="K930" t="s">
        <v>2367</v>
      </c>
      <c r="L930" t="s">
        <v>1280</v>
      </c>
      <c r="M930" t="s">
        <v>751</v>
      </c>
      <c r="N930" s="166">
        <v>20.88</v>
      </c>
      <c r="O930" t="s">
        <v>131</v>
      </c>
    </row>
    <row r="931" spans="1:15">
      <c r="A931" s="166" t="s">
        <v>6888</v>
      </c>
      <c r="B931" t="s">
        <v>111</v>
      </c>
      <c r="C931" t="s">
        <v>406</v>
      </c>
      <c r="D931" t="s">
        <v>116</v>
      </c>
      <c r="E931" t="s">
        <v>418</v>
      </c>
      <c r="F931" t="s">
        <v>6</v>
      </c>
      <c r="G931" t="s">
        <v>130</v>
      </c>
      <c r="H931" s="1">
        <v>46128</v>
      </c>
      <c r="I931" t="s">
        <v>6889</v>
      </c>
      <c r="J931" t="s">
        <v>6890</v>
      </c>
      <c r="K931" t="s">
        <v>2567</v>
      </c>
      <c r="L931" t="s">
        <v>761</v>
      </c>
      <c r="M931" t="s">
        <v>569</v>
      </c>
      <c r="N931" s="166">
        <v>21.7</v>
      </c>
      <c r="O931" t="s">
        <v>131</v>
      </c>
    </row>
    <row r="932" spans="1:15">
      <c r="A932" s="166" t="s">
        <v>6891</v>
      </c>
      <c r="B932" t="s">
        <v>111</v>
      </c>
      <c r="C932" t="s">
        <v>134</v>
      </c>
      <c r="D932" t="s">
        <v>116</v>
      </c>
      <c r="E932" t="s">
        <v>418</v>
      </c>
      <c r="F932" t="s">
        <v>6</v>
      </c>
      <c r="G932" t="s">
        <v>130</v>
      </c>
      <c r="H932" s="1">
        <v>46128</v>
      </c>
      <c r="I932" t="s">
        <v>6892</v>
      </c>
      <c r="J932" t="s">
        <v>6893</v>
      </c>
      <c r="K932" t="s">
        <v>3091</v>
      </c>
      <c r="L932" t="s">
        <v>529</v>
      </c>
      <c r="M932" t="s">
        <v>186</v>
      </c>
      <c r="N932" s="166">
        <v>23.58</v>
      </c>
      <c r="O932" t="s">
        <v>131</v>
      </c>
    </row>
    <row r="933" spans="1:15">
      <c r="A933" s="166" t="s">
        <v>6894</v>
      </c>
      <c r="B933" t="s">
        <v>111</v>
      </c>
      <c r="C933" t="s">
        <v>136</v>
      </c>
      <c r="D933" t="s">
        <v>116</v>
      </c>
      <c r="E933" t="s">
        <v>418</v>
      </c>
      <c r="F933" t="s">
        <v>6</v>
      </c>
      <c r="G933" t="s">
        <v>130</v>
      </c>
      <c r="H933" s="1">
        <v>46128</v>
      </c>
      <c r="I933" t="s">
        <v>6895</v>
      </c>
      <c r="J933" t="s">
        <v>6896</v>
      </c>
      <c r="K933" t="s">
        <v>188</v>
      </c>
      <c r="L933" t="s">
        <v>3653</v>
      </c>
      <c r="M933" t="s">
        <v>628</v>
      </c>
      <c r="N933" s="166">
        <v>20.48</v>
      </c>
      <c r="O933" t="s">
        <v>131</v>
      </c>
    </row>
    <row r="934" spans="1:15">
      <c r="A934" s="166" t="s">
        <v>1467</v>
      </c>
      <c r="B934" t="s">
        <v>111</v>
      </c>
      <c r="C934" t="s">
        <v>133</v>
      </c>
      <c r="D934" t="s">
        <v>116</v>
      </c>
      <c r="E934" t="s">
        <v>418</v>
      </c>
      <c r="F934" t="s">
        <v>6</v>
      </c>
      <c r="G934" t="s">
        <v>130</v>
      </c>
      <c r="H934" s="1">
        <v>46128</v>
      </c>
      <c r="I934" t="s">
        <v>6897</v>
      </c>
      <c r="J934" t="s">
        <v>6898</v>
      </c>
      <c r="K934" t="s">
        <v>1463</v>
      </c>
      <c r="L934" t="s">
        <v>2657</v>
      </c>
      <c r="M934" t="s">
        <v>434</v>
      </c>
      <c r="N934" s="166">
        <v>21.6</v>
      </c>
      <c r="O934" t="s">
        <v>131</v>
      </c>
    </row>
    <row r="935" spans="1:15">
      <c r="A935" s="166" t="s">
        <v>6899</v>
      </c>
      <c r="B935" t="s">
        <v>111</v>
      </c>
      <c r="C935" t="s">
        <v>406</v>
      </c>
      <c r="D935" t="s">
        <v>116</v>
      </c>
      <c r="E935" t="s">
        <v>418</v>
      </c>
      <c r="F935" t="s">
        <v>6</v>
      </c>
      <c r="G935" t="s">
        <v>130</v>
      </c>
      <c r="H935" s="1">
        <v>46128</v>
      </c>
      <c r="I935" t="s">
        <v>6900</v>
      </c>
      <c r="J935" t="s">
        <v>6901</v>
      </c>
      <c r="K935" t="s">
        <v>1549</v>
      </c>
      <c r="L935" t="s">
        <v>611</v>
      </c>
      <c r="M935" t="s">
        <v>1057</v>
      </c>
      <c r="N935" s="166">
        <v>20.14</v>
      </c>
      <c r="O935" t="s">
        <v>131</v>
      </c>
    </row>
    <row r="936" spans="1:15">
      <c r="A936" s="166" t="s">
        <v>6902</v>
      </c>
      <c r="B936" t="s">
        <v>111</v>
      </c>
      <c r="C936" t="s">
        <v>134</v>
      </c>
      <c r="D936" t="s">
        <v>116</v>
      </c>
      <c r="E936" t="s">
        <v>418</v>
      </c>
      <c r="F936" t="s">
        <v>6</v>
      </c>
      <c r="G936" t="s">
        <v>130</v>
      </c>
      <c r="H936" s="1">
        <v>46128</v>
      </c>
      <c r="I936" t="s">
        <v>6903</v>
      </c>
      <c r="J936" t="s">
        <v>6904</v>
      </c>
      <c r="K936" t="s">
        <v>1521</v>
      </c>
      <c r="L936" t="s">
        <v>515</v>
      </c>
      <c r="M936" t="s">
        <v>3098</v>
      </c>
      <c r="N936" s="166">
        <v>22.2</v>
      </c>
      <c r="O936" t="s">
        <v>131</v>
      </c>
    </row>
    <row r="937" spans="1:15">
      <c r="A937" s="166" t="s">
        <v>6905</v>
      </c>
      <c r="B937" t="s">
        <v>111</v>
      </c>
      <c r="C937" t="s">
        <v>136</v>
      </c>
      <c r="D937" t="s">
        <v>116</v>
      </c>
      <c r="E937" t="s">
        <v>418</v>
      </c>
      <c r="F937" t="s">
        <v>6</v>
      </c>
      <c r="G937" t="s">
        <v>130</v>
      </c>
      <c r="H937" s="1">
        <v>46128</v>
      </c>
      <c r="I937" t="s">
        <v>6906</v>
      </c>
      <c r="J937" t="s">
        <v>6907</v>
      </c>
      <c r="K937" t="s">
        <v>4312</v>
      </c>
      <c r="L937" t="s">
        <v>3159</v>
      </c>
      <c r="M937" t="s">
        <v>4556</v>
      </c>
      <c r="N937" s="166">
        <v>16.86</v>
      </c>
      <c r="O937" t="s">
        <v>131</v>
      </c>
    </row>
    <row r="938" spans="1:15">
      <c r="A938" s="166" t="s">
        <v>6908</v>
      </c>
      <c r="B938" t="s">
        <v>111</v>
      </c>
      <c r="C938" t="s">
        <v>133</v>
      </c>
      <c r="D938" t="s">
        <v>116</v>
      </c>
      <c r="E938" t="s">
        <v>418</v>
      </c>
      <c r="F938" t="s">
        <v>6</v>
      </c>
      <c r="G938" t="s">
        <v>130</v>
      </c>
      <c r="H938" s="1">
        <v>46128</v>
      </c>
      <c r="I938" t="s">
        <v>6909</v>
      </c>
      <c r="J938" t="s">
        <v>6910</v>
      </c>
      <c r="K938" t="s">
        <v>5707</v>
      </c>
      <c r="L938" t="s">
        <v>3441</v>
      </c>
      <c r="M938" t="s">
        <v>3203</v>
      </c>
      <c r="N938" s="166">
        <v>20.76</v>
      </c>
      <c r="O938" t="s">
        <v>131</v>
      </c>
    </row>
    <row r="939" spans="1:15">
      <c r="A939" s="166" t="s">
        <v>6911</v>
      </c>
      <c r="B939" t="s">
        <v>111</v>
      </c>
      <c r="C939" t="s">
        <v>406</v>
      </c>
      <c r="D939" t="s">
        <v>116</v>
      </c>
      <c r="E939" t="s">
        <v>418</v>
      </c>
      <c r="F939" t="s">
        <v>6</v>
      </c>
      <c r="G939" t="s">
        <v>130</v>
      </c>
      <c r="H939" s="1">
        <v>46128</v>
      </c>
      <c r="I939" t="s">
        <v>6912</v>
      </c>
      <c r="J939" t="s">
        <v>6913</v>
      </c>
      <c r="K939" t="s">
        <v>3546</v>
      </c>
      <c r="L939" t="s">
        <v>633</v>
      </c>
      <c r="M939" t="s">
        <v>1258</v>
      </c>
      <c r="N939" s="166">
        <v>19.420000000000002</v>
      </c>
      <c r="O939" t="s">
        <v>131</v>
      </c>
    </row>
    <row r="940" spans="1:15">
      <c r="A940" s="166" t="s">
        <v>6914</v>
      </c>
      <c r="B940" t="s">
        <v>111</v>
      </c>
      <c r="C940" t="s">
        <v>134</v>
      </c>
      <c r="D940" t="s">
        <v>116</v>
      </c>
      <c r="E940" t="s">
        <v>418</v>
      </c>
      <c r="F940" t="s">
        <v>6</v>
      </c>
      <c r="G940" t="s">
        <v>130</v>
      </c>
      <c r="H940" s="1">
        <v>46128</v>
      </c>
      <c r="I940" t="s">
        <v>6915</v>
      </c>
      <c r="J940" t="s">
        <v>6916</v>
      </c>
      <c r="K940" t="s">
        <v>659</v>
      </c>
      <c r="L940" t="s">
        <v>515</v>
      </c>
      <c r="M940" t="s">
        <v>1164</v>
      </c>
      <c r="N940" s="166">
        <v>22.46</v>
      </c>
      <c r="O940" t="s">
        <v>131</v>
      </c>
    </row>
    <row r="941" spans="1:15">
      <c r="A941" s="166" t="s">
        <v>6917</v>
      </c>
      <c r="B941" t="s">
        <v>111</v>
      </c>
      <c r="C941" t="s">
        <v>136</v>
      </c>
      <c r="D941" t="s">
        <v>116</v>
      </c>
      <c r="E941" t="s">
        <v>418</v>
      </c>
      <c r="F941" t="s">
        <v>6</v>
      </c>
      <c r="G941" t="s">
        <v>130</v>
      </c>
      <c r="H941" s="1">
        <v>46128</v>
      </c>
      <c r="I941" t="s">
        <v>6918</v>
      </c>
      <c r="J941" t="s">
        <v>6919</v>
      </c>
      <c r="K941" t="s">
        <v>2296</v>
      </c>
      <c r="L941" t="s">
        <v>2184</v>
      </c>
      <c r="M941" t="s">
        <v>3420</v>
      </c>
      <c r="N941" s="166">
        <v>21.56</v>
      </c>
      <c r="O941" t="s">
        <v>131</v>
      </c>
    </row>
    <row r="942" spans="1:15">
      <c r="A942" s="166" t="s">
        <v>6920</v>
      </c>
      <c r="B942" t="s">
        <v>111</v>
      </c>
      <c r="C942" t="s">
        <v>133</v>
      </c>
      <c r="D942" t="s">
        <v>116</v>
      </c>
      <c r="E942" t="s">
        <v>418</v>
      </c>
      <c r="F942" t="s">
        <v>6</v>
      </c>
      <c r="G942" t="s">
        <v>130</v>
      </c>
      <c r="H942" s="1">
        <v>46128</v>
      </c>
      <c r="I942" t="s">
        <v>6921</v>
      </c>
      <c r="J942" t="s">
        <v>6922</v>
      </c>
      <c r="K942" t="s">
        <v>6923</v>
      </c>
      <c r="L942" t="s">
        <v>2272</v>
      </c>
      <c r="M942" t="s">
        <v>233</v>
      </c>
      <c r="N942" s="166">
        <v>23.12</v>
      </c>
      <c r="O942" t="s">
        <v>131</v>
      </c>
    </row>
    <row r="943" spans="1:15">
      <c r="A943" s="166" t="s">
        <v>6924</v>
      </c>
      <c r="B943" t="s">
        <v>111</v>
      </c>
      <c r="C943" t="s">
        <v>406</v>
      </c>
      <c r="D943" t="s">
        <v>116</v>
      </c>
      <c r="E943" t="s">
        <v>418</v>
      </c>
      <c r="F943" t="s">
        <v>6</v>
      </c>
      <c r="G943" t="s">
        <v>130</v>
      </c>
      <c r="H943" s="1">
        <v>46128</v>
      </c>
      <c r="I943" t="s">
        <v>6925</v>
      </c>
      <c r="J943" t="s">
        <v>6926</v>
      </c>
      <c r="K943" t="s">
        <v>1463</v>
      </c>
      <c r="L943" t="s">
        <v>1257</v>
      </c>
      <c r="M943" t="s">
        <v>5098</v>
      </c>
      <c r="N943" s="166">
        <v>22.62</v>
      </c>
      <c r="O943" t="s">
        <v>131</v>
      </c>
    </row>
    <row r="944" spans="1:15">
      <c r="A944" s="166" t="s">
        <v>6927</v>
      </c>
      <c r="B944" t="s">
        <v>111</v>
      </c>
      <c r="C944" t="s">
        <v>134</v>
      </c>
      <c r="D944" t="s">
        <v>116</v>
      </c>
      <c r="E944" t="s">
        <v>418</v>
      </c>
      <c r="F944" t="s">
        <v>6</v>
      </c>
      <c r="G944" t="s">
        <v>130</v>
      </c>
      <c r="H944" s="1">
        <v>46128</v>
      </c>
      <c r="I944" t="s">
        <v>6928</v>
      </c>
      <c r="J944" t="s">
        <v>6929</v>
      </c>
      <c r="K944" t="s">
        <v>158</v>
      </c>
      <c r="L944" t="s">
        <v>3032</v>
      </c>
      <c r="M944" t="s">
        <v>1189</v>
      </c>
      <c r="N944" s="166">
        <v>23.48</v>
      </c>
      <c r="O944" t="s">
        <v>131</v>
      </c>
    </row>
    <row r="945" spans="1:15">
      <c r="A945" s="166" t="s">
        <v>6930</v>
      </c>
      <c r="B945" t="s">
        <v>111</v>
      </c>
      <c r="C945" t="s">
        <v>136</v>
      </c>
      <c r="D945" t="s">
        <v>116</v>
      </c>
      <c r="E945" t="s">
        <v>418</v>
      </c>
      <c r="F945" t="s">
        <v>6</v>
      </c>
      <c r="G945" t="s">
        <v>130</v>
      </c>
      <c r="H945" s="1">
        <v>46128</v>
      </c>
      <c r="I945" t="s">
        <v>6931</v>
      </c>
      <c r="J945" t="s">
        <v>6932</v>
      </c>
      <c r="K945" t="s">
        <v>4381</v>
      </c>
      <c r="L945" t="s">
        <v>2090</v>
      </c>
      <c r="M945" t="s">
        <v>3207</v>
      </c>
      <c r="N945" s="166">
        <v>22</v>
      </c>
      <c r="O945" t="s">
        <v>131</v>
      </c>
    </row>
    <row r="946" spans="1:15">
      <c r="A946" s="166" t="s">
        <v>6933</v>
      </c>
      <c r="B946" t="s">
        <v>111</v>
      </c>
      <c r="C946" t="s">
        <v>133</v>
      </c>
      <c r="D946" t="s">
        <v>116</v>
      </c>
      <c r="E946" t="s">
        <v>418</v>
      </c>
      <c r="F946" t="s">
        <v>6</v>
      </c>
      <c r="G946" t="s">
        <v>130</v>
      </c>
      <c r="H946" s="1">
        <v>46128</v>
      </c>
      <c r="I946" t="s">
        <v>6934</v>
      </c>
      <c r="J946" t="s">
        <v>6935</v>
      </c>
      <c r="K946" t="s">
        <v>4983</v>
      </c>
      <c r="L946" t="s">
        <v>1881</v>
      </c>
      <c r="M946" t="s">
        <v>917</v>
      </c>
      <c r="N946" s="166">
        <v>22.5</v>
      </c>
      <c r="O946" t="s">
        <v>131</v>
      </c>
    </row>
    <row r="947" spans="1:15">
      <c r="A947" s="166" t="s">
        <v>6936</v>
      </c>
      <c r="B947" t="s">
        <v>111</v>
      </c>
      <c r="C947" t="s">
        <v>406</v>
      </c>
      <c r="D947" t="s">
        <v>116</v>
      </c>
      <c r="E947" t="s">
        <v>418</v>
      </c>
      <c r="F947" t="s">
        <v>6</v>
      </c>
      <c r="G947" t="s">
        <v>130</v>
      </c>
      <c r="H947" s="1">
        <v>46128</v>
      </c>
      <c r="I947" t="s">
        <v>6937</v>
      </c>
      <c r="J947" t="s">
        <v>6938</v>
      </c>
      <c r="K947" t="s">
        <v>3553</v>
      </c>
      <c r="L947" t="s">
        <v>1503</v>
      </c>
      <c r="M947" t="s">
        <v>569</v>
      </c>
      <c r="N947" s="166">
        <v>21.7</v>
      </c>
      <c r="O947" t="s">
        <v>131</v>
      </c>
    </row>
    <row r="948" spans="1:15">
      <c r="A948" s="166" t="s">
        <v>6939</v>
      </c>
      <c r="B948" t="s">
        <v>111</v>
      </c>
      <c r="C948" t="s">
        <v>134</v>
      </c>
      <c r="D948" t="s">
        <v>116</v>
      </c>
      <c r="E948" t="s">
        <v>418</v>
      </c>
      <c r="F948" t="s">
        <v>6</v>
      </c>
      <c r="G948" t="s">
        <v>130</v>
      </c>
      <c r="H948" s="1">
        <v>46128</v>
      </c>
      <c r="I948" t="s">
        <v>6940</v>
      </c>
      <c r="J948" t="s">
        <v>6941</v>
      </c>
      <c r="K948" t="s">
        <v>225</v>
      </c>
      <c r="L948" t="s">
        <v>665</v>
      </c>
      <c r="M948" t="s">
        <v>1197</v>
      </c>
      <c r="N948" s="166">
        <v>22.22</v>
      </c>
      <c r="O948" t="s">
        <v>131</v>
      </c>
    </row>
    <row r="949" spans="1:15">
      <c r="A949" s="166" t="s">
        <v>6942</v>
      </c>
      <c r="B949" t="s">
        <v>111</v>
      </c>
      <c r="C949" t="s">
        <v>136</v>
      </c>
      <c r="D949" t="s">
        <v>116</v>
      </c>
      <c r="E949" t="s">
        <v>418</v>
      </c>
      <c r="F949" t="s">
        <v>6</v>
      </c>
      <c r="G949" t="s">
        <v>130</v>
      </c>
      <c r="H949" s="1">
        <v>46128</v>
      </c>
      <c r="I949" t="s">
        <v>6943</v>
      </c>
      <c r="J949" t="s">
        <v>6944</v>
      </c>
      <c r="K949" t="s">
        <v>409</v>
      </c>
      <c r="L949" t="s">
        <v>2624</v>
      </c>
      <c r="M949" t="s">
        <v>2038</v>
      </c>
      <c r="N949" s="166">
        <v>21.08</v>
      </c>
      <c r="O949" t="s">
        <v>131</v>
      </c>
    </row>
    <row r="950" spans="1:15">
      <c r="A950" s="166" t="s">
        <v>6945</v>
      </c>
      <c r="B950" t="s">
        <v>111</v>
      </c>
      <c r="C950" t="s">
        <v>133</v>
      </c>
      <c r="D950" t="s">
        <v>116</v>
      </c>
      <c r="E950" t="s">
        <v>418</v>
      </c>
      <c r="F950" t="s">
        <v>6</v>
      </c>
      <c r="G950" t="s">
        <v>130</v>
      </c>
      <c r="H950" s="1">
        <v>46128</v>
      </c>
      <c r="I950" t="s">
        <v>6946</v>
      </c>
      <c r="J950" t="s">
        <v>6947</v>
      </c>
      <c r="K950" t="s">
        <v>1705</v>
      </c>
      <c r="L950" t="s">
        <v>1881</v>
      </c>
      <c r="M950" t="s">
        <v>1347</v>
      </c>
      <c r="N950" s="166">
        <v>19.2</v>
      </c>
      <c r="O950" t="s">
        <v>131</v>
      </c>
    </row>
    <row r="951" spans="1:15">
      <c r="A951" s="166" t="s">
        <v>6948</v>
      </c>
      <c r="B951" t="s">
        <v>111</v>
      </c>
      <c r="C951" t="s">
        <v>406</v>
      </c>
      <c r="D951" t="s">
        <v>116</v>
      </c>
      <c r="E951" t="s">
        <v>418</v>
      </c>
      <c r="F951" t="s">
        <v>6</v>
      </c>
      <c r="G951" t="s">
        <v>130</v>
      </c>
      <c r="H951" s="1">
        <v>46128</v>
      </c>
      <c r="I951" t="s">
        <v>6949</v>
      </c>
      <c r="J951" t="s">
        <v>6950</v>
      </c>
      <c r="K951" t="s">
        <v>2994</v>
      </c>
      <c r="L951" t="s">
        <v>1257</v>
      </c>
      <c r="M951" t="s">
        <v>187</v>
      </c>
      <c r="N951" s="166">
        <v>22.74</v>
      </c>
      <c r="O951" t="s">
        <v>131</v>
      </c>
    </row>
    <row r="952" spans="1:15">
      <c r="A952" s="166" t="s">
        <v>6951</v>
      </c>
      <c r="B952" t="s">
        <v>111</v>
      </c>
      <c r="C952" t="s">
        <v>134</v>
      </c>
      <c r="D952" t="s">
        <v>116</v>
      </c>
      <c r="E952" t="s">
        <v>418</v>
      </c>
      <c r="F952" t="s">
        <v>6</v>
      </c>
      <c r="G952" t="s">
        <v>130</v>
      </c>
      <c r="H952" s="1">
        <v>46128</v>
      </c>
      <c r="I952" t="s">
        <v>6952</v>
      </c>
      <c r="J952" t="s">
        <v>6953</v>
      </c>
      <c r="K952" t="s">
        <v>3291</v>
      </c>
      <c r="L952" t="s">
        <v>989</v>
      </c>
      <c r="M952" t="s">
        <v>3631</v>
      </c>
      <c r="N952" s="166">
        <v>22.52</v>
      </c>
      <c r="O952" t="s">
        <v>131</v>
      </c>
    </row>
    <row r="953" spans="1:15">
      <c r="A953" s="166" t="s">
        <v>6954</v>
      </c>
      <c r="B953" t="s">
        <v>111</v>
      </c>
      <c r="C953" t="s">
        <v>136</v>
      </c>
      <c r="D953" t="s">
        <v>116</v>
      </c>
      <c r="E953" t="s">
        <v>418</v>
      </c>
      <c r="F953" t="s">
        <v>6</v>
      </c>
      <c r="G953" t="s">
        <v>130</v>
      </c>
      <c r="H953" s="1">
        <v>46128</v>
      </c>
      <c r="I953" t="s">
        <v>6955</v>
      </c>
      <c r="J953" t="s">
        <v>6956</v>
      </c>
      <c r="K953" t="s">
        <v>448</v>
      </c>
      <c r="L953" t="s">
        <v>2019</v>
      </c>
      <c r="M953" t="s">
        <v>1328</v>
      </c>
      <c r="N953" s="166">
        <v>19.54</v>
      </c>
      <c r="O953" t="s">
        <v>131</v>
      </c>
    </row>
    <row r="954" spans="1:15">
      <c r="A954" s="166" t="s">
        <v>1844</v>
      </c>
      <c r="B954" t="s">
        <v>111</v>
      </c>
      <c r="C954" t="s">
        <v>406</v>
      </c>
      <c r="D954" t="s">
        <v>116</v>
      </c>
      <c r="E954" t="s">
        <v>418</v>
      </c>
      <c r="F954" t="s">
        <v>6</v>
      </c>
      <c r="G954" t="s">
        <v>130</v>
      </c>
      <c r="H954" s="1">
        <v>46128</v>
      </c>
      <c r="I954" t="s">
        <v>6957</v>
      </c>
      <c r="J954" t="s">
        <v>6958</v>
      </c>
      <c r="K954" t="s">
        <v>1492</v>
      </c>
      <c r="L954" t="s">
        <v>1560</v>
      </c>
      <c r="M954" t="s">
        <v>5098</v>
      </c>
      <c r="N954" s="166">
        <v>22.62</v>
      </c>
      <c r="O954" t="s">
        <v>131</v>
      </c>
    </row>
    <row r="955" spans="1:15">
      <c r="A955" s="166" t="s">
        <v>6959</v>
      </c>
      <c r="B955" t="s">
        <v>111</v>
      </c>
      <c r="C955" t="s">
        <v>133</v>
      </c>
      <c r="D955" t="s">
        <v>116</v>
      </c>
      <c r="E955" t="s">
        <v>418</v>
      </c>
      <c r="F955" t="s">
        <v>6</v>
      </c>
      <c r="G955" t="s">
        <v>130</v>
      </c>
      <c r="H955" s="1">
        <v>46128</v>
      </c>
      <c r="I955" t="s">
        <v>6960</v>
      </c>
      <c r="J955" t="s">
        <v>6961</v>
      </c>
      <c r="K955" t="s">
        <v>4420</v>
      </c>
      <c r="L955" t="s">
        <v>890</v>
      </c>
      <c r="M955" t="s">
        <v>5098</v>
      </c>
      <c r="N955" s="166">
        <v>22.62</v>
      </c>
      <c r="O955" t="s">
        <v>131</v>
      </c>
    </row>
    <row r="956" spans="1:15">
      <c r="A956" s="166" t="s">
        <v>6962</v>
      </c>
      <c r="B956" t="s">
        <v>111</v>
      </c>
      <c r="C956" t="s">
        <v>134</v>
      </c>
      <c r="D956" t="s">
        <v>116</v>
      </c>
      <c r="E956" t="s">
        <v>418</v>
      </c>
      <c r="F956" t="s">
        <v>6</v>
      </c>
      <c r="G956" t="s">
        <v>130</v>
      </c>
      <c r="H956" s="1">
        <v>46128</v>
      </c>
      <c r="I956" t="s">
        <v>6963</v>
      </c>
      <c r="J956" t="s">
        <v>6964</v>
      </c>
      <c r="K956" t="s">
        <v>1635</v>
      </c>
      <c r="L956" t="s">
        <v>989</v>
      </c>
      <c r="M956" t="s">
        <v>2586</v>
      </c>
      <c r="N956" s="166">
        <v>21.04</v>
      </c>
      <c r="O956" t="s">
        <v>131</v>
      </c>
    </row>
    <row r="957" spans="1:15">
      <c r="A957" s="166" t="s">
        <v>6965</v>
      </c>
      <c r="B957" t="s">
        <v>111</v>
      </c>
      <c r="C957" t="s">
        <v>136</v>
      </c>
      <c r="D957" t="s">
        <v>116</v>
      </c>
      <c r="E957" t="s">
        <v>418</v>
      </c>
      <c r="F957" t="s">
        <v>6</v>
      </c>
      <c r="G957" t="s">
        <v>130</v>
      </c>
      <c r="H957" s="1">
        <v>46128</v>
      </c>
      <c r="I957" t="s">
        <v>6966</v>
      </c>
      <c r="J957" t="s">
        <v>6967</v>
      </c>
      <c r="K957" t="s">
        <v>1094</v>
      </c>
      <c r="L957" t="s">
        <v>169</v>
      </c>
      <c r="M957" t="s">
        <v>3084</v>
      </c>
      <c r="N957" s="166">
        <v>21.5</v>
      </c>
      <c r="O957" t="s">
        <v>131</v>
      </c>
    </row>
    <row r="958" spans="1:15">
      <c r="A958" s="166" t="s">
        <v>6968</v>
      </c>
      <c r="B958" t="s">
        <v>111</v>
      </c>
      <c r="C958" t="s">
        <v>406</v>
      </c>
      <c r="D958" t="s">
        <v>116</v>
      </c>
      <c r="E958" t="s">
        <v>418</v>
      </c>
      <c r="F958" t="s">
        <v>6</v>
      </c>
      <c r="G958" t="s">
        <v>130</v>
      </c>
      <c r="H958" s="1">
        <v>46128</v>
      </c>
      <c r="I958" t="s">
        <v>6969</v>
      </c>
      <c r="J958" t="s">
        <v>6970</v>
      </c>
      <c r="K958" t="s">
        <v>1080</v>
      </c>
      <c r="L958" t="s">
        <v>1560</v>
      </c>
      <c r="M958" t="s">
        <v>1657</v>
      </c>
      <c r="N958" s="166">
        <v>22.8</v>
      </c>
      <c r="O958" t="s">
        <v>131</v>
      </c>
    </row>
    <row r="959" spans="1:15">
      <c r="A959" s="166" t="s">
        <v>6971</v>
      </c>
      <c r="B959" t="s">
        <v>111</v>
      </c>
      <c r="C959" t="s">
        <v>133</v>
      </c>
      <c r="D959" t="s">
        <v>116</v>
      </c>
      <c r="E959" t="s">
        <v>418</v>
      </c>
      <c r="F959" t="s">
        <v>6</v>
      </c>
      <c r="G959" t="s">
        <v>130</v>
      </c>
      <c r="H959" s="1">
        <v>46128</v>
      </c>
      <c r="I959" t="s">
        <v>6972</v>
      </c>
      <c r="J959" t="s">
        <v>6973</v>
      </c>
      <c r="K959" t="s">
        <v>1193</v>
      </c>
      <c r="L959" t="s">
        <v>1958</v>
      </c>
      <c r="M959" t="s">
        <v>1653</v>
      </c>
      <c r="N959" s="166">
        <v>21.42</v>
      </c>
      <c r="O959" t="s">
        <v>131</v>
      </c>
    </row>
    <row r="960" spans="1:15">
      <c r="A960" s="166" t="s">
        <v>6974</v>
      </c>
      <c r="B960" t="s">
        <v>111</v>
      </c>
      <c r="C960" t="s">
        <v>134</v>
      </c>
      <c r="D960" t="s">
        <v>116</v>
      </c>
      <c r="E960" t="s">
        <v>418</v>
      </c>
      <c r="F960" t="s">
        <v>6</v>
      </c>
      <c r="G960" t="s">
        <v>130</v>
      </c>
      <c r="H960" s="1">
        <v>46128</v>
      </c>
      <c r="I960" t="s">
        <v>6975</v>
      </c>
      <c r="J960" t="s">
        <v>6976</v>
      </c>
      <c r="K960" t="s">
        <v>1080</v>
      </c>
      <c r="L960" t="s">
        <v>720</v>
      </c>
      <c r="M960" t="s">
        <v>1537</v>
      </c>
      <c r="N960" s="166">
        <v>22.58</v>
      </c>
      <c r="O960" t="s">
        <v>131</v>
      </c>
    </row>
    <row r="961" spans="1:15">
      <c r="A961" s="166" t="s">
        <v>6977</v>
      </c>
      <c r="B961" t="s">
        <v>111</v>
      </c>
      <c r="C961" t="s">
        <v>136</v>
      </c>
      <c r="D961" t="s">
        <v>116</v>
      </c>
      <c r="E961" t="s">
        <v>418</v>
      </c>
      <c r="F961" t="s">
        <v>6</v>
      </c>
      <c r="G961" t="s">
        <v>130</v>
      </c>
      <c r="H961" s="1">
        <v>46128</v>
      </c>
      <c r="I961" t="s">
        <v>6978</v>
      </c>
      <c r="J961" t="s">
        <v>6979</v>
      </c>
      <c r="K961" t="s">
        <v>196</v>
      </c>
      <c r="L961" t="s">
        <v>4556</v>
      </c>
      <c r="M961" t="s">
        <v>917</v>
      </c>
      <c r="N961" s="166">
        <v>22.5</v>
      </c>
      <c r="O961" t="s">
        <v>131</v>
      </c>
    </row>
    <row r="962" spans="1:15">
      <c r="A962" s="166" t="s">
        <v>6980</v>
      </c>
      <c r="B962" t="s">
        <v>111</v>
      </c>
      <c r="C962" t="s">
        <v>406</v>
      </c>
      <c r="D962" t="s">
        <v>116</v>
      </c>
      <c r="E962" t="s">
        <v>418</v>
      </c>
      <c r="F962" t="s">
        <v>6</v>
      </c>
      <c r="G962" t="s">
        <v>130</v>
      </c>
      <c r="H962" s="1">
        <v>46128</v>
      </c>
      <c r="I962" t="s">
        <v>6981</v>
      </c>
      <c r="J962" t="s">
        <v>6982</v>
      </c>
      <c r="K962" t="s">
        <v>800</v>
      </c>
      <c r="L962" t="s">
        <v>1499</v>
      </c>
      <c r="M962" t="s">
        <v>504</v>
      </c>
      <c r="N962" s="166">
        <v>23.16</v>
      </c>
      <c r="O962" t="s">
        <v>131</v>
      </c>
    </row>
    <row r="963" spans="1:15">
      <c r="A963" s="166" t="s">
        <v>6983</v>
      </c>
      <c r="B963" t="s">
        <v>111</v>
      </c>
      <c r="C963" t="s">
        <v>134</v>
      </c>
      <c r="D963" t="s">
        <v>116</v>
      </c>
      <c r="E963" t="s">
        <v>418</v>
      </c>
      <c r="F963" t="s">
        <v>6</v>
      </c>
      <c r="G963" t="s">
        <v>130</v>
      </c>
      <c r="H963" s="1">
        <v>46128</v>
      </c>
      <c r="I963" t="s">
        <v>6984</v>
      </c>
      <c r="J963" t="s">
        <v>6985</v>
      </c>
      <c r="K963" t="s">
        <v>644</v>
      </c>
      <c r="L963" t="s">
        <v>149</v>
      </c>
      <c r="M963" t="s">
        <v>715</v>
      </c>
      <c r="N963" s="166">
        <v>22.84</v>
      </c>
      <c r="O963" t="s">
        <v>131</v>
      </c>
    </row>
    <row r="964" spans="1:15">
      <c r="A964" s="166" t="s">
        <v>6986</v>
      </c>
      <c r="B964" t="s">
        <v>111</v>
      </c>
      <c r="C964" t="s">
        <v>136</v>
      </c>
      <c r="D964" t="s">
        <v>116</v>
      </c>
      <c r="E964" t="s">
        <v>418</v>
      </c>
      <c r="F964" t="s">
        <v>6</v>
      </c>
      <c r="G964" t="s">
        <v>130</v>
      </c>
      <c r="H964" s="1">
        <v>46128</v>
      </c>
      <c r="I964" t="s">
        <v>6987</v>
      </c>
      <c r="J964" t="s">
        <v>6988</v>
      </c>
      <c r="K964" t="s">
        <v>701</v>
      </c>
      <c r="L964" t="s">
        <v>2603</v>
      </c>
      <c r="M964" t="s">
        <v>3748</v>
      </c>
      <c r="N964" s="166">
        <v>23.76</v>
      </c>
      <c r="O964" t="s">
        <v>131</v>
      </c>
    </row>
    <row r="965" spans="1:15">
      <c r="A965" s="166" t="s">
        <v>6989</v>
      </c>
      <c r="B965" t="s">
        <v>111</v>
      </c>
      <c r="C965" t="s">
        <v>135</v>
      </c>
      <c r="D965" t="s">
        <v>116</v>
      </c>
      <c r="E965" t="s">
        <v>418</v>
      </c>
      <c r="F965" t="s">
        <v>6</v>
      </c>
      <c r="G965" t="s">
        <v>130</v>
      </c>
      <c r="H965" s="1">
        <v>46128</v>
      </c>
      <c r="I965" t="s">
        <v>6990</v>
      </c>
      <c r="J965" t="s">
        <v>6991</v>
      </c>
      <c r="K965" t="s">
        <v>4119</v>
      </c>
      <c r="L965" t="s">
        <v>611</v>
      </c>
      <c r="M965" t="s">
        <v>434</v>
      </c>
      <c r="N965" s="166">
        <v>21.6</v>
      </c>
      <c r="O965" t="s">
        <v>131</v>
      </c>
    </row>
    <row r="966" spans="1:15">
      <c r="A966" s="166" t="s">
        <v>6992</v>
      </c>
      <c r="B966" t="s">
        <v>111</v>
      </c>
      <c r="C966" t="s">
        <v>406</v>
      </c>
      <c r="D966" t="s">
        <v>116</v>
      </c>
      <c r="E966" t="s">
        <v>418</v>
      </c>
      <c r="F966" t="s">
        <v>6</v>
      </c>
      <c r="G966" t="s">
        <v>130</v>
      </c>
      <c r="H966" s="1">
        <v>46128</v>
      </c>
      <c r="I966" t="s">
        <v>6993</v>
      </c>
      <c r="J966" t="s">
        <v>6994</v>
      </c>
      <c r="K966" t="s">
        <v>1300</v>
      </c>
      <c r="L966" t="s">
        <v>584</v>
      </c>
      <c r="M966" t="s">
        <v>1275</v>
      </c>
      <c r="N966" s="166">
        <v>18.98</v>
      </c>
      <c r="O966" t="s">
        <v>131</v>
      </c>
    </row>
    <row r="967" spans="1:15">
      <c r="A967" s="166" t="s">
        <v>6995</v>
      </c>
      <c r="B967" t="s">
        <v>111</v>
      </c>
      <c r="C967" t="s">
        <v>133</v>
      </c>
      <c r="D967" t="s">
        <v>118</v>
      </c>
      <c r="E967" t="s">
        <v>139</v>
      </c>
      <c r="F967" t="s">
        <v>6</v>
      </c>
      <c r="G967" t="s">
        <v>130</v>
      </c>
      <c r="H967" s="1">
        <v>46128</v>
      </c>
      <c r="I967" t="s">
        <v>6996</v>
      </c>
      <c r="J967" t="s">
        <v>6997</v>
      </c>
      <c r="K967" t="s">
        <v>3926</v>
      </c>
      <c r="L967" t="s">
        <v>3813</v>
      </c>
      <c r="M967" t="s">
        <v>634</v>
      </c>
      <c r="N967" s="166">
        <v>21.06</v>
      </c>
      <c r="O967" t="s">
        <v>131</v>
      </c>
    </row>
    <row r="968" spans="1:15">
      <c r="A968" s="166" t="s">
        <v>6998</v>
      </c>
      <c r="B968" t="s">
        <v>111</v>
      </c>
      <c r="C968" t="s">
        <v>134</v>
      </c>
      <c r="D968" t="s">
        <v>116</v>
      </c>
      <c r="E968" t="s">
        <v>418</v>
      </c>
      <c r="F968" t="s">
        <v>6</v>
      </c>
      <c r="G968" t="s">
        <v>130</v>
      </c>
      <c r="H968" s="1">
        <v>46128</v>
      </c>
      <c r="I968" t="s">
        <v>6999</v>
      </c>
      <c r="J968" t="s">
        <v>7000</v>
      </c>
      <c r="K968" t="s">
        <v>1463</v>
      </c>
      <c r="L968" t="s">
        <v>1662</v>
      </c>
      <c r="M968" t="s">
        <v>1244</v>
      </c>
      <c r="N968" s="166">
        <v>21.8</v>
      </c>
      <c r="O968" t="s">
        <v>131</v>
      </c>
    </row>
    <row r="969" spans="1:15">
      <c r="A969" s="166" t="s">
        <v>7001</v>
      </c>
      <c r="B969" t="s">
        <v>111</v>
      </c>
      <c r="C969" t="s">
        <v>1104</v>
      </c>
      <c r="D969" t="s">
        <v>118</v>
      </c>
      <c r="E969" t="s">
        <v>139</v>
      </c>
      <c r="F969" t="s">
        <v>6</v>
      </c>
      <c r="G969" t="s">
        <v>130</v>
      </c>
      <c r="H969" s="1">
        <v>46128</v>
      </c>
      <c r="I969" t="s">
        <v>7002</v>
      </c>
      <c r="J969" t="s">
        <v>7003</v>
      </c>
      <c r="K969" t="s">
        <v>236</v>
      </c>
      <c r="L969" t="s">
        <v>1582</v>
      </c>
      <c r="M969" t="s">
        <v>202</v>
      </c>
      <c r="N969" s="166">
        <v>23.46</v>
      </c>
      <c r="O969" t="s">
        <v>131</v>
      </c>
    </row>
    <row r="970" spans="1:15">
      <c r="A970" s="166" t="s">
        <v>7004</v>
      </c>
      <c r="B970" t="s">
        <v>111</v>
      </c>
      <c r="C970" t="s">
        <v>136</v>
      </c>
      <c r="D970" t="s">
        <v>116</v>
      </c>
      <c r="E970" t="s">
        <v>418</v>
      </c>
      <c r="F970" t="s">
        <v>7</v>
      </c>
      <c r="G970" t="s">
        <v>130</v>
      </c>
      <c r="H970" s="1">
        <v>46128</v>
      </c>
      <c r="I970" t="s">
        <v>7005</v>
      </c>
      <c r="J970" t="s">
        <v>7006</v>
      </c>
      <c r="K970" t="s">
        <v>3125</v>
      </c>
      <c r="L970" t="s">
        <v>2599</v>
      </c>
      <c r="M970" t="s">
        <v>444</v>
      </c>
      <c r="N970" s="166">
        <v>20.079999999999998</v>
      </c>
      <c r="O970" t="s">
        <v>131</v>
      </c>
    </row>
    <row r="971" spans="1:15">
      <c r="A971" s="166" t="s">
        <v>7007</v>
      </c>
      <c r="B971" t="s">
        <v>111</v>
      </c>
      <c r="C971" t="s">
        <v>406</v>
      </c>
      <c r="D971" t="s">
        <v>116</v>
      </c>
      <c r="E971" t="s">
        <v>418</v>
      </c>
      <c r="F971" t="s">
        <v>7</v>
      </c>
      <c r="G971" t="s">
        <v>130</v>
      </c>
      <c r="H971" s="1">
        <v>46128</v>
      </c>
      <c r="I971" t="s">
        <v>7008</v>
      </c>
      <c r="J971" t="s">
        <v>7009</v>
      </c>
      <c r="K971" t="s">
        <v>1581</v>
      </c>
      <c r="L971" t="s">
        <v>3813</v>
      </c>
      <c r="M971" t="s">
        <v>1275</v>
      </c>
      <c r="N971" s="166">
        <v>18.98</v>
      </c>
      <c r="O971" t="s">
        <v>131</v>
      </c>
    </row>
    <row r="972" spans="1:15">
      <c r="A972" s="166" t="s">
        <v>7010</v>
      </c>
      <c r="B972" t="s">
        <v>111</v>
      </c>
      <c r="C972" t="s">
        <v>135</v>
      </c>
      <c r="D972" t="s">
        <v>118</v>
      </c>
      <c r="E972" t="s">
        <v>139</v>
      </c>
      <c r="F972" t="s">
        <v>6</v>
      </c>
      <c r="G972" t="s">
        <v>130</v>
      </c>
      <c r="H972" s="1">
        <v>46128</v>
      </c>
      <c r="I972" t="s">
        <v>7011</v>
      </c>
      <c r="J972" t="s">
        <v>7012</v>
      </c>
      <c r="K972" t="s">
        <v>1697</v>
      </c>
      <c r="L972" t="s">
        <v>149</v>
      </c>
      <c r="M972" t="s">
        <v>1583</v>
      </c>
      <c r="N972" s="166">
        <v>20.22</v>
      </c>
      <c r="O972" t="s">
        <v>131</v>
      </c>
    </row>
    <row r="973" spans="1:15">
      <c r="A973" s="166" t="s">
        <v>7013</v>
      </c>
      <c r="B973" t="s">
        <v>111</v>
      </c>
      <c r="C973" t="s">
        <v>133</v>
      </c>
      <c r="D973" t="s">
        <v>118</v>
      </c>
      <c r="E973" t="s">
        <v>139</v>
      </c>
      <c r="F973" t="s">
        <v>6</v>
      </c>
      <c r="G973" t="s">
        <v>130</v>
      </c>
      <c r="H973" s="1">
        <v>46128</v>
      </c>
      <c r="I973" t="s">
        <v>7014</v>
      </c>
      <c r="J973" t="s">
        <v>7015</v>
      </c>
      <c r="K973" t="s">
        <v>1602</v>
      </c>
      <c r="L973" t="s">
        <v>870</v>
      </c>
      <c r="M973" t="s">
        <v>1710</v>
      </c>
      <c r="N973" s="166">
        <v>19.46</v>
      </c>
      <c r="O973" t="s">
        <v>131</v>
      </c>
    </row>
    <row r="974" spans="1:15">
      <c r="A974" s="166" t="s">
        <v>1262</v>
      </c>
      <c r="B974" t="s">
        <v>111</v>
      </c>
      <c r="C974" t="s">
        <v>1104</v>
      </c>
      <c r="D974" t="s">
        <v>118</v>
      </c>
      <c r="E974" t="s">
        <v>139</v>
      </c>
      <c r="F974" t="s">
        <v>6</v>
      </c>
      <c r="G974" t="s">
        <v>130</v>
      </c>
      <c r="H974" s="1">
        <v>46128</v>
      </c>
      <c r="I974" t="s">
        <v>7016</v>
      </c>
      <c r="J974" t="s">
        <v>7017</v>
      </c>
      <c r="K974" t="s">
        <v>3546</v>
      </c>
      <c r="L974" t="s">
        <v>162</v>
      </c>
      <c r="M974" t="s">
        <v>3491</v>
      </c>
      <c r="N974" s="166">
        <v>18.940000000000001</v>
      </c>
      <c r="O974" t="s">
        <v>131</v>
      </c>
    </row>
    <row r="975" spans="1:15">
      <c r="A975" s="166" t="s">
        <v>7018</v>
      </c>
      <c r="B975" t="s">
        <v>111</v>
      </c>
      <c r="C975" t="s">
        <v>134</v>
      </c>
      <c r="D975" t="s">
        <v>116</v>
      </c>
      <c r="E975" t="s">
        <v>418</v>
      </c>
      <c r="F975" t="s">
        <v>7</v>
      </c>
      <c r="G975" t="s">
        <v>130</v>
      </c>
      <c r="H975" s="1">
        <v>46128</v>
      </c>
      <c r="I975" t="s">
        <v>7019</v>
      </c>
      <c r="J975" t="s">
        <v>7020</v>
      </c>
      <c r="K975" t="s">
        <v>766</v>
      </c>
      <c r="L975" t="s">
        <v>665</v>
      </c>
      <c r="M975" t="s">
        <v>455</v>
      </c>
      <c r="N975" s="166">
        <v>21.68</v>
      </c>
      <c r="O975" t="s">
        <v>131</v>
      </c>
    </row>
    <row r="976" spans="1:15">
      <c r="A976" s="166" t="s">
        <v>7021</v>
      </c>
      <c r="B976" t="s">
        <v>111</v>
      </c>
      <c r="C976" t="s">
        <v>135</v>
      </c>
      <c r="D976" t="s">
        <v>118</v>
      </c>
      <c r="E976" t="s">
        <v>139</v>
      </c>
      <c r="F976" t="s">
        <v>6</v>
      </c>
      <c r="G976" t="s">
        <v>130</v>
      </c>
      <c r="H976" s="1">
        <v>46128</v>
      </c>
      <c r="I976" t="s">
        <v>7022</v>
      </c>
      <c r="J976" t="s">
        <v>7023</v>
      </c>
      <c r="K976" t="s">
        <v>1126</v>
      </c>
      <c r="L976" t="s">
        <v>3032</v>
      </c>
      <c r="M976" t="s">
        <v>2336</v>
      </c>
      <c r="N976" s="166">
        <v>19.440000000000001</v>
      </c>
      <c r="O976" t="s">
        <v>131</v>
      </c>
    </row>
    <row r="977" spans="1:15">
      <c r="A977" s="166" t="s">
        <v>7024</v>
      </c>
      <c r="B977" t="s">
        <v>111</v>
      </c>
      <c r="C977" t="s">
        <v>136</v>
      </c>
      <c r="D977" t="s">
        <v>116</v>
      </c>
      <c r="E977" t="s">
        <v>418</v>
      </c>
      <c r="F977" t="s">
        <v>7</v>
      </c>
      <c r="G977" t="s">
        <v>130</v>
      </c>
      <c r="H977" s="1">
        <v>46128</v>
      </c>
      <c r="I977" t="s">
        <v>7025</v>
      </c>
      <c r="J977" t="s">
        <v>7026</v>
      </c>
      <c r="K977" t="s">
        <v>160</v>
      </c>
      <c r="L977" t="s">
        <v>2652</v>
      </c>
      <c r="M977" t="s">
        <v>2745</v>
      </c>
      <c r="N977" s="166">
        <v>20.78</v>
      </c>
      <c r="O977" t="s">
        <v>131</v>
      </c>
    </row>
    <row r="978" spans="1:15">
      <c r="A978" s="166" t="s">
        <v>7027</v>
      </c>
      <c r="B978" t="s">
        <v>111</v>
      </c>
      <c r="C978" t="s">
        <v>133</v>
      </c>
      <c r="D978" t="s">
        <v>118</v>
      </c>
      <c r="E978" t="s">
        <v>139</v>
      </c>
      <c r="F978" t="s">
        <v>6</v>
      </c>
      <c r="G978" t="s">
        <v>130</v>
      </c>
      <c r="H978" s="1">
        <v>46128</v>
      </c>
      <c r="I978" t="s">
        <v>7028</v>
      </c>
      <c r="J978" t="s">
        <v>7029</v>
      </c>
      <c r="K978" t="s">
        <v>4493</v>
      </c>
      <c r="L978" t="s">
        <v>465</v>
      </c>
      <c r="M978" t="s">
        <v>3420</v>
      </c>
      <c r="N978" s="166">
        <v>21.56</v>
      </c>
      <c r="O978" t="s">
        <v>131</v>
      </c>
    </row>
    <row r="979" spans="1:15">
      <c r="A979" s="166" t="s">
        <v>7030</v>
      </c>
      <c r="B979" t="s">
        <v>111</v>
      </c>
      <c r="C979" t="s">
        <v>406</v>
      </c>
      <c r="D979" t="s">
        <v>116</v>
      </c>
      <c r="E979" t="s">
        <v>418</v>
      </c>
      <c r="F979" t="s">
        <v>7</v>
      </c>
      <c r="G979" t="s">
        <v>130</v>
      </c>
      <c r="H979" s="1">
        <v>46128</v>
      </c>
      <c r="I979" t="s">
        <v>7031</v>
      </c>
      <c r="J979" t="s">
        <v>7032</v>
      </c>
      <c r="K979" t="s">
        <v>502</v>
      </c>
      <c r="L979" t="s">
        <v>148</v>
      </c>
      <c r="M979" t="s">
        <v>1206</v>
      </c>
      <c r="N979" s="166">
        <v>22.66</v>
      </c>
      <c r="O979" t="s">
        <v>131</v>
      </c>
    </row>
    <row r="980" spans="1:15">
      <c r="A980" s="166" t="s">
        <v>7033</v>
      </c>
      <c r="B980" t="s">
        <v>111</v>
      </c>
      <c r="C980" t="s">
        <v>134</v>
      </c>
      <c r="D980" t="s">
        <v>116</v>
      </c>
      <c r="E980" t="s">
        <v>418</v>
      </c>
      <c r="F980" t="s">
        <v>7</v>
      </c>
      <c r="G980" t="s">
        <v>130</v>
      </c>
      <c r="H980" s="1">
        <v>46128</v>
      </c>
      <c r="I980" t="s">
        <v>7034</v>
      </c>
      <c r="J980" t="s">
        <v>7035</v>
      </c>
      <c r="K980" t="s">
        <v>1300</v>
      </c>
      <c r="L980" t="s">
        <v>665</v>
      </c>
      <c r="M980" t="s">
        <v>1369</v>
      </c>
      <c r="N980" s="166">
        <v>18.78</v>
      </c>
      <c r="O980" t="s">
        <v>131</v>
      </c>
    </row>
    <row r="981" spans="1:15">
      <c r="A981" s="166" t="s">
        <v>7036</v>
      </c>
      <c r="B981" t="s">
        <v>111</v>
      </c>
      <c r="C981" t="s">
        <v>1104</v>
      </c>
      <c r="D981" t="s">
        <v>118</v>
      </c>
      <c r="E981" t="s">
        <v>139</v>
      </c>
      <c r="F981" t="s">
        <v>6</v>
      </c>
      <c r="G981" t="s">
        <v>130</v>
      </c>
      <c r="H981" s="1">
        <v>46128</v>
      </c>
      <c r="I981" t="s">
        <v>7037</v>
      </c>
      <c r="J981" t="s">
        <v>7038</v>
      </c>
      <c r="K981" t="s">
        <v>192</v>
      </c>
      <c r="L981" t="s">
        <v>714</v>
      </c>
      <c r="M981" t="s">
        <v>410</v>
      </c>
      <c r="N981" s="166">
        <v>22.36</v>
      </c>
      <c r="O981" t="s">
        <v>131</v>
      </c>
    </row>
    <row r="982" spans="1:15">
      <c r="A982" s="166" t="s">
        <v>7039</v>
      </c>
      <c r="B982" t="s">
        <v>111</v>
      </c>
      <c r="C982" t="s">
        <v>136</v>
      </c>
      <c r="D982" t="s">
        <v>116</v>
      </c>
      <c r="E982" t="s">
        <v>418</v>
      </c>
      <c r="F982" t="s">
        <v>7</v>
      </c>
      <c r="G982" t="s">
        <v>130</v>
      </c>
      <c r="H982" s="1">
        <v>46128</v>
      </c>
      <c r="I982" t="s">
        <v>7040</v>
      </c>
      <c r="J982" t="s">
        <v>7041</v>
      </c>
      <c r="K982" t="s">
        <v>3063</v>
      </c>
      <c r="L982" t="s">
        <v>1364</v>
      </c>
      <c r="M982" t="s">
        <v>1537</v>
      </c>
      <c r="N982" s="166">
        <v>22.58</v>
      </c>
      <c r="O982" t="s">
        <v>131</v>
      </c>
    </row>
    <row r="983" spans="1:15">
      <c r="A983" s="166" t="s">
        <v>7042</v>
      </c>
      <c r="B983" t="s">
        <v>111</v>
      </c>
      <c r="C983" t="s">
        <v>135</v>
      </c>
      <c r="D983" t="s">
        <v>118</v>
      </c>
      <c r="E983" t="s">
        <v>139</v>
      </c>
      <c r="F983" t="s">
        <v>6</v>
      </c>
      <c r="G983" t="s">
        <v>130</v>
      </c>
      <c r="H983" s="1">
        <v>46128</v>
      </c>
      <c r="I983" t="s">
        <v>7043</v>
      </c>
      <c r="J983" t="s">
        <v>7044</v>
      </c>
      <c r="K983" t="s">
        <v>191</v>
      </c>
      <c r="L983" t="s">
        <v>645</v>
      </c>
      <c r="M983" t="s">
        <v>1206</v>
      </c>
      <c r="N983" s="166">
        <v>22.66</v>
      </c>
      <c r="O983" t="s">
        <v>131</v>
      </c>
    </row>
    <row r="984" spans="1:15">
      <c r="A984" s="166" t="s">
        <v>7045</v>
      </c>
      <c r="B984" t="s">
        <v>111</v>
      </c>
      <c r="C984" t="s">
        <v>133</v>
      </c>
      <c r="D984" t="s">
        <v>118</v>
      </c>
      <c r="E984" t="s">
        <v>139</v>
      </c>
      <c r="F984" t="s">
        <v>6</v>
      </c>
      <c r="G984" t="s">
        <v>130</v>
      </c>
      <c r="H984" s="1">
        <v>46128</v>
      </c>
      <c r="I984" t="s">
        <v>7046</v>
      </c>
      <c r="J984" t="s">
        <v>7047</v>
      </c>
      <c r="K984" t="s">
        <v>3942</v>
      </c>
      <c r="L984" t="s">
        <v>1177</v>
      </c>
      <c r="M984" t="s">
        <v>826</v>
      </c>
      <c r="N984" s="166">
        <v>20.38</v>
      </c>
      <c r="O984" t="s">
        <v>131</v>
      </c>
    </row>
    <row r="985" spans="1:15">
      <c r="A985" s="166" t="s">
        <v>7048</v>
      </c>
      <c r="B985" t="s">
        <v>111</v>
      </c>
      <c r="C985" t="s">
        <v>406</v>
      </c>
      <c r="D985" t="s">
        <v>116</v>
      </c>
      <c r="E985" t="s">
        <v>418</v>
      </c>
      <c r="F985" t="s">
        <v>7</v>
      </c>
      <c r="G985" t="s">
        <v>130</v>
      </c>
      <c r="H985" s="1">
        <v>46128</v>
      </c>
      <c r="I985" t="s">
        <v>7049</v>
      </c>
      <c r="J985" t="s">
        <v>7050</v>
      </c>
      <c r="K985" t="s">
        <v>6323</v>
      </c>
      <c r="L985" t="s">
        <v>148</v>
      </c>
      <c r="M985" t="s">
        <v>1197</v>
      </c>
      <c r="N985" s="166">
        <v>22.22</v>
      </c>
      <c r="O985" t="s">
        <v>131</v>
      </c>
    </row>
    <row r="986" spans="1:15">
      <c r="A986" s="166" t="s">
        <v>7051</v>
      </c>
      <c r="B986" t="s">
        <v>111</v>
      </c>
      <c r="C986" t="s">
        <v>134</v>
      </c>
      <c r="D986" t="s">
        <v>116</v>
      </c>
      <c r="E986" t="s">
        <v>418</v>
      </c>
      <c r="F986" t="s">
        <v>7</v>
      </c>
      <c r="G986" t="s">
        <v>130</v>
      </c>
      <c r="H986" s="1">
        <v>46128</v>
      </c>
      <c r="I986" t="s">
        <v>7052</v>
      </c>
      <c r="J986" t="s">
        <v>7053</v>
      </c>
      <c r="K986" t="s">
        <v>433</v>
      </c>
      <c r="L986" t="s">
        <v>3032</v>
      </c>
      <c r="M986" t="s">
        <v>1140</v>
      </c>
      <c r="N986" s="166">
        <v>21.2</v>
      </c>
      <c r="O986" t="s">
        <v>131</v>
      </c>
    </row>
    <row r="987" spans="1:15">
      <c r="A987" s="166" t="s">
        <v>7054</v>
      </c>
      <c r="B987" t="s">
        <v>111</v>
      </c>
      <c r="C987" t="s">
        <v>134</v>
      </c>
      <c r="D987" t="s">
        <v>116</v>
      </c>
      <c r="E987" t="s">
        <v>418</v>
      </c>
      <c r="F987" t="s">
        <v>7</v>
      </c>
      <c r="G987" t="s">
        <v>130</v>
      </c>
      <c r="H987" s="1">
        <v>46128</v>
      </c>
      <c r="I987" t="s">
        <v>7055</v>
      </c>
      <c r="J987" t="s">
        <v>7056</v>
      </c>
      <c r="K987" t="s">
        <v>188</v>
      </c>
      <c r="L987" t="s">
        <v>149</v>
      </c>
      <c r="M987" t="s">
        <v>3076</v>
      </c>
      <c r="N987" s="166">
        <v>23.42</v>
      </c>
      <c r="O987" t="s">
        <v>131</v>
      </c>
    </row>
    <row r="988" spans="1:15">
      <c r="A988" s="166" t="s">
        <v>7057</v>
      </c>
      <c r="B988" t="s">
        <v>111</v>
      </c>
      <c r="C988" t="s">
        <v>136</v>
      </c>
      <c r="D988" t="s">
        <v>116</v>
      </c>
      <c r="E988" t="s">
        <v>418</v>
      </c>
      <c r="F988" t="s">
        <v>7</v>
      </c>
      <c r="G988" t="s">
        <v>130</v>
      </c>
      <c r="H988" s="1">
        <v>46128</v>
      </c>
      <c r="I988" t="s">
        <v>7058</v>
      </c>
      <c r="J988" t="s">
        <v>7059</v>
      </c>
      <c r="K988" t="s">
        <v>237</v>
      </c>
      <c r="L988" t="s">
        <v>3722</v>
      </c>
      <c r="M988" t="s">
        <v>1206</v>
      </c>
      <c r="N988" s="166">
        <v>22.66</v>
      </c>
      <c r="O988" t="s">
        <v>131</v>
      </c>
    </row>
    <row r="989" spans="1:15">
      <c r="A989" s="166" t="s">
        <v>7060</v>
      </c>
      <c r="B989" t="s">
        <v>111</v>
      </c>
      <c r="C989" t="s">
        <v>134</v>
      </c>
      <c r="D989" t="s">
        <v>116</v>
      </c>
      <c r="E989" t="s">
        <v>418</v>
      </c>
      <c r="F989" t="s">
        <v>7</v>
      </c>
      <c r="G989" t="s">
        <v>130</v>
      </c>
      <c r="H989" s="1">
        <v>46128</v>
      </c>
      <c r="I989" t="s">
        <v>7061</v>
      </c>
      <c r="J989" t="s">
        <v>7062</v>
      </c>
      <c r="K989" t="s">
        <v>3592</v>
      </c>
      <c r="L989" t="s">
        <v>149</v>
      </c>
      <c r="M989" t="s">
        <v>4751</v>
      </c>
      <c r="N989" s="166">
        <v>23.24</v>
      </c>
      <c r="O989" t="s">
        <v>131</v>
      </c>
    </row>
    <row r="990" spans="1:15">
      <c r="A990" s="166" t="s">
        <v>7063</v>
      </c>
      <c r="B990" t="s">
        <v>111</v>
      </c>
      <c r="C990" t="s">
        <v>133</v>
      </c>
      <c r="D990" t="s">
        <v>116</v>
      </c>
      <c r="E990" t="s">
        <v>418</v>
      </c>
      <c r="F990" t="s">
        <v>7</v>
      </c>
      <c r="G990" t="s">
        <v>130</v>
      </c>
      <c r="H990" s="1">
        <v>46128</v>
      </c>
      <c r="I990" t="s">
        <v>7064</v>
      </c>
      <c r="J990" t="s">
        <v>7065</v>
      </c>
      <c r="K990" t="s">
        <v>196</v>
      </c>
      <c r="L990" t="s">
        <v>845</v>
      </c>
      <c r="M990" t="s">
        <v>715</v>
      </c>
      <c r="N990" s="166">
        <v>22.84</v>
      </c>
      <c r="O990" t="s">
        <v>131</v>
      </c>
    </row>
    <row r="991" spans="1:15">
      <c r="A991" s="166" t="s">
        <v>7066</v>
      </c>
      <c r="B991" t="s">
        <v>111</v>
      </c>
      <c r="C991" t="s">
        <v>406</v>
      </c>
      <c r="D991" t="s">
        <v>116</v>
      </c>
      <c r="E991" t="s">
        <v>418</v>
      </c>
      <c r="F991" t="s">
        <v>7</v>
      </c>
      <c r="G991" t="s">
        <v>130</v>
      </c>
      <c r="H991" s="1">
        <v>46128</v>
      </c>
      <c r="I991" t="s">
        <v>7067</v>
      </c>
      <c r="J991" t="s">
        <v>7068</v>
      </c>
      <c r="K991" t="s">
        <v>1635</v>
      </c>
      <c r="L991" t="s">
        <v>3032</v>
      </c>
      <c r="M991" t="s">
        <v>2038</v>
      </c>
      <c r="N991" s="166">
        <v>21.08</v>
      </c>
      <c r="O991" t="s">
        <v>131</v>
      </c>
    </row>
    <row r="992" spans="1:15">
      <c r="A992" s="166" t="s">
        <v>7069</v>
      </c>
      <c r="B992" t="s">
        <v>111</v>
      </c>
      <c r="C992" t="s">
        <v>136</v>
      </c>
      <c r="D992" t="s">
        <v>116</v>
      </c>
      <c r="E992" t="s">
        <v>418</v>
      </c>
      <c r="F992" t="s">
        <v>7</v>
      </c>
      <c r="G992" t="s">
        <v>130</v>
      </c>
      <c r="H992" s="1">
        <v>46128</v>
      </c>
      <c r="I992" t="s">
        <v>7070</v>
      </c>
      <c r="J992" t="s">
        <v>7071</v>
      </c>
      <c r="K992" t="s">
        <v>5500</v>
      </c>
      <c r="L992" t="s">
        <v>837</v>
      </c>
      <c r="M992" t="s">
        <v>639</v>
      </c>
      <c r="N992" s="166">
        <v>21.02</v>
      </c>
      <c r="O992" t="s">
        <v>131</v>
      </c>
    </row>
    <row r="993" spans="1:15">
      <c r="A993" s="166" t="s">
        <v>7072</v>
      </c>
      <c r="B993" t="s">
        <v>111</v>
      </c>
      <c r="C993" t="s">
        <v>134</v>
      </c>
      <c r="D993" t="s">
        <v>116</v>
      </c>
      <c r="E993" t="s">
        <v>418</v>
      </c>
      <c r="F993" t="s">
        <v>7</v>
      </c>
      <c r="G993" t="s">
        <v>130</v>
      </c>
      <c r="H993" s="1">
        <v>46128</v>
      </c>
      <c r="I993" t="s">
        <v>7073</v>
      </c>
      <c r="J993" t="s">
        <v>7074</v>
      </c>
      <c r="K993" t="s">
        <v>1463</v>
      </c>
      <c r="L993" t="s">
        <v>208</v>
      </c>
      <c r="M993" t="s">
        <v>767</v>
      </c>
      <c r="N993" s="166">
        <v>22.24</v>
      </c>
      <c r="O993" t="s">
        <v>131</v>
      </c>
    </row>
    <row r="994" spans="1:15">
      <c r="A994" s="166" t="s">
        <v>2023</v>
      </c>
      <c r="B994" t="s">
        <v>111</v>
      </c>
      <c r="C994" t="s">
        <v>136</v>
      </c>
      <c r="D994" t="s">
        <v>116</v>
      </c>
      <c r="E994" t="s">
        <v>418</v>
      </c>
      <c r="F994" t="s">
        <v>7</v>
      </c>
      <c r="G994" t="s">
        <v>130</v>
      </c>
      <c r="H994" s="1">
        <v>46128</v>
      </c>
      <c r="I994" t="s">
        <v>7075</v>
      </c>
      <c r="J994" t="s">
        <v>7076</v>
      </c>
      <c r="K994" t="s">
        <v>2643</v>
      </c>
      <c r="L994" t="s">
        <v>1573</v>
      </c>
      <c r="M994" t="s">
        <v>5398</v>
      </c>
      <c r="N994" s="166">
        <v>21.86</v>
      </c>
      <c r="O994" t="s">
        <v>131</v>
      </c>
    </row>
    <row r="995" spans="1:15">
      <c r="A995" s="166" t="s">
        <v>7077</v>
      </c>
      <c r="B995" t="s">
        <v>111</v>
      </c>
      <c r="C995" t="s">
        <v>134</v>
      </c>
      <c r="D995" t="s">
        <v>116</v>
      </c>
      <c r="E995" t="s">
        <v>418</v>
      </c>
      <c r="F995" t="s">
        <v>7</v>
      </c>
      <c r="G995" t="s">
        <v>130</v>
      </c>
      <c r="H995" s="1">
        <v>46128</v>
      </c>
      <c r="I995" t="s">
        <v>7078</v>
      </c>
      <c r="J995" t="s">
        <v>7079</v>
      </c>
      <c r="K995" t="s">
        <v>2616</v>
      </c>
      <c r="L995" t="s">
        <v>193</v>
      </c>
      <c r="M995" t="s">
        <v>5141</v>
      </c>
      <c r="N995" s="166">
        <v>22.88</v>
      </c>
      <c r="O995" t="s">
        <v>131</v>
      </c>
    </row>
    <row r="996" spans="1:15">
      <c r="A996" s="166" t="s">
        <v>7080</v>
      </c>
      <c r="B996" t="s">
        <v>111</v>
      </c>
      <c r="C996" t="s">
        <v>136</v>
      </c>
      <c r="D996" t="s">
        <v>116</v>
      </c>
      <c r="E996" t="s">
        <v>418</v>
      </c>
      <c r="F996" t="s">
        <v>7</v>
      </c>
      <c r="G996" t="s">
        <v>130</v>
      </c>
      <c r="H996" s="1">
        <v>46128</v>
      </c>
      <c r="I996" t="s">
        <v>7081</v>
      </c>
      <c r="J996" t="s">
        <v>7082</v>
      </c>
      <c r="K996" t="s">
        <v>583</v>
      </c>
      <c r="L996" t="s">
        <v>1155</v>
      </c>
      <c r="M996" t="s">
        <v>5398</v>
      </c>
      <c r="N996" s="166">
        <v>21.86</v>
      </c>
      <c r="O996" t="s">
        <v>131</v>
      </c>
    </row>
    <row r="997" spans="1:15">
      <c r="A997" s="166" t="s">
        <v>7083</v>
      </c>
      <c r="B997" t="s">
        <v>111</v>
      </c>
      <c r="C997" t="s">
        <v>134</v>
      </c>
      <c r="D997" t="s">
        <v>116</v>
      </c>
      <c r="E997" t="s">
        <v>418</v>
      </c>
      <c r="F997" t="s">
        <v>7</v>
      </c>
      <c r="G997" t="s">
        <v>130</v>
      </c>
      <c r="H997" s="1">
        <v>46128</v>
      </c>
      <c r="I997" t="s">
        <v>7084</v>
      </c>
      <c r="J997" t="s">
        <v>7085</v>
      </c>
      <c r="K997" t="s">
        <v>3693</v>
      </c>
      <c r="L997" t="s">
        <v>208</v>
      </c>
      <c r="M997" t="s">
        <v>1595</v>
      </c>
      <c r="N997" s="166">
        <v>23.14</v>
      </c>
      <c r="O997" t="s">
        <v>131</v>
      </c>
    </row>
    <row r="998" spans="1:15">
      <c r="A998" s="166" t="s">
        <v>7086</v>
      </c>
      <c r="B998" t="s">
        <v>111</v>
      </c>
      <c r="C998" t="s">
        <v>136</v>
      </c>
      <c r="D998" t="s">
        <v>116</v>
      </c>
      <c r="E998" t="s">
        <v>418</v>
      </c>
      <c r="F998" t="s">
        <v>7</v>
      </c>
      <c r="G998" t="s">
        <v>130</v>
      </c>
      <c r="H998" s="1">
        <v>46128</v>
      </c>
      <c r="I998" t="s">
        <v>7087</v>
      </c>
      <c r="J998" t="s">
        <v>7088</v>
      </c>
      <c r="K998" t="s">
        <v>200</v>
      </c>
      <c r="L998" t="s">
        <v>3653</v>
      </c>
      <c r="M998" t="s">
        <v>2297</v>
      </c>
      <c r="N998" s="166">
        <v>22.34</v>
      </c>
      <c r="O998" t="s">
        <v>131</v>
      </c>
    </row>
    <row r="999" spans="1:15">
      <c r="A999" s="166" t="s">
        <v>7089</v>
      </c>
      <c r="B999" t="s">
        <v>111</v>
      </c>
      <c r="C999" t="s">
        <v>406</v>
      </c>
      <c r="D999" t="s">
        <v>116</v>
      </c>
      <c r="E999" t="s">
        <v>418</v>
      </c>
      <c r="F999" t="s">
        <v>7</v>
      </c>
      <c r="G999" t="s">
        <v>130</v>
      </c>
      <c r="H999" s="1">
        <v>46128</v>
      </c>
      <c r="I999" t="s">
        <v>7090</v>
      </c>
      <c r="J999" t="s">
        <v>7091</v>
      </c>
      <c r="K999" t="s">
        <v>7092</v>
      </c>
      <c r="L999" t="s">
        <v>149</v>
      </c>
      <c r="M999" t="s">
        <v>3799</v>
      </c>
      <c r="N999" s="166">
        <v>24.24</v>
      </c>
      <c r="O999" t="s">
        <v>131</v>
      </c>
    </row>
    <row r="1000" spans="1:15">
      <c r="A1000" s="166" t="s">
        <v>7093</v>
      </c>
      <c r="B1000" t="s">
        <v>111</v>
      </c>
      <c r="C1000" t="s">
        <v>134</v>
      </c>
      <c r="D1000" t="s">
        <v>116</v>
      </c>
      <c r="E1000" t="s">
        <v>418</v>
      </c>
      <c r="F1000" t="s">
        <v>7</v>
      </c>
      <c r="G1000" t="s">
        <v>130</v>
      </c>
      <c r="H1000" s="1">
        <v>46128</v>
      </c>
      <c r="I1000" t="s">
        <v>7094</v>
      </c>
      <c r="J1000" t="s">
        <v>7095</v>
      </c>
      <c r="K1000" t="s">
        <v>2741</v>
      </c>
      <c r="L1000" t="s">
        <v>144</v>
      </c>
      <c r="M1000" t="s">
        <v>2952</v>
      </c>
      <c r="N1000" s="166">
        <v>24.2</v>
      </c>
      <c r="O1000" t="s">
        <v>131</v>
      </c>
    </row>
    <row r="1001" spans="1:15">
      <c r="A1001" s="166" t="s">
        <v>7096</v>
      </c>
      <c r="B1001" t="s">
        <v>111</v>
      </c>
      <c r="C1001" t="s">
        <v>406</v>
      </c>
      <c r="D1001" t="s">
        <v>116</v>
      </c>
      <c r="E1001" t="s">
        <v>418</v>
      </c>
      <c r="F1001" t="s">
        <v>7</v>
      </c>
      <c r="G1001" t="s">
        <v>130</v>
      </c>
      <c r="H1001" s="1">
        <v>46128</v>
      </c>
      <c r="I1001" t="s">
        <v>7097</v>
      </c>
      <c r="J1001" t="s">
        <v>7098</v>
      </c>
      <c r="K1001" t="s">
        <v>3721</v>
      </c>
      <c r="L1001" t="s">
        <v>1503</v>
      </c>
      <c r="M1001" t="s">
        <v>7099</v>
      </c>
      <c r="N1001" s="166">
        <v>26.88</v>
      </c>
      <c r="O1001" t="s">
        <v>131</v>
      </c>
    </row>
    <row r="1002" spans="1:15">
      <c r="A1002" s="166" t="s">
        <v>7100</v>
      </c>
      <c r="B1002" t="s">
        <v>111</v>
      </c>
      <c r="C1002" t="s">
        <v>133</v>
      </c>
      <c r="D1002" t="s">
        <v>118</v>
      </c>
      <c r="E1002" t="s">
        <v>139</v>
      </c>
      <c r="F1002" t="s">
        <v>7</v>
      </c>
      <c r="G1002" t="s">
        <v>130</v>
      </c>
      <c r="H1002" s="1">
        <v>46128</v>
      </c>
      <c r="I1002" t="s">
        <v>7101</v>
      </c>
      <c r="J1002" t="s">
        <v>7102</v>
      </c>
      <c r="K1002" t="s">
        <v>443</v>
      </c>
      <c r="L1002" t="s">
        <v>3040</v>
      </c>
      <c r="M1002" t="s">
        <v>2402</v>
      </c>
      <c r="N1002" s="166">
        <v>20.04</v>
      </c>
      <c r="O1002" t="s">
        <v>131</v>
      </c>
    </row>
    <row r="1003" spans="1:15">
      <c r="A1003" s="166" t="s">
        <v>7103</v>
      </c>
      <c r="B1003" t="s">
        <v>111</v>
      </c>
      <c r="C1003" t="s">
        <v>136</v>
      </c>
      <c r="D1003" t="s">
        <v>118</v>
      </c>
      <c r="E1003" t="s">
        <v>139</v>
      </c>
      <c r="F1003" t="s">
        <v>6</v>
      </c>
      <c r="G1003" t="s">
        <v>130</v>
      </c>
      <c r="H1003" s="1">
        <v>46128</v>
      </c>
      <c r="I1003" t="s">
        <v>7104</v>
      </c>
      <c r="J1003" t="s">
        <v>7105</v>
      </c>
      <c r="K1003" t="s">
        <v>1602</v>
      </c>
      <c r="L1003" t="s">
        <v>1296</v>
      </c>
      <c r="M1003" t="s">
        <v>3483</v>
      </c>
      <c r="N1003" s="166">
        <v>17.260000000000002</v>
      </c>
      <c r="O1003" t="s">
        <v>131</v>
      </c>
    </row>
    <row r="1004" spans="1:15">
      <c r="A1004" s="166" t="s">
        <v>7106</v>
      </c>
      <c r="B1004" t="s">
        <v>111</v>
      </c>
      <c r="C1004" t="s">
        <v>1104</v>
      </c>
      <c r="D1004" t="s">
        <v>118</v>
      </c>
      <c r="E1004" t="s">
        <v>139</v>
      </c>
      <c r="F1004" t="s">
        <v>6</v>
      </c>
      <c r="G1004" t="s">
        <v>130</v>
      </c>
      <c r="H1004" s="1">
        <v>46128</v>
      </c>
      <c r="I1004" t="s">
        <v>7107</v>
      </c>
      <c r="J1004" t="s">
        <v>7108</v>
      </c>
      <c r="K1004" t="s">
        <v>2965</v>
      </c>
      <c r="L1004" t="s">
        <v>927</v>
      </c>
      <c r="M1004" t="s">
        <v>4732</v>
      </c>
      <c r="N1004" s="166">
        <v>22.12</v>
      </c>
      <c r="O1004" t="s">
        <v>131</v>
      </c>
    </row>
    <row r="1005" spans="1:15">
      <c r="A1005" s="166" t="s">
        <v>7109</v>
      </c>
      <c r="B1005" t="s">
        <v>111</v>
      </c>
      <c r="C1005" t="s">
        <v>134</v>
      </c>
      <c r="D1005" t="s">
        <v>116</v>
      </c>
      <c r="E1005" t="s">
        <v>418</v>
      </c>
      <c r="F1005" t="s">
        <v>7</v>
      </c>
      <c r="G1005" t="s">
        <v>130</v>
      </c>
      <c r="H1005" s="1">
        <v>46128</v>
      </c>
      <c r="I1005" t="s">
        <v>7110</v>
      </c>
      <c r="J1005" t="s">
        <v>7111</v>
      </c>
      <c r="K1005" t="s">
        <v>2803</v>
      </c>
      <c r="L1005" t="s">
        <v>777</v>
      </c>
      <c r="M1005" t="s">
        <v>7112</v>
      </c>
      <c r="N1005" s="166">
        <v>10.62</v>
      </c>
      <c r="O1005" t="s">
        <v>131</v>
      </c>
    </row>
    <row r="1006" spans="1:15">
      <c r="A1006" s="166" t="s">
        <v>7113</v>
      </c>
      <c r="B1006" t="s">
        <v>111</v>
      </c>
      <c r="C1006" t="s">
        <v>406</v>
      </c>
      <c r="D1006" t="s">
        <v>116</v>
      </c>
      <c r="E1006" t="s">
        <v>418</v>
      </c>
      <c r="F1006" t="s">
        <v>7</v>
      </c>
      <c r="G1006" t="s">
        <v>130</v>
      </c>
      <c r="H1006" s="1">
        <v>46128</v>
      </c>
      <c r="I1006" t="s">
        <v>7114</v>
      </c>
      <c r="J1006" t="s">
        <v>7115</v>
      </c>
      <c r="K1006" t="s">
        <v>160</v>
      </c>
      <c r="L1006" t="s">
        <v>831</v>
      </c>
      <c r="M1006" t="s">
        <v>3631</v>
      </c>
      <c r="N1006" s="166">
        <v>22.52</v>
      </c>
      <c r="O1006" t="s">
        <v>131</v>
      </c>
    </row>
    <row r="1007" spans="1:15">
      <c r="A1007" s="166" t="s">
        <v>7116</v>
      </c>
      <c r="B1007" t="s">
        <v>111</v>
      </c>
      <c r="C1007" t="s">
        <v>133</v>
      </c>
      <c r="D1007" t="s">
        <v>118</v>
      </c>
      <c r="E1007" t="s">
        <v>139</v>
      </c>
      <c r="F1007" t="s">
        <v>6</v>
      </c>
      <c r="G1007" t="s">
        <v>130</v>
      </c>
      <c r="H1007" s="1">
        <v>46128</v>
      </c>
      <c r="I1007" t="s">
        <v>7117</v>
      </c>
      <c r="J1007" t="s">
        <v>7118</v>
      </c>
      <c r="K1007" t="s">
        <v>659</v>
      </c>
      <c r="L1007" t="s">
        <v>1101</v>
      </c>
      <c r="M1007" t="s">
        <v>1178</v>
      </c>
      <c r="N1007" s="166">
        <v>21.12</v>
      </c>
      <c r="O1007" t="s">
        <v>131</v>
      </c>
    </row>
    <row r="1008" spans="1:15">
      <c r="A1008" s="166" t="s">
        <v>7119</v>
      </c>
      <c r="B1008" t="s">
        <v>111</v>
      </c>
      <c r="C1008" t="s">
        <v>134</v>
      </c>
      <c r="D1008" t="s">
        <v>118</v>
      </c>
      <c r="E1008" t="s">
        <v>2618</v>
      </c>
      <c r="F1008" t="s">
        <v>6</v>
      </c>
      <c r="G1008" t="s">
        <v>130</v>
      </c>
      <c r="H1008" s="1">
        <v>46128</v>
      </c>
      <c r="I1008" t="s">
        <v>7120</v>
      </c>
      <c r="J1008" t="s">
        <v>7121</v>
      </c>
      <c r="K1008" t="s">
        <v>1453</v>
      </c>
      <c r="L1008" t="s">
        <v>144</v>
      </c>
      <c r="M1008" t="s">
        <v>2589</v>
      </c>
      <c r="N1008" s="166">
        <v>17.14</v>
      </c>
      <c r="O1008" t="s">
        <v>131</v>
      </c>
    </row>
    <row r="1009" spans="1:15">
      <c r="A1009" s="166" t="s">
        <v>7122</v>
      </c>
      <c r="B1009" t="s">
        <v>111</v>
      </c>
      <c r="C1009" t="s">
        <v>1104</v>
      </c>
      <c r="D1009" t="s">
        <v>118</v>
      </c>
      <c r="E1009" t="s">
        <v>139</v>
      </c>
      <c r="F1009" t="s">
        <v>6</v>
      </c>
      <c r="G1009" t="s">
        <v>130</v>
      </c>
      <c r="H1009" s="1">
        <v>46128</v>
      </c>
      <c r="I1009" t="s">
        <v>7123</v>
      </c>
      <c r="J1009" t="s">
        <v>7124</v>
      </c>
      <c r="K1009" t="s">
        <v>5707</v>
      </c>
      <c r="L1009" t="s">
        <v>3441</v>
      </c>
      <c r="M1009" t="s">
        <v>3203</v>
      </c>
      <c r="N1009" s="166">
        <v>20.76</v>
      </c>
      <c r="O1009" t="s">
        <v>131</v>
      </c>
    </row>
    <row r="1010" spans="1:15">
      <c r="A1010" s="166" t="s">
        <v>7125</v>
      </c>
      <c r="B1010" t="s">
        <v>111</v>
      </c>
      <c r="C1010" t="s">
        <v>406</v>
      </c>
      <c r="D1010" t="s">
        <v>118</v>
      </c>
      <c r="E1010" t="s">
        <v>2618</v>
      </c>
      <c r="F1010" t="s">
        <v>6</v>
      </c>
      <c r="G1010" t="s">
        <v>130</v>
      </c>
      <c r="H1010" s="1">
        <v>46128</v>
      </c>
      <c r="I1010" t="s">
        <v>7126</v>
      </c>
      <c r="J1010" t="s">
        <v>7127</v>
      </c>
      <c r="K1010" t="s">
        <v>1256</v>
      </c>
      <c r="L1010" t="s">
        <v>144</v>
      </c>
      <c r="M1010" t="s">
        <v>3898</v>
      </c>
      <c r="N1010" s="166">
        <v>19.059999999999999</v>
      </c>
      <c r="O1010" t="s">
        <v>131</v>
      </c>
    </row>
    <row r="1011" spans="1:15">
      <c r="A1011" s="166" t="s">
        <v>7128</v>
      </c>
      <c r="B1011" t="s">
        <v>111</v>
      </c>
      <c r="C1011" t="s">
        <v>136</v>
      </c>
      <c r="D1011" t="s">
        <v>118</v>
      </c>
      <c r="E1011" t="s">
        <v>139</v>
      </c>
      <c r="F1011" t="s">
        <v>6</v>
      </c>
      <c r="G1011" t="s">
        <v>130</v>
      </c>
      <c r="H1011" s="1">
        <v>46128</v>
      </c>
      <c r="I1011" t="s">
        <v>7129</v>
      </c>
      <c r="J1011" t="s">
        <v>7130</v>
      </c>
      <c r="K1011" t="s">
        <v>4879</v>
      </c>
      <c r="L1011" t="s">
        <v>1286</v>
      </c>
      <c r="M1011" t="s">
        <v>1934</v>
      </c>
      <c r="N1011" s="166">
        <v>19.62</v>
      </c>
      <c r="O1011" t="s">
        <v>131</v>
      </c>
    </row>
    <row r="1012" spans="1:15">
      <c r="A1012" s="166" t="s">
        <v>7131</v>
      </c>
      <c r="B1012" t="s">
        <v>111</v>
      </c>
      <c r="C1012" t="s">
        <v>134</v>
      </c>
      <c r="D1012" t="s">
        <v>118</v>
      </c>
      <c r="E1012" t="s">
        <v>2618</v>
      </c>
      <c r="F1012" t="s">
        <v>6</v>
      </c>
      <c r="G1012" t="s">
        <v>130</v>
      </c>
      <c r="H1012" s="1">
        <v>46128</v>
      </c>
      <c r="I1012" t="s">
        <v>7132</v>
      </c>
      <c r="J1012" t="s">
        <v>7133</v>
      </c>
      <c r="K1012" t="s">
        <v>7134</v>
      </c>
      <c r="L1012" t="s">
        <v>144</v>
      </c>
      <c r="M1012" t="s">
        <v>7135</v>
      </c>
      <c r="N1012" s="166">
        <v>11.88</v>
      </c>
      <c r="O1012" t="s">
        <v>131</v>
      </c>
    </row>
    <row r="1013" spans="1:15">
      <c r="A1013" s="166" t="s">
        <v>7136</v>
      </c>
      <c r="B1013" t="s">
        <v>111</v>
      </c>
      <c r="C1013" t="s">
        <v>133</v>
      </c>
      <c r="D1013" t="s">
        <v>118</v>
      </c>
      <c r="E1013" t="s">
        <v>139</v>
      </c>
      <c r="F1013" t="s">
        <v>6</v>
      </c>
      <c r="G1013" t="s">
        <v>130</v>
      </c>
      <c r="H1013" s="1">
        <v>46128</v>
      </c>
      <c r="I1013" t="s">
        <v>7137</v>
      </c>
      <c r="J1013" t="s">
        <v>7138</v>
      </c>
      <c r="K1013" t="s">
        <v>1564</v>
      </c>
      <c r="L1013" t="s">
        <v>2549</v>
      </c>
      <c r="M1013" t="s">
        <v>751</v>
      </c>
      <c r="N1013" s="166">
        <v>20.88</v>
      </c>
      <c r="O1013" t="s">
        <v>131</v>
      </c>
    </row>
    <row r="1014" spans="1:15">
      <c r="A1014" s="166" t="s">
        <v>3168</v>
      </c>
      <c r="B1014" t="s">
        <v>111</v>
      </c>
      <c r="C1014" t="s">
        <v>406</v>
      </c>
      <c r="D1014" t="s">
        <v>118</v>
      </c>
      <c r="E1014" t="s">
        <v>2618</v>
      </c>
      <c r="F1014" t="s">
        <v>6</v>
      </c>
      <c r="G1014" t="s">
        <v>130</v>
      </c>
      <c r="H1014" s="1">
        <v>46128</v>
      </c>
      <c r="I1014" t="s">
        <v>7139</v>
      </c>
      <c r="J1014" t="s">
        <v>7140</v>
      </c>
      <c r="K1014" t="s">
        <v>2042</v>
      </c>
      <c r="L1014" t="s">
        <v>1072</v>
      </c>
      <c r="M1014" t="s">
        <v>3723</v>
      </c>
      <c r="N1014" s="166">
        <v>24.16</v>
      </c>
      <c r="O1014" t="s">
        <v>131</v>
      </c>
    </row>
    <row r="1015" spans="1:15">
      <c r="A1015" s="166" t="s">
        <v>7141</v>
      </c>
      <c r="B1015" t="s">
        <v>111</v>
      </c>
      <c r="C1015" t="s">
        <v>1104</v>
      </c>
      <c r="D1015" t="s">
        <v>118</v>
      </c>
      <c r="E1015" t="s">
        <v>139</v>
      </c>
      <c r="F1015" t="s">
        <v>6</v>
      </c>
      <c r="G1015" t="s">
        <v>130</v>
      </c>
      <c r="H1015" s="1">
        <v>46128</v>
      </c>
      <c r="I1015" t="s">
        <v>7142</v>
      </c>
      <c r="J1015" t="s">
        <v>7143</v>
      </c>
      <c r="K1015" t="s">
        <v>470</v>
      </c>
      <c r="L1015" t="s">
        <v>1101</v>
      </c>
      <c r="M1015" t="s">
        <v>1587</v>
      </c>
      <c r="N1015" s="166">
        <v>20.5</v>
      </c>
      <c r="O1015" t="s">
        <v>131</v>
      </c>
    </row>
    <row r="1016" spans="1:15">
      <c r="A1016" s="166" t="s">
        <v>7144</v>
      </c>
      <c r="B1016" t="s">
        <v>111</v>
      </c>
      <c r="C1016" t="s">
        <v>134</v>
      </c>
      <c r="D1016" t="s">
        <v>118</v>
      </c>
      <c r="E1016" t="s">
        <v>2618</v>
      </c>
      <c r="F1016" t="s">
        <v>6</v>
      </c>
      <c r="G1016" t="s">
        <v>130</v>
      </c>
      <c r="H1016" s="1">
        <v>46128</v>
      </c>
      <c r="I1016" t="s">
        <v>7145</v>
      </c>
      <c r="J1016" t="s">
        <v>7146</v>
      </c>
      <c r="K1016" t="s">
        <v>2677</v>
      </c>
      <c r="L1016" t="s">
        <v>801</v>
      </c>
      <c r="M1016" t="s">
        <v>5930</v>
      </c>
      <c r="N1016" s="166">
        <v>23.52</v>
      </c>
      <c r="O1016" t="s">
        <v>131</v>
      </c>
    </row>
    <row r="1017" spans="1:15">
      <c r="A1017" s="166" t="s">
        <v>7147</v>
      </c>
      <c r="B1017" t="s">
        <v>111</v>
      </c>
      <c r="C1017" t="s">
        <v>136</v>
      </c>
      <c r="D1017" t="s">
        <v>118</v>
      </c>
      <c r="E1017" t="s">
        <v>139</v>
      </c>
      <c r="F1017" t="s">
        <v>6</v>
      </c>
      <c r="G1017" t="s">
        <v>130</v>
      </c>
      <c r="H1017" s="1">
        <v>46128</v>
      </c>
      <c r="I1017" t="s">
        <v>7148</v>
      </c>
      <c r="J1017" t="s">
        <v>7149</v>
      </c>
      <c r="K1017" t="s">
        <v>1451</v>
      </c>
      <c r="L1017" t="s">
        <v>1493</v>
      </c>
      <c r="M1017" t="s">
        <v>1866</v>
      </c>
      <c r="N1017" s="166">
        <v>22.28</v>
      </c>
      <c r="O1017" t="s">
        <v>131</v>
      </c>
    </row>
    <row r="1018" spans="1:15">
      <c r="A1018" s="166" t="s">
        <v>7150</v>
      </c>
      <c r="B1018" t="s">
        <v>111</v>
      </c>
      <c r="C1018" t="s">
        <v>1104</v>
      </c>
      <c r="D1018" t="s">
        <v>118</v>
      </c>
      <c r="E1018" t="s">
        <v>139</v>
      </c>
      <c r="F1018" t="s">
        <v>6</v>
      </c>
      <c r="G1018" t="s">
        <v>130</v>
      </c>
      <c r="H1018" s="1">
        <v>46128</v>
      </c>
      <c r="I1018" t="s">
        <v>7151</v>
      </c>
      <c r="J1018" t="s">
        <v>7152</v>
      </c>
      <c r="K1018" t="s">
        <v>1581</v>
      </c>
      <c r="L1018" t="s">
        <v>212</v>
      </c>
      <c r="M1018" t="s">
        <v>1977</v>
      </c>
      <c r="N1018" s="166">
        <v>18.66</v>
      </c>
      <c r="O1018" t="s">
        <v>131</v>
      </c>
    </row>
    <row r="1019" spans="1:15">
      <c r="A1019" s="166" t="s">
        <v>7153</v>
      </c>
      <c r="B1019" t="s">
        <v>111</v>
      </c>
      <c r="C1019" t="s">
        <v>406</v>
      </c>
      <c r="D1019" t="s">
        <v>118</v>
      </c>
      <c r="E1019" t="s">
        <v>2618</v>
      </c>
      <c r="F1019" t="s">
        <v>6</v>
      </c>
      <c r="G1019" t="s">
        <v>130</v>
      </c>
      <c r="H1019" s="1">
        <v>46128</v>
      </c>
      <c r="I1019" t="s">
        <v>7154</v>
      </c>
      <c r="J1019" t="s">
        <v>7155</v>
      </c>
      <c r="K1019" t="s">
        <v>2394</v>
      </c>
      <c r="L1019" t="s">
        <v>777</v>
      </c>
      <c r="M1019" t="s">
        <v>1628</v>
      </c>
      <c r="N1019" s="166">
        <v>23.66</v>
      </c>
      <c r="O1019" t="s">
        <v>131</v>
      </c>
    </row>
    <row r="1020" spans="1:15">
      <c r="A1020" s="166" t="s">
        <v>7156</v>
      </c>
      <c r="B1020" t="s">
        <v>111</v>
      </c>
      <c r="C1020" t="s">
        <v>133</v>
      </c>
      <c r="D1020" t="s">
        <v>118</v>
      </c>
      <c r="E1020" t="s">
        <v>139</v>
      </c>
      <c r="F1020" t="s">
        <v>6</v>
      </c>
      <c r="G1020" t="s">
        <v>130</v>
      </c>
      <c r="H1020" s="1">
        <v>46128</v>
      </c>
      <c r="I1020" t="s">
        <v>7157</v>
      </c>
      <c r="J1020" t="s">
        <v>7158</v>
      </c>
      <c r="K1020" t="s">
        <v>1463</v>
      </c>
      <c r="L1020" t="s">
        <v>3192</v>
      </c>
      <c r="M1020" t="s">
        <v>773</v>
      </c>
      <c r="N1020" s="166">
        <v>20.66</v>
      </c>
      <c r="O1020" t="s">
        <v>131</v>
      </c>
    </row>
    <row r="1021" spans="1:15">
      <c r="A1021" s="166" t="s">
        <v>7159</v>
      </c>
      <c r="B1021" t="s">
        <v>111</v>
      </c>
      <c r="C1021" t="s">
        <v>1104</v>
      </c>
      <c r="D1021" t="s">
        <v>118</v>
      </c>
      <c r="E1021" t="s">
        <v>139</v>
      </c>
      <c r="F1021" t="s">
        <v>6</v>
      </c>
      <c r="G1021" t="s">
        <v>130</v>
      </c>
      <c r="H1021" s="1">
        <v>46128</v>
      </c>
      <c r="I1021" t="s">
        <v>7160</v>
      </c>
      <c r="J1021" t="s">
        <v>7161</v>
      </c>
      <c r="K1021" t="s">
        <v>1056</v>
      </c>
      <c r="L1021" t="s">
        <v>2549</v>
      </c>
      <c r="M1021" t="s">
        <v>1430</v>
      </c>
      <c r="N1021" s="166">
        <v>18.899999999999999</v>
      </c>
      <c r="O1021" t="s">
        <v>131</v>
      </c>
    </row>
    <row r="1022" spans="1:15">
      <c r="A1022" s="166" t="s">
        <v>7162</v>
      </c>
      <c r="B1022" t="s">
        <v>111</v>
      </c>
      <c r="C1022" t="s">
        <v>133</v>
      </c>
      <c r="D1022" t="s">
        <v>118</v>
      </c>
      <c r="E1022" t="s">
        <v>139</v>
      </c>
      <c r="F1022" t="s">
        <v>6</v>
      </c>
      <c r="G1022" t="s">
        <v>130</v>
      </c>
      <c r="H1022" s="1">
        <v>46128</v>
      </c>
      <c r="I1022" t="s">
        <v>7163</v>
      </c>
      <c r="J1022" t="s">
        <v>7164</v>
      </c>
      <c r="K1022" t="s">
        <v>3524</v>
      </c>
      <c r="L1022" t="s">
        <v>4662</v>
      </c>
      <c r="M1022" t="s">
        <v>444</v>
      </c>
      <c r="N1022" s="166">
        <v>20.079999999999998</v>
      </c>
      <c r="O1022" t="s">
        <v>131</v>
      </c>
    </row>
    <row r="1023" spans="1:15">
      <c r="A1023" s="166" t="s">
        <v>7165</v>
      </c>
      <c r="B1023" t="s">
        <v>111</v>
      </c>
      <c r="C1023" t="s">
        <v>1104</v>
      </c>
      <c r="D1023" t="s">
        <v>118</v>
      </c>
      <c r="E1023" t="s">
        <v>139</v>
      </c>
      <c r="F1023" t="s">
        <v>6</v>
      </c>
      <c r="G1023" t="s">
        <v>130</v>
      </c>
      <c r="H1023" s="1">
        <v>46128</v>
      </c>
      <c r="I1023" t="s">
        <v>7166</v>
      </c>
      <c r="J1023" t="s">
        <v>7167</v>
      </c>
      <c r="K1023" t="s">
        <v>2379</v>
      </c>
      <c r="L1023" t="s">
        <v>4662</v>
      </c>
      <c r="M1023" t="s">
        <v>1252</v>
      </c>
      <c r="N1023" s="166">
        <v>18.36</v>
      </c>
      <c r="O1023" t="s">
        <v>131</v>
      </c>
    </row>
    <row r="1024" spans="1:15">
      <c r="A1024" s="166" t="s">
        <v>7168</v>
      </c>
      <c r="B1024" t="s">
        <v>111</v>
      </c>
      <c r="C1024" t="s">
        <v>406</v>
      </c>
      <c r="D1024" t="s">
        <v>118</v>
      </c>
      <c r="E1024" t="s">
        <v>2618</v>
      </c>
      <c r="F1024" t="s">
        <v>6</v>
      </c>
      <c r="G1024" t="s">
        <v>130</v>
      </c>
      <c r="H1024" s="1">
        <v>46128</v>
      </c>
      <c r="I1024" t="s">
        <v>7169</v>
      </c>
      <c r="J1024" t="s">
        <v>7170</v>
      </c>
      <c r="K1024" t="s">
        <v>1965</v>
      </c>
      <c r="L1024" t="s">
        <v>144</v>
      </c>
      <c r="M1024" t="s">
        <v>1237</v>
      </c>
      <c r="N1024" s="166">
        <v>20.059999999999999</v>
      </c>
      <c r="O1024" t="s">
        <v>131</v>
      </c>
    </row>
    <row r="1025" spans="1:15">
      <c r="A1025" s="166" t="s">
        <v>7171</v>
      </c>
      <c r="B1025" t="s">
        <v>111</v>
      </c>
      <c r="C1025" t="s">
        <v>133</v>
      </c>
      <c r="D1025" t="s">
        <v>118</v>
      </c>
      <c r="E1025" t="s">
        <v>139</v>
      </c>
      <c r="F1025" t="s">
        <v>6</v>
      </c>
      <c r="G1025" t="s">
        <v>130</v>
      </c>
      <c r="H1025" s="1">
        <v>46128</v>
      </c>
      <c r="I1025" t="s">
        <v>7172</v>
      </c>
      <c r="J1025" t="s">
        <v>7173</v>
      </c>
      <c r="K1025" t="s">
        <v>2198</v>
      </c>
      <c r="L1025" t="s">
        <v>3028</v>
      </c>
      <c r="M1025" t="s">
        <v>6807</v>
      </c>
      <c r="N1025" s="166">
        <v>21.74</v>
      </c>
      <c r="O1025" t="s">
        <v>131</v>
      </c>
    </row>
    <row r="1026" spans="1:15">
      <c r="A1026" s="166" t="s">
        <v>7174</v>
      </c>
      <c r="B1026" t="s">
        <v>111</v>
      </c>
      <c r="C1026" t="s">
        <v>134</v>
      </c>
      <c r="D1026" t="s">
        <v>118</v>
      </c>
      <c r="E1026" t="s">
        <v>2618</v>
      </c>
      <c r="F1026" t="s">
        <v>6</v>
      </c>
      <c r="G1026" t="s">
        <v>130</v>
      </c>
      <c r="H1026" s="1">
        <v>46128</v>
      </c>
      <c r="I1026" t="s">
        <v>7175</v>
      </c>
      <c r="J1026" t="s">
        <v>7176</v>
      </c>
      <c r="K1026" t="s">
        <v>204</v>
      </c>
      <c r="L1026" t="s">
        <v>974</v>
      </c>
      <c r="M1026" t="s">
        <v>1553</v>
      </c>
      <c r="N1026" s="166">
        <v>20.239999999999998</v>
      </c>
      <c r="O1026" t="s">
        <v>131</v>
      </c>
    </row>
    <row r="1027" spans="1:15">
      <c r="A1027" s="166" t="s">
        <v>7177</v>
      </c>
      <c r="B1027" t="s">
        <v>111</v>
      </c>
      <c r="C1027" t="s">
        <v>136</v>
      </c>
      <c r="D1027" t="s">
        <v>118</v>
      </c>
      <c r="E1027" t="s">
        <v>2618</v>
      </c>
      <c r="F1027" t="s">
        <v>6</v>
      </c>
      <c r="G1027" t="s">
        <v>130</v>
      </c>
      <c r="H1027" s="1">
        <v>46128</v>
      </c>
      <c r="I1027" t="s">
        <v>7178</v>
      </c>
      <c r="J1027" t="s">
        <v>7179</v>
      </c>
      <c r="K1027" t="s">
        <v>1619</v>
      </c>
      <c r="L1027" t="s">
        <v>4556</v>
      </c>
      <c r="M1027" t="s">
        <v>861</v>
      </c>
      <c r="N1027" s="166">
        <v>21.84</v>
      </c>
      <c r="O1027" t="s">
        <v>131</v>
      </c>
    </row>
    <row r="1028" spans="1:15">
      <c r="A1028" s="166" t="s">
        <v>7180</v>
      </c>
      <c r="B1028" t="s">
        <v>111</v>
      </c>
      <c r="C1028" t="s">
        <v>406</v>
      </c>
      <c r="D1028" t="s">
        <v>118</v>
      </c>
      <c r="E1028" t="s">
        <v>2618</v>
      </c>
      <c r="F1028" t="s">
        <v>6</v>
      </c>
      <c r="G1028" t="s">
        <v>130</v>
      </c>
      <c r="H1028" s="1">
        <v>46128</v>
      </c>
      <c r="I1028" t="s">
        <v>7181</v>
      </c>
      <c r="J1028" t="s">
        <v>7182</v>
      </c>
      <c r="K1028" t="s">
        <v>1861</v>
      </c>
      <c r="L1028" t="s">
        <v>761</v>
      </c>
      <c r="M1028" t="s">
        <v>1057</v>
      </c>
      <c r="N1028" s="166">
        <v>20.14</v>
      </c>
      <c r="O1028" t="s">
        <v>131</v>
      </c>
    </row>
    <row r="1029" spans="1:15">
      <c r="A1029" s="166" t="s">
        <v>7183</v>
      </c>
      <c r="B1029" t="s">
        <v>111</v>
      </c>
      <c r="C1029" t="s">
        <v>1104</v>
      </c>
      <c r="D1029" t="s">
        <v>118</v>
      </c>
      <c r="E1029" t="s">
        <v>139</v>
      </c>
      <c r="F1029" t="s">
        <v>6</v>
      </c>
      <c r="G1029" t="s">
        <v>130</v>
      </c>
      <c r="H1029" s="1">
        <v>46128</v>
      </c>
      <c r="I1029" t="s">
        <v>7184</v>
      </c>
      <c r="J1029" t="s">
        <v>7185</v>
      </c>
      <c r="K1029" t="s">
        <v>610</v>
      </c>
      <c r="L1029" t="s">
        <v>1114</v>
      </c>
      <c r="M1029" t="s">
        <v>1145</v>
      </c>
      <c r="N1029" s="166">
        <v>19.579999999999998</v>
      </c>
      <c r="O1029" t="s">
        <v>131</v>
      </c>
    </row>
    <row r="1030" spans="1:15">
      <c r="A1030" s="166" t="s">
        <v>7186</v>
      </c>
      <c r="B1030" t="s">
        <v>111</v>
      </c>
      <c r="C1030" t="s">
        <v>133</v>
      </c>
      <c r="D1030" t="s">
        <v>118</v>
      </c>
      <c r="E1030" t="s">
        <v>139</v>
      </c>
      <c r="F1030" t="s">
        <v>6</v>
      </c>
      <c r="G1030" t="s">
        <v>130</v>
      </c>
      <c r="H1030" s="1">
        <v>46128</v>
      </c>
      <c r="I1030" t="s">
        <v>7187</v>
      </c>
      <c r="J1030" t="s">
        <v>7188</v>
      </c>
      <c r="K1030" t="s">
        <v>1880</v>
      </c>
      <c r="L1030" t="s">
        <v>2531</v>
      </c>
      <c r="M1030" t="s">
        <v>1577</v>
      </c>
      <c r="N1030" s="166">
        <v>19.22</v>
      </c>
      <c r="O1030" t="s">
        <v>131</v>
      </c>
    </row>
    <row r="1031" spans="1:15">
      <c r="A1031" s="166" t="s">
        <v>7189</v>
      </c>
      <c r="B1031" t="s">
        <v>111</v>
      </c>
      <c r="C1031" t="s">
        <v>134</v>
      </c>
      <c r="D1031" t="s">
        <v>118</v>
      </c>
      <c r="E1031" t="s">
        <v>2618</v>
      </c>
      <c r="F1031" t="s">
        <v>6</v>
      </c>
      <c r="G1031" t="s">
        <v>130</v>
      </c>
      <c r="H1031" s="1">
        <v>46128</v>
      </c>
      <c r="I1031" t="s">
        <v>7190</v>
      </c>
      <c r="J1031" t="s">
        <v>7191</v>
      </c>
      <c r="K1031" t="s">
        <v>173</v>
      </c>
      <c r="L1031" t="s">
        <v>730</v>
      </c>
      <c r="M1031" t="s">
        <v>812</v>
      </c>
      <c r="N1031" s="166">
        <v>24.18</v>
      </c>
      <c r="O1031" t="s">
        <v>131</v>
      </c>
    </row>
    <row r="1032" spans="1:15">
      <c r="A1032" s="166" t="s">
        <v>7192</v>
      </c>
      <c r="B1032" t="s">
        <v>111</v>
      </c>
      <c r="C1032" t="s">
        <v>136</v>
      </c>
      <c r="D1032" t="s">
        <v>118</v>
      </c>
      <c r="E1032" t="s">
        <v>2618</v>
      </c>
      <c r="F1032" t="s">
        <v>6</v>
      </c>
      <c r="G1032" t="s">
        <v>130</v>
      </c>
      <c r="H1032" s="1">
        <v>46128</v>
      </c>
      <c r="I1032" t="s">
        <v>7193</v>
      </c>
      <c r="J1032" t="s">
        <v>7194</v>
      </c>
      <c r="K1032" t="s">
        <v>4312</v>
      </c>
      <c r="L1032" t="s">
        <v>3152</v>
      </c>
      <c r="M1032" t="s">
        <v>2165</v>
      </c>
      <c r="N1032" s="166">
        <v>21.26</v>
      </c>
      <c r="O1032" t="s">
        <v>131</v>
      </c>
    </row>
    <row r="1033" spans="1:15">
      <c r="A1033" s="166" t="s">
        <v>7195</v>
      </c>
      <c r="B1033" t="s">
        <v>111</v>
      </c>
      <c r="C1033" t="s">
        <v>406</v>
      </c>
      <c r="D1033" t="s">
        <v>118</v>
      </c>
      <c r="E1033" t="s">
        <v>139</v>
      </c>
      <c r="F1033" t="s">
        <v>6</v>
      </c>
      <c r="G1033" t="s">
        <v>130</v>
      </c>
      <c r="H1033" s="1">
        <v>46128</v>
      </c>
      <c r="I1033" t="s">
        <v>7196</v>
      </c>
      <c r="J1033" t="s">
        <v>7197</v>
      </c>
      <c r="K1033" t="s">
        <v>595</v>
      </c>
      <c r="L1033" t="s">
        <v>616</v>
      </c>
      <c r="M1033" t="s">
        <v>2086</v>
      </c>
      <c r="N1033" s="166">
        <v>19.559999999999999</v>
      </c>
      <c r="O1033" t="s">
        <v>131</v>
      </c>
    </row>
    <row r="1034" spans="1:15">
      <c r="A1034" s="166" t="s">
        <v>1172</v>
      </c>
      <c r="B1034" t="s">
        <v>111</v>
      </c>
      <c r="C1034" t="s">
        <v>134</v>
      </c>
      <c r="D1034" t="s">
        <v>118</v>
      </c>
      <c r="E1034" t="s">
        <v>139</v>
      </c>
      <c r="F1034" t="s">
        <v>6</v>
      </c>
      <c r="G1034" t="s">
        <v>130</v>
      </c>
      <c r="H1034" s="1">
        <v>46128</v>
      </c>
      <c r="I1034" t="s">
        <v>7198</v>
      </c>
      <c r="J1034" t="s">
        <v>7199</v>
      </c>
      <c r="K1034" t="s">
        <v>1549</v>
      </c>
      <c r="L1034" t="s">
        <v>812</v>
      </c>
      <c r="M1034" t="s">
        <v>7200</v>
      </c>
      <c r="N1034" s="166">
        <v>11.86</v>
      </c>
      <c r="O1034" t="s">
        <v>131</v>
      </c>
    </row>
    <row r="1035" spans="1:15">
      <c r="A1035" s="166" t="s">
        <v>7201</v>
      </c>
      <c r="B1035" t="s">
        <v>111</v>
      </c>
      <c r="C1035" t="s">
        <v>136</v>
      </c>
      <c r="D1035" t="s">
        <v>118</v>
      </c>
      <c r="E1035" t="s">
        <v>139</v>
      </c>
      <c r="F1035" t="s">
        <v>6</v>
      </c>
      <c r="G1035" t="s">
        <v>130</v>
      </c>
      <c r="H1035" s="1">
        <v>46128</v>
      </c>
      <c r="I1035" t="s">
        <v>7202</v>
      </c>
      <c r="J1035" t="s">
        <v>7203</v>
      </c>
      <c r="K1035" t="s">
        <v>1749</v>
      </c>
      <c r="L1035" t="s">
        <v>2572</v>
      </c>
      <c r="M1035" t="s">
        <v>3229</v>
      </c>
      <c r="N1035" s="166">
        <v>17.399999999999999</v>
      </c>
      <c r="O1035" t="s">
        <v>131</v>
      </c>
    </row>
    <row r="1036" spans="1:15">
      <c r="A1036" s="166" t="s">
        <v>7204</v>
      </c>
      <c r="B1036" t="s">
        <v>111</v>
      </c>
      <c r="C1036" t="s">
        <v>406</v>
      </c>
      <c r="D1036" t="s">
        <v>118</v>
      </c>
      <c r="E1036" t="s">
        <v>139</v>
      </c>
      <c r="F1036" t="s">
        <v>6</v>
      </c>
      <c r="G1036" t="s">
        <v>130</v>
      </c>
      <c r="H1036" s="1">
        <v>46128</v>
      </c>
      <c r="I1036" t="s">
        <v>7205</v>
      </c>
      <c r="J1036" t="s">
        <v>7206</v>
      </c>
      <c r="K1036" t="s">
        <v>2567</v>
      </c>
      <c r="L1036" t="s">
        <v>901</v>
      </c>
      <c r="M1036" t="s">
        <v>623</v>
      </c>
      <c r="N1036" s="166">
        <v>20.86</v>
      </c>
      <c r="O1036" t="s">
        <v>131</v>
      </c>
    </row>
    <row r="1037" spans="1:15">
      <c r="A1037" s="166" t="s">
        <v>7207</v>
      </c>
      <c r="B1037" t="s">
        <v>111</v>
      </c>
      <c r="C1037" t="s">
        <v>134</v>
      </c>
      <c r="D1037" t="s">
        <v>118</v>
      </c>
      <c r="E1037" t="s">
        <v>139</v>
      </c>
      <c r="F1037" t="s">
        <v>6</v>
      </c>
      <c r="G1037" t="s">
        <v>130</v>
      </c>
      <c r="H1037" s="1">
        <v>46128</v>
      </c>
      <c r="I1037" t="s">
        <v>7208</v>
      </c>
      <c r="J1037" t="s">
        <v>7209</v>
      </c>
      <c r="K1037" t="s">
        <v>1536</v>
      </c>
      <c r="L1037" t="s">
        <v>144</v>
      </c>
      <c r="M1037" t="s">
        <v>493</v>
      </c>
      <c r="N1037" s="166">
        <v>22.16</v>
      </c>
      <c r="O1037" t="s">
        <v>131</v>
      </c>
    </row>
    <row r="1038" spans="1:15">
      <c r="A1038" s="166" t="s">
        <v>7210</v>
      </c>
      <c r="B1038" t="s">
        <v>111</v>
      </c>
      <c r="C1038" t="s">
        <v>136</v>
      </c>
      <c r="D1038" t="s">
        <v>118</v>
      </c>
      <c r="E1038" t="s">
        <v>139</v>
      </c>
      <c r="F1038" t="s">
        <v>6</v>
      </c>
      <c r="G1038" t="s">
        <v>130</v>
      </c>
      <c r="H1038" s="1">
        <v>46128</v>
      </c>
      <c r="I1038" t="s">
        <v>7211</v>
      </c>
      <c r="J1038" t="s">
        <v>7212</v>
      </c>
      <c r="K1038" t="s">
        <v>1521</v>
      </c>
      <c r="L1038" t="s">
        <v>2758</v>
      </c>
      <c r="M1038" t="s">
        <v>2086</v>
      </c>
      <c r="N1038" s="166">
        <v>19.559999999999999</v>
      </c>
      <c r="O1038" t="s">
        <v>131</v>
      </c>
    </row>
    <row r="1039" spans="1:15">
      <c r="A1039" s="166" t="s">
        <v>7213</v>
      </c>
      <c r="B1039" t="s">
        <v>111</v>
      </c>
      <c r="C1039" t="s">
        <v>406</v>
      </c>
      <c r="D1039" t="s">
        <v>118</v>
      </c>
      <c r="E1039" t="s">
        <v>2618</v>
      </c>
      <c r="F1039" t="s">
        <v>6</v>
      </c>
      <c r="G1039" t="s">
        <v>130</v>
      </c>
      <c r="H1039" s="1">
        <v>46128</v>
      </c>
      <c r="I1039" t="s">
        <v>7214</v>
      </c>
      <c r="J1039" t="s">
        <v>7215</v>
      </c>
      <c r="K1039" t="s">
        <v>1793</v>
      </c>
      <c r="L1039" t="s">
        <v>1663</v>
      </c>
      <c r="M1039" t="s">
        <v>2474</v>
      </c>
      <c r="N1039" s="166">
        <v>17.68</v>
      </c>
      <c r="O1039" t="s">
        <v>131</v>
      </c>
    </row>
    <row r="1040" spans="1:15">
      <c r="A1040" s="166" t="s">
        <v>7216</v>
      </c>
      <c r="B1040" t="s">
        <v>111</v>
      </c>
      <c r="C1040" t="s">
        <v>134</v>
      </c>
      <c r="D1040" t="s">
        <v>118</v>
      </c>
      <c r="E1040" t="s">
        <v>2618</v>
      </c>
      <c r="F1040" t="s">
        <v>6</v>
      </c>
      <c r="G1040" t="s">
        <v>130</v>
      </c>
      <c r="H1040" s="1">
        <v>46128</v>
      </c>
      <c r="I1040" t="s">
        <v>7217</v>
      </c>
      <c r="J1040" t="s">
        <v>7218</v>
      </c>
      <c r="K1040" t="s">
        <v>528</v>
      </c>
      <c r="L1040" t="s">
        <v>772</v>
      </c>
      <c r="M1040" t="s">
        <v>2437</v>
      </c>
      <c r="N1040" s="166">
        <v>20.52</v>
      </c>
      <c r="O1040" t="s">
        <v>131</v>
      </c>
    </row>
    <row r="1041" spans="1:15">
      <c r="A1041" s="166" t="s">
        <v>7219</v>
      </c>
      <c r="B1041" t="s">
        <v>111</v>
      </c>
      <c r="C1041" t="s">
        <v>133</v>
      </c>
      <c r="D1041" t="s">
        <v>118</v>
      </c>
      <c r="E1041" t="s">
        <v>2618</v>
      </c>
      <c r="F1041" t="s">
        <v>7</v>
      </c>
      <c r="G1041" t="s">
        <v>130</v>
      </c>
      <c r="H1041" s="1">
        <v>46128</v>
      </c>
      <c r="I1041" t="s">
        <v>7220</v>
      </c>
      <c r="J1041" t="s">
        <v>7221</v>
      </c>
      <c r="K1041" t="s">
        <v>554</v>
      </c>
      <c r="L1041" t="s">
        <v>1281</v>
      </c>
      <c r="M1041" t="s">
        <v>1315</v>
      </c>
      <c r="N1041" s="166">
        <v>19.28</v>
      </c>
      <c r="O1041" t="s">
        <v>131</v>
      </c>
    </row>
    <row r="1042" spans="1:15">
      <c r="A1042" s="166" t="s">
        <v>7222</v>
      </c>
      <c r="B1042" t="s">
        <v>111</v>
      </c>
      <c r="C1042" t="s">
        <v>1104</v>
      </c>
      <c r="D1042" t="s">
        <v>118</v>
      </c>
      <c r="E1042" t="s">
        <v>2618</v>
      </c>
      <c r="F1042" t="s">
        <v>7</v>
      </c>
      <c r="G1042" t="s">
        <v>130</v>
      </c>
      <c r="H1042" s="1">
        <v>46128</v>
      </c>
      <c r="I1042" t="s">
        <v>7223</v>
      </c>
      <c r="J1042" t="s">
        <v>7224</v>
      </c>
      <c r="K1042" t="s">
        <v>2179</v>
      </c>
      <c r="L1042" t="s">
        <v>3287</v>
      </c>
      <c r="M1042" t="s">
        <v>1553</v>
      </c>
      <c r="N1042" s="166">
        <v>20.239999999999998</v>
      </c>
      <c r="O1042" t="s">
        <v>131</v>
      </c>
    </row>
    <row r="1043" spans="1:15">
      <c r="A1043" s="166" t="s">
        <v>7225</v>
      </c>
      <c r="B1043" t="s">
        <v>111</v>
      </c>
      <c r="C1043" t="s">
        <v>406</v>
      </c>
      <c r="D1043" t="s">
        <v>118</v>
      </c>
      <c r="E1043" t="s">
        <v>2618</v>
      </c>
      <c r="F1043" t="s">
        <v>7</v>
      </c>
      <c r="G1043" t="s">
        <v>130</v>
      </c>
      <c r="H1043" s="1">
        <v>46128</v>
      </c>
      <c r="I1043" t="s">
        <v>7226</v>
      </c>
      <c r="J1043" t="s">
        <v>7227</v>
      </c>
      <c r="K1043" t="s">
        <v>3871</v>
      </c>
      <c r="L1043" t="s">
        <v>169</v>
      </c>
      <c r="M1043" t="s">
        <v>481</v>
      </c>
      <c r="N1043" s="166">
        <v>22.4</v>
      </c>
      <c r="O1043" t="s">
        <v>131</v>
      </c>
    </row>
    <row r="1044" spans="1:15">
      <c r="A1044" s="166" t="s">
        <v>7228</v>
      </c>
      <c r="B1044" t="s">
        <v>111</v>
      </c>
      <c r="C1044" t="s">
        <v>134</v>
      </c>
      <c r="D1044" t="s">
        <v>118</v>
      </c>
      <c r="E1044" t="s">
        <v>2618</v>
      </c>
      <c r="F1044" t="s">
        <v>7</v>
      </c>
      <c r="G1044" t="s">
        <v>130</v>
      </c>
      <c r="H1044" s="1">
        <v>46128</v>
      </c>
      <c r="I1044" t="s">
        <v>7229</v>
      </c>
      <c r="J1044" t="s">
        <v>7230</v>
      </c>
      <c r="K1044" t="s">
        <v>7231</v>
      </c>
      <c r="L1044" t="s">
        <v>907</v>
      </c>
      <c r="M1044" t="s">
        <v>1233</v>
      </c>
      <c r="N1044" s="166">
        <v>19.86</v>
      </c>
      <c r="O1044" t="s">
        <v>131</v>
      </c>
    </row>
    <row r="1045" spans="1:15">
      <c r="A1045" s="166" t="s">
        <v>7232</v>
      </c>
      <c r="B1045" t="s">
        <v>111</v>
      </c>
      <c r="C1045" t="s">
        <v>136</v>
      </c>
      <c r="D1045" t="s">
        <v>118</v>
      </c>
      <c r="E1045" t="s">
        <v>2618</v>
      </c>
      <c r="F1045" t="s">
        <v>7</v>
      </c>
      <c r="G1045" t="s">
        <v>130</v>
      </c>
      <c r="H1045" s="1">
        <v>46128</v>
      </c>
      <c r="I1045" t="s">
        <v>7233</v>
      </c>
      <c r="J1045" t="s">
        <v>7234</v>
      </c>
      <c r="K1045" t="s">
        <v>4312</v>
      </c>
      <c r="L1045" t="s">
        <v>1132</v>
      </c>
      <c r="M1045" t="s">
        <v>1127</v>
      </c>
      <c r="N1045" s="166">
        <v>19.920000000000002</v>
      </c>
      <c r="O1045" t="s">
        <v>131</v>
      </c>
    </row>
    <row r="1046" spans="1:15">
      <c r="A1046" s="166" t="s">
        <v>7235</v>
      </c>
      <c r="B1046" t="s">
        <v>111</v>
      </c>
      <c r="C1046" t="s">
        <v>133</v>
      </c>
      <c r="D1046" t="s">
        <v>118</v>
      </c>
      <c r="E1046" t="s">
        <v>2618</v>
      </c>
      <c r="F1046" t="s">
        <v>7</v>
      </c>
      <c r="G1046" t="s">
        <v>130</v>
      </c>
      <c r="H1046" s="1">
        <v>46128</v>
      </c>
      <c r="I1046" t="s">
        <v>7236</v>
      </c>
      <c r="J1046" t="s">
        <v>7237</v>
      </c>
      <c r="K1046" t="s">
        <v>2296</v>
      </c>
      <c r="L1046" t="s">
        <v>2024</v>
      </c>
      <c r="M1046" t="s">
        <v>1529</v>
      </c>
      <c r="N1046" s="166">
        <v>19.88</v>
      </c>
      <c r="O1046" t="s">
        <v>131</v>
      </c>
    </row>
    <row r="1047" spans="1:15">
      <c r="A1047" s="166" t="s">
        <v>7238</v>
      </c>
      <c r="B1047" t="s">
        <v>111</v>
      </c>
      <c r="C1047" t="s">
        <v>1104</v>
      </c>
      <c r="D1047" t="s">
        <v>118</v>
      </c>
      <c r="E1047" t="s">
        <v>2618</v>
      </c>
      <c r="F1047" t="s">
        <v>7</v>
      </c>
      <c r="G1047" t="s">
        <v>130</v>
      </c>
      <c r="H1047" s="1">
        <v>46128</v>
      </c>
      <c r="I1047" t="s">
        <v>7239</v>
      </c>
      <c r="J1047" t="s">
        <v>7240</v>
      </c>
      <c r="K1047" t="s">
        <v>3433</v>
      </c>
      <c r="L1047" t="s">
        <v>3229</v>
      </c>
      <c r="M1047" t="s">
        <v>1233</v>
      </c>
      <c r="N1047" s="166">
        <v>19.86</v>
      </c>
      <c r="O1047" t="s">
        <v>131</v>
      </c>
    </row>
    <row r="1048" spans="1:15">
      <c r="A1048" s="166" t="s">
        <v>7241</v>
      </c>
      <c r="B1048" t="s">
        <v>111</v>
      </c>
      <c r="C1048" t="s">
        <v>406</v>
      </c>
      <c r="D1048" t="s">
        <v>118</v>
      </c>
      <c r="E1048" t="s">
        <v>2618</v>
      </c>
      <c r="F1048" t="s">
        <v>7</v>
      </c>
      <c r="G1048" t="s">
        <v>130</v>
      </c>
      <c r="H1048" s="1">
        <v>46128</v>
      </c>
      <c r="I1048" t="s">
        <v>7242</v>
      </c>
      <c r="J1048" t="s">
        <v>7243</v>
      </c>
      <c r="K1048" t="s">
        <v>2847</v>
      </c>
      <c r="L1048" t="s">
        <v>2474</v>
      </c>
      <c r="M1048" t="s">
        <v>195</v>
      </c>
      <c r="N1048" s="166">
        <v>24.56</v>
      </c>
      <c r="O1048" t="s">
        <v>131</v>
      </c>
    </row>
    <row r="1049" spans="1:15">
      <c r="A1049" s="166" t="s">
        <v>7244</v>
      </c>
      <c r="B1049" t="s">
        <v>111</v>
      </c>
      <c r="C1049" t="s">
        <v>134</v>
      </c>
      <c r="D1049" t="s">
        <v>118</v>
      </c>
      <c r="E1049" t="s">
        <v>2618</v>
      </c>
      <c r="F1049" t="s">
        <v>7</v>
      </c>
      <c r="G1049" t="s">
        <v>130</v>
      </c>
      <c r="H1049" s="1">
        <v>46128</v>
      </c>
      <c r="I1049" t="s">
        <v>7245</v>
      </c>
      <c r="J1049" t="s">
        <v>7246</v>
      </c>
      <c r="K1049" t="s">
        <v>2567</v>
      </c>
      <c r="L1049" t="s">
        <v>927</v>
      </c>
      <c r="M1049" t="s">
        <v>175</v>
      </c>
      <c r="N1049" s="166">
        <v>21.1</v>
      </c>
      <c r="O1049" t="s">
        <v>131</v>
      </c>
    </row>
    <row r="1050" spans="1:15">
      <c r="A1050" s="166" t="s">
        <v>7247</v>
      </c>
      <c r="B1050" t="s">
        <v>111</v>
      </c>
      <c r="C1050" t="s">
        <v>136</v>
      </c>
      <c r="D1050" t="s">
        <v>118</v>
      </c>
      <c r="E1050" t="s">
        <v>2618</v>
      </c>
      <c r="F1050" t="s">
        <v>7</v>
      </c>
      <c r="G1050" t="s">
        <v>130</v>
      </c>
      <c r="H1050" s="1">
        <v>46128</v>
      </c>
      <c r="I1050" t="s">
        <v>7248</v>
      </c>
      <c r="J1050" t="s">
        <v>7249</v>
      </c>
      <c r="K1050" t="s">
        <v>7250</v>
      </c>
      <c r="L1050" t="s">
        <v>2816</v>
      </c>
      <c r="M1050" t="s">
        <v>2692</v>
      </c>
      <c r="N1050" s="166">
        <v>24.92</v>
      </c>
      <c r="O1050" t="s">
        <v>131</v>
      </c>
    </row>
    <row r="1051" spans="1:15">
      <c r="A1051" s="166" t="s">
        <v>7251</v>
      </c>
      <c r="B1051" t="s">
        <v>111</v>
      </c>
      <c r="C1051" t="s">
        <v>133</v>
      </c>
      <c r="D1051" t="s">
        <v>118</v>
      </c>
      <c r="E1051" t="s">
        <v>2618</v>
      </c>
      <c r="F1051" t="s">
        <v>7</v>
      </c>
      <c r="G1051" t="s">
        <v>130</v>
      </c>
      <c r="H1051" s="1">
        <v>46128</v>
      </c>
      <c r="I1051" t="s">
        <v>7252</v>
      </c>
      <c r="J1051" t="s">
        <v>7253</v>
      </c>
      <c r="K1051" t="s">
        <v>781</v>
      </c>
      <c r="L1051" t="s">
        <v>2678</v>
      </c>
      <c r="M1051" t="s">
        <v>3491</v>
      </c>
      <c r="N1051" s="166">
        <v>18.940000000000001</v>
      </c>
      <c r="O1051" t="s">
        <v>131</v>
      </c>
    </row>
    <row r="1052" spans="1:15">
      <c r="A1052" s="166" t="s">
        <v>7254</v>
      </c>
      <c r="B1052" t="s">
        <v>111</v>
      </c>
      <c r="C1052" t="s">
        <v>1104</v>
      </c>
      <c r="D1052" t="s">
        <v>118</v>
      </c>
      <c r="E1052" t="s">
        <v>2618</v>
      </c>
      <c r="F1052" t="s">
        <v>7</v>
      </c>
      <c r="G1052" t="s">
        <v>130</v>
      </c>
      <c r="H1052" s="1">
        <v>46128</v>
      </c>
      <c r="I1052" t="s">
        <v>7255</v>
      </c>
      <c r="J1052" t="s">
        <v>7256</v>
      </c>
      <c r="K1052" t="s">
        <v>999</v>
      </c>
      <c r="L1052" t="s">
        <v>650</v>
      </c>
      <c r="M1052" t="s">
        <v>4736</v>
      </c>
      <c r="N1052" s="166">
        <v>25.12</v>
      </c>
      <c r="O1052" t="s">
        <v>131</v>
      </c>
    </row>
    <row r="1053" spans="1:15">
      <c r="A1053" s="166" t="s">
        <v>7257</v>
      </c>
      <c r="B1053" t="s">
        <v>111</v>
      </c>
      <c r="C1053" t="s">
        <v>406</v>
      </c>
      <c r="D1053" t="s">
        <v>118</v>
      </c>
      <c r="E1053" t="s">
        <v>2618</v>
      </c>
      <c r="F1053" t="s">
        <v>7</v>
      </c>
      <c r="G1053" t="s">
        <v>130</v>
      </c>
      <c r="H1053" s="1">
        <v>46128</v>
      </c>
      <c r="I1053" t="s">
        <v>7258</v>
      </c>
      <c r="J1053" t="s">
        <v>7259</v>
      </c>
      <c r="K1053" t="s">
        <v>376</v>
      </c>
      <c r="L1053" t="s">
        <v>3032</v>
      </c>
      <c r="M1053" t="s">
        <v>7260</v>
      </c>
      <c r="N1053" s="166">
        <v>28.4</v>
      </c>
      <c r="O1053" t="s">
        <v>131</v>
      </c>
    </row>
    <row r="1054" spans="1:15">
      <c r="A1054" s="166" t="s">
        <v>4190</v>
      </c>
      <c r="B1054" t="s">
        <v>111</v>
      </c>
      <c r="C1054" t="s">
        <v>134</v>
      </c>
      <c r="D1054" t="s">
        <v>118</v>
      </c>
      <c r="E1054" t="s">
        <v>139</v>
      </c>
      <c r="F1054" t="s">
        <v>7</v>
      </c>
      <c r="G1054" t="s">
        <v>130</v>
      </c>
      <c r="H1054" s="1">
        <v>46128</v>
      </c>
      <c r="I1054" t="s">
        <v>7261</v>
      </c>
      <c r="J1054" t="s">
        <v>7262</v>
      </c>
      <c r="K1054" t="s">
        <v>1003</v>
      </c>
      <c r="L1054" t="s">
        <v>465</v>
      </c>
      <c r="M1054" t="s">
        <v>7263</v>
      </c>
      <c r="N1054" s="166">
        <v>27.86</v>
      </c>
      <c r="O1054" t="s">
        <v>131</v>
      </c>
    </row>
    <row r="1055" spans="1:15">
      <c r="A1055" s="166" t="s">
        <v>7264</v>
      </c>
      <c r="B1055" t="s">
        <v>111</v>
      </c>
      <c r="C1055" t="s">
        <v>133</v>
      </c>
      <c r="D1055" t="s">
        <v>118</v>
      </c>
      <c r="E1055" t="s">
        <v>139</v>
      </c>
      <c r="F1055" t="s">
        <v>7</v>
      </c>
      <c r="G1055" t="s">
        <v>130</v>
      </c>
      <c r="H1055" s="1">
        <v>46128</v>
      </c>
      <c r="I1055" t="s">
        <v>7265</v>
      </c>
      <c r="J1055" t="s">
        <v>7266</v>
      </c>
      <c r="K1055" t="s">
        <v>3014</v>
      </c>
      <c r="L1055" t="s">
        <v>1835</v>
      </c>
      <c r="M1055" t="s">
        <v>5542</v>
      </c>
      <c r="N1055" s="166">
        <v>25.82</v>
      </c>
      <c r="O1055" t="s">
        <v>131</v>
      </c>
    </row>
    <row r="1056" spans="1:15">
      <c r="A1056" s="166" t="s">
        <v>7267</v>
      </c>
      <c r="B1056" t="s">
        <v>111</v>
      </c>
      <c r="C1056" t="s">
        <v>136</v>
      </c>
      <c r="D1056" t="s">
        <v>118</v>
      </c>
      <c r="E1056" t="s">
        <v>139</v>
      </c>
      <c r="F1056" t="s">
        <v>7</v>
      </c>
      <c r="G1056" t="s">
        <v>130</v>
      </c>
      <c r="H1056" s="1">
        <v>46128</v>
      </c>
      <c r="I1056" t="s">
        <v>7268</v>
      </c>
      <c r="J1056" t="s">
        <v>7269</v>
      </c>
      <c r="K1056" t="s">
        <v>3926</v>
      </c>
      <c r="L1056" t="s">
        <v>1127</v>
      </c>
      <c r="M1056" t="s">
        <v>2143</v>
      </c>
      <c r="N1056" s="166">
        <v>17.600000000000001</v>
      </c>
      <c r="O1056" t="s">
        <v>131</v>
      </c>
    </row>
    <row r="1057" spans="1:15">
      <c r="A1057" s="166" t="s">
        <v>7270</v>
      </c>
      <c r="B1057" t="s">
        <v>111</v>
      </c>
      <c r="C1057" t="s">
        <v>1104</v>
      </c>
      <c r="D1057" t="s">
        <v>118</v>
      </c>
      <c r="E1057" t="s">
        <v>139</v>
      </c>
      <c r="F1057" t="s">
        <v>7</v>
      </c>
      <c r="G1057" t="s">
        <v>130</v>
      </c>
      <c r="H1057" s="1">
        <v>46128</v>
      </c>
      <c r="I1057" t="s">
        <v>7271</v>
      </c>
      <c r="J1057" t="s">
        <v>7272</v>
      </c>
      <c r="K1057" t="s">
        <v>2351</v>
      </c>
      <c r="L1057" t="s">
        <v>1280</v>
      </c>
      <c r="M1057" t="s">
        <v>3843</v>
      </c>
      <c r="N1057" s="166">
        <v>20.8</v>
      </c>
      <c r="O1057" t="s">
        <v>131</v>
      </c>
    </row>
    <row r="1058" spans="1:15">
      <c r="A1058" s="166" t="s">
        <v>7273</v>
      </c>
      <c r="B1058" t="s">
        <v>111</v>
      </c>
      <c r="C1058" t="s">
        <v>406</v>
      </c>
      <c r="D1058" t="s">
        <v>118</v>
      </c>
      <c r="E1058" t="s">
        <v>2618</v>
      </c>
      <c r="F1058" t="s">
        <v>7</v>
      </c>
      <c r="G1058" t="s">
        <v>130</v>
      </c>
      <c r="H1058" s="1">
        <v>46128</v>
      </c>
      <c r="I1058" t="s">
        <v>7274</v>
      </c>
      <c r="J1058" t="s">
        <v>7275</v>
      </c>
      <c r="K1058" t="s">
        <v>540</v>
      </c>
      <c r="L1058" t="s">
        <v>208</v>
      </c>
      <c r="M1058" t="s">
        <v>2560</v>
      </c>
      <c r="N1058" s="166">
        <v>20.6</v>
      </c>
      <c r="O1058" t="s">
        <v>131</v>
      </c>
    </row>
    <row r="1059" spans="1:15">
      <c r="A1059" s="166" t="s">
        <v>7276</v>
      </c>
      <c r="B1059" t="s">
        <v>111</v>
      </c>
      <c r="C1059" t="s">
        <v>134</v>
      </c>
      <c r="D1059" t="s">
        <v>118</v>
      </c>
      <c r="E1059" t="s">
        <v>2618</v>
      </c>
      <c r="F1059" t="s">
        <v>7</v>
      </c>
      <c r="G1059" t="s">
        <v>130</v>
      </c>
      <c r="H1059" s="1">
        <v>46128</v>
      </c>
      <c r="I1059" t="s">
        <v>7277</v>
      </c>
      <c r="J1059" t="s">
        <v>7278</v>
      </c>
      <c r="K1059" t="s">
        <v>433</v>
      </c>
      <c r="L1059" t="s">
        <v>486</v>
      </c>
      <c r="M1059" t="s">
        <v>1529</v>
      </c>
      <c r="N1059" s="166">
        <v>19.88</v>
      </c>
      <c r="O1059" t="s">
        <v>131</v>
      </c>
    </row>
    <row r="1060" spans="1:15">
      <c r="A1060" s="166" t="s">
        <v>7279</v>
      </c>
      <c r="B1060" t="s">
        <v>111</v>
      </c>
      <c r="C1060" t="s">
        <v>133</v>
      </c>
      <c r="D1060" t="s">
        <v>118</v>
      </c>
      <c r="E1060" t="s">
        <v>2618</v>
      </c>
      <c r="F1060" t="s">
        <v>7</v>
      </c>
      <c r="G1060" t="s">
        <v>130</v>
      </c>
      <c r="H1060" s="1">
        <v>46128</v>
      </c>
      <c r="I1060" t="s">
        <v>7280</v>
      </c>
      <c r="J1060" t="s">
        <v>7281</v>
      </c>
      <c r="K1060" t="s">
        <v>5840</v>
      </c>
      <c r="L1060" t="s">
        <v>672</v>
      </c>
      <c r="M1060" t="s">
        <v>1328</v>
      </c>
      <c r="N1060" s="166">
        <v>19.54</v>
      </c>
      <c r="O1060" t="s">
        <v>131</v>
      </c>
    </row>
    <row r="1061" spans="1:15">
      <c r="A1061" s="166" t="s">
        <v>7282</v>
      </c>
      <c r="B1061" t="s">
        <v>7283</v>
      </c>
      <c r="C1061" t="s">
        <v>7284</v>
      </c>
      <c r="D1061" t="s">
        <v>116</v>
      </c>
      <c r="E1061" t="s">
        <v>138</v>
      </c>
      <c r="F1061" t="s">
        <v>7285</v>
      </c>
      <c r="G1061" t="s">
        <v>130</v>
      </c>
      <c r="H1061" s="1">
        <v>46128</v>
      </c>
      <c r="I1061" t="s">
        <v>7280</v>
      </c>
      <c r="J1061" t="s">
        <v>7280</v>
      </c>
      <c r="K1061" t="s">
        <v>7286</v>
      </c>
      <c r="L1061" t="s">
        <v>3646</v>
      </c>
      <c r="M1061" t="s">
        <v>702</v>
      </c>
      <c r="N1061" s="166">
        <v>25</v>
      </c>
      <c r="O1061" t="s">
        <v>232</v>
      </c>
    </row>
    <row r="1062" spans="1:15">
      <c r="A1062" s="166" t="s">
        <v>7287</v>
      </c>
      <c r="B1062" t="s">
        <v>7283</v>
      </c>
      <c r="C1062" t="s">
        <v>7284</v>
      </c>
      <c r="D1062" t="s">
        <v>116</v>
      </c>
      <c r="E1062" t="s">
        <v>138</v>
      </c>
      <c r="F1062" t="s">
        <v>7285</v>
      </c>
      <c r="G1062" t="s">
        <v>130</v>
      </c>
      <c r="H1062" s="1">
        <v>46128</v>
      </c>
      <c r="I1062" t="s">
        <v>7280</v>
      </c>
      <c r="J1062" t="s">
        <v>7280</v>
      </c>
      <c r="K1062" t="s">
        <v>7286</v>
      </c>
      <c r="L1062" t="s">
        <v>3646</v>
      </c>
      <c r="M1062" t="s">
        <v>702</v>
      </c>
      <c r="N1062" s="166">
        <v>25</v>
      </c>
      <c r="O1062" t="s">
        <v>232</v>
      </c>
    </row>
    <row r="1063" spans="1:15">
      <c r="A1063" s="166" t="s">
        <v>7288</v>
      </c>
      <c r="B1063" t="s">
        <v>7283</v>
      </c>
      <c r="C1063" t="s">
        <v>7284</v>
      </c>
      <c r="D1063" t="s">
        <v>116</v>
      </c>
      <c r="E1063" t="s">
        <v>138</v>
      </c>
      <c r="F1063" t="s">
        <v>7285</v>
      </c>
      <c r="G1063" t="s">
        <v>130</v>
      </c>
      <c r="H1063" s="1">
        <v>46128</v>
      </c>
      <c r="I1063" t="s">
        <v>7280</v>
      </c>
      <c r="J1063" t="s">
        <v>7280</v>
      </c>
      <c r="K1063" t="s">
        <v>7286</v>
      </c>
      <c r="L1063" t="s">
        <v>3646</v>
      </c>
      <c r="M1063" t="s">
        <v>702</v>
      </c>
      <c r="N1063" s="166">
        <v>25</v>
      </c>
      <c r="O1063" t="s">
        <v>232</v>
      </c>
    </row>
    <row r="1064" spans="1:15">
      <c r="A1064" s="166" t="s">
        <v>7289</v>
      </c>
      <c r="B1064" t="s">
        <v>7283</v>
      </c>
      <c r="C1064" t="s">
        <v>7284</v>
      </c>
      <c r="D1064" t="s">
        <v>116</v>
      </c>
      <c r="E1064" t="s">
        <v>138</v>
      </c>
      <c r="F1064" t="s">
        <v>7285</v>
      </c>
      <c r="G1064" t="s">
        <v>130</v>
      </c>
      <c r="H1064" s="1">
        <v>46128</v>
      </c>
      <c r="I1064" t="s">
        <v>7280</v>
      </c>
      <c r="J1064" t="s">
        <v>7280</v>
      </c>
      <c r="K1064" t="s">
        <v>7286</v>
      </c>
      <c r="L1064" t="s">
        <v>3646</v>
      </c>
      <c r="M1064" t="s">
        <v>702</v>
      </c>
      <c r="N1064" s="166">
        <v>25</v>
      </c>
      <c r="O1064" t="s">
        <v>232</v>
      </c>
    </row>
    <row r="1065" spans="1:15">
      <c r="A1065" s="166" t="s">
        <v>7290</v>
      </c>
      <c r="B1065" t="s">
        <v>111</v>
      </c>
      <c r="C1065" t="s">
        <v>136</v>
      </c>
      <c r="D1065" t="s">
        <v>118</v>
      </c>
      <c r="E1065" t="s">
        <v>2618</v>
      </c>
      <c r="F1065" t="s">
        <v>7</v>
      </c>
      <c r="G1065" t="s">
        <v>130</v>
      </c>
      <c r="H1065" s="1">
        <v>46129</v>
      </c>
      <c r="I1065" t="s">
        <v>7291</v>
      </c>
      <c r="J1065" t="s">
        <v>7292</v>
      </c>
      <c r="K1065" t="s">
        <v>671</v>
      </c>
      <c r="L1065" t="s">
        <v>466</v>
      </c>
      <c r="M1065" t="s">
        <v>1145</v>
      </c>
      <c r="N1065" s="166">
        <v>19.579999999999998</v>
      </c>
      <c r="O1065" t="s">
        <v>131</v>
      </c>
    </row>
    <row r="1066" spans="1:15">
      <c r="A1066" s="166" t="s">
        <v>7293</v>
      </c>
      <c r="B1066" t="s">
        <v>111</v>
      </c>
      <c r="C1066" t="s">
        <v>1104</v>
      </c>
      <c r="D1066" t="s">
        <v>118</v>
      </c>
      <c r="E1066" t="s">
        <v>2618</v>
      </c>
      <c r="F1066" t="s">
        <v>7</v>
      </c>
      <c r="G1066" t="s">
        <v>130</v>
      </c>
      <c r="H1066" s="1">
        <v>46129</v>
      </c>
      <c r="I1066" t="s">
        <v>7294</v>
      </c>
      <c r="J1066" t="s">
        <v>7295</v>
      </c>
      <c r="K1066" t="s">
        <v>1818</v>
      </c>
      <c r="L1066" t="s">
        <v>4148</v>
      </c>
      <c r="M1066" t="s">
        <v>1484</v>
      </c>
      <c r="N1066" s="166">
        <v>18.22</v>
      </c>
      <c r="O1066" t="s">
        <v>131</v>
      </c>
    </row>
    <row r="1067" spans="1:15">
      <c r="A1067" s="166" t="s">
        <v>7296</v>
      </c>
      <c r="B1067" t="s">
        <v>111</v>
      </c>
      <c r="C1067" t="s">
        <v>406</v>
      </c>
      <c r="D1067" t="s">
        <v>118</v>
      </c>
      <c r="E1067" t="s">
        <v>2618</v>
      </c>
      <c r="F1067" t="s">
        <v>7</v>
      </c>
      <c r="G1067" t="s">
        <v>130</v>
      </c>
      <c r="H1067" s="1">
        <v>46129</v>
      </c>
      <c r="I1067" t="s">
        <v>7297</v>
      </c>
      <c r="J1067" t="s">
        <v>7298</v>
      </c>
      <c r="K1067" t="s">
        <v>438</v>
      </c>
      <c r="L1067" t="s">
        <v>772</v>
      </c>
      <c r="M1067" t="s">
        <v>751</v>
      </c>
      <c r="N1067" s="166">
        <v>20.88</v>
      </c>
      <c r="O1067" t="s">
        <v>131</v>
      </c>
    </row>
    <row r="1068" spans="1:15">
      <c r="A1068" s="166" t="s">
        <v>7299</v>
      </c>
      <c r="B1068" t="s">
        <v>111</v>
      </c>
      <c r="C1068" t="s">
        <v>134</v>
      </c>
      <c r="D1068" t="s">
        <v>118</v>
      </c>
      <c r="E1068" t="s">
        <v>2618</v>
      </c>
      <c r="F1068" t="s">
        <v>7</v>
      </c>
      <c r="G1068" t="s">
        <v>130</v>
      </c>
      <c r="H1068" s="1">
        <v>46129</v>
      </c>
      <c r="I1068" t="s">
        <v>7300</v>
      </c>
      <c r="J1068" t="s">
        <v>7301</v>
      </c>
      <c r="K1068" t="s">
        <v>1201</v>
      </c>
      <c r="L1068" t="s">
        <v>2019</v>
      </c>
      <c r="M1068" t="s">
        <v>179</v>
      </c>
      <c r="N1068" s="166">
        <v>20.100000000000001</v>
      </c>
      <c r="O1068" t="s">
        <v>131</v>
      </c>
    </row>
    <row r="1069" spans="1:15">
      <c r="A1069" s="166" t="s">
        <v>7302</v>
      </c>
      <c r="B1069" t="s">
        <v>111</v>
      </c>
      <c r="C1069" t="s">
        <v>133</v>
      </c>
      <c r="D1069" t="s">
        <v>118</v>
      </c>
      <c r="E1069" t="s">
        <v>2618</v>
      </c>
      <c r="F1069" t="s">
        <v>7</v>
      </c>
      <c r="G1069" t="s">
        <v>130</v>
      </c>
      <c r="H1069" s="1">
        <v>46129</v>
      </c>
      <c r="I1069" t="s">
        <v>7303</v>
      </c>
      <c r="J1069" t="s">
        <v>7304</v>
      </c>
      <c r="K1069" t="s">
        <v>1377</v>
      </c>
      <c r="L1069" t="s">
        <v>3575</v>
      </c>
      <c r="M1069" t="s">
        <v>1577</v>
      </c>
      <c r="N1069" s="166">
        <v>19.22</v>
      </c>
      <c r="O1069" t="s">
        <v>131</v>
      </c>
    </row>
    <row r="1070" spans="1:15">
      <c r="A1070" s="166" t="s">
        <v>7305</v>
      </c>
      <c r="B1070" t="s">
        <v>111</v>
      </c>
      <c r="C1070" t="s">
        <v>406</v>
      </c>
      <c r="D1070" t="s">
        <v>118</v>
      </c>
      <c r="E1070" t="s">
        <v>2618</v>
      </c>
      <c r="F1070" t="s">
        <v>7</v>
      </c>
      <c r="G1070" t="s">
        <v>130</v>
      </c>
      <c r="H1070" s="1">
        <v>46129</v>
      </c>
      <c r="I1070" t="s">
        <v>7306</v>
      </c>
      <c r="J1070" t="s">
        <v>7307</v>
      </c>
      <c r="K1070" t="s">
        <v>3960</v>
      </c>
      <c r="L1070" t="s">
        <v>714</v>
      </c>
      <c r="M1070" t="s">
        <v>3542</v>
      </c>
      <c r="N1070" s="166">
        <v>18.059999999999999</v>
      </c>
      <c r="O1070" t="s">
        <v>131</v>
      </c>
    </row>
    <row r="1071" spans="1:15">
      <c r="A1071" s="166" t="s">
        <v>7308</v>
      </c>
      <c r="B1071" t="s">
        <v>111</v>
      </c>
      <c r="C1071" t="s">
        <v>136</v>
      </c>
      <c r="D1071" t="s">
        <v>118</v>
      </c>
      <c r="E1071" t="s">
        <v>2618</v>
      </c>
      <c r="F1071" t="s">
        <v>7</v>
      </c>
      <c r="G1071" t="s">
        <v>130</v>
      </c>
      <c r="H1071" s="1">
        <v>46129</v>
      </c>
      <c r="I1071" t="s">
        <v>7309</v>
      </c>
      <c r="J1071" t="s">
        <v>7310</v>
      </c>
      <c r="K1071" t="s">
        <v>433</v>
      </c>
      <c r="L1071" t="s">
        <v>179</v>
      </c>
      <c r="M1071" t="s">
        <v>3129</v>
      </c>
      <c r="N1071" s="166">
        <v>16.5</v>
      </c>
      <c r="O1071" t="s">
        <v>131</v>
      </c>
    </row>
    <row r="1072" spans="1:15">
      <c r="A1072" s="166" t="s">
        <v>7311</v>
      </c>
      <c r="B1072" t="s">
        <v>111</v>
      </c>
      <c r="C1072" t="s">
        <v>1104</v>
      </c>
      <c r="D1072" t="s">
        <v>118</v>
      </c>
      <c r="E1072" t="s">
        <v>2618</v>
      </c>
      <c r="F1072" t="s">
        <v>7</v>
      </c>
      <c r="G1072" t="s">
        <v>130</v>
      </c>
      <c r="H1072" s="1">
        <v>46129</v>
      </c>
      <c r="I1072" t="s">
        <v>7312</v>
      </c>
      <c r="J1072" t="s">
        <v>7313</v>
      </c>
      <c r="K1072" t="s">
        <v>1834</v>
      </c>
      <c r="L1072" t="s">
        <v>856</v>
      </c>
      <c r="M1072" t="s">
        <v>1189</v>
      </c>
      <c r="N1072" s="166">
        <v>23.48</v>
      </c>
      <c r="O1072" t="s">
        <v>131</v>
      </c>
    </row>
    <row r="1073" spans="1:15">
      <c r="A1073" s="166" t="s">
        <v>7314</v>
      </c>
      <c r="B1073" t="s">
        <v>111</v>
      </c>
      <c r="C1073" t="s">
        <v>134</v>
      </c>
      <c r="D1073" t="s">
        <v>118</v>
      </c>
      <c r="E1073" t="s">
        <v>2618</v>
      </c>
      <c r="F1073" t="s">
        <v>7</v>
      </c>
      <c r="G1073" t="s">
        <v>130</v>
      </c>
      <c r="H1073" s="1">
        <v>46129</v>
      </c>
      <c r="I1073" t="s">
        <v>7315</v>
      </c>
      <c r="J1073" t="s">
        <v>7316</v>
      </c>
      <c r="K1073" t="s">
        <v>2861</v>
      </c>
      <c r="L1073" t="s">
        <v>3040</v>
      </c>
      <c r="M1073" t="s">
        <v>222</v>
      </c>
      <c r="N1073" s="166">
        <v>23.2</v>
      </c>
      <c r="O1073" t="s">
        <v>131</v>
      </c>
    </row>
    <row r="1074" spans="1:15">
      <c r="A1074" s="166" t="s">
        <v>7317</v>
      </c>
      <c r="B1074" t="s">
        <v>111</v>
      </c>
      <c r="C1074" t="s">
        <v>133</v>
      </c>
      <c r="D1074" t="s">
        <v>118</v>
      </c>
      <c r="E1074" t="s">
        <v>2618</v>
      </c>
      <c r="F1074" t="s">
        <v>7</v>
      </c>
      <c r="G1074" t="s">
        <v>130</v>
      </c>
      <c r="H1074" s="1">
        <v>46129</v>
      </c>
      <c r="I1074" t="s">
        <v>7318</v>
      </c>
      <c r="J1074" t="s">
        <v>7319</v>
      </c>
      <c r="K1074" t="s">
        <v>3282</v>
      </c>
      <c r="L1074" t="s">
        <v>2090</v>
      </c>
      <c r="M1074" t="s">
        <v>2355</v>
      </c>
      <c r="N1074" s="166">
        <v>22.56</v>
      </c>
      <c r="O1074" t="s">
        <v>131</v>
      </c>
    </row>
    <row r="1075" spans="1:15">
      <c r="A1075" s="166" t="s">
        <v>7320</v>
      </c>
      <c r="B1075" t="s">
        <v>111</v>
      </c>
      <c r="C1075" t="s">
        <v>406</v>
      </c>
      <c r="D1075" t="s">
        <v>118</v>
      </c>
      <c r="E1075" t="s">
        <v>2618</v>
      </c>
      <c r="F1075" t="s">
        <v>7</v>
      </c>
      <c r="G1075" t="s">
        <v>130</v>
      </c>
      <c r="H1075" s="1">
        <v>46129</v>
      </c>
      <c r="I1075" t="s">
        <v>7321</v>
      </c>
      <c r="J1075" t="s">
        <v>7322</v>
      </c>
      <c r="K1075" t="s">
        <v>2585</v>
      </c>
      <c r="L1075" t="s">
        <v>650</v>
      </c>
      <c r="M1075" t="s">
        <v>3734</v>
      </c>
      <c r="N1075" s="166">
        <v>22.02</v>
      </c>
      <c r="O1075" t="s">
        <v>131</v>
      </c>
    </row>
    <row r="1076" spans="1:15">
      <c r="A1076" s="166" t="s">
        <v>7323</v>
      </c>
      <c r="B1076" t="s">
        <v>111</v>
      </c>
      <c r="C1076" t="s">
        <v>136</v>
      </c>
      <c r="D1076" t="s">
        <v>118</v>
      </c>
      <c r="E1076" t="s">
        <v>2618</v>
      </c>
      <c r="F1076" t="s">
        <v>7</v>
      </c>
      <c r="G1076" t="s">
        <v>130</v>
      </c>
      <c r="H1076" s="1">
        <v>46129</v>
      </c>
      <c r="I1076" t="s">
        <v>7324</v>
      </c>
      <c r="J1076" t="s">
        <v>7325</v>
      </c>
      <c r="K1076" t="s">
        <v>5513</v>
      </c>
      <c r="L1076" t="s">
        <v>2273</v>
      </c>
      <c r="M1076" t="s">
        <v>826</v>
      </c>
      <c r="N1076" s="166">
        <v>20.38</v>
      </c>
      <c r="O1076" t="s">
        <v>131</v>
      </c>
    </row>
    <row r="1077" spans="1:15">
      <c r="A1077" s="166" t="s">
        <v>7326</v>
      </c>
      <c r="B1077" t="s">
        <v>111</v>
      </c>
      <c r="C1077" t="s">
        <v>1104</v>
      </c>
      <c r="D1077" t="s">
        <v>118</v>
      </c>
      <c r="E1077" t="s">
        <v>2618</v>
      </c>
      <c r="F1077" t="s">
        <v>7</v>
      </c>
      <c r="G1077" t="s">
        <v>130</v>
      </c>
      <c r="H1077" s="1">
        <v>46129</v>
      </c>
      <c r="I1077" t="s">
        <v>7327</v>
      </c>
      <c r="J1077" t="s">
        <v>7328</v>
      </c>
      <c r="K1077" t="s">
        <v>2965</v>
      </c>
      <c r="L1077" t="s">
        <v>3441</v>
      </c>
      <c r="M1077" t="s">
        <v>3814</v>
      </c>
      <c r="N1077" s="166">
        <v>22.08</v>
      </c>
      <c r="O1077" t="s">
        <v>131</v>
      </c>
    </row>
    <row r="1078" spans="1:15">
      <c r="A1078" s="166" t="s">
        <v>1801</v>
      </c>
      <c r="B1078" t="s">
        <v>111</v>
      </c>
      <c r="C1078" t="s">
        <v>134</v>
      </c>
      <c r="D1078" t="s">
        <v>118</v>
      </c>
      <c r="E1078" t="s">
        <v>2618</v>
      </c>
      <c r="F1078" t="s">
        <v>7</v>
      </c>
      <c r="G1078" t="s">
        <v>130</v>
      </c>
      <c r="H1078" s="1">
        <v>46129</v>
      </c>
      <c r="I1078" t="s">
        <v>7329</v>
      </c>
      <c r="J1078" t="s">
        <v>7330</v>
      </c>
      <c r="K1078" t="s">
        <v>816</v>
      </c>
      <c r="L1078" t="s">
        <v>3134</v>
      </c>
      <c r="M1078" t="s">
        <v>2038</v>
      </c>
      <c r="N1078" s="166">
        <v>21.08</v>
      </c>
      <c r="O1078" t="s">
        <v>131</v>
      </c>
    </row>
    <row r="1079" spans="1:15">
      <c r="A1079" s="166" t="s">
        <v>7331</v>
      </c>
      <c r="B1079" t="s">
        <v>111</v>
      </c>
      <c r="C1079" t="s">
        <v>133</v>
      </c>
      <c r="D1079" t="s">
        <v>118</v>
      </c>
      <c r="E1079" t="s">
        <v>2618</v>
      </c>
      <c r="F1079" t="s">
        <v>7</v>
      </c>
      <c r="G1079" t="s">
        <v>130</v>
      </c>
      <c r="H1079" s="1">
        <v>46129</v>
      </c>
      <c r="I1079" t="s">
        <v>7332</v>
      </c>
      <c r="J1079" t="s">
        <v>7333</v>
      </c>
      <c r="K1079" t="s">
        <v>4312</v>
      </c>
      <c r="L1079" t="s">
        <v>1177</v>
      </c>
      <c r="M1079" t="s">
        <v>498</v>
      </c>
      <c r="N1079" s="166">
        <v>21.62</v>
      </c>
      <c r="O1079" t="s">
        <v>131</v>
      </c>
    </row>
    <row r="1080" spans="1:15">
      <c r="A1080" s="166" t="s">
        <v>7334</v>
      </c>
      <c r="B1080" t="s">
        <v>111</v>
      </c>
      <c r="C1080" t="s">
        <v>406</v>
      </c>
      <c r="D1080" t="s">
        <v>118</v>
      </c>
      <c r="E1080" t="s">
        <v>2618</v>
      </c>
      <c r="F1080" t="s">
        <v>7</v>
      </c>
      <c r="G1080" t="s">
        <v>130</v>
      </c>
      <c r="H1080" s="1">
        <v>46129</v>
      </c>
      <c r="I1080" t="s">
        <v>7335</v>
      </c>
      <c r="J1080" t="s">
        <v>7336</v>
      </c>
      <c r="K1080" t="s">
        <v>1793</v>
      </c>
      <c r="L1080" t="s">
        <v>611</v>
      </c>
      <c r="M1080" t="s">
        <v>428</v>
      </c>
      <c r="N1080" s="166">
        <v>20.96</v>
      </c>
      <c r="O1080" t="s">
        <v>131</v>
      </c>
    </row>
    <row r="1081" spans="1:15">
      <c r="A1081" s="166" t="s">
        <v>7337</v>
      </c>
      <c r="B1081" t="s">
        <v>111</v>
      </c>
      <c r="C1081" t="s">
        <v>1104</v>
      </c>
      <c r="D1081" t="s">
        <v>118</v>
      </c>
      <c r="E1081" t="s">
        <v>2618</v>
      </c>
      <c r="F1081" t="s">
        <v>7</v>
      </c>
      <c r="G1081" t="s">
        <v>130</v>
      </c>
      <c r="H1081" s="1">
        <v>46129</v>
      </c>
      <c r="I1081" t="s">
        <v>7338</v>
      </c>
      <c r="J1081" t="s">
        <v>7339</v>
      </c>
      <c r="K1081" t="s">
        <v>781</v>
      </c>
      <c r="L1081" t="s">
        <v>3575</v>
      </c>
      <c r="M1081" t="s">
        <v>1587</v>
      </c>
      <c r="N1081" s="166">
        <v>20.5</v>
      </c>
      <c r="O1081" t="s">
        <v>131</v>
      </c>
    </row>
    <row r="1082" spans="1:15">
      <c r="A1082" s="166" t="s">
        <v>7340</v>
      </c>
      <c r="B1082" t="s">
        <v>111</v>
      </c>
      <c r="C1082" t="s">
        <v>134</v>
      </c>
      <c r="D1082" t="s">
        <v>118</v>
      </c>
      <c r="E1082" t="s">
        <v>2618</v>
      </c>
      <c r="F1082" t="s">
        <v>7</v>
      </c>
      <c r="G1082" t="s">
        <v>130</v>
      </c>
      <c r="H1082" s="1">
        <v>46129</v>
      </c>
      <c r="I1082" t="s">
        <v>7341</v>
      </c>
      <c r="J1082" t="s">
        <v>7342</v>
      </c>
      <c r="K1082" t="s">
        <v>1163</v>
      </c>
      <c r="L1082" t="s">
        <v>3152</v>
      </c>
      <c r="M1082" t="s">
        <v>628</v>
      </c>
      <c r="N1082" s="166">
        <v>20.48</v>
      </c>
      <c r="O1082" t="s">
        <v>131</v>
      </c>
    </row>
    <row r="1083" spans="1:15">
      <c r="A1083" s="166" t="s">
        <v>7343</v>
      </c>
      <c r="B1083" t="s">
        <v>111</v>
      </c>
      <c r="C1083" t="s">
        <v>133</v>
      </c>
      <c r="D1083" t="s">
        <v>118</v>
      </c>
      <c r="E1083" t="s">
        <v>2618</v>
      </c>
      <c r="F1083" t="s">
        <v>7</v>
      </c>
      <c r="G1083" t="s">
        <v>130</v>
      </c>
      <c r="H1083" s="1">
        <v>46129</v>
      </c>
      <c r="I1083" t="s">
        <v>7344</v>
      </c>
      <c r="J1083" t="s">
        <v>7345</v>
      </c>
      <c r="K1083" t="s">
        <v>1107</v>
      </c>
      <c r="L1083" t="s">
        <v>2090</v>
      </c>
      <c r="M1083" t="s">
        <v>1333</v>
      </c>
      <c r="N1083" s="166">
        <v>19.14</v>
      </c>
      <c r="O1083" t="s">
        <v>131</v>
      </c>
    </row>
    <row r="1084" spans="1:15">
      <c r="A1084" s="166" t="s">
        <v>7346</v>
      </c>
      <c r="B1084" t="s">
        <v>111</v>
      </c>
      <c r="C1084" t="s">
        <v>136</v>
      </c>
      <c r="D1084" t="s">
        <v>118</v>
      </c>
      <c r="E1084" t="s">
        <v>2618</v>
      </c>
      <c r="F1084" t="s">
        <v>7</v>
      </c>
      <c r="G1084" t="s">
        <v>130</v>
      </c>
      <c r="H1084" s="1">
        <v>46129</v>
      </c>
      <c r="I1084" t="s">
        <v>7347</v>
      </c>
      <c r="J1084" t="s">
        <v>7348</v>
      </c>
      <c r="K1084" t="s">
        <v>610</v>
      </c>
      <c r="L1084" t="s">
        <v>1757</v>
      </c>
      <c r="M1084" t="s">
        <v>3501</v>
      </c>
      <c r="N1084" s="166">
        <v>17.100000000000001</v>
      </c>
      <c r="O1084" t="s">
        <v>131</v>
      </c>
    </row>
    <row r="1085" spans="1:15">
      <c r="A1085" s="166" t="s">
        <v>7349</v>
      </c>
      <c r="B1085" t="s">
        <v>111</v>
      </c>
      <c r="C1085" t="s">
        <v>406</v>
      </c>
      <c r="D1085" t="s">
        <v>118</v>
      </c>
      <c r="E1085" t="s">
        <v>2618</v>
      </c>
      <c r="F1085" t="s">
        <v>7</v>
      </c>
      <c r="G1085" t="s">
        <v>130</v>
      </c>
      <c r="H1085" s="1">
        <v>46129</v>
      </c>
      <c r="I1085" t="s">
        <v>7350</v>
      </c>
      <c r="J1085" t="s">
        <v>7351</v>
      </c>
      <c r="K1085" t="s">
        <v>454</v>
      </c>
      <c r="L1085" t="s">
        <v>687</v>
      </c>
      <c r="M1085" t="s">
        <v>1108</v>
      </c>
      <c r="N1085" s="166">
        <v>20.64</v>
      </c>
      <c r="O1085" t="s">
        <v>131</v>
      </c>
    </row>
    <row r="1086" spans="1:15">
      <c r="A1086" s="166" t="s">
        <v>7352</v>
      </c>
      <c r="B1086" t="s">
        <v>111</v>
      </c>
      <c r="C1086" t="s">
        <v>134</v>
      </c>
      <c r="D1086" t="s">
        <v>116</v>
      </c>
      <c r="E1086" t="s">
        <v>418</v>
      </c>
      <c r="F1086" t="s">
        <v>6</v>
      </c>
      <c r="G1086" t="s">
        <v>130</v>
      </c>
      <c r="H1086" s="1">
        <v>46129</v>
      </c>
      <c r="I1086" t="s">
        <v>7353</v>
      </c>
      <c r="J1086" t="s">
        <v>7354</v>
      </c>
      <c r="K1086" t="s">
        <v>1256</v>
      </c>
      <c r="L1086" t="s">
        <v>3542</v>
      </c>
      <c r="M1086" t="s">
        <v>870</v>
      </c>
      <c r="N1086" s="166">
        <v>16.559999999999999</v>
      </c>
      <c r="O1086" t="s">
        <v>131</v>
      </c>
    </row>
    <row r="1087" spans="1:15">
      <c r="A1087" s="166" t="s">
        <v>7355</v>
      </c>
      <c r="B1087" t="s">
        <v>111</v>
      </c>
      <c r="C1087" t="s">
        <v>133</v>
      </c>
      <c r="D1087" t="s">
        <v>116</v>
      </c>
      <c r="E1087" t="s">
        <v>418</v>
      </c>
      <c r="F1087" t="s">
        <v>6</v>
      </c>
      <c r="G1087" t="s">
        <v>130</v>
      </c>
      <c r="H1087" s="1">
        <v>46129</v>
      </c>
      <c r="I1087" t="s">
        <v>7356</v>
      </c>
      <c r="J1087" t="s">
        <v>7357</v>
      </c>
      <c r="K1087" t="s">
        <v>2394</v>
      </c>
      <c r="L1087" t="s">
        <v>486</v>
      </c>
      <c r="M1087" t="s">
        <v>3041</v>
      </c>
      <c r="N1087" s="166">
        <v>22.6</v>
      </c>
      <c r="O1087" t="s">
        <v>131</v>
      </c>
    </row>
    <row r="1088" spans="1:15">
      <c r="A1088" s="166" t="s">
        <v>7358</v>
      </c>
      <c r="B1088" t="s">
        <v>111</v>
      </c>
      <c r="C1088" t="s">
        <v>136</v>
      </c>
      <c r="D1088" t="s">
        <v>116</v>
      </c>
      <c r="E1088" t="s">
        <v>418</v>
      </c>
      <c r="F1088" t="s">
        <v>6</v>
      </c>
      <c r="G1088" t="s">
        <v>130</v>
      </c>
      <c r="H1088" s="1">
        <v>46129</v>
      </c>
      <c r="I1088" t="s">
        <v>7359</v>
      </c>
      <c r="J1088" t="s">
        <v>7360</v>
      </c>
      <c r="K1088" t="s">
        <v>1896</v>
      </c>
      <c r="L1088" t="s">
        <v>2158</v>
      </c>
      <c r="M1088" t="s">
        <v>535</v>
      </c>
      <c r="N1088" s="166">
        <v>14.74</v>
      </c>
      <c r="O1088" t="s">
        <v>131</v>
      </c>
    </row>
    <row r="1089" spans="1:15">
      <c r="A1089" s="166" t="s">
        <v>7361</v>
      </c>
      <c r="B1089" t="s">
        <v>111</v>
      </c>
      <c r="C1089" t="s">
        <v>406</v>
      </c>
      <c r="D1089" t="s">
        <v>116</v>
      </c>
      <c r="E1089" t="s">
        <v>418</v>
      </c>
      <c r="F1089" t="s">
        <v>6</v>
      </c>
      <c r="G1089" t="s">
        <v>130</v>
      </c>
      <c r="H1089" s="1">
        <v>46129</v>
      </c>
      <c r="I1089" t="s">
        <v>7362</v>
      </c>
      <c r="J1089" t="s">
        <v>7363</v>
      </c>
      <c r="K1089" t="s">
        <v>790</v>
      </c>
      <c r="L1089" t="s">
        <v>687</v>
      </c>
      <c r="M1089" t="s">
        <v>3169</v>
      </c>
      <c r="N1089" s="166">
        <v>18.8</v>
      </c>
      <c r="O1089" t="s">
        <v>131</v>
      </c>
    </row>
    <row r="1090" spans="1:15">
      <c r="A1090" s="166" t="s">
        <v>7364</v>
      </c>
      <c r="B1090" t="s">
        <v>111</v>
      </c>
      <c r="C1090" t="s">
        <v>134</v>
      </c>
      <c r="D1090" t="s">
        <v>116</v>
      </c>
      <c r="E1090" t="s">
        <v>418</v>
      </c>
      <c r="F1090" t="s">
        <v>6</v>
      </c>
      <c r="G1090" t="s">
        <v>130</v>
      </c>
      <c r="H1090" s="1">
        <v>46129</v>
      </c>
      <c r="I1090" t="s">
        <v>7365</v>
      </c>
      <c r="J1090" t="s">
        <v>7366</v>
      </c>
      <c r="K1090" t="s">
        <v>739</v>
      </c>
      <c r="L1090" t="s">
        <v>687</v>
      </c>
      <c r="M1090" t="s">
        <v>510</v>
      </c>
      <c r="N1090" s="166">
        <v>22.18</v>
      </c>
      <c r="O1090" t="s">
        <v>131</v>
      </c>
    </row>
    <row r="1091" spans="1:15">
      <c r="A1091" s="166" t="s">
        <v>7367</v>
      </c>
      <c r="B1091" t="s">
        <v>111</v>
      </c>
      <c r="C1091" t="s">
        <v>133</v>
      </c>
      <c r="D1091" t="s">
        <v>116</v>
      </c>
      <c r="E1091" t="s">
        <v>418</v>
      </c>
      <c r="F1091" t="s">
        <v>6</v>
      </c>
      <c r="G1091" t="s">
        <v>130</v>
      </c>
      <c r="H1091" s="1">
        <v>46129</v>
      </c>
      <c r="I1091" t="s">
        <v>7368</v>
      </c>
      <c r="J1091" t="s">
        <v>7369</v>
      </c>
      <c r="K1091" t="s">
        <v>242</v>
      </c>
      <c r="L1091" t="s">
        <v>465</v>
      </c>
      <c r="M1091" t="s">
        <v>660</v>
      </c>
      <c r="N1091" s="166">
        <v>22.3</v>
      </c>
      <c r="O1091" t="s">
        <v>131</v>
      </c>
    </row>
    <row r="1092" spans="1:15">
      <c r="A1092" s="166" t="s">
        <v>7370</v>
      </c>
      <c r="B1092" t="s">
        <v>111</v>
      </c>
      <c r="C1092" t="s">
        <v>136</v>
      </c>
      <c r="D1092" t="s">
        <v>116</v>
      </c>
      <c r="E1092" t="s">
        <v>418</v>
      </c>
      <c r="F1092" t="s">
        <v>6</v>
      </c>
      <c r="G1092" t="s">
        <v>130</v>
      </c>
      <c r="H1092" s="1">
        <v>46129</v>
      </c>
      <c r="I1092" t="s">
        <v>7371</v>
      </c>
      <c r="J1092" t="s">
        <v>7372</v>
      </c>
      <c r="K1092" t="s">
        <v>855</v>
      </c>
      <c r="L1092" t="s">
        <v>460</v>
      </c>
      <c r="M1092" t="s">
        <v>3857</v>
      </c>
      <c r="N1092" s="166">
        <v>17.84</v>
      </c>
      <c r="O1092" t="s">
        <v>131</v>
      </c>
    </row>
    <row r="1093" spans="1:15">
      <c r="A1093" s="166" t="s">
        <v>7373</v>
      </c>
      <c r="B1093" t="s">
        <v>111</v>
      </c>
      <c r="C1093" t="s">
        <v>406</v>
      </c>
      <c r="D1093" t="s">
        <v>116</v>
      </c>
      <c r="E1093" t="s">
        <v>418</v>
      </c>
      <c r="F1093" t="s">
        <v>6</v>
      </c>
      <c r="G1093" t="s">
        <v>130</v>
      </c>
      <c r="H1093" s="1">
        <v>46129</v>
      </c>
      <c r="I1093" t="s">
        <v>7374</v>
      </c>
      <c r="J1093" t="s">
        <v>7375</v>
      </c>
      <c r="K1093" t="s">
        <v>2904</v>
      </c>
      <c r="L1093" t="s">
        <v>761</v>
      </c>
      <c r="M1093" t="s">
        <v>3283</v>
      </c>
      <c r="N1093" s="166">
        <v>23.54</v>
      </c>
      <c r="O1093" t="s">
        <v>131</v>
      </c>
    </row>
    <row r="1094" spans="1:15">
      <c r="A1094" s="166" t="s">
        <v>7376</v>
      </c>
      <c r="B1094" t="s">
        <v>111</v>
      </c>
      <c r="C1094" t="s">
        <v>133</v>
      </c>
      <c r="D1094" t="s">
        <v>116</v>
      </c>
      <c r="E1094" t="s">
        <v>418</v>
      </c>
      <c r="F1094" t="s">
        <v>6</v>
      </c>
      <c r="G1094" t="s">
        <v>130</v>
      </c>
      <c r="H1094" s="1">
        <v>46129</v>
      </c>
      <c r="I1094" t="s">
        <v>7377</v>
      </c>
      <c r="J1094" t="s">
        <v>7378</v>
      </c>
      <c r="K1094" t="s">
        <v>178</v>
      </c>
      <c r="L1094" t="s">
        <v>509</v>
      </c>
      <c r="M1094" t="s">
        <v>1977</v>
      </c>
      <c r="N1094" s="166">
        <v>18.66</v>
      </c>
      <c r="O1094" t="s">
        <v>131</v>
      </c>
    </row>
    <row r="1095" spans="1:15">
      <c r="A1095" s="166" t="s">
        <v>7379</v>
      </c>
      <c r="B1095" t="s">
        <v>111</v>
      </c>
      <c r="C1095" t="s">
        <v>136</v>
      </c>
      <c r="D1095" t="s">
        <v>116</v>
      </c>
      <c r="E1095" t="s">
        <v>418</v>
      </c>
      <c r="F1095" t="s">
        <v>6</v>
      </c>
      <c r="G1095" t="s">
        <v>130</v>
      </c>
      <c r="H1095" s="1">
        <v>46129</v>
      </c>
      <c r="I1095" t="s">
        <v>7380</v>
      </c>
      <c r="J1095" t="s">
        <v>7381</v>
      </c>
      <c r="K1095" t="s">
        <v>4768</v>
      </c>
      <c r="L1095" t="s">
        <v>487</v>
      </c>
      <c r="M1095" t="s">
        <v>3295</v>
      </c>
      <c r="N1095" s="166">
        <v>16.28</v>
      </c>
      <c r="O1095" t="s">
        <v>131</v>
      </c>
    </row>
    <row r="1096" spans="1:15">
      <c r="A1096" s="166" t="s">
        <v>7382</v>
      </c>
      <c r="B1096" t="s">
        <v>111</v>
      </c>
      <c r="C1096" t="s">
        <v>134</v>
      </c>
      <c r="D1096" t="s">
        <v>116</v>
      </c>
      <c r="E1096" t="s">
        <v>418</v>
      </c>
      <c r="F1096" t="s">
        <v>6</v>
      </c>
      <c r="G1096" t="s">
        <v>130</v>
      </c>
      <c r="H1096" s="1">
        <v>46129</v>
      </c>
      <c r="I1096" t="s">
        <v>7383</v>
      </c>
      <c r="J1096" t="s">
        <v>7384</v>
      </c>
      <c r="K1096" t="s">
        <v>1818</v>
      </c>
      <c r="L1096" t="s">
        <v>208</v>
      </c>
      <c r="M1096" t="s">
        <v>2100</v>
      </c>
      <c r="N1096" s="166">
        <v>20.54</v>
      </c>
      <c r="O1096" t="s">
        <v>131</v>
      </c>
    </row>
    <row r="1097" spans="1:15">
      <c r="A1097" s="166" t="s">
        <v>7385</v>
      </c>
      <c r="B1097" t="s">
        <v>111</v>
      </c>
      <c r="C1097" t="s">
        <v>406</v>
      </c>
      <c r="D1097" t="s">
        <v>116</v>
      </c>
      <c r="E1097" t="s">
        <v>418</v>
      </c>
      <c r="F1097" t="s">
        <v>6</v>
      </c>
      <c r="G1097" t="s">
        <v>130</v>
      </c>
      <c r="H1097" s="1">
        <v>46129</v>
      </c>
      <c r="I1097" t="s">
        <v>7386</v>
      </c>
      <c r="J1097" t="s">
        <v>7387</v>
      </c>
      <c r="K1097" t="s">
        <v>433</v>
      </c>
      <c r="L1097" t="s">
        <v>1076</v>
      </c>
      <c r="M1097" t="s">
        <v>3203</v>
      </c>
      <c r="N1097" s="166">
        <v>20.76</v>
      </c>
      <c r="O1097" t="s">
        <v>131</v>
      </c>
    </row>
    <row r="1098" spans="1:15">
      <c r="A1098" s="166" t="s">
        <v>1785</v>
      </c>
      <c r="B1098" t="s">
        <v>111</v>
      </c>
      <c r="C1098" t="s">
        <v>133</v>
      </c>
      <c r="D1098" t="s">
        <v>116</v>
      </c>
      <c r="E1098" t="s">
        <v>418</v>
      </c>
      <c r="F1098" t="s">
        <v>6</v>
      </c>
      <c r="G1098" t="s">
        <v>130</v>
      </c>
      <c r="H1098" s="1">
        <v>46129</v>
      </c>
      <c r="I1098" t="s">
        <v>7388</v>
      </c>
      <c r="J1098" t="s">
        <v>7389</v>
      </c>
      <c r="K1098" t="s">
        <v>215</v>
      </c>
      <c r="L1098" t="s">
        <v>5385</v>
      </c>
      <c r="M1098" t="s">
        <v>2175</v>
      </c>
      <c r="N1098" s="166">
        <v>19.760000000000002</v>
      </c>
      <c r="O1098" t="s">
        <v>131</v>
      </c>
    </row>
    <row r="1099" spans="1:15">
      <c r="A1099" s="166" t="s">
        <v>7390</v>
      </c>
      <c r="B1099" t="s">
        <v>111</v>
      </c>
      <c r="C1099" t="s">
        <v>136</v>
      </c>
      <c r="D1099" t="s">
        <v>116</v>
      </c>
      <c r="E1099" t="s">
        <v>418</v>
      </c>
      <c r="F1099" t="s">
        <v>6</v>
      </c>
      <c r="G1099" t="s">
        <v>130</v>
      </c>
      <c r="H1099" s="1">
        <v>46129</v>
      </c>
      <c r="I1099" t="s">
        <v>7391</v>
      </c>
      <c r="J1099" t="s">
        <v>7392</v>
      </c>
      <c r="K1099" t="s">
        <v>1463</v>
      </c>
      <c r="L1099" t="s">
        <v>1109</v>
      </c>
      <c r="M1099" t="s">
        <v>3765</v>
      </c>
      <c r="N1099" s="166">
        <v>22.7</v>
      </c>
      <c r="O1099" t="s">
        <v>131</v>
      </c>
    </row>
    <row r="1100" spans="1:15">
      <c r="A1100" s="166" t="s">
        <v>7393</v>
      </c>
      <c r="B1100" t="s">
        <v>111</v>
      </c>
      <c r="C1100" t="s">
        <v>134</v>
      </c>
      <c r="D1100" t="s">
        <v>116</v>
      </c>
      <c r="E1100" t="s">
        <v>418</v>
      </c>
      <c r="F1100" t="s">
        <v>6</v>
      </c>
      <c r="G1100" t="s">
        <v>130</v>
      </c>
      <c r="H1100" s="1">
        <v>46129</v>
      </c>
      <c r="I1100" t="s">
        <v>7394</v>
      </c>
      <c r="J1100" t="s">
        <v>7395</v>
      </c>
      <c r="K1100" t="s">
        <v>2054</v>
      </c>
      <c r="L1100" t="s">
        <v>974</v>
      </c>
      <c r="M1100" t="s">
        <v>1364</v>
      </c>
      <c r="N1100" s="166">
        <v>17.760000000000002</v>
      </c>
      <c r="O1100" t="s">
        <v>131</v>
      </c>
    </row>
    <row r="1101" spans="1:15">
      <c r="A1101" s="166" t="s">
        <v>7396</v>
      </c>
      <c r="B1101" t="s">
        <v>111</v>
      </c>
      <c r="C1101" t="s">
        <v>133</v>
      </c>
      <c r="D1101" t="s">
        <v>118</v>
      </c>
      <c r="E1101" t="s">
        <v>2618</v>
      </c>
      <c r="F1101" t="s">
        <v>7</v>
      </c>
      <c r="G1101" t="s">
        <v>130</v>
      </c>
      <c r="H1101" s="1">
        <v>46129</v>
      </c>
      <c r="I1101" t="s">
        <v>7397</v>
      </c>
      <c r="J1101" t="s">
        <v>7398</v>
      </c>
      <c r="K1101" t="s">
        <v>485</v>
      </c>
      <c r="L1101" t="s">
        <v>2657</v>
      </c>
      <c r="M1101" t="s">
        <v>546</v>
      </c>
      <c r="N1101" s="166">
        <v>22.38</v>
      </c>
      <c r="O1101" t="s">
        <v>131</v>
      </c>
    </row>
    <row r="1102" spans="1:15">
      <c r="A1102" s="166" t="s">
        <v>7399</v>
      </c>
      <c r="B1102" t="s">
        <v>111</v>
      </c>
      <c r="C1102" t="s">
        <v>406</v>
      </c>
      <c r="D1102" t="s">
        <v>118</v>
      </c>
      <c r="E1102" t="s">
        <v>2618</v>
      </c>
      <c r="F1102" t="s">
        <v>7</v>
      </c>
      <c r="G1102" t="s">
        <v>130</v>
      </c>
      <c r="H1102" s="1">
        <v>46129</v>
      </c>
      <c r="I1102" t="s">
        <v>7400</v>
      </c>
      <c r="J1102" t="s">
        <v>7401</v>
      </c>
      <c r="K1102" t="s">
        <v>409</v>
      </c>
      <c r="L1102" t="s">
        <v>2267</v>
      </c>
      <c r="M1102" t="s">
        <v>487</v>
      </c>
      <c r="N1102" s="166">
        <v>21.88</v>
      </c>
      <c r="O1102" t="s">
        <v>131</v>
      </c>
    </row>
    <row r="1103" spans="1:15">
      <c r="A1103" s="166" t="s">
        <v>7402</v>
      </c>
      <c r="B1103" t="s">
        <v>111</v>
      </c>
      <c r="C1103" t="s">
        <v>134</v>
      </c>
      <c r="D1103" t="s">
        <v>118</v>
      </c>
      <c r="E1103" t="s">
        <v>2618</v>
      </c>
      <c r="F1103" t="s">
        <v>7</v>
      </c>
      <c r="G1103" t="s">
        <v>130</v>
      </c>
      <c r="H1103" s="1">
        <v>46129</v>
      </c>
      <c r="I1103" t="s">
        <v>7403</v>
      </c>
      <c r="J1103" t="s">
        <v>7404</v>
      </c>
      <c r="K1103" t="s">
        <v>1635</v>
      </c>
      <c r="L1103" t="s">
        <v>786</v>
      </c>
      <c r="M1103" t="s">
        <v>3203</v>
      </c>
      <c r="N1103" s="166">
        <v>20.76</v>
      </c>
      <c r="O1103" t="s">
        <v>131</v>
      </c>
    </row>
    <row r="1104" spans="1:15">
      <c r="A1104" s="166" t="s">
        <v>7405</v>
      </c>
      <c r="B1104" t="s">
        <v>111</v>
      </c>
      <c r="C1104" t="s">
        <v>136</v>
      </c>
      <c r="D1104" t="s">
        <v>118</v>
      </c>
      <c r="E1104" t="s">
        <v>2618</v>
      </c>
      <c r="F1104" t="s">
        <v>7</v>
      </c>
      <c r="G1104" t="s">
        <v>130</v>
      </c>
      <c r="H1104" s="1">
        <v>46129</v>
      </c>
      <c r="I1104" t="s">
        <v>7406</v>
      </c>
      <c r="J1104" t="s">
        <v>7407</v>
      </c>
      <c r="K1104" t="s">
        <v>221</v>
      </c>
      <c r="L1104" t="s">
        <v>786</v>
      </c>
      <c r="M1104" t="s">
        <v>1095</v>
      </c>
      <c r="N1104" s="166">
        <v>23.78</v>
      </c>
      <c r="O1104" t="s">
        <v>131</v>
      </c>
    </row>
    <row r="1105" spans="1:15">
      <c r="A1105" s="166" t="s">
        <v>7408</v>
      </c>
      <c r="B1105" t="s">
        <v>111</v>
      </c>
      <c r="C1105" t="s">
        <v>133</v>
      </c>
      <c r="D1105" t="s">
        <v>118</v>
      </c>
      <c r="E1105" t="s">
        <v>2618</v>
      </c>
      <c r="F1105" t="s">
        <v>7</v>
      </c>
      <c r="G1105" t="s">
        <v>130</v>
      </c>
      <c r="H1105" s="1">
        <v>46129</v>
      </c>
      <c r="I1105" t="s">
        <v>7409</v>
      </c>
      <c r="J1105" t="s">
        <v>7410</v>
      </c>
      <c r="K1105" t="s">
        <v>3133</v>
      </c>
      <c r="L1105" t="s">
        <v>2644</v>
      </c>
      <c r="M1105" t="s">
        <v>579</v>
      </c>
      <c r="N1105" s="166">
        <v>21.22</v>
      </c>
      <c r="O1105" t="s">
        <v>131</v>
      </c>
    </row>
    <row r="1106" spans="1:15">
      <c r="A1106" s="166" t="s">
        <v>7411</v>
      </c>
      <c r="B1106" t="s">
        <v>111</v>
      </c>
      <c r="C1106" t="s">
        <v>406</v>
      </c>
      <c r="D1106" t="s">
        <v>118</v>
      </c>
      <c r="E1106" t="s">
        <v>2618</v>
      </c>
      <c r="F1106" t="s">
        <v>7</v>
      </c>
      <c r="G1106" t="s">
        <v>130</v>
      </c>
      <c r="H1106" s="1">
        <v>46129</v>
      </c>
      <c r="I1106" t="s">
        <v>7412</v>
      </c>
      <c r="J1106" t="s">
        <v>7413</v>
      </c>
      <c r="K1106" t="s">
        <v>2994</v>
      </c>
      <c r="L1106" t="s">
        <v>2267</v>
      </c>
      <c r="M1106" t="s">
        <v>476</v>
      </c>
      <c r="N1106" s="166">
        <v>21.82</v>
      </c>
      <c r="O1106" t="s">
        <v>131</v>
      </c>
    </row>
    <row r="1107" spans="1:15">
      <c r="A1107" s="166" t="s">
        <v>7414</v>
      </c>
      <c r="B1107" t="s">
        <v>111</v>
      </c>
      <c r="C1107" t="s">
        <v>134</v>
      </c>
      <c r="D1107" t="s">
        <v>118</v>
      </c>
      <c r="E1107" t="s">
        <v>2618</v>
      </c>
      <c r="F1107" t="s">
        <v>7</v>
      </c>
      <c r="G1107" t="s">
        <v>130</v>
      </c>
      <c r="H1107" s="1">
        <v>46129</v>
      </c>
      <c r="I1107" t="s">
        <v>7415</v>
      </c>
      <c r="J1107" t="s">
        <v>7416</v>
      </c>
      <c r="K1107" t="s">
        <v>7417</v>
      </c>
      <c r="L1107" t="s">
        <v>772</v>
      </c>
      <c r="M1107" t="s">
        <v>1333</v>
      </c>
      <c r="N1107" s="166">
        <v>19.14</v>
      </c>
      <c r="O1107" t="s">
        <v>131</v>
      </c>
    </row>
    <row r="1108" spans="1:15">
      <c r="A1108" s="166" t="s">
        <v>7418</v>
      </c>
      <c r="B1108" t="s">
        <v>111</v>
      </c>
      <c r="C1108" t="s">
        <v>136</v>
      </c>
      <c r="D1108" t="s">
        <v>118</v>
      </c>
      <c r="E1108" t="s">
        <v>2618</v>
      </c>
      <c r="F1108" t="s">
        <v>7</v>
      </c>
      <c r="G1108" t="s">
        <v>130</v>
      </c>
      <c r="H1108" s="1">
        <v>46129</v>
      </c>
      <c r="I1108" t="s">
        <v>7419</v>
      </c>
      <c r="J1108" t="s">
        <v>7420</v>
      </c>
      <c r="K1108" t="s">
        <v>480</v>
      </c>
      <c r="L1108" t="s">
        <v>672</v>
      </c>
      <c r="M1108" t="s">
        <v>460</v>
      </c>
      <c r="N1108" s="166">
        <v>21.28</v>
      </c>
      <c r="O1108" t="s">
        <v>131</v>
      </c>
    </row>
    <row r="1109" spans="1:15">
      <c r="A1109" s="166" t="s">
        <v>7421</v>
      </c>
      <c r="B1109" t="s">
        <v>111</v>
      </c>
      <c r="C1109" t="s">
        <v>133</v>
      </c>
      <c r="D1109" t="s">
        <v>118</v>
      </c>
      <c r="E1109" t="s">
        <v>2618</v>
      </c>
      <c r="F1109" t="s">
        <v>7</v>
      </c>
      <c r="G1109" t="s">
        <v>130</v>
      </c>
      <c r="H1109" s="1">
        <v>46129</v>
      </c>
      <c r="I1109" t="s">
        <v>7422</v>
      </c>
      <c r="J1109" t="s">
        <v>7423</v>
      </c>
      <c r="K1109" t="s">
        <v>7424</v>
      </c>
      <c r="L1109" t="s">
        <v>3575</v>
      </c>
      <c r="M1109" t="s">
        <v>481</v>
      </c>
      <c r="N1109" s="166">
        <v>22.4</v>
      </c>
      <c r="O1109" t="s">
        <v>131</v>
      </c>
    </row>
    <row r="1110" spans="1:15">
      <c r="A1110" s="166" t="s">
        <v>7425</v>
      </c>
      <c r="B1110" t="s">
        <v>111</v>
      </c>
      <c r="C1110" t="s">
        <v>406</v>
      </c>
      <c r="D1110" t="s">
        <v>118</v>
      </c>
      <c r="E1110" t="s">
        <v>2618</v>
      </c>
      <c r="F1110" t="s">
        <v>7</v>
      </c>
      <c r="G1110" t="s">
        <v>130</v>
      </c>
      <c r="H1110" s="1">
        <v>46129</v>
      </c>
      <c r="I1110" t="s">
        <v>7426</v>
      </c>
      <c r="J1110" t="s">
        <v>7427</v>
      </c>
      <c r="K1110" t="s">
        <v>2638</v>
      </c>
      <c r="L1110" t="s">
        <v>151</v>
      </c>
      <c r="M1110" t="s">
        <v>7428</v>
      </c>
      <c r="N1110" s="166">
        <v>23.44</v>
      </c>
      <c r="O1110" t="s">
        <v>131</v>
      </c>
    </row>
    <row r="1111" spans="1:15">
      <c r="A1111" s="166" t="s">
        <v>7429</v>
      </c>
      <c r="B1111" t="s">
        <v>111</v>
      </c>
      <c r="C1111" t="s">
        <v>134</v>
      </c>
      <c r="D1111" t="s">
        <v>118</v>
      </c>
      <c r="E1111" t="s">
        <v>2618</v>
      </c>
      <c r="F1111" t="s">
        <v>7</v>
      </c>
      <c r="G1111" t="s">
        <v>130</v>
      </c>
      <c r="H1111" s="1">
        <v>46129</v>
      </c>
      <c r="I1111" t="s">
        <v>7430</v>
      </c>
      <c r="J1111" t="s">
        <v>7431</v>
      </c>
      <c r="K1111" t="s">
        <v>735</v>
      </c>
      <c r="L1111" t="s">
        <v>3318</v>
      </c>
      <c r="M1111" t="s">
        <v>1701</v>
      </c>
      <c r="N1111" s="166">
        <v>21.14</v>
      </c>
      <c r="O1111" t="s">
        <v>131</v>
      </c>
    </row>
    <row r="1112" spans="1:15">
      <c r="A1112" s="166" t="s">
        <v>7432</v>
      </c>
      <c r="B1112" t="s">
        <v>111</v>
      </c>
      <c r="C1112" t="s">
        <v>136</v>
      </c>
      <c r="D1112" t="s">
        <v>118</v>
      </c>
      <c r="E1112" t="s">
        <v>2618</v>
      </c>
      <c r="F1112" t="s">
        <v>7</v>
      </c>
      <c r="G1112" t="s">
        <v>130</v>
      </c>
      <c r="H1112" s="1">
        <v>46129</v>
      </c>
      <c r="I1112" t="s">
        <v>7433</v>
      </c>
      <c r="J1112" t="s">
        <v>7434</v>
      </c>
      <c r="K1112" t="s">
        <v>3607</v>
      </c>
      <c r="L1112" t="s">
        <v>1846</v>
      </c>
      <c r="M1112" t="s">
        <v>846</v>
      </c>
      <c r="N1112" s="166">
        <v>23.04</v>
      </c>
      <c r="O1112" t="s">
        <v>131</v>
      </c>
    </row>
    <row r="1113" spans="1:15">
      <c r="A1113" s="166" t="s">
        <v>7435</v>
      </c>
      <c r="B1113" t="s">
        <v>111</v>
      </c>
      <c r="C1113" t="s">
        <v>133</v>
      </c>
      <c r="D1113" t="s">
        <v>118</v>
      </c>
      <c r="E1113" t="s">
        <v>2618</v>
      </c>
      <c r="F1113" t="s">
        <v>7</v>
      </c>
      <c r="G1113" t="s">
        <v>130</v>
      </c>
      <c r="H1113" s="1">
        <v>46129</v>
      </c>
      <c r="I1113" t="s">
        <v>7436</v>
      </c>
      <c r="J1113" t="s">
        <v>7437</v>
      </c>
      <c r="K1113" t="s">
        <v>4740</v>
      </c>
      <c r="L1113" t="s">
        <v>927</v>
      </c>
      <c r="M1113" t="s">
        <v>520</v>
      </c>
      <c r="N1113" s="166">
        <v>24.42</v>
      </c>
      <c r="O1113" t="s">
        <v>131</v>
      </c>
    </row>
    <row r="1114" spans="1:15">
      <c r="A1114" s="166" t="s">
        <v>7438</v>
      </c>
      <c r="B1114" t="s">
        <v>111</v>
      </c>
      <c r="C1114" t="s">
        <v>406</v>
      </c>
      <c r="D1114" t="s">
        <v>118</v>
      </c>
      <c r="E1114" t="s">
        <v>2618</v>
      </c>
      <c r="F1114" t="s">
        <v>7</v>
      </c>
      <c r="G1114" t="s">
        <v>130</v>
      </c>
      <c r="H1114" s="1">
        <v>46129</v>
      </c>
      <c r="I1114" t="s">
        <v>7439</v>
      </c>
      <c r="J1114" t="s">
        <v>7440</v>
      </c>
      <c r="K1114" t="s">
        <v>160</v>
      </c>
      <c r="L1114" t="s">
        <v>584</v>
      </c>
      <c r="M1114" t="s">
        <v>846</v>
      </c>
      <c r="N1114" s="166">
        <v>23.04</v>
      </c>
      <c r="O1114" t="s">
        <v>131</v>
      </c>
    </row>
    <row r="1115" spans="1:15">
      <c r="A1115" s="166" t="s">
        <v>7441</v>
      </c>
      <c r="B1115" t="s">
        <v>111</v>
      </c>
      <c r="C1115" t="s">
        <v>136</v>
      </c>
      <c r="D1115" t="s">
        <v>118</v>
      </c>
      <c r="E1115" t="s">
        <v>2618</v>
      </c>
      <c r="F1115" t="s">
        <v>7</v>
      </c>
      <c r="G1115" t="s">
        <v>130</v>
      </c>
      <c r="H1115" s="1">
        <v>46129</v>
      </c>
      <c r="I1115" t="s">
        <v>7442</v>
      </c>
      <c r="J1115" t="s">
        <v>7443</v>
      </c>
      <c r="K1115" t="s">
        <v>534</v>
      </c>
      <c r="L1115" t="s">
        <v>856</v>
      </c>
      <c r="M1115" t="s">
        <v>202</v>
      </c>
      <c r="N1115" s="166">
        <v>23.46</v>
      </c>
      <c r="O1115" t="s">
        <v>131</v>
      </c>
    </row>
    <row r="1116" spans="1:15">
      <c r="A1116" s="166" t="s">
        <v>7444</v>
      </c>
      <c r="B1116" t="s">
        <v>111</v>
      </c>
      <c r="C1116" t="s">
        <v>134</v>
      </c>
      <c r="D1116" t="s">
        <v>118</v>
      </c>
      <c r="E1116" t="s">
        <v>2618</v>
      </c>
      <c r="F1116" t="s">
        <v>7</v>
      </c>
      <c r="G1116" t="s">
        <v>130</v>
      </c>
      <c r="H1116" s="1">
        <v>46129</v>
      </c>
      <c r="I1116" t="s">
        <v>7445</v>
      </c>
      <c r="J1116" t="s">
        <v>7446</v>
      </c>
      <c r="K1116" t="s">
        <v>2983</v>
      </c>
      <c r="L1116" t="s">
        <v>650</v>
      </c>
      <c r="M1116" t="s">
        <v>688</v>
      </c>
      <c r="N1116" s="166">
        <v>25.56</v>
      </c>
      <c r="O1116" t="s">
        <v>131</v>
      </c>
    </row>
    <row r="1117" spans="1:15">
      <c r="A1117" s="166" t="s">
        <v>7447</v>
      </c>
      <c r="B1117" t="s">
        <v>111</v>
      </c>
      <c r="C1117" t="s">
        <v>133</v>
      </c>
      <c r="D1117" t="s">
        <v>118</v>
      </c>
      <c r="E1117" t="s">
        <v>2618</v>
      </c>
      <c r="F1117" t="s">
        <v>7</v>
      </c>
      <c r="G1117" t="s">
        <v>130</v>
      </c>
      <c r="H1117" s="1">
        <v>46129</v>
      </c>
      <c r="I1117" t="s">
        <v>7448</v>
      </c>
      <c r="J1117" t="s">
        <v>7449</v>
      </c>
      <c r="K1117" t="s">
        <v>2861</v>
      </c>
      <c r="L1117" t="s">
        <v>3152</v>
      </c>
      <c r="M1117" t="s">
        <v>857</v>
      </c>
      <c r="N1117" s="166">
        <v>22.94</v>
      </c>
      <c r="O1117" t="s">
        <v>131</v>
      </c>
    </row>
    <row r="1118" spans="1:15">
      <c r="A1118" s="166" t="s">
        <v>1085</v>
      </c>
      <c r="B1118" t="s">
        <v>111</v>
      </c>
      <c r="C1118" t="s">
        <v>406</v>
      </c>
      <c r="D1118" t="s">
        <v>118</v>
      </c>
      <c r="E1118" t="s">
        <v>2618</v>
      </c>
      <c r="F1118" t="s">
        <v>7</v>
      </c>
      <c r="G1118" t="s">
        <v>130</v>
      </c>
      <c r="H1118" s="1">
        <v>46129</v>
      </c>
      <c r="I1118" t="s">
        <v>7450</v>
      </c>
      <c r="J1118" t="s">
        <v>7451</v>
      </c>
      <c r="K1118" t="s">
        <v>1810</v>
      </c>
      <c r="L1118" t="s">
        <v>1483</v>
      </c>
      <c r="M1118" t="s">
        <v>422</v>
      </c>
      <c r="N1118" s="166">
        <v>20.420000000000002</v>
      </c>
      <c r="O1118" t="s">
        <v>131</v>
      </c>
    </row>
    <row r="1119" spans="1:15">
      <c r="A1119" s="166" t="s">
        <v>7452</v>
      </c>
      <c r="B1119" t="s">
        <v>111</v>
      </c>
      <c r="C1119" t="s">
        <v>136</v>
      </c>
      <c r="D1119" t="s">
        <v>118</v>
      </c>
      <c r="E1119" t="s">
        <v>2618</v>
      </c>
      <c r="F1119" t="s">
        <v>7</v>
      </c>
      <c r="G1119" t="s">
        <v>130</v>
      </c>
      <c r="H1119" s="1">
        <v>46129</v>
      </c>
      <c r="I1119" t="s">
        <v>7453</v>
      </c>
      <c r="J1119" t="s">
        <v>7454</v>
      </c>
      <c r="K1119" t="s">
        <v>3091</v>
      </c>
      <c r="L1119" t="s">
        <v>1280</v>
      </c>
      <c r="M1119" t="s">
        <v>802</v>
      </c>
      <c r="N1119" s="166">
        <v>22.68</v>
      </c>
      <c r="O1119" t="s">
        <v>131</v>
      </c>
    </row>
    <row r="1120" spans="1:15">
      <c r="A1120" s="166" t="s">
        <v>7455</v>
      </c>
      <c r="B1120" t="s">
        <v>111</v>
      </c>
      <c r="C1120" t="s">
        <v>134</v>
      </c>
      <c r="D1120" t="s">
        <v>118</v>
      </c>
      <c r="E1120" t="s">
        <v>2618</v>
      </c>
      <c r="F1120" t="s">
        <v>7</v>
      </c>
      <c r="G1120" t="s">
        <v>130</v>
      </c>
      <c r="H1120" s="1">
        <v>46129</v>
      </c>
      <c r="I1120" t="s">
        <v>7456</v>
      </c>
      <c r="J1120" t="s">
        <v>7457</v>
      </c>
      <c r="K1120" t="s">
        <v>4364</v>
      </c>
      <c r="L1120" t="s">
        <v>2058</v>
      </c>
      <c r="M1120" t="s">
        <v>3283</v>
      </c>
      <c r="N1120" s="166">
        <v>23.54</v>
      </c>
      <c r="O1120" t="s">
        <v>131</v>
      </c>
    </row>
    <row r="1121" spans="1:15">
      <c r="A1121" s="166" t="s">
        <v>7458</v>
      </c>
      <c r="B1121" t="s">
        <v>111</v>
      </c>
      <c r="C1121" t="s">
        <v>133</v>
      </c>
      <c r="D1121" t="s">
        <v>118</v>
      </c>
      <c r="E1121" t="s">
        <v>2618</v>
      </c>
      <c r="F1121" t="s">
        <v>7</v>
      </c>
      <c r="G1121" t="s">
        <v>130</v>
      </c>
      <c r="H1121" s="1">
        <v>46129</v>
      </c>
      <c r="I1121" t="s">
        <v>7459</v>
      </c>
      <c r="J1121" t="s">
        <v>7460</v>
      </c>
      <c r="K1121" t="s">
        <v>4838</v>
      </c>
      <c r="L1121" t="s">
        <v>2019</v>
      </c>
      <c r="M1121" t="s">
        <v>460</v>
      </c>
      <c r="N1121" s="166">
        <v>21.28</v>
      </c>
      <c r="O1121" t="s">
        <v>131</v>
      </c>
    </row>
    <row r="1122" spans="1:15">
      <c r="A1122" s="166" t="s">
        <v>7461</v>
      </c>
      <c r="B1122" t="s">
        <v>111</v>
      </c>
      <c r="C1122" t="s">
        <v>406</v>
      </c>
      <c r="D1122" t="s">
        <v>118</v>
      </c>
      <c r="E1122" t="s">
        <v>2618</v>
      </c>
      <c r="F1122" t="s">
        <v>7</v>
      </c>
      <c r="G1122" t="s">
        <v>130</v>
      </c>
      <c r="H1122" s="1">
        <v>46129</v>
      </c>
      <c r="I1122" t="s">
        <v>7462</v>
      </c>
      <c r="J1122" t="s">
        <v>7463</v>
      </c>
      <c r="K1122" t="s">
        <v>3291</v>
      </c>
      <c r="L1122" t="s">
        <v>645</v>
      </c>
      <c r="M1122" t="s">
        <v>4374</v>
      </c>
      <c r="N1122" s="166">
        <v>22.54</v>
      </c>
      <c r="O1122" t="s">
        <v>131</v>
      </c>
    </row>
    <row r="1123" spans="1:15">
      <c r="A1123" s="166" t="s">
        <v>7464</v>
      </c>
      <c r="B1123" t="s">
        <v>111</v>
      </c>
      <c r="C1123" t="s">
        <v>136</v>
      </c>
      <c r="D1123" t="s">
        <v>118</v>
      </c>
      <c r="E1123" t="s">
        <v>2618</v>
      </c>
      <c r="F1123" t="s">
        <v>7</v>
      </c>
      <c r="G1123" t="s">
        <v>130</v>
      </c>
      <c r="H1123" s="1">
        <v>46129</v>
      </c>
      <c r="I1123" t="s">
        <v>7465</v>
      </c>
      <c r="J1123" t="s">
        <v>7466</v>
      </c>
      <c r="K1123" t="s">
        <v>760</v>
      </c>
      <c r="L1123" t="s">
        <v>1280</v>
      </c>
      <c r="M1123" t="s">
        <v>434</v>
      </c>
      <c r="N1123" s="166">
        <v>21.6</v>
      </c>
      <c r="O1123" t="s">
        <v>131</v>
      </c>
    </row>
    <row r="1124" spans="1:15">
      <c r="A1124" s="166" t="s">
        <v>7467</v>
      </c>
      <c r="B1124" t="s">
        <v>111</v>
      </c>
      <c r="C1124" t="s">
        <v>134</v>
      </c>
      <c r="D1124" t="s">
        <v>118</v>
      </c>
      <c r="E1124" t="s">
        <v>2618</v>
      </c>
      <c r="F1124" t="s">
        <v>7</v>
      </c>
      <c r="G1124" t="s">
        <v>130</v>
      </c>
      <c r="H1124" s="1">
        <v>46129</v>
      </c>
      <c r="I1124" t="s">
        <v>7468</v>
      </c>
      <c r="J1124" t="s">
        <v>7469</v>
      </c>
      <c r="K1124" t="s">
        <v>475</v>
      </c>
      <c r="L1124" t="s">
        <v>3642</v>
      </c>
      <c r="M1124" t="s">
        <v>1296</v>
      </c>
      <c r="N1124" s="166">
        <v>18.760000000000002</v>
      </c>
      <c r="O1124" t="s">
        <v>131</v>
      </c>
    </row>
    <row r="1125" spans="1:15">
      <c r="A1125" s="166" t="s">
        <v>7470</v>
      </c>
      <c r="B1125" t="s">
        <v>111</v>
      </c>
      <c r="C1125" t="s">
        <v>133</v>
      </c>
      <c r="D1125" t="s">
        <v>118</v>
      </c>
      <c r="E1125" t="s">
        <v>2618</v>
      </c>
      <c r="F1125" t="s">
        <v>7</v>
      </c>
      <c r="G1125" t="s">
        <v>130</v>
      </c>
      <c r="H1125" s="1">
        <v>46129</v>
      </c>
      <c r="I1125" t="s">
        <v>7471</v>
      </c>
      <c r="J1125" t="s">
        <v>7472</v>
      </c>
      <c r="K1125" t="s">
        <v>2198</v>
      </c>
      <c r="L1125" t="s">
        <v>2019</v>
      </c>
      <c r="M1125" t="s">
        <v>1494</v>
      </c>
      <c r="N1125" s="166">
        <v>21.9</v>
      </c>
      <c r="O1125" t="s">
        <v>131</v>
      </c>
    </row>
    <row r="1126" spans="1:15">
      <c r="A1126" s="166" t="s">
        <v>7473</v>
      </c>
      <c r="B1126" t="s">
        <v>111</v>
      </c>
      <c r="C1126" t="s">
        <v>7474</v>
      </c>
      <c r="D1126" t="s">
        <v>118</v>
      </c>
      <c r="E1126" t="s">
        <v>2618</v>
      </c>
      <c r="F1126" t="s">
        <v>7</v>
      </c>
      <c r="G1126" t="s">
        <v>130</v>
      </c>
      <c r="H1126" s="1">
        <v>46129</v>
      </c>
      <c r="I1126" t="s">
        <v>7475</v>
      </c>
      <c r="J1126" t="s">
        <v>7476</v>
      </c>
      <c r="K1126" t="s">
        <v>210</v>
      </c>
      <c r="L1126" t="s">
        <v>1109</v>
      </c>
      <c r="M1126" t="s">
        <v>184</v>
      </c>
      <c r="N1126" s="166">
        <v>20.98</v>
      </c>
      <c r="O1126" t="s">
        <v>131</v>
      </c>
    </row>
    <row r="1127" spans="1:15">
      <c r="A1127" s="166" t="s">
        <v>7477</v>
      </c>
      <c r="B1127" t="s">
        <v>111</v>
      </c>
      <c r="C1127" t="s">
        <v>406</v>
      </c>
      <c r="D1127" t="s">
        <v>118</v>
      </c>
      <c r="E1127" t="s">
        <v>2618</v>
      </c>
      <c r="F1127" t="s">
        <v>7</v>
      </c>
      <c r="G1127" t="s">
        <v>130</v>
      </c>
      <c r="H1127" s="1">
        <v>46129</v>
      </c>
      <c r="I1127" t="s">
        <v>7478</v>
      </c>
      <c r="J1127" t="s">
        <v>7479</v>
      </c>
      <c r="K1127" t="s">
        <v>1591</v>
      </c>
      <c r="L1127" t="s">
        <v>989</v>
      </c>
      <c r="M1127" t="s">
        <v>1159</v>
      </c>
      <c r="N1127" s="166">
        <v>20.34</v>
      </c>
      <c r="O1127" t="s">
        <v>131</v>
      </c>
    </row>
    <row r="1128" spans="1:15">
      <c r="A1128" s="166" t="s">
        <v>7480</v>
      </c>
      <c r="B1128" t="s">
        <v>111</v>
      </c>
      <c r="C1128" t="s">
        <v>136</v>
      </c>
      <c r="D1128" t="s">
        <v>118</v>
      </c>
      <c r="E1128" t="s">
        <v>2618</v>
      </c>
      <c r="F1128" t="s">
        <v>7</v>
      </c>
      <c r="G1128" t="s">
        <v>130</v>
      </c>
      <c r="H1128" s="1">
        <v>46129</v>
      </c>
      <c r="I1128" t="s">
        <v>7481</v>
      </c>
      <c r="J1128" t="s">
        <v>7482</v>
      </c>
      <c r="K1128" t="s">
        <v>2198</v>
      </c>
      <c r="L1128" t="s">
        <v>2657</v>
      </c>
      <c r="M1128" t="s">
        <v>1657</v>
      </c>
      <c r="N1128" s="166">
        <v>22.8</v>
      </c>
      <c r="O1128" t="s">
        <v>131</v>
      </c>
    </row>
    <row r="1129" spans="1:15">
      <c r="A1129" s="166" t="s">
        <v>7483</v>
      </c>
      <c r="B1129" t="s">
        <v>111</v>
      </c>
      <c r="C1129" t="s">
        <v>133</v>
      </c>
      <c r="D1129" t="s">
        <v>118</v>
      </c>
      <c r="E1129" t="s">
        <v>2618</v>
      </c>
      <c r="F1129" t="s">
        <v>7</v>
      </c>
      <c r="G1129" t="s">
        <v>130</v>
      </c>
      <c r="H1129" s="1">
        <v>46129</v>
      </c>
      <c r="I1129" t="s">
        <v>7484</v>
      </c>
      <c r="J1129" t="s">
        <v>7485</v>
      </c>
      <c r="K1129" t="s">
        <v>1661</v>
      </c>
      <c r="L1129" t="s">
        <v>3229</v>
      </c>
      <c r="M1129" t="s">
        <v>1114</v>
      </c>
      <c r="N1129" s="166">
        <v>17.8</v>
      </c>
      <c r="O1129" t="s">
        <v>131</v>
      </c>
    </row>
    <row r="1130" spans="1:15">
      <c r="A1130" s="166" t="s">
        <v>7486</v>
      </c>
      <c r="B1130" t="s">
        <v>111</v>
      </c>
      <c r="C1130" t="s">
        <v>135</v>
      </c>
      <c r="D1130" t="s">
        <v>118</v>
      </c>
      <c r="E1130" t="s">
        <v>139</v>
      </c>
      <c r="F1130" t="s">
        <v>7</v>
      </c>
      <c r="G1130" t="s">
        <v>130</v>
      </c>
      <c r="H1130" s="1">
        <v>46129</v>
      </c>
      <c r="I1130" t="s">
        <v>7487</v>
      </c>
      <c r="J1130" t="s">
        <v>7488</v>
      </c>
      <c r="K1130" t="s">
        <v>4263</v>
      </c>
      <c r="L1130" t="s">
        <v>725</v>
      </c>
      <c r="M1130" t="s">
        <v>4927</v>
      </c>
      <c r="N1130" s="166">
        <v>18.04</v>
      </c>
      <c r="O1130" t="s">
        <v>131</v>
      </c>
    </row>
    <row r="1131" spans="1:15">
      <c r="A1131" s="166" t="s">
        <v>7489</v>
      </c>
      <c r="B1131" t="s">
        <v>111</v>
      </c>
      <c r="C1131" t="s">
        <v>1104</v>
      </c>
      <c r="D1131" t="s">
        <v>118</v>
      </c>
      <c r="E1131" t="s">
        <v>139</v>
      </c>
      <c r="F1131" t="s">
        <v>7</v>
      </c>
      <c r="G1131" t="s">
        <v>130</v>
      </c>
      <c r="H1131" s="1">
        <v>46129</v>
      </c>
      <c r="I1131" t="s">
        <v>7490</v>
      </c>
      <c r="J1131" t="s">
        <v>7491</v>
      </c>
      <c r="K1131" t="s">
        <v>600</v>
      </c>
      <c r="L1131" t="s">
        <v>665</v>
      </c>
      <c r="M1131" t="s">
        <v>1674</v>
      </c>
      <c r="N1131" s="166">
        <v>21.24</v>
      </c>
      <c r="O1131" t="s">
        <v>131</v>
      </c>
    </row>
    <row r="1132" spans="1:15">
      <c r="A1132" s="166" t="s">
        <v>7492</v>
      </c>
      <c r="B1132" t="s">
        <v>111</v>
      </c>
      <c r="C1132" t="s">
        <v>406</v>
      </c>
      <c r="D1132" t="s">
        <v>118</v>
      </c>
      <c r="E1132" t="s">
        <v>2618</v>
      </c>
      <c r="F1132" t="s">
        <v>7</v>
      </c>
      <c r="G1132" t="s">
        <v>130</v>
      </c>
      <c r="H1132" s="1">
        <v>46129</v>
      </c>
      <c r="I1132" t="s">
        <v>7493</v>
      </c>
      <c r="J1132" t="s">
        <v>7494</v>
      </c>
      <c r="K1132" t="s">
        <v>1818</v>
      </c>
      <c r="L1132" t="s">
        <v>622</v>
      </c>
      <c r="M1132" t="s">
        <v>2560</v>
      </c>
      <c r="N1132" s="166">
        <v>20.6</v>
      </c>
      <c r="O1132" t="s">
        <v>131</v>
      </c>
    </row>
    <row r="1133" spans="1:15">
      <c r="A1133" s="166" t="s">
        <v>7495</v>
      </c>
      <c r="B1133" t="s">
        <v>111</v>
      </c>
      <c r="C1133" t="s">
        <v>7474</v>
      </c>
      <c r="D1133" t="s">
        <v>118</v>
      </c>
      <c r="E1133" t="s">
        <v>139</v>
      </c>
      <c r="F1133" t="s">
        <v>7</v>
      </c>
      <c r="G1133" t="s">
        <v>130</v>
      </c>
      <c r="H1133" s="1">
        <v>46129</v>
      </c>
      <c r="I1133" t="s">
        <v>7496</v>
      </c>
      <c r="J1133" t="s">
        <v>7497</v>
      </c>
      <c r="K1133" t="s">
        <v>7498</v>
      </c>
      <c r="L1133" t="s">
        <v>2058</v>
      </c>
      <c r="M1133" t="s">
        <v>1076</v>
      </c>
      <c r="N1133" s="166">
        <v>15.84</v>
      </c>
      <c r="O1133" t="s">
        <v>131</v>
      </c>
    </row>
    <row r="1134" spans="1:15">
      <c r="A1134" s="166" t="s">
        <v>7499</v>
      </c>
      <c r="B1134" t="s">
        <v>111</v>
      </c>
      <c r="C1134" t="s">
        <v>136</v>
      </c>
      <c r="D1134" t="s">
        <v>118</v>
      </c>
      <c r="E1134" t="s">
        <v>2618</v>
      </c>
      <c r="F1134" t="s">
        <v>7</v>
      </c>
      <c r="G1134" t="s">
        <v>130</v>
      </c>
      <c r="H1134" s="1">
        <v>46129</v>
      </c>
      <c r="I1134" t="s">
        <v>7500</v>
      </c>
      <c r="J1134" t="s">
        <v>7501</v>
      </c>
      <c r="K1134" t="s">
        <v>2296</v>
      </c>
      <c r="L1134" t="s">
        <v>1862</v>
      </c>
      <c r="M1134" t="s">
        <v>1674</v>
      </c>
      <c r="N1134" s="166">
        <v>21.24</v>
      </c>
      <c r="O1134" t="s">
        <v>131</v>
      </c>
    </row>
    <row r="1135" spans="1:15">
      <c r="A1135" s="166" t="s">
        <v>7502</v>
      </c>
      <c r="B1135" t="s">
        <v>111</v>
      </c>
      <c r="C1135" t="s">
        <v>134</v>
      </c>
      <c r="D1135" t="s">
        <v>118</v>
      </c>
      <c r="E1135" t="s">
        <v>2618</v>
      </c>
      <c r="F1135" t="s">
        <v>7</v>
      </c>
      <c r="G1135" t="s">
        <v>130</v>
      </c>
      <c r="H1135" s="1">
        <v>46129</v>
      </c>
      <c r="I1135" t="s">
        <v>7503</v>
      </c>
      <c r="J1135" t="s">
        <v>7504</v>
      </c>
      <c r="K1135" t="s">
        <v>7424</v>
      </c>
      <c r="L1135" t="s">
        <v>2549</v>
      </c>
      <c r="M1135" t="s">
        <v>498</v>
      </c>
      <c r="N1135" s="166">
        <v>21.62</v>
      </c>
      <c r="O1135" t="s">
        <v>131</v>
      </c>
    </row>
    <row r="1136" spans="1:15">
      <c r="A1136" s="166" t="s">
        <v>7505</v>
      </c>
      <c r="B1136" t="s">
        <v>111</v>
      </c>
      <c r="C1136" t="s">
        <v>1104</v>
      </c>
      <c r="D1136" t="s">
        <v>118</v>
      </c>
      <c r="E1136" t="s">
        <v>139</v>
      </c>
      <c r="F1136" t="s">
        <v>7</v>
      </c>
      <c r="G1136" t="s">
        <v>130</v>
      </c>
      <c r="H1136" s="1">
        <v>46129</v>
      </c>
      <c r="I1136" t="s">
        <v>7506</v>
      </c>
      <c r="J1136" t="s">
        <v>7507</v>
      </c>
      <c r="K1136" t="s">
        <v>1363</v>
      </c>
      <c r="L1136" t="s">
        <v>1280</v>
      </c>
      <c r="M1136" t="s">
        <v>870</v>
      </c>
      <c r="N1136" s="166">
        <v>16.559999999999999</v>
      </c>
      <c r="O1136" t="s">
        <v>131</v>
      </c>
    </row>
    <row r="1137" spans="1:15">
      <c r="A1137" s="166" t="s">
        <v>7508</v>
      </c>
      <c r="B1137" t="s">
        <v>111</v>
      </c>
      <c r="C1137" t="s">
        <v>641</v>
      </c>
      <c r="D1137" t="s">
        <v>118</v>
      </c>
      <c r="E1137" t="s">
        <v>139</v>
      </c>
      <c r="F1137" t="s">
        <v>7</v>
      </c>
      <c r="G1137" t="s">
        <v>130</v>
      </c>
      <c r="H1137" s="1">
        <v>46129</v>
      </c>
      <c r="I1137" t="s">
        <v>7509</v>
      </c>
      <c r="J1137" t="s">
        <v>7510</v>
      </c>
      <c r="K1137" t="s">
        <v>1948</v>
      </c>
      <c r="L1137" t="s">
        <v>163</v>
      </c>
      <c r="M1137" t="s">
        <v>773</v>
      </c>
      <c r="N1137" s="166">
        <v>20.66</v>
      </c>
      <c r="O1137" t="s">
        <v>131</v>
      </c>
    </row>
    <row r="1138" spans="1:15">
      <c r="A1138" s="166" t="s">
        <v>1749</v>
      </c>
      <c r="B1138" t="s">
        <v>111</v>
      </c>
      <c r="C1138" t="s">
        <v>7474</v>
      </c>
      <c r="D1138" t="s">
        <v>118</v>
      </c>
      <c r="E1138" t="s">
        <v>139</v>
      </c>
      <c r="F1138" t="s">
        <v>7</v>
      </c>
      <c r="G1138" t="s">
        <v>130</v>
      </c>
      <c r="H1138" s="1">
        <v>46129</v>
      </c>
      <c r="I1138" t="s">
        <v>7511</v>
      </c>
      <c r="J1138" t="s">
        <v>7512</v>
      </c>
      <c r="K1138" t="s">
        <v>1774</v>
      </c>
      <c r="L1138" t="s">
        <v>1291</v>
      </c>
      <c r="M1138" t="s">
        <v>3134</v>
      </c>
      <c r="N1138" s="166">
        <v>16.899999999999999</v>
      </c>
      <c r="O1138" t="s">
        <v>131</v>
      </c>
    </row>
    <row r="1139" spans="1:15">
      <c r="A1139" s="166" t="s">
        <v>7513</v>
      </c>
      <c r="B1139" t="s">
        <v>111</v>
      </c>
      <c r="C1139" t="s">
        <v>135</v>
      </c>
      <c r="D1139" t="s">
        <v>118</v>
      </c>
      <c r="E1139" t="s">
        <v>139</v>
      </c>
      <c r="F1139" t="s">
        <v>7</v>
      </c>
      <c r="G1139" t="s">
        <v>130</v>
      </c>
      <c r="H1139" s="1">
        <v>46129</v>
      </c>
      <c r="I1139" t="s">
        <v>7514</v>
      </c>
      <c r="J1139" t="s">
        <v>7515</v>
      </c>
      <c r="K1139" t="s">
        <v>1229</v>
      </c>
      <c r="L1139" t="s">
        <v>4374</v>
      </c>
      <c r="M1139" t="s">
        <v>7516</v>
      </c>
      <c r="N1139" s="166">
        <v>10.1</v>
      </c>
      <c r="O1139" t="s">
        <v>131</v>
      </c>
    </row>
    <row r="1140" spans="1:15">
      <c r="A1140" s="166" t="s">
        <v>7517</v>
      </c>
      <c r="B1140" t="s">
        <v>111</v>
      </c>
      <c r="C1140" t="s">
        <v>1104</v>
      </c>
      <c r="D1140" t="s">
        <v>118</v>
      </c>
      <c r="E1140" t="s">
        <v>139</v>
      </c>
      <c r="F1140" t="s">
        <v>7</v>
      </c>
      <c r="G1140" t="s">
        <v>130</v>
      </c>
      <c r="H1140" s="1">
        <v>46129</v>
      </c>
      <c r="I1140" t="s">
        <v>7518</v>
      </c>
      <c r="J1140" t="s">
        <v>7519</v>
      </c>
      <c r="K1140" t="s">
        <v>160</v>
      </c>
      <c r="L1140" t="s">
        <v>2657</v>
      </c>
      <c r="M1140" t="s">
        <v>756</v>
      </c>
      <c r="N1140" s="166">
        <v>22.1</v>
      </c>
      <c r="O1140" t="s">
        <v>131</v>
      </c>
    </row>
    <row r="1141" spans="1:15">
      <c r="A1141" s="166" t="s">
        <v>7520</v>
      </c>
      <c r="B1141" t="s">
        <v>111</v>
      </c>
      <c r="C1141" t="s">
        <v>136</v>
      </c>
      <c r="D1141" t="s">
        <v>118</v>
      </c>
      <c r="E1141" t="s">
        <v>139</v>
      </c>
      <c r="F1141" t="s">
        <v>7</v>
      </c>
      <c r="G1141" t="s">
        <v>130</v>
      </c>
      <c r="H1141" s="1">
        <v>46129</v>
      </c>
      <c r="I1141" t="s">
        <v>7521</v>
      </c>
      <c r="J1141" t="s">
        <v>7522</v>
      </c>
      <c r="K1141" t="s">
        <v>4381</v>
      </c>
      <c r="L1141" t="s">
        <v>1845</v>
      </c>
      <c r="M1141" t="s">
        <v>767</v>
      </c>
      <c r="N1141" s="166">
        <v>22.24</v>
      </c>
      <c r="O1141" t="s">
        <v>131</v>
      </c>
    </row>
    <row r="1142" spans="1:15">
      <c r="A1142" s="166" t="s">
        <v>7523</v>
      </c>
      <c r="B1142" t="s">
        <v>111</v>
      </c>
      <c r="C1142" t="s">
        <v>133</v>
      </c>
      <c r="D1142" t="s">
        <v>118</v>
      </c>
      <c r="E1142" t="s">
        <v>2618</v>
      </c>
      <c r="F1142" t="s">
        <v>7</v>
      </c>
      <c r="G1142" t="s">
        <v>130</v>
      </c>
      <c r="H1142" s="1">
        <v>46129</v>
      </c>
      <c r="I1142" t="s">
        <v>7524</v>
      </c>
      <c r="J1142" t="s">
        <v>7525</v>
      </c>
      <c r="K1142" t="s">
        <v>4768</v>
      </c>
      <c r="L1142" t="s">
        <v>502</v>
      </c>
      <c r="M1142" t="s">
        <v>7526</v>
      </c>
      <c r="N1142" s="166">
        <v>0.14000000000000001</v>
      </c>
      <c r="O1142" t="s">
        <v>131</v>
      </c>
    </row>
    <row r="1143" spans="1:15">
      <c r="A1143" s="166" t="s">
        <v>7527</v>
      </c>
      <c r="B1143" t="s">
        <v>111</v>
      </c>
      <c r="C1143" t="s">
        <v>406</v>
      </c>
      <c r="D1143" t="s">
        <v>118</v>
      </c>
      <c r="E1143" t="s">
        <v>2618</v>
      </c>
      <c r="F1143" t="s">
        <v>7</v>
      </c>
      <c r="G1143" t="s">
        <v>130</v>
      </c>
      <c r="H1143" s="1">
        <v>46129</v>
      </c>
      <c r="I1143" t="s">
        <v>7528</v>
      </c>
      <c r="J1143" t="s">
        <v>7529</v>
      </c>
      <c r="K1143" t="s">
        <v>5209</v>
      </c>
      <c r="L1143" t="s">
        <v>144</v>
      </c>
      <c r="M1143" t="s">
        <v>1323</v>
      </c>
      <c r="N1143" s="166">
        <v>20.440000000000001</v>
      </c>
      <c r="O1143" t="s">
        <v>131</v>
      </c>
    </row>
    <row r="1144" spans="1:15">
      <c r="A1144" s="166" t="s">
        <v>7530</v>
      </c>
      <c r="B1144" t="s">
        <v>111</v>
      </c>
      <c r="C1144" t="s">
        <v>641</v>
      </c>
      <c r="D1144" t="s">
        <v>118</v>
      </c>
      <c r="E1144" t="s">
        <v>139</v>
      </c>
      <c r="F1144" t="s">
        <v>7</v>
      </c>
      <c r="G1144" t="s">
        <v>130</v>
      </c>
      <c r="H1144" s="1">
        <v>46129</v>
      </c>
      <c r="I1144" t="s">
        <v>7531</v>
      </c>
      <c r="J1144" t="s">
        <v>7532</v>
      </c>
      <c r="K1144" t="s">
        <v>844</v>
      </c>
      <c r="L1144" t="s">
        <v>155</v>
      </c>
      <c r="M1144" t="s">
        <v>198</v>
      </c>
      <c r="N1144" s="166">
        <v>24.54</v>
      </c>
      <c r="O1144" t="s">
        <v>131</v>
      </c>
    </row>
    <row r="1145" spans="1:15">
      <c r="A1145" s="166" t="s">
        <v>7533</v>
      </c>
      <c r="B1145" t="s">
        <v>111</v>
      </c>
      <c r="C1145" t="s">
        <v>1104</v>
      </c>
      <c r="D1145" t="s">
        <v>118</v>
      </c>
      <c r="E1145" t="s">
        <v>139</v>
      </c>
      <c r="F1145" t="s">
        <v>7</v>
      </c>
      <c r="G1145" t="s">
        <v>130</v>
      </c>
      <c r="H1145" s="1">
        <v>46129</v>
      </c>
      <c r="I1145" t="s">
        <v>7534</v>
      </c>
      <c r="J1145" t="s">
        <v>7535</v>
      </c>
      <c r="K1145" t="s">
        <v>6268</v>
      </c>
      <c r="L1145" t="s">
        <v>927</v>
      </c>
      <c r="M1145" t="s">
        <v>1267</v>
      </c>
      <c r="N1145" s="166">
        <v>19.68</v>
      </c>
      <c r="O1145" t="s">
        <v>131</v>
      </c>
    </row>
    <row r="1146" spans="1:15">
      <c r="A1146" s="166" t="s">
        <v>7536</v>
      </c>
      <c r="B1146" t="s">
        <v>111</v>
      </c>
      <c r="C1146" t="s">
        <v>135</v>
      </c>
      <c r="D1146" t="s">
        <v>118</v>
      </c>
      <c r="E1146" t="s">
        <v>139</v>
      </c>
      <c r="F1146" t="s">
        <v>7</v>
      </c>
      <c r="G1146" t="s">
        <v>130</v>
      </c>
      <c r="H1146" s="1">
        <v>46129</v>
      </c>
      <c r="I1146" t="s">
        <v>7537</v>
      </c>
      <c r="J1146" t="s">
        <v>7538</v>
      </c>
      <c r="K1146" t="s">
        <v>615</v>
      </c>
      <c r="L1146" t="s">
        <v>761</v>
      </c>
      <c r="M1146" t="s">
        <v>3646</v>
      </c>
      <c r="N1146" s="166">
        <v>20</v>
      </c>
      <c r="O1146" t="s">
        <v>131</v>
      </c>
    </row>
    <row r="1147" spans="1:15">
      <c r="A1147" s="166" t="s">
        <v>7539</v>
      </c>
      <c r="B1147" t="s">
        <v>111</v>
      </c>
      <c r="C1147" t="s">
        <v>136</v>
      </c>
      <c r="D1147" t="s">
        <v>118</v>
      </c>
      <c r="E1147" t="s">
        <v>2618</v>
      </c>
      <c r="F1147" t="s">
        <v>7</v>
      </c>
      <c r="G1147" t="s">
        <v>130</v>
      </c>
      <c r="H1147" s="1">
        <v>46129</v>
      </c>
      <c r="I1147" t="s">
        <v>7540</v>
      </c>
      <c r="J1147" t="s">
        <v>7541</v>
      </c>
      <c r="K1147" t="s">
        <v>4645</v>
      </c>
      <c r="L1147" t="s">
        <v>1062</v>
      </c>
      <c r="M1147" t="s">
        <v>2437</v>
      </c>
      <c r="N1147" s="166">
        <v>20.52</v>
      </c>
      <c r="O1147" t="s">
        <v>131</v>
      </c>
    </row>
    <row r="1148" spans="1:15">
      <c r="A1148" s="166" t="s">
        <v>7542</v>
      </c>
      <c r="B1148" t="s">
        <v>111</v>
      </c>
      <c r="C1148" t="s">
        <v>641</v>
      </c>
      <c r="D1148" t="s">
        <v>118</v>
      </c>
      <c r="E1148" t="s">
        <v>139</v>
      </c>
      <c r="F1148" t="s">
        <v>7</v>
      </c>
      <c r="G1148" t="s">
        <v>130</v>
      </c>
      <c r="H1148" s="1">
        <v>46129</v>
      </c>
      <c r="I1148" t="s">
        <v>7543</v>
      </c>
      <c r="J1148" t="s">
        <v>7544</v>
      </c>
      <c r="K1148" t="s">
        <v>204</v>
      </c>
      <c r="L1148" t="s">
        <v>584</v>
      </c>
      <c r="M1148" t="s">
        <v>4325</v>
      </c>
      <c r="N1148" s="166">
        <v>20.58</v>
      </c>
      <c r="O1148" t="s">
        <v>131</v>
      </c>
    </row>
    <row r="1149" spans="1:15">
      <c r="A1149" s="166" t="s">
        <v>7545</v>
      </c>
      <c r="B1149" t="s">
        <v>111</v>
      </c>
      <c r="C1149" t="s">
        <v>134</v>
      </c>
      <c r="D1149" t="s">
        <v>118</v>
      </c>
      <c r="E1149" t="s">
        <v>2618</v>
      </c>
      <c r="F1149" t="s">
        <v>7</v>
      </c>
      <c r="G1149" t="s">
        <v>130</v>
      </c>
      <c r="H1149" s="1">
        <v>46129</v>
      </c>
      <c r="I1149" t="s">
        <v>7546</v>
      </c>
      <c r="J1149" t="s">
        <v>7547</v>
      </c>
      <c r="K1149" t="s">
        <v>4406</v>
      </c>
      <c r="L1149" t="s">
        <v>2532</v>
      </c>
      <c r="M1149" t="s">
        <v>5398</v>
      </c>
      <c r="N1149" s="166">
        <v>21.86</v>
      </c>
      <c r="O1149" t="s">
        <v>131</v>
      </c>
    </row>
    <row r="1150" spans="1:15">
      <c r="A1150" s="166" t="s">
        <v>7548</v>
      </c>
      <c r="B1150" t="s">
        <v>111</v>
      </c>
      <c r="C1150" t="s">
        <v>1104</v>
      </c>
      <c r="D1150" t="s">
        <v>118</v>
      </c>
      <c r="E1150" t="s">
        <v>139</v>
      </c>
      <c r="F1150" t="s">
        <v>7</v>
      </c>
      <c r="G1150" t="s">
        <v>130</v>
      </c>
      <c r="H1150" s="1">
        <v>46129</v>
      </c>
      <c r="I1150" t="s">
        <v>7549</v>
      </c>
      <c r="J1150" t="s">
        <v>7550</v>
      </c>
      <c r="K1150" t="s">
        <v>4863</v>
      </c>
      <c r="L1150" t="s">
        <v>2603</v>
      </c>
      <c r="M1150" t="s">
        <v>3040</v>
      </c>
      <c r="N1150" s="166">
        <v>16.739999999999998</v>
      </c>
      <c r="O1150" t="s">
        <v>131</v>
      </c>
    </row>
    <row r="1151" spans="1:15">
      <c r="A1151" s="166" t="s">
        <v>7551</v>
      </c>
      <c r="B1151" t="s">
        <v>111</v>
      </c>
      <c r="C1151" t="s">
        <v>135</v>
      </c>
      <c r="D1151" t="s">
        <v>118</v>
      </c>
      <c r="E1151" t="s">
        <v>139</v>
      </c>
      <c r="F1151" t="s">
        <v>7</v>
      </c>
      <c r="G1151" t="s">
        <v>130</v>
      </c>
      <c r="H1151" s="1">
        <v>46129</v>
      </c>
      <c r="I1151" t="s">
        <v>7552</v>
      </c>
      <c r="J1151" t="s">
        <v>7553</v>
      </c>
      <c r="K1151" t="s">
        <v>554</v>
      </c>
      <c r="L1151" t="s">
        <v>2624</v>
      </c>
      <c r="M1151" t="s">
        <v>1583</v>
      </c>
      <c r="N1151" s="166">
        <v>20.22</v>
      </c>
      <c r="O1151" t="s">
        <v>131</v>
      </c>
    </row>
    <row r="1152" spans="1:15">
      <c r="A1152" s="166" t="s">
        <v>7554</v>
      </c>
      <c r="B1152" t="s">
        <v>111</v>
      </c>
      <c r="C1152" t="s">
        <v>641</v>
      </c>
      <c r="D1152" t="s">
        <v>118</v>
      </c>
      <c r="E1152" t="s">
        <v>139</v>
      </c>
      <c r="F1152" t="s">
        <v>7</v>
      </c>
      <c r="G1152" t="s">
        <v>130</v>
      </c>
      <c r="H1152" s="1">
        <v>46129</v>
      </c>
      <c r="I1152" t="s">
        <v>7555</v>
      </c>
      <c r="J1152" t="s">
        <v>7556</v>
      </c>
      <c r="K1152" t="s">
        <v>1969</v>
      </c>
      <c r="L1152" t="s">
        <v>1560</v>
      </c>
      <c r="M1152" t="s">
        <v>2402</v>
      </c>
      <c r="N1152" s="166">
        <v>20.04</v>
      </c>
      <c r="O1152" t="s">
        <v>131</v>
      </c>
    </row>
    <row r="1153" spans="1:15">
      <c r="A1153" s="166" t="s">
        <v>7557</v>
      </c>
      <c r="B1153" t="s">
        <v>111</v>
      </c>
      <c r="C1153" t="s">
        <v>7474</v>
      </c>
      <c r="D1153" t="s">
        <v>118</v>
      </c>
      <c r="E1153" t="s">
        <v>139</v>
      </c>
      <c r="F1153" t="s">
        <v>7</v>
      </c>
      <c r="G1153" t="s">
        <v>130</v>
      </c>
      <c r="H1153" s="1">
        <v>46129</v>
      </c>
      <c r="I1153" t="s">
        <v>7558</v>
      </c>
      <c r="J1153" t="s">
        <v>7559</v>
      </c>
      <c r="K1153" t="s">
        <v>1896</v>
      </c>
      <c r="L1153" t="s">
        <v>1710</v>
      </c>
      <c r="M1153" t="s">
        <v>2657</v>
      </c>
      <c r="N1153" s="166">
        <v>16.22</v>
      </c>
      <c r="O1153" t="s">
        <v>131</v>
      </c>
    </row>
    <row r="1154" spans="1:15">
      <c r="A1154" s="166" t="s">
        <v>7560</v>
      </c>
      <c r="B1154" t="s">
        <v>111</v>
      </c>
      <c r="C1154" t="s">
        <v>1104</v>
      </c>
      <c r="D1154" t="s">
        <v>118</v>
      </c>
      <c r="E1154" t="s">
        <v>139</v>
      </c>
      <c r="F1154" t="s">
        <v>7</v>
      </c>
      <c r="G1154" t="s">
        <v>130</v>
      </c>
      <c r="H1154" s="1">
        <v>46129</v>
      </c>
      <c r="I1154" t="s">
        <v>7561</v>
      </c>
      <c r="J1154" t="s">
        <v>7562</v>
      </c>
      <c r="K1154" t="s">
        <v>470</v>
      </c>
      <c r="L1154" t="s">
        <v>1286</v>
      </c>
      <c r="M1154" t="s">
        <v>2652</v>
      </c>
      <c r="N1154" s="166">
        <v>17.54</v>
      </c>
      <c r="O1154" t="s">
        <v>131</v>
      </c>
    </row>
    <row r="1155" spans="1:15">
      <c r="A1155" s="166" t="s">
        <v>7563</v>
      </c>
      <c r="B1155" t="s">
        <v>111</v>
      </c>
      <c r="C1155" t="s">
        <v>406</v>
      </c>
      <c r="D1155" t="s">
        <v>118</v>
      </c>
      <c r="E1155" t="s">
        <v>2618</v>
      </c>
      <c r="F1155" t="s">
        <v>7</v>
      </c>
      <c r="G1155" t="s">
        <v>130</v>
      </c>
      <c r="H1155" s="1">
        <v>46129</v>
      </c>
      <c r="I1155" t="s">
        <v>7564</v>
      </c>
      <c r="J1155" t="s">
        <v>7565</v>
      </c>
      <c r="K1155" t="s">
        <v>1056</v>
      </c>
      <c r="L1155" t="s">
        <v>761</v>
      </c>
      <c r="M1155" t="s">
        <v>1553</v>
      </c>
      <c r="N1155" s="166">
        <v>20.239999999999998</v>
      </c>
      <c r="O1155" t="s">
        <v>131</v>
      </c>
    </row>
    <row r="1156" spans="1:15">
      <c r="A1156" s="166" t="s">
        <v>7566</v>
      </c>
      <c r="B1156" t="s">
        <v>111</v>
      </c>
      <c r="C1156" t="s">
        <v>136</v>
      </c>
      <c r="D1156" t="s">
        <v>118</v>
      </c>
      <c r="E1156" t="s">
        <v>2618</v>
      </c>
      <c r="F1156" t="s">
        <v>7</v>
      </c>
      <c r="G1156" t="s">
        <v>130</v>
      </c>
      <c r="H1156" s="1">
        <v>46129</v>
      </c>
      <c r="I1156" t="s">
        <v>7567</v>
      </c>
      <c r="J1156" t="s">
        <v>7568</v>
      </c>
      <c r="K1156" t="s">
        <v>3524</v>
      </c>
      <c r="L1156" t="s">
        <v>2473</v>
      </c>
      <c r="M1156" t="s">
        <v>1286</v>
      </c>
      <c r="N1156" s="166">
        <v>19.64</v>
      </c>
      <c r="O1156" t="s">
        <v>131</v>
      </c>
    </row>
    <row r="1157" spans="1:15">
      <c r="A1157" s="166" t="s">
        <v>7569</v>
      </c>
      <c r="B1157" t="s">
        <v>111</v>
      </c>
      <c r="C1157" t="s">
        <v>133</v>
      </c>
      <c r="D1157" t="s">
        <v>118</v>
      </c>
      <c r="E1157" t="s">
        <v>2618</v>
      </c>
      <c r="F1157" t="s">
        <v>7</v>
      </c>
      <c r="G1157" t="s">
        <v>130</v>
      </c>
      <c r="H1157" s="1">
        <v>46129</v>
      </c>
      <c r="I1157" t="s">
        <v>7570</v>
      </c>
      <c r="J1157" t="s">
        <v>7571</v>
      </c>
      <c r="K1157" t="s">
        <v>1846</v>
      </c>
      <c r="L1157" t="s">
        <v>2540</v>
      </c>
      <c r="M1157" t="s">
        <v>3395</v>
      </c>
      <c r="N1157" s="166">
        <v>18.420000000000002</v>
      </c>
      <c r="O1157" t="s">
        <v>131</v>
      </c>
    </row>
    <row r="1158" spans="1:15">
      <c r="A1158" s="166" t="s">
        <v>1066</v>
      </c>
      <c r="B1158" t="s">
        <v>111</v>
      </c>
      <c r="C1158" t="s">
        <v>134</v>
      </c>
      <c r="D1158" t="s">
        <v>118</v>
      </c>
      <c r="E1158" t="s">
        <v>2618</v>
      </c>
      <c r="F1158" t="s">
        <v>7</v>
      </c>
      <c r="G1158" t="s">
        <v>130</v>
      </c>
      <c r="H1158" s="1">
        <v>46129</v>
      </c>
      <c r="I1158" t="s">
        <v>7572</v>
      </c>
      <c r="J1158" t="s">
        <v>7573</v>
      </c>
      <c r="K1158" t="s">
        <v>1689</v>
      </c>
      <c r="L1158" t="s">
        <v>3318</v>
      </c>
      <c r="M1158" t="s">
        <v>207</v>
      </c>
      <c r="N1158" s="166">
        <v>20.92</v>
      </c>
      <c r="O1158" t="s">
        <v>131</v>
      </c>
    </row>
    <row r="1159" spans="1:15">
      <c r="A1159" s="166" t="s">
        <v>7574</v>
      </c>
      <c r="B1159" t="s">
        <v>111</v>
      </c>
      <c r="C1159" t="s">
        <v>135</v>
      </c>
      <c r="D1159" t="s">
        <v>118</v>
      </c>
      <c r="E1159" t="s">
        <v>139</v>
      </c>
      <c r="F1159" t="s">
        <v>7</v>
      </c>
      <c r="G1159" t="s">
        <v>130</v>
      </c>
      <c r="H1159" s="1">
        <v>46129</v>
      </c>
      <c r="I1159" t="s">
        <v>7575</v>
      </c>
      <c r="J1159" t="s">
        <v>7576</v>
      </c>
      <c r="K1159" t="s">
        <v>1463</v>
      </c>
      <c r="L1159" t="s">
        <v>1114</v>
      </c>
      <c r="M1159" t="s">
        <v>617</v>
      </c>
      <c r="N1159" s="166">
        <v>20.02</v>
      </c>
      <c r="O1159" t="s">
        <v>131</v>
      </c>
    </row>
    <row r="1160" spans="1:15">
      <c r="A1160" s="166" t="s">
        <v>7577</v>
      </c>
      <c r="B1160" t="s">
        <v>111</v>
      </c>
      <c r="C1160" t="s">
        <v>641</v>
      </c>
      <c r="D1160" t="s">
        <v>118</v>
      </c>
      <c r="E1160" t="s">
        <v>139</v>
      </c>
      <c r="F1160" t="s">
        <v>7</v>
      </c>
      <c r="G1160" t="s">
        <v>130</v>
      </c>
      <c r="H1160" s="1">
        <v>46129</v>
      </c>
      <c r="I1160" t="s">
        <v>7578</v>
      </c>
      <c r="J1160" t="s">
        <v>7579</v>
      </c>
      <c r="K1160" t="s">
        <v>1619</v>
      </c>
      <c r="L1160" t="s">
        <v>3441</v>
      </c>
      <c r="M1160" t="s">
        <v>410</v>
      </c>
      <c r="N1160" s="166">
        <v>22.36</v>
      </c>
      <c r="O1160" t="s">
        <v>131</v>
      </c>
    </row>
    <row r="1161" spans="1:15">
      <c r="A1161" s="166" t="s">
        <v>7580</v>
      </c>
      <c r="B1161" t="s">
        <v>111</v>
      </c>
      <c r="C1161" t="s">
        <v>406</v>
      </c>
      <c r="D1161" t="s">
        <v>118</v>
      </c>
      <c r="E1161" t="s">
        <v>2618</v>
      </c>
      <c r="F1161" t="s">
        <v>7</v>
      </c>
      <c r="G1161" t="s">
        <v>130</v>
      </c>
      <c r="H1161" s="1">
        <v>46129</v>
      </c>
      <c r="I1161" t="s">
        <v>7581</v>
      </c>
      <c r="J1161" t="s">
        <v>7582</v>
      </c>
      <c r="K1161" t="s">
        <v>632</v>
      </c>
      <c r="L1161" t="s">
        <v>974</v>
      </c>
      <c r="M1161" t="s">
        <v>2560</v>
      </c>
      <c r="N1161" s="166">
        <v>20.6</v>
      </c>
      <c r="O1161" t="s">
        <v>131</v>
      </c>
    </row>
    <row r="1162" spans="1:15">
      <c r="A1162" s="166" t="s">
        <v>7583</v>
      </c>
      <c r="B1162" t="s">
        <v>111</v>
      </c>
      <c r="C1162" t="s">
        <v>136</v>
      </c>
      <c r="D1162" t="s">
        <v>118</v>
      </c>
      <c r="E1162" t="s">
        <v>2618</v>
      </c>
      <c r="F1162" t="s">
        <v>7</v>
      </c>
      <c r="G1162" t="s">
        <v>130</v>
      </c>
      <c r="H1162" s="1">
        <v>46129</v>
      </c>
      <c r="I1162" t="s">
        <v>7584</v>
      </c>
      <c r="J1162" t="s">
        <v>7585</v>
      </c>
      <c r="K1162" t="s">
        <v>3357</v>
      </c>
      <c r="L1162" t="s">
        <v>3134</v>
      </c>
      <c r="M1162" t="s">
        <v>1127</v>
      </c>
      <c r="N1162" s="166">
        <v>19.920000000000002</v>
      </c>
      <c r="O1162" t="s">
        <v>131</v>
      </c>
    </row>
    <row r="1163" spans="1:15">
      <c r="A1163" s="166" t="s">
        <v>7586</v>
      </c>
      <c r="B1163" t="s">
        <v>111</v>
      </c>
      <c r="C1163" t="s">
        <v>134</v>
      </c>
      <c r="D1163" t="s">
        <v>118</v>
      </c>
      <c r="E1163" t="s">
        <v>2618</v>
      </c>
      <c r="F1163" t="s">
        <v>7</v>
      </c>
      <c r="G1163" t="s">
        <v>130</v>
      </c>
      <c r="H1163" s="1">
        <v>46129</v>
      </c>
      <c r="I1163" t="s">
        <v>7587</v>
      </c>
      <c r="J1163" t="s">
        <v>7588</v>
      </c>
      <c r="K1163" t="s">
        <v>470</v>
      </c>
      <c r="L1163" t="s">
        <v>1830</v>
      </c>
      <c r="M1163" t="s">
        <v>1977</v>
      </c>
      <c r="N1163" s="166">
        <v>18.66</v>
      </c>
      <c r="O1163" t="s">
        <v>131</v>
      </c>
    </row>
    <row r="1164" spans="1:15">
      <c r="A1164" s="166" t="s">
        <v>7589</v>
      </c>
      <c r="B1164" t="s">
        <v>111</v>
      </c>
      <c r="C1164" t="s">
        <v>406</v>
      </c>
      <c r="D1164" t="s">
        <v>118</v>
      </c>
      <c r="E1164" t="s">
        <v>2618</v>
      </c>
      <c r="F1164" t="s">
        <v>7</v>
      </c>
      <c r="G1164" t="s">
        <v>130</v>
      </c>
      <c r="H1164" s="1">
        <v>46129</v>
      </c>
      <c r="I1164" t="s">
        <v>7590</v>
      </c>
      <c r="J1164" t="s">
        <v>7591</v>
      </c>
      <c r="K1164" t="s">
        <v>875</v>
      </c>
      <c r="L1164" t="s">
        <v>761</v>
      </c>
      <c r="M1164" t="s">
        <v>1206</v>
      </c>
      <c r="N1164" s="166">
        <v>22.66</v>
      </c>
      <c r="O1164" t="s">
        <v>131</v>
      </c>
    </row>
    <row r="1165" spans="1:15">
      <c r="A1165" s="166" t="s">
        <v>7592</v>
      </c>
      <c r="B1165" t="s">
        <v>111</v>
      </c>
      <c r="C1165" t="s">
        <v>133</v>
      </c>
      <c r="D1165" t="s">
        <v>118</v>
      </c>
      <c r="E1165" t="s">
        <v>2618</v>
      </c>
      <c r="F1165" t="s">
        <v>7</v>
      </c>
      <c r="G1165" t="s">
        <v>130</v>
      </c>
      <c r="H1165" s="1">
        <v>46129</v>
      </c>
      <c r="I1165" t="s">
        <v>7593</v>
      </c>
      <c r="J1165" t="s">
        <v>7594</v>
      </c>
      <c r="K1165" t="s">
        <v>2367</v>
      </c>
      <c r="L1165" t="s">
        <v>3372</v>
      </c>
      <c r="M1165" t="s">
        <v>791</v>
      </c>
      <c r="N1165" s="166">
        <v>19.079999999999998</v>
      </c>
      <c r="O1165" t="s">
        <v>131</v>
      </c>
    </row>
    <row r="1166" spans="1:15">
      <c r="A1166" s="166" t="s">
        <v>7595</v>
      </c>
      <c r="B1166" t="s">
        <v>111</v>
      </c>
      <c r="C1166" t="s">
        <v>136</v>
      </c>
      <c r="D1166" t="s">
        <v>118</v>
      </c>
      <c r="E1166" t="s">
        <v>2618</v>
      </c>
      <c r="F1166" t="s">
        <v>7</v>
      </c>
      <c r="G1166" t="s">
        <v>130</v>
      </c>
      <c r="H1166" s="1">
        <v>46129</v>
      </c>
      <c r="I1166" t="s">
        <v>7596</v>
      </c>
      <c r="J1166" t="s">
        <v>7597</v>
      </c>
      <c r="K1166" t="s">
        <v>236</v>
      </c>
      <c r="L1166" t="s">
        <v>169</v>
      </c>
      <c r="M1166" t="s">
        <v>487</v>
      </c>
      <c r="N1166" s="166">
        <v>21.88</v>
      </c>
      <c r="O1166" t="s">
        <v>131</v>
      </c>
    </row>
    <row r="1167" spans="1:15">
      <c r="A1167" s="166" t="s">
        <v>7598</v>
      </c>
      <c r="B1167" t="s">
        <v>111</v>
      </c>
      <c r="C1167" t="s">
        <v>134</v>
      </c>
      <c r="D1167" t="s">
        <v>118</v>
      </c>
      <c r="E1167" t="s">
        <v>139</v>
      </c>
      <c r="F1167" t="s">
        <v>7</v>
      </c>
      <c r="G1167" t="s">
        <v>130</v>
      </c>
      <c r="H1167" s="1">
        <v>46129</v>
      </c>
      <c r="I1167" t="s">
        <v>7599</v>
      </c>
      <c r="J1167" t="s">
        <v>7600</v>
      </c>
      <c r="K1167" t="s">
        <v>1744</v>
      </c>
      <c r="L1167" t="s">
        <v>2474</v>
      </c>
      <c r="M1167" t="s">
        <v>202</v>
      </c>
      <c r="N1167" s="166">
        <v>23.46</v>
      </c>
      <c r="O1167" t="s">
        <v>131</v>
      </c>
    </row>
    <row r="1168" spans="1:15">
      <c r="A1168" s="166" t="s">
        <v>7601</v>
      </c>
      <c r="B1168" t="s">
        <v>111</v>
      </c>
      <c r="C1168" t="s">
        <v>1104</v>
      </c>
      <c r="D1168" t="s">
        <v>118</v>
      </c>
      <c r="E1168" t="s">
        <v>139</v>
      </c>
      <c r="F1168" t="s">
        <v>7</v>
      </c>
      <c r="G1168" t="s">
        <v>130</v>
      </c>
      <c r="H1168" s="1">
        <v>46129</v>
      </c>
      <c r="I1168" t="s">
        <v>7602</v>
      </c>
      <c r="J1168" t="s">
        <v>7603</v>
      </c>
      <c r="K1168" t="s">
        <v>4719</v>
      </c>
      <c r="L1168" t="s">
        <v>3813</v>
      </c>
      <c r="M1168" t="s">
        <v>6807</v>
      </c>
      <c r="N1168" s="166">
        <v>21.74</v>
      </c>
      <c r="O1168" t="s">
        <v>131</v>
      </c>
    </row>
    <row r="1169" spans="1:15">
      <c r="A1169" s="166" t="s">
        <v>7604</v>
      </c>
      <c r="B1169" t="s">
        <v>111</v>
      </c>
      <c r="C1169" t="s">
        <v>134</v>
      </c>
      <c r="D1169" t="s">
        <v>118</v>
      </c>
      <c r="E1169" t="s">
        <v>139</v>
      </c>
      <c r="F1169" t="s">
        <v>7</v>
      </c>
      <c r="G1169" t="s">
        <v>130</v>
      </c>
      <c r="H1169" s="1">
        <v>46129</v>
      </c>
      <c r="I1169" t="s">
        <v>7605</v>
      </c>
      <c r="J1169" t="s">
        <v>7606</v>
      </c>
      <c r="K1169" t="s">
        <v>1080</v>
      </c>
      <c r="L1169" t="s">
        <v>3906</v>
      </c>
      <c r="M1169" t="s">
        <v>1159</v>
      </c>
      <c r="N1169" s="166">
        <v>20.34</v>
      </c>
      <c r="O1169" t="s">
        <v>131</v>
      </c>
    </row>
    <row r="1170" spans="1:15">
      <c r="A1170" s="166" t="s">
        <v>7607</v>
      </c>
      <c r="B1170" t="s">
        <v>111</v>
      </c>
      <c r="C1170" t="s">
        <v>1104</v>
      </c>
      <c r="D1170" t="s">
        <v>118</v>
      </c>
      <c r="E1170" t="s">
        <v>139</v>
      </c>
      <c r="F1170" t="s">
        <v>7</v>
      </c>
      <c r="G1170" t="s">
        <v>130</v>
      </c>
      <c r="H1170" s="1">
        <v>46129</v>
      </c>
      <c r="I1170" t="s">
        <v>7608</v>
      </c>
      <c r="J1170" t="s">
        <v>7609</v>
      </c>
      <c r="K1170" t="s">
        <v>844</v>
      </c>
      <c r="L1170" t="s">
        <v>2091</v>
      </c>
      <c r="M1170" t="s">
        <v>3145</v>
      </c>
      <c r="N1170" s="166">
        <v>21.54</v>
      </c>
      <c r="O1170" t="s">
        <v>131</v>
      </c>
    </row>
    <row r="1171" spans="1:15">
      <c r="A1171" s="166" t="s">
        <v>7610</v>
      </c>
      <c r="B1171" t="s">
        <v>111</v>
      </c>
      <c r="C1171" t="s">
        <v>7474</v>
      </c>
      <c r="D1171" t="s">
        <v>118</v>
      </c>
      <c r="E1171" t="s">
        <v>139</v>
      </c>
      <c r="F1171" t="s">
        <v>7</v>
      </c>
      <c r="G1171" t="s">
        <v>130</v>
      </c>
      <c r="H1171" s="1">
        <v>46129</v>
      </c>
      <c r="I1171" t="s">
        <v>7611</v>
      </c>
      <c r="J1171" t="s">
        <v>7612</v>
      </c>
      <c r="K1171" t="s">
        <v>1451</v>
      </c>
      <c r="L1171" t="s">
        <v>569</v>
      </c>
      <c r="M1171" t="s">
        <v>901</v>
      </c>
      <c r="N1171" s="166">
        <v>16.54</v>
      </c>
      <c r="O1171" t="s">
        <v>131</v>
      </c>
    </row>
    <row r="1172" spans="1:15">
      <c r="A1172" s="166" t="s">
        <v>7613</v>
      </c>
      <c r="B1172" t="s">
        <v>111</v>
      </c>
      <c r="C1172" t="s">
        <v>134</v>
      </c>
      <c r="D1172" t="s">
        <v>118</v>
      </c>
      <c r="E1172" t="s">
        <v>139</v>
      </c>
      <c r="F1172" t="s">
        <v>7</v>
      </c>
      <c r="G1172" t="s">
        <v>130</v>
      </c>
      <c r="H1172" s="1">
        <v>46129</v>
      </c>
      <c r="I1172" t="s">
        <v>7614</v>
      </c>
      <c r="J1172" t="s">
        <v>7615</v>
      </c>
      <c r="K1172" t="s">
        <v>4468</v>
      </c>
      <c r="L1172" t="s">
        <v>2678</v>
      </c>
      <c r="M1172" t="s">
        <v>1373</v>
      </c>
      <c r="N1172" s="166">
        <v>19.100000000000001</v>
      </c>
      <c r="O1172" t="s">
        <v>131</v>
      </c>
    </row>
    <row r="1173" spans="1:15">
      <c r="A1173" s="166" t="s">
        <v>7616</v>
      </c>
      <c r="B1173" t="s">
        <v>111</v>
      </c>
      <c r="C1173" t="s">
        <v>7474</v>
      </c>
      <c r="D1173" t="s">
        <v>118</v>
      </c>
      <c r="E1173" t="s">
        <v>139</v>
      </c>
      <c r="F1173" t="s">
        <v>7</v>
      </c>
      <c r="G1173" t="s">
        <v>130</v>
      </c>
      <c r="H1173" s="1">
        <v>46129</v>
      </c>
      <c r="I1173" t="s">
        <v>7617</v>
      </c>
      <c r="J1173" t="s">
        <v>7618</v>
      </c>
      <c r="K1173" t="s">
        <v>1463</v>
      </c>
      <c r="L1173" t="s">
        <v>197</v>
      </c>
      <c r="M1173" t="s">
        <v>7619</v>
      </c>
      <c r="N1173" s="166">
        <v>13.06</v>
      </c>
      <c r="O1173" t="s">
        <v>131</v>
      </c>
    </row>
    <row r="1174" spans="1:15">
      <c r="A1174" s="166" t="s">
        <v>7620</v>
      </c>
      <c r="B1174" t="s">
        <v>111</v>
      </c>
      <c r="C1174" t="s">
        <v>406</v>
      </c>
      <c r="D1174" t="s">
        <v>118</v>
      </c>
      <c r="E1174" t="s">
        <v>2618</v>
      </c>
      <c r="F1174" t="s">
        <v>7</v>
      </c>
      <c r="G1174" t="s">
        <v>130</v>
      </c>
      <c r="H1174" s="1">
        <v>46129</v>
      </c>
      <c r="I1174" t="s">
        <v>7621</v>
      </c>
      <c r="J1174" t="s">
        <v>7622</v>
      </c>
      <c r="K1174" t="s">
        <v>1918</v>
      </c>
      <c r="L1174" t="s">
        <v>616</v>
      </c>
      <c r="M1174" t="s">
        <v>2816</v>
      </c>
      <c r="N1174" s="166">
        <v>19.260000000000002</v>
      </c>
      <c r="O1174" t="s">
        <v>131</v>
      </c>
    </row>
    <row r="1175" spans="1:15">
      <c r="A1175" s="166" t="s">
        <v>7623</v>
      </c>
      <c r="B1175" t="s">
        <v>111</v>
      </c>
      <c r="C1175" t="s">
        <v>1104</v>
      </c>
      <c r="D1175" t="s">
        <v>118</v>
      </c>
      <c r="E1175" t="s">
        <v>139</v>
      </c>
      <c r="F1175" t="s">
        <v>7</v>
      </c>
      <c r="G1175" t="s">
        <v>130</v>
      </c>
      <c r="H1175" s="1">
        <v>46129</v>
      </c>
      <c r="I1175" t="s">
        <v>7624</v>
      </c>
      <c r="J1175" t="s">
        <v>7625</v>
      </c>
      <c r="K1175" t="s">
        <v>5895</v>
      </c>
      <c r="L1175" t="s">
        <v>3350</v>
      </c>
      <c r="M1175" t="s">
        <v>1177</v>
      </c>
      <c r="N1175" s="166">
        <v>16.64</v>
      </c>
      <c r="O1175" t="s">
        <v>131</v>
      </c>
    </row>
    <row r="1176" spans="1:15">
      <c r="A1176" s="166" t="s">
        <v>7626</v>
      </c>
      <c r="B1176" t="s">
        <v>111</v>
      </c>
      <c r="C1176" t="s">
        <v>134</v>
      </c>
      <c r="D1176" t="s">
        <v>118</v>
      </c>
      <c r="E1176" t="s">
        <v>139</v>
      </c>
      <c r="F1176" t="s">
        <v>7</v>
      </c>
      <c r="G1176" t="s">
        <v>130</v>
      </c>
      <c r="H1176" s="1">
        <v>46129</v>
      </c>
      <c r="I1176" t="s">
        <v>7627</v>
      </c>
      <c r="J1176" t="s">
        <v>7628</v>
      </c>
      <c r="K1176" t="s">
        <v>448</v>
      </c>
      <c r="L1176" t="s">
        <v>1114</v>
      </c>
      <c r="M1176" t="s">
        <v>1150</v>
      </c>
      <c r="N1176" s="166">
        <v>18.86</v>
      </c>
      <c r="O1176" t="s">
        <v>131</v>
      </c>
    </row>
    <row r="1177" spans="1:15">
      <c r="A1177" s="166" t="s">
        <v>7629</v>
      </c>
      <c r="B1177" t="s">
        <v>111</v>
      </c>
      <c r="C1177" t="s">
        <v>133</v>
      </c>
      <c r="D1177" t="s">
        <v>118</v>
      </c>
      <c r="E1177" t="s">
        <v>2618</v>
      </c>
      <c r="F1177" t="s">
        <v>7</v>
      </c>
      <c r="G1177" t="s">
        <v>130</v>
      </c>
      <c r="H1177" s="1">
        <v>46129</v>
      </c>
      <c r="I1177" t="s">
        <v>7630</v>
      </c>
      <c r="J1177" t="s">
        <v>7631</v>
      </c>
      <c r="K1177" t="s">
        <v>7632</v>
      </c>
      <c r="L1177" t="s">
        <v>2075</v>
      </c>
      <c r="M1177" t="s">
        <v>7633</v>
      </c>
      <c r="N1177" s="166">
        <v>13.16</v>
      </c>
      <c r="O1177" t="s">
        <v>131</v>
      </c>
    </row>
    <row r="1178" spans="1:15">
      <c r="A1178" s="166" t="s">
        <v>830</v>
      </c>
      <c r="B1178" t="s">
        <v>111</v>
      </c>
      <c r="C1178" t="s">
        <v>135</v>
      </c>
      <c r="D1178" t="s">
        <v>118</v>
      </c>
      <c r="E1178" t="s">
        <v>139</v>
      </c>
      <c r="F1178" t="s">
        <v>7</v>
      </c>
      <c r="G1178" t="s">
        <v>130</v>
      </c>
      <c r="H1178" s="1">
        <v>46129</v>
      </c>
      <c r="I1178" t="s">
        <v>7634</v>
      </c>
      <c r="J1178" t="s">
        <v>7635</v>
      </c>
      <c r="K1178" t="s">
        <v>1232</v>
      </c>
      <c r="L1178" t="s">
        <v>2577</v>
      </c>
      <c r="M1178" t="s">
        <v>1573</v>
      </c>
      <c r="N1178" s="166">
        <v>18.32</v>
      </c>
      <c r="O1178" t="s">
        <v>131</v>
      </c>
    </row>
    <row r="1179" spans="1:15">
      <c r="A1179" s="166" t="s">
        <v>7636</v>
      </c>
      <c r="B1179" t="s">
        <v>111</v>
      </c>
      <c r="C1179" t="s">
        <v>136</v>
      </c>
      <c r="D1179" t="s">
        <v>118</v>
      </c>
      <c r="E1179" t="s">
        <v>2618</v>
      </c>
      <c r="F1179" t="s">
        <v>7</v>
      </c>
      <c r="G1179" t="s">
        <v>130</v>
      </c>
      <c r="H1179" s="1">
        <v>46129</v>
      </c>
      <c r="I1179" t="s">
        <v>7637</v>
      </c>
      <c r="J1179" t="s">
        <v>7638</v>
      </c>
      <c r="K1179" t="s">
        <v>638</v>
      </c>
      <c r="L1179" t="s">
        <v>2090</v>
      </c>
      <c r="M1179" t="s">
        <v>1127</v>
      </c>
      <c r="N1179" s="166">
        <v>19.920000000000002</v>
      </c>
      <c r="O1179" t="s">
        <v>131</v>
      </c>
    </row>
    <row r="1180" spans="1:15">
      <c r="A1180" s="166" t="s">
        <v>7639</v>
      </c>
      <c r="B1180" t="s">
        <v>111</v>
      </c>
      <c r="C1180" t="s">
        <v>7474</v>
      </c>
      <c r="D1180" t="s">
        <v>118</v>
      </c>
      <c r="E1180" t="s">
        <v>2618</v>
      </c>
      <c r="F1180" t="s">
        <v>7</v>
      </c>
      <c r="G1180" t="s">
        <v>130</v>
      </c>
      <c r="H1180" s="1">
        <v>46129</v>
      </c>
      <c r="I1180" t="s">
        <v>7640</v>
      </c>
      <c r="J1180" t="s">
        <v>7641</v>
      </c>
      <c r="K1180" t="s">
        <v>3592</v>
      </c>
      <c r="L1180" t="s">
        <v>1206</v>
      </c>
      <c r="M1180" t="s">
        <v>2058</v>
      </c>
      <c r="N1180" s="166">
        <v>16.079999999999998</v>
      </c>
      <c r="O1180" t="s">
        <v>131</v>
      </c>
    </row>
    <row r="1181" spans="1:15">
      <c r="A1181" s="166" t="s">
        <v>7642</v>
      </c>
      <c r="B1181" t="s">
        <v>111</v>
      </c>
      <c r="C1181" t="s">
        <v>406</v>
      </c>
      <c r="D1181" t="s">
        <v>118</v>
      </c>
      <c r="E1181" t="s">
        <v>2618</v>
      </c>
      <c r="F1181" t="s">
        <v>7</v>
      </c>
      <c r="G1181" t="s">
        <v>130</v>
      </c>
      <c r="H1181" s="1">
        <v>46129</v>
      </c>
      <c r="I1181" t="s">
        <v>7643</v>
      </c>
      <c r="J1181" t="s">
        <v>7644</v>
      </c>
      <c r="K1181" t="s">
        <v>1801</v>
      </c>
      <c r="L1181" t="s">
        <v>831</v>
      </c>
      <c r="M1181" t="s">
        <v>1412</v>
      </c>
      <c r="N1181" s="166">
        <v>18.62</v>
      </c>
      <c r="O1181" t="s">
        <v>131</v>
      </c>
    </row>
    <row r="1182" spans="1:15">
      <c r="A1182" s="166" t="s">
        <v>7645</v>
      </c>
      <c r="B1182" t="s">
        <v>111</v>
      </c>
      <c r="C1182" t="s">
        <v>1104</v>
      </c>
      <c r="D1182" t="s">
        <v>118</v>
      </c>
      <c r="E1182" t="s">
        <v>139</v>
      </c>
      <c r="F1182" t="s">
        <v>7</v>
      </c>
      <c r="G1182" t="s">
        <v>130</v>
      </c>
      <c r="H1182" s="1">
        <v>46129</v>
      </c>
      <c r="I1182" t="s">
        <v>7646</v>
      </c>
      <c r="J1182" t="s">
        <v>7647</v>
      </c>
      <c r="K1182" t="s">
        <v>475</v>
      </c>
      <c r="L1182" t="s">
        <v>1369</v>
      </c>
      <c r="M1182" t="s">
        <v>3542</v>
      </c>
      <c r="N1182" s="166">
        <v>18.059999999999999</v>
      </c>
      <c r="O1182" t="s">
        <v>131</v>
      </c>
    </row>
    <row r="1183" spans="1:15">
      <c r="A1183" s="166" t="s">
        <v>7648</v>
      </c>
      <c r="B1183" t="s">
        <v>111</v>
      </c>
      <c r="C1183" t="s">
        <v>136</v>
      </c>
      <c r="D1183" t="s">
        <v>118</v>
      </c>
      <c r="E1183" t="s">
        <v>139</v>
      </c>
      <c r="F1183" t="s">
        <v>6</v>
      </c>
      <c r="G1183" t="s">
        <v>130</v>
      </c>
      <c r="H1183" s="1">
        <v>46129</v>
      </c>
      <c r="I1183" t="s">
        <v>7649</v>
      </c>
      <c r="J1183" t="s">
        <v>7650</v>
      </c>
      <c r="K1183" t="s">
        <v>600</v>
      </c>
      <c r="L1183" t="s">
        <v>1493</v>
      </c>
      <c r="M1183" t="s">
        <v>3203</v>
      </c>
      <c r="N1183" s="166">
        <v>20.76</v>
      </c>
      <c r="O1183" t="s">
        <v>131</v>
      </c>
    </row>
    <row r="1184" spans="1:15">
      <c r="A1184" s="166" t="s">
        <v>7651</v>
      </c>
      <c r="B1184" t="s">
        <v>111</v>
      </c>
      <c r="C1184" t="s">
        <v>7474</v>
      </c>
      <c r="D1184" t="s">
        <v>118</v>
      </c>
      <c r="E1184" t="s">
        <v>139</v>
      </c>
      <c r="F1184" t="s">
        <v>6</v>
      </c>
      <c r="G1184" t="s">
        <v>130</v>
      </c>
      <c r="H1184" s="1">
        <v>46129</v>
      </c>
      <c r="I1184" t="s">
        <v>7652</v>
      </c>
      <c r="J1184" t="s">
        <v>7653</v>
      </c>
      <c r="K1184" t="s">
        <v>875</v>
      </c>
      <c r="L1184" t="s">
        <v>486</v>
      </c>
      <c r="M1184" t="s">
        <v>183</v>
      </c>
      <c r="N1184" s="166">
        <v>21.64</v>
      </c>
      <c r="O1184" t="s">
        <v>131</v>
      </c>
    </row>
    <row r="1185" spans="1:15">
      <c r="A1185" s="166" t="s">
        <v>7654</v>
      </c>
      <c r="B1185" t="s">
        <v>111</v>
      </c>
      <c r="C1185" t="s">
        <v>406</v>
      </c>
      <c r="D1185" t="s">
        <v>118</v>
      </c>
      <c r="E1185" t="s">
        <v>139</v>
      </c>
      <c r="F1185" t="s">
        <v>6</v>
      </c>
      <c r="G1185" t="s">
        <v>130</v>
      </c>
      <c r="H1185" s="1">
        <v>46129</v>
      </c>
      <c r="I1185" t="s">
        <v>7655</v>
      </c>
      <c r="J1185" t="s">
        <v>7656</v>
      </c>
      <c r="K1185" t="s">
        <v>1393</v>
      </c>
      <c r="L1185" t="s">
        <v>148</v>
      </c>
      <c r="M1185" t="s">
        <v>1310</v>
      </c>
      <c r="N1185" s="166">
        <v>19.38</v>
      </c>
      <c r="O1185" t="s">
        <v>131</v>
      </c>
    </row>
    <row r="1186" spans="1:15">
      <c r="A1186" s="166" t="s">
        <v>7657</v>
      </c>
      <c r="B1186" t="s">
        <v>111</v>
      </c>
      <c r="C1186" t="s">
        <v>134</v>
      </c>
      <c r="D1186" t="s">
        <v>118</v>
      </c>
      <c r="E1186" t="s">
        <v>139</v>
      </c>
      <c r="F1186" t="s">
        <v>6</v>
      </c>
      <c r="G1186" t="s">
        <v>130</v>
      </c>
      <c r="H1186" s="1">
        <v>46129</v>
      </c>
      <c r="I1186" t="s">
        <v>7658</v>
      </c>
      <c r="J1186" t="s">
        <v>7659</v>
      </c>
      <c r="K1186" t="s">
        <v>215</v>
      </c>
      <c r="L1186" t="s">
        <v>725</v>
      </c>
      <c r="M1186" t="s">
        <v>3174</v>
      </c>
      <c r="N1186" s="166">
        <v>20.7</v>
      </c>
      <c r="O1186" t="s">
        <v>131</v>
      </c>
    </row>
    <row r="1187" spans="1:15">
      <c r="A1187" s="166" t="s">
        <v>7660</v>
      </c>
      <c r="B1187" t="s">
        <v>111</v>
      </c>
      <c r="C1187" t="s">
        <v>406</v>
      </c>
      <c r="D1187" t="s">
        <v>118</v>
      </c>
      <c r="E1187" t="s">
        <v>139</v>
      </c>
      <c r="F1187" t="s">
        <v>6</v>
      </c>
      <c r="G1187" t="s">
        <v>130</v>
      </c>
      <c r="H1187" s="1">
        <v>46129</v>
      </c>
      <c r="I1187" t="s">
        <v>7661</v>
      </c>
      <c r="J1187" t="s">
        <v>7662</v>
      </c>
      <c r="K1187" t="s">
        <v>1377</v>
      </c>
      <c r="L1187" t="s">
        <v>208</v>
      </c>
      <c r="M1187" t="s">
        <v>1136</v>
      </c>
      <c r="N1187" s="166">
        <v>19.899999999999999</v>
      </c>
      <c r="O1187" t="s">
        <v>131</v>
      </c>
    </row>
    <row r="1188" spans="1:15">
      <c r="A1188" s="166" t="s">
        <v>7663</v>
      </c>
      <c r="B1188" t="s">
        <v>111</v>
      </c>
      <c r="C1188" t="s">
        <v>134</v>
      </c>
      <c r="D1188" t="s">
        <v>118</v>
      </c>
      <c r="E1188" t="s">
        <v>139</v>
      </c>
      <c r="F1188" t="s">
        <v>6</v>
      </c>
      <c r="G1188" t="s">
        <v>130</v>
      </c>
      <c r="H1188" s="1">
        <v>46129</v>
      </c>
      <c r="I1188" t="s">
        <v>7664</v>
      </c>
      <c r="J1188" t="s">
        <v>7665</v>
      </c>
      <c r="K1188" t="s">
        <v>735</v>
      </c>
      <c r="L1188" t="s">
        <v>1835</v>
      </c>
      <c r="M1188" t="s">
        <v>6603</v>
      </c>
      <c r="N1188" s="166">
        <v>22.82</v>
      </c>
      <c r="O1188" t="s">
        <v>131</v>
      </c>
    </row>
    <row r="1189" spans="1:15">
      <c r="A1189" s="166" t="s">
        <v>7666</v>
      </c>
      <c r="B1189" t="s">
        <v>111</v>
      </c>
      <c r="C1189" t="s">
        <v>7474</v>
      </c>
      <c r="D1189" t="s">
        <v>118</v>
      </c>
      <c r="E1189" t="s">
        <v>139</v>
      </c>
      <c r="F1189" t="s">
        <v>6</v>
      </c>
      <c r="G1189" t="s">
        <v>130</v>
      </c>
      <c r="H1189" s="1">
        <v>46129</v>
      </c>
      <c r="I1189" t="s">
        <v>7667</v>
      </c>
      <c r="J1189" t="s">
        <v>7668</v>
      </c>
      <c r="K1189" t="s">
        <v>229</v>
      </c>
      <c r="L1189" t="s">
        <v>1416</v>
      </c>
      <c r="M1189" t="s">
        <v>4778</v>
      </c>
      <c r="N1189" s="166">
        <v>21.44</v>
      </c>
      <c r="O1189" t="s">
        <v>131</v>
      </c>
    </row>
    <row r="1190" spans="1:15">
      <c r="A1190" s="166" t="s">
        <v>7669</v>
      </c>
      <c r="B1190" t="s">
        <v>111</v>
      </c>
      <c r="C1190" t="s">
        <v>136</v>
      </c>
      <c r="D1190" t="s">
        <v>118</v>
      </c>
      <c r="E1190" t="s">
        <v>139</v>
      </c>
      <c r="F1190" t="s">
        <v>6</v>
      </c>
      <c r="G1190" t="s">
        <v>130</v>
      </c>
      <c r="H1190" s="1">
        <v>46129</v>
      </c>
      <c r="I1190" t="s">
        <v>7670</v>
      </c>
      <c r="J1190" t="s">
        <v>7671</v>
      </c>
      <c r="K1190" t="s">
        <v>1521</v>
      </c>
      <c r="L1190" t="s">
        <v>2272</v>
      </c>
      <c r="M1190" t="s">
        <v>579</v>
      </c>
      <c r="N1190" s="166">
        <v>21.22</v>
      </c>
      <c r="O1190" t="s">
        <v>131</v>
      </c>
    </row>
    <row r="1191" spans="1:15">
      <c r="A1191" s="166" t="s">
        <v>7672</v>
      </c>
      <c r="B1191" t="s">
        <v>111</v>
      </c>
      <c r="C1191" t="s">
        <v>406</v>
      </c>
      <c r="D1191" t="s">
        <v>118</v>
      </c>
      <c r="E1191" t="s">
        <v>139</v>
      </c>
      <c r="F1191" t="s">
        <v>6</v>
      </c>
      <c r="G1191" t="s">
        <v>130</v>
      </c>
      <c r="H1191" s="1">
        <v>46129</v>
      </c>
      <c r="I1191" t="s">
        <v>7673</v>
      </c>
      <c r="J1191" t="s">
        <v>7674</v>
      </c>
      <c r="K1191" t="s">
        <v>5707</v>
      </c>
      <c r="L1191" t="s">
        <v>616</v>
      </c>
      <c r="M1191" t="s">
        <v>1653</v>
      </c>
      <c r="N1191" s="166">
        <v>21.42</v>
      </c>
      <c r="O1191" t="s">
        <v>131</v>
      </c>
    </row>
    <row r="1192" spans="1:15">
      <c r="A1192" s="166" t="s">
        <v>7675</v>
      </c>
      <c r="B1192" t="s">
        <v>111</v>
      </c>
      <c r="C1192" t="s">
        <v>134</v>
      </c>
      <c r="D1192" t="s">
        <v>118</v>
      </c>
      <c r="E1192" t="s">
        <v>139</v>
      </c>
      <c r="F1192" t="s">
        <v>6</v>
      </c>
      <c r="G1192" t="s">
        <v>130</v>
      </c>
      <c r="H1192" s="1">
        <v>46129</v>
      </c>
      <c r="I1192" t="s">
        <v>7676</v>
      </c>
      <c r="J1192" t="s">
        <v>7677</v>
      </c>
      <c r="K1192" t="s">
        <v>205</v>
      </c>
      <c r="L1192" t="s">
        <v>2095</v>
      </c>
      <c r="M1192" t="s">
        <v>2653</v>
      </c>
      <c r="N1192" s="166">
        <v>21.16</v>
      </c>
      <c r="O1192" t="s">
        <v>131</v>
      </c>
    </row>
    <row r="1193" spans="1:15">
      <c r="A1193" s="166" t="s">
        <v>7678</v>
      </c>
      <c r="B1193" t="s">
        <v>111</v>
      </c>
      <c r="C1193" t="s">
        <v>7474</v>
      </c>
      <c r="D1193" t="s">
        <v>118</v>
      </c>
      <c r="E1193" t="s">
        <v>139</v>
      </c>
      <c r="F1193" t="s">
        <v>6</v>
      </c>
      <c r="G1193" t="s">
        <v>130</v>
      </c>
      <c r="H1193" s="1">
        <v>46129</v>
      </c>
      <c r="I1193" t="s">
        <v>7679</v>
      </c>
      <c r="J1193" t="s">
        <v>7680</v>
      </c>
      <c r="K1193" t="s">
        <v>229</v>
      </c>
      <c r="L1193" t="s">
        <v>3646</v>
      </c>
      <c r="M1193" t="s">
        <v>1310</v>
      </c>
      <c r="N1193" s="166">
        <v>19.38</v>
      </c>
      <c r="O1193" t="s">
        <v>131</v>
      </c>
    </row>
    <row r="1194" spans="1:15">
      <c r="A1194" s="166" t="s">
        <v>7681</v>
      </c>
      <c r="B1194" t="s">
        <v>111</v>
      </c>
      <c r="C1194" t="s">
        <v>136</v>
      </c>
      <c r="D1194" t="s">
        <v>118</v>
      </c>
      <c r="E1194" t="s">
        <v>139</v>
      </c>
      <c r="F1194" t="s">
        <v>6</v>
      </c>
      <c r="G1194" t="s">
        <v>130</v>
      </c>
      <c r="H1194" s="1">
        <v>46129</v>
      </c>
      <c r="I1194" t="s">
        <v>7682</v>
      </c>
      <c r="J1194" t="s">
        <v>7683</v>
      </c>
      <c r="K1194" t="s">
        <v>3670</v>
      </c>
      <c r="L1194" t="s">
        <v>1062</v>
      </c>
      <c r="M1194" t="s">
        <v>1189</v>
      </c>
      <c r="N1194" s="166">
        <v>23.48</v>
      </c>
      <c r="O1194" t="s">
        <v>131</v>
      </c>
    </row>
    <row r="1195" spans="1:15">
      <c r="A1195" s="166" t="s">
        <v>7684</v>
      </c>
      <c r="B1195" t="s">
        <v>111</v>
      </c>
      <c r="C1195" t="s">
        <v>406</v>
      </c>
      <c r="D1195" t="s">
        <v>118</v>
      </c>
      <c r="E1195" t="s">
        <v>139</v>
      </c>
      <c r="F1195" t="s">
        <v>6</v>
      </c>
      <c r="G1195" t="s">
        <v>130</v>
      </c>
      <c r="H1195" s="1">
        <v>46129</v>
      </c>
      <c r="I1195" t="s">
        <v>7685</v>
      </c>
      <c r="J1195" t="s">
        <v>7686</v>
      </c>
      <c r="K1195" t="s">
        <v>2839</v>
      </c>
      <c r="L1195" t="s">
        <v>650</v>
      </c>
      <c r="M1195" t="s">
        <v>3723</v>
      </c>
      <c r="N1195" s="166">
        <v>24.16</v>
      </c>
      <c r="O1195" t="s">
        <v>131</v>
      </c>
    </row>
    <row r="1196" spans="1:15">
      <c r="A1196" s="166" t="s">
        <v>7687</v>
      </c>
      <c r="B1196" t="s">
        <v>111</v>
      </c>
      <c r="C1196" t="s">
        <v>134</v>
      </c>
      <c r="D1196" t="s">
        <v>118</v>
      </c>
      <c r="E1196" t="s">
        <v>139</v>
      </c>
      <c r="F1196" t="s">
        <v>6</v>
      </c>
      <c r="G1196" t="s">
        <v>130</v>
      </c>
      <c r="H1196" s="1">
        <v>46129</v>
      </c>
      <c r="I1196" t="s">
        <v>7688</v>
      </c>
      <c r="J1196" t="s">
        <v>7689</v>
      </c>
      <c r="K1196" t="s">
        <v>3063</v>
      </c>
      <c r="L1196" t="s">
        <v>2184</v>
      </c>
      <c r="M1196" t="s">
        <v>3799</v>
      </c>
      <c r="N1196" s="166">
        <v>24.24</v>
      </c>
      <c r="O1196" t="s">
        <v>131</v>
      </c>
    </row>
    <row r="1197" spans="1:15">
      <c r="A1197" s="166" t="s">
        <v>7690</v>
      </c>
      <c r="B1197" t="s">
        <v>111</v>
      </c>
      <c r="C1197" t="s">
        <v>7474</v>
      </c>
      <c r="D1197" t="s">
        <v>118</v>
      </c>
      <c r="E1197" t="s">
        <v>139</v>
      </c>
      <c r="F1197" t="s">
        <v>6</v>
      </c>
      <c r="G1197" t="s">
        <v>130</v>
      </c>
      <c r="H1197" s="1">
        <v>46129</v>
      </c>
      <c r="I1197" t="s">
        <v>7691</v>
      </c>
      <c r="J1197" t="s">
        <v>7692</v>
      </c>
      <c r="K1197" t="s">
        <v>664</v>
      </c>
      <c r="L1197" t="s">
        <v>171</v>
      </c>
      <c r="M1197" t="s">
        <v>6138</v>
      </c>
      <c r="N1197" s="166">
        <v>14.04</v>
      </c>
      <c r="O1197" t="s">
        <v>131</v>
      </c>
    </row>
    <row r="1198" spans="1:15">
      <c r="A1198" s="166" t="s">
        <v>7693</v>
      </c>
      <c r="B1198" t="s">
        <v>111</v>
      </c>
      <c r="C1198" t="s">
        <v>136</v>
      </c>
      <c r="D1198" t="s">
        <v>118</v>
      </c>
      <c r="E1198" t="s">
        <v>139</v>
      </c>
      <c r="F1198" t="s">
        <v>6</v>
      </c>
      <c r="G1198" t="s">
        <v>130</v>
      </c>
      <c r="H1198" s="1">
        <v>46129</v>
      </c>
      <c r="I1198" t="s">
        <v>7694</v>
      </c>
      <c r="J1198" t="s">
        <v>7695</v>
      </c>
      <c r="K1198" t="s">
        <v>433</v>
      </c>
      <c r="L1198" t="s">
        <v>486</v>
      </c>
      <c r="M1198" t="s">
        <v>1529</v>
      </c>
      <c r="N1198" s="166">
        <v>19.88</v>
      </c>
      <c r="O1198" t="s">
        <v>131</v>
      </c>
    </row>
    <row r="1199" spans="1:15">
      <c r="A1199" s="166" t="s">
        <v>7696</v>
      </c>
      <c r="B1199" t="s">
        <v>111</v>
      </c>
      <c r="C1199" t="s">
        <v>406</v>
      </c>
      <c r="D1199" t="s">
        <v>118</v>
      </c>
      <c r="E1199" t="s">
        <v>139</v>
      </c>
      <c r="F1199" t="s">
        <v>6</v>
      </c>
      <c r="G1199" t="s">
        <v>130</v>
      </c>
      <c r="H1199" s="1">
        <v>46129</v>
      </c>
      <c r="I1199" t="s">
        <v>7697</v>
      </c>
      <c r="J1199" t="s">
        <v>7698</v>
      </c>
      <c r="K1199" t="s">
        <v>1793</v>
      </c>
      <c r="L1199" t="s">
        <v>730</v>
      </c>
      <c r="M1199" t="s">
        <v>2586</v>
      </c>
      <c r="N1199" s="166">
        <v>21.04</v>
      </c>
      <c r="O1199" t="s">
        <v>131</v>
      </c>
    </row>
    <row r="1200" spans="1:15">
      <c r="A1200" s="166" t="s">
        <v>7699</v>
      </c>
      <c r="B1200" t="s">
        <v>111</v>
      </c>
      <c r="C1200" t="s">
        <v>134</v>
      </c>
      <c r="D1200" t="s">
        <v>118</v>
      </c>
      <c r="E1200" t="s">
        <v>139</v>
      </c>
      <c r="F1200" t="s">
        <v>6</v>
      </c>
      <c r="G1200" t="s">
        <v>130</v>
      </c>
      <c r="H1200" s="1">
        <v>46129</v>
      </c>
      <c r="I1200" t="s">
        <v>7700</v>
      </c>
      <c r="J1200" t="s">
        <v>7701</v>
      </c>
      <c r="K1200" t="s">
        <v>6268</v>
      </c>
      <c r="L1200" t="s">
        <v>2004</v>
      </c>
      <c r="M1200" t="s">
        <v>3646</v>
      </c>
      <c r="N1200" s="166">
        <v>20</v>
      </c>
      <c r="O1200" t="s">
        <v>131</v>
      </c>
    </row>
    <row r="1201" spans="1:15">
      <c r="A1201" s="166" t="s">
        <v>7702</v>
      </c>
      <c r="B1201" t="s">
        <v>111</v>
      </c>
      <c r="C1201" t="s">
        <v>406</v>
      </c>
      <c r="D1201" t="s">
        <v>118</v>
      </c>
      <c r="E1201" t="s">
        <v>139</v>
      </c>
      <c r="F1201" t="s">
        <v>6</v>
      </c>
      <c r="G1201" t="s">
        <v>130</v>
      </c>
      <c r="H1201" s="1">
        <v>46129</v>
      </c>
      <c r="I1201" t="s">
        <v>7703</v>
      </c>
      <c r="J1201" t="s">
        <v>7704</v>
      </c>
      <c r="K1201" t="s">
        <v>1222</v>
      </c>
      <c r="L1201" t="s">
        <v>907</v>
      </c>
      <c r="M1201" t="s">
        <v>498</v>
      </c>
      <c r="N1201" s="166">
        <v>21.62</v>
      </c>
      <c r="O1201" t="s">
        <v>131</v>
      </c>
    </row>
    <row r="1202" spans="1:15">
      <c r="A1202" s="166" t="s">
        <v>7705</v>
      </c>
      <c r="B1202" t="s">
        <v>111</v>
      </c>
      <c r="C1202" t="s">
        <v>7474</v>
      </c>
      <c r="D1202" t="s">
        <v>118</v>
      </c>
      <c r="E1202" t="s">
        <v>139</v>
      </c>
      <c r="F1202" t="s">
        <v>6</v>
      </c>
      <c r="G1202" t="s">
        <v>130</v>
      </c>
      <c r="H1202" s="1">
        <v>46129</v>
      </c>
      <c r="I1202" t="s">
        <v>7706</v>
      </c>
      <c r="J1202" t="s">
        <v>7707</v>
      </c>
      <c r="K1202" t="s">
        <v>497</v>
      </c>
      <c r="L1202" t="s">
        <v>1168</v>
      </c>
      <c r="M1202" t="s">
        <v>1926</v>
      </c>
      <c r="N1202" s="166">
        <v>18.2</v>
      </c>
      <c r="O1202" t="s">
        <v>131</v>
      </c>
    </row>
    <row r="1203" spans="1:15">
      <c r="A1203" s="166" t="s">
        <v>7708</v>
      </c>
      <c r="B1203" t="s">
        <v>111</v>
      </c>
      <c r="C1203" t="s">
        <v>134</v>
      </c>
      <c r="D1203" t="s">
        <v>118</v>
      </c>
      <c r="E1203" t="s">
        <v>139</v>
      </c>
      <c r="F1203" t="s">
        <v>7</v>
      </c>
      <c r="G1203" t="s">
        <v>130</v>
      </c>
      <c r="H1203" s="1">
        <v>46129</v>
      </c>
      <c r="I1203" t="s">
        <v>7709</v>
      </c>
      <c r="J1203" t="s">
        <v>7710</v>
      </c>
      <c r="K1203" t="s">
        <v>514</v>
      </c>
      <c r="L1203" t="s">
        <v>1493</v>
      </c>
      <c r="M1203" t="s">
        <v>1545</v>
      </c>
      <c r="N1203" s="166">
        <v>20.68</v>
      </c>
      <c r="O1203" t="s">
        <v>131</v>
      </c>
    </row>
    <row r="1204" spans="1:15">
      <c r="A1204" s="166" t="s">
        <v>7711</v>
      </c>
      <c r="B1204" t="s">
        <v>111</v>
      </c>
      <c r="C1204" t="s">
        <v>136</v>
      </c>
      <c r="D1204" t="s">
        <v>118</v>
      </c>
      <c r="E1204" t="s">
        <v>6703</v>
      </c>
      <c r="F1204" t="s">
        <v>7</v>
      </c>
      <c r="G1204" t="s">
        <v>130</v>
      </c>
      <c r="H1204" s="1">
        <v>46129</v>
      </c>
      <c r="I1204" t="s">
        <v>7709</v>
      </c>
      <c r="J1204" t="s">
        <v>7709</v>
      </c>
      <c r="K1204" t="s">
        <v>4347</v>
      </c>
      <c r="L1204" t="s">
        <v>1493</v>
      </c>
      <c r="M1204" t="s">
        <v>3646</v>
      </c>
      <c r="N1204" s="166">
        <v>20</v>
      </c>
      <c r="O1204" t="s">
        <v>232</v>
      </c>
    </row>
    <row r="1205" spans="1:15">
      <c r="A1205" s="166" t="s">
        <v>7712</v>
      </c>
      <c r="B1205" t="s">
        <v>111</v>
      </c>
      <c r="C1205" t="s">
        <v>406</v>
      </c>
      <c r="D1205" t="s">
        <v>118</v>
      </c>
      <c r="E1205" t="s">
        <v>6703</v>
      </c>
      <c r="F1205" t="s">
        <v>7</v>
      </c>
      <c r="G1205" t="s">
        <v>130</v>
      </c>
      <c r="H1205" s="1">
        <v>46129</v>
      </c>
      <c r="I1205" t="s">
        <v>7709</v>
      </c>
      <c r="J1205" t="s">
        <v>7709</v>
      </c>
      <c r="K1205" t="s">
        <v>4347</v>
      </c>
      <c r="L1205" t="s">
        <v>1493</v>
      </c>
      <c r="M1205" t="s">
        <v>3646</v>
      </c>
      <c r="N1205" s="166">
        <v>20</v>
      </c>
      <c r="O1205" t="s">
        <v>232</v>
      </c>
    </row>
    <row r="1206" spans="1:15">
      <c r="A1206" s="166" t="s">
        <v>7713</v>
      </c>
      <c r="B1206" t="s">
        <v>111</v>
      </c>
      <c r="C1206" t="s">
        <v>134</v>
      </c>
      <c r="D1206" t="s">
        <v>118</v>
      </c>
      <c r="E1206" t="s">
        <v>6703</v>
      </c>
      <c r="F1206" t="s">
        <v>7</v>
      </c>
      <c r="G1206" t="s">
        <v>130</v>
      </c>
      <c r="H1206" s="1">
        <v>46129</v>
      </c>
      <c r="I1206" t="s">
        <v>7709</v>
      </c>
      <c r="J1206" t="s">
        <v>7709</v>
      </c>
      <c r="K1206" t="s">
        <v>4347</v>
      </c>
      <c r="L1206" t="s">
        <v>1493</v>
      </c>
      <c r="M1206" t="s">
        <v>3646</v>
      </c>
      <c r="N1206" s="166">
        <v>20</v>
      </c>
      <c r="O1206" t="s">
        <v>232</v>
      </c>
    </row>
    <row r="1207" spans="1:15">
      <c r="A1207" s="166" t="s">
        <v>7714</v>
      </c>
      <c r="B1207" t="s">
        <v>111</v>
      </c>
      <c r="C1207" t="s">
        <v>7474</v>
      </c>
      <c r="D1207" t="s">
        <v>118</v>
      </c>
      <c r="E1207" t="s">
        <v>6703</v>
      </c>
      <c r="F1207" t="s">
        <v>7</v>
      </c>
      <c r="G1207" t="s">
        <v>130</v>
      </c>
      <c r="H1207" s="1">
        <v>46129</v>
      </c>
      <c r="I1207" t="s">
        <v>7709</v>
      </c>
      <c r="J1207" t="s">
        <v>7709</v>
      </c>
      <c r="K1207" t="s">
        <v>4347</v>
      </c>
      <c r="L1207" t="s">
        <v>1493</v>
      </c>
      <c r="M1207" t="s">
        <v>3646</v>
      </c>
      <c r="N1207" s="166">
        <v>20</v>
      </c>
      <c r="O1207" t="s">
        <v>232</v>
      </c>
    </row>
    <row r="1208" spans="1:15">
      <c r="A1208" s="166" t="s">
        <v>7715</v>
      </c>
      <c r="B1208" t="s">
        <v>111</v>
      </c>
      <c r="C1208" t="s">
        <v>136</v>
      </c>
      <c r="D1208" t="s">
        <v>118</v>
      </c>
      <c r="E1208" t="s">
        <v>6703</v>
      </c>
      <c r="F1208" t="s">
        <v>7</v>
      </c>
      <c r="G1208" t="s">
        <v>130</v>
      </c>
      <c r="H1208" s="1">
        <v>46129</v>
      </c>
      <c r="I1208" t="s">
        <v>7709</v>
      </c>
      <c r="J1208" t="s">
        <v>7709</v>
      </c>
      <c r="K1208" t="s">
        <v>4347</v>
      </c>
      <c r="L1208" t="s">
        <v>1493</v>
      </c>
      <c r="M1208" t="s">
        <v>3646</v>
      </c>
      <c r="N1208" s="166">
        <v>20</v>
      </c>
      <c r="O1208" t="s">
        <v>232</v>
      </c>
    </row>
    <row r="1209" spans="1:15">
      <c r="A1209" s="166" t="s">
        <v>7716</v>
      </c>
      <c r="B1209" t="s">
        <v>111</v>
      </c>
      <c r="C1209" t="s">
        <v>406</v>
      </c>
      <c r="D1209" t="s">
        <v>118</v>
      </c>
      <c r="E1209" t="s">
        <v>6703</v>
      </c>
      <c r="F1209" t="s">
        <v>7</v>
      </c>
      <c r="G1209" t="s">
        <v>130</v>
      </c>
      <c r="H1209" s="1">
        <v>46129</v>
      </c>
      <c r="I1209" t="s">
        <v>7709</v>
      </c>
      <c r="J1209" t="s">
        <v>7709</v>
      </c>
      <c r="K1209" t="s">
        <v>4347</v>
      </c>
      <c r="L1209" t="s">
        <v>1493</v>
      </c>
      <c r="M1209" t="s">
        <v>3646</v>
      </c>
      <c r="N1209" s="166">
        <v>20</v>
      </c>
      <c r="O1209" t="s">
        <v>232</v>
      </c>
    </row>
    <row r="1210" spans="1:15">
      <c r="A1210" s="166" t="s">
        <v>7717</v>
      </c>
      <c r="B1210" t="s">
        <v>111</v>
      </c>
      <c r="C1210" t="s">
        <v>134</v>
      </c>
      <c r="D1210" t="s">
        <v>118</v>
      </c>
      <c r="E1210" t="s">
        <v>6703</v>
      </c>
      <c r="F1210" t="s">
        <v>7</v>
      </c>
      <c r="G1210" t="s">
        <v>130</v>
      </c>
      <c r="H1210" s="1">
        <v>46129</v>
      </c>
      <c r="I1210" t="s">
        <v>7709</v>
      </c>
      <c r="J1210" t="s">
        <v>7709</v>
      </c>
      <c r="K1210" t="s">
        <v>4347</v>
      </c>
      <c r="L1210" t="s">
        <v>1493</v>
      </c>
      <c r="M1210" t="s">
        <v>3646</v>
      </c>
      <c r="N1210" s="166">
        <v>20</v>
      </c>
      <c r="O1210" t="s">
        <v>232</v>
      </c>
    </row>
    <row r="1211" spans="1:15">
      <c r="A1211" s="166" t="s">
        <v>7718</v>
      </c>
      <c r="B1211" t="s">
        <v>111</v>
      </c>
      <c r="C1211" t="s">
        <v>7474</v>
      </c>
      <c r="D1211" t="s">
        <v>118</v>
      </c>
      <c r="E1211" t="s">
        <v>6703</v>
      </c>
      <c r="F1211" t="s">
        <v>7</v>
      </c>
      <c r="G1211" t="s">
        <v>130</v>
      </c>
      <c r="H1211" s="1">
        <v>46129</v>
      </c>
      <c r="I1211" t="s">
        <v>7709</v>
      </c>
      <c r="J1211" t="s">
        <v>7709</v>
      </c>
      <c r="K1211" t="s">
        <v>4347</v>
      </c>
      <c r="L1211" t="s">
        <v>1493</v>
      </c>
      <c r="M1211" t="s">
        <v>3646</v>
      </c>
      <c r="N1211" s="166">
        <v>20</v>
      </c>
      <c r="O1211" t="s">
        <v>232</v>
      </c>
    </row>
    <row r="1212" spans="1:15">
      <c r="A1212" s="166" t="s">
        <v>7719</v>
      </c>
      <c r="B1212" t="s">
        <v>111</v>
      </c>
      <c r="C1212" t="s">
        <v>136</v>
      </c>
      <c r="D1212" t="s">
        <v>118</v>
      </c>
      <c r="E1212" t="s">
        <v>6703</v>
      </c>
      <c r="F1212" t="s">
        <v>7</v>
      </c>
      <c r="G1212" t="s">
        <v>130</v>
      </c>
      <c r="H1212" s="1">
        <v>46129</v>
      </c>
      <c r="I1212" t="s">
        <v>7709</v>
      </c>
      <c r="J1212" t="s">
        <v>7709</v>
      </c>
      <c r="K1212" t="s">
        <v>4347</v>
      </c>
      <c r="L1212" t="s">
        <v>1493</v>
      </c>
      <c r="M1212" t="s">
        <v>3646</v>
      </c>
      <c r="N1212" s="166">
        <v>20</v>
      </c>
      <c r="O1212" t="s">
        <v>232</v>
      </c>
    </row>
    <row r="1213" spans="1:15">
      <c r="A1213" s="166" t="s">
        <v>7720</v>
      </c>
      <c r="B1213" t="s">
        <v>111</v>
      </c>
      <c r="C1213" t="s">
        <v>406</v>
      </c>
      <c r="D1213" t="s">
        <v>118</v>
      </c>
      <c r="E1213" t="s">
        <v>6703</v>
      </c>
      <c r="F1213" t="s">
        <v>7</v>
      </c>
      <c r="G1213" t="s">
        <v>130</v>
      </c>
      <c r="H1213" s="1">
        <v>46129</v>
      </c>
      <c r="I1213" t="s">
        <v>7709</v>
      </c>
      <c r="J1213" t="s">
        <v>7709</v>
      </c>
      <c r="K1213" t="s">
        <v>4347</v>
      </c>
      <c r="L1213" t="s">
        <v>1493</v>
      </c>
      <c r="M1213" t="s">
        <v>3646</v>
      </c>
      <c r="N1213" s="166">
        <v>20</v>
      </c>
      <c r="O1213" t="s">
        <v>232</v>
      </c>
    </row>
    <row r="1214" spans="1:15">
      <c r="A1214" s="166" t="s">
        <v>7721</v>
      </c>
      <c r="B1214" t="s">
        <v>111</v>
      </c>
      <c r="C1214" t="s">
        <v>134</v>
      </c>
      <c r="D1214" t="s">
        <v>118</v>
      </c>
      <c r="E1214" t="s">
        <v>6703</v>
      </c>
      <c r="F1214" t="s">
        <v>7</v>
      </c>
      <c r="G1214" t="s">
        <v>130</v>
      </c>
      <c r="H1214" s="1">
        <v>46129</v>
      </c>
      <c r="I1214" t="s">
        <v>7709</v>
      </c>
      <c r="J1214" t="s">
        <v>7709</v>
      </c>
      <c r="K1214" t="s">
        <v>4347</v>
      </c>
      <c r="L1214" t="s">
        <v>1493</v>
      </c>
      <c r="M1214" t="s">
        <v>3646</v>
      </c>
      <c r="N1214" s="166">
        <v>20</v>
      </c>
      <c r="O1214" t="s">
        <v>232</v>
      </c>
    </row>
    <row r="1215" spans="1:15">
      <c r="A1215" s="166" t="s">
        <v>7722</v>
      </c>
      <c r="B1215" t="s">
        <v>111</v>
      </c>
      <c r="C1215" t="s">
        <v>406</v>
      </c>
      <c r="D1215" t="s">
        <v>118</v>
      </c>
      <c r="E1215" t="s">
        <v>6703</v>
      </c>
      <c r="F1215" t="s">
        <v>7</v>
      </c>
      <c r="G1215" t="s">
        <v>130</v>
      </c>
      <c r="H1215" s="1">
        <v>46129</v>
      </c>
      <c r="I1215" t="s">
        <v>7709</v>
      </c>
      <c r="J1215" t="s">
        <v>7709</v>
      </c>
      <c r="K1215" t="s">
        <v>4347</v>
      </c>
      <c r="L1215" t="s">
        <v>1493</v>
      </c>
      <c r="M1215" t="s">
        <v>3646</v>
      </c>
      <c r="N1215" s="166">
        <v>20</v>
      </c>
      <c r="O1215" t="s">
        <v>232</v>
      </c>
    </row>
    <row r="1216" spans="1:15">
      <c r="A1216" s="166" t="s">
        <v>7723</v>
      </c>
      <c r="B1216" t="s">
        <v>111</v>
      </c>
      <c r="C1216" t="s">
        <v>7474</v>
      </c>
      <c r="D1216" t="s">
        <v>118</v>
      </c>
      <c r="E1216" t="s">
        <v>6703</v>
      </c>
      <c r="F1216" t="s">
        <v>7</v>
      </c>
      <c r="G1216" t="s">
        <v>130</v>
      </c>
      <c r="H1216" s="1">
        <v>46129</v>
      </c>
      <c r="I1216" t="s">
        <v>7709</v>
      </c>
      <c r="J1216" t="s">
        <v>7709</v>
      </c>
      <c r="K1216" t="s">
        <v>4347</v>
      </c>
      <c r="L1216" t="s">
        <v>1493</v>
      </c>
      <c r="M1216" t="s">
        <v>3646</v>
      </c>
      <c r="N1216" s="166">
        <v>20</v>
      </c>
      <c r="O1216" t="s">
        <v>232</v>
      </c>
    </row>
    <row r="1217" spans="1:15">
      <c r="A1217" s="166" t="s">
        <v>7724</v>
      </c>
      <c r="B1217" t="s">
        <v>111</v>
      </c>
      <c r="C1217" t="s">
        <v>134</v>
      </c>
      <c r="D1217" t="s">
        <v>118</v>
      </c>
      <c r="E1217" t="s">
        <v>6703</v>
      </c>
      <c r="F1217" t="s">
        <v>7</v>
      </c>
      <c r="G1217" t="s">
        <v>130</v>
      </c>
      <c r="H1217" s="1">
        <v>46129</v>
      </c>
      <c r="I1217" t="s">
        <v>7709</v>
      </c>
      <c r="J1217" t="s">
        <v>7709</v>
      </c>
      <c r="K1217" t="s">
        <v>4347</v>
      </c>
      <c r="L1217" t="s">
        <v>1493</v>
      </c>
      <c r="M1217" t="s">
        <v>3646</v>
      </c>
      <c r="N1217" s="166">
        <v>20</v>
      </c>
      <c r="O1217" t="s">
        <v>232</v>
      </c>
    </row>
    <row r="1218" spans="1:15">
      <c r="A1218" s="166" t="s">
        <v>7725</v>
      </c>
      <c r="B1218" t="s">
        <v>111</v>
      </c>
      <c r="C1218" t="s">
        <v>136</v>
      </c>
      <c r="D1218" t="s">
        <v>118</v>
      </c>
      <c r="E1218" t="s">
        <v>2618</v>
      </c>
      <c r="F1218" t="s">
        <v>7</v>
      </c>
      <c r="G1218" t="s">
        <v>130</v>
      </c>
      <c r="H1218" s="1">
        <v>46129</v>
      </c>
      <c r="I1218" t="s">
        <v>7709</v>
      </c>
      <c r="J1218" t="s">
        <v>7709</v>
      </c>
      <c r="K1218" t="s">
        <v>4347</v>
      </c>
      <c r="L1218" t="s">
        <v>1493</v>
      </c>
      <c r="M1218" t="s">
        <v>3646</v>
      </c>
      <c r="N1218" s="166">
        <v>20</v>
      </c>
      <c r="O1218" t="s">
        <v>232</v>
      </c>
    </row>
    <row r="1219" spans="1:15">
      <c r="A1219" s="166" t="s">
        <v>7726</v>
      </c>
      <c r="B1219" t="s">
        <v>111</v>
      </c>
      <c r="C1219" t="s">
        <v>406</v>
      </c>
      <c r="D1219" t="s">
        <v>118</v>
      </c>
      <c r="E1219" t="s">
        <v>2618</v>
      </c>
      <c r="F1219" t="s">
        <v>7</v>
      </c>
      <c r="G1219" t="s">
        <v>130</v>
      </c>
      <c r="H1219" s="1">
        <v>46129</v>
      </c>
      <c r="I1219" t="s">
        <v>7709</v>
      </c>
      <c r="J1219" t="s">
        <v>7709</v>
      </c>
      <c r="K1219" t="s">
        <v>4347</v>
      </c>
      <c r="L1219" t="s">
        <v>1493</v>
      </c>
      <c r="M1219" t="s">
        <v>3646</v>
      </c>
      <c r="N1219" s="166">
        <v>20</v>
      </c>
      <c r="O1219" t="s">
        <v>232</v>
      </c>
    </row>
    <row r="1220" spans="1:15">
      <c r="A1220" s="166" t="s">
        <v>7727</v>
      </c>
      <c r="B1220" t="s">
        <v>111</v>
      </c>
      <c r="C1220" t="s">
        <v>134</v>
      </c>
      <c r="D1220" t="s">
        <v>118</v>
      </c>
      <c r="E1220" t="s">
        <v>2618</v>
      </c>
      <c r="F1220" t="s">
        <v>7</v>
      </c>
      <c r="G1220" t="s">
        <v>130</v>
      </c>
      <c r="H1220" s="1">
        <v>46129</v>
      </c>
      <c r="I1220" t="s">
        <v>7709</v>
      </c>
      <c r="J1220" t="s">
        <v>7709</v>
      </c>
      <c r="K1220" t="s">
        <v>4347</v>
      </c>
      <c r="L1220" t="s">
        <v>1493</v>
      </c>
      <c r="M1220" t="s">
        <v>3646</v>
      </c>
      <c r="N1220" s="166">
        <v>20</v>
      </c>
      <c r="O1220" t="s">
        <v>232</v>
      </c>
    </row>
    <row r="1221" spans="1:15">
      <c r="A1221" s="166" t="s">
        <v>7728</v>
      </c>
      <c r="B1221" t="s">
        <v>111</v>
      </c>
      <c r="C1221" t="s">
        <v>7474</v>
      </c>
      <c r="D1221" t="s">
        <v>118</v>
      </c>
      <c r="E1221" t="s">
        <v>2618</v>
      </c>
      <c r="F1221" t="s">
        <v>7</v>
      </c>
      <c r="G1221" t="s">
        <v>130</v>
      </c>
      <c r="H1221" s="1">
        <v>46129</v>
      </c>
      <c r="I1221" t="s">
        <v>7709</v>
      </c>
      <c r="J1221" t="s">
        <v>7709</v>
      </c>
      <c r="K1221" t="s">
        <v>4347</v>
      </c>
      <c r="L1221" t="s">
        <v>1493</v>
      </c>
      <c r="M1221" t="s">
        <v>3646</v>
      </c>
      <c r="N1221" s="166">
        <v>20</v>
      </c>
      <c r="O1221" t="s">
        <v>232</v>
      </c>
    </row>
    <row r="1222" spans="1:15">
      <c r="A1222" s="166" t="s">
        <v>7729</v>
      </c>
      <c r="B1222" t="s">
        <v>111</v>
      </c>
      <c r="C1222" t="s">
        <v>136</v>
      </c>
      <c r="D1222" t="s">
        <v>118</v>
      </c>
      <c r="E1222" t="s">
        <v>2618</v>
      </c>
      <c r="F1222" t="s">
        <v>7</v>
      </c>
      <c r="G1222" t="s">
        <v>130</v>
      </c>
      <c r="H1222" s="1">
        <v>46129</v>
      </c>
      <c r="I1222" t="s">
        <v>7709</v>
      </c>
      <c r="J1222" t="s">
        <v>7709</v>
      </c>
      <c r="K1222" t="s">
        <v>4347</v>
      </c>
      <c r="L1222" t="s">
        <v>1493</v>
      </c>
      <c r="M1222" t="s">
        <v>3646</v>
      </c>
      <c r="N1222" s="166">
        <v>20</v>
      </c>
      <c r="O1222" t="s">
        <v>232</v>
      </c>
    </row>
    <row r="1223" spans="1:15">
      <c r="A1223" s="166" t="s">
        <v>7730</v>
      </c>
      <c r="B1223" t="s">
        <v>111</v>
      </c>
      <c r="C1223" t="s">
        <v>406</v>
      </c>
      <c r="D1223" t="s">
        <v>118</v>
      </c>
      <c r="E1223" t="s">
        <v>2618</v>
      </c>
      <c r="F1223" t="s">
        <v>7</v>
      </c>
      <c r="G1223" t="s">
        <v>130</v>
      </c>
      <c r="H1223" s="1">
        <v>46129</v>
      </c>
      <c r="I1223" t="s">
        <v>7709</v>
      </c>
      <c r="J1223" t="s">
        <v>7709</v>
      </c>
      <c r="K1223" t="s">
        <v>4347</v>
      </c>
      <c r="L1223" t="s">
        <v>1493</v>
      </c>
      <c r="M1223" t="s">
        <v>3646</v>
      </c>
      <c r="N1223" s="166">
        <v>20</v>
      </c>
      <c r="O1223" t="s">
        <v>232</v>
      </c>
    </row>
    <row r="1224" spans="1:15">
      <c r="A1224" s="166" t="s">
        <v>7731</v>
      </c>
      <c r="B1224" t="s">
        <v>111</v>
      </c>
      <c r="C1224" t="s">
        <v>134</v>
      </c>
      <c r="D1224" t="s">
        <v>118</v>
      </c>
      <c r="E1224" t="s">
        <v>2618</v>
      </c>
      <c r="F1224" t="s">
        <v>7</v>
      </c>
      <c r="G1224" t="s">
        <v>130</v>
      </c>
      <c r="H1224" s="1">
        <v>46129</v>
      </c>
      <c r="I1224" t="s">
        <v>7709</v>
      </c>
      <c r="J1224" t="s">
        <v>7709</v>
      </c>
      <c r="K1224" t="s">
        <v>4347</v>
      </c>
      <c r="L1224" t="s">
        <v>1493</v>
      </c>
      <c r="M1224" t="s">
        <v>3646</v>
      </c>
      <c r="N1224" s="166">
        <v>20</v>
      </c>
      <c r="O1224" t="s">
        <v>232</v>
      </c>
    </row>
    <row r="1225" spans="1:15">
      <c r="A1225" s="166" t="s">
        <v>7732</v>
      </c>
      <c r="B1225" t="s">
        <v>111</v>
      </c>
      <c r="C1225" t="s">
        <v>7474</v>
      </c>
      <c r="D1225" t="s">
        <v>118</v>
      </c>
      <c r="E1225" t="s">
        <v>2618</v>
      </c>
      <c r="F1225" t="s">
        <v>7</v>
      </c>
      <c r="G1225" t="s">
        <v>130</v>
      </c>
      <c r="H1225" s="1">
        <v>46129</v>
      </c>
      <c r="I1225" t="s">
        <v>7709</v>
      </c>
      <c r="J1225" t="s">
        <v>7709</v>
      </c>
      <c r="K1225" t="s">
        <v>4347</v>
      </c>
      <c r="L1225" t="s">
        <v>1493</v>
      </c>
      <c r="M1225" t="s">
        <v>3646</v>
      </c>
      <c r="N1225" s="166">
        <v>20</v>
      </c>
      <c r="O1225" t="s">
        <v>232</v>
      </c>
    </row>
    <row r="1226" spans="1:15">
      <c r="A1226" s="166" t="s">
        <v>7733</v>
      </c>
      <c r="B1226" t="s">
        <v>111</v>
      </c>
      <c r="C1226" t="s">
        <v>136</v>
      </c>
      <c r="D1226" t="s">
        <v>118</v>
      </c>
      <c r="E1226" t="s">
        <v>2618</v>
      </c>
      <c r="F1226" t="s">
        <v>7</v>
      </c>
      <c r="G1226" t="s">
        <v>130</v>
      </c>
      <c r="H1226" s="1">
        <v>46129</v>
      </c>
      <c r="I1226" t="s">
        <v>7709</v>
      </c>
      <c r="J1226" t="s">
        <v>7709</v>
      </c>
      <c r="K1226" t="s">
        <v>4347</v>
      </c>
      <c r="L1226" t="s">
        <v>1493</v>
      </c>
      <c r="M1226" t="s">
        <v>3646</v>
      </c>
      <c r="N1226" s="166">
        <v>20</v>
      </c>
      <c r="O1226" t="s">
        <v>232</v>
      </c>
    </row>
    <row r="1227" spans="1:15">
      <c r="A1227" s="166" t="s">
        <v>7734</v>
      </c>
      <c r="B1227" t="s">
        <v>111</v>
      </c>
      <c r="C1227" t="s">
        <v>406</v>
      </c>
      <c r="D1227" t="s">
        <v>118</v>
      </c>
      <c r="E1227" t="s">
        <v>2618</v>
      </c>
      <c r="F1227" t="s">
        <v>7</v>
      </c>
      <c r="G1227" t="s">
        <v>130</v>
      </c>
      <c r="H1227" s="1">
        <v>46129</v>
      </c>
      <c r="I1227" t="s">
        <v>7709</v>
      </c>
      <c r="J1227" t="s">
        <v>7709</v>
      </c>
      <c r="K1227" t="s">
        <v>4347</v>
      </c>
      <c r="L1227" t="s">
        <v>1493</v>
      </c>
      <c r="M1227" t="s">
        <v>3646</v>
      </c>
      <c r="N1227" s="166">
        <v>20</v>
      </c>
      <c r="O1227" t="s">
        <v>232</v>
      </c>
    </row>
    <row r="1228" spans="1:15">
      <c r="A1228" s="166" t="s">
        <v>7735</v>
      </c>
      <c r="B1228" t="s">
        <v>111</v>
      </c>
      <c r="C1228" t="s">
        <v>134</v>
      </c>
      <c r="D1228" t="s">
        <v>118</v>
      </c>
      <c r="E1228" t="s">
        <v>2618</v>
      </c>
      <c r="F1228" t="s">
        <v>7</v>
      </c>
      <c r="G1228" t="s">
        <v>130</v>
      </c>
      <c r="H1228" s="1">
        <v>46129</v>
      </c>
      <c r="I1228" t="s">
        <v>7709</v>
      </c>
      <c r="J1228" t="s">
        <v>7709</v>
      </c>
      <c r="K1228" t="s">
        <v>4347</v>
      </c>
      <c r="L1228" t="s">
        <v>1493</v>
      </c>
      <c r="M1228" t="s">
        <v>3646</v>
      </c>
      <c r="N1228" s="166">
        <v>20</v>
      </c>
      <c r="O1228" t="s">
        <v>232</v>
      </c>
    </row>
    <row r="1229" spans="1:15">
      <c r="A1229" s="166" t="s">
        <v>7736</v>
      </c>
      <c r="B1229" t="s">
        <v>111</v>
      </c>
      <c r="C1229" t="s">
        <v>406</v>
      </c>
      <c r="D1229" t="s">
        <v>118</v>
      </c>
      <c r="E1229" t="s">
        <v>2618</v>
      </c>
      <c r="F1229" t="s">
        <v>7</v>
      </c>
      <c r="G1229" t="s">
        <v>130</v>
      </c>
      <c r="H1229" s="1">
        <v>46129</v>
      </c>
      <c r="I1229" t="s">
        <v>7709</v>
      </c>
      <c r="J1229" t="s">
        <v>7709</v>
      </c>
      <c r="K1229" t="s">
        <v>4347</v>
      </c>
      <c r="L1229" t="s">
        <v>1493</v>
      </c>
      <c r="M1229" t="s">
        <v>3646</v>
      </c>
      <c r="N1229" s="166">
        <v>20</v>
      </c>
      <c r="O1229" t="s">
        <v>232</v>
      </c>
    </row>
    <row r="1230" spans="1:15">
      <c r="A1230" s="166" t="s">
        <v>7737</v>
      </c>
      <c r="B1230" t="s">
        <v>111</v>
      </c>
      <c r="C1230" t="s">
        <v>7474</v>
      </c>
      <c r="D1230" t="s">
        <v>118</v>
      </c>
      <c r="E1230" t="s">
        <v>2618</v>
      </c>
      <c r="F1230" t="s">
        <v>7</v>
      </c>
      <c r="G1230" t="s">
        <v>130</v>
      </c>
      <c r="H1230" s="1">
        <v>46129</v>
      </c>
      <c r="I1230" t="s">
        <v>7709</v>
      </c>
      <c r="J1230" t="s">
        <v>7709</v>
      </c>
      <c r="K1230" t="s">
        <v>4347</v>
      </c>
      <c r="L1230" t="s">
        <v>1493</v>
      </c>
      <c r="M1230" t="s">
        <v>3646</v>
      </c>
      <c r="N1230" s="166">
        <v>20</v>
      </c>
      <c r="O1230" t="s">
        <v>232</v>
      </c>
    </row>
    <row r="1231" spans="1:15">
      <c r="A1231" s="166" t="s">
        <v>7738</v>
      </c>
      <c r="B1231" t="s">
        <v>111</v>
      </c>
      <c r="C1231" t="s">
        <v>134</v>
      </c>
      <c r="D1231" t="s">
        <v>118</v>
      </c>
      <c r="E1231" t="s">
        <v>2618</v>
      </c>
      <c r="F1231" t="s">
        <v>7</v>
      </c>
      <c r="G1231" t="s">
        <v>130</v>
      </c>
      <c r="H1231" s="1">
        <v>46129</v>
      </c>
      <c r="I1231" t="s">
        <v>7709</v>
      </c>
      <c r="J1231" t="s">
        <v>7709</v>
      </c>
      <c r="K1231" t="s">
        <v>4347</v>
      </c>
      <c r="L1231" t="s">
        <v>1493</v>
      </c>
      <c r="M1231" t="s">
        <v>3646</v>
      </c>
      <c r="N1231" s="166">
        <v>20</v>
      </c>
      <c r="O1231" t="s">
        <v>232</v>
      </c>
    </row>
    <row r="1232" spans="1:15">
      <c r="A1232" s="166" t="s">
        <v>7739</v>
      </c>
      <c r="B1232" t="s">
        <v>111</v>
      </c>
      <c r="C1232" t="s">
        <v>136</v>
      </c>
      <c r="D1232" t="s">
        <v>118</v>
      </c>
      <c r="E1232" t="s">
        <v>2618</v>
      </c>
      <c r="F1232" t="s">
        <v>7</v>
      </c>
      <c r="G1232" t="s">
        <v>130</v>
      </c>
      <c r="H1232" s="1">
        <v>46129</v>
      </c>
      <c r="I1232" t="s">
        <v>7709</v>
      </c>
      <c r="J1232" t="s">
        <v>7709</v>
      </c>
      <c r="K1232" t="s">
        <v>4347</v>
      </c>
      <c r="L1232" t="s">
        <v>1493</v>
      </c>
      <c r="M1232" t="s">
        <v>3646</v>
      </c>
      <c r="N1232" s="166">
        <v>20</v>
      </c>
      <c r="O1232" t="s">
        <v>232</v>
      </c>
    </row>
    <row r="1233" spans="1:15">
      <c r="A1233" s="166" t="s">
        <v>7740</v>
      </c>
      <c r="B1233" t="s">
        <v>111</v>
      </c>
      <c r="C1233" t="s">
        <v>406</v>
      </c>
      <c r="D1233" t="s">
        <v>118</v>
      </c>
      <c r="E1233" t="s">
        <v>2618</v>
      </c>
      <c r="F1233" t="s">
        <v>7</v>
      </c>
      <c r="G1233" t="s">
        <v>130</v>
      </c>
      <c r="H1233" s="1">
        <v>46129</v>
      </c>
      <c r="I1233" t="s">
        <v>7709</v>
      </c>
      <c r="J1233" t="s">
        <v>7709</v>
      </c>
      <c r="K1233" t="s">
        <v>4347</v>
      </c>
      <c r="L1233" t="s">
        <v>1493</v>
      </c>
      <c r="M1233" t="s">
        <v>3646</v>
      </c>
      <c r="N1233" s="166">
        <v>20</v>
      </c>
      <c r="O1233" t="s">
        <v>232</v>
      </c>
    </row>
    <row r="1234" spans="1:15">
      <c r="A1234" s="166" t="s">
        <v>7741</v>
      </c>
      <c r="B1234" t="s">
        <v>111</v>
      </c>
      <c r="C1234" t="s">
        <v>134</v>
      </c>
      <c r="D1234" t="s">
        <v>118</v>
      </c>
      <c r="E1234" t="s">
        <v>2618</v>
      </c>
      <c r="F1234" t="s">
        <v>7</v>
      </c>
      <c r="G1234" t="s">
        <v>130</v>
      </c>
      <c r="H1234" s="1">
        <v>46129</v>
      </c>
      <c r="I1234" t="s">
        <v>7709</v>
      </c>
      <c r="J1234" t="s">
        <v>7709</v>
      </c>
      <c r="K1234" t="s">
        <v>4347</v>
      </c>
      <c r="L1234" t="s">
        <v>1493</v>
      </c>
      <c r="M1234" t="s">
        <v>3646</v>
      </c>
      <c r="N1234" s="166">
        <v>20</v>
      </c>
      <c r="O1234" t="s">
        <v>232</v>
      </c>
    </row>
    <row r="1235" spans="1:15">
      <c r="A1235" s="166" t="s">
        <v>7742</v>
      </c>
      <c r="B1235" t="s">
        <v>111</v>
      </c>
      <c r="C1235" t="s">
        <v>7474</v>
      </c>
      <c r="D1235" t="s">
        <v>118</v>
      </c>
      <c r="E1235" t="s">
        <v>2618</v>
      </c>
      <c r="F1235" t="s">
        <v>7</v>
      </c>
      <c r="G1235" t="s">
        <v>130</v>
      </c>
      <c r="H1235" s="1">
        <v>46129</v>
      </c>
      <c r="I1235" t="s">
        <v>7709</v>
      </c>
      <c r="J1235" t="s">
        <v>7709</v>
      </c>
      <c r="K1235" t="s">
        <v>4347</v>
      </c>
      <c r="L1235" t="s">
        <v>1493</v>
      </c>
      <c r="M1235" t="s">
        <v>3646</v>
      </c>
      <c r="N1235" s="166">
        <v>20</v>
      </c>
      <c r="O1235" t="s">
        <v>232</v>
      </c>
    </row>
    <row r="1236" spans="1:15">
      <c r="A1236" s="166" t="s">
        <v>7743</v>
      </c>
      <c r="B1236" t="s">
        <v>111</v>
      </c>
      <c r="C1236" t="s">
        <v>136</v>
      </c>
      <c r="D1236" t="s">
        <v>118</v>
      </c>
      <c r="E1236" t="s">
        <v>2618</v>
      </c>
      <c r="F1236" t="s">
        <v>7</v>
      </c>
      <c r="G1236" t="s">
        <v>130</v>
      </c>
      <c r="H1236" s="1">
        <v>46129</v>
      </c>
      <c r="I1236" t="s">
        <v>7709</v>
      </c>
      <c r="J1236" t="s">
        <v>7709</v>
      </c>
      <c r="K1236" t="s">
        <v>4347</v>
      </c>
      <c r="L1236" t="s">
        <v>1493</v>
      </c>
      <c r="M1236" t="s">
        <v>3646</v>
      </c>
      <c r="N1236" s="166">
        <v>20</v>
      </c>
      <c r="O1236" t="s">
        <v>232</v>
      </c>
    </row>
    <row r="1237" spans="1:15">
      <c r="A1237" s="166" t="s">
        <v>7744</v>
      </c>
      <c r="B1237" t="s">
        <v>111</v>
      </c>
      <c r="C1237" t="s">
        <v>406</v>
      </c>
      <c r="D1237" t="s">
        <v>118</v>
      </c>
      <c r="E1237" t="s">
        <v>2618</v>
      </c>
      <c r="F1237" t="s">
        <v>7</v>
      </c>
      <c r="G1237" t="s">
        <v>130</v>
      </c>
      <c r="H1237" s="1">
        <v>46129</v>
      </c>
      <c r="I1237" t="s">
        <v>7709</v>
      </c>
      <c r="J1237" t="s">
        <v>7709</v>
      </c>
      <c r="K1237" t="s">
        <v>4347</v>
      </c>
      <c r="L1237" t="s">
        <v>1493</v>
      </c>
      <c r="M1237" t="s">
        <v>3646</v>
      </c>
      <c r="N1237" s="166">
        <v>20</v>
      </c>
      <c r="O1237" t="s">
        <v>232</v>
      </c>
    </row>
    <row r="1238" spans="1:15">
      <c r="A1238" s="166" t="s">
        <v>7745</v>
      </c>
      <c r="B1238" t="s">
        <v>111</v>
      </c>
      <c r="C1238" t="s">
        <v>134</v>
      </c>
      <c r="D1238" t="s">
        <v>118</v>
      </c>
      <c r="E1238" t="s">
        <v>2618</v>
      </c>
      <c r="F1238" t="s">
        <v>7</v>
      </c>
      <c r="G1238" t="s">
        <v>130</v>
      </c>
      <c r="H1238" s="1">
        <v>46129</v>
      </c>
      <c r="I1238" t="s">
        <v>7709</v>
      </c>
      <c r="J1238" t="s">
        <v>7709</v>
      </c>
      <c r="K1238" t="s">
        <v>4347</v>
      </c>
      <c r="L1238" t="s">
        <v>1493</v>
      </c>
      <c r="M1238" t="s">
        <v>3646</v>
      </c>
      <c r="N1238" s="166">
        <v>20</v>
      </c>
      <c r="O1238" t="s">
        <v>232</v>
      </c>
    </row>
    <row r="1239" spans="1:15">
      <c r="A1239" s="166" t="s">
        <v>7746</v>
      </c>
      <c r="B1239" t="s">
        <v>111</v>
      </c>
      <c r="C1239" t="s">
        <v>7474</v>
      </c>
      <c r="D1239" t="s">
        <v>118</v>
      </c>
      <c r="E1239" t="s">
        <v>2618</v>
      </c>
      <c r="F1239" t="s">
        <v>7</v>
      </c>
      <c r="G1239" t="s">
        <v>130</v>
      </c>
      <c r="H1239" s="1">
        <v>46129</v>
      </c>
      <c r="I1239" t="s">
        <v>7709</v>
      </c>
      <c r="J1239" t="s">
        <v>7709</v>
      </c>
      <c r="K1239" t="s">
        <v>4347</v>
      </c>
      <c r="L1239" t="s">
        <v>1493</v>
      </c>
      <c r="M1239" t="s">
        <v>3646</v>
      </c>
      <c r="N1239" s="166">
        <v>20</v>
      </c>
      <c r="O1239" t="s">
        <v>232</v>
      </c>
    </row>
    <row r="1240" spans="1:15">
      <c r="A1240" s="166" t="s">
        <v>7747</v>
      </c>
      <c r="B1240" t="s">
        <v>111</v>
      </c>
      <c r="C1240" t="s">
        <v>136</v>
      </c>
      <c r="D1240" t="s">
        <v>118</v>
      </c>
      <c r="E1240" t="s">
        <v>2618</v>
      </c>
      <c r="F1240" t="s">
        <v>7</v>
      </c>
      <c r="G1240" t="s">
        <v>130</v>
      </c>
      <c r="H1240" s="1">
        <v>46129</v>
      </c>
      <c r="I1240" t="s">
        <v>7709</v>
      </c>
      <c r="J1240" t="s">
        <v>7709</v>
      </c>
      <c r="K1240" t="s">
        <v>4347</v>
      </c>
      <c r="L1240" t="s">
        <v>1493</v>
      </c>
      <c r="M1240" t="s">
        <v>3646</v>
      </c>
      <c r="N1240" s="166">
        <v>20</v>
      </c>
      <c r="O1240" t="s">
        <v>232</v>
      </c>
    </row>
    <row r="1241" spans="1:15">
      <c r="A1241" s="166" t="s">
        <v>7748</v>
      </c>
      <c r="B1241" t="s">
        <v>111</v>
      </c>
      <c r="C1241" t="s">
        <v>406</v>
      </c>
      <c r="D1241" t="s">
        <v>118</v>
      </c>
      <c r="E1241" t="s">
        <v>139</v>
      </c>
      <c r="F1241" t="s">
        <v>7</v>
      </c>
      <c r="G1241" t="s">
        <v>130</v>
      </c>
      <c r="H1241" s="1">
        <v>46129</v>
      </c>
      <c r="I1241" t="s">
        <v>7709</v>
      </c>
      <c r="J1241" t="s">
        <v>7709</v>
      </c>
      <c r="K1241" t="s">
        <v>4347</v>
      </c>
      <c r="L1241" t="s">
        <v>1493</v>
      </c>
      <c r="M1241" t="s">
        <v>3646</v>
      </c>
      <c r="N1241" s="166">
        <v>20</v>
      </c>
      <c r="O1241" t="s">
        <v>232</v>
      </c>
    </row>
    <row r="1242" spans="1:15">
      <c r="A1242" s="166" t="s">
        <v>7749</v>
      </c>
      <c r="B1242" t="s">
        <v>111</v>
      </c>
      <c r="C1242" t="s">
        <v>134</v>
      </c>
      <c r="D1242" t="s">
        <v>118</v>
      </c>
      <c r="E1242" t="s">
        <v>139</v>
      </c>
      <c r="F1242" t="s">
        <v>7</v>
      </c>
      <c r="G1242" t="s">
        <v>130</v>
      </c>
      <c r="H1242" s="1">
        <v>46129</v>
      </c>
      <c r="I1242" t="s">
        <v>7709</v>
      </c>
      <c r="J1242" t="s">
        <v>7709</v>
      </c>
      <c r="K1242" t="s">
        <v>4347</v>
      </c>
      <c r="L1242" t="s">
        <v>1493</v>
      </c>
      <c r="M1242" t="s">
        <v>3646</v>
      </c>
      <c r="N1242" s="166">
        <v>20</v>
      </c>
      <c r="O1242" t="s">
        <v>232</v>
      </c>
    </row>
    <row r="1243" spans="1:15">
      <c r="A1243" s="166" t="s">
        <v>7750</v>
      </c>
      <c r="B1243" t="s">
        <v>111</v>
      </c>
      <c r="C1243" t="s">
        <v>406</v>
      </c>
      <c r="D1243" t="s">
        <v>118</v>
      </c>
      <c r="E1243" t="s">
        <v>139</v>
      </c>
      <c r="F1243" t="s">
        <v>7</v>
      </c>
      <c r="G1243" t="s">
        <v>130</v>
      </c>
      <c r="H1243" s="1">
        <v>46129</v>
      </c>
      <c r="I1243" t="s">
        <v>7709</v>
      </c>
      <c r="J1243" t="s">
        <v>7709</v>
      </c>
      <c r="K1243" t="s">
        <v>4347</v>
      </c>
      <c r="L1243" t="s">
        <v>1493</v>
      </c>
      <c r="M1243" t="s">
        <v>3646</v>
      </c>
      <c r="N1243" s="166">
        <v>20</v>
      </c>
      <c r="O1243" t="s">
        <v>232</v>
      </c>
    </row>
    <row r="1244" spans="1:15">
      <c r="A1244" s="166" t="s">
        <v>7751</v>
      </c>
      <c r="B1244" t="s">
        <v>111</v>
      </c>
      <c r="C1244" t="s">
        <v>7474</v>
      </c>
      <c r="D1244" t="s">
        <v>118</v>
      </c>
      <c r="E1244" t="s">
        <v>139</v>
      </c>
      <c r="F1244" t="s">
        <v>7</v>
      </c>
      <c r="G1244" t="s">
        <v>130</v>
      </c>
      <c r="H1244" s="1">
        <v>46129</v>
      </c>
      <c r="I1244" t="s">
        <v>7709</v>
      </c>
      <c r="J1244" t="s">
        <v>7709</v>
      </c>
      <c r="K1244" t="s">
        <v>4347</v>
      </c>
      <c r="L1244" t="s">
        <v>1493</v>
      </c>
      <c r="M1244" t="s">
        <v>3646</v>
      </c>
      <c r="N1244" s="166">
        <v>20</v>
      </c>
      <c r="O1244" t="s">
        <v>232</v>
      </c>
    </row>
    <row r="1245" spans="1:15">
      <c r="A1245" s="166" t="s">
        <v>7752</v>
      </c>
      <c r="B1245" t="s">
        <v>111</v>
      </c>
      <c r="C1245" t="s">
        <v>134</v>
      </c>
      <c r="D1245" t="s">
        <v>118</v>
      </c>
      <c r="E1245" t="s">
        <v>139</v>
      </c>
      <c r="F1245" t="s">
        <v>7</v>
      </c>
      <c r="G1245" t="s">
        <v>130</v>
      </c>
      <c r="H1245" s="1">
        <v>46129</v>
      </c>
      <c r="I1245" t="s">
        <v>7709</v>
      </c>
      <c r="J1245" t="s">
        <v>7709</v>
      </c>
      <c r="K1245" t="s">
        <v>4347</v>
      </c>
      <c r="L1245" t="s">
        <v>1493</v>
      </c>
      <c r="M1245" t="s">
        <v>3646</v>
      </c>
      <c r="N1245" s="166">
        <v>20</v>
      </c>
      <c r="O1245" t="s">
        <v>232</v>
      </c>
    </row>
    <row r="1246" spans="1:15">
      <c r="A1246" s="166" t="s">
        <v>7753</v>
      </c>
      <c r="B1246" t="s">
        <v>111</v>
      </c>
      <c r="C1246" t="s">
        <v>136</v>
      </c>
      <c r="D1246" t="s">
        <v>118</v>
      </c>
      <c r="E1246" t="s">
        <v>139</v>
      </c>
      <c r="F1246" t="s">
        <v>7</v>
      </c>
      <c r="G1246" t="s">
        <v>130</v>
      </c>
      <c r="H1246" s="1">
        <v>46129</v>
      </c>
      <c r="I1246" t="s">
        <v>7709</v>
      </c>
      <c r="J1246" t="s">
        <v>7709</v>
      </c>
      <c r="K1246" t="s">
        <v>4347</v>
      </c>
      <c r="L1246" t="s">
        <v>1493</v>
      </c>
      <c r="M1246" t="s">
        <v>3646</v>
      </c>
      <c r="N1246" s="166">
        <v>20</v>
      </c>
      <c r="O1246" t="s">
        <v>232</v>
      </c>
    </row>
    <row r="1247" spans="1:15">
      <c r="A1247" s="166" t="s">
        <v>7754</v>
      </c>
      <c r="B1247" t="s">
        <v>111</v>
      </c>
      <c r="C1247" t="s">
        <v>406</v>
      </c>
      <c r="D1247" t="s">
        <v>118</v>
      </c>
      <c r="E1247" t="s">
        <v>139</v>
      </c>
      <c r="F1247" t="s">
        <v>7</v>
      </c>
      <c r="G1247" t="s">
        <v>130</v>
      </c>
      <c r="H1247" s="1">
        <v>46129</v>
      </c>
      <c r="I1247" t="s">
        <v>7709</v>
      </c>
      <c r="J1247" t="s">
        <v>7709</v>
      </c>
      <c r="K1247" t="s">
        <v>4347</v>
      </c>
      <c r="L1247" t="s">
        <v>1493</v>
      </c>
      <c r="M1247" t="s">
        <v>3646</v>
      </c>
      <c r="N1247" s="166">
        <v>20</v>
      </c>
      <c r="O1247" t="s">
        <v>232</v>
      </c>
    </row>
    <row r="1248" spans="1:15">
      <c r="A1248" s="166" t="s">
        <v>7755</v>
      </c>
      <c r="B1248" t="s">
        <v>111</v>
      </c>
      <c r="C1248" t="s">
        <v>134</v>
      </c>
      <c r="D1248" t="s">
        <v>118</v>
      </c>
      <c r="E1248" t="s">
        <v>139</v>
      </c>
      <c r="F1248" t="s">
        <v>7</v>
      </c>
      <c r="G1248" t="s">
        <v>130</v>
      </c>
      <c r="H1248" s="1">
        <v>46129</v>
      </c>
      <c r="I1248" t="s">
        <v>7709</v>
      </c>
      <c r="J1248" t="s">
        <v>7709</v>
      </c>
      <c r="K1248" t="s">
        <v>4347</v>
      </c>
      <c r="L1248" t="s">
        <v>1493</v>
      </c>
      <c r="M1248" t="s">
        <v>3646</v>
      </c>
      <c r="N1248" s="166">
        <v>20</v>
      </c>
      <c r="O1248" t="s">
        <v>232</v>
      </c>
    </row>
    <row r="1249" spans="1:15">
      <c r="A1249" s="166" t="s">
        <v>7756</v>
      </c>
      <c r="B1249" t="s">
        <v>111</v>
      </c>
      <c r="C1249" t="s">
        <v>7474</v>
      </c>
      <c r="D1249" t="s">
        <v>118</v>
      </c>
      <c r="E1249" t="s">
        <v>139</v>
      </c>
      <c r="F1249" t="s">
        <v>7</v>
      </c>
      <c r="G1249" t="s">
        <v>130</v>
      </c>
      <c r="H1249" s="1">
        <v>46129</v>
      </c>
      <c r="I1249" t="s">
        <v>7709</v>
      </c>
      <c r="J1249" t="s">
        <v>7709</v>
      </c>
      <c r="K1249" t="s">
        <v>4347</v>
      </c>
      <c r="L1249" t="s">
        <v>1493</v>
      </c>
      <c r="M1249" t="s">
        <v>3646</v>
      </c>
      <c r="N1249" s="166">
        <v>20</v>
      </c>
      <c r="O1249" t="s">
        <v>232</v>
      </c>
    </row>
    <row r="1250" spans="1:15">
      <c r="A1250" s="166" t="s">
        <v>7757</v>
      </c>
      <c r="B1250" t="s">
        <v>111</v>
      </c>
      <c r="C1250" t="s">
        <v>136</v>
      </c>
      <c r="D1250" t="s">
        <v>118</v>
      </c>
      <c r="E1250" t="s">
        <v>139</v>
      </c>
      <c r="F1250" t="s">
        <v>7</v>
      </c>
      <c r="G1250" t="s">
        <v>130</v>
      </c>
      <c r="H1250" s="1">
        <v>46129</v>
      </c>
      <c r="I1250" t="s">
        <v>7709</v>
      </c>
      <c r="J1250" t="s">
        <v>7709</v>
      </c>
      <c r="K1250" t="s">
        <v>4347</v>
      </c>
      <c r="L1250" t="s">
        <v>1493</v>
      </c>
      <c r="M1250" t="s">
        <v>3646</v>
      </c>
      <c r="N1250" s="166">
        <v>20</v>
      </c>
      <c r="O1250" t="s">
        <v>232</v>
      </c>
    </row>
    <row r="1251" spans="1:15">
      <c r="A1251" s="166" t="s">
        <v>7758</v>
      </c>
      <c r="B1251" t="s">
        <v>111</v>
      </c>
      <c r="C1251" t="s">
        <v>406</v>
      </c>
      <c r="D1251" t="s">
        <v>118</v>
      </c>
      <c r="E1251" t="s">
        <v>139</v>
      </c>
      <c r="F1251" t="s">
        <v>7</v>
      </c>
      <c r="G1251" t="s">
        <v>130</v>
      </c>
      <c r="H1251" s="1">
        <v>46129</v>
      </c>
      <c r="I1251" t="s">
        <v>7709</v>
      </c>
      <c r="J1251" t="s">
        <v>7709</v>
      </c>
      <c r="K1251" t="s">
        <v>4347</v>
      </c>
      <c r="L1251" t="s">
        <v>1493</v>
      </c>
      <c r="M1251" t="s">
        <v>3646</v>
      </c>
      <c r="N1251" s="166">
        <v>20</v>
      </c>
      <c r="O1251" t="s">
        <v>232</v>
      </c>
    </row>
    <row r="1252" spans="1:15">
      <c r="A1252" s="166" t="s">
        <v>7759</v>
      </c>
      <c r="B1252" t="s">
        <v>111</v>
      </c>
      <c r="C1252" t="s">
        <v>134</v>
      </c>
      <c r="D1252" t="s">
        <v>118</v>
      </c>
      <c r="E1252" t="s">
        <v>139</v>
      </c>
      <c r="F1252" t="s">
        <v>7</v>
      </c>
      <c r="G1252" t="s">
        <v>130</v>
      </c>
      <c r="H1252" s="1">
        <v>46129</v>
      </c>
      <c r="I1252" t="s">
        <v>7709</v>
      </c>
      <c r="J1252" t="s">
        <v>7709</v>
      </c>
      <c r="K1252" t="s">
        <v>4347</v>
      </c>
      <c r="L1252" t="s">
        <v>1493</v>
      </c>
      <c r="M1252" t="s">
        <v>3646</v>
      </c>
      <c r="N1252" s="166">
        <v>20</v>
      </c>
      <c r="O1252" t="s">
        <v>232</v>
      </c>
    </row>
    <row r="1253" spans="1:15">
      <c r="A1253" s="166" t="s">
        <v>7760</v>
      </c>
      <c r="B1253" t="s">
        <v>111</v>
      </c>
      <c r="C1253" t="s">
        <v>7474</v>
      </c>
      <c r="D1253" t="s">
        <v>118</v>
      </c>
      <c r="E1253" t="s">
        <v>139</v>
      </c>
      <c r="F1253" t="s">
        <v>7</v>
      </c>
      <c r="G1253" t="s">
        <v>130</v>
      </c>
      <c r="H1253" s="1">
        <v>46129</v>
      </c>
      <c r="I1253" t="s">
        <v>7709</v>
      </c>
      <c r="J1253" t="s">
        <v>7709</v>
      </c>
      <c r="K1253" t="s">
        <v>4347</v>
      </c>
      <c r="L1253" t="s">
        <v>1493</v>
      </c>
      <c r="M1253" t="s">
        <v>3646</v>
      </c>
      <c r="N1253" s="166">
        <v>20</v>
      </c>
      <c r="O1253" t="s">
        <v>232</v>
      </c>
    </row>
    <row r="1254" spans="1:15">
      <c r="A1254" s="166" t="s">
        <v>7761</v>
      </c>
      <c r="B1254" t="s">
        <v>111</v>
      </c>
      <c r="C1254" t="s">
        <v>136</v>
      </c>
      <c r="D1254" t="s">
        <v>118</v>
      </c>
      <c r="E1254" t="s">
        <v>139</v>
      </c>
      <c r="F1254" t="s">
        <v>7</v>
      </c>
      <c r="G1254" t="s">
        <v>130</v>
      </c>
      <c r="H1254" s="1">
        <v>46129</v>
      </c>
      <c r="I1254" t="s">
        <v>7709</v>
      </c>
      <c r="J1254" t="s">
        <v>7709</v>
      </c>
      <c r="K1254" t="s">
        <v>4347</v>
      </c>
      <c r="L1254" t="s">
        <v>1493</v>
      </c>
      <c r="M1254" t="s">
        <v>3646</v>
      </c>
      <c r="N1254" s="166">
        <v>20</v>
      </c>
      <c r="O1254" t="s">
        <v>232</v>
      </c>
    </row>
    <row r="1255" spans="1:15">
      <c r="A1255" s="166" t="s">
        <v>7762</v>
      </c>
      <c r="B1255" t="s">
        <v>111</v>
      </c>
      <c r="C1255" t="s">
        <v>406</v>
      </c>
      <c r="D1255" t="s">
        <v>118</v>
      </c>
      <c r="E1255" t="s">
        <v>139</v>
      </c>
      <c r="F1255" t="s">
        <v>7</v>
      </c>
      <c r="G1255" t="s">
        <v>130</v>
      </c>
      <c r="H1255" s="1">
        <v>46129</v>
      </c>
      <c r="I1255" t="s">
        <v>7709</v>
      </c>
      <c r="J1255" t="s">
        <v>7709</v>
      </c>
      <c r="K1255" t="s">
        <v>4347</v>
      </c>
      <c r="L1255" t="s">
        <v>1493</v>
      </c>
      <c r="M1255" t="s">
        <v>3646</v>
      </c>
      <c r="N1255" s="166">
        <v>20</v>
      </c>
      <c r="O1255" t="s">
        <v>232</v>
      </c>
    </row>
    <row r="1256" spans="1:15">
      <c r="A1256" s="166" t="s">
        <v>7763</v>
      </c>
      <c r="B1256" t="s">
        <v>111</v>
      </c>
      <c r="C1256" t="s">
        <v>134</v>
      </c>
      <c r="D1256" t="s">
        <v>118</v>
      </c>
      <c r="E1256" t="s">
        <v>139</v>
      </c>
      <c r="F1256" t="s">
        <v>7</v>
      </c>
      <c r="G1256" t="s">
        <v>130</v>
      </c>
      <c r="H1256" s="1">
        <v>46129</v>
      </c>
      <c r="I1256" t="s">
        <v>7709</v>
      </c>
      <c r="J1256" t="s">
        <v>7709</v>
      </c>
      <c r="K1256" t="s">
        <v>4347</v>
      </c>
      <c r="L1256" t="s">
        <v>1493</v>
      </c>
      <c r="M1256" t="s">
        <v>3646</v>
      </c>
      <c r="N1256" s="166">
        <v>20</v>
      </c>
      <c r="O1256" t="s">
        <v>232</v>
      </c>
    </row>
    <row r="1257" spans="1:15">
      <c r="A1257" s="166" t="s">
        <v>7764</v>
      </c>
      <c r="B1257" t="s">
        <v>111</v>
      </c>
      <c r="C1257" t="s">
        <v>406</v>
      </c>
      <c r="D1257" t="s">
        <v>118</v>
      </c>
      <c r="E1257" t="s">
        <v>139</v>
      </c>
      <c r="F1257" t="s">
        <v>7</v>
      </c>
      <c r="G1257" t="s">
        <v>130</v>
      </c>
      <c r="H1257" s="1">
        <v>46129</v>
      </c>
      <c r="I1257" t="s">
        <v>7709</v>
      </c>
      <c r="J1257" t="s">
        <v>7709</v>
      </c>
      <c r="K1257" t="s">
        <v>4347</v>
      </c>
      <c r="L1257" t="s">
        <v>1493</v>
      </c>
      <c r="M1257" t="s">
        <v>3646</v>
      </c>
      <c r="N1257" s="166">
        <v>20</v>
      </c>
      <c r="O1257" t="s">
        <v>232</v>
      </c>
    </row>
    <row r="1258" spans="1:15">
      <c r="A1258" s="166" t="s">
        <v>7765</v>
      </c>
      <c r="B1258" t="s">
        <v>111</v>
      </c>
      <c r="C1258" t="s">
        <v>7474</v>
      </c>
      <c r="D1258" t="s">
        <v>118</v>
      </c>
      <c r="E1258" t="s">
        <v>139</v>
      </c>
      <c r="F1258" t="s">
        <v>7</v>
      </c>
      <c r="G1258" t="s">
        <v>130</v>
      </c>
      <c r="H1258" s="1">
        <v>46129</v>
      </c>
      <c r="I1258" t="s">
        <v>7709</v>
      </c>
      <c r="J1258" t="s">
        <v>7709</v>
      </c>
      <c r="K1258" t="s">
        <v>4347</v>
      </c>
      <c r="L1258" t="s">
        <v>1493</v>
      </c>
      <c r="M1258" t="s">
        <v>3646</v>
      </c>
      <c r="N1258" s="166">
        <v>20</v>
      </c>
      <c r="O1258" t="s">
        <v>232</v>
      </c>
    </row>
    <row r="1259" spans="1:15">
      <c r="A1259" s="166" t="s">
        <v>7766</v>
      </c>
      <c r="B1259" t="s">
        <v>111</v>
      </c>
      <c r="C1259" t="s">
        <v>134</v>
      </c>
      <c r="D1259" t="s">
        <v>118</v>
      </c>
      <c r="E1259" t="s">
        <v>139</v>
      </c>
      <c r="F1259" t="s">
        <v>7</v>
      </c>
      <c r="G1259" t="s">
        <v>130</v>
      </c>
      <c r="H1259" s="1">
        <v>46129</v>
      </c>
      <c r="I1259" t="s">
        <v>7709</v>
      </c>
      <c r="J1259" t="s">
        <v>7709</v>
      </c>
      <c r="K1259" t="s">
        <v>4347</v>
      </c>
      <c r="L1259" t="s">
        <v>1493</v>
      </c>
      <c r="M1259" t="s">
        <v>3646</v>
      </c>
      <c r="N1259" s="166">
        <v>20</v>
      </c>
      <c r="O1259" t="s">
        <v>232</v>
      </c>
    </row>
    <row r="1260" spans="1:15">
      <c r="A1260" s="166" t="s">
        <v>7767</v>
      </c>
      <c r="B1260" t="s">
        <v>111</v>
      </c>
      <c r="C1260" t="s">
        <v>136</v>
      </c>
      <c r="D1260" t="s">
        <v>118</v>
      </c>
      <c r="E1260" t="s">
        <v>139</v>
      </c>
      <c r="F1260" t="s">
        <v>7</v>
      </c>
      <c r="G1260" t="s">
        <v>130</v>
      </c>
      <c r="H1260" s="1">
        <v>46129</v>
      </c>
      <c r="I1260" t="s">
        <v>7709</v>
      </c>
      <c r="J1260" t="s">
        <v>7709</v>
      </c>
      <c r="K1260" t="s">
        <v>4347</v>
      </c>
      <c r="L1260" t="s">
        <v>1493</v>
      </c>
      <c r="M1260" t="s">
        <v>3646</v>
      </c>
      <c r="N1260" s="166">
        <v>20</v>
      </c>
      <c r="O1260" t="s">
        <v>232</v>
      </c>
    </row>
    <row r="1261" spans="1:15">
      <c r="A1261" s="166" t="s">
        <v>7768</v>
      </c>
      <c r="B1261" t="s">
        <v>111</v>
      </c>
      <c r="C1261" t="s">
        <v>406</v>
      </c>
      <c r="D1261" t="s">
        <v>118</v>
      </c>
      <c r="E1261" t="s">
        <v>139</v>
      </c>
      <c r="F1261" t="s">
        <v>7</v>
      </c>
      <c r="G1261" t="s">
        <v>130</v>
      </c>
      <c r="H1261" s="1">
        <v>46129</v>
      </c>
      <c r="I1261" t="s">
        <v>7709</v>
      </c>
      <c r="J1261" t="s">
        <v>7709</v>
      </c>
      <c r="K1261" t="s">
        <v>4347</v>
      </c>
      <c r="L1261" t="s">
        <v>1493</v>
      </c>
      <c r="M1261" t="s">
        <v>3646</v>
      </c>
      <c r="N1261" s="166">
        <v>20</v>
      </c>
      <c r="O1261" t="s">
        <v>232</v>
      </c>
    </row>
    <row r="1262" spans="1:15">
      <c r="A1262" s="166" t="s">
        <v>7769</v>
      </c>
      <c r="B1262" t="s">
        <v>111</v>
      </c>
      <c r="C1262" t="s">
        <v>134</v>
      </c>
      <c r="D1262" t="s">
        <v>118</v>
      </c>
      <c r="E1262" t="s">
        <v>139</v>
      </c>
      <c r="F1262" t="s">
        <v>7</v>
      </c>
      <c r="G1262" t="s">
        <v>130</v>
      </c>
      <c r="H1262" s="1">
        <v>46129</v>
      </c>
      <c r="I1262" t="s">
        <v>7709</v>
      </c>
      <c r="J1262" t="s">
        <v>7709</v>
      </c>
      <c r="K1262" t="s">
        <v>4347</v>
      </c>
      <c r="L1262" t="s">
        <v>1493</v>
      </c>
      <c r="M1262" t="s">
        <v>3646</v>
      </c>
      <c r="N1262" s="166">
        <v>20</v>
      </c>
      <c r="O1262" t="s">
        <v>232</v>
      </c>
    </row>
    <row r="1263" spans="1:15">
      <c r="A1263" s="166" t="s">
        <v>7770</v>
      </c>
      <c r="B1263" t="s">
        <v>111</v>
      </c>
      <c r="C1263" t="s">
        <v>7474</v>
      </c>
      <c r="D1263" t="s">
        <v>118</v>
      </c>
      <c r="E1263" t="s">
        <v>139</v>
      </c>
      <c r="F1263" t="s">
        <v>7</v>
      </c>
      <c r="G1263" t="s">
        <v>130</v>
      </c>
      <c r="H1263" s="1">
        <v>46129</v>
      </c>
      <c r="I1263" t="s">
        <v>7709</v>
      </c>
      <c r="J1263" t="s">
        <v>7709</v>
      </c>
      <c r="K1263" t="s">
        <v>4347</v>
      </c>
      <c r="L1263" t="s">
        <v>1493</v>
      </c>
      <c r="M1263" t="s">
        <v>3646</v>
      </c>
      <c r="N1263" s="166">
        <v>20</v>
      </c>
      <c r="O1263" t="s">
        <v>232</v>
      </c>
    </row>
    <row r="1264" spans="1:15">
      <c r="A1264" s="166" t="s">
        <v>7771</v>
      </c>
      <c r="B1264" t="s">
        <v>111</v>
      </c>
      <c r="C1264" t="s">
        <v>136</v>
      </c>
      <c r="D1264" t="s">
        <v>118</v>
      </c>
      <c r="E1264" t="s">
        <v>139</v>
      </c>
      <c r="F1264" t="s">
        <v>7</v>
      </c>
      <c r="G1264" t="s">
        <v>130</v>
      </c>
      <c r="H1264" s="1">
        <v>46129</v>
      </c>
      <c r="I1264" t="s">
        <v>7709</v>
      </c>
      <c r="J1264" t="s">
        <v>7709</v>
      </c>
      <c r="K1264" t="s">
        <v>4347</v>
      </c>
      <c r="L1264" t="s">
        <v>1493</v>
      </c>
      <c r="M1264" t="s">
        <v>3646</v>
      </c>
      <c r="N1264" s="166">
        <v>20</v>
      </c>
      <c r="O1264" t="s">
        <v>232</v>
      </c>
    </row>
    <row r="1265" spans="1:15">
      <c r="A1265" s="166" t="s">
        <v>7772</v>
      </c>
      <c r="B1265" t="s">
        <v>111</v>
      </c>
      <c r="C1265" t="s">
        <v>406</v>
      </c>
      <c r="D1265" t="s">
        <v>118</v>
      </c>
      <c r="E1265" t="s">
        <v>139</v>
      </c>
      <c r="F1265" t="s">
        <v>7</v>
      </c>
      <c r="G1265" t="s">
        <v>130</v>
      </c>
      <c r="H1265" s="1">
        <v>46129</v>
      </c>
      <c r="I1265" t="s">
        <v>7709</v>
      </c>
      <c r="J1265" t="s">
        <v>7709</v>
      </c>
      <c r="K1265" t="s">
        <v>4347</v>
      </c>
      <c r="L1265" t="s">
        <v>1493</v>
      </c>
      <c r="M1265" t="s">
        <v>3646</v>
      </c>
      <c r="N1265" s="166">
        <v>20</v>
      </c>
      <c r="O1265" t="s">
        <v>232</v>
      </c>
    </row>
    <row r="1266" spans="1:15">
      <c r="A1266" s="166" t="s">
        <v>7773</v>
      </c>
      <c r="B1266" t="s">
        <v>111</v>
      </c>
      <c r="C1266" t="s">
        <v>134</v>
      </c>
      <c r="D1266" t="s">
        <v>118</v>
      </c>
      <c r="E1266" t="s">
        <v>139</v>
      </c>
      <c r="F1266" t="s">
        <v>7</v>
      </c>
      <c r="G1266" t="s">
        <v>130</v>
      </c>
      <c r="H1266" s="1">
        <v>46129</v>
      </c>
      <c r="I1266" t="s">
        <v>7709</v>
      </c>
      <c r="J1266" t="s">
        <v>7709</v>
      </c>
      <c r="K1266" t="s">
        <v>4347</v>
      </c>
      <c r="L1266" t="s">
        <v>1493</v>
      </c>
      <c r="M1266" t="s">
        <v>3646</v>
      </c>
      <c r="N1266" s="166">
        <v>20</v>
      </c>
      <c r="O1266" t="s">
        <v>232</v>
      </c>
    </row>
    <row r="1267" spans="1:15">
      <c r="A1267" s="166" t="s">
        <v>7774</v>
      </c>
      <c r="B1267" t="s">
        <v>111</v>
      </c>
      <c r="C1267" t="s">
        <v>7474</v>
      </c>
      <c r="D1267" t="s">
        <v>118</v>
      </c>
      <c r="E1267" t="s">
        <v>139</v>
      </c>
      <c r="F1267" t="s">
        <v>7</v>
      </c>
      <c r="G1267" t="s">
        <v>130</v>
      </c>
      <c r="H1267" s="1">
        <v>46129</v>
      </c>
      <c r="I1267" t="s">
        <v>7709</v>
      </c>
      <c r="J1267" t="s">
        <v>7709</v>
      </c>
      <c r="K1267" t="s">
        <v>4347</v>
      </c>
      <c r="L1267" t="s">
        <v>1493</v>
      </c>
      <c r="M1267" t="s">
        <v>3646</v>
      </c>
      <c r="N1267" s="166">
        <v>20</v>
      </c>
      <c r="O1267" t="s">
        <v>232</v>
      </c>
    </row>
    <row r="1268" spans="1:15">
      <c r="A1268" s="166" t="s">
        <v>7775</v>
      </c>
      <c r="B1268" t="s">
        <v>111</v>
      </c>
      <c r="C1268" t="s">
        <v>136</v>
      </c>
      <c r="D1268" t="s">
        <v>118</v>
      </c>
      <c r="E1268" t="s">
        <v>139</v>
      </c>
      <c r="F1268" t="s">
        <v>7</v>
      </c>
      <c r="G1268" t="s">
        <v>130</v>
      </c>
      <c r="H1268" s="1">
        <v>46129</v>
      </c>
      <c r="I1268" t="s">
        <v>7709</v>
      </c>
      <c r="J1268" t="s">
        <v>7709</v>
      </c>
      <c r="K1268" t="s">
        <v>4347</v>
      </c>
      <c r="L1268" t="s">
        <v>1493</v>
      </c>
      <c r="M1268" t="s">
        <v>3646</v>
      </c>
      <c r="N1268" s="166">
        <v>20</v>
      </c>
      <c r="O1268" t="s">
        <v>232</v>
      </c>
    </row>
    <row r="1269" spans="1:15">
      <c r="A1269" s="166" t="s">
        <v>7776</v>
      </c>
      <c r="B1269" t="s">
        <v>111</v>
      </c>
      <c r="C1269" t="s">
        <v>406</v>
      </c>
      <c r="D1269" t="s">
        <v>118</v>
      </c>
      <c r="E1269" t="s">
        <v>139</v>
      </c>
      <c r="F1269" t="s">
        <v>7</v>
      </c>
      <c r="G1269" t="s">
        <v>130</v>
      </c>
      <c r="H1269" s="1">
        <v>46129</v>
      </c>
      <c r="I1269" t="s">
        <v>7709</v>
      </c>
      <c r="J1269" t="s">
        <v>7709</v>
      </c>
      <c r="K1269" t="s">
        <v>4347</v>
      </c>
      <c r="L1269" t="s">
        <v>1493</v>
      </c>
      <c r="M1269" t="s">
        <v>3646</v>
      </c>
      <c r="N1269" s="166">
        <v>20</v>
      </c>
      <c r="O1269" t="s">
        <v>232</v>
      </c>
    </row>
    <row r="1270" spans="1:15">
      <c r="A1270" s="166" t="s">
        <v>7777</v>
      </c>
      <c r="B1270" t="s">
        <v>111</v>
      </c>
      <c r="C1270" t="s">
        <v>406</v>
      </c>
      <c r="D1270" t="s">
        <v>118</v>
      </c>
      <c r="E1270" t="s">
        <v>139</v>
      </c>
      <c r="F1270" t="s">
        <v>7</v>
      </c>
      <c r="G1270" t="s">
        <v>130</v>
      </c>
      <c r="H1270" s="1">
        <v>46130</v>
      </c>
      <c r="I1270" t="s">
        <v>7778</v>
      </c>
      <c r="J1270" t="s">
        <v>7779</v>
      </c>
      <c r="K1270" t="s">
        <v>2079</v>
      </c>
      <c r="L1270" t="s">
        <v>1280</v>
      </c>
      <c r="M1270" t="s">
        <v>5753</v>
      </c>
      <c r="N1270" s="166">
        <v>21.58</v>
      </c>
      <c r="O1270" t="s">
        <v>131</v>
      </c>
    </row>
    <row r="1271" spans="1:15">
      <c r="A1271" s="166" t="s">
        <v>7780</v>
      </c>
      <c r="B1271" t="s">
        <v>111</v>
      </c>
      <c r="C1271" t="s">
        <v>136</v>
      </c>
      <c r="D1271" t="s">
        <v>118</v>
      </c>
      <c r="E1271" t="s">
        <v>139</v>
      </c>
      <c r="F1271" t="s">
        <v>7</v>
      </c>
      <c r="G1271" t="s">
        <v>130</v>
      </c>
      <c r="H1271" s="1">
        <v>46130</v>
      </c>
      <c r="I1271" t="s">
        <v>7781</v>
      </c>
      <c r="J1271" t="s">
        <v>7782</v>
      </c>
      <c r="K1271" t="s">
        <v>4012</v>
      </c>
      <c r="L1271" t="s">
        <v>3483</v>
      </c>
      <c r="M1271" t="s">
        <v>145</v>
      </c>
      <c r="N1271" s="166">
        <v>21.3</v>
      </c>
      <c r="O1271" t="s">
        <v>131</v>
      </c>
    </row>
    <row r="1272" spans="1:15">
      <c r="A1272" s="166" t="s">
        <v>7783</v>
      </c>
      <c r="B1272" t="s">
        <v>111</v>
      </c>
      <c r="C1272" t="s">
        <v>7474</v>
      </c>
      <c r="D1272" t="s">
        <v>118</v>
      </c>
      <c r="E1272" t="s">
        <v>139</v>
      </c>
      <c r="F1272" t="s">
        <v>7</v>
      </c>
      <c r="G1272" t="s">
        <v>130</v>
      </c>
      <c r="H1272" s="1">
        <v>46130</v>
      </c>
      <c r="I1272" t="s">
        <v>7784</v>
      </c>
      <c r="J1272" t="s">
        <v>7785</v>
      </c>
      <c r="K1272" t="s">
        <v>649</v>
      </c>
      <c r="L1272" t="s">
        <v>2625</v>
      </c>
      <c r="M1272" t="s">
        <v>7200</v>
      </c>
      <c r="N1272" s="166">
        <v>11.86</v>
      </c>
      <c r="O1272" t="s">
        <v>131</v>
      </c>
    </row>
    <row r="1273" spans="1:15">
      <c r="A1273" s="166" t="s">
        <v>7786</v>
      </c>
      <c r="B1273" t="s">
        <v>111</v>
      </c>
      <c r="C1273" t="s">
        <v>134</v>
      </c>
      <c r="D1273" t="s">
        <v>118</v>
      </c>
      <c r="E1273" t="s">
        <v>139</v>
      </c>
      <c r="F1273" t="s">
        <v>7</v>
      </c>
      <c r="G1273" t="s">
        <v>130</v>
      </c>
      <c r="H1273" s="1">
        <v>46130</v>
      </c>
      <c r="I1273" t="s">
        <v>7787</v>
      </c>
      <c r="J1273" t="s">
        <v>7788</v>
      </c>
      <c r="K1273" t="s">
        <v>1591</v>
      </c>
      <c r="L1273" t="s">
        <v>907</v>
      </c>
      <c r="M1273" t="s">
        <v>3582</v>
      </c>
      <c r="N1273" s="166">
        <v>19.72</v>
      </c>
      <c r="O1273" t="s">
        <v>131</v>
      </c>
    </row>
    <row r="1274" spans="1:15">
      <c r="A1274" s="166" t="s">
        <v>7789</v>
      </c>
      <c r="B1274" t="s">
        <v>111</v>
      </c>
      <c r="C1274" t="s">
        <v>406</v>
      </c>
      <c r="D1274" t="s">
        <v>118</v>
      </c>
      <c r="E1274" t="s">
        <v>139</v>
      </c>
      <c r="F1274" t="s">
        <v>7</v>
      </c>
      <c r="G1274" t="s">
        <v>130</v>
      </c>
      <c r="H1274" s="1">
        <v>46130</v>
      </c>
      <c r="I1274" t="s">
        <v>7790</v>
      </c>
      <c r="J1274" t="s">
        <v>7791</v>
      </c>
      <c r="K1274" t="s">
        <v>994</v>
      </c>
      <c r="L1274" t="s">
        <v>1280</v>
      </c>
      <c r="M1274" t="s">
        <v>4107</v>
      </c>
      <c r="N1274" s="166">
        <v>24.74</v>
      </c>
      <c r="O1274" t="s">
        <v>131</v>
      </c>
    </row>
    <row r="1275" spans="1:15">
      <c r="A1275" s="166" t="s">
        <v>7792</v>
      </c>
      <c r="B1275" t="s">
        <v>111</v>
      </c>
      <c r="C1275" t="s">
        <v>406</v>
      </c>
      <c r="D1275" t="s">
        <v>118</v>
      </c>
      <c r="E1275" t="s">
        <v>139</v>
      </c>
      <c r="F1275" t="s">
        <v>7</v>
      </c>
      <c r="G1275" t="s">
        <v>130</v>
      </c>
      <c r="H1275" s="1">
        <v>46130</v>
      </c>
      <c r="I1275" t="s">
        <v>7793</v>
      </c>
      <c r="J1275" t="s">
        <v>7794</v>
      </c>
      <c r="K1275" t="s">
        <v>7795</v>
      </c>
      <c r="L1275" t="s">
        <v>856</v>
      </c>
      <c r="M1275" t="s">
        <v>1228</v>
      </c>
      <c r="N1275" s="166">
        <v>25.98</v>
      </c>
      <c r="O1275" t="s">
        <v>131</v>
      </c>
    </row>
    <row r="1276" spans="1:15">
      <c r="A1276" s="166" t="s">
        <v>7796</v>
      </c>
      <c r="B1276" t="s">
        <v>111</v>
      </c>
      <c r="C1276" t="s">
        <v>134</v>
      </c>
      <c r="D1276" t="s">
        <v>118</v>
      </c>
      <c r="E1276" t="s">
        <v>139</v>
      </c>
      <c r="F1276" t="s">
        <v>7</v>
      </c>
      <c r="G1276" t="s">
        <v>130</v>
      </c>
      <c r="H1276" s="1">
        <v>46130</v>
      </c>
      <c r="I1276" t="s">
        <v>7797</v>
      </c>
      <c r="J1276" t="s">
        <v>7798</v>
      </c>
      <c r="K1276" t="s">
        <v>3871</v>
      </c>
      <c r="L1276" t="s">
        <v>948</v>
      </c>
      <c r="M1276" t="s">
        <v>715</v>
      </c>
      <c r="N1276" s="166">
        <v>22.84</v>
      </c>
      <c r="O1276" t="s">
        <v>131</v>
      </c>
    </row>
    <row r="1277" spans="1:15">
      <c r="A1277" s="166" t="s">
        <v>7799</v>
      </c>
      <c r="B1277" t="s">
        <v>111</v>
      </c>
      <c r="C1277" t="s">
        <v>406</v>
      </c>
      <c r="D1277" t="s">
        <v>118</v>
      </c>
      <c r="E1277" t="s">
        <v>139</v>
      </c>
      <c r="F1277" t="s">
        <v>7</v>
      </c>
      <c r="G1277" t="s">
        <v>130</v>
      </c>
      <c r="H1277" s="1">
        <v>46130</v>
      </c>
      <c r="I1277" t="s">
        <v>7800</v>
      </c>
      <c r="J1277" t="s">
        <v>7801</v>
      </c>
      <c r="K1277" t="s">
        <v>3744</v>
      </c>
      <c r="L1277" t="s">
        <v>2090</v>
      </c>
      <c r="M1277" t="s">
        <v>7428</v>
      </c>
      <c r="N1277" s="166">
        <v>23.44</v>
      </c>
      <c r="O1277" t="s">
        <v>131</v>
      </c>
    </row>
    <row r="1278" spans="1:15">
      <c r="A1278" s="166" t="s">
        <v>7802</v>
      </c>
      <c r="B1278" t="s">
        <v>111</v>
      </c>
      <c r="C1278" t="s">
        <v>641</v>
      </c>
      <c r="D1278" t="s">
        <v>118</v>
      </c>
      <c r="E1278" t="s">
        <v>139</v>
      </c>
      <c r="F1278" t="s">
        <v>7</v>
      </c>
      <c r="G1278" t="s">
        <v>130</v>
      </c>
      <c r="H1278" s="1">
        <v>46130</v>
      </c>
      <c r="I1278" t="s">
        <v>7803</v>
      </c>
      <c r="J1278" t="s">
        <v>7804</v>
      </c>
      <c r="K1278" t="s">
        <v>649</v>
      </c>
      <c r="L1278" t="s">
        <v>856</v>
      </c>
      <c r="M1278" t="s">
        <v>756</v>
      </c>
      <c r="N1278" s="166">
        <v>22.1</v>
      </c>
      <c r="O1278" t="s">
        <v>131</v>
      </c>
    </row>
    <row r="1279" spans="1:15">
      <c r="A1279" s="166" t="s">
        <v>7805</v>
      </c>
      <c r="B1279" t="s">
        <v>111</v>
      </c>
      <c r="C1279" t="s">
        <v>134</v>
      </c>
      <c r="D1279" t="s">
        <v>118</v>
      </c>
      <c r="E1279" t="s">
        <v>139</v>
      </c>
      <c r="F1279" t="s">
        <v>7</v>
      </c>
      <c r="G1279" t="s">
        <v>130</v>
      </c>
      <c r="H1279" s="1">
        <v>46130</v>
      </c>
      <c r="I1279" t="s">
        <v>7806</v>
      </c>
      <c r="J1279" t="s">
        <v>7807</v>
      </c>
      <c r="K1279" t="s">
        <v>5513</v>
      </c>
      <c r="L1279" t="s">
        <v>2058</v>
      </c>
      <c r="M1279" t="s">
        <v>4797</v>
      </c>
      <c r="N1279" s="166">
        <v>24.6</v>
      </c>
      <c r="O1279" t="s">
        <v>131</v>
      </c>
    </row>
    <row r="1280" spans="1:15">
      <c r="A1280" s="166" t="s">
        <v>7808</v>
      </c>
      <c r="B1280" t="s">
        <v>111</v>
      </c>
      <c r="C1280" t="s">
        <v>134</v>
      </c>
      <c r="D1280" t="s">
        <v>116</v>
      </c>
      <c r="E1280" t="s">
        <v>418</v>
      </c>
      <c r="F1280" t="s">
        <v>6</v>
      </c>
      <c r="G1280" t="s">
        <v>130</v>
      </c>
      <c r="H1280" s="1">
        <v>46130</v>
      </c>
      <c r="I1280" t="s">
        <v>7809</v>
      </c>
      <c r="J1280" t="s">
        <v>7810</v>
      </c>
      <c r="K1280" t="s">
        <v>4768</v>
      </c>
      <c r="L1280" t="s">
        <v>1835</v>
      </c>
      <c r="M1280" t="s">
        <v>1197</v>
      </c>
      <c r="N1280" s="166">
        <v>22.22</v>
      </c>
      <c r="O1280" t="s">
        <v>131</v>
      </c>
    </row>
    <row r="1281" spans="1:15">
      <c r="A1281" s="166" t="s">
        <v>7811</v>
      </c>
      <c r="B1281" t="s">
        <v>111</v>
      </c>
      <c r="C1281" t="s">
        <v>641</v>
      </c>
      <c r="D1281" t="s">
        <v>116</v>
      </c>
      <c r="E1281" t="s">
        <v>418</v>
      </c>
      <c r="F1281" t="s">
        <v>6</v>
      </c>
      <c r="G1281" t="s">
        <v>130</v>
      </c>
      <c r="H1281" s="1">
        <v>46130</v>
      </c>
      <c r="I1281" t="s">
        <v>7812</v>
      </c>
      <c r="J1281" t="s">
        <v>7813</v>
      </c>
      <c r="K1281" t="s">
        <v>4364</v>
      </c>
      <c r="L1281" t="s">
        <v>1062</v>
      </c>
      <c r="M1281" t="s">
        <v>176</v>
      </c>
      <c r="N1281" s="166">
        <v>23.02</v>
      </c>
      <c r="O1281" t="s">
        <v>131</v>
      </c>
    </row>
    <row r="1282" spans="1:15">
      <c r="A1282" s="166" t="s">
        <v>7814</v>
      </c>
      <c r="B1282" t="s">
        <v>111</v>
      </c>
      <c r="C1282" t="s">
        <v>406</v>
      </c>
      <c r="D1282" t="s">
        <v>116</v>
      </c>
      <c r="E1282" t="s">
        <v>418</v>
      </c>
      <c r="F1282" t="s">
        <v>6</v>
      </c>
      <c r="G1282" t="s">
        <v>130</v>
      </c>
      <c r="H1282" s="1">
        <v>46130</v>
      </c>
      <c r="I1282" t="s">
        <v>7815</v>
      </c>
      <c r="J1282" t="s">
        <v>7816</v>
      </c>
      <c r="K1282" t="s">
        <v>3618</v>
      </c>
      <c r="L1282" t="s">
        <v>2004</v>
      </c>
      <c r="M1282" t="s">
        <v>2905</v>
      </c>
      <c r="N1282" s="166">
        <v>24.3</v>
      </c>
      <c r="O1282" t="s">
        <v>131</v>
      </c>
    </row>
    <row r="1283" spans="1:15">
      <c r="A1283" s="166" t="s">
        <v>7817</v>
      </c>
      <c r="B1283" t="s">
        <v>111</v>
      </c>
      <c r="C1283" t="s">
        <v>134</v>
      </c>
      <c r="D1283" t="s">
        <v>116</v>
      </c>
      <c r="E1283" t="s">
        <v>418</v>
      </c>
      <c r="F1283" t="s">
        <v>6</v>
      </c>
      <c r="G1283" t="s">
        <v>130</v>
      </c>
      <c r="H1283" s="1">
        <v>46130</v>
      </c>
      <c r="I1283" t="s">
        <v>7818</v>
      </c>
      <c r="J1283" t="s">
        <v>7819</v>
      </c>
      <c r="K1283" t="s">
        <v>6113</v>
      </c>
      <c r="L1283" t="s">
        <v>611</v>
      </c>
      <c r="M1283" t="s">
        <v>1595</v>
      </c>
      <c r="N1283" s="166">
        <v>23.14</v>
      </c>
      <c r="O1283" t="s">
        <v>131</v>
      </c>
    </row>
    <row r="1284" spans="1:15">
      <c r="A1284" s="166" t="s">
        <v>1987</v>
      </c>
      <c r="B1284" t="s">
        <v>111</v>
      </c>
      <c r="C1284" t="s">
        <v>641</v>
      </c>
      <c r="D1284" t="s">
        <v>116</v>
      </c>
      <c r="E1284" t="s">
        <v>418</v>
      </c>
      <c r="F1284" t="s">
        <v>6</v>
      </c>
      <c r="G1284" t="s">
        <v>130</v>
      </c>
      <c r="H1284" s="1">
        <v>46130</v>
      </c>
      <c r="I1284" t="s">
        <v>7820</v>
      </c>
      <c r="J1284" t="s">
        <v>7821</v>
      </c>
      <c r="K1284" t="s">
        <v>480</v>
      </c>
      <c r="L1284" t="s">
        <v>1062</v>
      </c>
      <c r="M1284" t="s">
        <v>1545</v>
      </c>
      <c r="N1284" s="166">
        <v>20.68</v>
      </c>
      <c r="O1284" t="s">
        <v>131</v>
      </c>
    </row>
    <row r="1285" spans="1:15">
      <c r="A1285" s="166" t="s">
        <v>7822</v>
      </c>
      <c r="B1285" t="s">
        <v>111</v>
      </c>
      <c r="C1285" t="s">
        <v>406</v>
      </c>
      <c r="D1285" t="s">
        <v>116</v>
      </c>
      <c r="E1285" t="s">
        <v>418</v>
      </c>
      <c r="F1285" t="s">
        <v>6</v>
      </c>
      <c r="G1285" t="s">
        <v>130</v>
      </c>
      <c r="H1285" s="1">
        <v>46130</v>
      </c>
      <c r="I1285" t="s">
        <v>7823</v>
      </c>
      <c r="J1285" t="s">
        <v>7824</v>
      </c>
      <c r="K1285" t="s">
        <v>4012</v>
      </c>
      <c r="L1285" t="s">
        <v>1582</v>
      </c>
      <c r="M1285" t="s">
        <v>682</v>
      </c>
      <c r="N1285" s="166">
        <v>23.34</v>
      </c>
      <c r="O1285" t="s">
        <v>131</v>
      </c>
    </row>
    <row r="1286" spans="1:15">
      <c r="A1286" s="166" t="s">
        <v>7825</v>
      </c>
      <c r="B1286" t="s">
        <v>111</v>
      </c>
      <c r="C1286" t="s">
        <v>134</v>
      </c>
      <c r="D1286" t="s">
        <v>116</v>
      </c>
      <c r="E1286" t="s">
        <v>418</v>
      </c>
      <c r="F1286" t="s">
        <v>6</v>
      </c>
      <c r="G1286" t="s">
        <v>130</v>
      </c>
      <c r="H1286" s="1">
        <v>46130</v>
      </c>
      <c r="I1286" t="s">
        <v>7826</v>
      </c>
      <c r="J1286" t="s">
        <v>7827</v>
      </c>
      <c r="K1286" t="s">
        <v>2942</v>
      </c>
      <c r="L1286" t="s">
        <v>1076</v>
      </c>
      <c r="M1286" t="s">
        <v>2905</v>
      </c>
      <c r="N1286" s="166">
        <v>24.3</v>
      </c>
      <c r="O1286" t="s">
        <v>131</v>
      </c>
    </row>
    <row r="1287" spans="1:15">
      <c r="A1287" s="166" t="s">
        <v>7828</v>
      </c>
      <c r="B1287" t="s">
        <v>111</v>
      </c>
      <c r="C1287" t="s">
        <v>133</v>
      </c>
      <c r="D1287" t="s">
        <v>116</v>
      </c>
      <c r="E1287" t="s">
        <v>418</v>
      </c>
      <c r="F1287" t="s">
        <v>6</v>
      </c>
      <c r="G1287" t="s">
        <v>130</v>
      </c>
      <c r="H1287" s="1">
        <v>46130</v>
      </c>
      <c r="I1287" t="s">
        <v>7829</v>
      </c>
      <c r="J1287" t="s">
        <v>7830</v>
      </c>
      <c r="K1287" t="s">
        <v>3809</v>
      </c>
      <c r="L1287" t="s">
        <v>831</v>
      </c>
      <c r="M1287" t="s">
        <v>3704</v>
      </c>
      <c r="N1287" s="166">
        <v>24.68</v>
      </c>
      <c r="O1287" t="s">
        <v>131</v>
      </c>
    </row>
    <row r="1288" spans="1:15">
      <c r="A1288" s="166" t="s">
        <v>7831</v>
      </c>
      <c r="B1288" t="s">
        <v>111</v>
      </c>
      <c r="C1288" t="s">
        <v>134</v>
      </c>
      <c r="D1288" t="s">
        <v>116</v>
      </c>
      <c r="E1288" t="s">
        <v>418</v>
      </c>
      <c r="F1288" t="s">
        <v>6</v>
      </c>
      <c r="G1288" t="s">
        <v>130</v>
      </c>
      <c r="H1288" s="1">
        <v>46130</v>
      </c>
      <c r="I1288" t="s">
        <v>7832</v>
      </c>
      <c r="J1288" t="s">
        <v>7833</v>
      </c>
      <c r="K1288" t="s">
        <v>1834</v>
      </c>
      <c r="L1288" t="s">
        <v>831</v>
      </c>
      <c r="M1288" t="s">
        <v>2697</v>
      </c>
      <c r="N1288" s="166">
        <v>23.86</v>
      </c>
      <c r="O1288" t="s">
        <v>131</v>
      </c>
    </row>
    <row r="1289" spans="1:15">
      <c r="A1289" s="166" t="s">
        <v>7834</v>
      </c>
      <c r="B1289" t="s">
        <v>111</v>
      </c>
      <c r="C1289" t="s">
        <v>641</v>
      </c>
      <c r="D1289" t="s">
        <v>116</v>
      </c>
      <c r="E1289" t="s">
        <v>418</v>
      </c>
      <c r="F1289" t="s">
        <v>6</v>
      </c>
      <c r="G1289" t="s">
        <v>130</v>
      </c>
      <c r="H1289" s="1">
        <v>46130</v>
      </c>
      <c r="I1289" t="s">
        <v>7835</v>
      </c>
      <c r="J1289" t="s">
        <v>7836</v>
      </c>
      <c r="K1289" t="s">
        <v>1442</v>
      </c>
      <c r="L1289" t="s">
        <v>856</v>
      </c>
      <c r="M1289" t="s">
        <v>1934</v>
      </c>
      <c r="N1289" s="166">
        <v>19.62</v>
      </c>
      <c r="O1289" t="s">
        <v>131</v>
      </c>
    </row>
    <row r="1290" spans="1:15">
      <c r="A1290" s="166" t="s">
        <v>7837</v>
      </c>
      <c r="B1290" t="s">
        <v>111</v>
      </c>
      <c r="C1290" t="s">
        <v>406</v>
      </c>
      <c r="D1290" t="s">
        <v>116</v>
      </c>
      <c r="E1290" t="s">
        <v>418</v>
      </c>
      <c r="F1290" t="s">
        <v>6</v>
      </c>
      <c r="G1290" t="s">
        <v>130</v>
      </c>
      <c r="H1290" s="1">
        <v>46130</v>
      </c>
      <c r="I1290" t="s">
        <v>7838</v>
      </c>
      <c r="J1290" t="s">
        <v>7839</v>
      </c>
      <c r="K1290" t="s">
        <v>1533</v>
      </c>
      <c r="L1290" t="s">
        <v>203</v>
      </c>
      <c r="M1290" t="s">
        <v>1583</v>
      </c>
      <c r="N1290" s="166">
        <v>20.22</v>
      </c>
      <c r="O1290" t="s">
        <v>131</v>
      </c>
    </row>
    <row r="1291" spans="1:15">
      <c r="A1291" s="166" t="s">
        <v>7840</v>
      </c>
      <c r="B1291" t="s">
        <v>111</v>
      </c>
      <c r="C1291" t="s">
        <v>133</v>
      </c>
      <c r="D1291" t="s">
        <v>116</v>
      </c>
      <c r="E1291" t="s">
        <v>418</v>
      </c>
      <c r="F1291" t="s">
        <v>6</v>
      </c>
      <c r="G1291" t="s">
        <v>130</v>
      </c>
      <c r="H1291" s="1">
        <v>46130</v>
      </c>
      <c r="I1291" t="s">
        <v>7841</v>
      </c>
      <c r="J1291" t="s">
        <v>7842</v>
      </c>
      <c r="K1291" t="s">
        <v>1420</v>
      </c>
      <c r="L1291" t="s">
        <v>989</v>
      </c>
      <c r="M1291" t="s">
        <v>1577</v>
      </c>
      <c r="N1291" s="166">
        <v>19.22</v>
      </c>
      <c r="O1291" t="s">
        <v>131</v>
      </c>
    </row>
    <row r="1292" spans="1:15">
      <c r="A1292" s="166" t="s">
        <v>7843</v>
      </c>
      <c r="B1292" t="s">
        <v>111</v>
      </c>
      <c r="C1292" t="s">
        <v>134</v>
      </c>
      <c r="D1292" t="s">
        <v>116</v>
      </c>
      <c r="E1292" t="s">
        <v>418</v>
      </c>
      <c r="F1292" t="s">
        <v>6</v>
      </c>
      <c r="G1292" t="s">
        <v>130</v>
      </c>
      <c r="H1292" s="1">
        <v>46130</v>
      </c>
      <c r="I1292" t="s">
        <v>7844</v>
      </c>
      <c r="J1292" t="s">
        <v>7845</v>
      </c>
      <c r="K1292" t="s">
        <v>1861</v>
      </c>
      <c r="L1292" t="s">
        <v>149</v>
      </c>
      <c r="M1292" t="s">
        <v>1159</v>
      </c>
      <c r="N1292" s="166">
        <v>20.34</v>
      </c>
      <c r="O1292" t="s">
        <v>131</v>
      </c>
    </row>
    <row r="1293" spans="1:15">
      <c r="A1293" s="166" t="s">
        <v>7846</v>
      </c>
      <c r="B1293" t="s">
        <v>111</v>
      </c>
      <c r="C1293" t="s">
        <v>641</v>
      </c>
      <c r="D1293" t="s">
        <v>116</v>
      </c>
      <c r="E1293" t="s">
        <v>418</v>
      </c>
      <c r="F1293" t="s">
        <v>6</v>
      </c>
      <c r="G1293" t="s">
        <v>130</v>
      </c>
      <c r="H1293" s="1">
        <v>46130</v>
      </c>
      <c r="I1293" t="s">
        <v>7847</v>
      </c>
      <c r="J1293" t="s">
        <v>7848</v>
      </c>
      <c r="K1293" t="s">
        <v>3357</v>
      </c>
      <c r="L1293" t="s">
        <v>2127</v>
      </c>
      <c r="M1293" t="s">
        <v>1545</v>
      </c>
      <c r="N1293" s="166">
        <v>20.68</v>
      </c>
      <c r="O1293" t="s">
        <v>131</v>
      </c>
    </row>
    <row r="1294" spans="1:15">
      <c r="A1294" s="166" t="s">
        <v>7849</v>
      </c>
      <c r="B1294" t="s">
        <v>111</v>
      </c>
      <c r="C1294" t="s">
        <v>406</v>
      </c>
      <c r="D1294" t="s">
        <v>116</v>
      </c>
      <c r="E1294" t="s">
        <v>418</v>
      </c>
      <c r="F1294" t="s">
        <v>6</v>
      </c>
      <c r="G1294" t="s">
        <v>130</v>
      </c>
      <c r="H1294" s="1">
        <v>46130</v>
      </c>
      <c r="I1294" t="s">
        <v>7850</v>
      </c>
      <c r="J1294" t="s">
        <v>7851</v>
      </c>
      <c r="K1294" t="s">
        <v>1322</v>
      </c>
      <c r="L1294" t="s">
        <v>157</v>
      </c>
      <c r="M1294" t="s">
        <v>596</v>
      </c>
      <c r="N1294" s="166">
        <v>20.36</v>
      </c>
      <c r="O1294" t="s">
        <v>131</v>
      </c>
    </row>
    <row r="1295" spans="1:15">
      <c r="A1295" s="166" t="s">
        <v>7852</v>
      </c>
      <c r="B1295" t="s">
        <v>111</v>
      </c>
      <c r="C1295" t="s">
        <v>133</v>
      </c>
      <c r="D1295" t="s">
        <v>116</v>
      </c>
      <c r="E1295" t="s">
        <v>418</v>
      </c>
      <c r="F1295" t="s">
        <v>6</v>
      </c>
      <c r="G1295" t="s">
        <v>130</v>
      </c>
      <c r="H1295" s="1">
        <v>46130</v>
      </c>
      <c r="I1295" t="s">
        <v>7853</v>
      </c>
      <c r="J1295" t="s">
        <v>7854</v>
      </c>
      <c r="K1295" t="s">
        <v>2066</v>
      </c>
      <c r="L1295" t="s">
        <v>622</v>
      </c>
      <c r="M1295" t="s">
        <v>1988</v>
      </c>
      <c r="N1295" s="166">
        <v>19.600000000000001</v>
      </c>
      <c r="O1295" t="s">
        <v>131</v>
      </c>
    </row>
    <row r="1296" spans="1:15">
      <c r="A1296" s="166" t="s">
        <v>7855</v>
      </c>
      <c r="B1296" t="s">
        <v>111</v>
      </c>
      <c r="C1296" t="s">
        <v>134</v>
      </c>
      <c r="D1296" t="s">
        <v>116</v>
      </c>
      <c r="E1296" t="s">
        <v>418</v>
      </c>
      <c r="F1296" t="s">
        <v>6</v>
      </c>
      <c r="G1296" t="s">
        <v>130</v>
      </c>
      <c r="H1296" s="1">
        <v>46130</v>
      </c>
      <c r="I1296" t="s">
        <v>7856</v>
      </c>
      <c r="J1296" t="s">
        <v>7857</v>
      </c>
      <c r="K1296" t="s">
        <v>210</v>
      </c>
      <c r="L1296" t="s">
        <v>1072</v>
      </c>
      <c r="M1296" t="s">
        <v>3024</v>
      </c>
      <c r="N1296" s="166">
        <v>20.56</v>
      </c>
      <c r="O1296" t="s">
        <v>131</v>
      </c>
    </row>
    <row r="1297" spans="1:15">
      <c r="A1297" s="166" t="s">
        <v>7858</v>
      </c>
      <c r="B1297" t="s">
        <v>111</v>
      </c>
      <c r="C1297" t="s">
        <v>641</v>
      </c>
      <c r="D1297" t="s">
        <v>116</v>
      </c>
      <c r="E1297" t="s">
        <v>418</v>
      </c>
      <c r="F1297" t="s">
        <v>6</v>
      </c>
      <c r="G1297" t="s">
        <v>130</v>
      </c>
      <c r="H1297" s="1">
        <v>46130</v>
      </c>
      <c r="I1297" t="s">
        <v>7859</v>
      </c>
      <c r="J1297" t="s">
        <v>7860</v>
      </c>
      <c r="K1297" t="s">
        <v>600</v>
      </c>
      <c r="L1297" t="s">
        <v>3129</v>
      </c>
      <c r="M1297" t="s">
        <v>1583</v>
      </c>
      <c r="N1297" s="166">
        <v>20.22</v>
      </c>
      <c r="O1297" t="s">
        <v>131</v>
      </c>
    </row>
    <row r="1298" spans="1:15">
      <c r="A1298" s="166" t="s">
        <v>7861</v>
      </c>
      <c r="B1298" t="s">
        <v>111</v>
      </c>
      <c r="C1298" t="s">
        <v>406</v>
      </c>
      <c r="D1298" t="s">
        <v>116</v>
      </c>
      <c r="E1298" t="s">
        <v>418</v>
      </c>
      <c r="F1298" t="s">
        <v>6</v>
      </c>
      <c r="G1298" t="s">
        <v>130</v>
      </c>
      <c r="H1298" s="1">
        <v>46130</v>
      </c>
      <c r="I1298" t="s">
        <v>7862</v>
      </c>
      <c r="J1298" t="s">
        <v>7863</v>
      </c>
      <c r="K1298" t="s">
        <v>1451</v>
      </c>
      <c r="L1298" t="s">
        <v>1109</v>
      </c>
      <c r="M1298" t="s">
        <v>233</v>
      </c>
      <c r="N1298" s="166">
        <v>23.12</v>
      </c>
      <c r="O1298" t="s">
        <v>131</v>
      </c>
    </row>
    <row r="1299" spans="1:15">
      <c r="A1299" s="166" t="s">
        <v>7864</v>
      </c>
      <c r="B1299" t="s">
        <v>111</v>
      </c>
      <c r="C1299" t="s">
        <v>133</v>
      </c>
      <c r="D1299" t="s">
        <v>116</v>
      </c>
      <c r="E1299" t="s">
        <v>418</v>
      </c>
      <c r="F1299" t="s">
        <v>6</v>
      </c>
      <c r="G1299" t="s">
        <v>130</v>
      </c>
      <c r="H1299" s="1">
        <v>46130</v>
      </c>
      <c r="I1299" t="s">
        <v>7865</v>
      </c>
      <c r="J1299" t="s">
        <v>7866</v>
      </c>
      <c r="K1299" t="s">
        <v>4312</v>
      </c>
      <c r="L1299" t="s">
        <v>801</v>
      </c>
      <c r="M1299" t="s">
        <v>2359</v>
      </c>
      <c r="N1299" s="166">
        <v>22.48</v>
      </c>
      <c r="O1299" t="s">
        <v>131</v>
      </c>
    </row>
    <row r="1300" spans="1:15">
      <c r="A1300" s="166" t="s">
        <v>7867</v>
      </c>
      <c r="B1300" t="s">
        <v>111</v>
      </c>
      <c r="C1300" t="s">
        <v>134</v>
      </c>
      <c r="D1300" t="s">
        <v>116</v>
      </c>
      <c r="E1300" t="s">
        <v>418</v>
      </c>
      <c r="F1300" t="s">
        <v>6</v>
      </c>
      <c r="G1300" t="s">
        <v>130</v>
      </c>
      <c r="H1300" s="1">
        <v>46130</v>
      </c>
      <c r="I1300" t="s">
        <v>7868</v>
      </c>
      <c r="J1300" t="s">
        <v>7869</v>
      </c>
      <c r="K1300" t="s">
        <v>2638</v>
      </c>
      <c r="L1300" t="s">
        <v>486</v>
      </c>
      <c r="M1300" t="s">
        <v>1456</v>
      </c>
      <c r="N1300" s="166">
        <v>21.78</v>
      </c>
      <c r="O1300" t="s">
        <v>131</v>
      </c>
    </row>
    <row r="1301" spans="1:15">
      <c r="A1301" s="166" t="s">
        <v>7870</v>
      </c>
      <c r="B1301" t="s">
        <v>111</v>
      </c>
      <c r="C1301" t="s">
        <v>641</v>
      </c>
      <c r="D1301" t="s">
        <v>116</v>
      </c>
      <c r="E1301" t="s">
        <v>418</v>
      </c>
      <c r="F1301" t="s">
        <v>6</v>
      </c>
      <c r="G1301" t="s">
        <v>130</v>
      </c>
      <c r="H1301" s="1">
        <v>46130</v>
      </c>
      <c r="I1301" t="s">
        <v>7871</v>
      </c>
      <c r="J1301" t="s">
        <v>7872</v>
      </c>
      <c r="K1301" t="s">
        <v>2050</v>
      </c>
      <c r="L1301" t="s">
        <v>622</v>
      </c>
      <c r="M1301" t="s">
        <v>1338</v>
      </c>
      <c r="N1301" s="166">
        <v>19.84</v>
      </c>
      <c r="O1301" t="s">
        <v>131</v>
      </c>
    </row>
    <row r="1302" spans="1:15">
      <c r="A1302" s="166" t="s">
        <v>7873</v>
      </c>
      <c r="B1302" t="s">
        <v>111</v>
      </c>
      <c r="C1302" t="s">
        <v>406</v>
      </c>
      <c r="D1302" t="s">
        <v>116</v>
      </c>
      <c r="E1302" t="s">
        <v>418</v>
      </c>
      <c r="F1302" t="s">
        <v>6</v>
      </c>
      <c r="G1302" t="s">
        <v>130</v>
      </c>
      <c r="H1302" s="1">
        <v>46130</v>
      </c>
      <c r="I1302" t="s">
        <v>7874</v>
      </c>
      <c r="J1302" t="s">
        <v>7875</v>
      </c>
      <c r="K1302" t="s">
        <v>3357</v>
      </c>
      <c r="L1302" t="s">
        <v>622</v>
      </c>
      <c r="M1302" t="s">
        <v>145</v>
      </c>
      <c r="N1302" s="166">
        <v>21.3</v>
      </c>
      <c r="O1302" t="s">
        <v>131</v>
      </c>
    </row>
    <row r="1303" spans="1:15">
      <c r="A1303" s="166" t="s">
        <v>7876</v>
      </c>
      <c r="B1303" t="s">
        <v>111</v>
      </c>
      <c r="C1303" t="s">
        <v>133</v>
      </c>
      <c r="D1303" t="s">
        <v>116</v>
      </c>
      <c r="E1303" t="s">
        <v>418</v>
      </c>
      <c r="F1303" t="s">
        <v>6</v>
      </c>
      <c r="G1303" t="s">
        <v>130</v>
      </c>
      <c r="H1303" s="1">
        <v>46130</v>
      </c>
      <c r="I1303" t="s">
        <v>7877</v>
      </c>
      <c r="J1303" t="s">
        <v>7878</v>
      </c>
      <c r="K1303" t="s">
        <v>178</v>
      </c>
      <c r="L1303" t="s">
        <v>801</v>
      </c>
      <c r="M1303" t="s">
        <v>1286</v>
      </c>
      <c r="N1303" s="166">
        <v>19.64</v>
      </c>
      <c r="O1303" t="s">
        <v>131</v>
      </c>
    </row>
    <row r="1304" spans="1:15">
      <c r="A1304" s="166" t="s">
        <v>3546</v>
      </c>
      <c r="B1304" t="s">
        <v>111</v>
      </c>
      <c r="C1304" t="s">
        <v>134</v>
      </c>
      <c r="D1304" t="s">
        <v>116</v>
      </c>
      <c r="E1304" t="s">
        <v>418</v>
      </c>
      <c r="F1304" t="s">
        <v>6</v>
      </c>
      <c r="G1304" t="s">
        <v>130</v>
      </c>
      <c r="H1304" s="1">
        <v>46130</v>
      </c>
      <c r="I1304" t="s">
        <v>7879</v>
      </c>
      <c r="J1304" t="s">
        <v>7880</v>
      </c>
      <c r="K1304" t="s">
        <v>1094</v>
      </c>
      <c r="L1304" t="s">
        <v>730</v>
      </c>
      <c r="M1304" t="s">
        <v>2359</v>
      </c>
      <c r="N1304" s="166">
        <v>22.48</v>
      </c>
      <c r="O1304" t="s">
        <v>131</v>
      </c>
    </row>
    <row r="1305" spans="1:15">
      <c r="A1305" s="166" t="s">
        <v>7881</v>
      </c>
      <c r="B1305" t="s">
        <v>111</v>
      </c>
      <c r="C1305" t="s">
        <v>641</v>
      </c>
      <c r="D1305" t="s">
        <v>116</v>
      </c>
      <c r="E1305" t="s">
        <v>418</v>
      </c>
      <c r="F1305" t="s">
        <v>6</v>
      </c>
      <c r="G1305" t="s">
        <v>130</v>
      </c>
      <c r="H1305" s="1">
        <v>46130</v>
      </c>
      <c r="I1305" t="s">
        <v>7882</v>
      </c>
      <c r="J1305" t="s">
        <v>7883</v>
      </c>
      <c r="K1305" t="s">
        <v>800</v>
      </c>
      <c r="L1305" t="s">
        <v>633</v>
      </c>
      <c r="M1305" t="s">
        <v>3623</v>
      </c>
      <c r="N1305" s="166">
        <v>23.3</v>
      </c>
      <c r="O1305" t="s">
        <v>131</v>
      </c>
    </row>
    <row r="1306" spans="1:15">
      <c r="A1306" s="166" t="s">
        <v>7884</v>
      </c>
      <c r="B1306" t="s">
        <v>111</v>
      </c>
      <c r="C1306" t="s">
        <v>406</v>
      </c>
      <c r="D1306" t="s">
        <v>116</v>
      </c>
      <c r="E1306" t="s">
        <v>418</v>
      </c>
      <c r="F1306" t="s">
        <v>6</v>
      </c>
      <c r="G1306" t="s">
        <v>130</v>
      </c>
      <c r="H1306" s="1">
        <v>46130</v>
      </c>
      <c r="I1306" t="s">
        <v>7885</v>
      </c>
      <c r="J1306" t="s">
        <v>7886</v>
      </c>
      <c r="K1306" t="s">
        <v>1627</v>
      </c>
      <c r="L1306" t="s">
        <v>1503</v>
      </c>
      <c r="M1306" t="s">
        <v>666</v>
      </c>
      <c r="N1306" s="166">
        <v>23.6</v>
      </c>
      <c r="O1306" t="s">
        <v>131</v>
      </c>
    </row>
    <row r="1307" spans="1:15">
      <c r="A1307" s="166" t="s">
        <v>7887</v>
      </c>
      <c r="B1307" t="s">
        <v>111</v>
      </c>
      <c r="C1307" t="s">
        <v>134</v>
      </c>
      <c r="D1307" t="s">
        <v>116</v>
      </c>
      <c r="E1307" t="s">
        <v>418</v>
      </c>
      <c r="F1307" t="s">
        <v>6</v>
      </c>
      <c r="G1307" t="s">
        <v>130</v>
      </c>
      <c r="H1307" s="1">
        <v>46130</v>
      </c>
      <c r="I1307" t="s">
        <v>7888</v>
      </c>
      <c r="J1307" t="s">
        <v>7889</v>
      </c>
      <c r="K1307" t="s">
        <v>191</v>
      </c>
      <c r="L1307" t="s">
        <v>162</v>
      </c>
      <c r="M1307" t="s">
        <v>556</v>
      </c>
      <c r="N1307" s="166">
        <v>22.44</v>
      </c>
      <c r="O1307" t="s">
        <v>131</v>
      </c>
    </row>
    <row r="1308" spans="1:15">
      <c r="A1308" s="166" t="s">
        <v>7890</v>
      </c>
      <c r="B1308" t="s">
        <v>111</v>
      </c>
      <c r="C1308" t="s">
        <v>641</v>
      </c>
      <c r="D1308" t="s">
        <v>116</v>
      </c>
      <c r="E1308" t="s">
        <v>418</v>
      </c>
      <c r="F1308" t="s">
        <v>6</v>
      </c>
      <c r="G1308" t="s">
        <v>130</v>
      </c>
      <c r="H1308" s="1">
        <v>46130</v>
      </c>
      <c r="I1308" t="s">
        <v>7891</v>
      </c>
      <c r="J1308" t="s">
        <v>7892</v>
      </c>
      <c r="K1308" t="s">
        <v>160</v>
      </c>
      <c r="L1308" t="s">
        <v>492</v>
      </c>
      <c r="M1308" t="s">
        <v>1595</v>
      </c>
      <c r="N1308" s="166">
        <v>23.14</v>
      </c>
      <c r="O1308" t="s">
        <v>131</v>
      </c>
    </row>
    <row r="1309" spans="1:15">
      <c r="A1309" s="166" t="s">
        <v>7893</v>
      </c>
      <c r="B1309" t="s">
        <v>111</v>
      </c>
      <c r="C1309" t="s">
        <v>406</v>
      </c>
      <c r="D1309" t="s">
        <v>116</v>
      </c>
      <c r="E1309" t="s">
        <v>418</v>
      </c>
      <c r="F1309" t="s">
        <v>6</v>
      </c>
      <c r="G1309" t="s">
        <v>130</v>
      </c>
      <c r="H1309" s="1">
        <v>46130</v>
      </c>
      <c r="I1309" t="s">
        <v>7894</v>
      </c>
      <c r="J1309" t="s">
        <v>7895</v>
      </c>
      <c r="K1309" t="s">
        <v>589</v>
      </c>
      <c r="L1309" t="s">
        <v>989</v>
      </c>
      <c r="M1309" t="s">
        <v>4732</v>
      </c>
      <c r="N1309" s="166">
        <v>22.12</v>
      </c>
      <c r="O1309" t="s">
        <v>131</v>
      </c>
    </row>
    <row r="1310" spans="1:15">
      <c r="A1310" s="166" t="s">
        <v>7896</v>
      </c>
      <c r="B1310" t="s">
        <v>111</v>
      </c>
      <c r="C1310" t="s">
        <v>134</v>
      </c>
      <c r="D1310" t="s">
        <v>116</v>
      </c>
      <c r="E1310" t="s">
        <v>418</v>
      </c>
      <c r="F1310" t="s">
        <v>6</v>
      </c>
      <c r="G1310" t="s">
        <v>130</v>
      </c>
      <c r="H1310" s="1">
        <v>46130</v>
      </c>
      <c r="I1310" t="s">
        <v>7897</v>
      </c>
      <c r="J1310" t="s">
        <v>7898</v>
      </c>
      <c r="K1310" t="s">
        <v>4590</v>
      </c>
      <c r="L1310" t="s">
        <v>3295</v>
      </c>
      <c r="M1310" t="s">
        <v>3623</v>
      </c>
      <c r="N1310" s="166">
        <v>23.3</v>
      </c>
      <c r="O1310" t="s">
        <v>131</v>
      </c>
    </row>
    <row r="1311" spans="1:15">
      <c r="A1311" s="166" t="s">
        <v>7899</v>
      </c>
      <c r="B1311" t="s">
        <v>111</v>
      </c>
      <c r="C1311" t="s">
        <v>406</v>
      </c>
      <c r="D1311" t="s">
        <v>116</v>
      </c>
      <c r="E1311" t="s">
        <v>418</v>
      </c>
      <c r="F1311" t="s">
        <v>6</v>
      </c>
      <c r="G1311" t="s">
        <v>130</v>
      </c>
      <c r="H1311" s="1">
        <v>46130</v>
      </c>
      <c r="I1311" t="s">
        <v>7900</v>
      </c>
      <c r="J1311" t="s">
        <v>7901</v>
      </c>
      <c r="K1311" t="s">
        <v>4312</v>
      </c>
      <c r="L1311" t="s">
        <v>1503</v>
      </c>
      <c r="M1311" t="s">
        <v>5141</v>
      </c>
      <c r="N1311" s="166">
        <v>22.88</v>
      </c>
      <c r="O1311" t="s">
        <v>131</v>
      </c>
    </row>
    <row r="1312" spans="1:15">
      <c r="A1312" s="166" t="s">
        <v>7902</v>
      </c>
      <c r="B1312" t="s">
        <v>111</v>
      </c>
      <c r="C1312" t="s">
        <v>133</v>
      </c>
      <c r="D1312" t="s">
        <v>116</v>
      </c>
      <c r="E1312" t="s">
        <v>418</v>
      </c>
      <c r="F1312" t="s">
        <v>6</v>
      </c>
      <c r="G1312" t="s">
        <v>130</v>
      </c>
      <c r="H1312" s="1">
        <v>46130</v>
      </c>
      <c r="I1312" t="s">
        <v>7903</v>
      </c>
      <c r="J1312" t="s">
        <v>7904</v>
      </c>
      <c r="K1312" t="s">
        <v>1222</v>
      </c>
      <c r="L1312" t="s">
        <v>193</v>
      </c>
      <c r="M1312" t="s">
        <v>3814</v>
      </c>
      <c r="N1312" s="166">
        <v>22.08</v>
      </c>
      <c r="O1312" t="s">
        <v>131</v>
      </c>
    </row>
    <row r="1313" spans="1:15">
      <c r="A1313" s="166" t="s">
        <v>7905</v>
      </c>
      <c r="B1313" t="s">
        <v>111</v>
      </c>
      <c r="C1313" t="s">
        <v>641</v>
      </c>
      <c r="D1313" t="s">
        <v>116</v>
      </c>
      <c r="E1313" t="s">
        <v>418</v>
      </c>
      <c r="F1313" t="s">
        <v>6</v>
      </c>
      <c r="G1313" t="s">
        <v>130</v>
      </c>
      <c r="H1313" s="1">
        <v>46130</v>
      </c>
      <c r="I1313" t="s">
        <v>7906</v>
      </c>
      <c r="J1313" t="s">
        <v>7907</v>
      </c>
      <c r="K1313" t="s">
        <v>2079</v>
      </c>
      <c r="L1313" t="s">
        <v>584</v>
      </c>
      <c r="M1313" t="s">
        <v>1164</v>
      </c>
      <c r="N1313" s="166">
        <v>22.46</v>
      </c>
      <c r="O1313" t="s">
        <v>131</v>
      </c>
    </row>
    <row r="1314" spans="1:15">
      <c r="A1314" s="166" t="s">
        <v>7908</v>
      </c>
      <c r="B1314" t="s">
        <v>111</v>
      </c>
      <c r="C1314" t="s">
        <v>134</v>
      </c>
      <c r="D1314" t="s">
        <v>116</v>
      </c>
      <c r="E1314" t="s">
        <v>418</v>
      </c>
      <c r="F1314" t="s">
        <v>6</v>
      </c>
      <c r="G1314" t="s">
        <v>130</v>
      </c>
      <c r="H1314" s="1">
        <v>46130</v>
      </c>
      <c r="I1314" t="s">
        <v>7909</v>
      </c>
      <c r="J1314" t="s">
        <v>7910</v>
      </c>
      <c r="K1314" t="s">
        <v>4851</v>
      </c>
      <c r="L1314" t="s">
        <v>2678</v>
      </c>
      <c r="M1314" t="s">
        <v>5535</v>
      </c>
      <c r="N1314" s="166">
        <v>23.36</v>
      </c>
      <c r="O1314" t="s">
        <v>131</v>
      </c>
    </row>
    <row r="1315" spans="1:15">
      <c r="A1315" s="166" t="s">
        <v>7911</v>
      </c>
      <c r="B1315" t="s">
        <v>111</v>
      </c>
      <c r="C1315" t="s">
        <v>134</v>
      </c>
      <c r="D1315" t="s">
        <v>116</v>
      </c>
      <c r="E1315" t="s">
        <v>418</v>
      </c>
      <c r="F1315" t="s">
        <v>7</v>
      </c>
      <c r="G1315" t="s">
        <v>130</v>
      </c>
      <c r="H1315" s="1">
        <v>46130</v>
      </c>
      <c r="I1315" t="s">
        <v>7912</v>
      </c>
      <c r="J1315" t="s">
        <v>7913</v>
      </c>
      <c r="K1315" t="s">
        <v>1793</v>
      </c>
      <c r="L1315" t="s">
        <v>720</v>
      </c>
      <c r="M1315" t="s">
        <v>3159</v>
      </c>
      <c r="N1315" s="166">
        <v>21.4</v>
      </c>
      <c r="O1315" t="s">
        <v>131</v>
      </c>
    </row>
    <row r="1316" spans="1:15">
      <c r="A1316" s="166" t="s">
        <v>7914</v>
      </c>
      <c r="B1316" t="s">
        <v>111</v>
      </c>
      <c r="C1316" t="s">
        <v>406</v>
      </c>
      <c r="D1316" t="s">
        <v>116</v>
      </c>
      <c r="E1316" t="s">
        <v>418</v>
      </c>
      <c r="F1316" t="s">
        <v>7</v>
      </c>
      <c r="G1316" t="s">
        <v>130</v>
      </c>
      <c r="H1316" s="1">
        <v>46130</v>
      </c>
      <c r="I1316" t="s">
        <v>7915</v>
      </c>
      <c r="J1316" t="s">
        <v>7916</v>
      </c>
      <c r="K1316" t="s">
        <v>3524</v>
      </c>
      <c r="L1316" t="s">
        <v>720</v>
      </c>
      <c r="M1316" t="s">
        <v>861</v>
      </c>
      <c r="N1316" s="166">
        <v>21.84</v>
      </c>
      <c r="O1316" t="s">
        <v>131</v>
      </c>
    </row>
    <row r="1317" spans="1:15">
      <c r="A1317" s="166" t="s">
        <v>7917</v>
      </c>
      <c r="B1317" t="s">
        <v>111</v>
      </c>
      <c r="C1317" t="s">
        <v>133</v>
      </c>
      <c r="D1317" t="s">
        <v>116</v>
      </c>
      <c r="E1317" t="s">
        <v>418</v>
      </c>
      <c r="F1317" t="s">
        <v>7</v>
      </c>
      <c r="G1317" t="s">
        <v>130</v>
      </c>
      <c r="H1317" s="1">
        <v>46130</v>
      </c>
      <c r="I1317" t="s">
        <v>7918</v>
      </c>
      <c r="J1317" t="s">
        <v>7919</v>
      </c>
      <c r="K1317" t="s">
        <v>1999</v>
      </c>
      <c r="L1317" t="s">
        <v>714</v>
      </c>
      <c r="M1317" t="s">
        <v>665</v>
      </c>
      <c r="N1317" s="166">
        <v>15.48</v>
      </c>
      <c r="O1317" t="s">
        <v>131</v>
      </c>
    </row>
    <row r="1318" spans="1:15">
      <c r="A1318" s="166" t="s">
        <v>7920</v>
      </c>
      <c r="B1318" t="s">
        <v>111</v>
      </c>
      <c r="C1318" t="s">
        <v>134</v>
      </c>
      <c r="D1318" t="s">
        <v>116</v>
      </c>
      <c r="E1318" t="s">
        <v>418</v>
      </c>
      <c r="F1318" t="s">
        <v>7</v>
      </c>
      <c r="G1318" t="s">
        <v>130</v>
      </c>
      <c r="H1318" s="1">
        <v>46130</v>
      </c>
      <c r="I1318" t="s">
        <v>7921</v>
      </c>
      <c r="J1318" t="s">
        <v>7922</v>
      </c>
      <c r="K1318" t="s">
        <v>6117</v>
      </c>
      <c r="L1318" t="s">
        <v>622</v>
      </c>
      <c r="M1318" t="s">
        <v>186</v>
      </c>
      <c r="N1318" s="166">
        <v>23.58</v>
      </c>
      <c r="O1318" t="s">
        <v>131</v>
      </c>
    </row>
    <row r="1319" spans="1:15">
      <c r="A1319" s="166" t="s">
        <v>7923</v>
      </c>
      <c r="B1319" t="s">
        <v>111</v>
      </c>
      <c r="C1319" t="s">
        <v>406</v>
      </c>
      <c r="D1319" t="s">
        <v>116</v>
      </c>
      <c r="E1319" t="s">
        <v>418</v>
      </c>
      <c r="F1319" t="s">
        <v>7</v>
      </c>
      <c r="G1319" t="s">
        <v>130</v>
      </c>
      <c r="H1319" s="1">
        <v>46130</v>
      </c>
      <c r="I1319" t="s">
        <v>7924</v>
      </c>
      <c r="J1319" t="s">
        <v>7925</v>
      </c>
      <c r="K1319" t="s">
        <v>1965</v>
      </c>
      <c r="L1319" t="s">
        <v>149</v>
      </c>
      <c r="M1319" t="s">
        <v>2406</v>
      </c>
      <c r="N1319" s="166">
        <v>20.12</v>
      </c>
      <c r="O1319" t="s">
        <v>131</v>
      </c>
    </row>
    <row r="1320" spans="1:15">
      <c r="A1320" s="166" t="s">
        <v>7926</v>
      </c>
      <c r="B1320" t="s">
        <v>111</v>
      </c>
      <c r="C1320" t="s">
        <v>135</v>
      </c>
      <c r="D1320" t="s">
        <v>116</v>
      </c>
      <c r="E1320" t="s">
        <v>418</v>
      </c>
      <c r="F1320" t="s">
        <v>7</v>
      </c>
      <c r="G1320" t="s">
        <v>130</v>
      </c>
      <c r="H1320" s="1">
        <v>46130</v>
      </c>
      <c r="I1320" t="s">
        <v>7927</v>
      </c>
      <c r="J1320" t="s">
        <v>7928</v>
      </c>
      <c r="K1320" t="s">
        <v>5707</v>
      </c>
      <c r="L1320" t="s">
        <v>622</v>
      </c>
      <c r="M1320" t="s">
        <v>5753</v>
      </c>
      <c r="N1320" s="166">
        <v>21.58</v>
      </c>
      <c r="O1320" t="s">
        <v>131</v>
      </c>
    </row>
    <row r="1321" spans="1:15">
      <c r="A1321" s="166" t="s">
        <v>7929</v>
      </c>
      <c r="B1321" t="s">
        <v>111</v>
      </c>
      <c r="C1321" t="s">
        <v>133</v>
      </c>
      <c r="D1321" t="s">
        <v>116</v>
      </c>
      <c r="E1321" t="s">
        <v>418</v>
      </c>
      <c r="F1321" t="s">
        <v>7</v>
      </c>
      <c r="G1321" t="s">
        <v>130</v>
      </c>
      <c r="H1321" s="1">
        <v>46130</v>
      </c>
      <c r="I1321" t="s">
        <v>7930</v>
      </c>
      <c r="J1321" t="s">
        <v>7931</v>
      </c>
      <c r="K1321" t="s">
        <v>1536</v>
      </c>
      <c r="L1321" t="s">
        <v>687</v>
      </c>
      <c r="M1321" t="s">
        <v>1244</v>
      </c>
      <c r="N1321" s="166">
        <v>21.8</v>
      </c>
      <c r="O1321" t="s">
        <v>131</v>
      </c>
    </row>
    <row r="1322" spans="1:15">
      <c r="A1322" s="166" t="s">
        <v>7932</v>
      </c>
      <c r="B1322" t="s">
        <v>111</v>
      </c>
      <c r="C1322" t="s">
        <v>134</v>
      </c>
      <c r="D1322" t="s">
        <v>116</v>
      </c>
      <c r="E1322" t="s">
        <v>418</v>
      </c>
      <c r="F1322" t="s">
        <v>7</v>
      </c>
      <c r="G1322" t="s">
        <v>130</v>
      </c>
      <c r="H1322" s="1">
        <v>46130</v>
      </c>
      <c r="I1322" t="s">
        <v>7933</v>
      </c>
      <c r="J1322" t="s">
        <v>7934</v>
      </c>
      <c r="K1322" t="s">
        <v>4119</v>
      </c>
      <c r="L1322" t="s">
        <v>1072</v>
      </c>
      <c r="M1322" t="s">
        <v>3361</v>
      </c>
      <c r="N1322" s="166">
        <v>21.96</v>
      </c>
      <c r="O1322" t="s">
        <v>131</v>
      </c>
    </row>
    <row r="1323" spans="1:15">
      <c r="A1323" s="166" t="s">
        <v>7935</v>
      </c>
      <c r="B1323" t="s">
        <v>111</v>
      </c>
      <c r="C1323" t="s">
        <v>406</v>
      </c>
      <c r="D1323" t="s">
        <v>116</v>
      </c>
      <c r="E1323" t="s">
        <v>418</v>
      </c>
      <c r="F1323" t="s">
        <v>7</v>
      </c>
      <c r="G1323" t="s">
        <v>130</v>
      </c>
      <c r="H1323" s="1">
        <v>46130</v>
      </c>
      <c r="I1323" t="s">
        <v>7936</v>
      </c>
      <c r="J1323" t="s">
        <v>7937</v>
      </c>
      <c r="K1323" t="s">
        <v>1880</v>
      </c>
      <c r="L1323" t="s">
        <v>622</v>
      </c>
      <c r="M1323" t="s">
        <v>579</v>
      </c>
      <c r="N1323" s="166">
        <v>21.22</v>
      </c>
      <c r="O1323" t="s">
        <v>131</v>
      </c>
    </row>
    <row r="1324" spans="1:15">
      <c r="A1324" s="166" t="s">
        <v>3538</v>
      </c>
      <c r="B1324" t="s">
        <v>111</v>
      </c>
      <c r="C1324" t="s">
        <v>135</v>
      </c>
      <c r="D1324" t="s">
        <v>116</v>
      </c>
      <c r="E1324" t="s">
        <v>418</v>
      </c>
      <c r="F1324" t="s">
        <v>7</v>
      </c>
      <c r="G1324" t="s">
        <v>130</v>
      </c>
      <c r="H1324" s="1">
        <v>46130</v>
      </c>
      <c r="I1324" t="s">
        <v>7938</v>
      </c>
      <c r="J1324" t="s">
        <v>7939</v>
      </c>
      <c r="K1324" t="s">
        <v>600</v>
      </c>
      <c r="L1324" t="s">
        <v>1072</v>
      </c>
      <c r="M1324" t="s">
        <v>541</v>
      </c>
      <c r="N1324" s="166">
        <v>21.18</v>
      </c>
      <c r="O1324" t="s">
        <v>131</v>
      </c>
    </row>
    <row r="1325" spans="1:15">
      <c r="A1325" s="166" t="s">
        <v>7940</v>
      </c>
      <c r="B1325" t="s">
        <v>111</v>
      </c>
      <c r="C1325" t="s">
        <v>133</v>
      </c>
      <c r="D1325" t="s">
        <v>116</v>
      </c>
      <c r="E1325" t="s">
        <v>418</v>
      </c>
      <c r="F1325" t="s">
        <v>7</v>
      </c>
      <c r="G1325" t="s">
        <v>130</v>
      </c>
      <c r="H1325" s="1">
        <v>46130</v>
      </c>
      <c r="I1325" t="s">
        <v>7941</v>
      </c>
      <c r="J1325" t="s">
        <v>7942</v>
      </c>
      <c r="K1325" t="s">
        <v>167</v>
      </c>
      <c r="L1325" t="s">
        <v>772</v>
      </c>
      <c r="M1325" t="s">
        <v>1301</v>
      </c>
      <c r="N1325" s="166">
        <v>19.36</v>
      </c>
      <c r="O1325" t="s">
        <v>131</v>
      </c>
    </row>
    <row r="1326" spans="1:15">
      <c r="A1326" s="166" t="s">
        <v>7943</v>
      </c>
      <c r="B1326" t="s">
        <v>111</v>
      </c>
      <c r="C1326" t="s">
        <v>134</v>
      </c>
      <c r="D1326" t="s">
        <v>116</v>
      </c>
      <c r="E1326" t="s">
        <v>418</v>
      </c>
      <c r="F1326" t="s">
        <v>7</v>
      </c>
      <c r="G1326" t="s">
        <v>130</v>
      </c>
      <c r="H1326" s="1">
        <v>46130</v>
      </c>
      <c r="I1326" t="s">
        <v>7944</v>
      </c>
      <c r="J1326" t="s">
        <v>7945</v>
      </c>
      <c r="K1326" t="s">
        <v>2050</v>
      </c>
      <c r="L1326" t="s">
        <v>3517</v>
      </c>
      <c r="M1326" t="s">
        <v>1155</v>
      </c>
      <c r="N1326" s="166">
        <v>18.3</v>
      </c>
      <c r="O1326" t="s">
        <v>131</v>
      </c>
    </row>
    <row r="1327" spans="1:15">
      <c r="A1327" s="166" t="s">
        <v>7946</v>
      </c>
      <c r="B1327" t="s">
        <v>111</v>
      </c>
      <c r="C1327" t="s">
        <v>406</v>
      </c>
      <c r="D1327" t="s">
        <v>116</v>
      </c>
      <c r="E1327" t="s">
        <v>418</v>
      </c>
      <c r="F1327" t="s">
        <v>7</v>
      </c>
      <c r="G1327" t="s">
        <v>130</v>
      </c>
      <c r="H1327" s="1">
        <v>46130</v>
      </c>
      <c r="I1327" t="s">
        <v>7947</v>
      </c>
      <c r="J1327" t="s">
        <v>7948</v>
      </c>
      <c r="K1327" t="s">
        <v>1429</v>
      </c>
      <c r="L1327" t="s">
        <v>2034</v>
      </c>
      <c r="M1327" t="s">
        <v>2549</v>
      </c>
      <c r="N1327" s="166">
        <v>17.04</v>
      </c>
      <c r="O1327" t="s">
        <v>131</v>
      </c>
    </row>
    <row r="1328" spans="1:15">
      <c r="A1328" s="166" t="s">
        <v>7949</v>
      </c>
      <c r="B1328" t="s">
        <v>111</v>
      </c>
      <c r="C1328" t="s">
        <v>135</v>
      </c>
      <c r="D1328" t="s">
        <v>116</v>
      </c>
      <c r="E1328" t="s">
        <v>418</v>
      </c>
      <c r="F1328" t="s">
        <v>7</v>
      </c>
      <c r="G1328" t="s">
        <v>130</v>
      </c>
      <c r="H1328" s="1">
        <v>46130</v>
      </c>
      <c r="I1328" t="s">
        <v>7950</v>
      </c>
      <c r="J1328" t="s">
        <v>7951</v>
      </c>
      <c r="K1328" t="s">
        <v>414</v>
      </c>
      <c r="L1328" t="s">
        <v>1845</v>
      </c>
      <c r="M1328" t="s">
        <v>2034</v>
      </c>
      <c r="N1328" s="166">
        <v>17.72</v>
      </c>
      <c r="O1328" t="s">
        <v>131</v>
      </c>
    </row>
    <row r="1329" spans="1:15">
      <c r="A1329" s="166" t="s">
        <v>7952</v>
      </c>
      <c r="B1329" t="s">
        <v>111</v>
      </c>
      <c r="C1329" t="s">
        <v>133</v>
      </c>
      <c r="D1329" t="s">
        <v>116</v>
      </c>
      <c r="E1329" t="s">
        <v>418</v>
      </c>
      <c r="F1329" t="s">
        <v>7</v>
      </c>
      <c r="G1329" t="s">
        <v>130</v>
      </c>
      <c r="H1329" s="1">
        <v>46130</v>
      </c>
      <c r="I1329" t="s">
        <v>7953</v>
      </c>
      <c r="J1329" t="s">
        <v>7954</v>
      </c>
      <c r="K1329" t="s">
        <v>2942</v>
      </c>
      <c r="L1329" t="s">
        <v>1662</v>
      </c>
      <c r="M1329" t="s">
        <v>3666</v>
      </c>
      <c r="N1329" s="166">
        <v>24.12</v>
      </c>
      <c r="O1329" t="s">
        <v>131</v>
      </c>
    </row>
    <row r="1330" spans="1:15">
      <c r="A1330" s="166" t="s">
        <v>7955</v>
      </c>
      <c r="B1330" t="s">
        <v>111</v>
      </c>
      <c r="C1330" t="s">
        <v>134</v>
      </c>
      <c r="D1330" t="s">
        <v>116</v>
      </c>
      <c r="E1330" t="s">
        <v>418</v>
      </c>
      <c r="F1330" t="s">
        <v>7</v>
      </c>
      <c r="G1330" t="s">
        <v>130</v>
      </c>
      <c r="H1330" s="1">
        <v>46130</v>
      </c>
      <c r="I1330" t="s">
        <v>7956</v>
      </c>
      <c r="J1330" t="s">
        <v>7957</v>
      </c>
      <c r="K1330" t="s">
        <v>1107</v>
      </c>
      <c r="L1330" t="s">
        <v>162</v>
      </c>
      <c r="M1330" t="s">
        <v>2406</v>
      </c>
      <c r="N1330" s="166">
        <v>20.12</v>
      </c>
      <c r="O1330" t="s">
        <v>131</v>
      </c>
    </row>
    <row r="1331" spans="1:15">
      <c r="A1331" s="166" t="s">
        <v>7958</v>
      </c>
      <c r="B1331" t="s">
        <v>111</v>
      </c>
      <c r="C1331" t="s">
        <v>406</v>
      </c>
      <c r="D1331" t="s">
        <v>116</v>
      </c>
      <c r="E1331" t="s">
        <v>418</v>
      </c>
      <c r="F1331" t="s">
        <v>7</v>
      </c>
      <c r="G1331" t="s">
        <v>130</v>
      </c>
      <c r="H1331" s="1">
        <v>46130</v>
      </c>
      <c r="I1331" t="s">
        <v>7959</v>
      </c>
      <c r="J1331" t="s">
        <v>7960</v>
      </c>
      <c r="K1331" t="s">
        <v>627</v>
      </c>
      <c r="L1331" t="s">
        <v>761</v>
      </c>
      <c r="M1331" t="s">
        <v>2116</v>
      </c>
      <c r="N1331" s="166">
        <v>20.46</v>
      </c>
      <c r="O1331" t="s">
        <v>131</v>
      </c>
    </row>
    <row r="1332" spans="1:15">
      <c r="A1332" s="166" t="s">
        <v>7961</v>
      </c>
      <c r="B1332" t="s">
        <v>111</v>
      </c>
      <c r="C1332" t="s">
        <v>135</v>
      </c>
      <c r="D1332" t="s">
        <v>118</v>
      </c>
      <c r="E1332" t="s">
        <v>2618</v>
      </c>
      <c r="F1332" t="s">
        <v>7</v>
      </c>
      <c r="G1332" t="s">
        <v>130</v>
      </c>
      <c r="H1332" s="1">
        <v>46130</v>
      </c>
      <c r="I1332" t="s">
        <v>7962</v>
      </c>
      <c r="J1332" t="s">
        <v>7963</v>
      </c>
      <c r="K1332" t="s">
        <v>508</v>
      </c>
      <c r="L1332" t="s">
        <v>831</v>
      </c>
      <c r="M1332" t="s">
        <v>1595</v>
      </c>
      <c r="N1332" s="166">
        <v>23.14</v>
      </c>
      <c r="O1332" t="s">
        <v>131</v>
      </c>
    </row>
    <row r="1333" spans="1:15">
      <c r="A1333" s="166" t="s">
        <v>7964</v>
      </c>
      <c r="B1333" t="s">
        <v>111</v>
      </c>
      <c r="C1333" t="s">
        <v>133</v>
      </c>
      <c r="D1333" t="s">
        <v>118</v>
      </c>
      <c r="E1333" t="s">
        <v>2618</v>
      </c>
      <c r="F1333" t="s">
        <v>7</v>
      </c>
      <c r="G1333" t="s">
        <v>130</v>
      </c>
      <c r="H1333" s="1">
        <v>46130</v>
      </c>
      <c r="I1333" t="s">
        <v>7965</v>
      </c>
      <c r="J1333" t="s">
        <v>7966</v>
      </c>
      <c r="K1333" t="s">
        <v>2179</v>
      </c>
      <c r="L1333" t="s">
        <v>650</v>
      </c>
      <c r="M1333" t="s">
        <v>6807</v>
      </c>
      <c r="N1333" s="166">
        <v>21.74</v>
      </c>
      <c r="O1333" t="s">
        <v>131</v>
      </c>
    </row>
    <row r="1334" spans="1:15">
      <c r="A1334" s="166" t="s">
        <v>7967</v>
      </c>
      <c r="B1334" t="s">
        <v>111</v>
      </c>
      <c r="C1334" t="s">
        <v>406</v>
      </c>
      <c r="D1334" t="s">
        <v>118</v>
      </c>
      <c r="E1334" t="s">
        <v>2618</v>
      </c>
      <c r="F1334" t="s">
        <v>7</v>
      </c>
      <c r="G1334" t="s">
        <v>130</v>
      </c>
      <c r="H1334" s="1">
        <v>46130</v>
      </c>
      <c r="I1334" t="s">
        <v>7968</v>
      </c>
      <c r="J1334" t="s">
        <v>7969</v>
      </c>
      <c r="K1334" t="s">
        <v>2198</v>
      </c>
      <c r="L1334" t="s">
        <v>208</v>
      </c>
      <c r="M1334" t="s">
        <v>7428</v>
      </c>
      <c r="N1334" s="166">
        <v>23.44</v>
      </c>
      <c r="O1334" t="s">
        <v>131</v>
      </c>
    </row>
    <row r="1335" spans="1:15">
      <c r="A1335" s="166" t="s">
        <v>7970</v>
      </c>
      <c r="B1335" t="s">
        <v>111</v>
      </c>
      <c r="C1335" t="s">
        <v>136</v>
      </c>
      <c r="D1335" t="s">
        <v>118</v>
      </c>
      <c r="E1335" t="s">
        <v>139</v>
      </c>
      <c r="F1335" t="s">
        <v>7</v>
      </c>
      <c r="G1335" t="s">
        <v>130</v>
      </c>
      <c r="H1335" s="1">
        <v>46130</v>
      </c>
      <c r="I1335" t="s">
        <v>7971</v>
      </c>
      <c r="J1335" t="s">
        <v>7972</v>
      </c>
      <c r="K1335" t="s">
        <v>4381</v>
      </c>
      <c r="L1335" t="s">
        <v>2572</v>
      </c>
      <c r="M1335" t="s">
        <v>3145</v>
      </c>
      <c r="N1335" s="166">
        <v>21.54</v>
      </c>
      <c r="O1335" t="s">
        <v>131</v>
      </c>
    </row>
    <row r="1336" spans="1:15">
      <c r="A1336" s="166" t="s">
        <v>7973</v>
      </c>
      <c r="B1336" t="s">
        <v>111</v>
      </c>
      <c r="C1336" t="s">
        <v>134</v>
      </c>
      <c r="D1336" t="s">
        <v>118</v>
      </c>
      <c r="E1336" t="s">
        <v>139</v>
      </c>
      <c r="F1336" t="s">
        <v>7</v>
      </c>
      <c r="G1336" t="s">
        <v>130</v>
      </c>
      <c r="H1336" s="1">
        <v>46130</v>
      </c>
      <c r="I1336" t="s">
        <v>7974</v>
      </c>
      <c r="J1336" t="s">
        <v>7975</v>
      </c>
      <c r="K1336" t="s">
        <v>554</v>
      </c>
      <c r="L1336" t="s">
        <v>645</v>
      </c>
      <c r="M1336" t="s">
        <v>439</v>
      </c>
      <c r="N1336" s="166">
        <v>21.72</v>
      </c>
      <c r="O1336" t="s">
        <v>131</v>
      </c>
    </row>
    <row r="1337" spans="1:15">
      <c r="A1337" s="166" t="s">
        <v>7976</v>
      </c>
      <c r="B1337" t="s">
        <v>111</v>
      </c>
      <c r="C1337" t="s">
        <v>135</v>
      </c>
      <c r="D1337" t="s">
        <v>118</v>
      </c>
      <c r="E1337" t="s">
        <v>139</v>
      </c>
      <c r="F1337" t="s">
        <v>7</v>
      </c>
      <c r="G1337" t="s">
        <v>130</v>
      </c>
      <c r="H1337" s="1">
        <v>46130</v>
      </c>
      <c r="I1337" t="s">
        <v>7977</v>
      </c>
      <c r="J1337" t="s">
        <v>7978</v>
      </c>
      <c r="K1337" t="s">
        <v>2198</v>
      </c>
      <c r="L1337" t="s">
        <v>427</v>
      </c>
      <c r="M1337" t="s">
        <v>1718</v>
      </c>
      <c r="N1337" s="166">
        <v>23.92</v>
      </c>
      <c r="O1337" t="s">
        <v>131</v>
      </c>
    </row>
    <row r="1338" spans="1:15">
      <c r="A1338" s="166" t="s">
        <v>7979</v>
      </c>
      <c r="B1338" t="s">
        <v>111</v>
      </c>
      <c r="C1338" t="s">
        <v>136</v>
      </c>
      <c r="D1338" t="s">
        <v>118</v>
      </c>
      <c r="E1338" t="s">
        <v>139</v>
      </c>
      <c r="F1338" t="s">
        <v>7</v>
      </c>
      <c r="G1338" t="s">
        <v>130</v>
      </c>
      <c r="H1338" s="1">
        <v>46130</v>
      </c>
      <c r="I1338" t="s">
        <v>7980</v>
      </c>
      <c r="J1338" t="s">
        <v>7981</v>
      </c>
      <c r="K1338" t="s">
        <v>1451</v>
      </c>
      <c r="L1338" t="s">
        <v>3032</v>
      </c>
      <c r="M1338" t="s">
        <v>715</v>
      </c>
      <c r="N1338" s="166">
        <v>22.84</v>
      </c>
      <c r="O1338" t="s">
        <v>131</v>
      </c>
    </row>
    <row r="1339" spans="1:15">
      <c r="A1339" s="166" t="s">
        <v>7982</v>
      </c>
      <c r="B1339" t="s">
        <v>111</v>
      </c>
      <c r="C1339" t="s">
        <v>406</v>
      </c>
      <c r="D1339" t="s">
        <v>118</v>
      </c>
      <c r="E1339" t="s">
        <v>139</v>
      </c>
      <c r="F1339" t="s">
        <v>7</v>
      </c>
      <c r="G1339" t="s">
        <v>130</v>
      </c>
      <c r="H1339" s="1">
        <v>46130</v>
      </c>
      <c r="I1339" t="s">
        <v>7983</v>
      </c>
      <c r="J1339" t="s">
        <v>7984</v>
      </c>
      <c r="K1339" t="s">
        <v>5895</v>
      </c>
      <c r="L1339" t="s">
        <v>193</v>
      </c>
      <c r="M1339" t="s">
        <v>1830</v>
      </c>
      <c r="N1339" s="166">
        <v>18.52</v>
      </c>
      <c r="O1339" t="s">
        <v>131</v>
      </c>
    </row>
    <row r="1340" spans="1:15">
      <c r="A1340" s="166" t="s">
        <v>7985</v>
      </c>
      <c r="B1340" t="s">
        <v>111</v>
      </c>
      <c r="C1340" t="s">
        <v>134</v>
      </c>
      <c r="D1340" t="s">
        <v>118</v>
      </c>
      <c r="E1340" t="s">
        <v>139</v>
      </c>
      <c r="F1340" t="s">
        <v>7</v>
      </c>
      <c r="G1340" t="s">
        <v>130</v>
      </c>
      <c r="H1340" s="1">
        <v>46130</v>
      </c>
      <c r="I1340" t="s">
        <v>7986</v>
      </c>
      <c r="J1340" t="s">
        <v>7987</v>
      </c>
      <c r="K1340" t="s">
        <v>218</v>
      </c>
      <c r="L1340" t="s">
        <v>645</v>
      </c>
      <c r="M1340" t="s">
        <v>7988</v>
      </c>
      <c r="N1340" s="166">
        <v>24.4</v>
      </c>
      <c r="O1340" t="s">
        <v>131</v>
      </c>
    </row>
    <row r="1341" spans="1:15">
      <c r="A1341" s="166" t="s">
        <v>7989</v>
      </c>
      <c r="B1341" t="s">
        <v>111</v>
      </c>
      <c r="C1341" t="s">
        <v>135</v>
      </c>
      <c r="D1341" t="s">
        <v>118</v>
      </c>
      <c r="E1341" t="s">
        <v>139</v>
      </c>
      <c r="F1341" t="s">
        <v>7</v>
      </c>
      <c r="G1341" t="s">
        <v>130</v>
      </c>
      <c r="H1341" s="1">
        <v>46130</v>
      </c>
      <c r="I1341" t="s">
        <v>7990</v>
      </c>
      <c r="J1341" t="s">
        <v>7991</v>
      </c>
      <c r="K1341" t="s">
        <v>1327</v>
      </c>
      <c r="L1341" t="s">
        <v>155</v>
      </c>
      <c r="M1341" t="s">
        <v>1907</v>
      </c>
      <c r="N1341" s="166">
        <v>19.66</v>
      </c>
      <c r="O1341" t="s">
        <v>131</v>
      </c>
    </row>
    <row r="1342" spans="1:15">
      <c r="A1342" s="166" t="s">
        <v>7992</v>
      </c>
      <c r="B1342" t="s">
        <v>111</v>
      </c>
      <c r="C1342" t="s">
        <v>133</v>
      </c>
      <c r="D1342" t="s">
        <v>118</v>
      </c>
      <c r="E1342" t="s">
        <v>139</v>
      </c>
      <c r="F1342" t="s">
        <v>7</v>
      </c>
      <c r="G1342" t="s">
        <v>130</v>
      </c>
      <c r="H1342" s="1">
        <v>46130</v>
      </c>
      <c r="I1342" t="s">
        <v>7993</v>
      </c>
      <c r="J1342" t="s">
        <v>7994</v>
      </c>
      <c r="K1342" t="s">
        <v>177</v>
      </c>
      <c r="L1342" t="s">
        <v>149</v>
      </c>
      <c r="M1342" t="s">
        <v>2355</v>
      </c>
      <c r="N1342" s="166">
        <v>22.56</v>
      </c>
      <c r="O1342" t="s">
        <v>131</v>
      </c>
    </row>
    <row r="1343" spans="1:15">
      <c r="A1343" s="166" t="s">
        <v>7995</v>
      </c>
      <c r="B1343" t="s">
        <v>111</v>
      </c>
      <c r="C1343" t="s">
        <v>136</v>
      </c>
      <c r="D1343" t="s">
        <v>118</v>
      </c>
      <c r="E1343" t="s">
        <v>139</v>
      </c>
      <c r="F1343" t="s">
        <v>7</v>
      </c>
      <c r="G1343" t="s">
        <v>130</v>
      </c>
      <c r="H1343" s="1">
        <v>46130</v>
      </c>
      <c r="I1343" t="s">
        <v>7996</v>
      </c>
      <c r="J1343" t="s">
        <v>7997</v>
      </c>
      <c r="K1343" t="s">
        <v>204</v>
      </c>
      <c r="L1343" t="s">
        <v>1582</v>
      </c>
      <c r="M1343" t="s">
        <v>1108</v>
      </c>
      <c r="N1343" s="166">
        <v>20.64</v>
      </c>
      <c r="O1343" t="s">
        <v>131</v>
      </c>
    </row>
    <row r="1344" spans="1:15">
      <c r="A1344" s="166" t="s">
        <v>1256</v>
      </c>
      <c r="B1344" t="s">
        <v>111</v>
      </c>
      <c r="C1344" t="s">
        <v>406</v>
      </c>
      <c r="D1344" t="s">
        <v>118</v>
      </c>
      <c r="E1344" t="s">
        <v>139</v>
      </c>
      <c r="F1344" t="s">
        <v>7</v>
      </c>
      <c r="G1344" t="s">
        <v>130</v>
      </c>
      <c r="H1344" s="1">
        <v>46130</v>
      </c>
      <c r="I1344" t="s">
        <v>7998</v>
      </c>
      <c r="J1344" t="s">
        <v>7999</v>
      </c>
      <c r="K1344" t="s">
        <v>3168</v>
      </c>
      <c r="L1344" t="s">
        <v>665</v>
      </c>
      <c r="M1344" t="s">
        <v>1102</v>
      </c>
      <c r="N1344" s="166">
        <v>18.88</v>
      </c>
      <c r="O1344" t="s">
        <v>131</v>
      </c>
    </row>
    <row r="1345" spans="1:15">
      <c r="A1345" s="166" t="s">
        <v>8000</v>
      </c>
      <c r="B1345" t="s">
        <v>111</v>
      </c>
      <c r="C1345" t="s">
        <v>134</v>
      </c>
      <c r="D1345" t="s">
        <v>118</v>
      </c>
      <c r="E1345" t="s">
        <v>139</v>
      </c>
      <c r="F1345" t="s">
        <v>7</v>
      </c>
      <c r="G1345" t="s">
        <v>130</v>
      </c>
      <c r="H1345" s="1">
        <v>46130</v>
      </c>
      <c r="I1345" t="s">
        <v>8001</v>
      </c>
      <c r="J1345" t="s">
        <v>8002</v>
      </c>
      <c r="K1345" t="s">
        <v>1149</v>
      </c>
      <c r="L1345" t="s">
        <v>714</v>
      </c>
      <c r="M1345" t="s">
        <v>3722</v>
      </c>
      <c r="N1345" s="166">
        <v>18.100000000000001</v>
      </c>
      <c r="O1345" t="s">
        <v>131</v>
      </c>
    </row>
    <row r="1346" spans="1:15">
      <c r="A1346" s="166" t="s">
        <v>8003</v>
      </c>
      <c r="B1346" t="s">
        <v>111</v>
      </c>
      <c r="C1346" t="s">
        <v>135</v>
      </c>
      <c r="D1346" t="s">
        <v>118</v>
      </c>
      <c r="E1346" t="s">
        <v>139</v>
      </c>
      <c r="F1346" t="s">
        <v>7</v>
      </c>
      <c r="G1346" t="s">
        <v>130</v>
      </c>
      <c r="H1346" s="1">
        <v>46130</v>
      </c>
      <c r="I1346" t="s">
        <v>8004</v>
      </c>
      <c r="J1346" t="s">
        <v>8005</v>
      </c>
      <c r="K1346" t="s">
        <v>2495</v>
      </c>
      <c r="L1346" t="s">
        <v>155</v>
      </c>
      <c r="M1346" t="s">
        <v>628</v>
      </c>
      <c r="N1346" s="166">
        <v>20.48</v>
      </c>
      <c r="O1346" t="s">
        <v>131</v>
      </c>
    </row>
    <row r="1347" spans="1:15">
      <c r="A1347" s="166" t="s">
        <v>8006</v>
      </c>
      <c r="B1347" t="s">
        <v>111</v>
      </c>
      <c r="C1347" t="s">
        <v>133</v>
      </c>
      <c r="D1347" t="s">
        <v>118</v>
      </c>
      <c r="E1347" t="s">
        <v>139</v>
      </c>
      <c r="F1347" t="s">
        <v>7</v>
      </c>
      <c r="G1347" t="s">
        <v>130</v>
      </c>
      <c r="H1347" s="1">
        <v>46130</v>
      </c>
      <c r="I1347" t="s">
        <v>8007</v>
      </c>
      <c r="J1347" t="s">
        <v>8008</v>
      </c>
      <c r="K1347" t="s">
        <v>502</v>
      </c>
      <c r="L1347" t="s">
        <v>665</v>
      </c>
      <c r="M1347" t="s">
        <v>4374</v>
      </c>
      <c r="N1347" s="166">
        <v>22.54</v>
      </c>
      <c r="O1347" t="s">
        <v>131</v>
      </c>
    </row>
    <row r="1348" spans="1:15">
      <c r="A1348" s="166" t="s">
        <v>8009</v>
      </c>
      <c r="B1348" t="s">
        <v>111</v>
      </c>
      <c r="C1348" t="s">
        <v>136</v>
      </c>
      <c r="D1348" t="s">
        <v>118</v>
      </c>
      <c r="E1348" t="s">
        <v>139</v>
      </c>
      <c r="F1348" t="s">
        <v>7</v>
      </c>
      <c r="G1348" t="s">
        <v>130</v>
      </c>
      <c r="H1348" s="1">
        <v>46130</v>
      </c>
      <c r="I1348" t="s">
        <v>8010</v>
      </c>
      <c r="J1348" t="s">
        <v>8011</v>
      </c>
      <c r="K1348" t="s">
        <v>173</v>
      </c>
      <c r="L1348" t="s">
        <v>1830</v>
      </c>
      <c r="M1348" t="s">
        <v>575</v>
      </c>
      <c r="N1348" s="166">
        <v>21.48</v>
      </c>
      <c r="O1348" t="s">
        <v>131</v>
      </c>
    </row>
    <row r="1349" spans="1:15">
      <c r="A1349" s="166" t="s">
        <v>8012</v>
      </c>
      <c r="B1349" t="s">
        <v>111</v>
      </c>
      <c r="C1349" t="s">
        <v>406</v>
      </c>
      <c r="D1349" t="s">
        <v>118</v>
      </c>
      <c r="E1349" t="s">
        <v>139</v>
      </c>
      <c r="F1349" t="s">
        <v>7</v>
      </c>
      <c r="G1349" t="s">
        <v>130</v>
      </c>
      <c r="H1349" s="1">
        <v>46130</v>
      </c>
      <c r="I1349" t="s">
        <v>8013</v>
      </c>
      <c r="J1349" t="s">
        <v>8014</v>
      </c>
      <c r="K1349" t="s">
        <v>2781</v>
      </c>
      <c r="L1349" t="s">
        <v>1582</v>
      </c>
      <c r="M1349" t="s">
        <v>8015</v>
      </c>
      <c r="N1349" s="166">
        <v>26.06</v>
      </c>
      <c r="O1349" t="s">
        <v>131</v>
      </c>
    </row>
    <row r="1350" spans="1:15">
      <c r="A1350" s="166" t="s">
        <v>8016</v>
      </c>
      <c r="B1350" t="s">
        <v>111</v>
      </c>
      <c r="C1350" t="s">
        <v>134</v>
      </c>
      <c r="D1350" t="s">
        <v>118</v>
      </c>
      <c r="E1350" t="s">
        <v>2618</v>
      </c>
      <c r="F1350" t="s">
        <v>7</v>
      </c>
      <c r="G1350" t="s">
        <v>130</v>
      </c>
      <c r="H1350" s="1">
        <v>46130</v>
      </c>
      <c r="I1350" t="s">
        <v>8017</v>
      </c>
      <c r="J1350" t="s">
        <v>8018</v>
      </c>
      <c r="K1350" t="s">
        <v>2326</v>
      </c>
      <c r="L1350" t="s">
        <v>1503</v>
      </c>
      <c r="M1350" t="s">
        <v>2437</v>
      </c>
      <c r="N1350" s="166">
        <v>20.52</v>
      </c>
      <c r="O1350" t="s">
        <v>131</v>
      </c>
    </row>
    <row r="1351" spans="1:15">
      <c r="A1351" s="166" t="s">
        <v>8019</v>
      </c>
      <c r="B1351" t="s">
        <v>111</v>
      </c>
      <c r="C1351" t="s">
        <v>133</v>
      </c>
      <c r="D1351" t="s">
        <v>118</v>
      </c>
      <c r="E1351" t="s">
        <v>139</v>
      </c>
      <c r="F1351" t="s">
        <v>7</v>
      </c>
      <c r="G1351" t="s">
        <v>130</v>
      </c>
      <c r="H1351" s="1">
        <v>46130</v>
      </c>
      <c r="I1351" t="s">
        <v>8020</v>
      </c>
      <c r="J1351" t="s">
        <v>8021</v>
      </c>
      <c r="K1351" t="s">
        <v>583</v>
      </c>
      <c r="L1351" t="s">
        <v>645</v>
      </c>
      <c r="M1351" t="s">
        <v>4107</v>
      </c>
      <c r="N1351" s="166">
        <v>24.74</v>
      </c>
      <c r="O1351" t="s">
        <v>131</v>
      </c>
    </row>
    <row r="1352" spans="1:15">
      <c r="A1352" s="166" t="s">
        <v>8022</v>
      </c>
      <c r="B1352" t="s">
        <v>111</v>
      </c>
      <c r="C1352" t="s">
        <v>406</v>
      </c>
      <c r="D1352" t="s">
        <v>118</v>
      </c>
      <c r="E1352" t="s">
        <v>139</v>
      </c>
      <c r="F1352" t="s">
        <v>7</v>
      </c>
      <c r="G1352" t="s">
        <v>130</v>
      </c>
      <c r="H1352" s="1">
        <v>46130</v>
      </c>
      <c r="I1352" t="s">
        <v>8023</v>
      </c>
      <c r="J1352" t="s">
        <v>8024</v>
      </c>
      <c r="K1352" t="s">
        <v>2567</v>
      </c>
      <c r="L1352" t="s">
        <v>1582</v>
      </c>
      <c r="M1352" t="s">
        <v>510</v>
      </c>
      <c r="N1352" s="166">
        <v>22.18</v>
      </c>
      <c r="O1352" t="s">
        <v>131</v>
      </c>
    </row>
    <row r="1353" spans="1:15">
      <c r="A1353" s="166" t="s">
        <v>8025</v>
      </c>
      <c r="B1353" t="s">
        <v>111</v>
      </c>
      <c r="C1353" t="s">
        <v>136</v>
      </c>
      <c r="D1353" t="s">
        <v>118</v>
      </c>
      <c r="E1353" t="s">
        <v>139</v>
      </c>
      <c r="F1353" t="s">
        <v>7</v>
      </c>
      <c r="G1353" t="s">
        <v>130</v>
      </c>
      <c r="H1353" s="1">
        <v>46130</v>
      </c>
      <c r="I1353" t="s">
        <v>8026</v>
      </c>
      <c r="J1353" t="s">
        <v>8027</v>
      </c>
      <c r="K1353" t="s">
        <v>1619</v>
      </c>
      <c r="L1353" t="s">
        <v>515</v>
      </c>
      <c r="M1353" t="s">
        <v>5535</v>
      </c>
      <c r="N1353" s="166">
        <v>23.36</v>
      </c>
      <c r="O1353" t="s">
        <v>131</v>
      </c>
    </row>
    <row r="1354" spans="1:15">
      <c r="A1354" s="166" t="s">
        <v>8028</v>
      </c>
      <c r="B1354" t="s">
        <v>111</v>
      </c>
      <c r="C1354" t="s">
        <v>135</v>
      </c>
      <c r="D1354" t="s">
        <v>118</v>
      </c>
      <c r="E1354" t="s">
        <v>139</v>
      </c>
      <c r="F1354" t="s">
        <v>7</v>
      </c>
      <c r="G1354" t="s">
        <v>130</v>
      </c>
      <c r="H1354" s="1">
        <v>46130</v>
      </c>
      <c r="I1354" t="s">
        <v>8029</v>
      </c>
      <c r="J1354" t="s">
        <v>8030</v>
      </c>
      <c r="K1354" t="s">
        <v>188</v>
      </c>
      <c r="L1354" t="s">
        <v>168</v>
      </c>
      <c r="M1354" t="s">
        <v>1718</v>
      </c>
      <c r="N1354" s="166">
        <v>23.92</v>
      </c>
      <c r="O1354" t="s">
        <v>131</v>
      </c>
    </row>
    <row r="1355" spans="1:15">
      <c r="A1355" s="166" t="s">
        <v>8031</v>
      </c>
      <c r="B1355" t="s">
        <v>111</v>
      </c>
      <c r="C1355" t="s">
        <v>134</v>
      </c>
      <c r="D1355" t="s">
        <v>118</v>
      </c>
      <c r="E1355" t="s">
        <v>139</v>
      </c>
      <c r="F1355" t="s">
        <v>7</v>
      </c>
      <c r="G1355" t="s">
        <v>130</v>
      </c>
      <c r="H1355" s="1">
        <v>46130</v>
      </c>
      <c r="I1355" t="s">
        <v>8032</v>
      </c>
      <c r="J1355" t="s">
        <v>8033</v>
      </c>
      <c r="K1355" t="s">
        <v>671</v>
      </c>
      <c r="L1355" t="s">
        <v>515</v>
      </c>
      <c r="M1355" t="s">
        <v>195</v>
      </c>
      <c r="N1355" s="166">
        <v>24.56</v>
      </c>
      <c r="O1355" t="s">
        <v>131</v>
      </c>
    </row>
    <row r="1356" spans="1:15">
      <c r="A1356" s="166" t="s">
        <v>8034</v>
      </c>
      <c r="B1356" t="s">
        <v>111</v>
      </c>
      <c r="C1356" t="s">
        <v>406</v>
      </c>
      <c r="D1356" t="s">
        <v>118</v>
      </c>
      <c r="E1356" t="s">
        <v>2618</v>
      </c>
      <c r="F1356" t="s">
        <v>7</v>
      </c>
      <c r="G1356" t="s">
        <v>130</v>
      </c>
      <c r="H1356" s="1">
        <v>46130</v>
      </c>
      <c r="I1356" t="s">
        <v>8035</v>
      </c>
      <c r="J1356" t="s">
        <v>8036</v>
      </c>
      <c r="K1356" t="s">
        <v>192</v>
      </c>
      <c r="L1356" t="s">
        <v>449</v>
      </c>
      <c r="M1356" t="s">
        <v>156</v>
      </c>
      <c r="N1356" s="166">
        <v>22.98</v>
      </c>
      <c r="O1356" t="s">
        <v>131</v>
      </c>
    </row>
    <row r="1357" spans="1:15">
      <c r="A1357" s="166" t="s">
        <v>8037</v>
      </c>
      <c r="B1357" t="s">
        <v>111</v>
      </c>
      <c r="C1357" t="s">
        <v>133</v>
      </c>
      <c r="D1357" t="s">
        <v>118</v>
      </c>
      <c r="E1357" t="s">
        <v>2618</v>
      </c>
      <c r="F1357" t="s">
        <v>7</v>
      </c>
      <c r="G1357" t="s">
        <v>130</v>
      </c>
      <c r="H1357" s="1">
        <v>46130</v>
      </c>
      <c r="I1357" t="s">
        <v>8038</v>
      </c>
      <c r="J1357" t="s">
        <v>8039</v>
      </c>
      <c r="K1357" t="s">
        <v>3108</v>
      </c>
      <c r="L1357" t="s">
        <v>720</v>
      </c>
      <c r="M1357" t="s">
        <v>546</v>
      </c>
      <c r="N1357" s="166">
        <v>22.38</v>
      </c>
      <c r="O1357" t="s">
        <v>131</v>
      </c>
    </row>
    <row r="1358" spans="1:15">
      <c r="A1358" s="166" t="s">
        <v>8040</v>
      </c>
      <c r="B1358" t="s">
        <v>111</v>
      </c>
      <c r="C1358" t="s">
        <v>135</v>
      </c>
      <c r="D1358" t="s">
        <v>118</v>
      </c>
      <c r="E1358" t="s">
        <v>139</v>
      </c>
      <c r="F1358" t="s">
        <v>7</v>
      </c>
      <c r="G1358" t="s">
        <v>130</v>
      </c>
      <c r="H1358" s="1">
        <v>46130</v>
      </c>
      <c r="I1358" t="s">
        <v>8041</v>
      </c>
      <c r="J1358" t="s">
        <v>8042</v>
      </c>
      <c r="K1358" t="s">
        <v>1635</v>
      </c>
      <c r="L1358" t="s">
        <v>203</v>
      </c>
      <c r="M1358" t="s">
        <v>3145</v>
      </c>
      <c r="N1358" s="166">
        <v>21.54</v>
      </c>
      <c r="O1358" t="s">
        <v>131</v>
      </c>
    </row>
    <row r="1359" spans="1:15">
      <c r="A1359" s="166" t="s">
        <v>8043</v>
      </c>
      <c r="B1359" t="s">
        <v>111</v>
      </c>
      <c r="C1359" t="s">
        <v>134</v>
      </c>
      <c r="D1359" t="s">
        <v>118</v>
      </c>
      <c r="E1359" t="s">
        <v>2618</v>
      </c>
      <c r="F1359" t="s">
        <v>7</v>
      </c>
      <c r="G1359" t="s">
        <v>130</v>
      </c>
      <c r="H1359" s="1">
        <v>46130</v>
      </c>
      <c r="I1359" t="s">
        <v>8044</v>
      </c>
      <c r="J1359" t="s">
        <v>8045</v>
      </c>
      <c r="K1359" t="s">
        <v>2394</v>
      </c>
      <c r="L1359" t="s">
        <v>3575</v>
      </c>
      <c r="M1359" t="s">
        <v>1693</v>
      </c>
      <c r="N1359" s="166">
        <v>23.06</v>
      </c>
      <c r="O1359" t="s">
        <v>131</v>
      </c>
    </row>
    <row r="1360" spans="1:15">
      <c r="A1360" s="166" t="s">
        <v>8046</v>
      </c>
      <c r="B1360" t="s">
        <v>111</v>
      </c>
      <c r="C1360" t="s">
        <v>133</v>
      </c>
      <c r="D1360" t="s">
        <v>118</v>
      </c>
      <c r="E1360" t="s">
        <v>2618</v>
      </c>
      <c r="F1360" t="s">
        <v>7</v>
      </c>
      <c r="G1360" t="s">
        <v>130</v>
      </c>
      <c r="H1360" s="1">
        <v>46130</v>
      </c>
      <c r="I1360" t="s">
        <v>8047</v>
      </c>
      <c r="J1360" t="s">
        <v>8048</v>
      </c>
      <c r="K1360" t="s">
        <v>719</v>
      </c>
      <c r="L1360" t="s">
        <v>665</v>
      </c>
      <c r="M1360" t="s">
        <v>3666</v>
      </c>
      <c r="N1360" s="166">
        <v>24.12</v>
      </c>
      <c r="O1360" t="s">
        <v>131</v>
      </c>
    </row>
    <row r="1361" spans="1:15">
      <c r="A1361" s="166" t="s">
        <v>8049</v>
      </c>
      <c r="B1361" t="s">
        <v>111</v>
      </c>
      <c r="C1361" t="s">
        <v>135</v>
      </c>
      <c r="D1361" t="s">
        <v>118</v>
      </c>
      <c r="E1361" t="s">
        <v>139</v>
      </c>
      <c r="F1361" t="s">
        <v>7</v>
      </c>
      <c r="G1361" t="s">
        <v>130</v>
      </c>
      <c r="H1361" s="1">
        <v>46130</v>
      </c>
      <c r="I1361" t="s">
        <v>8050</v>
      </c>
      <c r="J1361" t="s">
        <v>8051</v>
      </c>
      <c r="K1361" t="s">
        <v>164</v>
      </c>
      <c r="L1361" t="s">
        <v>163</v>
      </c>
      <c r="M1361" t="s">
        <v>175</v>
      </c>
      <c r="N1361" s="166">
        <v>21.1</v>
      </c>
      <c r="O1361" t="s">
        <v>131</v>
      </c>
    </row>
    <row r="1362" spans="1:15">
      <c r="A1362" s="166" t="s">
        <v>8052</v>
      </c>
      <c r="B1362" t="s">
        <v>111</v>
      </c>
      <c r="C1362" t="s">
        <v>406</v>
      </c>
      <c r="D1362" t="s">
        <v>118</v>
      </c>
      <c r="E1362" t="s">
        <v>139</v>
      </c>
      <c r="F1362" t="s">
        <v>7</v>
      </c>
      <c r="G1362" t="s">
        <v>130</v>
      </c>
      <c r="H1362" s="1">
        <v>46130</v>
      </c>
      <c r="I1362" t="s">
        <v>8053</v>
      </c>
      <c r="J1362" t="s">
        <v>8054</v>
      </c>
      <c r="K1362" t="s">
        <v>2843</v>
      </c>
      <c r="L1362" t="s">
        <v>633</v>
      </c>
      <c r="M1362" t="s">
        <v>4862</v>
      </c>
      <c r="N1362" s="166">
        <v>24.8</v>
      </c>
      <c r="O1362" t="s">
        <v>131</v>
      </c>
    </row>
    <row r="1363" spans="1:15">
      <c r="A1363" s="166" t="s">
        <v>8055</v>
      </c>
      <c r="B1363" t="s">
        <v>111</v>
      </c>
      <c r="C1363" t="s">
        <v>134</v>
      </c>
      <c r="D1363" t="s">
        <v>118</v>
      </c>
      <c r="E1363" t="s">
        <v>139</v>
      </c>
      <c r="F1363" t="s">
        <v>7</v>
      </c>
      <c r="G1363" t="s">
        <v>130</v>
      </c>
      <c r="H1363" s="1">
        <v>46130</v>
      </c>
      <c r="I1363" t="s">
        <v>8056</v>
      </c>
      <c r="J1363" t="s">
        <v>8057</v>
      </c>
      <c r="K1363" t="s">
        <v>213</v>
      </c>
      <c r="L1363" t="s">
        <v>515</v>
      </c>
      <c r="M1363" t="s">
        <v>5028</v>
      </c>
      <c r="N1363" s="166">
        <v>24.38</v>
      </c>
      <c r="O1363" t="s">
        <v>131</v>
      </c>
    </row>
    <row r="1364" spans="1:15">
      <c r="A1364" s="166" t="s">
        <v>1933</v>
      </c>
      <c r="B1364" t="s">
        <v>111</v>
      </c>
      <c r="C1364" t="s">
        <v>135</v>
      </c>
      <c r="D1364" t="s">
        <v>118</v>
      </c>
      <c r="E1364" t="s">
        <v>139</v>
      </c>
      <c r="F1364" t="s">
        <v>7</v>
      </c>
      <c r="G1364" t="s">
        <v>130</v>
      </c>
      <c r="H1364" s="1">
        <v>46130</v>
      </c>
      <c r="I1364" t="s">
        <v>8058</v>
      </c>
      <c r="J1364" t="s">
        <v>8059</v>
      </c>
      <c r="K1364" t="s">
        <v>204</v>
      </c>
      <c r="L1364" t="s">
        <v>157</v>
      </c>
      <c r="M1364" t="s">
        <v>2180</v>
      </c>
      <c r="N1364" s="166">
        <v>20.9</v>
      </c>
      <c r="O1364" t="s">
        <v>131</v>
      </c>
    </row>
    <row r="1365" spans="1:15">
      <c r="A1365" s="166" t="s">
        <v>8060</v>
      </c>
      <c r="B1365" t="s">
        <v>111</v>
      </c>
      <c r="C1365" t="s">
        <v>406</v>
      </c>
      <c r="D1365" t="s">
        <v>118</v>
      </c>
      <c r="E1365" t="s">
        <v>2618</v>
      </c>
      <c r="F1365" t="s">
        <v>7</v>
      </c>
      <c r="G1365" t="s">
        <v>130</v>
      </c>
      <c r="H1365" s="1">
        <v>46130</v>
      </c>
      <c r="I1365" t="s">
        <v>8061</v>
      </c>
      <c r="J1365" t="s">
        <v>8062</v>
      </c>
      <c r="K1365" t="s">
        <v>2540</v>
      </c>
      <c r="L1365" t="s">
        <v>1582</v>
      </c>
      <c r="M1365" t="s">
        <v>1178</v>
      </c>
      <c r="N1365" s="166">
        <v>21.12</v>
      </c>
      <c r="O1365" t="s">
        <v>131</v>
      </c>
    </row>
    <row r="1366" spans="1:15">
      <c r="A1366" s="166" t="s">
        <v>8063</v>
      </c>
      <c r="B1366" t="s">
        <v>111</v>
      </c>
      <c r="C1366" t="s">
        <v>133</v>
      </c>
      <c r="D1366" t="s">
        <v>118</v>
      </c>
      <c r="E1366" t="s">
        <v>2618</v>
      </c>
      <c r="F1366" t="s">
        <v>7</v>
      </c>
      <c r="G1366" t="s">
        <v>130</v>
      </c>
      <c r="H1366" s="1">
        <v>46130</v>
      </c>
      <c r="I1366" t="s">
        <v>8064</v>
      </c>
      <c r="J1366" t="s">
        <v>8065</v>
      </c>
      <c r="K1366" t="s">
        <v>4645</v>
      </c>
      <c r="L1366" t="s">
        <v>2058</v>
      </c>
      <c r="M1366" t="s">
        <v>2586</v>
      </c>
      <c r="N1366" s="166">
        <v>21.04</v>
      </c>
      <c r="O1366" t="s">
        <v>131</v>
      </c>
    </row>
    <row r="1367" spans="1:15">
      <c r="A1367" s="166" t="s">
        <v>8066</v>
      </c>
      <c r="B1367" t="s">
        <v>111</v>
      </c>
      <c r="C1367" t="s">
        <v>134</v>
      </c>
      <c r="D1367" t="s">
        <v>118</v>
      </c>
      <c r="E1367" t="s">
        <v>2618</v>
      </c>
      <c r="F1367" t="s">
        <v>7</v>
      </c>
      <c r="G1367" t="s">
        <v>130</v>
      </c>
      <c r="H1367" s="1">
        <v>46130</v>
      </c>
      <c r="I1367" t="s">
        <v>8067</v>
      </c>
      <c r="J1367" t="s">
        <v>8068</v>
      </c>
      <c r="K1367" t="s">
        <v>2820</v>
      </c>
      <c r="L1367" t="s">
        <v>515</v>
      </c>
      <c r="M1367" t="s">
        <v>8069</v>
      </c>
      <c r="N1367" s="166">
        <v>27.24</v>
      </c>
      <c r="O1367" t="s">
        <v>131</v>
      </c>
    </row>
    <row r="1368" spans="1:15">
      <c r="A1368" s="166" t="s">
        <v>8070</v>
      </c>
      <c r="B1368" t="s">
        <v>111</v>
      </c>
      <c r="C1368" t="s">
        <v>135</v>
      </c>
      <c r="D1368" t="s">
        <v>118</v>
      </c>
      <c r="E1368" t="s">
        <v>2618</v>
      </c>
      <c r="F1368" t="s">
        <v>7</v>
      </c>
      <c r="G1368" t="s">
        <v>130</v>
      </c>
      <c r="H1368" s="1">
        <v>46130</v>
      </c>
      <c r="I1368" t="s">
        <v>8071</v>
      </c>
      <c r="J1368" t="s">
        <v>8072</v>
      </c>
      <c r="K1368" t="s">
        <v>4103</v>
      </c>
      <c r="L1368" t="s">
        <v>168</v>
      </c>
      <c r="M1368" t="s">
        <v>747</v>
      </c>
      <c r="N1368" s="166">
        <v>23.38</v>
      </c>
      <c r="O1368" t="s">
        <v>131</v>
      </c>
    </row>
    <row r="1369" spans="1:15">
      <c r="A1369" s="166" t="s">
        <v>8073</v>
      </c>
      <c r="B1369" t="s">
        <v>111</v>
      </c>
      <c r="C1369" t="s">
        <v>406</v>
      </c>
      <c r="D1369" t="s">
        <v>118</v>
      </c>
      <c r="E1369" t="s">
        <v>2618</v>
      </c>
      <c r="F1369" t="s">
        <v>7</v>
      </c>
      <c r="G1369" t="s">
        <v>130</v>
      </c>
      <c r="H1369" s="1">
        <v>46130</v>
      </c>
      <c r="I1369" t="s">
        <v>8074</v>
      </c>
      <c r="J1369" t="s">
        <v>8075</v>
      </c>
      <c r="K1369" t="s">
        <v>491</v>
      </c>
      <c r="L1369" t="s">
        <v>3032</v>
      </c>
      <c r="M1369" t="s">
        <v>3138</v>
      </c>
      <c r="N1369" s="166">
        <v>21.94</v>
      </c>
      <c r="O1369" t="s">
        <v>131</v>
      </c>
    </row>
    <row r="1370" spans="1:15">
      <c r="A1370" s="166" t="s">
        <v>8076</v>
      </c>
      <c r="B1370" t="s">
        <v>111</v>
      </c>
      <c r="C1370" t="s">
        <v>133</v>
      </c>
      <c r="D1370" t="s">
        <v>118</v>
      </c>
      <c r="E1370" t="s">
        <v>2618</v>
      </c>
      <c r="F1370" t="s">
        <v>7</v>
      </c>
      <c r="G1370" t="s">
        <v>130</v>
      </c>
      <c r="H1370" s="1">
        <v>46130</v>
      </c>
      <c r="I1370" t="s">
        <v>8077</v>
      </c>
      <c r="J1370" t="s">
        <v>8078</v>
      </c>
      <c r="K1370" t="s">
        <v>659</v>
      </c>
      <c r="L1370" t="s">
        <v>1845</v>
      </c>
      <c r="M1370" t="s">
        <v>1653</v>
      </c>
      <c r="N1370" s="166">
        <v>21.42</v>
      </c>
      <c r="O1370" t="s">
        <v>131</v>
      </c>
    </row>
    <row r="1371" spans="1:15">
      <c r="A1371" s="166" t="s">
        <v>8079</v>
      </c>
      <c r="B1371" t="s">
        <v>111</v>
      </c>
      <c r="C1371" t="s">
        <v>134</v>
      </c>
      <c r="D1371" t="s">
        <v>118</v>
      </c>
      <c r="E1371" t="s">
        <v>2618</v>
      </c>
      <c r="F1371" t="s">
        <v>7</v>
      </c>
      <c r="G1371" t="s">
        <v>130</v>
      </c>
      <c r="H1371" s="1">
        <v>46130</v>
      </c>
      <c r="I1371" t="s">
        <v>8080</v>
      </c>
      <c r="J1371" t="s">
        <v>8081</v>
      </c>
      <c r="K1371" t="s">
        <v>178</v>
      </c>
      <c r="L1371" t="s">
        <v>1483</v>
      </c>
      <c r="M1371" t="s">
        <v>179</v>
      </c>
      <c r="N1371" s="166">
        <v>20.100000000000001</v>
      </c>
      <c r="O1371" t="s">
        <v>131</v>
      </c>
    </row>
    <row r="1372" spans="1:15">
      <c r="A1372" s="166" t="s">
        <v>8082</v>
      </c>
      <c r="B1372" t="s">
        <v>111</v>
      </c>
      <c r="C1372" t="s">
        <v>133</v>
      </c>
      <c r="D1372" t="s">
        <v>118</v>
      </c>
      <c r="E1372" t="s">
        <v>2618</v>
      </c>
      <c r="F1372" t="s">
        <v>7</v>
      </c>
      <c r="G1372" t="s">
        <v>130</v>
      </c>
      <c r="H1372" s="1">
        <v>46130</v>
      </c>
      <c r="I1372" t="s">
        <v>8083</v>
      </c>
      <c r="J1372" t="s">
        <v>8084</v>
      </c>
      <c r="K1372" t="s">
        <v>524</v>
      </c>
      <c r="L1372" t="s">
        <v>622</v>
      </c>
      <c r="M1372" t="s">
        <v>575</v>
      </c>
      <c r="N1372" s="166">
        <v>21.48</v>
      </c>
      <c r="O1372" t="s">
        <v>131</v>
      </c>
    </row>
    <row r="1373" spans="1:15">
      <c r="A1373" s="166" t="s">
        <v>8085</v>
      </c>
      <c r="B1373" t="s">
        <v>111</v>
      </c>
      <c r="C1373" t="s">
        <v>135</v>
      </c>
      <c r="D1373" t="s">
        <v>118</v>
      </c>
      <c r="E1373" t="s">
        <v>139</v>
      </c>
      <c r="F1373" t="s">
        <v>7</v>
      </c>
      <c r="G1373" t="s">
        <v>130</v>
      </c>
      <c r="H1373" s="1">
        <v>46130</v>
      </c>
      <c r="I1373" t="s">
        <v>8086</v>
      </c>
      <c r="J1373" t="s">
        <v>8087</v>
      </c>
      <c r="K1373" t="s">
        <v>1463</v>
      </c>
      <c r="L1373" t="s">
        <v>1560</v>
      </c>
      <c r="M1373" t="s">
        <v>1537</v>
      </c>
      <c r="N1373" s="166">
        <v>22.58</v>
      </c>
      <c r="O1373" t="s">
        <v>131</v>
      </c>
    </row>
    <row r="1374" spans="1:15">
      <c r="A1374" s="166" t="s">
        <v>8088</v>
      </c>
      <c r="B1374" t="s">
        <v>111</v>
      </c>
      <c r="C1374" t="s">
        <v>406</v>
      </c>
      <c r="D1374" t="s">
        <v>118</v>
      </c>
      <c r="E1374" t="s">
        <v>2618</v>
      </c>
      <c r="F1374" t="s">
        <v>7</v>
      </c>
      <c r="G1374" t="s">
        <v>130</v>
      </c>
      <c r="H1374" s="1">
        <v>46130</v>
      </c>
      <c r="I1374" t="s">
        <v>8089</v>
      </c>
      <c r="J1374" t="s">
        <v>8090</v>
      </c>
      <c r="K1374" t="s">
        <v>3479</v>
      </c>
      <c r="L1374" t="s">
        <v>492</v>
      </c>
      <c r="M1374" t="s">
        <v>556</v>
      </c>
      <c r="N1374" s="166">
        <v>22.44</v>
      </c>
      <c r="O1374" t="s">
        <v>131</v>
      </c>
    </row>
    <row r="1375" spans="1:15">
      <c r="A1375" s="166" t="s">
        <v>8091</v>
      </c>
      <c r="B1375" t="s">
        <v>111</v>
      </c>
      <c r="C1375" t="s">
        <v>1104</v>
      </c>
      <c r="D1375" t="s">
        <v>118</v>
      </c>
      <c r="E1375" t="s">
        <v>139</v>
      </c>
      <c r="F1375" t="s">
        <v>6</v>
      </c>
      <c r="G1375" t="s">
        <v>130</v>
      </c>
      <c r="H1375" s="1">
        <v>46130</v>
      </c>
      <c r="I1375" t="s">
        <v>8092</v>
      </c>
      <c r="J1375" t="s">
        <v>8093</v>
      </c>
      <c r="K1375" t="s">
        <v>1727</v>
      </c>
      <c r="L1375" t="s">
        <v>1081</v>
      </c>
      <c r="M1375" t="s">
        <v>3623</v>
      </c>
      <c r="N1375" s="166">
        <v>23.3</v>
      </c>
      <c r="O1375" t="s">
        <v>131</v>
      </c>
    </row>
    <row r="1376" spans="1:15">
      <c r="A1376" s="166" t="s">
        <v>8094</v>
      </c>
      <c r="B1376" t="s">
        <v>111</v>
      </c>
      <c r="C1376" t="s">
        <v>134</v>
      </c>
      <c r="D1376" t="s">
        <v>118</v>
      </c>
      <c r="E1376" t="s">
        <v>139</v>
      </c>
      <c r="F1376" t="s">
        <v>6</v>
      </c>
      <c r="G1376" t="s">
        <v>130</v>
      </c>
      <c r="H1376" s="1">
        <v>46130</v>
      </c>
      <c r="I1376" t="s">
        <v>8095</v>
      </c>
      <c r="J1376" t="s">
        <v>8096</v>
      </c>
      <c r="K1376" t="s">
        <v>3926</v>
      </c>
      <c r="L1376" t="s">
        <v>149</v>
      </c>
      <c r="M1376" t="s">
        <v>3734</v>
      </c>
      <c r="N1376" s="166">
        <v>22.02</v>
      </c>
      <c r="O1376" t="s">
        <v>131</v>
      </c>
    </row>
    <row r="1377" spans="1:15">
      <c r="A1377" s="166" t="s">
        <v>8097</v>
      </c>
      <c r="B1377" t="s">
        <v>111</v>
      </c>
      <c r="C1377" t="s">
        <v>406</v>
      </c>
      <c r="D1377" t="s">
        <v>118</v>
      </c>
      <c r="E1377" t="s">
        <v>139</v>
      </c>
      <c r="F1377" t="s">
        <v>6</v>
      </c>
      <c r="G1377" t="s">
        <v>130</v>
      </c>
      <c r="H1377" s="1">
        <v>46130</v>
      </c>
      <c r="I1377" t="s">
        <v>8098</v>
      </c>
      <c r="J1377" t="s">
        <v>8099</v>
      </c>
      <c r="K1377" t="s">
        <v>3178</v>
      </c>
      <c r="L1377" t="s">
        <v>1499</v>
      </c>
      <c r="M1377" t="s">
        <v>639</v>
      </c>
      <c r="N1377" s="166">
        <v>21.02</v>
      </c>
      <c r="O1377" t="s">
        <v>131</v>
      </c>
    </row>
    <row r="1378" spans="1:15">
      <c r="A1378" s="166" t="s">
        <v>8100</v>
      </c>
      <c r="B1378" t="s">
        <v>111</v>
      </c>
      <c r="C1378" t="s">
        <v>136</v>
      </c>
      <c r="D1378" t="s">
        <v>118</v>
      </c>
      <c r="E1378" t="s">
        <v>139</v>
      </c>
      <c r="F1378" t="s">
        <v>6</v>
      </c>
      <c r="G1378" t="s">
        <v>130</v>
      </c>
      <c r="H1378" s="1">
        <v>46130</v>
      </c>
      <c r="I1378" t="s">
        <v>8101</v>
      </c>
      <c r="J1378" t="s">
        <v>8102</v>
      </c>
      <c r="K1378" t="s">
        <v>589</v>
      </c>
      <c r="L1378" t="s">
        <v>3032</v>
      </c>
      <c r="M1378" t="s">
        <v>493</v>
      </c>
      <c r="N1378" s="166">
        <v>22.16</v>
      </c>
      <c r="O1378" t="s">
        <v>131</v>
      </c>
    </row>
    <row r="1379" spans="1:15">
      <c r="A1379" s="166" t="s">
        <v>8103</v>
      </c>
      <c r="B1379" t="s">
        <v>111</v>
      </c>
      <c r="C1379" t="s">
        <v>133</v>
      </c>
      <c r="D1379" t="s">
        <v>118</v>
      </c>
      <c r="E1379" t="s">
        <v>139</v>
      </c>
      <c r="F1379" t="s">
        <v>6</v>
      </c>
      <c r="G1379" t="s">
        <v>130</v>
      </c>
      <c r="H1379" s="1">
        <v>46130</v>
      </c>
      <c r="I1379" t="s">
        <v>8104</v>
      </c>
      <c r="J1379" t="s">
        <v>8105</v>
      </c>
      <c r="K1379" t="s">
        <v>502</v>
      </c>
      <c r="L1379" t="s">
        <v>622</v>
      </c>
      <c r="M1379" t="s">
        <v>917</v>
      </c>
      <c r="N1379" s="166">
        <v>22.5</v>
      </c>
      <c r="O1379" t="s">
        <v>131</v>
      </c>
    </row>
    <row r="1380" spans="1:15">
      <c r="A1380" s="166" t="s">
        <v>8106</v>
      </c>
      <c r="B1380" t="s">
        <v>111</v>
      </c>
      <c r="C1380" t="s">
        <v>135</v>
      </c>
      <c r="D1380" t="s">
        <v>118</v>
      </c>
      <c r="E1380" t="s">
        <v>139</v>
      </c>
      <c r="F1380" t="s">
        <v>6</v>
      </c>
      <c r="G1380" t="s">
        <v>130</v>
      </c>
      <c r="H1380" s="1">
        <v>46130</v>
      </c>
      <c r="I1380" t="s">
        <v>8107</v>
      </c>
      <c r="J1380" t="s">
        <v>8108</v>
      </c>
      <c r="K1380" t="s">
        <v>1472</v>
      </c>
      <c r="L1380" t="s">
        <v>151</v>
      </c>
      <c r="M1380" t="s">
        <v>1674</v>
      </c>
      <c r="N1380" s="166">
        <v>21.24</v>
      </c>
      <c r="O1380" t="s">
        <v>131</v>
      </c>
    </row>
    <row r="1381" spans="1:15">
      <c r="A1381" s="166" t="s">
        <v>8109</v>
      </c>
      <c r="B1381" t="s">
        <v>111</v>
      </c>
      <c r="C1381" t="s">
        <v>1104</v>
      </c>
      <c r="D1381" t="s">
        <v>118</v>
      </c>
      <c r="E1381" t="s">
        <v>139</v>
      </c>
      <c r="F1381" t="s">
        <v>6</v>
      </c>
      <c r="G1381" t="s">
        <v>130</v>
      </c>
      <c r="H1381" s="1">
        <v>46130</v>
      </c>
      <c r="I1381" t="s">
        <v>8110</v>
      </c>
      <c r="J1381" t="s">
        <v>8111</v>
      </c>
      <c r="K1381" t="s">
        <v>214</v>
      </c>
      <c r="L1381" t="s">
        <v>1830</v>
      </c>
      <c r="M1381" t="s">
        <v>1237</v>
      </c>
      <c r="N1381" s="166">
        <v>20.059999999999999</v>
      </c>
      <c r="O1381" t="s">
        <v>131</v>
      </c>
    </row>
    <row r="1382" spans="1:15">
      <c r="A1382" s="166" t="s">
        <v>8112</v>
      </c>
      <c r="B1382" t="s">
        <v>111</v>
      </c>
      <c r="C1382" t="s">
        <v>134</v>
      </c>
      <c r="D1382" t="s">
        <v>118</v>
      </c>
      <c r="E1382" t="s">
        <v>139</v>
      </c>
      <c r="F1382" t="s">
        <v>6</v>
      </c>
      <c r="G1382" t="s">
        <v>130</v>
      </c>
      <c r="H1382" s="1">
        <v>46130</v>
      </c>
      <c r="I1382" t="s">
        <v>8113</v>
      </c>
      <c r="J1382" t="s">
        <v>8114</v>
      </c>
      <c r="K1382" t="s">
        <v>1697</v>
      </c>
      <c r="L1382" t="s">
        <v>1072</v>
      </c>
      <c r="M1382" t="s">
        <v>2154</v>
      </c>
      <c r="N1382" s="166">
        <v>20.18</v>
      </c>
      <c r="O1382" t="s">
        <v>131</v>
      </c>
    </row>
    <row r="1383" spans="1:15">
      <c r="A1383" s="166" t="s">
        <v>8115</v>
      </c>
      <c r="B1383" t="s">
        <v>111</v>
      </c>
      <c r="C1383" t="s">
        <v>406</v>
      </c>
      <c r="D1383" t="s">
        <v>118</v>
      </c>
      <c r="E1383" t="s">
        <v>139</v>
      </c>
      <c r="F1383" t="s">
        <v>6</v>
      </c>
      <c r="G1383" t="s">
        <v>130</v>
      </c>
      <c r="H1383" s="1">
        <v>46130</v>
      </c>
      <c r="I1383" t="s">
        <v>8116</v>
      </c>
      <c r="J1383" t="s">
        <v>8117</v>
      </c>
      <c r="K1383" t="s">
        <v>8118</v>
      </c>
      <c r="L1383" t="s">
        <v>148</v>
      </c>
      <c r="M1383" t="s">
        <v>4556</v>
      </c>
      <c r="N1383" s="166">
        <v>16.86</v>
      </c>
      <c r="O1383" t="s">
        <v>131</v>
      </c>
    </row>
    <row r="1384" spans="1:15">
      <c r="A1384" s="166" t="s">
        <v>1420</v>
      </c>
      <c r="B1384" t="s">
        <v>111</v>
      </c>
      <c r="C1384" t="s">
        <v>136</v>
      </c>
      <c r="D1384" t="s">
        <v>118</v>
      </c>
      <c r="E1384" t="s">
        <v>139</v>
      </c>
      <c r="F1384" t="s">
        <v>6</v>
      </c>
      <c r="G1384" t="s">
        <v>130</v>
      </c>
      <c r="H1384" s="1">
        <v>46130</v>
      </c>
      <c r="I1384" t="s">
        <v>8119</v>
      </c>
      <c r="J1384" t="s">
        <v>8120</v>
      </c>
      <c r="K1384" t="s">
        <v>3693</v>
      </c>
      <c r="L1384" t="s">
        <v>149</v>
      </c>
      <c r="M1384" t="s">
        <v>2395</v>
      </c>
      <c r="N1384" s="166">
        <v>23.22</v>
      </c>
      <c r="O1384" t="s">
        <v>131</v>
      </c>
    </row>
    <row r="1385" spans="1:15">
      <c r="A1385" s="166" t="s">
        <v>8121</v>
      </c>
      <c r="B1385" t="s">
        <v>111</v>
      </c>
      <c r="C1385" t="s">
        <v>133</v>
      </c>
      <c r="D1385" t="s">
        <v>118</v>
      </c>
      <c r="E1385" t="s">
        <v>139</v>
      </c>
      <c r="F1385" t="s">
        <v>6</v>
      </c>
      <c r="G1385" t="s">
        <v>130</v>
      </c>
      <c r="H1385" s="1">
        <v>46130</v>
      </c>
      <c r="I1385" t="s">
        <v>8122</v>
      </c>
      <c r="J1385" t="s">
        <v>8123</v>
      </c>
      <c r="K1385" t="s">
        <v>1061</v>
      </c>
      <c r="L1385" t="s">
        <v>622</v>
      </c>
      <c r="M1385" t="s">
        <v>3318</v>
      </c>
      <c r="N1385" s="166">
        <v>17.62</v>
      </c>
      <c r="O1385" t="s">
        <v>131</v>
      </c>
    </row>
    <row r="1386" spans="1:15">
      <c r="A1386" s="166" t="s">
        <v>8124</v>
      </c>
      <c r="B1386" t="s">
        <v>111</v>
      </c>
      <c r="C1386" t="s">
        <v>135</v>
      </c>
      <c r="D1386" t="s">
        <v>118</v>
      </c>
      <c r="E1386" t="s">
        <v>139</v>
      </c>
      <c r="F1386" t="s">
        <v>6</v>
      </c>
      <c r="G1386" t="s">
        <v>130</v>
      </c>
      <c r="H1386" s="1">
        <v>46130</v>
      </c>
      <c r="I1386" t="s">
        <v>8125</v>
      </c>
      <c r="J1386" t="s">
        <v>8126</v>
      </c>
      <c r="K1386" t="s">
        <v>1714</v>
      </c>
      <c r="L1386" t="s">
        <v>153</v>
      </c>
      <c r="M1386" t="s">
        <v>410</v>
      </c>
      <c r="N1386" s="166">
        <v>22.36</v>
      </c>
      <c r="O1386" t="s">
        <v>131</v>
      </c>
    </row>
    <row r="1387" spans="1:15">
      <c r="A1387" s="166" t="s">
        <v>8127</v>
      </c>
      <c r="B1387" t="s">
        <v>111</v>
      </c>
      <c r="C1387" t="s">
        <v>134</v>
      </c>
      <c r="D1387" t="s">
        <v>118</v>
      </c>
      <c r="E1387" t="s">
        <v>139</v>
      </c>
      <c r="F1387" t="s">
        <v>6</v>
      </c>
      <c r="G1387" t="s">
        <v>130</v>
      </c>
      <c r="H1387" s="1">
        <v>46130</v>
      </c>
      <c r="I1387" t="s">
        <v>8128</v>
      </c>
      <c r="J1387" t="s">
        <v>8129</v>
      </c>
      <c r="K1387" t="s">
        <v>2394</v>
      </c>
      <c r="L1387" t="s">
        <v>772</v>
      </c>
      <c r="M1387" t="s">
        <v>186</v>
      </c>
      <c r="N1387" s="166">
        <v>23.58</v>
      </c>
      <c r="O1387" t="s">
        <v>131</v>
      </c>
    </row>
    <row r="1388" spans="1:15">
      <c r="A1388" s="166" t="s">
        <v>8130</v>
      </c>
      <c r="B1388" t="s">
        <v>111</v>
      </c>
      <c r="C1388" t="s">
        <v>1104</v>
      </c>
      <c r="D1388" t="s">
        <v>118</v>
      </c>
      <c r="E1388" t="s">
        <v>139</v>
      </c>
      <c r="F1388" t="s">
        <v>6</v>
      </c>
      <c r="G1388" t="s">
        <v>130</v>
      </c>
      <c r="H1388" s="1">
        <v>46130</v>
      </c>
      <c r="I1388" t="s">
        <v>8131</v>
      </c>
      <c r="J1388" t="s">
        <v>8132</v>
      </c>
      <c r="K1388" t="s">
        <v>2843</v>
      </c>
      <c r="L1388" t="s">
        <v>1977</v>
      </c>
      <c r="M1388" t="s">
        <v>145</v>
      </c>
      <c r="N1388" s="166">
        <v>21.3</v>
      </c>
      <c r="O1388" t="s">
        <v>131</v>
      </c>
    </row>
    <row r="1389" spans="1:15">
      <c r="A1389" s="166" t="s">
        <v>8133</v>
      </c>
      <c r="B1389" t="s">
        <v>111</v>
      </c>
      <c r="C1389" t="s">
        <v>406</v>
      </c>
      <c r="D1389" t="s">
        <v>118</v>
      </c>
      <c r="E1389" t="s">
        <v>139</v>
      </c>
      <c r="F1389" t="s">
        <v>6</v>
      </c>
      <c r="G1389" t="s">
        <v>130</v>
      </c>
      <c r="H1389" s="1">
        <v>46130</v>
      </c>
      <c r="I1389" t="s">
        <v>8134</v>
      </c>
      <c r="J1389" t="s">
        <v>8135</v>
      </c>
      <c r="K1389" t="s">
        <v>2861</v>
      </c>
      <c r="L1389" t="s">
        <v>720</v>
      </c>
      <c r="M1389" t="s">
        <v>190</v>
      </c>
      <c r="N1389" s="166">
        <v>24.48</v>
      </c>
      <c r="O1389" t="s">
        <v>131</v>
      </c>
    </row>
    <row r="1390" spans="1:15">
      <c r="A1390" s="166" t="s">
        <v>8136</v>
      </c>
      <c r="B1390" t="s">
        <v>111</v>
      </c>
      <c r="C1390" t="s">
        <v>133</v>
      </c>
      <c r="D1390" t="s">
        <v>118</v>
      </c>
      <c r="E1390" t="s">
        <v>139</v>
      </c>
      <c r="F1390" t="s">
        <v>6</v>
      </c>
      <c r="G1390" t="s">
        <v>130</v>
      </c>
      <c r="H1390" s="1">
        <v>46130</v>
      </c>
      <c r="I1390" t="s">
        <v>8137</v>
      </c>
      <c r="J1390" t="s">
        <v>8138</v>
      </c>
      <c r="K1390" t="s">
        <v>6275</v>
      </c>
      <c r="L1390" t="s">
        <v>144</v>
      </c>
      <c r="M1390" t="s">
        <v>7428</v>
      </c>
      <c r="N1390" s="166">
        <v>23.44</v>
      </c>
      <c r="O1390" t="s">
        <v>131</v>
      </c>
    </row>
    <row r="1391" spans="1:15">
      <c r="A1391" s="166" t="s">
        <v>8139</v>
      </c>
      <c r="B1391" t="s">
        <v>111</v>
      </c>
      <c r="C1391" t="s">
        <v>136</v>
      </c>
      <c r="D1391" t="s">
        <v>118</v>
      </c>
      <c r="E1391" t="s">
        <v>139</v>
      </c>
      <c r="F1391" t="s">
        <v>6</v>
      </c>
      <c r="G1391" t="s">
        <v>130</v>
      </c>
      <c r="H1391" s="1">
        <v>46130</v>
      </c>
      <c r="I1391" t="s">
        <v>8140</v>
      </c>
      <c r="J1391" t="s">
        <v>8141</v>
      </c>
      <c r="K1391" t="s">
        <v>2585</v>
      </c>
      <c r="L1391" t="s">
        <v>149</v>
      </c>
      <c r="M1391" t="s">
        <v>546</v>
      </c>
      <c r="N1391" s="166">
        <v>22.38</v>
      </c>
      <c r="O1391" t="s">
        <v>131</v>
      </c>
    </row>
    <row r="1392" spans="1:15">
      <c r="A1392" s="166" t="s">
        <v>8142</v>
      </c>
      <c r="B1392" t="s">
        <v>111</v>
      </c>
      <c r="C1392" t="s">
        <v>135</v>
      </c>
      <c r="D1392" t="s">
        <v>118</v>
      </c>
      <c r="E1392" t="s">
        <v>139</v>
      </c>
      <c r="F1392" t="s">
        <v>6</v>
      </c>
      <c r="G1392" t="s">
        <v>130</v>
      </c>
      <c r="H1392" s="1">
        <v>46130</v>
      </c>
      <c r="I1392" t="s">
        <v>8143</v>
      </c>
      <c r="J1392" t="s">
        <v>8144</v>
      </c>
      <c r="K1392" t="s">
        <v>4347</v>
      </c>
      <c r="L1392" t="s">
        <v>153</v>
      </c>
      <c r="M1392" t="s">
        <v>751</v>
      </c>
      <c r="N1392" s="166">
        <v>20.88</v>
      </c>
      <c r="O1392" t="s">
        <v>131</v>
      </c>
    </row>
    <row r="1393" spans="1:15">
      <c r="A1393" s="166" t="s">
        <v>8145</v>
      </c>
      <c r="B1393" t="s">
        <v>111</v>
      </c>
      <c r="C1393" t="s">
        <v>134</v>
      </c>
      <c r="D1393" t="s">
        <v>118</v>
      </c>
      <c r="E1393" t="s">
        <v>139</v>
      </c>
      <c r="F1393" t="s">
        <v>6</v>
      </c>
      <c r="G1393" t="s">
        <v>130</v>
      </c>
      <c r="H1393" s="1">
        <v>46130</v>
      </c>
      <c r="I1393" t="s">
        <v>8146</v>
      </c>
      <c r="J1393" t="s">
        <v>8147</v>
      </c>
      <c r="K1393" t="s">
        <v>2559</v>
      </c>
      <c r="L1393" t="s">
        <v>162</v>
      </c>
      <c r="M1393" t="s">
        <v>751</v>
      </c>
      <c r="N1393" s="166">
        <v>20.88</v>
      </c>
      <c r="O1393" t="s">
        <v>131</v>
      </c>
    </row>
    <row r="1394" spans="1:15">
      <c r="A1394" s="166" t="s">
        <v>8148</v>
      </c>
      <c r="B1394" t="s">
        <v>111</v>
      </c>
      <c r="C1394" t="s">
        <v>406</v>
      </c>
      <c r="D1394" t="s">
        <v>118</v>
      </c>
      <c r="E1394" t="s">
        <v>139</v>
      </c>
      <c r="F1394" t="s">
        <v>6</v>
      </c>
      <c r="G1394" t="s">
        <v>130</v>
      </c>
      <c r="H1394" s="1">
        <v>46130</v>
      </c>
      <c r="I1394" t="s">
        <v>8149</v>
      </c>
      <c r="J1394" t="s">
        <v>8150</v>
      </c>
      <c r="K1394" t="s">
        <v>771</v>
      </c>
      <c r="L1394" t="s">
        <v>665</v>
      </c>
      <c r="M1394" t="s">
        <v>207</v>
      </c>
      <c r="N1394" s="166">
        <v>20.92</v>
      </c>
      <c r="O1394" t="s">
        <v>131</v>
      </c>
    </row>
    <row r="1395" spans="1:15">
      <c r="A1395" s="166" t="s">
        <v>8151</v>
      </c>
      <c r="B1395" t="s">
        <v>111</v>
      </c>
      <c r="C1395" t="s">
        <v>133</v>
      </c>
      <c r="D1395" t="s">
        <v>118</v>
      </c>
      <c r="E1395" t="s">
        <v>139</v>
      </c>
      <c r="F1395" t="s">
        <v>6</v>
      </c>
      <c r="G1395" t="s">
        <v>130</v>
      </c>
      <c r="H1395" s="1">
        <v>46130</v>
      </c>
      <c r="I1395" t="s">
        <v>8152</v>
      </c>
      <c r="J1395" t="s">
        <v>8153</v>
      </c>
      <c r="K1395" t="s">
        <v>2054</v>
      </c>
      <c r="L1395" t="s">
        <v>149</v>
      </c>
      <c r="M1395" t="s">
        <v>3967</v>
      </c>
      <c r="N1395" s="166">
        <v>17.88</v>
      </c>
      <c r="O1395" t="s">
        <v>131</v>
      </c>
    </row>
    <row r="1396" spans="1:15">
      <c r="A1396" s="166" t="s">
        <v>8154</v>
      </c>
      <c r="B1396" t="s">
        <v>111</v>
      </c>
      <c r="C1396" t="s">
        <v>1104</v>
      </c>
      <c r="D1396" t="s">
        <v>116</v>
      </c>
      <c r="E1396" t="s">
        <v>418</v>
      </c>
      <c r="F1396" t="s">
        <v>7</v>
      </c>
      <c r="G1396" t="s">
        <v>130</v>
      </c>
      <c r="H1396" s="1">
        <v>46130</v>
      </c>
      <c r="I1396" t="s">
        <v>8155</v>
      </c>
      <c r="J1396" t="s">
        <v>8156</v>
      </c>
      <c r="K1396" t="s">
        <v>1810</v>
      </c>
      <c r="L1396" t="s">
        <v>2473</v>
      </c>
      <c r="M1396" t="s">
        <v>3642</v>
      </c>
      <c r="N1396" s="166">
        <v>18.079999999999998</v>
      </c>
      <c r="O1396" t="s">
        <v>131</v>
      </c>
    </row>
    <row r="1397" spans="1:15">
      <c r="A1397" s="166" t="s">
        <v>8157</v>
      </c>
      <c r="B1397" t="s">
        <v>111</v>
      </c>
      <c r="C1397" t="s">
        <v>135</v>
      </c>
      <c r="D1397" t="s">
        <v>116</v>
      </c>
      <c r="E1397" t="s">
        <v>418</v>
      </c>
      <c r="F1397" t="s">
        <v>7</v>
      </c>
      <c r="G1397" t="s">
        <v>130</v>
      </c>
      <c r="H1397" s="1">
        <v>46130</v>
      </c>
      <c r="I1397" t="s">
        <v>8158</v>
      </c>
      <c r="J1397" t="s">
        <v>8159</v>
      </c>
      <c r="K1397" t="s">
        <v>2383</v>
      </c>
      <c r="L1397" t="s">
        <v>146</v>
      </c>
      <c r="M1397" t="s">
        <v>2091</v>
      </c>
      <c r="N1397" s="166">
        <v>18.02</v>
      </c>
      <c r="O1397" t="s">
        <v>131</v>
      </c>
    </row>
    <row r="1398" spans="1:15">
      <c r="A1398" s="166" t="s">
        <v>8160</v>
      </c>
      <c r="B1398" t="s">
        <v>111</v>
      </c>
      <c r="C1398" t="s">
        <v>1104</v>
      </c>
      <c r="D1398" t="s">
        <v>116</v>
      </c>
      <c r="E1398" t="s">
        <v>418</v>
      </c>
      <c r="F1398" t="s">
        <v>7</v>
      </c>
      <c r="G1398" t="s">
        <v>130</v>
      </c>
      <c r="H1398" s="1">
        <v>46130</v>
      </c>
      <c r="I1398" t="s">
        <v>8161</v>
      </c>
      <c r="J1398" t="s">
        <v>8162</v>
      </c>
      <c r="K1398" t="s">
        <v>1810</v>
      </c>
      <c r="L1398" t="s">
        <v>193</v>
      </c>
      <c r="M1398" t="s">
        <v>1057</v>
      </c>
      <c r="N1398" s="166">
        <v>20.14</v>
      </c>
      <c r="O1398" t="s">
        <v>131</v>
      </c>
    </row>
    <row r="1399" spans="1:15">
      <c r="A1399" s="166" t="s">
        <v>8163</v>
      </c>
      <c r="B1399" t="s">
        <v>111</v>
      </c>
      <c r="C1399" t="s">
        <v>135</v>
      </c>
      <c r="D1399" t="s">
        <v>118</v>
      </c>
      <c r="E1399" t="s">
        <v>6703</v>
      </c>
      <c r="F1399" t="s">
        <v>6</v>
      </c>
      <c r="G1399" t="s">
        <v>130</v>
      </c>
      <c r="H1399" s="1">
        <v>46130</v>
      </c>
      <c r="I1399" t="s">
        <v>8164</v>
      </c>
      <c r="J1399" t="s">
        <v>8165</v>
      </c>
      <c r="K1399" t="s">
        <v>480</v>
      </c>
      <c r="L1399" t="s">
        <v>157</v>
      </c>
      <c r="M1399" t="s">
        <v>3278</v>
      </c>
      <c r="N1399" s="166">
        <v>22.32</v>
      </c>
      <c r="O1399" t="s">
        <v>131</v>
      </c>
    </row>
    <row r="1400" spans="1:15">
      <c r="A1400" s="166" t="s">
        <v>8166</v>
      </c>
      <c r="B1400" t="s">
        <v>111</v>
      </c>
      <c r="C1400" t="s">
        <v>1104</v>
      </c>
      <c r="D1400" t="s">
        <v>118</v>
      </c>
      <c r="E1400" t="s">
        <v>6703</v>
      </c>
      <c r="F1400" t="s">
        <v>6</v>
      </c>
      <c r="G1400" t="s">
        <v>130</v>
      </c>
      <c r="H1400" s="1">
        <v>46130</v>
      </c>
      <c r="I1400" t="s">
        <v>8167</v>
      </c>
      <c r="J1400" t="s">
        <v>8168</v>
      </c>
      <c r="K1400" t="s">
        <v>497</v>
      </c>
      <c r="L1400" t="s">
        <v>3441</v>
      </c>
      <c r="M1400" t="s">
        <v>596</v>
      </c>
      <c r="N1400" s="166">
        <v>20.36</v>
      </c>
      <c r="O1400" t="s">
        <v>131</v>
      </c>
    </row>
    <row r="1401" spans="1:15">
      <c r="A1401" s="166" t="s">
        <v>8169</v>
      </c>
      <c r="B1401" t="s">
        <v>111</v>
      </c>
      <c r="C1401" t="s">
        <v>406</v>
      </c>
      <c r="D1401" t="s">
        <v>118</v>
      </c>
      <c r="E1401" t="s">
        <v>6703</v>
      </c>
      <c r="F1401" t="s">
        <v>6</v>
      </c>
      <c r="G1401" t="s">
        <v>130</v>
      </c>
      <c r="H1401" s="1">
        <v>46130</v>
      </c>
      <c r="I1401" t="s">
        <v>8170</v>
      </c>
      <c r="J1401" t="s">
        <v>8171</v>
      </c>
      <c r="K1401" t="s">
        <v>3168</v>
      </c>
      <c r="L1401" t="s">
        <v>149</v>
      </c>
      <c r="M1401" t="s">
        <v>1150</v>
      </c>
      <c r="N1401" s="166">
        <v>18.86</v>
      </c>
      <c r="O1401" t="s">
        <v>131</v>
      </c>
    </row>
    <row r="1402" spans="1:15">
      <c r="A1402" s="166" t="s">
        <v>8172</v>
      </c>
      <c r="B1402" t="s">
        <v>111</v>
      </c>
      <c r="C1402" t="s">
        <v>136</v>
      </c>
      <c r="D1402" t="s">
        <v>118</v>
      </c>
      <c r="E1402" t="s">
        <v>6703</v>
      </c>
      <c r="F1402" t="s">
        <v>6</v>
      </c>
      <c r="G1402" t="s">
        <v>130</v>
      </c>
      <c r="H1402" s="1">
        <v>46130</v>
      </c>
      <c r="I1402" t="s">
        <v>8173</v>
      </c>
      <c r="J1402" t="s">
        <v>8174</v>
      </c>
      <c r="K1402" t="s">
        <v>2430</v>
      </c>
      <c r="L1402" t="s">
        <v>633</v>
      </c>
      <c r="M1402" t="s">
        <v>1553</v>
      </c>
      <c r="N1402" s="166">
        <v>20.239999999999998</v>
      </c>
      <c r="O1402" t="s">
        <v>131</v>
      </c>
    </row>
    <row r="1403" spans="1:15">
      <c r="A1403" s="166" t="s">
        <v>8175</v>
      </c>
      <c r="B1403" t="s">
        <v>111</v>
      </c>
      <c r="C1403" t="s">
        <v>133</v>
      </c>
      <c r="D1403" t="s">
        <v>118</v>
      </c>
      <c r="E1403" t="s">
        <v>6703</v>
      </c>
      <c r="F1403" t="s">
        <v>6</v>
      </c>
      <c r="G1403" t="s">
        <v>130</v>
      </c>
      <c r="H1403" s="1">
        <v>46130</v>
      </c>
      <c r="I1403" t="s">
        <v>8176</v>
      </c>
      <c r="J1403" t="s">
        <v>8177</v>
      </c>
      <c r="K1403" t="s">
        <v>1056</v>
      </c>
      <c r="L1403" t="s">
        <v>665</v>
      </c>
      <c r="M1403" t="s">
        <v>2116</v>
      </c>
      <c r="N1403" s="166">
        <v>20.46</v>
      </c>
      <c r="O1403" t="s">
        <v>131</v>
      </c>
    </row>
    <row r="1404" spans="1:15">
      <c r="A1404" s="166" t="s">
        <v>1327</v>
      </c>
      <c r="B1404" t="s">
        <v>111</v>
      </c>
      <c r="C1404" t="s">
        <v>134</v>
      </c>
      <c r="D1404" t="s">
        <v>118</v>
      </c>
      <c r="E1404" t="s">
        <v>6703</v>
      </c>
      <c r="F1404" t="s">
        <v>6</v>
      </c>
      <c r="G1404" t="s">
        <v>130</v>
      </c>
      <c r="H1404" s="1">
        <v>46130</v>
      </c>
      <c r="I1404" t="s">
        <v>8178</v>
      </c>
      <c r="J1404" t="s">
        <v>8179</v>
      </c>
      <c r="K1404" t="s">
        <v>1514</v>
      </c>
      <c r="L1404" t="s">
        <v>831</v>
      </c>
      <c r="M1404" t="s">
        <v>1159</v>
      </c>
      <c r="N1404" s="166">
        <v>20.34</v>
      </c>
      <c r="O1404" t="s">
        <v>131</v>
      </c>
    </row>
    <row r="1405" spans="1:15">
      <c r="A1405" s="166" t="s">
        <v>8180</v>
      </c>
      <c r="B1405" t="s">
        <v>111</v>
      </c>
      <c r="C1405" t="s">
        <v>135</v>
      </c>
      <c r="D1405" t="s">
        <v>118</v>
      </c>
      <c r="E1405" t="s">
        <v>6703</v>
      </c>
      <c r="F1405" t="s">
        <v>6</v>
      </c>
      <c r="G1405" t="s">
        <v>130</v>
      </c>
      <c r="H1405" s="1">
        <v>46130</v>
      </c>
      <c r="I1405" t="s">
        <v>8181</v>
      </c>
      <c r="J1405" t="s">
        <v>8182</v>
      </c>
      <c r="K1405" t="s">
        <v>1564</v>
      </c>
      <c r="L1405" t="s">
        <v>165</v>
      </c>
      <c r="M1405" t="s">
        <v>176</v>
      </c>
      <c r="N1405" s="166">
        <v>23.02</v>
      </c>
      <c r="O1405" t="s">
        <v>131</v>
      </c>
    </row>
    <row r="1406" spans="1:15">
      <c r="A1406" s="166" t="s">
        <v>8183</v>
      </c>
      <c r="B1406" t="s">
        <v>111</v>
      </c>
      <c r="C1406" t="s">
        <v>1104</v>
      </c>
      <c r="D1406" t="s">
        <v>118</v>
      </c>
      <c r="E1406" t="s">
        <v>6703</v>
      </c>
      <c r="F1406" t="s">
        <v>6</v>
      </c>
      <c r="G1406" t="s">
        <v>130</v>
      </c>
      <c r="H1406" s="1">
        <v>46130</v>
      </c>
      <c r="I1406" t="s">
        <v>8184</v>
      </c>
      <c r="J1406" t="s">
        <v>8185</v>
      </c>
      <c r="K1406" t="s">
        <v>159</v>
      </c>
      <c r="L1406" t="s">
        <v>3441</v>
      </c>
      <c r="M1406" t="s">
        <v>5141</v>
      </c>
      <c r="N1406" s="166">
        <v>22.88</v>
      </c>
      <c r="O1406" t="s">
        <v>131</v>
      </c>
    </row>
    <row r="1407" spans="1:15">
      <c r="A1407" s="166" t="s">
        <v>8186</v>
      </c>
      <c r="B1407" t="s">
        <v>111</v>
      </c>
      <c r="C1407" t="s">
        <v>641</v>
      </c>
      <c r="D1407" t="s">
        <v>116</v>
      </c>
      <c r="E1407" t="s">
        <v>418</v>
      </c>
      <c r="F1407" t="s">
        <v>7285</v>
      </c>
      <c r="G1407" t="s">
        <v>130</v>
      </c>
      <c r="H1407" s="1">
        <v>46130</v>
      </c>
      <c r="I1407" t="s">
        <v>8187</v>
      </c>
      <c r="J1407" t="s">
        <v>8188</v>
      </c>
      <c r="K1407" t="s">
        <v>8189</v>
      </c>
      <c r="L1407" t="s">
        <v>801</v>
      </c>
      <c r="M1407" t="s">
        <v>8190</v>
      </c>
      <c r="N1407" s="166">
        <v>13.84</v>
      </c>
      <c r="O1407" t="s">
        <v>131</v>
      </c>
    </row>
    <row r="1408" spans="1:15">
      <c r="A1408" s="166" t="s">
        <v>8191</v>
      </c>
      <c r="B1408" t="s">
        <v>111</v>
      </c>
      <c r="C1408" t="s">
        <v>406</v>
      </c>
      <c r="D1408" t="s">
        <v>118</v>
      </c>
      <c r="E1408" t="s">
        <v>6703</v>
      </c>
      <c r="F1408" t="s">
        <v>6</v>
      </c>
      <c r="G1408" t="s">
        <v>130</v>
      </c>
      <c r="H1408" s="1">
        <v>46130</v>
      </c>
      <c r="I1408" t="s">
        <v>8192</v>
      </c>
      <c r="J1408" t="s">
        <v>8193</v>
      </c>
      <c r="K1408" t="s">
        <v>225</v>
      </c>
      <c r="L1408" t="s">
        <v>3032</v>
      </c>
      <c r="M1408" t="s">
        <v>660</v>
      </c>
      <c r="N1408" s="166">
        <v>22.3</v>
      </c>
      <c r="O1408" t="s">
        <v>131</v>
      </c>
    </row>
    <row r="1409" spans="1:15">
      <c r="A1409" s="166" t="s">
        <v>8194</v>
      </c>
      <c r="B1409" t="s">
        <v>111</v>
      </c>
      <c r="C1409" t="s">
        <v>136</v>
      </c>
      <c r="D1409" t="s">
        <v>116</v>
      </c>
      <c r="E1409" t="s">
        <v>418</v>
      </c>
      <c r="F1409" t="s">
        <v>7285</v>
      </c>
      <c r="G1409" t="s">
        <v>130</v>
      </c>
      <c r="H1409" s="1">
        <v>46130</v>
      </c>
      <c r="I1409" t="s">
        <v>8195</v>
      </c>
      <c r="J1409" t="s">
        <v>8196</v>
      </c>
      <c r="K1409" t="s">
        <v>3011</v>
      </c>
      <c r="L1409" t="s">
        <v>529</v>
      </c>
      <c r="M1409" t="s">
        <v>3857</v>
      </c>
      <c r="N1409" s="166">
        <v>17.84</v>
      </c>
      <c r="O1409" t="s">
        <v>131</v>
      </c>
    </row>
    <row r="1410" spans="1:15">
      <c r="A1410" s="166" t="s">
        <v>8197</v>
      </c>
      <c r="B1410" t="s">
        <v>111</v>
      </c>
      <c r="C1410" t="s">
        <v>134</v>
      </c>
      <c r="D1410" t="s">
        <v>118</v>
      </c>
      <c r="E1410" t="s">
        <v>6703</v>
      </c>
      <c r="F1410" t="s">
        <v>6</v>
      </c>
      <c r="G1410" t="s">
        <v>130</v>
      </c>
      <c r="H1410" s="1">
        <v>46130</v>
      </c>
      <c r="I1410" t="s">
        <v>8198</v>
      </c>
      <c r="J1410" t="s">
        <v>8199</v>
      </c>
      <c r="K1410" t="s">
        <v>4312</v>
      </c>
      <c r="L1410" t="s">
        <v>1072</v>
      </c>
      <c r="M1410" t="s">
        <v>6109</v>
      </c>
      <c r="N1410" s="166">
        <v>22.72</v>
      </c>
      <c r="O1410" t="s">
        <v>131</v>
      </c>
    </row>
    <row r="1411" spans="1:15">
      <c r="A1411" s="166" t="s">
        <v>8200</v>
      </c>
      <c r="B1411" t="s">
        <v>111</v>
      </c>
      <c r="C1411" t="s">
        <v>135</v>
      </c>
      <c r="D1411" t="s">
        <v>118</v>
      </c>
      <c r="E1411" t="s">
        <v>6703</v>
      </c>
      <c r="F1411" t="s">
        <v>6</v>
      </c>
      <c r="G1411" t="s">
        <v>130</v>
      </c>
      <c r="H1411" s="1">
        <v>46130</v>
      </c>
      <c r="I1411" t="s">
        <v>8201</v>
      </c>
      <c r="J1411" t="s">
        <v>8202</v>
      </c>
      <c r="K1411" t="s">
        <v>426</v>
      </c>
      <c r="L1411" t="s">
        <v>165</v>
      </c>
      <c r="M1411" t="s">
        <v>2653</v>
      </c>
      <c r="N1411" s="166">
        <v>21.16</v>
      </c>
      <c r="O1411" t="s">
        <v>131</v>
      </c>
    </row>
    <row r="1412" spans="1:15">
      <c r="A1412" s="166" t="s">
        <v>8203</v>
      </c>
      <c r="B1412" t="s">
        <v>111</v>
      </c>
      <c r="C1412" t="s">
        <v>133</v>
      </c>
      <c r="D1412" t="s">
        <v>116</v>
      </c>
      <c r="E1412" t="s">
        <v>418</v>
      </c>
      <c r="F1412" t="s">
        <v>7285</v>
      </c>
      <c r="G1412" t="s">
        <v>130</v>
      </c>
      <c r="H1412" s="1">
        <v>46130</v>
      </c>
      <c r="I1412" t="s">
        <v>8204</v>
      </c>
      <c r="J1412" t="s">
        <v>8205</v>
      </c>
      <c r="K1412" t="s">
        <v>2527</v>
      </c>
      <c r="L1412" t="s">
        <v>1072</v>
      </c>
      <c r="M1412" t="s">
        <v>1252</v>
      </c>
      <c r="N1412" s="166">
        <v>18.36</v>
      </c>
      <c r="O1412" t="s">
        <v>131</v>
      </c>
    </row>
    <row r="1413" spans="1:15">
      <c r="A1413" s="166" t="s">
        <v>8206</v>
      </c>
      <c r="B1413" t="s">
        <v>111</v>
      </c>
      <c r="C1413" t="s">
        <v>1104</v>
      </c>
      <c r="D1413" t="s">
        <v>118</v>
      </c>
      <c r="E1413" t="s">
        <v>6703</v>
      </c>
      <c r="F1413" t="s">
        <v>6</v>
      </c>
      <c r="G1413" t="s">
        <v>130</v>
      </c>
      <c r="H1413" s="1">
        <v>46130</v>
      </c>
      <c r="I1413" t="s">
        <v>8207</v>
      </c>
      <c r="J1413" t="s">
        <v>8208</v>
      </c>
      <c r="K1413" t="s">
        <v>3083</v>
      </c>
      <c r="L1413" t="s">
        <v>465</v>
      </c>
      <c r="M1413" t="s">
        <v>617</v>
      </c>
      <c r="N1413" s="166">
        <v>20.02</v>
      </c>
      <c r="O1413" t="s">
        <v>131</v>
      </c>
    </row>
    <row r="1414" spans="1:15">
      <c r="A1414" s="166" t="s">
        <v>8209</v>
      </c>
      <c r="B1414" t="s">
        <v>111</v>
      </c>
      <c r="C1414" t="s">
        <v>641</v>
      </c>
      <c r="D1414" t="s">
        <v>116</v>
      </c>
      <c r="E1414" t="s">
        <v>418</v>
      </c>
      <c r="F1414" t="s">
        <v>7285</v>
      </c>
      <c r="G1414" t="s">
        <v>130</v>
      </c>
      <c r="H1414" s="1">
        <v>46130</v>
      </c>
      <c r="I1414" t="s">
        <v>8210</v>
      </c>
      <c r="J1414" t="s">
        <v>8211</v>
      </c>
      <c r="K1414" t="s">
        <v>3818</v>
      </c>
      <c r="L1414" t="s">
        <v>772</v>
      </c>
      <c r="M1414" t="s">
        <v>2639</v>
      </c>
      <c r="N1414" s="166">
        <v>17.579999999999998</v>
      </c>
      <c r="O1414" t="s">
        <v>131</v>
      </c>
    </row>
    <row r="1415" spans="1:15">
      <c r="A1415" s="166" t="s">
        <v>8212</v>
      </c>
      <c r="B1415" t="s">
        <v>111</v>
      </c>
      <c r="C1415" t="s">
        <v>136</v>
      </c>
      <c r="D1415" t="s">
        <v>116</v>
      </c>
      <c r="E1415" t="s">
        <v>418</v>
      </c>
      <c r="F1415" t="s">
        <v>7285</v>
      </c>
      <c r="G1415" t="s">
        <v>130</v>
      </c>
      <c r="H1415" s="1">
        <v>46130</v>
      </c>
      <c r="I1415" t="s">
        <v>8213</v>
      </c>
      <c r="J1415" t="s">
        <v>8214</v>
      </c>
      <c r="K1415" t="s">
        <v>167</v>
      </c>
      <c r="L1415" t="s">
        <v>1582</v>
      </c>
      <c r="M1415" t="s">
        <v>1529</v>
      </c>
      <c r="N1415" s="166">
        <v>19.88</v>
      </c>
      <c r="O1415" t="s">
        <v>131</v>
      </c>
    </row>
    <row r="1416" spans="1:15">
      <c r="A1416" s="166" t="s">
        <v>8215</v>
      </c>
      <c r="B1416" t="s">
        <v>111</v>
      </c>
      <c r="C1416" t="s">
        <v>406</v>
      </c>
      <c r="D1416" t="s">
        <v>118</v>
      </c>
      <c r="E1416" t="s">
        <v>6703</v>
      </c>
      <c r="F1416" t="s">
        <v>6</v>
      </c>
      <c r="G1416" t="s">
        <v>130</v>
      </c>
      <c r="H1416" s="1">
        <v>46130</v>
      </c>
      <c r="I1416" t="s">
        <v>8216</v>
      </c>
      <c r="J1416" t="s">
        <v>8217</v>
      </c>
      <c r="K1416" t="s">
        <v>1568</v>
      </c>
      <c r="L1416" t="s">
        <v>1503</v>
      </c>
      <c r="M1416" t="s">
        <v>3076</v>
      </c>
      <c r="N1416" s="166">
        <v>23.42</v>
      </c>
      <c r="O1416" t="s">
        <v>131</v>
      </c>
    </row>
    <row r="1417" spans="1:15">
      <c r="A1417" s="166" t="s">
        <v>8218</v>
      </c>
      <c r="B1417" t="s">
        <v>111</v>
      </c>
      <c r="C1417" t="s">
        <v>133</v>
      </c>
      <c r="D1417" t="s">
        <v>116</v>
      </c>
      <c r="E1417" t="s">
        <v>418</v>
      </c>
      <c r="F1417" t="s">
        <v>7285</v>
      </c>
      <c r="G1417" t="s">
        <v>130</v>
      </c>
      <c r="H1417" s="1">
        <v>46130</v>
      </c>
      <c r="I1417" t="s">
        <v>8219</v>
      </c>
      <c r="J1417" t="s">
        <v>8220</v>
      </c>
      <c r="K1417" t="s">
        <v>2066</v>
      </c>
      <c r="L1417" t="s">
        <v>1072</v>
      </c>
      <c r="M1417" t="s">
        <v>1145</v>
      </c>
      <c r="N1417" s="166">
        <v>19.579999999999998</v>
      </c>
      <c r="O1417" t="s">
        <v>131</v>
      </c>
    </row>
    <row r="1418" spans="1:15">
      <c r="A1418" s="166" t="s">
        <v>8221</v>
      </c>
      <c r="B1418" t="s">
        <v>111</v>
      </c>
      <c r="C1418" t="s">
        <v>135</v>
      </c>
      <c r="D1418" t="s">
        <v>118</v>
      </c>
      <c r="E1418" t="s">
        <v>6703</v>
      </c>
      <c r="F1418" t="s">
        <v>6</v>
      </c>
      <c r="G1418" t="s">
        <v>130</v>
      </c>
      <c r="H1418" s="1">
        <v>46130</v>
      </c>
      <c r="I1418" t="s">
        <v>8222</v>
      </c>
      <c r="J1418" t="s">
        <v>8223</v>
      </c>
      <c r="K1418" t="s">
        <v>1193</v>
      </c>
      <c r="L1418" t="s">
        <v>163</v>
      </c>
      <c r="M1418" t="s">
        <v>591</v>
      </c>
      <c r="N1418" s="166">
        <v>22.92</v>
      </c>
      <c r="O1418" t="s">
        <v>131</v>
      </c>
    </row>
    <row r="1419" spans="1:15">
      <c r="A1419" s="166" t="s">
        <v>8224</v>
      </c>
      <c r="B1419" t="s">
        <v>111</v>
      </c>
      <c r="C1419" t="s">
        <v>134</v>
      </c>
      <c r="D1419" t="s">
        <v>118</v>
      </c>
      <c r="E1419" t="s">
        <v>6703</v>
      </c>
      <c r="F1419" t="s">
        <v>6</v>
      </c>
      <c r="G1419" t="s">
        <v>130</v>
      </c>
      <c r="H1419" s="1">
        <v>46130</v>
      </c>
      <c r="I1419" t="s">
        <v>8225</v>
      </c>
      <c r="J1419" t="s">
        <v>8226</v>
      </c>
      <c r="K1419" t="s">
        <v>475</v>
      </c>
      <c r="L1419" t="s">
        <v>144</v>
      </c>
      <c r="M1419" t="s">
        <v>460</v>
      </c>
      <c r="N1419" s="166">
        <v>21.28</v>
      </c>
      <c r="O1419" t="s">
        <v>131</v>
      </c>
    </row>
    <row r="1420" spans="1:15">
      <c r="A1420" s="166" t="s">
        <v>8227</v>
      </c>
      <c r="B1420" t="s">
        <v>111</v>
      </c>
      <c r="C1420" t="s">
        <v>641</v>
      </c>
      <c r="D1420" t="s">
        <v>116</v>
      </c>
      <c r="E1420" t="s">
        <v>418</v>
      </c>
      <c r="F1420" t="s">
        <v>7285</v>
      </c>
      <c r="G1420" t="s">
        <v>130</v>
      </c>
      <c r="H1420" s="1">
        <v>46130</v>
      </c>
      <c r="I1420" t="s">
        <v>8228</v>
      </c>
      <c r="J1420" t="s">
        <v>8229</v>
      </c>
      <c r="K1420" t="s">
        <v>191</v>
      </c>
      <c r="L1420" t="s">
        <v>616</v>
      </c>
      <c r="M1420" t="s">
        <v>481</v>
      </c>
      <c r="N1420" s="166">
        <v>22.4</v>
      </c>
      <c r="O1420" t="s">
        <v>131</v>
      </c>
    </row>
    <row r="1421" spans="1:15">
      <c r="A1421" s="166" t="s">
        <v>8230</v>
      </c>
      <c r="B1421" t="s">
        <v>111</v>
      </c>
      <c r="C1421" t="s">
        <v>1104</v>
      </c>
      <c r="D1421" t="s">
        <v>118</v>
      </c>
      <c r="E1421" t="s">
        <v>6703</v>
      </c>
      <c r="F1421" t="s">
        <v>6</v>
      </c>
      <c r="G1421" t="s">
        <v>130</v>
      </c>
      <c r="H1421" s="1">
        <v>46130</v>
      </c>
      <c r="I1421" t="s">
        <v>8231</v>
      </c>
      <c r="J1421" t="s">
        <v>8232</v>
      </c>
      <c r="K1421" t="s">
        <v>1222</v>
      </c>
      <c r="L1421" t="s">
        <v>465</v>
      </c>
      <c r="M1421" t="s">
        <v>639</v>
      </c>
      <c r="N1421" s="166">
        <v>21.02</v>
      </c>
      <c r="O1421" t="s">
        <v>131</v>
      </c>
    </row>
    <row r="1422" spans="1:15">
      <c r="A1422" s="166" t="s">
        <v>8233</v>
      </c>
      <c r="B1422" t="s">
        <v>111</v>
      </c>
      <c r="C1422" t="s">
        <v>136</v>
      </c>
      <c r="D1422" t="s">
        <v>116</v>
      </c>
      <c r="E1422" t="s">
        <v>418</v>
      </c>
      <c r="F1422" t="s">
        <v>7285</v>
      </c>
      <c r="G1422" t="s">
        <v>130</v>
      </c>
      <c r="H1422" s="1">
        <v>46130</v>
      </c>
      <c r="I1422" t="s">
        <v>8234</v>
      </c>
      <c r="J1422" t="s">
        <v>8235</v>
      </c>
      <c r="K1422" t="s">
        <v>4719</v>
      </c>
      <c r="L1422" t="s">
        <v>1560</v>
      </c>
      <c r="M1422" t="s">
        <v>1452</v>
      </c>
      <c r="N1422" s="166">
        <v>22.96</v>
      </c>
      <c r="O1422" t="s">
        <v>131</v>
      </c>
    </row>
    <row r="1423" spans="1:15">
      <c r="A1423" s="166" t="s">
        <v>8236</v>
      </c>
      <c r="B1423" t="s">
        <v>111</v>
      </c>
      <c r="C1423" t="s">
        <v>406</v>
      </c>
      <c r="D1423" t="s">
        <v>118</v>
      </c>
      <c r="E1423" t="s">
        <v>6703</v>
      </c>
      <c r="F1423" t="s">
        <v>6</v>
      </c>
      <c r="G1423" t="s">
        <v>130</v>
      </c>
      <c r="H1423" s="1">
        <v>46130</v>
      </c>
      <c r="I1423" t="s">
        <v>8237</v>
      </c>
      <c r="J1423" t="s">
        <v>8238</v>
      </c>
      <c r="K1423" t="s">
        <v>766</v>
      </c>
      <c r="L1423" t="s">
        <v>989</v>
      </c>
      <c r="M1423" t="s">
        <v>439</v>
      </c>
      <c r="N1423" s="166">
        <v>21.72</v>
      </c>
      <c r="O1423" t="s">
        <v>131</v>
      </c>
    </row>
    <row r="1424" spans="1:15">
      <c r="A1424" s="166" t="s">
        <v>1337</v>
      </c>
      <c r="B1424" t="s">
        <v>111</v>
      </c>
      <c r="C1424" t="s">
        <v>641</v>
      </c>
      <c r="D1424" t="s">
        <v>116</v>
      </c>
      <c r="E1424" t="s">
        <v>418</v>
      </c>
      <c r="F1424" t="s">
        <v>7285</v>
      </c>
      <c r="G1424" t="s">
        <v>130</v>
      </c>
      <c r="H1424" s="1">
        <v>46130</v>
      </c>
      <c r="I1424" t="s">
        <v>8239</v>
      </c>
      <c r="J1424" t="s">
        <v>8240</v>
      </c>
      <c r="K1424" t="s">
        <v>3942</v>
      </c>
      <c r="L1424" t="s">
        <v>786</v>
      </c>
      <c r="M1424" t="s">
        <v>145</v>
      </c>
      <c r="N1424" s="166">
        <v>21.3</v>
      </c>
      <c r="O1424" t="s">
        <v>131</v>
      </c>
    </row>
    <row r="1425" spans="1:15">
      <c r="A1425" s="166" t="s">
        <v>8241</v>
      </c>
      <c r="B1425" t="s">
        <v>111</v>
      </c>
      <c r="C1425" t="s">
        <v>135</v>
      </c>
      <c r="D1425" t="s">
        <v>118</v>
      </c>
      <c r="E1425" t="s">
        <v>6703</v>
      </c>
      <c r="F1425" t="s">
        <v>6</v>
      </c>
      <c r="G1425" t="s">
        <v>130</v>
      </c>
      <c r="H1425" s="1">
        <v>46130</v>
      </c>
      <c r="I1425" t="s">
        <v>8242</v>
      </c>
      <c r="J1425" t="s">
        <v>8243</v>
      </c>
      <c r="K1425" t="s">
        <v>1285</v>
      </c>
      <c r="L1425" t="s">
        <v>146</v>
      </c>
      <c r="M1425" t="s">
        <v>2560</v>
      </c>
      <c r="N1425" s="166">
        <v>20.6</v>
      </c>
      <c r="O1425" t="s">
        <v>131</v>
      </c>
    </row>
    <row r="1426" spans="1:15">
      <c r="A1426" s="166" t="s">
        <v>8244</v>
      </c>
      <c r="B1426" t="s">
        <v>111</v>
      </c>
      <c r="C1426" t="s">
        <v>134</v>
      </c>
      <c r="D1426" t="s">
        <v>118</v>
      </c>
      <c r="E1426" t="s">
        <v>6703</v>
      </c>
      <c r="F1426" t="s">
        <v>6</v>
      </c>
      <c r="G1426" t="s">
        <v>130</v>
      </c>
      <c r="H1426" s="1">
        <v>46130</v>
      </c>
      <c r="I1426" t="s">
        <v>8245</v>
      </c>
      <c r="J1426" t="s">
        <v>8246</v>
      </c>
      <c r="K1426" t="s">
        <v>2478</v>
      </c>
      <c r="L1426" t="s">
        <v>144</v>
      </c>
      <c r="M1426" t="s">
        <v>751</v>
      </c>
      <c r="N1426" s="166">
        <v>20.88</v>
      </c>
      <c r="O1426" t="s">
        <v>131</v>
      </c>
    </row>
    <row r="1427" spans="1:15">
      <c r="A1427" s="166" t="s">
        <v>8247</v>
      </c>
      <c r="B1427" t="s">
        <v>111</v>
      </c>
      <c r="C1427" t="s">
        <v>136</v>
      </c>
      <c r="D1427" t="s">
        <v>116</v>
      </c>
      <c r="E1427" t="s">
        <v>418</v>
      </c>
      <c r="F1427" t="s">
        <v>7285</v>
      </c>
      <c r="G1427" t="s">
        <v>130</v>
      </c>
      <c r="H1427" s="1">
        <v>46130</v>
      </c>
      <c r="I1427" t="s">
        <v>8248</v>
      </c>
      <c r="J1427" t="s">
        <v>8249</v>
      </c>
      <c r="K1427" t="s">
        <v>5176</v>
      </c>
      <c r="L1427" t="s">
        <v>1582</v>
      </c>
      <c r="M1427" t="s">
        <v>1168</v>
      </c>
      <c r="N1427" s="166">
        <v>18.5</v>
      </c>
      <c r="O1427" t="s">
        <v>131</v>
      </c>
    </row>
    <row r="1428" spans="1:15">
      <c r="A1428" s="166" t="s">
        <v>8250</v>
      </c>
      <c r="B1428" t="s">
        <v>111</v>
      </c>
      <c r="C1428" t="s">
        <v>1104</v>
      </c>
      <c r="D1428" t="s">
        <v>118</v>
      </c>
      <c r="E1428" t="s">
        <v>6703</v>
      </c>
      <c r="F1428" t="s">
        <v>6</v>
      </c>
      <c r="G1428" t="s">
        <v>130</v>
      </c>
      <c r="H1428" s="1">
        <v>46130</v>
      </c>
      <c r="I1428" t="s">
        <v>8251</v>
      </c>
      <c r="J1428" t="s">
        <v>8252</v>
      </c>
      <c r="K1428" t="s">
        <v>1285</v>
      </c>
      <c r="L1428" t="s">
        <v>180</v>
      </c>
      <c r="M1428" t="s">
        <v>1086</v>
      </c>
      <c r="N1428" s="166">
        <v>18.82</v>
      </c>
      <c r="O1428" t="s">
        <v>131</v>
      </c>
    </row>
    <row r="1429" spans="1:15">
      <c r="A1429" s="166" t="s">
        <v>8253</v>
      </c>
      <c r="B1429" t="s">
        <v>111</v>
      </c>
      <c r="C1429" t="s">
        <v>406</v>
      </c>
      <c r="D1429" t="s">
        <v>118</v>
      </c>
      <c r="E1429" t="s">
        <v>6703</v>
      </c>
      <c r="F1429" t="s">
        <v>6</v>
      </c>
      <c r="G1429" t="s">
        <v>130</v>
      </c>
      <c r="H1429" s="1">
        <v>46130</v>
      </c>
      <c r="I1429" t="s">
        <v>8254</v>
      </c>
      <c r="J1429" t="s">
        <v>8255</v>
      </c>
      <c r="K1429" t="s">
        <v>2686</v>
      </c>
      <c r="L1429" t="s">
        <v>3032</v>
      </c>
      <c r="M1429" t="s">
        <v>3318</v>
      </c>
      <c r="N1429" s="166">
        <v>17.62</v>
      </c>
      <c r="O1429" t="s">
        <v>131</v>
      </c>
    </row>
    <row r="1430" spans="1:15">
      <c r="A1430" s="166" t="s">
        <v>8256</v>
      </c>
      <c r="B1430" t="s">
        <v>111</v>
      </c>
      <c r="C1430" t="s">
        <v>133</v>
      </c>
      <c r="D1430" t="s">
        <v>116</v>
      </c>
      <c r="E1430" t="s">
        <v>418</v>
      </c>
      <c r="F1430" t="s">
        <v>7285</v>
      </c>
      <c r="G1430" t="s">
        <v>130</v>
      </c>
      <c r="H1430" s="1">
        <v>46130</v>
      </c>
      <c r="I1430" t="s">
        <v>8257</v>
      </c>
      <c r="J1430" t="s">
        <v>8258</v>
      </c>
      <c r="K1430" t="s">
        <v>2413</v>
      </c>
      <c r="L1430" t="s">
        <v>144</v>
      </c>
      <c r="M1430" t="s">
        <v>1244</v>
      </c>
      <c r="N1430" s="166">
        <v>21.8</v>
      </c>
      <c r="O1430" t="s">
        <v>131</v>
      </c>
    </row>
    <row r="1431" spans="1:15">
      <c r="A1431" s="166" t="s">
        <v>8259</v>
      </c>
      <c r="B1431" t="s">
        <v>111</v>
      </c>
      <c r="C1431" t="s">
        <v>641</v>
      </c>
      <c r="D1431" t="s">
        <v>116</v>
      </c>
      <c r="E1431" t="s">
        <v>418</v>
      </c>
      <c r="F1431" t="s">
        <v>7285</v>
      </c>
      <c r="G1431" t="s">
        <v>130</v>
      </c>
      <c r="H1431" s="1">
        <v>46130</v>
      </c>
      <c r="I1431" t="s">
        <v>8260</v>
      </c>
      <c r="J1431" t="s">
        <v>8261</v>
      </c>
      <c r="K1431" t="s">
        <v>4863</v>
      </c>
      <c r="L1431" t="s">
        <v>786</v>
      </c>
      <c r="M1431" t="s">
        <v>4148</v>
      </c>
      <c r="N1431" s="166">
        <v>17.899999999999999</v>
      </c>
      <c r="O1431" t="s">
        <v>131</v>
      </c>
    </row>
    <row r="1432" spans="1:15">
      <c r="A1432" s="166" t="s">
        <v>8262</v>
      </c>
      <c r="B1432" t="s">
        <v>111</v>
      </c>
      <c r="C1432" t="s">
        <v>136</v>
      </c>
      <c r="D1432" t="s">
        <v>116</v>
      </c>
      <c r="E1432" t="s">
        <v>418</v>
      </c>
      <c r="F1432" t="s">
        <v>7285</v>
      </c>
      <c r="G1432" t="s">
        <v>130</v>
      </c>
      <c r="H1432" s="1">
        <v>46130</v>
      </c>
      <c r="I1432" t="s">
        <v>8263</v>
      </c>
      <c r="J1432" t="s">
        <v>8264</v>
      </c>
      <c r="K1432" t="s">
        <v>2495</v>
      </c>
      <c r="L1432" t="s">
        <v>1582</v>
      </c>
      <c r="M1432" t="s">
        <v>1757</v>
      </c>
      <c r="N1432" s="166">
        <v>20.28</v>
      </c>
      <c r="O1432" t="s">
        <v>131</v>
      </c>
    </row>
    <row r="1433" spans="1:15">
      <c r="A1433" s="166" t="s">
        <v>8265</v>
      </c>
      <c r="B1433" t="s">
        <v>111</v>
      </c>
      <c r="C1433" t="s">
        <v>135</v>
      </c>
      <c r="D1433" t="s">
        <v>118</v>
      </c>
      <c r="E1433" t="s">
        <v>6703</v>
      </c>
      <c r="F1433" t="s">
        <v>6</v>
      </c>
      <c r="G1433" t="s">
        <v>130</v>
      </c>
      <c r="H1433" s="1">
        <v>46130</v>
      </c>
      <c r="I1433" t="s">
        <v>8266</v>
      </c>
      <c r="J1433" t="s">
        <v>8267</v>
      </c>
      <c r="K1433" t="s">
        <v>1429</v>
      </c>
      <c r="L1433" t="s">
        <v>157</v>
      </c>
      <c r="M1433" t="s">
        <v>1778</v>
      </c>
      <c r="N1433" s="166">
        <v>19.8</v>
      </c>
      <c r="O1433" t="s">
        <v>131</v>
      </c>
    </row>
    <row r="1434" spans="1:15">
      <c r="A1434" s="166" t="s">
        <v>8268</v>
      </c>
      <c r="B1434" t="s">
        <v>111</v>
      </c>
      <c r="C1434" t="s">
        <v>134</v>
      </c>
      <c r="D1434" t="s">
        <v>118</v>
      </c>
      <c r="E1434" t="s">
        <v>6703</v>
      </c>
      <c r="F1434" t="s">
        <v>6</v>
      </c>
      <c r="G1434" t="s">
        <v>130</v>
      </c>
      <c r="H1434" s="1">
        <v>46130</v>
      </c>
      <c r="I1434" t="s">
        <v>8269</v>
      </c>
      <c r="J1434" t="s">
        <v>8270</v>
      </c>
      <c r="K1434" t="s">
        <v>3546</v>
      </c>
      <c r="L1434" t="s">
        <v>3032</v>
      </c>
      <c r="M1434" t="s">
        <v>1663</v>
      </c>
      <c r="N1434" s="166">
        <v>19.18</v>
      </c>
      <c r="O1434" t="s">
        <v>131</v>
      </c>
    </row>
    <row r="1435" spans="1:15">
      <c r="A1435" s="166" t="s">
        <v>8271</v>
      </c>
      <c r="B1435" t="s">
        <v>111</v>
      </c>
      <c r="C1435" t="s">
        <v>133</v>
      </c>
      <c r="D1435" t="s">
        <v>116</v>
      </c>
      <c r="E1435" t="s">
        <v>418</v>
      </c>
      <c r="F1435" t="s">
        <v>7285</v>
      </c>
      <c r="G1435" t="s">
        <v>130</v>
      </c>
      <c r="H1435" s="1">
        <v>46130</v>
      </c>
      <c r="I1435" t="s">
        <v>8272</v>
      </c>
      <c r="J1435" t="s">
        <v>8273</v>
      </c>
      <c r="K1435" t="s">
        <v>1463</v>
      </c>
      <c r="L1435" t="s">
        <v>162</v>
      </c>
      <c r="M1435" t="s">
        <v>510</v>
      </c>
      <c r="N1435" s="166">
        <v>22.18</v>
      </c>
      <c r="O1435" t="s">
        <v>131</v>
      </c>
    </row>
    <row r="1436" spans="1:15">
      <c r="A1436" s="166" t="s">
        <v>8274</v>
      </c>
      <c r="B1436" t="s">
        <v>111</v>
      </c>
      <c r="C1436" t="s">
        <v>1104</v>
      </c>
      <c r="D1436" t="s">
        <v>118</v>
      </c>
      <c r="E1436" t="s">
        <v>6703</v>
      </c>
      <c r="F1436" t="s">
        <v>6</v>
      </c>
      <c r="G1436" t="s">
        <v>130</v>
      </c>
      <c r="H1436" s="1">
        <v>46130</v>
      </c>
      <c r="I1436" t="s">
        <v>8275</v>
      </c>
      <c r="J1436" t="s">
        <v>8276</v>
      </c>
      <c r="K1436" t="s">
        <v>921</v>
      </c>
      <c r="L1436" t="s">
        <v>147</v>
      </c>
      <c r="M1436" t="s">
        <v>536</v>
      </c>
      <c r="N1436" s="166">
        <v>24.9</v>
      </c>
      <c r="O1436" t="s">
        <v>131</v>
      </c>
    </row>
    <row r="1437" spans="1:15">
      <c r="A1437" s="166" t="s">
        <v>8277</v>
      </c>
      <c r="B1437" t="s">
        <v>111</v>
      </c>
      <c r="C1437" t="s">
        <v>641</v>
      </c>
      <c r="D1437" t="s">
        <v>116</v>
      </c>
      <c r="E1437" t="s">
        <v>418</v>
      </c>
      <c r="F1437" t="s">
        <v>7285</v>
      </c>
      <c r="G1437" t="s">
        <v>130</v>
      </c>
      <c r="H1437" s="1">
        <v>46130</v>
      </c>
      <c r="I1437" t="s">
        <v>8278</v>
      </c>
      <c r="J1437" t="s">
        <v>8279</v>
      </c>
      <c r="K1437" t="s">
        <v>150</v>
      </c>
      <c r="L1437" t="s">
        <v>772</v>
      </c>
      <c r="M1437" t="s">
        <v>1587</v>
      </c>
      <c r="N1437" s="166">
        <v>20.5</v>
      </c>
      <c r="O1437" t="s">
        <v>131</v>
      </c>
    </row>
    <row r="1438" spans="1:15">
      <c r="A1438" s="166" t="s">
        <v>8280</v>
      </c>
      <c r="B1438" t="s">
        <v>111</v>
      </c>
      <c r="C1438" t="s">
        <v>406</v>
      </c>
      <c r="D1438" t="s">
        <v>118</v>
      </c>
      <c r="E1438" t="s">
        <v>6703</v>
      </c>
      <c r="F1438" t="s">
        <v>6</v>
      </c>
      <c r="G1438" t="s">
        <v>130</v>
      </c>
      <c r="H1438" s="1">
        <v>46130</v>
      </c>
      <c r="I1438" t="s">
        <v>8281</v>
      </c>
      <c r="J1438" t="s">
        <v>8282</v>
      </c>
      <c r="K1438" t="s">
        <v>1332</v>
      </c>
      <c r="L1438" t="s">
        <v>622</v>
      </c>
      <c r="M1438" t="s">
        <v>1173</v>
      </c>
      <c r="N1438" s="166">
        <v>19.34</v>
      </c>
      <c r="O1438" t="s">
        <v>131</v>
      </c>
    </row>
    <row r="1439" spans="1:15">
      <c r="A1439" s="166" t="s">
        <v>8283</v>
      </c>
      <c r="B1439" t="s">
        <v>111</v>
      </c>
      <c r="C1439" t="s">
        <v>136</v>
      </c>
      <c r="D1439" t="s">
        <v>116</v>
      </c>
      <c r="E1439" t="s">
        <v>418</v>
      </c>
      <c r="F1439" t="s">
        <v>7285</v>
      </c>
      <c r="G1439" t="s">
        <v>130</v>
      </c>
      <c r="H1439" s="1">
        <v>46130</v>
      </c>
      <c r="I1439" t="s">
        <v>8284</v>
      </c>
      <c r="J1439" t="s">
        <v>8285</v>
      </c>
      <c r="K1439" t="s">
        <v>1154</v>
      </c>
      <c r="L1439" t="s">
        <v>148</v>
      </c>
      <c r="M1439" t="s">
        <v>1907</v>
      </c>
      <c r="N1439" s="166">
        <v>19.66</v>
      </c>
      <c r="O1439" t="s">
        <v>131</v>
      </c>
    </row>
    <row r="1440" spans="1:15">
      <c r="A1440" s="166" t="s">
        <v>8286</v>
      </c>
      <c r="B1440" t="s">
        <v>111</v>
      </c>
      <c r="C1440" t="s">
        <v>133</v>
      </c>
      <c r="D1440" t="s">
        <v>116</v>
      </c>
      <c r="E1440" t="s">
        <v>418</v>
      </c>
      <c r="F1440" t="s">
        <v>7</v>
      </c>
      <c r="G1440" t="s">
        <v>130</v>
      </c>
      <c r="H1440" s="1">
        <v>46130</v>
      </c>
      <c r="I1440" t="s">
        <v>8287</v>
      </c>
      <c r="J1440" t="s">
        <v>8288</v>
      </c>
      <c r="K1440" t="s">
        <v>8289</v>
      </c>
      <c r="L1440" t="s">
        <v>714</v>
      </c>
      <c r="M1440" t="s">
        <v>8290</v>
      </c>
      <c r="N1440" s="166">
        <v>30.46</v>
      </c>
      <c r="O1440" t="s">
        <v>131</v>
      </c>
    </row>
    <row r="1441" spans="1:15">
      <c r="A1441" s="166" t="s">
        <v>8291</v>
      </c>
      <c r="B1441" t="s">
        <v>111</v>
      </c>
      <c r="C1441" t="s">
        <v>135</v>
      </c>
      <c r="D1441" t="s">
        <v>118</v>
      </c>
      <c r="E1441" t="s">
        <v>6703</v>
      </c>
      <c r="F1441" t="s">
        <v>6</v>
      </c>
      <c r="G1441" t="s">
        <v>130</v>
      </c>
      <c r="H1441" s="1">
        <v>46130</v>
      </c>
      <c r="I1441" t="s">
        <v>8292</v>
      </c>
      <c r="J1441" t="s">
        <v>8293</v>
      </c>
      <c r="K1441" t="s">
        <v>2301</v>
      </c>
      <c r="L1441" t="s">
        <v>157</v>
      </c>
      <c r="M1441" t="s">
        <v>1682</v>
      </c>
      <c r="N1441" s="166">
        <v>19.82</v>
      </c>
      <c r="O1441" t="s">
        <v>131</v>
      </c>
    </row>
    <row r="1442" spans="1:15">
      <c r="A1442" s="166" t="s">
        <v>8294</v>
      </c>
      <c r="B1442" t="s">
        <v>111</v>
      </c>
      <c r="C1442" t="s">
        <v>134</v>
      </c>
      <c r="D1442" t="s">
        <v>118</v>
      </c>
      <c r="E1442" t="s">
        <v>6703</v>
      </c>
      <c r="F1442" t="s">
        <v>6</v>
      </c>
      <c r="G1442" t="s">
        <v>130</v>
      </c>
      <c r="H1442" s="1">
        <v>46130</v>
      </c>
      <c r="I1442" t="s">
        <v>8295</v>
      </c>
      <c r="J1442" t="s">
        <v>8296</v>
      </c>
      <c r="K1442" t="s">
        <v>595</v>
      </c>
      <c r="L1442" t="s">
        <v>1072</v>
      </c>
      <c r="M1442" t="s">
        <v>1421</v>
      </c>
      <c r="N1442" s="166">
        <v>19.7</v>
      </c>
      <c r="O1442" t="s">
        <v>131</v>
      </c>
    </row>
    <row r="1443" spans="1:15">
      <c r="A1443" s="166" t="s">
        <v>8297</v>
      </c>
      <c r="B1443" t="s">
        <v>111</v>
      </c>
      <c r="C1443" t="s">
        <v>641</v>
      </c>
      <c r="D1443" t="s">
        <v>116</v>
      </c>
      <c r="E1443" t="s">
        <v>418</v>
      </c>
      <c r="F1443" t="s">
        <v>7</v>
      </c>
      <c r="G1443" t="s">
        <v>130</v>
      </c>
      <c r="H1443" s="1">
        <v>46130</v>
      </c>
      <c r="I1443" t="s">
        <v>8298</v>
      </c>
      <c r="J1443" t="s">
        <v>8299</v>
      </c>
      <c r="K1443" t="s">
        <v>8300</v>
      </c>
      <c r="L1443" t="s">
        <v>801</v>
      </c>
      <c r="M1443" t="s">
        <v>192</v>
      </c>
      <c r="N1443" s="166">
        <v>38.119999999999997</v>
      </c>
      <c r="O1443" t="s">
        <v>131</v>
      </c>
    </row>
    <row r="1444" spans="1:15">
      <c r="A1444" s="166" t="s">
        <v>790</v>
      </c>
      <c r="B1444" t="s">
        <v>111</v>
      </c>
      <c r="C1444" t="s">
        <v>1104</v>
      </c>
      <c r="D1444" t="s">
        <v>118</v>
      </c>
      <c r="E1444" t="s">
        <v>6703</v>
      </c>
      <c r="F1444" t="s">
        <v>6</v>
      </c>
      <c r="G1444" t="s">
        <v>130</v>
      </c>
      <c r="H1444" s="1">
        <v>46130</v>
      </c>
      <c r="I1444" t="s">
        <v>8301</v>
      </c>
      <c r="J1444" t="s">
        <v>8302</v>
      </c>
      <c r="K1444" t="s">
        <v>2430</v>
      </c>
      <c r="L1444" t="s">
        <v>2572</v>
      </c>
      <c r="M1444" t="s">
        <v>1573</v>
      </c>
      <c r="N1444" s="166">
        <v>18.32</v>
      </c>
      <c r="O1444" t="s">
        <v>131</v>
      </c>
    </row>
    <row r="1445" spans="1:15">
      <c r="A1445" s="166" t="s">
        <v>8303</v>
      </c>
      <c r="B1445" t="s">
        <v>111</v>
      </c>
      <c r="C1445" t="s">
        <v>406</v>
      </c>
      <c r="D1445" t="s">
        <v>118</v>
      </c>
      <c r="E1445" t="s">
        <v>6703</v>
      </c>
      <c r="F1445" t="s">
        <v>6</v>
      </c>
      <c r="G1445" t="s">
        <v>130</v>
      </c>
      <c r="H1445" s="1">
        <v>46131</v>
      </c>
      <c r="I1445" t="s">
        <v>8304</v>
      </c>
      <c r="J1445" t="s">
        <v>8305</v>
      </c>
      <c r="K1445" t="s">
        <v>595</v>
      </c>
      <c r="L1445" t="s">
        <v>622</v>
      </c>
      <c r="M1445" t="s">
        <v>3582</v>
      </c>
      <c r="N1445" s="166">
        <v>19.72</v>
      </c>
      <c r="O1445" t="s">
        <v>131</v>
      </c>
    </row>
    <row r="1446" spans="1:15">
      <c r="A1446" s="166" t="s">
        <v>8306</v>
      </c>
      <c r="B1446" t="s">
        <v>111</v>
      </c>
      <c r="C1446" t="s">
        <v>136</v>
      </c>
      <c r="D1446" t="s">
        <v>116</v>
      </c>
      <c r="E1446" t="s">
        <v>138</v>
      </c>
      <c r="F1446" t="s">
        <v>7</v>
      </c>
      <c r="G1446" t="s">
        <v>130</v>
      </c>
      <c r="H1446" s="1">
        <v>46131</v>
      </c>
      <c r="I1446" t="s">
        <v>8307</v>
      </c>
      <c r="J1446" t="s">
        <v>8308</v>
      </c>
      <c r="K1446" t="s">
        <v>8309</v>
      </c>
      <c r="L1446" t="s">
        <v>1503</v>
      </c>
      <c r="M1446" t="s">
        <v>3538</v>
      </c>
      <c r="N1446" s="166">
        <v>34.6</v>
      </c>
      <c r="O1446" t="s">
        <v>131</v>
      </c>
    </row>
    <row r="1447" spans="1:15">
      <c r="A1447" s="166" t="s">
        <v>8310</v>
      </c>
      <c r="B1447" t="s">
        <v>111</v>
      </c>
      <c r="C1447" t="s">
        <v>135</v>
      </c>
      <c r="D1447" t="s">
        <v>118</v>
      </c>
      <c r="E1447" t="s">
        <v>6703</v>
      </c>
      <c r="F1447" t="s">
        <v>6</v>
      </c>
      <c r="G1447" t="s">
        <v>130</v>
      </c>
      <c r="H1447" s="1">
        <v>46131</v>
      </c>
      <c r="I1447" t="s">
        <v>8311</v>
      </c>
      <c r="J1447" t="s">
        <v>8312</v>
      </c>
      <c r="K1447" t="s">
        <v>755</v>
      </c>
      <c r="L1447" t="s">
        <v>152</v>
      </c>
      <c r="M1447" t="s">
        <v>187</v>
      </c>
      <c r="N1447" s="166">
        <v>22.74</v>
      </c>
      <c r="O1447" t="s">
        <v>131</v>
      </c>
    </row>
    <row r="1448" spans="1:15">
      <c r="A1448" s="166" t="s">
        <v>8313</v>
      </c>
      <c r="B1448" t="s">
        <v>111</v>
      </c>
      <c r="C1448" t="s">
        <v>134</v>
      </c>
      <c r="D1448" t="s">
        <v>118</v>
      </c>
      <c r="E1448" t="s">
        <v>6703</v>
      </c>
      <c r="F1448" t="s">
        <v>6</v>
      </c>
      <c r="G1448" t="s">
        <v>130</v>
      </c>
      <c r="H1448" s="1">
        <v>46131</v>
      </c>
      <c r="I1448" t="s">
        <v>8314</v>
      </c>
      <c r="J1448" t="s">
        <v>8315</v>
      </c>
      <c r="K1448" t="s">
        <v>1880</v>
      </c>
      <c r="L1448" t="s">
        <v>144</v>
      </c>
      <c r="M1448" t="s">
        <v>541</v>
      </c>
      <c r="N1448" s="166">
        <v>21.18</v>
      </c>
      <c r="O1448" t="s">
        <v>131</v>
      </c>
    </row>
    <row r="1449" spans="1:15">
      <c r="A1449" s="166" t="s">
        <v>8316</v>
      </c>
      <c r="B1449" t="s">
        <v>111</v>
      </c>
      <c r="C1449" t="s">
        <v>1104</v>
      </c>
      <c r="D1449" t="s">
        <v>118</v>
      </c>
      <c r="E1449" t="s">
        <v>6703</v>
      </c>
      <c r="F1449" t="s">
        <v>6</v>
      </c>
      <c r="G1449" t="s">
        <v>130</v>
      </c>
      <c r="H1449" s="1">
        <v>46131</v>
      </c>
      <c r="I1449" t="s">
        <v>8317</v>
      </c>
      <c r="J1449" t="s">
        <v>8318</v>
      </c>
      <c r="K1449" t="s">
        <v>215</v>
      </c>
      <c r="L1449" t="s">
        <v>1823</v>
      </c>
      <c r="M1449" t="s">
        <v>1347</v>
      </c>
      <c r="N1449" s="166">
        <v>19.2</v>
      </c>
      <c r="O1449" t="s">
        <v>131</v>
      </c>
    </row>
    <row r="1450" spans="1:15">
      <c r="A1450" s="166" t="s">
        <v>8319</v>
      </c>
      <c r="B1450" t="s">
        <v>111</v>
      </c>
      <c r="C1450" t="s">
        <v>406</v>
      </c>
      <c r="D1450" t="s">
        <v>118</v>
      </c>
      <c r="E1450" t="s">
        <v>6703</v>
      </c>
      <c r="F1450" t="s">
        <v>6</v>
      </c>
      <c r="G1450" t="s">
        <v>130</v>
      </c>
      <c r="H1450" s="1">
        <v>46131</v>
      </c>
      <c r="I1450" t="s">
        <v>8320</v>
      </c>
      <c r="J1450" t="s">
        <v>8321</v>
      </c>
      <c r="K1450" t="s">
        <v>1342</v>
      </c>
      <c r="L1450" t="s">
        <v>193</v>
      </c>
      <c r="M1450" t="s">
        <v>1412</v>
      </c>
      <c r="N1450" s="166">
        <v>18.62</v>
      </c>
      <c r="O1450" t="s">
        <v>131</v>
      </c>
    </row>
    <row r="1451" spans="1:15">
      <c r="A1451" s="166" t="s">
        <v>8322</v>
      </c>
      <c r="B1451" t="s">
        <v>111</v>
      </c>
      <c r="C1451" t="s">
        <v>135</v>
      </c>
      <c r="D1451" t="s">
        <v>118</v>
      </c>
      <c r="E1451" t="s">
        <v>6703</v>
      </c>
      <c r="F1451" t="s">
        <v>6</v>
      </c>
      <c r="G1451" t="s">
        <v>130</v>
      </c>
      <c r="H1451" s="1">
        <v>46131</v>
      </c>
      <c r="I1451" t="s">
        <v>8323</v>
      </c>
      <c r="J1451" t="s">
        <v>8324</v>
      </c>
      <c r="K1451" t="s">
        <v>627</v>
      </c>
      <c r="L1451" t="s">
        <v>168</v>
      </c>
      <c r="M1451" t="s">
        <v>2653</v>
      </c>
      <c r="N1451" s="166">
        <v>21.16</v>
      </c>
      <c r="O1451" t="s">
        <v>131</v>
      </c>
    </row>
    <row r="1452" spans="1:15">
      <c r="A1452" s="166" t="s">
        <v>8325</v>
      </c>
      <c r="B1452" t="s">
        <v>111</v>
      </c>
      <c r="C1452" t="s">
        <v>134</v>
      </c>
      <c r="D1452" t="s">
        <v>118</v>
      </c>
      <c r="E1452" t="s">
        <v>6703</v>
      </c>
      <c r="F1452" t="s">
        <v>6</v>
      </c>
      <c r="G1452" t="s">
        <v>130</v>
      </c>
      <c r="H1452" s="1">
        <v>46131</v>
      </c>
      <c r="I1452" t="s">
        <v>8326</v>
      </c>
      <c r="J1452" t="s">
        <v>8327</v>
      </c>
      <c r="K1452" t="s">
        <v>1193</v>
      </c>
      <c r="L1452" t="s">
        <v>149</v>
      </c>
      <c r="M1452" t="s">
        <v>481</v>
      </c>
      <c r="N1452" s="166">
        <v>22.4</v>
      </c>
      <c r="O1452" t="s">
        <v>131</v>
      </c>
    </row>
    <row r="1453" spans="1:15">
      <c r="A1453" s="166" t="s">
        <v>8328</v>
      </c>
      <c r="B1453" t="s">
        <v>111</v>
      </c>
      <c r="C1453" t="s">
        <v>1104</v>
      </c>
      <c r="D1453" t="s">
        <v>118</v>
      </c>
      <c r="E1453" t="s">
        <v>6703</v>
      </c>
      <c r="F1453" t="s">
        <v>6</v>
      </c>
      <c r="G1453" t="s">
        <v>130</v>
      </c>
      <c r="H1453" s="1">
        <v>46131</v>
      </c>
      <c r="I1453" t="s">
        <v>8329</v>
      </c>
      <c r="J1453" t="s">
        <v>8330</v>
      </c>
      <c r="K1453" t="s">
        <v>3479</v>
      </c>
      <c r="L1453" t="s">
        <v>3967</v>
      </c>
      <c r="M1453" t="s">
        <v>1850</v>
      </c>
      <c r="N1453" s="166">
        <v>19.739999999999998</v>
      </c>
      <c r="O1453" t="s">
        <v>131</v>
      </c>
    </row>
    <row r="1454" spans="1:15">
      <c r="A1454" s="166" t="s">
        <v>8331</v>
      </c>
      <c r="B1454" t="s">
        <v>111</v>
      </c>
      <c r="C1454" t="s">
        <v>136</v>
      </c>
      <c r="D1454" t="s">
        <v>118</v>
      </c>
      <c r="E1454" t="s">
        <v>2618</v>
      </c>
      <c r="F1454" t="s">
        <v>6</v>
      </c>
      <c r="G1454" t="s">
        <v>130</v>
      </c>
      <c r="H1454" s="1">
        <v>46131</v>
      </c>
      <c r="I1454" t="s">
        <v>8332</v>
      </c>
      <c r="J1454" t="s">
        <v>8333</v>
      </c>
      <c r="K1454" t="s">
        <v>1709</v>
      </c>
      <c r="L1454" t="s">
        <v>720</v>
      </c>
      <c r="M1454" t="s">
        <v>1934</v>
      </c>
      <c r="N1454" s="166">
        <v>19.62</v>
      </c>
      <c r="O1454" t="s">
        <v>131</v>
      </c>
    </row>
    <row r="1455" spans="1:15">
      <c r="A1455" s="166" t="s">
        <v>8334</v>
      </c>
      <c r="B1455" t="s">
        <v>111</v>
      </c>
      <c r="C1455" t="s">
        <v>133</v>
      </c>
      <c r="D1455" t="s">
        <v>118</v>
      </c>
      <c r="E1455" t="s">
        <v>2618</v>
      </c>
      <c r="F1455" t="s">
        <v>6</v>
      </c>
      <c r="G1455" t="s">
        <v>130</v>
      </c>
      <c r="H1455" s="1">
        <v>46131</v>
      </c>
      <c r="I1455" t="s">
        <v>8335</v>
      </c>
      <c r="J1455" t="s">
        <v>8336</v>
      </c>
      <c r="K1455" t="s">
        <v>6923</v>
      </c>
      <c r="L1455" t="s">
        <v>831</v>
      </c>
      <c r="M1455" t="s">
        <v>3311</v>
      </c>
      <c r="N1455" s="166">
        <v>23.64</v>
      </c>
      <c r="O1455" t="s">
        <v>131</v>
      </c>
    </row>
    <row r="1456" spans="1:15">
      <c r="A1456" s="166" t="s">
        <v>8337</v>
      </c>
      <c r="B1456" t="s">
        <v>111</v>
      </c>
      <c r="C1456" t="s">
        <v>1104</v>
      </c>
      <c r="D1456" t="s">
        <v>118</v>
      </c>
      <c r="E1456" t="s">
        <v>2618</v>
      </c>
      <c r="F1456" t="s">
        <v>6</v>
      </c>
      <c r="G1456" t="s">
        <v>130</v>
      </c>
      <c r="H1456" s="1">
        <v>46131</v>
      </c>
      <c r="I1456" t="s">
        <v>8338</v>
      </c>
      <c r="J1456" t="s">
        <v>8339</v>
      </c>
      <c r="K1456" t="s">
        <v>1300</v>
      </c>
      <c r="L1456" t="s">
        <v>714</v>
      </c>
      <c r="M1456" t="s">
        <v>1168</v>
      </c>
      <c r="N1456" s="166">
        <v>18.5</v>
      </c>
      <c r="O1456" t="s">
        <v>131</v>
      </c>
    </row>
    <row r="1457" spans="1:15">
      <c r="A1457" s="166" t="s">
        <v>8340</v>
      </c>
      <c r="B1457" t="s">
        <v>111</v>
      </c>
      <c r="C1457" t="s">
        <v>406</v>
      </c>
      <c r="D1457" t="s">
        <v>116</v>
      </c>
      <c r="E1457" t="s">
        <v>138</v>
      </c>
      <c r="F1457" t="s">
        <v>6</v>
      </c>
      <c r="G1457" t="s">
        <v>130</v>
      </c>
      <c r="H1457" s="1">
        <v>46131</v>
      </c>
      <c r="I1457" t="s">
        <v>8341</v>
      </c>
      <c r="J1457" t="s">
        <v>8342</v>
      </c>
      <c r="K1457" t="s">
        <v>167</v>
      </c>
      <c r="L1457" t="s">
        <v>149</v>
      </c>
      <c r="M1457" t="s">
        <v>1988</v>
      </c>
      <c r="N1457" s="166">
        <v>19.600000000000001</v>
      </c>
      <c r="O1457" t="s">
        <v>131</v>
      </c>
    </row>
    <row r="1458" spans="1:15">
      <c r="A1458" s="166" t="s">
        <v>8343</v>
      </c>
      <c r="B1458" t="s">
        <v>111</v>
      </c>
      <c r="C1458" t="s">
        <v>136</v>
      </c>
      <c r="D1458" t="s">
        <v>118</v>
      </c>
      <c r="E1458" t="s">
        <v>2618</v>
      </c>
      <c r="F1458" t="s">
        <v>7</v>
      </c>
      <c r="G1458" t="s">
        <v>130</v>
      </c>
      <c r="H1458" s="1">
        <v>46131</v>
      </c>
      <c r="I1458" t="s">
        <v>8344</v>
      </c>
      <c r="J1458" t="s">
        <v>8345</v>
      </c>
      <c r="K1458" t="s">
        <v>573</v>
      </c>
      <c r="L1458" t="s">
        <v>761</v>
      </c>
      <c r="M1458" t="s">
        <v>1587</v>
      </c>
      <c r="N1458" s="166">
        <v>20.5</v>
      </c>
      <c r="O1458" t="s">
        <v>131</v>
      </c>
    </row>
    <row r="1459" spans="1:15">
      <c r="A1459" s="166" t="s">
        <v>8346</v>
      </c>
      <c r="B1459" t="s">
        <v>111</v>
      </c>
      <c r="C1459" t="s">
        <v>135</v>
      </c>
      <c r="D1459" t="s">
        <v>116</v>
      </c>
      <c r="E1459" t="s">
        <v>138</v>
      </c>
      <c r="F1459" t="s">
        <v>6</v>
      </c>
      <c r="G1459" t="s">
        <v>130</v>
      </c>
      <c r="H1459" s="1">
        <v>46131</v>
      </c>
      <c r="I1459" t="s">
        <v>8347</v>
      </c>
      <c r="J1459" t="s">
        <v>8348</v>
      </c>
      <c r="K1459" t="s">
        <v>4190</v>
      </c>
      <c r="L1459" t="s">
        <v>168</v>
      </c>
      <c r="M1459" t="s">
        <v>1802</v>
      </c>
      <c r="N1459" s="166">
        <v>19.399999999999999</v>
      </c>
      <c r="O1459" t="s">
        <v>131</v>
      </c>
    </row>
    <row r="1460" spans="1:15">
      <c r="A1460" s="166" t="s">
        <v>8349</v>
      </c>
      <c r="B1460" t="s">
        <v>111</v>
      </c>
      <c r="C1460" t="s">
        <v>133</v>
      </c>
      <c r="D1460" t="s">
        <v>118</v>
      </c>
      <c r="E1460" t="s">
        <v>2618</v>
      </c>
      <c r="F1460" t="s">
        <v>7</v>
      </c>
      <c r="G1460" t="s">
        <v>130</v>
      </c>
      <c r="H1460" s="1">
        <v>46131</v>
      </c>
      <c r="I1460" t="s">
        <v>8350</v>
      </c>
      <c r="J1460" t="s">
        <v>8351</v>
      </c>
      <c r="K1460" t="s">
        <v>470</v>
      </c>
      <c r="L1460" t="s">
        <v>725</v>
      </c>
      <c r="M1460" t="s">
        <v>145</v>
      </c>
      <c r="N1460" s="166">
        <v>21.3</v>
      </c>
      <c r="O1460" t="s">
        <v>131</v>
      </c>
    </row>
    <row r="1461" spans="1:15">
      <c r="A1461" s="166" t="s">
        <v>8352</v>
      </c>
      <c r="B1461" t="s">
        <v>111</v>
      </c>
      <c r="C1461" t="s">
        <v>1104</v>
      </c>
      <c r="D1461" t="s">
        <v>118</v>
      </c>
      <c r="E1461" t="s">
        <v>2618</v>
      </c>
      <c r="F1461" t="s">
        <v>7</v>
      </c>
      <c r="G1461" t="s">
        <v>130</v>
      </c>
      <c r="H1461" s="1">
        <v>46131</v>
      </c>
      <c r="I1461" t="s">
        <v>8353</v>
      </c>
      <c r="J1461" t="s">
        <v>8354</v>
      </c>
      <c r="K1461" t="s">
        <v>1420</v>
      </c>
      <c r="L1461" t="s">
        <v>801</v>
      </c>
      <c r="M1461" t="s">
        <v>1102</v>
      </c>
      <c r="N1461" s="166">
        <v>18.88</v>
      </c>
      <c r="O1461" t="s">
        <v>131</v>
      </c>
    </row>
    <row r="1462" spans="1:15">
      <c r="A1462" s="166" t="s">
        <v>8355</v>
      </c>
      <c r="B1462" t="s">
        <v>111</v>
      </c>
      <c r="C1462" t="s">
        <v>134</v>
      </c>
      <c r="D1462" t="s">
        <v>116</v>
      </c>
      <c r="E1462" t="s">
        <v>138</v>
      </c>
      <c r="F1462" t="s">
        <v>6</v>
      </c>
      <c r="G1462" t="s">
        <v>130</v>
      </c>
      <c r="H1462" s="1">
        <v>46131</v>
      </c>
      <c r="I1462" t="s">
        <v>8356</v>
      </c>
      <c r="J1462" t="s">
        <v>8357</v>
      </c>
      <c r="K1462" t="s">
        <v>2301</v>
      </c>
      <c r="L1462" t="s">
        <v>193</v>
      </c>
      <c r="M1462" t="s">
        <v>1663</v>
      </c>
      <c r="N1462" s="166">
        <v>19.18</v>
      </c>
      <c r="O1462" t="s">
        <v>131</v>
      </c>
    </row>
    <row r="1463" spans="1:15">
      <c r="A1463" s="166" t="s">
        <v>8358</v>
      </c>
      <c r="B1463" t="s">
        <v>111</v>
      </c>
      <c r="C1463" t="s">
        <v>406</v>
      </c>
      <c r="D1463" t="s">
        <v>116</v>
      </c>
      <c r="E1463" t="s">
        <v>138</v>
      </c>
      <c r="F1463" t="s">
        <v>6</v>
      </c>
      <c r="G1463" t="s">
        <v>130</v>
      </c>
      <c r="H1463" s="1">
        <v>46131</v>
      </c>
      <c r="I1463" t="s">
        <v>8359</v>
      </c>
      <c r="J1463" t="s">
        <v>8360</v>
      </c>
      <c r="K1463" t="s">
        <v>550</v>
      </c>
      <c r="L1463" t="s">
        <v>989</v>
      </c>
      <c r="M1463" t="s">
        <v>561</v>
      </c>
      <c r="N1463" s="166">
        <v>21.98</v>
      </c>
      <c r="O1463" t="s">
        <v>131</v>
      </c>
    </row>
    <row r="1464" spans="1:15">
      <c r="A1464" s="166" t="s">
        <v>1393</v>
      </c>
      <c r="B1464" t="s">
        <v>111</v>
      </c>
      <c r="C1464" t="s">
        <v>136</v>
      </c>
      <c r="D1464" t="s">
        <v>118</v>
      </c>
      <c r="E1464" t="s">
        <v>2618</v>
      </c>
      <c r="F1464" t="s">
        <v>7</v>
      </c>
      <c r="G1464" t="s">
        <v>130</v>
      </c>
      <c r="H1464" s="1">
        <v>46131</v>
      </c>
      <c r="I1464" t="s">
        <v>8361</v>
      </c>
      <c r="J1464" t="s">
        <v>8362</v>
      </c>
      <c r="K1464" t="s">
        <v>1709</v>
      </c>
      <c r="L1464" t="s">
        <v>772</v>
      </c>
      <c r="M1464" t="s">
        <v>1173</v>
      </c>
      <c r="N1464" s="166">
        <v>19.34</v>
      </c>
      <c r="O1464" t="s">
        <v>131</v>
      </c>
    </row>
    <row r="1465" spans="1:15">
      <c r="A1465" s="166" t="s">
        <v>8363</v>
      </c>
      <c r="B1465" t="s">
        <v>111</v>
      </c>
      <c r="C1465" t="s">
        <v>135</v>
      </c>
      <c r="D1465" t="s">
        <v>116</v>
      </c>
      <c r="E1465" t="s">
        <v>138</v>
      </c>
      <c r="F1465" t="s">
        <v>6</v>
      </c>
      <c r="G1465" t="s">
        <v>130</v>
      </c>
      <c r="H1465" s="1">
        <v>46131</v>
      </c>
      <c r="I1465" t="s">
        <v>8364</v>
      </c>
      <c r="J1465" t="s">
        <v>8365</v>
      </c>
      <c r="K1465" t="s">
        <v>3389</v>
      </c>
      <c r="L1465" t="s">
        <v>152</v>
      </c>
      <c r="M1465" t="s">
        <v>2536</v>
      </c>
      <c r="N1465" s="166">
        <v>18.16</v>
      </c>
      <c r="O1465" t="s">
        <v>131</v>
      </c>
    </row>
    <row r="1466" spans="1:15">
      <c r="A1466" s="166" t="s">
        <v>8366</v>
      </c>
      <c r="B1466" t="s">
        <v>111</v>
      </c>
      <c r="C1466" t="s">
        <v>133</v>
      </c>
      <c r="D1466" t="s">
        <v>118</v>
      </c>
      <c r="E1466" t="s">
        <v>2618</v>
      </c>
      <c r="F1466" t="s">
        <v>7</v>
      </c>
      <c r="G1466" t="s">
        <v>130</v>
      </c>
      <c r="H1466" s="1">
        <v>46131</v>
      </c>
      <c r="I1466" t="s">
        <v>8367</v>
      </c>
      <c r="J1466" t="s">
        <v>8368</v>
      </c>
      <c r="K1466" t="s">
        <v>4663</v>
      </c>
      <c r="L1466" t="s">
        <v>1076</v>
      </c>
      <c r="M1466" t="s">
        <v>2034</v>
      </c>
      <c r="N1466" s="166">
        <v>17.72</v>
      </c>
      <c r="O1466" t="s">
        <v>131</v>
      </c>
    </row>
    <row r="1467" spans="1:15">
      <c r="A1467" s="166" t="s">
        <v>8369</v>
      </c>
      <c r="B1467" t="s">
        <v>111</v>
      </c>
      <c r="C1467" t="s">
        <v>134</v>
      </c>
      <c r="D1467" t="s">
        <v>116</v>
      </c>
      <c r="E1467" t="s">
        <v>138</v>
      </c>
      <c r="F1467" t="s">
        <v>6</v>
      </c>
      <c r="G1467" t="s">
        <v>130</v>
      </c>
      <c r="H1467" s="1">
        <v>46131</v>
      </c>
      <c r="I1467" t="s">
        <v>8370</v>
      </c>
      <c r="J1467" t="s">
        <v>8371</v>
      </c>
      <c r="K1467" t="s">
        <v>7231</v>
      </c>
      <c r="L1467" t="s">
        <v>974</v>
      </c>
      <c r="M1467" t="s">
        <v>2273</v>
      </c>
      <c r="N1467" s="166">
        <v>20.3</v>
      </c>
      <c r="O1467" t="s">
        <v>131</v>
      </c>
    </row>
    <row r="1468" spans="1:15">
      <c r="A1468" s="166" t="s">
        <v>8372</v>
      </c>
      <c r="B1468" t="s">
        <v>111</v>
      </c>
      <c r="C1468" t="s">
        <v>1104</v>
      </c>
      <c r="D1468" t="s">
        <v>118</v>
      </c>
      <c r="E1468" t="s">
        <v>2618</v>
      </c>
      <c r="F1468" t="s">
        <v>7</v>
      </c>
      <c r="G1468" t="s">
        <v>130</v>
      </c>
      <c r="H1468" s="1">
        <v>46131</v>
      </c>
      <c r="I1468" t="s">
        <v>8373</v>
      </c>
      <c r="J1468" t="s">
        <v>8374</v>
      </c>
      <c r="K1468" t="s">
        <v>3809</v>
      </c>
      <c r="L1468" t="s">
        <v>672</v>
      </c>
      <c r="M1468" t="s">
        <v>190</v>
      </c>
      <c r="N1468" s="166">
        <v>24.48</v>
      </c>
      <c r="O1468" t="s">
        <v>131</v>
      </c>
    </row>
    <row r="1469" spans="1:15">
      <c r="A1469" s="166" t="s">
        <v>8375</v>
      </c>
      <c r="B1469" t="s">
        <v>111</v>
      </c>
      <c r="C1469" t="s">
        <v>406</v>
      </c>
      <c r="D1469" t="s">
        <v>116</v>
      </c>
      <c r="E1469" t="s">
        <v>138</v>
      </c>
      <c r="F1469" t="s">
        <v>6</v>
      </c>
      <c r="G1469" t="s">
        <v>130</v>
      </c>
      <c r="H1469" s="1">
        <v>46131</v>
      </c>
      <c r="I1469" t="s">
        <v>8376</v>
      </c>
      <c r="J1469" t="s">
        <v>8377</v>
      </c>
      <c r="K1469" t="s">
        <v>206</v>
      </c>
      <c r="L1469" t="s">
        <v>720</v>
      </c>
      <c r="M1469" t="s">
        <v>1473</v>
      </c>
      <c r="N1469" s="166">
        <v>21.34</v>
      </c>
      <c r="O1469" t="s">
        <v>131</v>
      </c>
    </row>
    <row r="1470" spans="1:15">
      <c r="A1470" s="166" t="s">
        <v>8378</v>
      </c>
      <c r="B1470" t="s">
        <v>111</v>
      </c>
      <c r="C1470" t="s">
        <v>136</v>
      </c>
      <c r="D1470" t="s">
        <v>118</v>
      </c>
      <c r="E1470" t="s">
        <v>2618</v>
      </c>
      <c r="F1470" t="s">
        <v>7</v>
      </c>
      <c r="G1470" t="s">
        <v>130</v>
      </c>
      <c r="H1470" s="1">
        <v>46131</v>
      </c>
      <c r="I1470" t="s">
        <v>8379</v>
      </c>
      <c r="J1470" t="s">
        <v>8380</v>
      </c>
      <c r="K1470" t="s">
        <v>1987</v>
      </c>
      <c r="L1470" t="s">
        <v>730</v>
      </c>
      <c r="M1470" t="s">
        <v>3534</v>
      </c>
      <c r="N1470" s="166">
        <v>18.739999999999998</v>
      </c>
      <c r="O1470" t="s">
        <v>131</v>
      </c>
    </row>
    <row r="1471" spans="1:15">
      <c r="A1471" s="166" t="s">
        <v>8381</v>
      </c>
      <c r="B1471" t="s">
        <v>111</v>
      </c>
      <c r="C1471" t="s">
        <v>135</v>
      </c>
      <c r="D1471" t="s">
        <v>116</v>
      </c>
      <c r="E1471" t="s">
        <v>138</v>
      </c>
      <c r="F1471" t="s">
        <v>6</v>
      </c>
      <c r="G1471" t="s">
        <v>130</v>
      </c>
      <c r="H1471" s="1">
        <v>46131</v>
      </c>
      <c r="I1471" t="s">
        <v>8382</v>
      </c>
      <c r="J1471" t="s">
        <v>8383</v>
      </c>
      <c r="K1471" t="s">
        <v>214</v>
      </c>
      <c r="L1471" t="s">
        <v>151</v>
      </c>
      <c r="M1471" t="s">
        <v>5930</v>
      </c>
      <c r="N1471" s="166">
        <v>23.52</v>
      </c>
      <c r="O1471" t="s">
        <v>131</v>
      </c>
    </row>
    <row r="1472" spans="1:15">
      <c r="A1472" s="166" t="s">
        <v>8384</v>
      </c>
      <c r="B1472" t="s">
        <v>111</v>
      </c>
      <c r="C1472" t="s">
        <v>133</v>
      </c>
      <c r="D1472" t="s">
        <v>118</v>
      </c>
      <c r="E1472" t="s">
        <v>2618</v>
      </c>
      <c r="F1472" t="s">
        <v>7</v>
      </c>
      <c r="G1472" t="s">
        <v>130</v>
      </c>
      <c r="H1472" s="1">
        <v>46131</v>
      </c>
      <c r="I1472" t="s">
        <v>8385</v>
      </c>
      <c r="J1472" t="s">
        <v>8386</v>
      </c>
      <c r="K1472" t="s">
        <v>205</v>
      </c>
      <c r="L1472" t="s">
        <v>1823</v>
      </c>
      <c r="M1472" t="s">
        <v>1682</v>
      </c>
      <c r="N1472" s="166">
        <v>19.82</v>
      </c>
      <c r="O1472" t="s">
        <v>131</v>
      </c>
    </row>
    <row r="1473" spans="1:15">
      <c r="A1473" s="166" t="s">
        <v>8387</v>
      </c>
      <c r="B1473" t="s">
        <v>111</v>
      </c>
      <c r="C1473" t="s">
        <v>134</v>
      </c>
      <c r="D1473" t="s">
        <v>116</v>
      </c>
      <c r="E1473" t="s">
        <v>138</v>
      </c>
      <c r="F1473" t="s">
        <v>6</v>
      </c>
      <c r="G1473" t="s">
        <v>130</v>
      </c>
      <c r="H1473" s="1">
        <v>46131</v>
      </c>
      <c r="I1473" t="s">
        <v>8388</v>
      </c>
      <c r="J1473" t="s">
        <v>8389</v>
      </c>
      <c r="K1473" t="s">
        <v>3607</v>
      </c>
      <c r="L1473" t="s">
        <v>622</v>
      </c>
      <c r="M1473" t="s">
        <v>3689</v>
      </c>
      <c r="N1473" s="166">
        <v>25.44</v>
      </c>
      <c r="O1473" t="s">
        <v>131</v>
      </c>
    </row>
    <row r="1474" spans="1:15">
      <c r="A1474" s="166" t="s">
        <v>8390</v>
      </c>
      <c r="B1474" t="s">
        <v>111</v>
      </c>
      <c r="C1474" t="s">
        <v>406</v>
      </c>
      <c r="D1474" t="s">
        <v>116</v>
      </c>
      <c r="E1474" t="s">
        <v>138</v>
      </c>
      <c r="F1474" t="s">
        <v>6</v>
      </c>
      <c r="G1474" t="s">
        <v>130</v>
      </c>
      <c r="H1474" s="1">
        <v>46131</v>
      </c>
      <c r="I1474" t="s">
        <v>8391</v>
      </c>
      <c r="J1474" t="s">
        <v>8392</v>
      </c>
      <c r="K1474" t="s">
        <v>3108</v>
      </c>
      <c r="L1474" t="s">
        <v>989</v>
      </c>
      <c r="M1474" t="s">
        <v>481</v>
      </c>
      <c r="N1474" s="166">
        <v>22.4</v>
      </c>
      <c r="O1474" t="s">
        <v>131</v>
      </c>
    </row>
    <row r="1475" spans="1:15">
      <c r="A1475" s="166" t="s">
        <v>8393</v>
      </c>
      <c r="B1475" t="s">
        <v>111</v>
      </c>
      <c r="C1475" t="s">
        <v>1104</v>
      </c>
      <c r="D1475" t="s">
        <v>118</v>
      </c>
      <c r="E1475" t="s">
        <v>2618</v>
      </c>
      <c r="F1475" t="s">
        <v>7</v>
      </c>
      <c r="G1475" t="s">
        <v>130</v>
      </c>
      <c r="H1475" s="1">
        <v>46131</v>
      </c>
      <c r="I1475" t="s">
        <v>8394</v>
      </c>
      <c r="J1475" t="s">
        <v>8395</v>
      </c>
      <c r="K1475" t="s">
        <v>816</v>
      </c>
      <c r="L1475" t="s">
        <v>3813</v>
      </c>
      <c r="M1475" t="s">
        <v>450</v>
      </c>
      <c r="N1475" s="166">
        <v>21.52</v>
      </c>
      <c r="O1475" t="s">
        <v>131</v>
      </c>
    </row>
    <row r="1476" spans="1:15">
      <c r="A1476" s="166" t="s">
        <v>8396</v>
      </c>
      <c r="B1476" t="s">
        <v>111</v>
      </c>
      <c r="C1476" t="s">
        <v>135</v>
      </c>
      <c r="D1476" t="s">
        <v>116</v>
      </c>
      <c r="E1476" t="s">
        <v>138</v>
      </c>
      <c r="F1476" t="s">
        <v>6</v>
      </c>
      <c r="G1476" t="s">
        <v>130</v>
      </c>
      <c r="H1476" s="1">
        <v>46131</v>
      </c>
      <c r="I1476" t="s">
        <v>8397</v>
      </c>
      <c r="J1476" t="s">
        <v>8398</v>
      </c>
      <c r="K1476" t="s">
        <v>3083</v>
      </c>
      <c r="L1476" t="s">
        <v>153</v>
      </c>
      <c r="M1476" t="s">
        <v>434</v>
      </c>
      <c r="N1476" s="166">
        <v>21.6</v>
      </c>
      <c r="O1476" t="s">
        <v>131</v>
      </c>
    </row>
    <row r="1477" spans="1:15">
      <c r="A1477" s="166" t="s">
        <v>8399</v>
      </c>
      <c r="B1477" t="s">
        <v>111</v>
      </c>
      <c r="C1477" t="s">
        <v>641</v>
      </c>
      <c r="D1477" t="s">
        <v>118</v>
      </c>
      <c r="E1477" t="s">
        <v>2618</v>
      </c>
      <c r="F1477" t="s">
        <v>7</v>
      </c>
      <c r="G1477" t="s">
        <v>130</v>
      </c>
      <c r="H1477" s="1">
        <v>46131</v>
      </c>
      <c r="I1477" t="s">
        <v>8400</v>
      </c>
      <c r="J1477" t="s">
        <v>8401</v>
      </c>
      <c r="K1477" t="s">
        <v>1541</v>
      </c>
      <c r="L1477" t="s">
        <v>3491</v>
      </c>
      <c r="M1477" t="s">
        <v>2568</v>
      </c>
      <c r="N1477" s="166">
        <v>16.2</v>
      </c>
      <c r="O1477" t="s">
        <v>131</v>
      </c>
    </row>
    <row r="1478" spans="1:15">
      <c r="A1478" s="166" t="s">
        <v>8402</v>
      </c>
      <c r="B1478" t="s">
        <v>111</v>
      </c>
      <c r="C1478" t="s">
        <v>134</v>
      </c>
      <c r="D1478" t="s">
        <v>116</v>
      </c>
      <c r="E1478" t="s">
        <v>138</v>
      </c>
      <c r="F1478" t="s">
        <v>6</v>
      </c>
      <c r="G1478" t="s">
        <v>130</v>
      </c>
      <c r="H1478" s="1">
        <v>46131</v>
      </c>
      <c r="I1478" t="s">
        <v>8403</v>
      </c>
      <c r="J1478" t="s">
        <v>8404</v>
      </c>
      <c r="K1478" t="s">
        <v>2374</v>
      </c>
      <c r="L1478" t="s">
        <v>1862</v>
      </c>
      <c r="M1478" t="s">
        <v>4604</v>
      </c>
      <c r="N1478" s="166">
        <v>23.84</v>
      </c>
      <c r="O1478" t="s">
        <v>131</v>
      </c>
    </row>
    <row r="1479" spans="1:15">
      <c r="A1479" s="166" t="s">
        <v>8405</v>
      </c>
      <c r="B1479" t="s">
        <v>111</v>
      </c>
      <c r="C1479" t="s">
        <v>136</v>
      </c>
      <c r="D1479" t="s">
        <v>118</v>
      </c>
      <c r="E1479" t="s">
        <v>2618</v>
      </c>
      <c r="F1479" t="s">
        <v>7</v>
      </c>
      <c r="G1479" t="s">
        <v>130</v>
      </c>
      <c r="H1479" s="1">
        <v>46131</v>
      </c>
      <c r="I1479" t="s">
        <v>8406</v>
      </c>
      <c r="J1479" t="s">
        <v>8407</v>
      </c>
      <c r="K1479" t="s">
        <v>1801</v>
      </c>
      <c r="L1479" t="s">
        <v>1835</v>
      </c>
      <c r="M1479" t="s">
        <v>1263</v>
      </c>
      <c r="N1479" s="166">
        <v>18.48</v>
      </c>
      <c r="O1479" t="s">
        <v>131</v>
      </c>
    </row>
    <row r="1480" spans="1:15">
      <c r="A1480" s="166" t="s">
        <v>8408</v>
      </c>
      <c r="B1480" t="s">
        <v>111</v>
      </c>
      <c r="C1480" t="s">
        <v>406</v>
      </c>
      <c r="D1480" t="s">
        <v>116</v>
      </c>
      <c r="E1480" t="s">
        <v>138</v>
      </c>
      <c r="F1480" t="s">
        <v>6</v>
      </c>
      <c r="G1480" t="s">
        <v>130</v>
      </c>
      <c r="H1480" s="1">
        <v>46131</v>
      </c>
      <c r="I1480" t="s">
        <v>8409</v>
      </c>
      <c r="J1480" t="s">
        <v>8410</v>
      </c>
      <c r="K1480" t="s">
        <v>159</v>
      </c>
      <c r="L1480" t="s">
        <v>622</v>
      </c>
      <c r="M1480" t="s">
        <v>2759</v>
      </c>
      <c r="N1480" s="166">
        <v>23.7</v>
      </c>
      <c r="O1480" t="s">
        <v>131</v>
      </c>
    </row>
    <row r="1481" spans="1:15">
      <c r="A1481" s="166" t="s">
        <v>8411</v>
      </c>
      <c r="B1481" t="s">
        <v>111</v>
      </c>
      <c r="C1481" t="s">
        <v>135</v>
      </c>
      <c r="D1481" t="s">
        <v>116</v>
      </c>
      <c r="E1481" t="s">
        <v>138</v>
      </c>
      <c r="F1481" t="s">
        <v>6</v>
      </c>
      <c r="G1481" t="s">
        <v>130</v>
      </c>
      <c r="H1481" s="1">
        <v>46131</v>
      </c>
      <c r="I1481" t="s">
        <v>8412</v>
      </c>
      <c r="J1481" t="s">
        <v>8413</v>
      </c>
      <c r="K1481" t="s">
        <v>2430</v>
      </c>
      <c r="L1481" t="s">
        <v>633</v>
      </c>
      <c r="M1481" t="s">
        <v>1553</v>
      </c>
      <c r="N1481" s="166">
        <v>20.239999999999998</v>
      </c>
      <c r="O1481" t="s">
        <v>131</v>
      </c>
    </row>
    <row r="1482" spans="1:15">
      <c r="A1482" s="166" t="s">
        <v>8414</v>
      </c>
      <c r="B1482" t="s">
        <v>111</v>
      </c>
      <c r="C1482" t="s">
        <v>133</v>
      </c>
      <c r="D1482" t="s">
        <v>118</v>
      </c>
      <c r="E1482" t="s">
        <v>2618</v>
      </c>
      <c r="F1482" t="s">
        <v>7</v>
      </c>
      <c r="G1482" t="s">
        <v>130</v>
      </c>
      <c r="H1482" s="1">
        <v>46131</v>
      </c>
      <c r="I1482" t="s">
        <v>8415</v>
      </c>
      <c r="J1482" t="s">
        <v>8416</v>
      </c>
      <c r="K1482" t="s">
        <v>421</v>
      </c>
      <c r="L1482" t="s">
        <v>907</v>
      </c>
      <c r="M1482" t="s">
        <v>1347</v>
      </c>
      <c r="N1482" s="166">
        <v>19.2</v>
      </c>
      <c r="O1482" t="s">
        <v>131</v>
      </c>
    </row>
    <row r="1483" spans="1:15">
      <c r="A1483" s="166" t="s">
        <v>8417</v>
      </c>
      <c r="B1483" t="s">
        <v>111</v>
      </c>
      <c r="C1483" t="s">
        <v>134</v>
      </c>
      <c r="D1483" t="s">
        <v>116</v>
      </c>
      <c r="E1483" t="s">
        <v>138</v>
      </c>
      <c r="F1483" t="s">
        <v>6</v>
      </c>
      <c r="G1483" t="s">
        <v>130</v>
      </c>
      <c r="H1483" s="1">
        <v>46131</v>
      </c>
      <c r="I1483" t="s">
        <v>8418</v>
      </c>
      <c r="J1483" t="s">
        <v>8419</v>
      </c>
      <c r="K1483" t="s">
        <v>158</v>
      </c>
      <c r="L1483" t="s">
        <v>509</v>
      </c>
      <c r="M1483" t="s">
        <v>4732</v>
      </c>
      <c r="N1483" s="166">
        <v>22.12</v>
      </c>
      <c r="O1483" t="s">
        <v>131</v>
      </c>
    </row>
    <row r="1484" spans="1:15">
      <c r="A1484" s="166" t="s">
        <v>1429</v>
      </c>
      <c r="B1484" t="s">
        <v>111</v>
      </c>
      <c r="C1484" t="s">
        <v>1104</v>
      </c>
      <c r="D1484" t="s">
        <v>118</v>
      </c>
      <c r="E1484" t="s">
        <v>2618</v>
      </c>
      <c r="F1484" t="s">
        <v>7</v>
      </c>
      <c r="G1484" t="s">
        <v>130</v>
      </c>
      <c r="H1484" s="1">
        <v>46131</v>
      </c>
      <c r="I1484" t="s">
        <v>8420</v>
      </c>
      <c r="J1484" t="s">
        <v>8421</v>
      </c>
      <c r="K1484" t="s">
        <v>2340</v>
      </c>
      <c r="L1484" t="s">
        <v>870</v>
      </c>
      <c r="M1484" t="s">
        <v>2816</v>
      </c>
      <c r="N1484" s="166">
        <v>19.260000000000002</v>
      </c>
      <c r="O1484" t="s">
        <v>131</v>
      </c>
    </row>
    <row r="1485" spans="1:15">
      <c r="A1485" s="166" t="s">
        <v>8422</v>
      </c>
      <c r="B1485" t="s">
        <v>111</v>
      </c>
      <c r="C1485" t="s">
        <v>406</v>
      </c>
      <c r="D1485" t="s">
        <v>116</v>
      </c>
      <c r="E1485" t="s">
        <v>138</v>
      </c>
      <c r="F1485" t="s">
        <v>6</v>
      </c>
      <c r="G1485" t="s">
        <v>130</v>
      </c>
      <c r="H1485" s="1">
        <v>46131</v>
      </c>
      <c r="I1485" t="s">
        <v>8423</v>
      </c>
      <c r="J1485" t="s">
        <v>8424</v>
      </c>
      <c r="K1485" t="s">
        <v>225</v>
      </c>
      <c r="L1485" t="s">
        <v>665</v>
      </c>
      <c r="M1485" t="s">
        <v>1197</v>
      </c>
      <c r="N1485" s="166">
        <v>22.22</v>
      </c>
      <c r="O1485" t="s">
        <v>131</v>
      </c>
    </row>
    <row r="1486" spans="1:15">
      <c r="A1486" s="166" t="s">
        <v>8425</v>
      </c>
      <c r="B1486" t="s">
        <v>111</v>
      </c>
      <c r="C1486" t="s">
        <v>135</v>
      </c>
      <c r="D1486" t="s">
        <v>116</v>
      </c>
      <c r="E1486" t="s">
        <v>138</v>
      </c>
      <c r="F1486" t="s">
        <v>6</v>
      </c>
      <c r="G1486" t="s">
        <v>130</v>
      </c>
      <c r="H1486" s="1">
        <v>46131</v>
      </c>
      <c r="I1486" t="s">
        <v>8426</v>
      </c>
      <c r="J1486" t="s">
        <v>8427</v>
      </c>
      <c r="K1486" t="s">
        <v>4879</v>
      </c>
      <c r="L1486" t="s">
        <v>155</v>
      </c>
      <c r="M1486" t="s">
        <v>3799</v>
      </c>
      <c r="N1486" s="166">
        <v>24.24</v>
      </c>
      <c r="O1486" t="s">
        <v>131</v>
      </c>
    </row>
    <row r="1487" spans="1:15">
      <c r="A1487" s="166" t="s">
        <v>8428</v>
      </c>
      <c r="B1487" t="s">
        <v>111</v>
      </c>
      <c r="C1487" t="s">
        <v>134</v>
      </c>
      <c r="D1487" t="s">
        <v>116</v>
      </c>
      <c r="E1487" t="s">
        <v>138</v>
      </c>
      <c r="F1487" t="s">
        <v>6</v>
      </c>
      <c r="G1487" t="s">
        <v>130</v>
      </c>
      <c r="H1487" s="1">
        <v>46131</v>
      </c>
      <c r="I1487" t="s">
        <v>8429</v>
      </c>
      <c r="J1487" t="s">
        <v>8430</v>
      </c>
      <c r="K1487" t="s">
        <v>448</v>
      </c>
      <c r="L1487" t="s">
        <v>2624</v>
      </c>
      <c r="M1487" t="s">
        <v>1850</v>
      </c>
      <c r="N1487" s="166">
        <v>19.739999999999998</v>
      </c>
      <c r="O1487" t="s">
        <v>131</v>
      </c>
    </row>
    <row r="1488" spans="1:15">
      <c r="A1488" s="166" t="s">
        <v>8431</v>
      </c>
      <c r="B1488" t="s">
        <v>111</v>
      </c>
      <c r="C1488" t="s">
        <v>641</v>
      </c>
      <c r="D1488" t="s">
        <v>118</v>
      </c>
      <c r="E1488" t="s">
        <v>2618</v>
      </c>
      <c r="F1488" t="s">
        <v>7</v>
      </c>
      <c r="G1488" t="s">
        <v>130</v>
      </c>
      <c r="H1488" s="1">
        <v>46131</v>
      </c>
      <c r="I1488" t="s">
        <v>8432</v>
      </c>
      <c r="J1488" t="s">
        <v>8433</v>
      </c>
      <c r="K1488" t="s">
        <v>3282</v>
      </c>
      <c r="L1488" t="s">
        <v>907</v>
      </c>
      <c r="M1488" t="s">
        <v>233</v>
      </c>
      <c r="N1488" s="166">
        <v>23.12</v>
      </c>
      <c r="O1488" t="s">
        <v>131</v>
      </c>
    </row>
    <row r="1489" spans="1:15">
      <c r="A1489" s="166" t="s">
        <v>8434</v>
      </c>
      <c r="B1489" t="s">
        <v>111</v>
      </c>
      <c r="C1489" t="s">
        <v>135</v>
      </c>
      <c r="D1489" t="s">
        <v>116</v>
      </c>
      <c r="E1489" t="s">
        <v>138</v>
      </c>
      <c r="F1489" t="s">
        <v>6</v>
      </c>
      <c r="G1489" t="s">
        <v>130</v>
      </c>
      <c r="H1489" s="1">
        <v>46131</v>
      </c>
      <c r="I1489" t="s">
        <v>8435</v>
      </c>
      <c r="J1489" t="s">
        <v>8436</v>
      </c>
      <c r="K1489" t="s">
        <v>1144</v>
      </c>
      <c r="L1489" t="s">
        <v>151</v>
      </c>
      <c r="M1489" t="s">
        <v>1373</v>
      </c>
      <c r="N1489" s="166">
        <v>19.100000000000001</v>
      </c>
      <c r="O1489" t="s">
        <v>131</v>
      </c>
    </row>
    <row r="1490" spans="1:15">
      <c r="A1490" s="166" t="s">
        <v>8437</v>
      </c>
      <c r="B1490" t="s">
        <v>111</v>
      </c>
      <c r="C1490" t="s">
        <v>133</v>
      </c>
      <c r="D1490" t="s">
        <v>118</v>
      </c>
      <c r="E1490" t="s">
        <v>2618</v>
      </c>
      <c r="F1490" t="s">
        <v>7</v>
      </c>
      <c r="G1490" t="s">
        <v>130</v>
      </c>
      <c r="H1490" s="1">
        <v>46131</v>
      </c>
      <c r="I1490" t="s">
        <v>8438</v>
      </c>
      <c r="J1490" t="s">
        <v>8439</v>
      </c>
      <c r="K1490" t="s">
        <v>4983</v>
      </c>
      <c r="L1490" t="s">
        <v>2058</v>
      </c>
      <c r="M1490" t="s">
        <v>6603</v>
      </c>
      <c r="N1490" s="166">
        <v>22.82</v>
      </c>
      <c r="O1490" t="s">
        <v>131</v>
      </c>
    </row>
    <row r="1491" spans="1:15">
      <c r="A1491" s="166" t="s">
        <v>8440</v>
      </c>
      <c r="B1491" t="s">
        <v>111</v>
      </c>
      <c r="C1491" t="s">
        <v>406</v>
      </c>
      <c r="D1491" t="s">
        <v>116</v>
      </c>
      <c r="E1491" t="s">
        <v>138</v>
      </c>
      <c r="F1491" t="s">
        <v>6</v>
      </c>
      <c r="G1491" t="s">
        <v>130</v>
      </c>
      <c r="H1491" s="1">
        <v>46131</v>
      </c>
      <c r="I1491" t="s">
        <v>8441</v>
      </c>
      <c r="J1491" t="s">
        <v>8442</v>
      </c>
      <c r="K1491" t="s">
        <v>4851</v>
      </c>
      <c r="L1491" t="s">
        <v>193</v>
      </c>
      <c r="M1491" t="s">
        <v>170</v>
      </c>
      <c r="N1491" s="166">
        <v>25.58</v>
      </c>
      <c r="O1491" t="s">
        <v>131</v>
      </c>
    </row>
    <row r="1492" spans="1:15">
      <c r="A1492" s="166" t="s">
        <v>8443</v>
      </c>
      <c r="B1492" t="s">
        <v>111</v>
      </c>
      <c r="C1492" t="s">
        <v>134</v>
      </c>
      <c r="D1492" t="s">
        <v>116</v>
      </c>
      <c r="E1492" t="s">
        <v>138</v>
      </c>
      <c r="F1492" t="s">
        <v>6</v>
      </c>
      <c r="G1492" t="s">
        <v>130</v>
      </c>
      <c r="H1492" s="1">
        <v>46131</v>
      </c>
      <c r="I1492" t="s">
        <v>8444</v>
      </c>
      <c r="J1492" t="s">
        <v>8445</v>
      </c>
      <c r="K1492" t="s">
        <v>2559</v>
      </c>
      <c r="L1492" t="s">
        <v>2531</v>
      </c>
      <c r="M1492" t="s">
        <v>1468</v>
      </c>
      <c r="N1492" s="166">
        <v>19</v>
      </c>
      <c r="O1492" t="s">
        <v>131</v>
      </c>
    </row>
    <row r="1493" spans="1:15">
      <c r="A1493" s="166" t="s">
        <v>8446</v>
      </c>
      <c r="B1493" t="s">
        <v>111</v>
      </c>
      <c r="C1493" t="s">
        <v>1104</v>
      </c>
      <c r="D1493" t="s">
        <v>118</v>
      </c>
      <c r="E1493" t="s">
        <v>2618</v>
      </c>
      <c r="F1493" t="s">
        <v>7</v>
      </c>
      <c r="G1493" t="s">
        <v>130</v>
      </c>
      <c r="H1493" s="1">
        <v>46131</v>
      </c>
      <c r="I1493" t="s">
        <v>8447</v>
      </c>
      <c r="J1493" t="s">
        <v>8448</v>
      </c>
      <c r="K1493" t="s">
        <v>1880</v>
      </c>
      <c r="L1493" t="s">
        <v>1177</v>
      </c>
      <c r="M1493" t="s">
        <v>179</v>
      </c>
      <c r="N1493" s="166">
        <v>20.100000000000001</v>
      </c>
      <c r="O1493" t="s">
        <v>131</v>
      </c>
    </row>
    <row r="1494" spans="1:15">
      <c r="A1494" s="166" t="s">
        <v>8449</v>
      </c>
      <c r="B1494" t="s">
        <v>111</v>
      </c>
      <c r="C1494" t="s">
        <v>135</v>
      </c>
      <c r="D1494" t="s">
        <v>116</v>
      </c>
      <c r="E1494" t="s">
        <v>138</v>
      </c>
      <c r="F1494" t="s">
        <v>6</v>
      </c>
      <c r="G1494" t="s">
        <v>130</v>
      </c>
      <c r="H1494" s="1">
        <v>46131</v>
      </c>
      <c r="I1494" t="s">
        <v>8450</v>
      </c>
      <c r="J1494" t="s">
        <v>8451</v>
      </c>
      <c r="K1494" t="s">
        <v>8452</v>
      </c>
      <c r="L1494" t="s">
        <v>153</v>
      </c>
      <c r="M1494" t="s">
        <v>465</v>
      </c>
      <c r="N1494" s="166">
        <v>16.66</v>
      </c>
      <c r="O1494" t="s">
        <v>131</v>
      </c>
    </row>
    <row r="1495" spans="1:15">
      <c r="A1495" s="166" t="s">
        <v>8453</v>
      </c>
      <c r="B1495" t="s">
        <v>111</v>
      </c>
      <c r="C1495" t="s">
        <v>133</v>
      </c>
      <c r="D1495" t="s">
        <v>118</v>
      </c>
      <c r="E1495" t="s">
        <v>2618</v>
      </c>
      <c r="F1495" t="s">
        <v>7</v>
      </c>
      <c r="G1495" t="s">
        <v>130</v>
      </c>
      <c r="H1495" s="1">
        <v>46131</v>
      </c>
      <c r="I1495" t="s">
        <v>8454</v>
      </c>
      <c r="J1495" t="s">
        <v>8455</v>
      </c>
      <c r="K1495" t="s">
        <v>3125</v>
      </c>
      <c r="L1495" t="s">
        <v>3483</v>
      </c>
      <c r="M1495" t="s">
        <v>1237</v>
      </c>
      <c r="N1495" s="166">
        <v>20.059999999999999</v>
      </c>
      <c r="O1495" t="s">
        <v>131</v>
      </c>
    </row>
    <row r="1496" spans="1:15">
      <c r="A1496" s="166" t="s">
        <v>8456</v>
      </c>
      <c r="B1496" t="s">
        <v>111</v>
      </c>
      <c r="C1496" t="s">
        <v>406</v>
      </c>
      <c r="D1496" t="s">
        <v>116</v>
      </c>
      <c r="E1496" t="s">
        <v>138</v>
      </c>
      <c r="F1496" t="s">
        <v>6</v>
      </c>
      <c r="G1496" t="s">
        <v>130</v>
      </c>
      <c r="H1496" s="1">
        <v>46131</v>
      </c>
      <c r="I1496" t="s">
        <v>8457</v>
      </c>
      <c r="J1496" t="s">
        <v>8458</v>
      </c>
      <c r="K1496" t="s">
        <v>8459</v>
      </c>
      <c r="L1496" t="s">
        <v>1072</v>
      </c>
      <c r="M1496" t="s">
        <v>8460</v>
      </c>
      <c r="N1496" s="166">
        <v>13.9</v>
      </c>
      <c r="O1496" t="s">
        <v>131</v>
      </c>
    </row>
    <row r="1497" spans="1:15">
      <c r="A1497" s="166" t="s">
        <v>8461</v>
      </c>
      <c r="B1497" t="s">
        <v>111</v>
      </c>
      <c r="C1497" t="s">
        <v>641</v>
      </c>
      <c r="D1497" t="s">
        <v>116</v>
      </c>
      <c r="E1497" t="s">
        <v>418</v>
      </c>
      <c r="F1497" t="s">
        <v>6</v>
      </c>
      <c r="G1497" t="s">
        <v>130</v>
      </c>
      <c r="H1497" s="1">
        <v>46131</v>
      </c>
      <c r="I1497" t="s">
        <v>8462</v>
      </c>
      <c r="J1497" t="s">
        <v>8463</v>
      </c>
      <c r="K1497" t="s">
        <v>1408</v>
      </c>
      <c r="L1497" t="s">
        <v>1926</v>
      </c>
      <c r="M1497" t="s">
        <v>1072</v>
      </c>
      <c r="N1497" s="166">
        <v>15.54</v>
      </c>
      <c r="O1497" t="s">
        <v>131</v>
      </c>
    </row>
    <row r="1498" spans="1:15">
      <c r="A1498" s="166" t="s">
        <v>8464</v>
      </c>
      <c r="B1498" t="s">
        <v>111</v>
      </c>
      <c r="C1498" t="s">
        <v>134</v>
      </c>
      <c r="D1498" t="s">
        <v>116</v>
      </c>
      <c r="E1498" t="s">
        <v>418</v>
      </c>
      <c r="F1498" t="s">
        <v>6</v>
      </c>
      <c r="G1498" t="s">
        <v>130</v>
      </c>
      <c r="H1498" s="1">
        <v>46131</v>
      </c>
      <c r="I1498" t="s">
        <v>8465</v>
      </c>
      <c r="J1498" t="s">
        <v>8466</v>
      </c>
      <c r="K1498" t="s">
        <v>1933</v>
      </c>
      <c r="L1498" t="s">
        <v>144</v>
      </c>
      <c r="M1498" t="s">
        <v>791</v>
      </c>
      <c r="N1498" s="166">
        <v>19.079999999999998</v>
      </c>
      <c r="O1498" t="s">
        <v>131</v>
      </c>
    </row>
    <row r="1499" spans="1:15">
      <c r="A1499" s="166" t="s">
        <v>8467</v>
      </c>
      <c r="B1499" t="s">
        <v>111</v>
      </c>
      <c r="C1499" t="s">
        <v>1104</v>
      </c>
      <c r="D1499" t="s">
        <v>116</v>
      </c>
      <c r="E1499" t="s">
        <v>418</v>
      </c>
      <c r="F1499" t="s">
        <v>6</v>
      </c>
      <c r="G1499" t="s">
        <v>130</v>
      </c>
      <c r="H1499" s="1">
        <v>46131</v>
      </c>
      <c r="I1499" t="s">
        <v>8468</v>
      </c>
      <c r="J1499" t="s">
        <v>8469</v>
      </c>
      <c r="K1499" t="s">
        <v>8470</v>
      </c>
      <c r="L1499" t="s">
        <v>3517</v>
      </c>
      <c r="M1499" t="s">
        <v>201</v>
      </c>
      <c r="N1499" s="166">
        <v>24.32</v>
      </c>
      <c r="O1499" t="s">
        <v>131</v>
      </c>
    </row>
    <row r="1500" spans="1:15">
      <c r="A1500" s="166" t="s">
        <v>8471</v>
      </c>
      <c r="B1500" t="s">
        <v>111</v>
      </c>
      <c r="C1500" t="s">
        <v>133</v>
      </c>
      <c r="D1500" t="s">
        <v>116</v>
      </c>
      <c r="E1500" t="s">
        <v>418</v>
      </c>
      <c r="F1500" t="s">
        <v>6</v>
      </c>
      <c r="G1500" t="s">
        <v>130</v>
      </c>
      <c r="H1500" s="1">
        <v>46131</v>
      </c>
      <c r="I1500" t="s">
        <v>8472</v>
      </c>
      <c r="J1500" t="s">
        <v>8473</v>
      </c>
      <c r="K1500" t="s">
        <v>524</v>
      </c>
      <c r="L1500" t="s">
        <v>2184</v>
      </c>
      <c r="M1500" t="s">
        <v>2180</v>
      </c>
      <c r="N1500" s="166">
        <v>20.9</v>
      </c>
      <c r="O1500" t="s">
        <v>131</v>
      </c>
    </row>
    <row r="1501" spans="1:15">
      <c r="A1501" s="166" t="s">
        <v>8474</v>
      </c>
      <c r="B1501" t="s">
        <v>111</v>
      </c>
      <c r="C1501" t="s">
        <v>135</v>
      </c>
      <c r="D1501" t="s">
        <v>116</v>
      </c>
      <c r="E1501" t="s">
        <v>138</v>
      </c>
      <c r="F1501" t="s">
        <v>6</v>
      </c>
      <c r="G1501" t="s">
        <v>130</v>
      </c>
      <c r="H1501" s="1">
        <v>46131</v>
      </c>
      <c r="I1501" t="s">
        <v>8475</v>
      </c>
      <c r="J1501" t="s">
        <v>8476</v>
      </c>
      <c r="K1501" t="s">
        <v>7693</v>
      </c>
      <c r="L1501" t="s">
        <v>153</v>
      </c>
      <c r="M1501" t="s">
        <v>1710</v>
      </c>
      <c r="N1501" s="166">
        <v>19.46</v>
      </c>
      <c r="O1501" t="s">
        <v>131</v>
      </c>
    </row>
    <row r="1502" spans="1:15">
      <c r="A1502" s="166" t="s">
        <v>8477</v>
      </c>
      <c r="B1502" t="s">
        <v>111</v>
      </c>
      <c r="C1502" t="s">
        <v>136</v>
      </c>
      <c r="D1502" t="s">
        <v>116</v>
      </c>
      <c r="E1502" t="s">
        <v>418</v>
      </c>
      <c r="F1502" t="s">
        <v>6</v>
      </c>
      <c r="G1502" t="s">
        <v>130</v>
      </c>
      <c r="H1502" s="1">
        <v>46131</v>
      </c>
      <c r="I1502" t="s">
        <v>8478</v>
      </c>
      <c r="J1502" t="s">
        <v>8479</v>
      </c>
      <c r="K1502" t="s">
        <v>3357</v>
      </c>
      <c r="L1502" t="s">
        <v>856</v>
      </c>
      <c r="M1502" t="s">
        <v>1108</v>
      </c>
      <c r="N1502" s="166">
        <v>20.64</v>
      </c>
      <c r="O1502" t="s">
        <v>131</v>
      </c>
    </row>
    <row r="1503" spans="1:15">
      <c r="A1503" s="166" t="s">
        <v>8480</v>
      </c>
      <c r="B1503" t="s">
        <v>111</v>
      </c>
      <c r="C1503" t="s">
        <v>641</v>
      </c>
      <c r="D1503" t="s">
        <v>116</v>
      </c>
      <c r="E1503" t="s">
        <v>138</v>
      </c>
      <c r="F1503" t="s">
        <v>6</v>
      </c>
      <c r="G1503" t="s">
        <v>130</v>
      </c>
      <c r="H1503" s="1">
        <v>46131</v>
      </c>
      <c r="I1503" t="s">
        <v>8481</v>
      </c>
      <c r="J1503" t="s">
        <v>8482</v>
      </c>
      <c r="K1503" t="s">
        <v>1131</v>
      </c>
      <c r="L1503" t="s">
        <v>1533</v>
      </c>
      <c r="M1503" t="s">
        <v>8483</v>
      </c>
      <c r="N1503" s="166">
        <v>0.16</v>
      </c>
      <c r="O1503" t="s">
        <v>131</v>
      </c>
    </row>
    <row r="1504" spans="1:15">
      <c r="A1504" s="166" t="s">
        <v>2301</v>
      </c>
      <c r="B1504" t="s">
        <v>111</v>
      </c>
      <c r="C1504" t="s">
        <v>135</v>
      </c>
      <c r="D1504" t="s">
        <v>116</v>
      </c>
      <c r="E1504" t="s">
        <v>138</v>
      </c>
      <c r="F1504" t="s">
        <v>6</v>
      </c>
      <c r="G1504" t="s">
        <v>130</v>
      </c>
      <c r="H1504" s="1">
        <v>46131</v>
      </c>
      <c r="I1504" t="s">
        <v>8484</v>
      </c>
      <c r="J1504" t="s">
        <v>8485</v>
      </c>
      <c r="K1504" t="s">
        <v>875</v>
      </c>
      <c r="L1504" t="s">
        <v>427</v>
      </c>
      <c r="M1504" t="s">
        <v>4407</v>
      </c>
      <c r="N1504" s="166">
        <v>23.26</v>
      </c>
      <c r="O1504" t="s">
        <v>131</v>
      </c>
    </row>
    <row r="1505" spans="1:15">
      <c r="A1505" s="166" t="s">
        <v>8486</v>
      </c>
      <c r="B1505" t="s">
        <v>111</v>
      </c>
      <c r="C1505" t="s">
        <v>133</v>
      </c>
      <c r="D1505" t="s">
        <v>116</v>
      </c>
      <c r="E1505" t="s">
        <v>418</v>
      </c>
      <c r="F1505" t="s">
        <v>6</v>
      </c>
      <c r="G1505" t="s">
        <v>130</v>
      </c>
      <c r="H1505" s="1">
        <v>46131</v>
      </c>
      <c r="I1505" t="s">
        <v>8487</v>
      </c>
      <c r="J1505" t="s">
        <v>8488</v>
      </c>
      <c r="K1505" t="s">
        <v>3853</v>
      </c>
      <c r="L1505" t="s">
        <v>1545</v>
      </c>
      <c r="M1505" t="s">
        <v>1663</v>
      </c>
      <c r="N1505" s="166">
        <v>19.18</v>
      </c>
      <c r="O1505" t="s">
        <v>131</v>
      </c>
    </row>
    <row r="1506" spans="1:15">
      <c r="A1506" s="166" t="s">
        <v>8489</v>
      </c>
      <c r="B1506" t="s">
        <v>111</v>
      </c>
      <c r="C1506" t="s">
        <v>135</v>
      </c>
      <c r="D1506" t="s">
        <v>116</v>
      </c>
      <c r="E1506" t="s">
        <v>138</v>
      </c>
      <c r="F1506" t="s">
        <v>6</v>
      </c>
      <c r="G1506" t="s">
        <v>130</v>
      </c>
      <c r="H1506" s="1">
        <v>46131</v>
      </c>
      <c r="I1506" t="s">
        <v>8490</v>
      </c>
      <c r="J1506" t="s">
        <v>8491</v>
      </c>
      <c r="K1506" t="s">
        <v>1714</v>
      </c>
      <c r="L1506" t="s">
        <v>633</v>
      </c>
      <c r="M1506" t="s">
        <v>1866</v>
      </c>
      <c r="N1506" s="166">
        <v>22.28</v>
      </c>
      <c r="O1506" t="s">
        <v>131</v>
      </c>
    </row>
    <row r="1507" spans="1:15">
      <c r="A1507" s="166" t="s">
        <v>8492</v>
      </c>
      <c r="B1507" t="s">
        <v>111</v>
      </c>
      <c r="C1507" t="s">
        <v>136</v>
      </c>
      <c r="D1507" t="s">
        <v>116</v>
      </c>
      <c r="E1507" t="s">
        <v>138</v>
      </c>
      <c r="F1507" t="s">
        <v>6</v>
      </c>
      <c r="G1507" t="s">
        <v>130</v>
      </c>
      <c r="H1507" s="1">
        <v>46131</v>
      </c>
      <c r="I1507" t="s">
        <v>8493</v>
      </c>
      <c r="J1507" t="s">
        <v>8494</v>
      </c>
      <c r="K1507" t="s">
        <v>5500</v>
      </c>
      <c r="L1507" t="s">
        <v>3483</v>
      </c>
      <c r="M1507" t="s">
        <v>1494</v>
      </c>
      <c r="N1507" s="166">
        <v>21.9</v>
      </c>
      <c r="O1507" t="s">
        <v>131</v>
      </c>
    </row>
    <row r="1508" spans="1:15">
      <c r="A1508" s="166" t="s">
        <v>8495</v>
      </c>
      <c r="B1508" t="s">
        <v>111</v>
      </c>
      <c r="C1508" t="s">
        <v>135</v>
      </c>
      <c r="D1508" t="s">
        <v>116</v>
      </c>
      <c r="E1508" t="s">
        <v>138</v>
      </c>
      <c r="F1508" t="s">
        <v>6</v>
      </c>
      <c r="G1508" t="s">
        <v>130</v>
      </c>
      <c r="H1508" s="1">
        <v>46131</v>
      </c>
      <c r="I1508" t="s">
        <v>8496</v>
      </c>
      <c r="J1508" t="s">
        <v>8497</v>
      </c>
      <c r="K1508" t="s">
        <v>3871</v>
      </c>
      <c r="L1508" t="s">
        <v>492</v>
      </c>
      <c r="M1508" t="s">
        <v>796</v>
      </c>
      <c r="N1508" s="166">
        <v>24.02</v>
      </c>
      <c r="O1508" t="s">
        <v>131</v>
      </c>
    </row>
    <row r="1509" spans="1:15">
      <c r="A1509" s="166" t="s">
        <v>8498</v>
      </c>
      <c r="B1509" t="s">
        <v>111</v>
      </c>
      <c r="C1509" t="s">
        <v>641</v>
      </c>
      <c r="D1509" t="s">
        <v>116</v>
      </c>
      <c r="E1509" t="s">
        <v>138</v>
      </c>
      <c r="F1509" t="s">
        <v>6</v>
      </c>
      <c r="G1509" t="s">
        <v>130</v>
      </c>
      <c r="H1509" s="1">
        <v>46131</v>
      </c>
      <c r="I1509" t="s">
        <v>8499</v>
      </c>
      <c r="J1509" t="s">
        <v>8500</v>
      </c>
      <c r="K1509" t="s">
        <v>1037</v>
      </c>
      <c r="L1509" t="s">
        <v>1662</v>
      </c>
      <c r="M1509" t="s">
        <v>2849</v>
      </c>
      <c r="N1509" s="166">
        <v>27.58</v>
      </c>
      <c r="O1509" t="s">
        <v>131</v>
      </c>
    </row>
    <row r="1510" spans="1:15">
      <c r="A1510" s="166" t="s">
        <v>8501</v>
      </c>
      <c r="B1510" t="s">
        <v>111</v>
      </c>
      <c r="C1510" t="s">
        <v>406</v>
      </c>
      <c r="D1510" t="s">
        <v>118</v>
      </c>
      <c r="E1510" t="s">
        <v>2618</v>
      </c>
      <c r="F1510" t="s">
        <v>7</v>
      </c>
      <c r="G1510" t="s">
        <v>130</v>
      </c>
      <c r="H1510" s="1">
        <v>46131</v>
      </c>
      <c r="I1510" t="s">
        <v>8502</v>
      </c>
      <c r="J1510" t="s">
        <v>8503</v>
      </c>
      <c r="K1510" t="s">
        <v>1232</v>
      </c>
      <c r="L1510" t="s">
        <v>162</v>
      </c>
      <c r="M1510" t="s">
        <v>623</v>
      </c>
      <c r="N1510" s="166">
        <v>20.86</v>
      </c>
      <c r="O1510" t="s">
        <v>131</v>
      </c>
    </row>
    <row r="1511" spans="1:15">
      <c r="A1511" s="166" t="s">
        <v>8504</v>
      </c>
      <c r="B1511" t="s">
        <v>111</v>
      </c>
      <c r="C1511" t="s">
        <v>133</v>
      </c>
      <c r="D1511" t="s">
        <v>118</v>
      </c>
      <c r="E1511" t="s">
        <v>2618</v>
      </c>
      <c r="F1511" t="s">
        <v>7</v>
      </c>
      <c r="G1511" t="s">
        <v>130</v>
      </c>
      <c r="H1511" s="1">
        <v>46131</v>
      </c>
      <c r="I1511" t="s">
        <v>8505</v>
      </c>
      <c r="J1511" t="s">
        <v>8506</v>
      </c>
      <c r="K1511" t="s">
        <v>644</v>
      </c>
      <c r="L1511" t="s">
        <v>2184</v>
      </c>
      <c r="M1511" t="s">
        <v>767</v>
      </c>
      <c r="N1511" s="166">
        <v>22.24</v>
      </c>
      <c r="O1511" t="s">
        <v>131</v>
      </c>
    </row>
    <row r="1512" spans="1:15">
      <c r="A1512" s="166" t="s">
        <v>8507</v>
      </c>
      <c r="B1512" t="s">
        <v>111</v>
      </c>
      <c r="C1512" t="s">
        <v>134</v>
      </c>
      <c r="D1512" t="s">
        <v>118</v>
      </c>
      <c r="E1512" t="s">
        <v>2618</v>
      </c>
      <c r="F1512" t="s">
        <v>7</v>
      </c>
      <c r="G1512" t="s">
        <v>130</v>
      </c>
      <c r="H1512" s="1">
        <v>46131</v>
      </c>
      <c r="I1512" t="s">
        <v>8508</v>
      </c>
      <c r="J1512" t="s">
        <v>8509</v>
      </c>
      <c r="K1512" t="s">
        <v>2079</v>
      </c>
      <c r="L1512" t="s">
        <v>665</v>
      </c>
      <c r="M1512" t="s">
        <v>2188</v>
      </c>
      <c r="N1512" s="166">
        <v>22.26</v>
      </c>
      <c r="O1512" t="s">
        <v>131</v>
      </c>
    </row>
    <row r="1513" spans="1:15">
      <c r="A1513" s="166" t="s">
        <v>8510</v>
      </c>
      <c r="B1513" t="s">
        <v>111</v>
      </c>
      <c r="C1513" t="s">
        <v>7474</v>
      </c>
      <c r="D1513" t="s">
        <v>118</v>
      </c>
      <c r="E1513" t="s">
        <v>2618</v>
      </c>
      <c r="F1513" t="s">
        <v>7</v>
      </c>
      <c r="G1513" t="s">
        <v>130</v>
      </c>
      <c r="H1513" s="1">
        <v>46131</v>
      </c>
      <c r="I1513" t="s">
        <v>8511</v>
      </c>
      <c r="J1513" t="s">
        <v>8512</v>
      </c>
      <c r="K1513" t="s">
        <v>177</v>
      </c>
      <c r="L1513" t="s">
        <v>974</v>
      </c>
      <c r="M1513" t="s">
        <v>556</v>
      </c>
      <c r="N1513" s="166">
        <v>22.44</v>
      </c>
      <c r="O1513" t="s">
        <v>131</v>
      </c>
    </row>
    <row r="1514" spans="1:15">
      <c r="A1514" s="166" t="s">
        <v>8513</v>
      </c>
      <c r="B1514" t="s">
        <v>111</v>
      </c>
      <c r="C1514" t="s">
        <v>136</v>
      </c>
      <c r="D1514" t="s">
        <v>118</v>
      </c>
      <c r="E1514" t="s">
        <v>2618</v>
      </c>
      <c r="F1514" t="s">
        <v>7</v>
      </c>
      <c r="G1514" t="s">
        <v>130</v>
      </c>
      <c r="H1514" s="1">
        <v>46131</v>
      </c>
      <c r="I1514" t="s">
        <v>8514</v>
      </c>
      <c r="J1514" t="s">
        <v>8515</v>
      </c>
      <c r="K1514" t="s">
        <v>1094</v>
      </c>
      <c r="L1514" t="s">
        <v>3437</v>
      </c>
      <c r="M1514" t="s">
        <v>1504</v>
      </c>
      <c r="N1514" s="166">
        <v>20.84</v>
      </c>
      <c r="O1514" t="s">
        <v>131</v>
      </c>
    </row>
    <row r="1515" spans="1:15">
      <c r="A1515" s="166" t="s">
        <v>8516</v>
      </c>
      <c r="B1515" t="s">
        <v>111</v>
      </c>
      <c r="C1515" t="s">
        <v>406</v>
      </c>
      <c r="D1515" t="s">
        <v>118</v>
      </c>
      <c r="E1515" t="s">
        <v>2618</v>
      </c>
      <c r="F1515" t="s">
        <v>7</v>
      </c>
      <c r="G1515" t="s">
        <v>130</v>
      </c>
      <c r="H1515" s="1">
        <v>46131</v>
      </c>
      <c r="I1515" t="s">
        <v>8517</v>
      </c>
      <c r="J1515" t="s">
        <v>8518</v>
      </c>
      <c r="K1515" t="s">
        <v>4645</v>
      </c>
      <c r="L1515" t="s">
        <v>777</v>
      </c>
      <c r="M1515" t="s">
        <v>601</v>
      </c>
      <c r="N1515" s="166">
        <v>21.46</v>
      </c>
      <c r="O1515" t="s">
        <v>131</v>
      </c>
    </row>
    <row r="1516" spans="1:15">
      <c r="A1516" s="166" t="s">
        <v>8519</v>
      </c>
      <c r="B1516" t="s">
        <v>111</v>
      </c>
      <c r="C1516" t="s">
        <v>133</v>
      </c>
      <c r="D1516" t="s">
        <v>118</v>
      </c>
      <c r="E1516" t="s">
        <v>2618</v>
      </c>
      <c r="F1516" t="s">
        <v>7</v>
      </c>
      <c r="G1516" t="s">
        <v>130</v>
      </c>
      <c r="H1516" s="1">
        <v>46131</v>
      </c>
      <c r="I1516" t="s">
        <v>8520</v>
      </c>
      <c r="J1516" t="s">
        <v>8521</v>
      </c>
      <c r="K1516" t="s">
        <v>2585</v>
      </c>
      <c r="L1516" t="s">
        <v>2589</v>
      </c>
      <c r="M1516" t="s">
        <v>2096</v>
      </c>
      <c r="N1516" s="166">
        <v>20.74</v>
      </c>
      <c r="O1516" t="s">
        <v>131</v>
      </c>
    </row>
    <row r="1517" spans="1:15">
      <c r="A1517" s="166" t="s">
        <v>8522</v>
      </c>
      <c r="B1517" t="s">
        <v>111</v>
      </c>
      <c r="C1517" t="s">
        <v>7474</v>
      </c>
      <c r="D1517" t="s">
        <v>118</v>
      </c>
      <c r="E1517" t="s">
        <v>2618</v>
      </c>
      <c r="F1517" t="s">
        <v>7</v>
      </c>
      <c r="G1517" t="s">
        <v>130</v>
      </c>
      <c r="H1517" s="1">
        <v>46131</v>
      </c>
      <c r="I1517" t="s">
        <v>8523</v>
      </c>
      <c r="J1517" t="s">
        <v>8524</v>
      </c>
      <c r="K1517" t="s">
        <v>213</v>
      </c>
      <c r="L1517" t="s">
        <v>761</v>
      </c>
      <c r="M1517" t="s">
        <v>796</v>
      </c>
      <c r="N1517" s="166">
        <v>24.02</v>
      </c>
      <c r="O1517" t="s">
        <v>131</v>
      </c>
    </row>
    <row r="1518" spans="1:15">
      <c r="A1518" s="166" t="s">
        <v>8525</v>
      </c>
      <c r="B1518" t="s">
        <v>111</v>
      </c>
      <c r="C1518" t="s">
        <v>134</v>
      </c>
      <c r="D1518" t="s">
        <v>118</v>
      </c>
      <c r="E1518" t="s">
        <v>2618</v>
      </c>
      <c r="F1518" t="s">
        <v>7</v>
      </c>
      <c r="G1518" t="s">
        <v>130</v>
      </c>
      <c r="H1518" s="1">
        <v>46131</v>
      </c>
      <c r="I1518" t="s">
        <v>8526</v>
      </c>
      <c r="J1518" t="s">
        <v>8527</v>
      </c>
      <c r="K1518" t="s">
        <v>999</v>
      </c>
      <c r="L1518" t="s">
        <v>3441</v>
      </c>
      <c r="M1518" t="s">
        <v>2835</v>
      </c>
      <c r="N1518" s="166">
        <v>24.64</v>
      </c>
      <c r="O1518" t="s">
        <v>131</v>
      </c>
    </row>
    <row r="1519" spans="1:15">
      <c r="A1519" s="166" t="s">
        <v>8528</v>
      </c>
      <c r="B1519" t="s">
        <v>111</v>
      </c>
      <c r="C1519" t="s">
        <v>406</v>
      </c>
      <c r="D1519" t="s">
        <v>118</v>
      </c>
      <c r="E1519" t="s">
        <v>2618</v>
      </c>
      <c r="F1519" t="s">
        <v>7</v>
      </c>
      <c r="G1519" t="s">
        <v>130</v>
      </c>
      <c r="H1519" s="1">
        <v>46131</v>
      </c>
      <c r="I1519" t="s">
        <v>8529</v>
      </c>
      <c r="J1519" t="s">
        <v>8530</v>
      </c>
      <c r="K1519" t="s">
        <v>664</v>
      </c>
      <c r="L1519" t="s">
        <v>8531</v>
      </c>
      <c r="M1519" t="s">
        <v>8532</v>
      </c>
      <c r="N1519" s="166">
        <v>6.42</v>
      </c>
      <c r="O1519" t="s">
        <v>131</v>
      </c>
    </row>
    <row r="1520" spans="1:15">
      <c r="A1520" s="166" t="s">
        <v>8533</v>
      </c>
      <c r="B1520" t="s">
        <v>111</v>
      </c>
      <c r="C1520" t="s">
        <v>133</v>
      </c>
      <c r="D1520" t="s">
        <v>118</v>
      </c>
      <c r="E1520" t="s">
        <v>139</v>
      </c>
      <c r="F1520" t="s">
        <v>7</v>
      </c>
      <c r="G1520" t="s">
        <v>130</v>
      </c>
      <c r="H1520" s="1">
        <v>46131</v>
      </c>
      <c r="I1520" t="s">
        <v>8534</v>
      </c>
      <c r="J1520" t="s">
        <v>8535</v>
      </c>
      <c r="K1520" t="s">
        <v>3592</v>
      </c>
      <c r="L1520" t="s">
        <v>948</v>
      </c>
      <c r="M1520" t="s">
        <v>546</v>
      </c>
      <c r="N1520" s="166">
        <v>22.38</v>
      </c>
      <c r="O1520" t="s">
        <v>131</v>
      </c>
    </row>
    <row r="1521" spans="1:15">
      <c r="A1521" s="166" t="s">
        <v>8536</v>
      </c>
      <c r="B1521" t="s">
        <v>111</v>
      </c>
      <c r="C1521" t="s">
        <v>7474</v>
      </c>
      <c r="D1521" t="s">
        <v>118</v>
      </c>
      <c r="E1521" t="s">
        <v>139</v>
      </c>
      <c r="F1521" t="s">
        <v>7</v>
      </c>
      <c r="G1521" t="s">
        <v>130</v>
      </c>
      <c r="H1521" s="1">
        <v>46131</v>
      </c>
      <c r="I1521" t="s">
        <v>8537</v>
      </c>
      <c r="J1521" t="s">
        <v>8538</v>
      </c>
      <c r="K1521" t="s">
        <v>214</v>
      </c>
      <c r="L1521" t="s">
        <v>901</v>
      </c>
      <c r="M1521" t="s">
        <v>471</v>
      </c>
      <c r="N1521" s="166">
        <v>22.04</v>
      </c>
      <c r="O1521" t="s">
        <v>131</v>
      </c>
    </row>
    <row r="1522" spans="1:15">
      <c r="A1522" s="166" t="s">
        <v>8539</v>
      </c>
      <c r="B1522" t="s">
        <v>111</v>
      </c>
      <c r="C1522" t="s">
        <v>134</v>
      </c>
      <c r="D1522" t="s">
        <v>118</v>
      </c>
      <c r="E1522" t="s">
        <v>139</v>
      </c>
      <c r="F1522" t="s">
        <v>7</v>
      </c>
      <c r="G1522" t="s">
        <v>130</v>
      </c>
      <c r="H1522" s="1">
        <v>46131</v>
      </c>
      <c r="I1522" t="s">
        <v>8540</v>
      </c>
      <c r="J1522" t="s">
        <v>8541</v>
      </c>
      <c r="K1522" t="s">
        <v>4768</v>
      </c>
      <c r="L1522" t="s">
        <v>193</v>
      </c>
      <c r="M1522" t="s">
        <v>2355</v>
      </c>
      <c r="N1522" s="166">
        <v>22.56</v>
      </c>
      <c r="O1522" t="s">
        <v>131</v>
      </c>
    </row>
    <row r="1523" spans="1:15">
      <c r="A1523" s="166" t="s">
        <v>8542</v>
      </c>
      <c r="B1523" t="s">
        <v>111</v>
      </c>
      <c r="C1523" t="s">
        <v>135</v>
      </c>
      <c r="D1523" t="s">
        <v>118</v>
      </c>
      <c r="E1523" t="s">
        <v>139</v>
      </c>
      <c r="F1523" t="s">
        <v>7</v>
      </c>
      <c r="G1523" t="s">
        <v>130</v>
      </c>
      <c r="H1523" s="1">
        <v>46131</v>
      </c>
      <c r="I1523" t="s">
        <v>8543</v>
      </c>
      <c r="J1523" t="s">
        <v>8544</v>
      </c>
      <c r="K1523" t="s">
        <v>3730</v>
      </c>
      <c r="L1523" t="s">
        <v>529</v>
      </c>
      <c r="M1523" t="s">
        <v>8545</v>
      </c>
      <c r="N1523" s="166">
        <v>26.44</v>
      </c>
      <c r="O1523" t="s">
        <v>131</v>
      </c>
    </row>
    <row r="1524" spans="1:15">
      <c r="A1524" s="166" t="s">
        <v>1840</v>
      </c>
      <c r="B1524" t="s">
        <v>111</v>
      </c>
      <c r="C1524" t="s">
        <v>1104</v>
      </c>
      <c r="D1524" t="s">
        <v>118</v>
      </c>
      <c r="E1524" t="s">
        <v>139</v>
      </c>
      <c r="F1524" t="s">
        <v>7</v>
      </c>
      <c r="G1524" t="s">
        <v>130</v>
      </c>
      <c r="H1524" s="1">
        <v>46131</v>
      </c>
      <c r="I1524" t="s">
        <v>8546</v>
      </c>
      <c r="J1524" t="s">
        <v>8547</v>
      </c>
      <c r="K1524" t="s">
        <v>4719</v>
      </c>
      <c r="L1524" t="s">
        <v>3075</v>
      </c>
      <c r="M1524" t="s">
        <v>2165</v>
      </c>
      <c r="N1524" s="166">
        <v>21.26</v>
      </c>
      <c r="O1524" t="s">
        <v>131</v>
      </c>
    </row>
    <row r="1525" spans="1:15">
      <c r="A1525" s="166" t="s">
        <v>8548</v>
      </c>
      <c r="B1525" t="s">
        <v>111</v>
      </c>
      <c r="C1525" t="s">
        <v>134</v>
      </c>
      <c r="D1525" t="s">
        <v>118</v>
      </c>
      <c r="E1525" t="s">
        <v>139</v>
      </c>
      <c r="F1525" t="s">
        <v>7</v>
      </c>
      <c r="G1525" t="s">
        <v>130</v>
      </c>
      <c r="H1525" s="1">
        <v>46131</v>
      </c>
      <c r="I1525" t="s">
        <v>8549</v>
      </c>
      <c r="J1525" t="s">
        <v>8550</v>
      </c>
      <c r="K1525" t="s">
        <v>3607</v>
      </c>
      <c r="L1525" t="s">
        <v>831</v>
      </c>
      <c r="M1525" t="s">
        <v>2943</v>
      </c>
      <c r="N1525" s="166">
        <v>25.16</v>
      </c>
      <c r="O1525" t="s">
        <v>131</v>
      </c>
    </row>
    <row r="1526" spans="1:15">
      <c r="A1526" s="166" t="s">
        <v>8551</v>
      </c>
      <c r="B1526" t="s">
        <v>111</v>
      </c>
      <c r="C1526" t="s">
        <v>7474</v>
      </c>
      <c r="D1526" t="s">
        <v>118</v>
      </c>
      <c r="E1526" t="s">
        <v>139</v>
      </c>
      <c r="F1526" t="s">
        <v>7</v>
      </c>
      <c r="G1526" t="s">
        <v>130</v>
      </c>
      <c r="H1526" s="1">
        <v>46131</v>
      </c>
      <c r="I1526" t="s">
        <v>8552</v>
      </c>
      <c r="J1526" t="s">
        <v>8553</v>
      </c>
      <c r="K1526" t="s">
        <v>502</v>
      </c>
      <c r="L1526" t="s">
        <v>3642</v>
      </c>
      <c r="M1526" t="s">
        <v>1443</v>
      </c>
      <c r="N1526" s="166">
        <v>19.940000000000001</v>
      </c>
      <c r="O1526" t="s">
        <v>131</v>
      </c>
    </row>
    <row r="1527" spans="1:15">
      <c r="A1527" s="166" t="s">
        <v>8554</v>
      </c>
      <c r="B1527" t="s">
        <v>111</v>
      </c>
      <c r="C1527" t="s">
        <v>135</v>
      </c>
      <c r="D1527" t="s">
        <v>118</v>
      </c>
      <c r="E1527" t="s">
        <v>139</v>
      </c>
      <c r="F1527" t="s">
        <v>7</v>
      </c>
      <c r="G1527" t="s">
        <v>130</v>
      </c>
      <c r="H1527" s="1">
        <v>46131</v>
      </c>
      <c r="I1527" t="s">
        <v>8555</v>
      </c>
      <c r="J1527" t="s">
        <v>8556</v>
      </c>
      <c r="K1527" t="s">
        <v>2179</v>
      </c>
      <c r="L1527" t="s">
        <v>1560</v>
      </c>
      <c r="M1527" t="s">
        <v>410</v>
      </c>
      <c r="N1527" s="166">
        <v>22.36</v>
      </c>
      <c r="O1527" t="s">
        <v>131</v>
      </c>
    </row>
    <row r="1528" spans="1:15">
      <c r="A1528" s="166" t="s">
        <v>8557</v>
      </c>
      <c r="B1528" t="s">
        <v>111</v>
      </c>
      <c r="C1528" t="s">
        <v>133</v>
      </c>
      <c r="D1528" t="s">
        <v>118</v>
      </c>
      <c r="E1528" t="s">
        <v>139</v>
      </c>
      <c r="F1528" t="s">
        <v>6</v>
      </c>
      <c r="G1528" t="s">
        <v>130</v>
      </c>
      <c r="H1528" s="1">
        <v>46131</v>
      </c>
      <c r="I1528" t="s">
        <v>8558</v>
      </c>
      <c r="J1528" t="s">
        <v>8559</v>
      </c>
      <c r="K1528" t="s">
        <v>1218</v>
      </c>
      <c r="L1528" t="s">
        <v>3441</v>
      </c>
      <c r="M1528" t="s">
        <v>1328</v>
      </c>
      <c r="N1528" s="166">
        <v>19.54</v>
      </c>
      <c r="O1528" t="s">
        <v>131</v>
      </c>
    </row>
    <row r="1529" spans="1:15">
      <c r="A1529" s="166" t="s">
        <v>8560</v>
      </c>
      <c r="B1529" t="s">
        <v>111</v>
      </c>
      <c r="C1529" t="s">
        <v>1104</v>
      </c>
      <c r="D1529" t="s">
        <v>118</v>
      </c>
      <c r="E1529" t="s">
        <v>139</v>
      </c>
      <c r="F1529" t="s">
        <v>6</v>
      </c>
      <c r="G1529" t="s">
        <v>130</v>
      </c>
      <c r="H1529" s="1">
        <v>46131</v>
      </c>
      <c r="I1529" t="s">
        <v>8561</v>
      </c>
      <c r="J1529" t="s">
        <v>8562</v>
      </c>
      <c r="K1529" t="s">
        <v>236</v>
      </c>
      <c r="L1529" t="s">
        <v>1168</v>
      </c>
      <c r="M1529" t="s">
        <v>2154</v>
      </c>
      <c r="N1529" s="166">
        <v>20.18</v>
      </c>
      <c r="O1529" t="s">
        <v>131</v>
      </c>
    </row>
    <row r="1530" spans="1:15">
      <c r="A1530" s="166" t="s">
        <v>8563</v>
      </c>
      <c r="B1530" t="s">
        <v>111</v>
      </c>
      <c r="C1530" t="s">
        <v>134</v>
      </c>
      <c r="D1530" t="s">
        <v>116</v>
      </c>
      <c r="E1530" t="s">
        <v>138</v>
      </c>
      <c r="F1530" t="s">
        <v>7</v>
      </c>
      <c r="G1530" t="s">
        <v>130</v>
      </c>
      <c r="H1530" s="1">
        <v>46131</v>
      </c>
      <c r="I1530" t="s">
        <v>8564</v>
      </c>
      <c r="J1530" t="s">
        <v>8565</v>
      </c>
      <c r="K1530" t="s">
        <v>2781</v>
      </c>
      <c r="L1530" t="s">
        <v>3635</v>
      </c>
      <c r="M1530" t="s">
        <v>2645</v>
      </c>
      <c r="N1530" s="166">
        <v>23.94</v>
      </c>
      <c r="O1530" t="s">
        <v>131</v>
      </c>
    </row>
    <row r="1531" spans="1:15">
      <c r="A1531" s="166" t="s">
        <v>8566</v>
      </c>
      <c r="B1531" t="s">
        <v>111</v>
      </c>
      <c r="C1531" t="s">
        <v>7474</v>
      </c>
      <c r="D1531" t="s">
        <v>118</v>
      </c>
      <c r="E1531" t="s">
        <v>139</v>
      </c>
      <c r="F1531" t="s">
        <v>6</v>
      </c>
      <c r="G1531" t="s">
        <v>130</v>
      </c>
      <c r="H1531" s="1">
        <v>46131</v>
      </c>
      <c r="I1531" t="s">
        <v>8567</v>
      </c>
      <c r="J1531" t="s">
        <v>8568</v>
      </c>
      <c r="K1531" t="s">
        <v>191</v>
      </c>
      <c r="L1531" t="s">
        <v>2678</v>
      </c>
      <c r="M1531" t="s">
        <v>1797</v>
      </c>
      <c r="N1531" s="166">
        <v>20.260000000000002</v>
      </c>
      <c r="O1531" t="s">
        <v>131</v>
      </c>
    </row>
    <row r="1532" spans="1:15">
      <c r="A1532" s="166" t="s">
        <v>8569</v>
      </c>
      <c r="B1532" t="s">
        <v>111</v>
      </c>
      <c r="C1532" t="s">
        <v>136</v>
      </c>
      <c r="D1532" t="s">
        <v>118</v>
      </c>
      <c r="E1532" t="s">
        <v>139</v>
      </c>
      <c r="F1532" t="s">
        <v>6</v>
      </c>
      <c r="G1532" t="s">
        <v>130</v>
      </c>
      <c r="H1532" s="1">
        <v>46131</v>
      </c>
      <c r="I1532" t="s">
        <v>8570</v>
      </c>
      <c r="J1532" t="s">
        <v>8571</v>
      </c>
      <c r="K1532" t="s">
        <v>632</v>
      </c>
      <c r="L1532" t="s">
        <v>2758</v>
      </c>
      <c r="M1532" t="s">
        <v>3993</v>
      </c>
      <c r="N1532" s="166">
        <v>18.239999999999998</v>
      </c>
      <c r="O1532" t="s">
        <v>131</v>
      </c>
    </row>
    <row r="1533" spans="1:15">
      <c r="A1533" s="166" t="s">
        <v>8572</v>
      </c>
      <c r="B1533" t="s">
        <v>111</v>
      </c>
      <c r="C1533" t="s">
        <v>133</v>
      </c>
      <c r="D1533" t="s">
        <v>116</v>
      </c>
      <c r="E1533" t="s">
        <v>138</v>
      </c>
      <c r="F1533" t="s">
        <v>7</v>
      </c>
      <c r="G1533" t="s">
        <v>130</v>
      </c>
      <c r="H1533" s="1">
        <v>46131</v>
      </c>
      <c r="I1533" t="s">
        <v>8573</v>
      </c>
      <c r="J1533" t="s">
        <v>8574</v>
      </c>
      <c r="K1533" t="s">
        <v>3223</v>
      </c>
      <c r="L1533" t="s">
        <v>486</v>
      </c>
      <c r="M1533" t="s">
        <v>8575</v>
      </c>
      <c r="N1533" s="166">
        <v>26.86</v>
      </c>
      <c r="O1533" t="s">
        <v>131</v>
      </c>
    </row>
    <row r="1534" spans="1:15">
      <c r="A1534" s="166" t="s">
        <v>8576</v>
      </c>
      <c r="B1534" t="s">
        <v>111</v>
      </c>
      <c r="C1534" t="s">
        <v>1104</v>
      </c>
      <c r="D1534" t="s">
        <v>116</v>
      </c>
      <c r="E1534" t="s">
        <v>138</v>
      </c>
      <c r="F1534" t="s">
        <v>7</v>
      </c>
      <c r="G1534" t="s">
        <v>130</v>
      </c>
      <c r="H1534" s="1">
        <v>46131</v>
      </c>
      <c r="I1534" t="s">
        <v>8577</v>
      </c>
      <c r="J1534" t="s">
        <v>8578</v>
      </c>
      <c r="K1534" t="s">
        <v>2857</v>
      </c>
      <c r="L1534" t="s">
        <v>5800</v>
      </c>
      <c r="M1534" t="s">
        <v>4641</v>
      </c>
      <c r="N1534" s="166">
        <v>19.02</v>
      </c>
      <c r="O1534" t="s">
        <v>131</v>
      </c>
    </row>
    <row r="1535" spans="1:15">
      <c r="A1535" s="166" t="s">
        <v>8579</v>
      </c>
      <c r="B1535" t="s">
        <v>111</v>
      </c>
      <c r="C1535" t="s">
        <v>135</v>
      </c>
      <c r="D1535" t="s">
        <v>118</v>
      </c>
      <c r="E1535" t="s">
        <v>139</v>
      </c>
      <c r="F1535" t="s">
        <v>6</v>
      </c>
      <c r="G1535" t="s">
        <v>130</v>
      </c>
      <c r="H1535" s="1">
        <v>46131</v>
      </c>
      <c r="I1535" t="s">
        <v>8580</v>
      </c>
      <c r="J1535" t="s">
        <v>8581</v>
      </c>
      <c r="K1535" t="s">
        <v>800</v>
      </c>
      <c r="L1535" t="s">
        <v>584</v>
      </c>
      <c r="M1535" t="s">
        <v>1182</v>
      </c>
      <c r="N1535" s="166">
        <v>23.18</v>
      </c>
      <c r="O1535" t="s">
        <v>131</v>
      </c>
    </row>
    <row r="1536" spans="1:15">
      <c r="A1536" s="166" t="s">
        <v>8582</v>
      </c>
      <c r="B1536" t="s">
        <v>111</v>
      </c>
      <c r="C1536" t="s">
        <v>406</v>
      </c>
      <c r="D1536" t="s">
        <v>116</v>
      </c>
      <c r="E1536" t="s">
        <v>138</v>
      </c>
      <c r="F1536" t="s">
        <v>101</v>
      </c>
      <c r="G1536" t="s">
        <v>130</v>
      </c>
      <c r="H1536" s="1">
        <v>46131</v>
      </c>
      <c r="I1536" t="s">
        <v>8583</v>
      </c>
      <c r="J1536" t="s">
        <v>8584</v>
      </c>
      <c r="K1536" t="s">
        <v>191</v>
      </c>
      <c r="L1536" t="s">
        <v>1830</v>
      </c>
      <c r="M1536" t="s">
        <v>2086</v>
      </c>
      <c r="N1536" s="166">
        <v>19.559999999999999</v>
      </c>
      <c r="O1536" t="s">
        <v>131</v>
      </c>
    </row>
    <row r="1537" spans="1:15">
      <c r="A1537" s="166" t="s">
        <v>8585</v>
      </c>
      <c r="B1537" t="s">
        <v>111</v>
      </c>
      <c r="C1537" t="s">
        <v>133</v>
      </c>
      <c r="D1537" t="s">
        <v>116</v>
      </c>
      <c r="E1537" t="s">
        <v>138</v>
      </c>
      <c r="F1537" t="s">
        <v>101</v>
      </c>
      <c r="G1537" t="s">
        <v>130</v>
      </c>
      <c r="H1537" s="1">
        <v>46131</v>
      </c>
      <c r="I1537" t="s">
        <v>8586</v>
      </c>
      <c r="J1537" t="s">
        <v>8587</v>
      </c>
      <c r="K1537" t="s">
        <v>3589</v>
      </c>
      <c r="L1537" t="s">
        <v>1114</v>
      </c>
      <c r="M1537" t="s">
        <v>3748</v>
      </c>
      <c r="N1537" s="166">
        <v>23.76</v>
      </c>
      <c r="O1537" t="s">
        <v>131</v>
      </c>
    </row>
    <row r="1538" spans="1:15">
      <c r="A1538" s="166" t="s">
        <v>8588</v>
      </c>
      <c r="B1538" t="s">
        <v>111</v>
      </c>
      <c r="C1538" t="s">
        <v>134</v>
      </c>
      <c r="D1538" t="s">
        <v>116</v>
      </c>
      <c r="E1538" t="s">
        <v>138</v>
      </c>
      <c r="F1538" t="s">
        <v>101</v>
      </c>
      <c r="G1538" t="s">
        <v>130</v>
      </c>
      <c r="H1538" s="1">
        <v>46131</v>
      </c>
      <c r="I1538" t="s">
        <v>8589</v>
      </c>
      <c r="J1538" t="s">
        <v>8590</v>
      </c>
      <c r="K1538" t="s">
        <v>8591</v>
      </c>
      <c r="L1538" t="s">
        <v>611</v>
      </c>
      <c r="M1538" t="s">
        <v>984</v>
      </c>
      <c r="N1538" s="166">
        <v>28.6</v>
      </c>
      <c r="O1538" t="s">
        <v>131</v>
      </c>
    </row>
    <row r="1539" spans="1:15">
      <c r="A1539" s="166" t="s">
        <v>8592</v>
      </c>
      <c r="B1539" t="s">
        <v>111</v>
      </c>
      <c r="C1539" t="s">
        <v>1104</v>
      </c>
      <c r="D1539" t="s">
        <v>116</v>
      </c>
      <c r="E1539" t="s">
        <v>138</v>
      </c>
      <c r="F1539" t="s">
        <v>101</v>
      </c>
      <c r="G1539" t="s">
        <v>130</v>
      </c>
      <c r="H1539" s="1">
        <v>46131</v>
      </c>
      <c r="I1539" t="s">
        <v>8593</v>
      </c>
      <c r="J1539" t="s">
        <v>8594</v>
      </c>
      <c r="K1539" t="s">
        <v>5015</v>
      </c>
      <c r="L1539" t="s">
        <v>481</v>
      </c>
      <c r="M1539" t="s">
        <v>1819</v>
      </c>
      <c r="N1539" s="166">
        <v>20.62</v>
      </c>
      <c r="O1539" t="s">
        <v>131</v>
      </c>
    </row>
    <row r="1540" spans="1:15">
      <c r="A1540" s="166" t="s">
        <v>8595</v>
      </c>
      <c r="B1540" t="s">
        <v>111</v>
      </c>
      <c r="C1540" t="s">
        <v>136</v>
      </c>
      <c r="D1540" t="s">
        <v>118</v>
      </c>
      <c r="E1540" t="s">
        <v>139</v>
      </c>
      <c r="F1540" t="s">
        <v>6</v>
      </c>
      <c r="G1540" t="s">
        <v>130</v>
      </c>
      <c r="H1540" s="1">
        <v>46131</v>
      </c>
      <c r="I1540" t="s">
        <v>8596</v>
      </c>
      <c r="J1540" t="s">
        <v>8597</v>
      </c>
      <c r="K1540" t="s">
        <v>231</v>
      </c>
      <c r="L1540" t="s">
        <v>1132</v>
      </c>
      <c r="M1540" t="s">
        <v>1494</v>
      </c>
      <c r="N1540" s="166">
        <v>21.9</v>
      </c>
      <c r="O1540" t="s">
        <v>131</v>
      </c>
    </row>
    <row r="1541" spans="1:15">
      <c r="A1541" s="166" t="s">
        <v>8598</v>
      </c>
      <c r="B1541" t="s">
        <v>111</v>
      </c>
      <c r="C1541" t="s">
        <v>135</v>
      </c>
      <c r="D1541" t="s">
        <v>118</v>
      </c>
      <c r="E1541" t="s">
        <v>139</v>
      </c>
      <c r="F1541" t="s">
        <v>6</v>
      </c>
      <c r="G1541" t="s">
        <v>130</v>
      </c>
      <c r="H1541" s="1">
        <v>46131</v>
      </c>
      <c r="I1541" t="s">
        <v>8599</v>
      </c>
      <c r="J1541" t="s">
        <v>8600</v>
      </c>
      <c r="K1541" t="s">
        <v>2179</v>
      </c>
      <c r="L1541" t="s">
        <v>1499</v>
      </c>
      <c r="M1541" t="s">
        <v>660</v>
      </c>
      <c r="N1541" s="166">
        <v>22.3</v>
      </c>
      <c r="O1541" t="s">
        <v>131</v>
      </c>
    </row>
    <row r="1542" spans="1:15">
      <c r="A1542" s="166" t="s">
        <v>8601</v>
      </c>
      <c r="B1542" t="s">
        <v>111</v>
      </c>
      <c r="C1542" t="s">
        <v>406</v>
      </c>
      <c r="D1542" t="s">
        <v>116</v>
      </c>
      <c r="E1542" t="s">
        <v>138</v>
      </c>
      <c r="F1542" t="s">
        <v>7285</v>
      </c>
      <c r="G1542" t="s">
        <v>130</v>
      </c>
      <c r="H1542" s="1">
        <v>46131</v>
      </c>
      <c r="I1542" t="s">
        <v>8602</v>
      </c>
      <c r="J1542" t="s">
        <v>8603</v>
      </c>
      <c r="K1542" t="s">
        <v>1521</v>
      </c>
      <c r="L1542" t="s">
        <v>1835</v>
      </c>
      <c r="M1542" t="s">
        <v>434</v>
      </c>
      <c r="N1542" s="166">
        <v>21.6</v>
      </c>
      <c r="O1542" t="s">
        <v>131</v>
      </c>
    </row>
    <row r="1543" spans="1:15">
      <c r="A1543" s="166" t="s">
        <v>8604</v>
      </c>
      <c r="B1543" t="s">
        <v>111</v>
      </c>
      <c r="C1543" t="s">
        <v>7474</v>
      </c>
      <c r="D1543" t="s">
        <v>118</v>
      </c>
      <c r="E1543" t="s">
        <v>139</v>
      </c>
      <c r="F1543" t="s">
        <v>6</v>
      </c>
      <c r="G1543" t="s">
        <v>130</v>
      </c>
      <c r="H1543" s="1">
        <v>46131</v>
      </c>
      <c r="I1543" t="s">
        <v>8605</v>
      </c>
      <c r="J1543" t="s">
        <v>8606</v>
      </c>
      <c r="K1543" t="s">
        <v>1705</v>
      </c>
      <c r="L1543" t="s">
        <v>2531</v>
      </c>
      <c r="M1543" t="s">
        <v>3642</v>
      </c>
      <c r="N1543" s="166">
        <v>18.079999999999998</v>
      </c>
      <c r="O1543" t="s">
        <v>131</v>
      </c>
    </row>
    <row r="1544" spans="1:15">
      <c r="A1544" s="166" t="s">
        <v>1381</v>
      </c>
      <c r="B1544" t="s">
        <v>111</v>
      </c>
      <c r="C1544" t="s">
        <v>134</v>
      </c>
      <c r="D1544" t="s">
        <v>116</v>
      </c>
      <c r="E1544" t="s">
        <v>138</v>
      </c>
      <c r="F1544" t="s">
        <v>7285</v>
      </c>
      <c r="G1544" t="s">
        <v>130</v>
      </c>
      <c r="H1544" s="1">
        <v>46131</v>
      </c>
      <c r="I1544" t="s">
        <v>8607</v>
      </c>
      <c r="J1544" t="s">
        <v>8608</v>
      </c>
      <c r="K1544" t="s">
        <v>7099</v>
      </c>
      <c r="L1544" t="s">
        <v>772</v>
      </c>
      <c r="M1544" t="s">
        <v>8609</v>
      </c>
      <c r="N1544" s="166">
        <v>11.14</v>
      </c>
      <c r="O1544" t="s">
        <v>131</v>
      </c>
    </row>
    <row r="1545" spans="1:15">
      <c r="A1545" s="166" t="s">
        <v>8610</v>
      </c>
      <c r="B1545" t="s">
        <v>111</v>
      </c>
      <c r="C1545" t="s">
        <v>133</v>
      </c>
      <c r="D1545" t="s">
        <v>116</v>
      </c>
      <c r="E1545" t="s">
        <v>138</v>
      </c>
      <c r="F1545" t="s">
        <v>7285</v>
      </c>
      <c r="G1545" t="s">
        <v>130</v>
      </c>
      <c r="H1545" s="1">
        <v>46131</v>
      </c>
      <c r="I1545" t="s">
        <v>8611</v>
      </c>
      <c r="J1545" t="s">
        <v>8612</v>
      </c>
      <c r="K1545" t="s">
        <v>8613</v>
      </c>
      <c r="L1545" t="s">
        <v>3813</v>
      </c>
      <c r="M1545" t="s">
        <v>984</v>
      </c>
      <c r="N1545" s="166">
        <v>28.6</v>
      </c>
      <c r="O1545" t="s">
        <v>131</v>
      </c>
    </row>
    <row r="1546" spans="1:15">
      <c r="A1546" s="166" t="s">
        <v>8614</v>
      </c>
      <c r="B1546" t="s">
        <v>111</v>
      </c>
      <c r="C1546" t="s">
        <v>7474</v>
      </c>
      <c r="D1546" t="s">
        <v>118</v>
      </c>
      <c r="E1546" t="s">
        <v>139</v>
      </c>
      <c r="F1546" t="s">
        <v>6</v>
      </c>
      <c r="G1546" t="s">
        <v>130</v>
      </c>
      <c r="H1546" s="1">
        <v>46131</v>
      </c>
      <c r="I1546" t="s">
        <v>8615</v>
      </c>
      <c r="J1546" t="s">
        <v>8616</v>
      </c>
      <c r="K1546" t="s">
        <v>875</v>
      </c>
      <c r="L1546" t="s">
        <v>4662</v>
      </c>
      <c r="M1546" t="s">
        <v>1701</v>
      </c>
      <c r="N1546" s="166">
        <v>21.14</v>
      </c>
      <c r="O1546" t="s">
        <v>131</v>
      </c>
    </row>
    <row r="1547" spans="1:15">
      <c r="A1547" s="166" t="s">
        <v>8617</v>
      </c>
      <c r="B1547" t="s">
        <v>111</v>
      </c>
      <c r="C1547" t="s">
        <v>135</v>
      </c>
      <c r="D1547" t="s">
        <v>118</v>
      </c>
      <c r="E1547" t="s">
        <v>139</v>
      </c>
      <c r="F1547" t="s">
        <v>6</v>
      </c>
      <c r="G1547" t="s">
        <v>130</v>
      </c>
      <c r="H1547" s="1">
        <v>46131</v>
      </c>
      <c r="I1547" t="s">
        <v>8618</v>
      </c>
      <c r="J1547" t="s">
        <v>8619</v>
      </c>
      <c r="K1547" t="s">
        <v>615</v>
      </c>
      <c r="L1547" t="s">
        <v>1499</v>
      </c>
      <c r="M1547" t="s">
        <v>194</v>
      </c>
      <c r="N1547" s="166">
        <v>20.399999999999999</v>
      </c>
      <c r="O1547" t="s">
        <v>131</v>
      </c>
    </row>
    <row r="1548" spans="1:15">
      <c r="A1548" s="166" t="s">
        <v>8620</v>
      </c>
      <c r="B1548" t="s">
        <v>111</v>
      </c>
      <c r="C1548" t="s">
        <v>406</v>
      </c>
      <c r="D1548" t="s">
        <v>118</v>
      </c>
      <c r="E1548" t="s">
        <v>139</v>
      </c>
      <c r="F1548" t="s">
        <v>6</v>
      </c>
      <c r="G1548" t="s">
        <v>130</v>
      </c>
      <c r="H1548" s="1">
        <v>46131</v>
      </c>
      <c r="I1548" t="s">
        <v>8621</v>
      </c>
      <c r="J1548" t="s">
        <v>8622</v>
      </c>
      <c r="K1548" t="s">
        <v>3546</v>
      </c>
      <c r="L1548" t="s">
        <v>1257</v>
      </c>
      <c r="M1548" t="s">
        <v>1310</v>
      </c>
      <c r="N1548" s="166">
        <v>19.38</v>
      </c>
      <c r="O1548" t="s">
        <v>131</v>
      </c>
    </row>
    <row r="1549" spans="1:15">
      <c r="A1549" s="166" t="s">
        <v>8623</v>
      </c>
      <c r="B1549" t="s">
        <v>111</v>
      </c>
      <c r="C1549" t="s">
        <v>7474</v>
      </c>
      <c r="D1549" t="s">
        <v>118</v>
      </c>
      <c r="E1549" t="s">
        <v>139</v>
      </c>
      <c r="F1549" t="s">
        <v>6</v>
      </c>
      <c r="G1549" t="s">
        <v>130</v>
      </c>
      <c r="H1549" s="1">
        <v>46131</v>
      </c>
      <c r="I1549" t="s">
        <v>8624</v>
      </c>
      <c r="J1549" t="s">
        <v>8625</v>
      </c>
      <c r="K1549" t="s">
        <v>1774</v>
      </c>
      <c r="L1549" t="s">
        <v>3483</v>
      </c>
      <c r="M1549" t="s">
        <v>4927</v>
      </c>
      <c r="N1549" s="166">
        <v>18.04</v>
      </c>
      <c r="O1549" t="s">
        <v>131</v>
      </c>
    </row>
    <row r="1550" spans="1:15">
      <c r="A1550" s="166" t="s">
        <v>8626</v>
      </c>
      <c r="B1550" t="s">
        <v>111</v>
      </c>
      <c r="C1550" t="s">
        <v>1104</v>
      </c>
      <c r="D1550" t="s">
        <v>118</v>
      </c>
      <c r="E1550" t="s">
        <v>2618</v>
      </c>
      <c r="F1550" t="s">
        <v>6</v>
      </c>
      <c r="G1550" t="s">
        <v>130</v>
      </c>
      <c r="H1550" s="1">
        <v>46131</v>
      </c>
      <c r="I1550" t="s">
        <v>8627</v>
      </c>
      <c r="J1550" t="s">
        <v>8628</v>
      </c>
      <c r="K1550" t="s">
        <v>3693</v>
      </c>
      <c r="L1550" t="s">
        <v>2644</v>
      </c>
      <c r="M1550" t="s">
        <v>2359</v>
      </c>
      <c r="N1550" s="166">
        <v>22.48</v>
      </c>
      <c r="O1550" t="s">
        <v>131</v>
      </c>
    </row>
    <row r="1551" spans="1:15">
      <c r="A1551" s="166" t="s">
        <v>8629</v>
      </c>
      <c r="B1551" t="s">
        <v>111</v>
      </c>
      <c r="C1551" t="s">
        <v>135</v>
      </c>
      <c r="D1551" t="s">
        <v>118</v>
      </c>
      <c r="E1551" t="s">
        <v>2618</v>
      </c>
      <c r="F1551" t="s">
        <v>6</v>
      </c>
      <c r="G1551" t="s">
        <v>130</v>
      </c>
      <c r="H1551" s="1">
        <v>46131</v>
      </c>
      <c r="I1551" t="s">
        <v>8630</v>
      </c>
      <c r="J1551" t="s">
        <v>8631</v>
      </c>
      <c r="K1551" t="s">
        <v>1467</v>
      </c>
      <c r="L1551" t="s">
        <v>3032</v>
      </c>
      <c r="M1551" t="s">
        <v>1102</v>
      </c>
      <c r="N1551" s="166">
        <v>18.88</v>
      </c>
      <c r="O1551" t="s">
        <v>131</v>
      </c>
    </row>
    <row r="1552" spans="1:15">
      <c r="A1552" s="166" t="s">
        <v>8632</v>
      </c>
      <c r="B1552" t="s">
        <v>111</v>
      </c>
      <c r="C1552" t="s">
        <v>134</v>
      </c>
      <c r="D1552" t="s">
        <v>118</v>
      </c>
      <c r="E1552" t="s">
        <v>2618</v>
      </c>
      <c r="F1552" t="s">
        <v>6</v>
      </c>
      <c r="G1552" t="s">
        <v>130</v>
      </c>
      <c r="H1552" s="1">
        <v>46131</v>
      </c>
      <c r="I1552" t="s">
        <v>8633</v>
      </c>
      <c r="J1552" t="s">
        <v>8634</v>
      </c>
      <c r="K1552" t="s">
        <v>1705</v>
      </c>
      <c r="L1552" t="s">
        <v>616</v>
      </c>
      <c r="M1552" t="s">
        <v>1127</v>
      </c>
      <c r="N1552" s="166">
        <v>19.920000000000002</v>
      </c>
      <c r="O1552" t="s">
        <v>131</v>
      </c>
    </row>
    <row r="1553" spans="1:15">
      <c r="A1553" s="166" t="s">
        <v>8635</v>
      </c>
      <c r="B1553" t="s">
        <v>111</v>
      </c>
      <c r="C1553" t="s">
        <v>7474</v>
      </c>
      <c r="D1553" t="s">
        <v>118</v>
      </c>
      <c r="E1553" t="s">
        <v>139</v>
      </c>
      <c r="F1553" t="s">
        <v>6</v>
      </c>
      <c r="G1553" t="s">
        <v>130</v>
      </c>
      <c r="H1553" s="1">
        <v>46131</v>
      </c>
      <c r="I1553" t="s">
        <v>8636</v>
      </c>
      <c r="J1553" t="s">
        <v>8637</v>
      </c>
      <c r="K1553" t="s">
        <v>664</v>
      </c>
      <c r="L1553" t="s">
        <v>1155</v>
      </c>
      <c r="M1553" t="s">
        <v>2745</v>
      </c>
      <c r="N1553" s="166">
        <v>20.78</v>
      </c>
      <c r="O1553" t="s">
        <v>131</v>
      </c>
    </row>
    <row r="1554" spans="1:15">
      <c r="A1554" s="166" t="s">
        <v>8638</v>
      </c>
      <c r="B1554" t="s">
        <v>111</v>
      </c>
      <c r="C1554" t="s">
        <v>136</v>
      </c>
      <c r="D1554" t="s">
        <v>118</v>
      </c>
      <c r="E1554" t="s">
        <v>139</v>
      </c>
      <c r="F1554" t="s">
        <v>6</v>
      </c>
      <c r="G1554" t="s">
        <v>130</v>
      </c>
      <c r="H1554" s="1">
        <v>46131</v>
      </c>
      <c r="I1554" t="s">
        <v>8639</v>
      </c>
      <c r="J1554" t="s">
        <v>8640</v>
      </c>
      <c r="K1554" t="s">
        <v>1885</v>
      </c>
      <c r="L1554" t="s">
        <v>1132</v>
      </c>
      <c r="M1554" t="s">
        <v>1359</v>
      </c>
      <c r="N1554" s="166">
        <v>18.600000000000001</v>
      </c>
      <c r="O1554" t="s">
        <v>131</v>
      </c>
    </row>
    <row r="1555" spans="1:15">
      <c r="A1555" s="166" t="s">
        <v>8641</v>
      </c>
      <c r="B1555" t="s">
        <v>111</v>
      </c>
      <c r="C1555" t="s">
        <v>406</v>
      </c>
      <c r="D1555" t="s">
        <v>118</v>
      </c>
      <c r="E1555" t="s">
        <v>2618</v>
      </c>
      <c r="F1555" t="s">
        <v>6</v>
      </c>
      <c r="G1555" t="s">
        <v>130</v>
      </c>
      <c r="H1555" s="1">
        <v>46131</v>
      </c>
      <c r="I1555" t="s">
        <v>8642</v>
      </c>
      <c r="J1555" t="s">
        <v>8643</v>
      </c>
      <c r="K1555" t="s">
        <v>4719</v>
      </c>
      <c r="L1555" t="s">
        <v>529</v>
      </c>
      <c r="M1555" t="s">
        <v>857</v>
      </c>
      <c r="N1555" s="166">
        <v>22.94</v>
      </c>
      <c r="O1555" t="s">
        <v>131</v>
      </c>
    </row>
    <row r="1556" spans="1:15">
      <c r="A1556" s="166" t="s">
        <v>8644</v>
      </c>
      <c r="B1556" t="s">
        <v>111</v>
      </c>
      <c r="C1556" t="s">
        <v>1104</v>
      </c>
      <c r="D1556" t="s">
        <v>118</v>
      </c>
      <c r="E1556" t="s">
        <v>2618</v>
      </c>
      <c r="F1556" t="s">
        <v>6</v>
      </c>
      <c r="G1556" t="s">
        <v>130</v>
      </c>
      <c r="H1556" s="1">
        <v>46131</v>
      </c>
      <c r="I1556" t="s">
        <v>8645</v>
      </c>
      <c r="J1556" t="s">
        <v>8646</v>
      </c>
      <c r="K1556" t="s">
        <v>671</v>
      </c>
      <c r="L1556" t="s">
        <v>3813</v>
      </c>
      <c r="M1556" t="s">
        <v>7428</v>
      </c>
      <c r="N1556" s="166">
        <v>23.44</v>
      </c>
      <c r="O1556" t="s">
        <v>131</v>
      </c>
    </row>
    <row r="1557" spans="1:15">
      <c r="A1557" s="166" t="s">
        <v>8647</v>
      </c>
      <c r="B1557" t="s">
        <v>111</v>
      </c>
      <c r="C1557" t="s">
        <v>135</v>
      </c>
      <c r="D1557" t="s">
        <v>118</v>
      </c>
      <c r="E1557" t="s">
        <v>2618</v>
      </c>
      <c r="F1557" t="s">
        <v>6</v>
      </c>
      <c r="G1557" t="s">
        <v>130</v>
      </c>
      <c r="H1557" s="1">
        <v>46131</v>
      </c>
      <c r="I1557" t="s">
        <v>8648</v>
      </c>
      <c r="J1557" t="s">
        <v>8649</v>
      </c>
      <c r="K1557" t="s">
        <v>236</v>
      </c>
      <c r="L1557" t="s">
        <v>1663</v>
      </c>
      <c r="M1557" t="s">
        <v>1814</v>
      </c>
      <c r="N1557" s="166">
        <v>19.5</v>
      </c>
      <c r="O1557" t="s">
        <v>131</v>
      </c>
    </row>
    <row r="1558" spans="1:15">
      <c r="A1558" s="166" t="s">
        <v>8650</v>
      </c>
      <c r="B1558" t="s">
        <v>111</v>
      </c>
      <c r="C1558" t="s">
        <v>7474</v>
      </c>
      <c r="D1558" t="s">
        <v>118</v>
      </c>
      <c r="E1558" t="s">
        <v>139</v>
      </c>
      <c r="F1558" t="s">
        <v>6</v>
      </c>
      <c r="G1558" t="s">
        <v>130</v>
      </c>
      <c r="H1558" s="1">
        <v>46131</v>
      </c>
      <c r="I1558" t="s">
        <v>8651</v>
      </c>
      <c r="J1558" t="s">
        <v>8652</v>
      </c>
      <c r="K1558" t="s">
        <v>4983</v>
      </c>
      <c r="L1558" t="s">
        <v>1281</v>
      </c>
      <c r="M1558" t="s">
        <v>2586</v>
      </c>
      <c r="N1558" s="166">
        <v>21.04</v>
      </c>
      <c r="O1558" t="s">
        <v>131</v>
      </c>
    </row>
    <row r="1559" spans="1:15">
      <c r="A1559" s="166" t="s">
        <v>8653</v>
      </c>
      <c r="B1559" t="s">
        <v>111</v>
      </c>
      <c r="C1559" t="s">
        <v>136</v>
      </c>
      <c r="D1559" t="s">
        <v>118</v>
      </c>
      <c r="E1559" t="s">
        <v>139</v>
      </c>
      <c r="F1559" t="s">
        <v>6</v>
      </c>
      <c r="G1559" t="s">
        <v>130</v>
      </c>
      <c r="H1559" s="1">
        <v>46131</v>
      </c>
      <c r="I1559" t="s">
        <v>8654</v>
      </c>
      <c r="J1559" t="s">
        <v>8655</v>
      </c>
      <c r="K1559" t="s">
        <v>528</v>
      </c>
      <c r="L1559" t="s">
        <v>714</v>
      </c>
      <c r="M1559" t="s">
        <v>1587</v>
      </c>
      <c r="N1559" s="166">
        <v>20.5</v>
      </c>
      <c r="O1559" t="s">
        <v>131</v>
      </c>
    </row>
    <row r="1560" spans="1:15">
      <c r="A1560" s="166" t="s">
        <v>8656</v>
      </c>
      <c r="B1560" t="s">
        <v>111</v>
      </c>
      <c r="C1560" t="s">
        <v>133</v>
      </c>
      <c r="D1560" t="s">
        <v>118</v>
      </c>
      <c r="E1560" t="s">
        <v>139</v>
      </c>
      <c r="F1560" t="s">
        <v>6</v>
      </c>
      <c r="G1560" t="s">
        <v>130</v>
      </c>
      <c r="H1560" s="1">
        <v>46131</v>
      </c>
      <c r="I1560" t="s">
        <v>8657</v>
      </c>
      <c r="J1560" t="s">
        <v>8658</v>
      </c>
      <c r="K1560" t="s">
        <v>1767</v>
      </c>
      <c r="L1560" t="s">
        <v>1881</v>
      </c>
      <c r="M1560" t="s">
        <v>2759</v>
      </c>
      <c r="N1560" s="166">
        <v>23.7</v>
      </c>
      <c r="O1560" t="s">
        <v>131</v>
      </c>
    </row>
    <row r="1561" spans="1:15">
      <c r="A1561" s="166" t="s">
        <v>8659</v>
      </c>
      <c r="B1561" t="s">
        <v>111</v>
      </c>
      <c r="C1561" t="s">
        <v>406</v>
      </c>
      <c r="D1561" t="s">
        <v>118</v>
      </c>
      <c r="E1561" t="s">
        <v>2618</v>
      </c>
      <c r="F1561" t="s">
        <v>6</v>
      </c>
      <c r="G1561" t="s">
        <v>130</v>
      </c>
      <c r="H1561" s="1">
        <v>46131</v>
      </c>
      <c r="I1561" t="s">
        <v>8660</v>
      </c>
      <c r="J1561" t="s">
        <v>8661</v>
      </c>
      <c r="K1561" t="s">
        <v>760</v>
      </c>
      <c r="L1561" t="s">
        <v>1499</v>
      </c>
      <c r="M1561" t="s">
        <v>1164</v>
      </c>
      <c r="N1561" s="166">
        <v>22.46</v>
      </c>
      <c r="O1561" t="s">
        <v>131</v>
      </c>
    </row>
    <row r="1562" spans="1:15">
      <c r="A1562" s="166" t="s">
        <v>8662</v>
      </c>
      <c r="B1562" t="s">
        <v>111</v>
      </c>
      <c r="C1562" t="s">
        <v>134</v>
      </c>
      <c r="D1562" t="s">
        <v>118</v>
      </c>
      <c r="E1562" t="s">
        <v>2618</v>
      </c>
      <c r="F1562" t="s">
        <v>6</v>
      </c>
      <c r="G1562" t="s">
        <v>130</v>
      </c>
      <c r="H1562" s="1">
        <v>46131</v>
      </c>
      <c r="I1562" t="s">
        <v>8663</v>
      </c>
      <c r="J1562" t="s">
        <v>8664</v>
      </c>
      <c r="K1562" t="s">
        <v>1568</v>
      </c>
      <c r="L1562" t="s">
        <v>761</v>
      </c>
      <c r="M1562" t="s">
        <v>166</v>
      </c>
      <c r="N1562" s="166">
        <v>23.1</v>
      </c>
      <c r="O1562" t="s">
        <v>131</v>
      </c>
    </row>
    <row r="1563" spans="1:15">
      <c r="A1563" s="166" t="s">
        <v>8665</v>
      </c>
      <c r="B1563" t="s">
        <v>111</v>
      </c>
      <c r="C1563" t="s">
        <v>136</v>
      </c>
      <c r="D1563" t="s">
        <v>118</v>
      </c>
      <c r="E1563" t="s">
        <v>139</v>
      </c>
      <c r="F1563" t="s">
        <v>6</v>
      </c>
      <c r="G1563" t="s">
        <v>130</v>
      </c>
      <c r="H1563" s="1">
        <v>46131</v>
      </c>
      <c r="I1563" t="s">
        <v>8666</v>
      </c>
      <c r="J1563" t="s">
        <v>8667</v>
      </c>
      <c r="K1563" t="s">
        <v>188</v>
      </c>
      <c r="L1563" t="s">
        <v>730</v>
      </c>
      <c r="M1563" t="s">
        <v>166</v>
      </c>
      <c r="N1563" s="166">
        <v>23.1</v>
      </c>
      <c r="O1563" t="s">
        <v>131</v>
      </c>
    </row>
    <row r="1564" spans="1:15">
      <c r="A1564" s="166" t="s">
        <v>1126</v>
      </c>
      <c r="B1564" t="s">
        <v>111</v>
      </c>
      <c r="C1564" t="s">
        <v>133</v>
      </c>
      <c r="D1564" t="s">
        <v>118</v>
      </c>
      <c r="E1564" t="s">
        <v>139</v>
      </c>
      <c r="F1564" t="s">
        <v>6</v>
      </c>
      <c r="G1564" t="s">
        <v>130</v>
      </c>
      <c r="H1564" s="1">
        <v>46131</v>
      </c>
      <c r="I1564" t="s">
        <v>8668</v>
      </c>
      <c r="J1564" t="s">
        <v>8669</v>
      </c>
      <c r="K1564" t="s">
        <v>3070</v>
      </c>
      <c r="L1564" t="s">
        <v>890</v>
      </c>
      <c r="M1564" t="s">
        <v>5535</v>
      </c>
      <c r="N1564" s="166">
        <v>23.36</v>
      </c>
      <c r="O1564" t="s">
        <v>131</v>
      </c>
    </row>
    <row r="1565" spans="1:15">
      <c r="A1565" s="166" t="s">
        <v>8670</v>
      </c>
      <c r="B1565" t="s">
        <v>111</v>
      </c>
      <c r="C1565" t="s">
        <v>1104</v>
      </c>
      <c r="D1565" t="s">
        <v>118</v>
      </c>
      <c r="E1565" t="s">
        <v>2618</v>
      </c>
      <c r="F1565" t="s">
        <v>6</v>
      </c>
      <c r="G1565" t="s">
        <v>130</v>
      </c>
      <c r="H1565" s="1">
        <v>46131</v>
      </c>
      <c r="I1565" t="s">
        <v>8671</v>
      </c>
      <c r="J1565" t="s">
        <v>8672</v>
      </c>
      <c r="K1565" t="s">
        <v>1606</v>
      </c>
      <c r="L1565" t="s">
        <v>845</v>
      </c>
      <c r="M1565" t="s">
        <v>1178</v>
      </c>
      <c r="N1565" s="166">
        <v>21.12</v>
      </c>
      <c r="O1565" t="s">
        <v>131</v>
      </c>
    </row>
    <row r="1566" spans="1:15">
      <c r="A1566" s="166" t="s">
        <v>8673</v>
      </c>
      <c r="B1566" t="s">
        <v>111</v>
      </c>
      <c r="C1566" t="s">
        <v>7474</v>
      </c>
      <c r="D1566" t="s">
        <v>118</v>
      </c>
      <c r="E1566" t="s">
        <v>139</v>
      </c>
      <c r="F1566" t="s">
        <v>6</v>
      </c>
      <c r="G1566" t="s">
        <v>130</v>
      </c>
      <c r="H1566" s="1">
        <v>46131</v>
      </c>
      <c r="I1566" t="s">
        <v>8674</v>
      </c>
      <c r="J1566" t="s">
        <v>8675</v>
      </c>
      <c r="K1566" t="s">
        <v>4791</v>
      </c>
      <c r="L1566" t="s">
        <v>1573</v>
      </c>
      <c r="M1566" t="s">
        <v>1244</v>
      </c>
      <c r="N1566" s="166">
        <v>21.8</v>
      </c>
      <c r="O1566" t="s">
        <v>131</v>
      </c>
    </row>
    <row r="1567" spans="1:15">
      <c r="A1567" s="166" t="s">
        <v>8676</v>
      </c>
      <c r="B1567" t="s">
        <v>111</v>
      </c>
      <c r="C1567" t="s">
        <v>135</v>
      </c>
      <c r="D1567" t="s">
        <v>118</v>
      </c>
      <c r="E1567" t="s">
        <v>2618</v>
      </c>
      <c r="F1567" t="s">
        <v>6</v>
      </c>
      <c r="G1567" t="s">
        <v>130</v>
      </c>
      <c r="H1567" s="1">
        <v>46131</v>
      </c>
      <c r="I1567" t="s">
        <v>8677</v>
      </c>
      <c r="J1567" t="s">
        <v>8678</v>
      </c>
      <c r="K1567" t="s">
        <v>645</v>
      </c>
      <c r="L1567" t="s">
        <v>515</v>
      </c>
      <c r="M1567" t="s">
        <v>8679</v>
      </c>
      <c r="N1567" s="166">
        <v>0.08</v>
      </c>
      <c r="O1567" t="s">
        <v>131</v>
      </c>
    </row>
    <row r="1568" spans="1:15">
      <c r="A1568" s="166" t="s">
        <v>8680</v>
      </c>
      <c r="B1568" t="s">
        <v>111</v>
      </c>
      <c r="C1568" t="s">
        <v>406</v>
      </c>
      <c r="D1568" t="s">
        <v>118</v>
      </c>
      <c r="E1568" t="s">
        <v>2618</v>
      </c>
      <c r="F1568" t="s">
        <v>6</v>
      </c>
      <c r="G1568" t="s">
        <v>130</v>
      </c>
      <c r="H1568" s="1">
        <v>46131</v>
      </c>
      <c r="I1568" t="s">
        <v>8681</v>
      </c>
      <c r="J1568" t="s">
        <v>8682</v>
      </c>
      <c r="K1568" t="s">
        <v>4590</v>
      </c>
      <c r="L1568" t="s">
        <v>1483</v>
      </c>
      <c r="M1568" t="s">
        <v>5888</v>
      </c>
      <c r="N1568" s="166">
        <v>24.26</v>
      </c>
      <c r="O1568" t="s">
        <v>131</v>
      </c>
    </row>
    <row r="1569" spans="1:15">
      <c r="A1569" s="166" t="s">
        <v>8683</v>
      </c>
      <c r="B1569" t="s">
        <v>111</v>
      </c>
      <c r="C1569" t="s">
        <v>134</v>
      </c>
      <c r="D1569" t="s">
        <v>118</v>
      </c>
      <c r="E1569" t="s">
        <v>2618</v>
      </c>
      <c r="F1569" t="s">
        <v>6</v>
      </c>
      <c r="G1569" t="s">
        <v>130</v>
      </c>
      <c r="H1569" s="1">
        <v>46131</v>
      </c>
      <c r="I1569" t="s">
        <v>8684</v>
      </c>
      <c r="J1569" t="s">
        <v>8685</v>
      </c>
      <c r="K1569" t="s">
        <v>1521</v>
      </c>
      <c r="L1569" t="s">
        <v>772</v>
      </c>
      <c r="M1569" t="s">
        <v>1244</v>
      </c>
      <c r="N1569" s="166">
        <v>21.8</v>
      </c>
      <c r="O1569" t="s">
        <v>131</v>
      </c>
    </row>
    <row r="1570" spans="1:15">
      <c r="A1570" s="166" t="s">
        <v>8686</v>
      </c>
      <c r="B1570" t="s">
        <v>111</v>
      </c>
      <c r="C1570" t="s">
        <v>136</v>
      </c>
      <c r="D1570" t="s">
        <v>118</v>
      </c>
      <c r="E1570" t="s">
        <v>2618</v>
      </c>
      <c r="F1570" t="s">
        <v>6</v>
      </c>
      <c r="G1570" t="s">
        <v>130</v>
      </c>
      <c r="H1570" s="1">
        <v>46131</v>
      </c>
      <c r="I1570" t="s">
        <v>8687</v>
      </c>
      <c r="J1570" t="s">
        <v>8688</v>
      </c>
      <c r="K1570" t="s">
        <v>6117</v>
      </c>
      <c r="L1570" t="s">
        <v>611</v>
      </c>
      <c r="M1570" t="s">
        <v>222</v>
      </c>
      <c r="N1570" s="166">
        <v>23.2</v>
      </c>
      <c r="O1570" t="s">
        <v>131</v>
      </c>
    </row>
    <row r="1571" spans="1:15">
      <c r="A1571" s="166" t="s">
        <v>8689</v>
      </c>
      <c r="B1571" t="s">
        <v>111</v>
      </c>
      <c r="C1571" t="s">
        <v>133</v>
      </c>
      <c r="D1571" t="s">
        <v>118</v>
      </c>
      <c r="E1571" t="s">
        <v>139</v>
      </c>
      <c r="F1571" t="s">
        <v>6</v>
      </c>
      <c r="G1571" t="s">
        <v>130</v>
      </c>
      <c r="H1571" s="1">
        <v>46131</v>
      </c>
      <c r="I1571" t="s">
        <v>8690</v>
      </c>
      <c r="J1571" t="s">
        <v>8691</v>
      </c>
      <c r="K1571" t="s">
        <v>2638</v>
      </c>
      <c r="L1571" t="s">
        <v>1862</v>
      </c>
      <c r="M1571" t="s">
        <v>3814</v>
      </c>
      <c r="N1571" s="166">
        <v>22.08</v>
      </c>
      <c r="O1571" t="s">
        <v>131</v>
      </c>
    </row>
    <row r="1572" spans="1:15">
      <c r="A1572" s="166" t="s">
        <v>8692</v>
      </c>
      <c r="B1572" t="s">
        <v>111</v>
      </c>
      <c r="C1572" t="s">
        <v>7474</v>
      </c>
      <c r="D1572" t="s">
        <v>118</v>
      </c>
      <c r="E1572" t="s">
        <v>139</v>
      </c>
      <c r="F1572" t="s">
        <v>6</v>
      </c>
      <c r="G1572" t="s">
        <v>130</v>
      </c>
      <c r="H1572" s="1">
        <v>46131</v>
      </c>
      <c r="I1572" t="s">
        <v>8693</v>
      </c>
      <c r="J1572" t="s">
        <v>8694</v>
      </c>
      <c r="K1572" t="s">
        <v>2942</v>
      </c>
      <c r="L1572" t="s">
        <v>4641</v>
      </c>
      <c r="M1572" t="s">
        <v>1178</v>
      </c>
      <c r="N1572" s="166">
        <v>21.12</v>
      </c>
      <c r="O1572" t="s">
        <v>131</v>
      </c>
    </row>
    <row r="1573" spans="1:15">
      <c r="A1573" s="166" t="s">
        <v>8695</v>
      </c>
      <c r="B1573" t="s">
        <v>111</v>
      </c>
      <c r="C1573" t="s">
        <v>1104</v>
      </c>
      <c r="D1573" t="s">
        <v>118</v>
      </c>
      <c r="E1573" t="s">
        <v>2618</v>
      </c>
      <c r="F1573" t="s">
        <v>6</v>
      </c>
      <c r="G1573" t="s">
        <v>130</v>
      </c>
      <c r="H1573" s="1">
        <v>46131</v>
      </c>
      <c r="I1573" t="s">
        <v>8696</v>
      </c>
      <c r="J1573" t="s">
        <v>8697</v>
      </c>
      <c r="K1573" t="s">
        <v>443</v>
      </c>
      <c r="L1573" t="s">
        <v>3134</v>
      </c>
      <c r="M1573" t="s">
        <v>1529</v>
      </c>
      <c r="N1573" s="166">
        <v>19.88</v>
      </c>
      <c r="O1573" t="s">
        <v>131</v>
      </c>
    </row>
    <row r="1574" spans="1:15">
      <c r="A1574" s="166" t="s">
        <v>8698</v>
      </c>
      <c r="B1574" t="s">
        <v>111</v>
      </c>
      <c r="C1574" t="s">
        <v>406</v>
      </c>
      <c r="D1574" t="s">
        <v>118</v>
      </c>
      <c r="E1574" t="s">
        <v>2618</v>
      </c>
      <c r="F1574" t="s">
        <v>6</v>
      </c>
      <c r="G1574" t="s">
        <v>130</v>
      </c>
      <c r="H1574" s="1">
        <v>46131</v>
      </c>
      <c r="I1574" t="s">
        <v>8699</v>
      </c>
      <c r="J1574" t="s">
        <v>8700</v>
      </c>
      <c r="K1574" t="s">
        <v>766</v>
      </c>
      <c r="L1574" t="s">
        <v>8701</v>
      </c>
      <c r="M1574" t="s">
        <v>2046</v>
      </c>
      <c r="N1574" s="166">
        <v>19.16</v>
      </c>
      <c r="O1574" t="s">
        <v>131</v>
      </c>
    </row>
    <row r="1575" spans="1:15">
      <c r="A1575" s="166" t="s">
        <v>8702</v>
      </c>
      <c r="B1575" t="s">
        <v>111</v>
      </c>
      <c r="C1575" t="s">
        <v>135</v>
      </c>
      <c r="D1575" t="s">
        <v>118</v>
      </c>
      <c r="E1575" t="s">
        <v>6703</v>
      </c>
      <c r="F1575" t="s">
        <v>6</v>
      </c>
      <c r="G1575" t="s">
        <v>130</v>
      </c>
      <c r="H1575" s="1">
        <v>46131</v>
      </c>
      <c r="I1575" t="s">
        <v>8703</v>
      </c>
      <c r="J1575" t="s">
        <v>8704</v>
      </c>
      <c r="K1575" t="s">
        <v>1591</v>
      </c>
      <c r="L1575" t="s">
        <v>1503</v>
      </c>
      <c r="M1575" t="s">
        <v>194</v>
      </c>
      <c r="N1575" s="166">
        <v>20.399999999999999</v>
      </c>
      <c r="O1575" t="s">
        <v>131</v>
      </c>
    </row>
    <row r="1576" spans="1:15">
      <c r="A1576" s="166" t="s">
        <v>8705</v>
      </c>
      <c r="B1576" t="s">
        <v>111</v>
      </c>
      <c r="C1576" t="s">
        <v>7474</v>
      </c>
      <c r="D1576" t="s">
        <v>118</v>
      </c>
      <c r="E1576" t="s">
        <v>2618</v>
      </c>
      <c r="F1576" t="s">
        <v>6</v>
      </c>
      <c r="G1576" t="s">
        <v>130</v>
      </c>
      <c r="H1576" s="1">
        <v>46131</v>
      </c>
      <c r="I1576" t="s">
        <v>8706</v>
      </c>
      <c r="J1576" t="s">
        <v>8707</v>
      </c>
      <c r="K1576" t="s">
        <v>1107</v>
      </c>
      <c r="L1576" t="s">
        <v>1926</v>
      </c>
      <c r="M1576" t="s">
        <v>3182</v>
      </c>
      <c r="N1576" s="166">
        <v>17.559999999999999</v>
      </c>
      <c r="O1576" t="s">
        <v>131</v>
      </c>
    </row>
    <row r="1577" spans="1:15">
      <c r="A1577" s="166" t="s">
        <v>8708</v>
      </c>
      <c r="B1577" t="s">
        <v>111</v>
      </c>
      <c r="C1577" t="s">
        <v>133</v>
      </c>
      <c r="D1577" t="s">
        <v>118</v>
      </c>
      <c r="E1577" t="s">
        <v>6703</v>
      </c>
      <c r="F1577" t="s">
        <v>6</v>
      </c>
      <c r="G1577" t="s">
        <v>130</v>
      </c>
      <c r="H1577" s="1">
        <v>46131</v>
      </c>
      <c r="I1577" t="s">
        <v>8709</v>
      </c>
      <c r="J1577" t="s">
        <v>8710</v>
      </c>
      <c r="K1577" t="s">
        <v>1346</v>
      </c>
      <c r="L1577" t="s">
        <v>870</v>
      </c>
      <c r="M1577" t="s">
        <v>2450</v>
      </c>
      <c r="N1577" s="166">
        <v>17.64</v>
      </c>
      <c r="O1577" t="s">
        <v>131</v>
      </c>
    </row>
    <row r="1578" spans="1:15">
      <c r="A1578" s="166" t="s">
        <v>8711</v>
      </c>
      <c r="B1578" t="s">
        <v>111</v>
      </c>
      <c r="C1578" t="s">
        <v>136</v>
      </c>
      <c r="D1578" t="s">
        <v>118</v>
      </c>
      <c r="E1578" t="s">
        <v>2618</v>
      </c>
      <c r="F1578" t="s">
        <v>6</v>
      </c>
      <c r="G1578" t="s">
        <v>130</v>
      </c>
      <c r="H1578" s="1">
        <v>46131</v>
      </c>
      <c r="I1578" t="s">
        <v>8712</v>
      </c>
      <c r="J1578" t="s">
        <v>8713</v>
      </c>
      <c r="K1578" t="s">
        <v>1602</v>
      </c>
      <c r="L1578" t="s">
        <v>1845</v>
      </c>
      <c r="M1578" t="s">
        <v>1286</v>
      </c>
      <c r="N1578" s="166">
        <v>19.64</v>
      </c>
      <c r="O1578" t="s">
        <v>131</v>
      </c>
    </row>
    <row r="1579" spans="1:15">
      <c r="A1579" s="166" t="s">
        <v>8714</v>
      </c>
      <c r="B1579" t="s">
        <v>111</v>
      </c>
      <c r="C1579" t="s">
        <v>134</v>
      </c>
      <c r="D1579" t="s">
        <v>118</v>
      </c>
      <c r="E1579" t="s">
        <v>6703</v>
      </c>
      <c r="F1579" t="s">
        <v>6</v>
      </c>
      <c r="G1579" t="s">
        <v>130</v>
      </c>
      <c r="H1579" s="1">
        <v>46131</v>
      </c>
      <c r="I1579" t="s">
        <v>8715</v>
      </c>
      <c r="J1579" t="s">
        <v>8716</v>
      </c>
      <c r="K1579" t="s">
        <v>5707</v>
      </c>
      <c r="L1579" t="s">
        <v>162</v>
      </c>
      <c r="M1579" t="s">
        <v>601</v>
      </c>
      <c r="N1579" s="166">
        <v>21.46</v>
      </c>
      <c r="O1579" t="s">
        <v>131</v>
      </c>
    </row>
    <row r="1580" spans="1:15">
      <c r="A1580" s="166" t="s">
        <v>8717</v>
      </c>
      <c r="B1580" t="s">
        <v>111</v>
      </c>
      <c r="C1580" t="s">
        <v>1104</v>
      </c>
      <c r="D1580" t="s">
        <v>118</v>
      </c>
      <c r="E1580" t="s">
        <v>2618</v>
      </c>
      <c r="F1580" t="s">
        <v>6</v>
      </c>
      <c r="G1580" t="s">
        <v>130</v>
      </c>
      <c r="H1580" s="1">
        <v>46131</v>
      </c>
      <c r="I1580" t="s">
        <v>8718</v>
      </c>
      <c r="J1580" t="s">
        <v>8719</v>
      </c>
      <c r="K1580" t="s">
        <v>2296</v>
      </c>
      <c r="L1580" t="s">
        <v>3152</v>
      </c>
      <c r="M1580" t="s">
        <v>773</v>
      </c>
      <c r="N1580" s="166">
        <v>20.66</v>
      </c>
      <c r="O1580" t="s">
        <v>131</v>
      </c>
    </row>
    <row r="1581" spans="1:15">
      <c r="A1581" s="166" t="s">
        <v>8720</v>
      </c>
      <c r="B1581" t="s">
        <v>111</v>
      </c>
      <c r="C1581" t="s">
        <v>406</v>
      </c>
      <c r="D1581" t="s">
        <v>118</v>
      </c>
      <c r="E1581" t="s">
        <v>2618</v>
      </c>
      <c r="F1581" t="s">
        <v>6</v>
      </c>
      <c r="G1581" t="s">
        <v>130</v>
      </c>
      <c r="H1581" s="1">
        <v>46131</v>
      </c>
      <c r="I1581" t="s">
        <v>8721</v>
      </c>
      <c r="J1581" t="s">
        <v>8722</v>
      </c>
      <c r="K1581" t="s">
        <v>2296</v>
      </c>
      <c r="L1581" t="s">
        <v>1483</v>
      </c>
      <c r="M1581" t="s">
        <v>2297</v>
      </c>
      <c r="N1581" s="166">
        <v>22.34</v>
      </c>
      <c r="O1581" t="s">
        <v>131</v>
      </c>
    </row>
    <row r="1582" spans="1:15">
      <c r="A1582" s="166" t="s">
        <v>8723</v>
      </c>
      <c r="B1582" t="s">
        <v>111</v>
      </c>
      <c r="C1582" t="s">
        <v>7474</v>
      </c>
      <c r="D1582" t="s">
        <v>118</v>
      </c>
      <c r="E1582" t="s">
        <v>2618</v>
      </c>
      <c r="F1582" t="s">
        <v>6</v>
      </c>
      <c r="G1582" t="s">
        <v>130</v>
      </c>
      <c r="H1582" s="1">
        <v>46131</v>
      </c>
      <c r="I1582" t="s">
        <v>8724</v>
      </c>
      <c r="J1582" t="s">
        <v>8725</v>
      </c>
      <c r="K1582" t="s">
        <v>771</v>
      </c>
      <c r="L1582" t="s">
        <v>8701</v>
      </c>
      <c r="M1582" t="s">
        <v>1291</v>
      </c>
      <c r="N1582" s="166">
        <v>18.399999999999999</v>
      </c>
      <c r="O1582" t="s">
        <v>131</v>
      </c>
    </row>
    <row r="1583" spans="1:15">
      <c r="A1583" s="166" t="s">
        <v>8726</v>
      </c>
      <c r="B1583" t="s">
        <v>111</v>
      </c>
      <c r="C1583" t="s">
        <v>136</v>
      </c>
      <c r="D1583" t="s">
        <v>118</v>
      </c>
      <c r="E1583" t="s">
        <v>2618</v>
      </c>
      <c r="F1583" t="s">
        <v>6</v>
      </c>
      <c r="G1583" t="s">
        <v>130</v>
      </c>
      <c r="H1583" s="1">
        <v>46131</v>
      </c>
      <c r="I1583" t="s">
        <v>8727</v>
      </c>
      <c r="J1583" t="s">
        <v>8728</v>
      </c>
      <c r="K1583" t="s">
        <v>3091</v>
      </c>
      <c r="L1583" t="s">
        <v>611</v>
      </c>
      <c r="M1583" t="s">
        <v>857</v>
      </c>
      <c r="N1583" s="166">
        <v>22.94</v>
      </c>
      <c r="O1583" t="s">
        <v>131</v>
      </c>
    </row>
    <row r="1584" spans="1:15">
      <c r="A1584" s="166" t="s">
        <v>1332</v>
      </c>
      <c r="B1584" t="s">
        <v>111</v>
      </c>
      <c r="C1584" t="s">
        <v>1104</v>
      </c>
      <c r="D1584" t="s">
        <v>118</v>
      </c>
      <c r="E1584" t="s">
        <v>2618</v>
      </c>
      <c r="F1584" t="s">
        <v>6</v>
      </c>
      <c r="G1584" t="s">
        <v>130</v>
      </c>
      <c r="H1584" s="1">
        <v>46131</v>
      </c>
      <c r="I1584" t="s">
        <v>8729</v>
      </c>
      <c r="J1584" t="s">
        <v>8730</v>
      </c>
      <c r="K1584" t="s">
        <v>595</v>
      </c>
      <c r="L1584" t="s">
        <v>3318</v>
      </c>
      <c r="M1584" t="s">
        <v>3318</v>
      </c>
      <c r="N1584" s="166">
        <v>17.62</v>
      </c>
      <c r="O1584" t="s">
        <v>131</v>
      </c>
    </row>
    <row r="1585" spans="1:15">
      <c r="A1585" s="166" t="s">
        <v>8731</v>
      </c>
      <c r="B1585" t="s">
        <v>111</v>
      </c>
      <c r="C1585" t="s">
        <v>136</v>
      </c>
      <c r="D1585" t="s">
        <v>118</v>
      </c>
      <c r="E1585" t="s">
        <v>139</v>
      </c>
      <c r="F1585" t="s">
        <v>6</v>
      </c>
      <c r="G1585" t="s">
        <v>130</v>
      </c>
      <c r="H1585" s="1">
        <v>46131</v>
      </c>
      <c r="I1585" t="s">
        <v>8732</v>
      </c>
      <c r="J1585" t="s">
        <v>8733</v>
      </c>
      <c r="K1585" t="s">
        <v>1337</v>
      </c>
      <c r="L1585" t="s">
        <v>611</v>
      </c>
      <c r="M1585" t="s">
        <v>3169</v>
      </c>
      <c r="N1585" s="166">
        <v>18.8</v>
      </c>
      <c r="O1585" t="s">
        <v>131</v>
      </c>
    </row>
    <row r="1586" spans="1:15">
      <c r="A1586" s="166" t="s">
        <v>8734</v>
      </c>
      <c r="B1586" t="s">
        <v>111</v>
      </c>
      <c r="C1586" t="s">
        <v>135</v>
      </c>
      <c r="D1586" t="s">
        <v>118</v>
      </c>
      <c r="E1586" t="s">
        <v>6703</v>
      </c>
      <c r="F1586" t="s">
        <v>6</v>
      </c>
      <c r="G1586" t="s">
        <v>130</v>
      </c>
      <c r="H1586" s="1">
        <v>46131</v>
      </c>
      <c r="I1586" t="s">
        <v>8735</v>
      </c>
      <c r="J1586" t="s">
        <v>8736</v>
      </c>
      <c r="K1586" t="s">
        <v>3371</v>
      </c>
      <c r="L1586" t="s">
        <v>1483</v>
      </c>
      <c r="M1586" t="s">
        <v>3372</v>
      </c>
      <c r="N1586" s="166">
        <v>17.96</v>
      </c>
      <c r="O1586" t="s">
        <v>131</v>
      </c>
    </row>
    <row r="1587" spans="1:15">
      <c r="A1587" s="166" t="s">
        <v>8737</v>
      </c>
      <c r="B1587" t="s">
        <v>111</v>
      </c>
      <c r="C1587" t="s">
        <v>7474</v>
      </c>
      <c r="D1587" t="s">
        <v>118</v>
      </c>
      <c r="E1587" t="s">
        <v>2618</v>
      </c>
      <c r="F1587" t="s">
        <v>6</v>
      </c>
      <c r="G1587" t="s">
        <v>130</v>
      </c>
      <c r="H1587" s="1">
        <v>46131</v>
      </c>
      <c r="I1587" t="s">
        <v>8738</v>
      </c>
      <c r="J1587" t="s">
        <v>8739</v>
      </c>
      <c r="K1587" t="s">
        <v>491</v>
      </c>
      <c r="L1587" t="s">
        <v>1389</v>
      </c>
      <c r="M1587" t="s">
        <v>3169</v>
      </c>
      <c r="N1587" s="166">
        <v>18.8</v>
      </c>
      <c r="O1587" t="s">
        <v>131</v>
      </c>
    </row>
    <row r="1588" spans="1:15">
      <c r="A1588" s="166" t="s">
        <v>8740</v>
      </c>
      <c r="B1588" t="s">
        <v>111</v>
      </c>
      <c r="C1588" t="s">
        <v>133</v>
      </c>
      <c r="D1588" t="s">
        <v>118</v>
      </c>
      <c r="E1588" t="s">
        <v>6703</v>
      </c>
      <c r="F1588" t="s">
        <v>6</v>
      </c>
      <c r="G1588" t="s">
        <v>130</v>
      </c>
      <c r="H1588" s="1">
        <v>46131</v>
      </c>
      <c r="I1588" t="s">
        <v>8741</v>
      </c>
      <c r="J1588" t="s">
        <v>8742</v>
      </c>
      <c r="K1588" t="s">
        <v>4719</v>
      </c>
      <c r="L1588" t="s">
        <v>1862</v>
      </c>
      <c r="M1588" t="s">
        <v>1456</v>
      </c>
      <c r="N1588" s="166">
        <v>21.78</v>
      </c>
      <c r="O1588" t="s">
        <v>131</v>
      </c>
    </row>
    <row r="1589" spans="1:15">
      <c r="A1589" s="166" t="s">
        <v>8743</v>
      </c>
      <c r="B1589" t="s">
        <v>111</v>
      </c>
      <c r="C1589" t="s">
        <v>134</v>
      </c>
      <c r="D1589" t="s">
        <v>118</v>
      </c>
      <c r="E1589" t="s">
        <v>6703</v>
      </c>
      <c r="F1589" t="s">
        <v>6</v>
      </c>
      <c r="G1589" t="s">
        <v>130</v>
      </c>
      <c r="H1589" s="1">
        <v>46131</v>
      </c>
      <c r="I1589" t="s">
        <v>8744</v>
      </c>
      <c r="J1589" t="s">
        <v>8745</v>
      </c>
      <c r="K1589" t="s">
        <v>1066</v>
      </c>
      <c r="L1589" t="s">
        <v>777</v>
      </c>
      <c r="M1589" t="s">
        <v>1067</v>
      </c>
      <c r="N1589" s="166">
        <v>18.84</v>
      </c>
      <c r="O1589" t="s">
        <v>131</v>
      </c>
    </row>
    <row r="1590" spans="1:15">
      <c r="A1590" s="166" t="s">
        <v>8746</v>
      </c>
      <c r="B1590" t="s">
        <v>111</v>
      </c>
      <c r="C1590" t="s">
        <v>136</v>
      </c>
      <c r="D1590" t="s">
        <v>118</v>
      </c>
      <c r="E1590" t="s">
        <v>2618</v>
      </c>
      <c r="F1590" t="s">
        <v>6</v>
      </c>
      <c r="G1590" t="s">
        <v>130</v>
      </c>
      <c r="H1590" s="1">
        <v>46131</v>
      </c>
      <c r="I1590" t="s">
        <v>8747</v>
      </c>
      <c r="J1590" t="s">
        <v>8748</v>
      </c>
      <c r="K1590" t="s">
        <v>475</v>
      </c>
      <c r="L1590" t="s">
        <v>611</v>
      </c>
      <c r="M1590" t="s">
        <v>2158</v>
      </c>
      <c r="N1590" s="166">
        <v>20.94</v>
      </c>
      <c r="O1590" t="s">
        <v>131</v>
      </c>
    </row>
    <row r="1591" spans="1:15">
      <c r="A1591" s="166" t="s">
        <v>8749</v>
      </c>
      <c r="B1591" t="s">
        <v>111</v>
      </c>
      <c r="C1591" t="s">
        <v>406</v>
      </c>
      <c r="D1591" t="s">
        <v>118</v>
      </c>
      <c r="E1591" t="s">
        <v>2618</v>
      </c>
      <c r="F1591" t="s">
        <v>6</v>
      </c>
      <c r="G1591" t="s">
        <v>130</v>
      </c>
      <c r="H1591" s="1">
        <v>46131</v>
      </c>
      <c r="I1591" t="s">
        <v>8750</v>
      </c>
      <c r="J1591" t="s">
        <v>8751</v>
      </c>
      <c r="K1591" t="s">
        <v>649</v>
      </c>
      <c r="L1591" t="s">
        <v>3441</v>
      </c>
      <c r="M1591" t="s">
        <v>3138</v>
      </c>
      <c r="N1591" s="166">
        <v>21.94</v>
      </c>
      <c r="O1591" t="s">
        <v>131</v>
      </c>
    </row>
    <row r="1592" spans="1:15">
      <c r="A1592" s="166" t="s">
        <v>8752</v>
      </c>
      <c r="B1592" t="s">
        <v>111</v>
      </c>
      <c r="C1592" t="s">
        <v>1104</v>
      </c>
      <c r="D1592" t="s">
        <v>118</v>
      </c>
      <c r="E1592" t="s">
        <v>2618</v>
      </c>
      <c r="F1592" t="s">
        <v>6</v>
      </c>
      <c r="G1592" t="s">
        <v>130</v>
      </c>
      <c r="H1592" s="1">
        <v>46131</v>
      </c>
      <c r="I1592" t="s">
        <v>8753</v>
      </c>
      <c r="J1592" t="s">
        <v>8754</v>
      </c>
      <c r="K1592" t="s">
        <v>615</v>
      </c>
      <c r="L1592" t="s">
        <v>3483</v>
      </c>
      <c r="M1592" t="s">
        <v>3653</v>
      </c>
      <c r="N1592" s="166">
        <v>18.440000000000001</v>
      </c>
      <c r="O1592" t="s">
        <v>131</v>
      </c>
    </row>
    <row r="1593" spans="1:15">
      <c r="A1593" s="166" t="s">
        <v>8755</v>
      </c>
      <c r="B1593" t="s">
        <v>111</v>
      </c>
      <c r="C1593" t="s">
        <v>135</v>
      </c>
      <c r="D1593" t="s">
        <v>118</v>
      </c>
      <c r="E1593" t="s">
        <v>6703</v>
      </c>
      <c r="F1593" t="s">
        <v>6</v>
      </c>
      <c r="G1593" t="s">
        <v>130</v>
      </c>
      <c r="H1593" s="1">
        <v>46131</v>
      </c>
      <c r="I1593" t="s">
        <v>8756</v>
      </c>
      <c r="J1593" t="s">
        <v>8757</v>
      </c>
      <c r="K1593" t="s">
        <v>491</v>
      </c>
      <c r="L1593" t="s">
        <v>3032</v>
      </c>
      <c r="M1593" t="s">
        <v>3138</v>
      </c>
      <c r="N1593" s="166">
        <v>21.94</v>
      </c>
      <c r="O1593" t="s">
        <v>131</v>
      </c>
    </row>
    <row r="1594" spans="1:15">
      <c r="A1594" s="166" t="s">
        <v>8758</v>
      </c>
      <c r="B1594" t="s">
        <v>111</v>
      </c>
      <c r="C1594" t="s">
        <v>7474</v>
      </c>
      <c r="D1594" t="s">
        <v>118</v>
      </c>
      <c r="E1594" t="s">
        <v>2618</v>
      </c>
      <c r="F1594" t="s">
        <v>6</v>
      </c>
      <c r="G1594" t="s">
        <v>130</v>
      </c>
      <c r="H1594" s="1">
        <v>46131</v>
      </c>
      <c r="I1594" t="s">
        <v>8759</v>
      </c>
      <c r="J1594" t="s">
        <v>8760</v>
      </c>
      <c r="K1594" t="s">
        <v>2198</v>
      </c>
      <c r="L1594" t="s">
        <v>162</v>
      </c>
      <c r="M1594" t="s">
        <v>747</v>
      </c>
      <c r="N1594" s="166">
        <v>23.38</v>
      </c>
      <c r="O1594" t="s">
        <v>131</v>
      </c>
    </row>
    <row r="1595" spans="1:15">
      <c r="A1595" s="166" t="s">
        <v>8761</v>
      </c>
      <c r="B1595" t="s">
        <v>111</v>
      </c>
      <c r="C1595" t="s">
        <v>136</v>
      </c>
      <c r="D1595" t="s">
        <v>118</v>
      </c>
      <c r="E1595" t="s">
        <v>139</v>
      </c>
      <c r="F1595" t="s">
        <v>6</v>
      </c>
      <c r="G1595" t="s">
        <v>130</v>
      </c>
      <c r="H1595" s="1">
        <v>46131</v>
      </c>
      <c r="I1595" t="s">
        <v>8762</v>
      </c>
      <c r="J1595" t="s">
        <v>8763</v>
      </c>
      <c r="K1595" t="s">
        <v>1785</v>
      </c>
      <c r="L1595" t="s">
        <v>611</v>
      </c>
      <c r="M1595" t="s">
        <v>1389</v>
      </c>
      <c r="N1595" s="166">
        <v>18.54</v>
      </c>
      <c r="O1595" t="s">
        <v>131</v>
      </c>
    </row>
    <row r="1596" spans="1:15">
      <c r="A1596" s="166" t="s">
        <v>8764</v>
      </c>
      <c r="B1596" t="s">
        <v>111</v>
      </c>
      <c r="C1596" t="s">
        <v>406</v>
      </c>
      <c r="D1596" t="s">
        <v>118</v>
      </c>
      <c r="E1596" t="s">
        <v>2618</v>
      </c>
      <c r="F1596" t="s">
        <v>6</v>
      </c>
      <c r="G1596" t="s">
        <v>130</v>
      </c>
      <c r="H1596" s="1">
        <v>46131</v>
      </c>
      <c r="I1596" t="s">
        <v>8765</v>
      </c>
      <c r="J1596" t="s">
        <v>8766</v>
      </c>
      <c r="K1596" t="s">
        <v>771</v>
      </c>
      <c r="L1596" t="s">
        <v>1483</v>
      </c>
      <c r="M1596" t="s">
        <v>2038</v>
      </c>
      <c r="N1596" s="166">
        <v>21.08</v>
      </c>
      <c r="O1596" t="s">
        <v>131</v>
      </c>
    </row>
    <row r="1597" spans="1:15">
      <c r="A1597" s="166" t="s">
        <v>8767</v>
      </c>
      <c r="B1597" t="s">
        <v>111</v>
      </c>
      <c r="C1597" t="s">
        <v>133</v>
      </c>
      <c r="D1597" t="s">
        <v>118</v>
      </c>
      <c r="E1597" t="s">
        <v>6703</v>
      </c>
      <c r="F1597" t="s">
        <v>6</v>
      </c>
      <c r="G1597" t="s">
        <v>130</v>
      </c>
      <c r="H1597" s="1">
        <v>46131</v>
      </c>
      <c r="I1597" t="s">
        <v>8768</v>
      </c>
      <c r="J1597" t="s">
        <v>8769</v>
      </c>
      <c r="K1597" t="s">
        <v>1420</v>
      </c>
      <c r="L1597" t="s">
        <v>1881</v>
      </c>
      <c r="M1597" t="s">
        <v>3775</v>
      </c>
      <c r="N1597" s="166">
        <v>18.260000000000002</v>
      </c>
      <c r="O1597" t="s">
        <v>131</v>
      </c>
    </row>
    <row r="1598" spans="1:15">
      <c r="A1598" s="166" t="s">
        <v>8770</v>
      </c>
      <c r="B1598" t="s">
        <v>111</v>
      </c>
      <c r="C1598" t="s">
        <v>136</v>
      </c>
      <c r="D1598" t="s">
        <v>118</v>
      </c>
      <c r="E1598" t="s">
        <v>2618</v>
      </c>
      <c r="F1598" t="s">
        <v>6</v>
      </c>
      <c r="G1598" t="s">
        <v>130</v>
      </c>
      <c r="H1598" s="1">
        <v>46131</v>
      </c>
      <c r="I1598" t="s">
        <v>8771</v>
      </c>
      <c r="J1598" t="s">
        <v>8772</v>
      </c>
      <c r="K1598" t="s">
        <v>5500</v>
      </c>
      <c r="L1598" t="s">
        <v>1835</v>
      </c>
      <c r="M1598" t="s">
        <v>2395</v>
      </c>
      <c r="N1598" s="166">
        <v>23.22</v>
      </c>
      <c r="O1598" t="s">
        <v>131</v>
      </c>
    </row>
    <row r="1599" spans="1:15">
      <c r="A1599" s="166" t="s">
        <v>8773</v>
      </c>
      <c r="B1599" t="s">
        <v>111</v>
      </c>
      <c r="C1599" t="s">
        <v>134</v>
      </c>
      <c r="D1599" t="s">
        <v>118</v>
      </c>
      <c r="E1599" t="s">
        <v>6703</v>
      </c>
      <c r="F1599" t="s">
        <v>6</v>
      </c>
      <c r="G1599" t="s">
        <v>130</v>
      </c>
      <c r="H1599" s="1">
        <v>46131</v>
      </c>
      <c r="I1599" t="s">
        <v>8774</v>
      </c>
      <c r="J1599" t="s">
        <v>8775</v>
      </c>
      <c r="K1599" t="s">
        <v>1274</v>
      </c>
      <c r="L1599" t="s">
        <v>777</v>
      </c>
      <c r="M1599" t="s">
        <v>1155</v>
      </c>
      <c r="N1599" s="166">
        <v>18.3</v>
      </c>
      <c r="O1599" t="s">
        <v>131</v>
      </c>
    </row>
    <row r="1600" spans="1:15">
      <c r="A1600" s="166" t="s">
        <v>8776</v>
      </c>
      <c r="B1600" t="s">
        <v>111</v>
      </c>
      <c r="C1600" t="s">
        <v>1104</v>
      </c>
      <c r="D1600" t="s">
        <v>118</v>
      </c>
      <c r="E1600" t="s">
        <v>139</v>
      </c>
      <c r="F1600" t="s">
        <v>6</v>
      </c>
      <c r="G1600" t="s">
        <v>130</v>
      </c>
      <c r="H1600" s="1">
        <v>46131</v>
      </c>
      <c r="I1600" t="s">
        <v>8777</v>
      </c>
      <c r="J1600" t="s">
        <v>8778</v>
      </c>
      <c r="K1600" t="s">
        <v>497</v>
      </c>
      <c r="L1600" t="s">
        <v>2523</v>
      </c>
      <c r="M1600" t="s">
        <v>1347</v>
      </c>
      <c r="N1600" s="166">
        <v>19.2</v>
      </c>
      <c r="O1600" t="s">
        <v>131</v>
      </c>
    </row>
    <row r="1601" spans="1:15">
      <c r="A1601" s="166" t="s">
        <v>8779</v>
      </c>
      <c r="B1601" t="s">
        <v>111</v>
      </c>
      <c r="C1601" t="s">
        <v>7474</v>
      </c>
      <c r="D1601" t="s">
        <v>118</v>
      </c>
      <c r="E1601" t="s">
        <v>139</v>
      </c>
      <c r="F1601" t="s">
        <v>6</v>
      </c>
      <c r="G1601" t="s">
        <v>130</v>
      </c>
      <c r="H1601" s="1">
        <v>46131</v>
      </c>
      <c r="I1601" t="s">
        <v>8780</v>
      </c>
      <c r="J1601" t="s">
        <v>8781</v>
      </c>
      <c r="K1601" t="s">
        <v>766</v>
      </c>
      <c r="L1601" t="s">
        <v>2267</v>
      </c>
      <c r="M1601" t="s">
        <v>2586</v>
      </c>
      <c r="N1601" s="166">
        <v>21.04</v>
      </c>
      <c r="O1601" t="s">
        <v>131</v>
      </c>
    </row>
    <row r="1602" spans="1:15">
      <c r="A1602" s="166" t="s">
        <v>8782</v>
      </c>
      <c r="B1602" t="s">
        <v>111</v>
      </c>
      <c r="C1602" t="s">
        <v>135</v>
      </c>
      <c r="D1602" t="s">
        <v>118</v>
      </c>
      <c r="E1602" t="s">
        <v>6703</v>
      </c>
      <c r="F1602" t="s">
        <v>6</v>
      </c>
      <c r="G1602" t="s">
        <v>130</v>
      </c>
      <c r="H1602" s="1">
        <v>46131</v>
      </c>
      <c r="I1602" t="s">
        <v>8783</v>
      </c>
      <c r="J1602" t="s">
        <v>8784</v>
      </c>
      <c r="K1602" t="s">
        <v>1058</v>
      </c>
      <c r="L1602" t="s">
        <v>515</v>
      </c>
      <c r="M1602" t="s">
        <v>3483</v>
      </c>
      <c r="N1602" s="166">
        <v>17.260000000000002</v>
      </c>
      <c r="O1602" t="s">
        <v>131</v>
      </c>
    </row>
    <row r="1603" spans="1:15">
      <c r="A1603" s="166" t="s">
        <v>8785</v>
      </c>
      <c r="B1603" t="s">
        <v>111</v>
      </c>
      <c r="C1603" t="s">
        <v>133</v>
      </c>
      <c r="D1603" t="s">
        <v>118</v>
      </c>
      <c r="E1603" t="s">
        <v>6703</v>
      </c>
      <c r="F1603" t="s">
        <v>6</v>
      </c>
      <c r="G1603" t="s">
        <v>130</v>
      </c>
      <c r="H1603" s="1">
        <v>46131</v>
      </c>
      <c r="I1603" t="s">
        <v>8786</v>
      </c>
      <c r="J1603" t="s">
        <v>8787</v>
      </c>
      <c r="K1603" t="s">
        <v>2135</v>
      </c>
      <c r="L1603" t="s">
        <v>1881</v>
      </c>
      <c r="M1603" t="s">
        <v>1404</v>
      </c>
      <c r="N1603" s="166">
        <v>18.579999999999998</v>
      </c>
      <c r="O1603" t="s">
        <v>131</v>
      </c>
    </row>
    <row r="1604" spans="1:15">
      <c r="A1604" s="166" t="s">
        <v>7417</v>
      </c>
      <c r="B1604" t="s">
        <v>111</v>
      </c>
      <c r="C1604" t="s">
        <v>134</v>
      </c>
      <c r="D1604" t="s">
        <v>118</v>
      </c>
      <c r="E1604" t="s">
        <v>6703</v>
      </c>
      <c r="F1604" t="s">
        <v>6</v>
      </c>
      <c r="G1604" t="s">
        <v>130</v>
      </c>
      <c r="H1604" s="1">
        <v>46131</v>
      </c>
      <c r="I1604" t="s">
        <v>8788</v>
      </c>
      <c r="J1604" t="s">
        <v>8789</v>
      </c>
      <c r="K1604" t="s">
        <v>3905</v>
      </c>
      <c r="L1604" t="s">
        <v>616</v>
      </c>
      <c r="M1604" t="s">
        <v>1846</v>
      </c>
      <c r="N1604" s="166">
        <v>17.920000000000002</v>
      </c>
      <c r="O1604" t="s">
        <v>131</v>
      </c>
    </row>
    <row r="1605" spans="1:15">
      <c r="A1605" s="166" t="s">
        <v>8790</v>
      </c>
      <c r="B1605" t="s">
        <v>111</v>
      </c>
      <c r="C1605" t="s">
        <v>1104</v>
      </c>
      <c r="D1605" t="s">
        <v>118</v>
      </c>
      <c r="E1605" t="s">
        <v>139</v>
      </c>
      <c r="F1605" t="s">
        <v>6</v>
      </c>
      <c r="G1605" t="s">
        <v>130</v>
      </c>
      <c r="H1605" s="1">
        <v>46131</v>
      </c>
      <c r="I1605" t="s">
        <v>8791</v>
      </c>
      <c r="J1605" t="s">
        <v>8792</v>
      </c>
      <c r="K1605" t="s">
        <v>3125</v>
      </c>
      <c r="L1605" t="s">
        <v>2652</v>
      </c>
      <c r="M1605" t="s">
        <v>1385</v>
      </c>
      <c r="N1605" s="166">
        <v>19.78</v>
      </c>
      <c r="O1605" t="s">
        <v>131</v>
      </c>
    </row>
    <row r="1606" spans="1:15">
      <c r="A1606" s="166" t="s">
        <v>8793</v>
      </c>
      <c r="B1606" t="s">
        <v>111</v>
      </c>
      <c r="C1606" t="s">
        <v>7474</v>
      </c>
      <c r="D1606" t="s">
        <v>118</v>
      </c>
      <c r="E1606" t="s">
        <v>6703</v>
      </c>
      <c r="F1606" t="s">
        <v>6</v>
      </c>
      <c r="G1606" t="s">
        <v>130</v>
      </c>
      <c r="H1606" s="1">
        <v>46131</v>
      </c>
      <c r="I1606" t="s">
        <v>8794</v>
      </c>
      <c r="J1606" t="s">
        <v>8795</v>
      </c>
      <c r="K1606" t="s">
        <v>1346</v>
      </c>
      <c r="L1606" t="s">
        <v>3542</v>
      </c>
      <c r="M1606" t="s">
        <v>2127</v>
      </c>
      <c r="N1606" s="166">
        <v>16.14</v>
      </c>
      <c r="O1606" t="s">
        <v>131</v>
      </c>
    </row>
    <row r="1607" spans="1:15">
      <c r="A1607" s="166" t="s">
        <v>8796</v>
      </c>
      <c r="B1607" t="s">
        <v>111</v>
      </c>
      <c r="C1607" t="s">
        <v>406</v>
      </c>
      <c r="D1607" t="s">
        <v>118</v>
      </c>
      <c r="E1607" t="s">
        <v>2618</v>
      </c>
      <c r="F1607" t="s">
        <v>6</v>
      </c>
      <c r="G1607" t="s">
        <v>130</v>
      </c>
      <c r="H1607" s="1">
        <v>46131</v>
      </c>
      <c r="I1607" t="s">
        <v>8797</v>
      </c>
      <c r="J1607" t="s">
        <v>8798</v>
      </c>
      <c r="K1607" t="s">
        <v>706</v>
      </c>
      <c r="L1607" t="s">
        <v>1503</v>
      </c>
      <c r="M1607" t="s">
        <v>8799</v>
      </c>
      <c r="N1607" s="166">
        <v>25.64</v>
      </c>
      <c r="O1607" t="s">
        <v>131</v>
      </c>
    </row>
    <row r="1608" spans="1:15">
      <c r="A1608" s="166" t="s">
        <v>8800</v>
      </c>
      <c r="B1608" t="s">
        <v>111</v>
      </c>
      <c r="C1608" t="s">
        <v>136</v>
      </c>
      <c r="D1608" t="s">
        <v>118</v>
      </c>
      <c r="E1608" t="s">
        <v>2618</v>
      </c>
      <c r="F1608" t="s">
        <v>6</v>
      </c>
      <c r="G1608" t="s">
        <v>130</v>
      </c>
      <c r="H1608" s="1">
        <v>46131</v>
      </c>
      <c r="I1608" t="s">
        <v>8801</v>
      </c>
      <c r="J1608" t="s">
        <v>8802</v>
      </c>
      <c r="K1608" t="s">
        <v>5895</v>
      </c>
      <c r="L1608" t="s">
        <v>611</v>
      </c>
      <c r="M1608" t="s">
        <v>1484</v>
      </c>
      <c r="N1608" s="166">
        <v>18.22</v>
      </c>
      <c r="O1608" t="s">
        <v>131</v>
      </c>
    </row>
    <row r="1609" spans="1:15">
      <c r="A1609" s="166" t="s">
        <v>8803</v>
      </c>
      <c r="B1609" t="s">
        <v>111</v>
      </c>
      <c r="C1609" t="s">
        <v>135</v>
      </c>
      <c r="D1609" t="s">
        <v>118</v>
      </c>
      <c r="E1609" t="s">
        <v>6703</v>
      </c>
      <c r="F1609" t="s">
        <v>6</v>
      </c>
      <c r="G1609" t="s">
        <v>130</v>
      </c>
      <c r="H1609" s="1">
        <v>46131</v>
      </c>
      <c r="I1609" t="s">
        <v>8804</v>
      </c>
      <c r="J1609" t="s">
        <v>8805</v>
      </c>
      <c r="K1609" t="s">
        <v>1154</v>
      </c>
      <c r="L1609" t="s">
        <v>3032</v>
      </c>
      <c r="M1609" t="s">
        <v>1934</v>
      </c>
      <c r="N1609" s="166">
        <v>19.62</v>
      </c>
      <c r="O1609" t="s">
        <v>131</v>
      </c>
    </row>
    <row r="1610" spans="1:15">
      <c r="A1610" s="166" t="s">
        <v>8806</v>
      </c>
      <c r="B1610" t="s">
        <v>111</v>
      </c>
      <c r="C1610" t="s">
        <v>1104</v>
      </c>
      <c r="D1610" t="s">
        <v>118</v>
      </c>
      <c r="E1610" t="s">
        <v>2618</v>
      </c>
      <c r="F1610" t="s">
        <v>6</v>
      </c>
      <c r="G1610" t="s">
        <v>130</v>
      </c>
      <c r="H1610" s="1">
        <v>46131</v>
      </c>
      <c r="I1610" t="s">
        <v>8807</v>
      </c>
      <c r="J1610" t="s">
        <v>8808</v>
      </c>
      <c r="K1610" t="s">
        <v>4851</v>
      </c>
      <c r="L1610" t="s">
        <v>3268</v>
      </c>
      <c r="M1610" t="s">
        <v>182</v>
      </c>
      <c r="N1610" s="166">
        <v>23.74</v>
      </c>
      <c r="O1610" t="s">
        <v>131</v>
      </c>
    </row>
    <row r="1611" spans="1:15">
      <c r="A1611" s="166" t="s">
        <v>8809</v>
      </c>
      <c r="B1611" t="s">
        <v>111</v>
      </c>
      <c r="C1611" t="s">
        <v>406</v>
      </c>
      <c r="D1611" t="s">
        <v>118</v>
      </c>
      <c r="E1611" t="s">
        <v>2618</v>
      </c>
      <c r="F1611" t="s">
        <v>6</v>
      </c>
      <c r="G1611" t="s">
        <v>130</v>
      </c>
      <c r="H1611" s="1">
        <v>46131</v>
      </c>
      <c r="I1611" t="s">
        <v>8810</v>
      </c>
      <c r="J1611" t="s">
        <v>8811</v>
      </c>
      <c r="K1611" t="s">
        <v>528</v>
      </c>
      <c r="L1611" t="s">
        <v>1483</v>
      </c>
      <c r="M1611" t="s">
        <v>2158</v>
      </c>
      <c r="N1611" s="166">
        <v>20.94</v>
      </c>
      <c r="O1611" t="s">
        <v>131</v>
      </c>
    </row>
    <row r="1612" spans="1:15">
      <c r="A1612" s="166" t="s">
        <v>8812</v>
      </c>
      <c r="B1612" t="s">
        <v>111</v>
      </c>
      <c r="C1612" t="s">
        <v>133</v>
      </c>
      <c r="D1612" t="s">
        <v>118</v>
      </c>
      <c r="E1612" t="s">
        <v>6703</v>
      </c>
      <c r="F1612" t="s">
        <v>6</v>
      </c>
      <c r="G1612" t="s">
        <v>130</v>
      </c>
      <c r="H1612" s="1">
        <v>46131</v>
      </c>
      <c r="I1612" t="s">
        <v>8813</v>
      </c>
      <c r="J1612" t="s">
        <v>8814</v>
      </c>
      <c r="K1612" t="s">
        <v>1591</v>
      </c>
      <c r="L1612" t="s">
        <v>1881</v>
      </c>
      <c r="M1612" t="s">
        <v>1310</v>
      </c>
      <c r="N1612" s="166">
        <v>19.38</v>
      </c>
      <c r="O1612" t="s">
        <v>131</v>
      </c>
    </row>
    <row r="1613" spans="1:15">
      <c r="A1613" s="166" t="s">
        <v>8815</v>
      </c>
      <c r="B1613" t="s">
        <v>111</v>
      </c>
      <c r="C1613" t="s">
        <v>136</v>
      </c>
      <c r="D1613" t="s">
        <v>118</v>
      </c>
      <c r="E1613" t="s">
        <v>2618</v>
      </c>
      <c r="F1613" t="s">
        <v>6</v>
      </c>
      <c r="G1613" t="s">
        <v>130</v>
      </c>
      <c r="H1613" s="1">
        <v>46131</v>
      </c>
      <c r="I1613" t="s">
        <v>8816</v>
      </c>
      <c r="J1613" t="s">
        <v>8817</v>
      </c>
      <c r="K1613" t="s">
        <v>178</v>
      </c>
      <c r="L1613" t="s">
        <v>672</v>
      </c>
      <c r="M1613" t="s">
        <v>1258</v>
      </c>
      <c r="N1613" s="166">
        <v>19.420000000000002</v>
      </c>
      <c r="O1613" t="s">
        <v>131</v>
      </c>
    </row>
    <row r="1614" spans="1:15">
      <c r="A1614" s="166" t="s">
        <v>8818</v>
      </c>
      <c r="B1614" t="s">
        <v>111</v>
      </c>
      <c r="C1614" t="s">
        <v>134</v>
      </c>
      <c r="D1614" t="s">
        <v>118</v>
      </c>
      <c r="E1614" t="s">
        <v>6703</v>
      </c>
      <c r="F1614" t="s">
        <v>6</v>
      </c>
      <c r="G1614" t="s">
        <v>130</v>
      </c>
      <c r="H1614" s="1">
        <v>46131</v>
      </c>
      <c r="I1614" t="s">
        <v>8819</v>
      </c>
      <c r="J1614" t="s">
        <v>8820</v>
      </c>
      <c r="K1614" t="s">
        <v>1337</v>
      </c>
      <c r="L1614" t="s">
        <v>616</v>
      </c>
      <c r="M1614" t="s">
        <v>4641</v>
      </c>
      <c r="N1614" s="166">
        <v>19.02</v>
      </c>
      <c r="O1614" t="s">
        <v>131</v>
      </c>
    </row>
    <row r="1615" spans="1:15">
      <c r="A1615" s="166" t="s">
        <v>8821</v>
      </c>
      <c r="B1615" t="s">
        <v>111</v>
      </c>
      <c r="C1615" t="s">
        <v>1104</v>
      </c>
      <c r="D1615" t="s">
        <v>118</v>
      </c>
      <c r="E1615" t="s">
        <v>2618</v>
      </c>
      <c r="F1615" t="s">
        <v>6</v>
      </c>
      <c r="G1615" t="s">
        <v>130</v>
      </c>
      <c r="H1615" s="1">
        <v>46131</v>
      </c>
      <c r="I1615" t="s">
        <v>8822</v>
      </c>
      <c r="J1615" t="s">
        <v>8823</v>
      </c>
      <c r="K1615" t="s">
        <v>743</v>
      </c>
      <c r="L1615" t="s">
        <v>2474</v>
      </c>
      <c r="M1615" t="s">
        <v>6109</v>
      </c>
      <c r="N1615" s="166">
        <v>22.72</v>
      </c>
      <c r="O1615" t="s">
        <v>131</v>
      </c>
    </row>
    <row r="1616" spans="1:15">
      <c r="A1616" s="166" t="s">
        <v>8824</v>
      </c>
      <c r="B1616" t="s">
        <v>111</v>
      </c>
      <c r="C1616" t="s">
        <v>7474</v>
      </c>
      <c r="D1616" t="s">
        <v>118</v>
      </c>
      <c r="E1616" t="s">
        <v>6703</v>
      </c>
      <c r="F1616" t="s">
        <v>6</v>
      </c>
      <c r="G1616" t="s">
        <v>130</v>
      </c>
      <c r="H1616" s="1">
        <v>46131</v>
      </c>
      <c r="I1616" t="s">
        <v>8825</v>
      </c>
      <c r="J1616" t="s">
        <v>8826</v>
      </c>
      <c r="K1616" t="s">
        <v>5840</v>
      </c>
      <c r="L1616" t="s">
        <v>5385</v>
      </c>
      <c r="M1616" t="s">
        <v>832</v>
      </c>
      <c r="N1616" s="166">
        <v>18.72</v>
      </c>
      <c r="O1616" t="s">
        <v>131</v>
      </c>
    </row>
    <row r="1617" spans="1:15">
      <c r="A1617" s="166" t="s">
        <v>8827</v>
      </c>
      <c r="B1617" t="s">
        <v>111</v>
      </c>
      <c r="C1617" t="s">
        <v>135</v>
      </c>
      <c r="D1617" t="s">
        <v>118</v>
      </c>
      <c r="E1617" t="s">
        <v>6703</v>
      </c>
      <c r="F1617" t="s">
        <v>6</v>
      </c>
      <c r="G1617" t="s">
        <v>130</v>
      </c>
      <c r="H1617" s="1">
        <v>46131</v>
      </c>
      <c r="I1617" t="s">
        <v>8828</v>
      </c>
      <c r="J1617" t="s">
        <v>8829</v>
      </c>
      <c r="K1617" t="s">
        <v>1840</v>
      </c>
      <c r="L1617" t="s">
        <v>3032</v>
      </c>
      <c r="M1617" t="s">
        <v>1802</v>
      </c>
      <c r="N1617" s="166">
        <v>19.399999999999999</v>
      </c>
      <c r="O1617" t="s">
        <v>131</v>
      </c>
    </row>
    <row r="1618" spans="1:15">
      <c r="A1618" s="166" t="s">
        <v>8830</v>
      </c>
      <c r="B1618" t="s">
        <v>111</v>
      </c>
      <c r="C1618" t="s">
        <v>133</v>
      </c>
      <c r="D1618" t="s">
        <v>118</v>
      </c>
      <c r="E1618" t="s">
        <v>6703</v>
      </c>
      <c r="F1618" t="s">
        <v>6</v>
      </c>
      <c r="G1618" t="s">
        <v>130</v>
      </c>
      <c r="H1618" s="1">
        <v>46131</v>
      </c>
      <c r="I1618" t="s">
        <v>8831</v>
      </c>
      <c r="J1618" t="s">
        <v>8832</v>
      </c>
      <c r="K1618" t="s">
        <v>164</v>
      </c>
      <c r="L1618" t="s">
        <v>1881</v>
      </c>
      <c r="M1618" t="s">
        <v>1267</v>
      </c>
      <c r="N1618" s="166">
        <v>19.68</v>
      </c>
      <c r="O1618" t="s">
        <v>131</v>
      </c>
    </row>
    <row r="1619" spans="1:15">
      <c r="A1619" s="166" t="s">
        <v>8833</v>
      </c>
      <c r="B1619" t="s">
        <v>111</v>
      </c>
      <c r="C1619" t="s">
        <v>1104</v>
      </c>
      <c r="D1619" t="s">
        <v>118</v>
      </c>
      <c r="E1619" t="s">
        <v>139</v>
      </c>
      <c r="F1619" t="s">
        <v>6</v>
      </c>
      <c r="G1619" t="s">
        <v>130</v>
      </c>
      <c r="H1619" s="1">
        <v>46131</v>
      </c>
      <c r="I1619" t="s">
        <v>8834</v>
      </c>
      <c r="J1619" t="s">
        <v>8835</v>
      </c>
      <c r="K1619" t="s">
        <v>3324</v>
      </c>
      <c r="L1619" t="s">
        <v>4927</v>
      </c>
      <c r="M1619" t="s">
        <v>238</v>
      </c>
      <c r="N1619" s="166">
        <v>24.44</v>
      </c>
      <c r="O1619" t="s">
        <v>131</v>
      </c>
    </row>
    <row r="1620" spans="1:15">
      <c r="A1620" s="166" t="s">
        <v>8836</v>
      </c>
      <c r="B1620" t="s">
        <v>111</v>
      </c>
      <c r="C1620" t="s">
        <v>134</v>
      </c>
      <c r="D1620" t="s">
        <v>118</v>
      </c>
      <c r="E1620" t="s">
        <v>6703</v>
      </c>
      <c r="F1620" t="s">
        <v>6</v>
      </c>
      <c r="G1620" t="s">
        <v>130</v>
      </c>
      <c r="H1620" s="1">
        <v>46131</v>
      </c>
      <c r="I1620" t="s">
        <v>8837</v>
      </c>
      <c r="J1620" t="s">
        <v>8838</v>
      </c>
      <c r="K1620" t="s">
        <v>1279</v>
      </c>
      <c r="L1620" t="s">
        <v>616</v>
      </c>
      <c r="M1620" t="s">
        <v>1132</v>
      </c>
      <c r="N1620" s="166">
        <v>18.34</v>
      </c>
      <c r="O1620" t="s">
        <v>131</v>
      </c>
    </row>
    <row r="1621" spans="1:15">
      <c r="A1621" s="166" t="s">
        <v>8839</v>
      </c>
      <c r="B1621" t="s">
        <v>111</v>
      </c>
      <c r="C1621" t="s">
        <v>406</v>
      </c>
      <c r="D1621" t="s">
        <v>118</v>
      </c>
      <c r="E1621" t="s">
        <v>2618</v>
      </c>
      <c r="F1621" t="s">
        <v>6</v>
      </c>
      <c r="G1621" t="s">
        <v>130</v>
      </c>
      <c r="H1621" s="1">
        <v>46131</v>
      </c>
      <c r="I1621" t="s">
        <v>8840</v>
      </c>
      <c r="J1621" t="s">
        <v>8841</v>
      </c>
      <c r="K1621" t="s">
        <v>2559</v>
      </c>
      <c r="L1621" t="s">
        <v>3032</v>
      </c>
      <c r="M1621" t="s">
        <v>1178</v>
      </c>
      <c r="N1621" s="166">
        <v>21.12</v>
      </c>
      <c r="O1621" t="s">
        <v>131</v>
      </c>
    </row>
    <row r="1622" spans="1:15">
      <c r="A1622" s="166" t="s">
        <v>8842</v>
      </c>
      <c r="B1622" t="s">
        <v>111</v>
      </c>
      <c r="C1622" t="s">
        <v>136</v>
      </c>
      <c r="D1622" t="s">
        <v>118</v>
      </c>
      <c r="E1622" t="s">
        <v>139</v>
      </c>
      <c r="F1622" t="s">
        <v>6</v>
      </c>
      <c r="G1622" t="s">
        <v>130</v>
      </c>
      <c r="H1622" s="1">
        <v>46131</v>
      </c>
      <c r="I1622" t="s">
        <v>8843</v>
      </c>
      <c r="J1622" t="s">
        <v>8844</v>
      </c>
      <c r="K1622" t="s">
        <v>3389</v>
      </c>
      <c r="L1622" t="s">
        <v>672</v>
      </c>
      <c r="M1622" t="s">
        <v>2544</v>
      </c>
      <c r="N1622" s="166">
        <v>17.2</v>
      </c>
      <c r="O1622" t="s">
        <v>131</v>
      </c>
    </row>
    <row r="1623" spans="1:15">
      <c r="A1623" s="166" t="s">
        <v>8845</v>
      </c>
      <c r="B1623" t="s">
        <v>111</v>
      </c>
      <c r="C1623" t="s">
        <v>7474</v>
      </c>
      <c r="D1623" t="s">
        <v>118</v>
      </c>
      <c r="E1623" t="s">
        <v>6703</v>
      </c>
      <c r="F1623" t="s">
        <v>6</v>
      </c>
      <c r="G1623" t="s">
        <v>130</v>
      </c>
      <c r="H1623" s="1">
        <v>46131</v>
      </c>
      <c r="I1623" t="s">
        <v>8846</v>
      </c>
      <c r="J1623" t="s">
        <v>8847</v>
      </c>
      <c r="K1623" t="s">
        <v>1753</v>
      </c>
      <c r="L1623" t="s">
        <v>3517</v>
      </c>
      <c r="M1623" t="s">
        <v>3376</v>
      </c>
      <c r="N1623" s="166">
        <v>17.02</v>
      </c>
      <c r="O1623" t="s">
        <v>131</v>
      </c>
    </row>
    <row r="1624" spans="1:15">
      <c r="A1624" s="166" t="s">
        <v>1906</v>
      </c>
      <c r="B1624" t="s">
        <v>111</v>
      </c>
      <c r="C1624" t="s">
        <v>1104</v>
      </c>
      <c r="D1624" t="s">
        <v>118</v>
      </c>
      <c r="E1624" t="s">
        <v>2618</v>
      </c>
      <c r="F1624" t="s">
        <v>6</v>
      </c>
      <c r="G1624" t="s">
        <v>130</v>
      </c>
      <c r="H1624" s="1">
        <v>46131</v>
      </c>
      <c r="I1624" t="s">
        <v>8848</v>
      </c>
      <c r="J1624" t="s">
        <v>8849</v>
      </c>
      <c r="K1624" t="s">
        <v>1793</v>
      </c>
      <c r="L1624" t="s">
        <v>4641</v>
      </c>
      <c r="M1624" t="s">
        <v>3857</v>
      </c>
      <c r="N1624" s="166">
        <v>17.84</v>
      </c>
      <c r="O1624" t="s">
        <v>131</v>
      </c>
    </row>
    <row r="1625" spans="1:15">
      <c r="A1625" s="166" t="s">
        <v>8850</v>
      </c>
      <c r="B1625" t="s">
        <v>111</v>
      </c>
      <c r="C1625" t="s">
        <v>135</v>
      </c>
      <c r="D1625" t="s">
        <v>118</v>
      </c>
      <c r="E1625" t="s">
        <v>6703</v>
      </c>
      <c r="F1625" t="s">
        <v>6</v>
      </c>
      <c r="G1625" t="s">
        <v>130</v>
      </c>
      <c r="H1625" s="1">
        <v>46131</v>
      </c>
      <c r="I1625" t="s">
        <v>8851</v>
      </c>
      <c r="J1625" t="s">
        <v>8852</v>
      </c>
      <c r="K1625" t="s">
        <v>1709</v>
      </c>
      <c r="L1625" t="s">
        <v>3032</v>
      </c>
      <c r="M1625" t="s">
        <v>1267</v>
      </c>
      <c r="N1625" s="166">
        <v>19.68</v>
      </c>
      <c r="O1625" t="s">
        <v>131</v>
      </c>
    </row>
    <row r="1626" spans="1:15">
      <c r="A1626" s="166" t="s">
        <v>8853</v>
      </c>
      <c r="B1626" t="s">
        <v>111</v>
      </c>
      <c r="C1626" t="s">
        <v>136</v>
      </c>
      <c r="D1626" t="s">
        <v>118</v>
      </c>
      <c r="E1626" t="s">
        <v>2618</v>
      </c>
      <c r="F1626" t="s">
        <v>6</v>
      </c>
      <c r="G1626" t="s">
        <v>130</v>
      </c>
      <c r="H1626" s="1">
        <v>46131</v>
      </c>
      <c r="I1626" t="s">
        <v>8854</v>
      </c>
      <c r="J1626" t="s">
        <v>8855</v>
      </c>
      <c r="K1626" t="s">
        <v>1144</v>
      </c>
      <c r="L1626" t="s">
        <v>1662</v>
      </c>
      <c r="M1626" t="s">
        <v>837</v>
      </c>
      <c r="N1626" s="166">
        <v>18.14</v>
      </c>
      <c r="O1626" t="s">
        <v>131</v>
      </c>
    </row>
    <row r="1627" spans="1:15">
      <c r="A1627" s="166" t="s">
        <v>8856</v>
      </c>
      <c r="B1627" t="s">
        <v>111</v>
      </c>
      <c r="C1627" t="s">
        <v>406</v>
      </c>
      <c r="D1627" t="s">
        <v>118</v>
      </c>
      <c r="E1627" t="s">
        <v>2618</v>
      </c>
      <c r="F1627" t="s">
        <v>6</v>
      </c>
      <c r="G1627" t="s">
        <v>130</v>
      </c>
      <c r="H1627" s="1">
        <v>46131</v>
      </c>
      <c r="I1627" t="s">
        <v>8857</v>
      </c>
      <c r="J1627" t="s">
        <v>8858</v>
      </c>
      <c r="K1627" t="s">
        <v>3721</v>
      </c>
      <c r="L1627" t="s">
        <v>2603</v>
      </c>
      <c r="M1627" t="s">
        <v>8859</v>
      </c>
      <c r="N1627" s="166">
        <v>25.38</v>
      </c>
      <c r="O1627" t="s">
        <v>131</v>
      </c>
    </row>
    <row r="1628" spans="1:15">
      <c r="A1628" s="166" t="s">
        <v>8860</v>
      </c>
      <c r="B1628" t="s">
        <v>111</v>
      </c>
      <c r="C1628" t="s">
        <v>133</v>
      </c>
      <c r="D1628" t="s">
        <v>118</v>
      </c>
      <c r="E1628" t="s">
        <v>6703</v>
      </c>
      <c r="F1628" t="s">
        <v>6</v>
      </c>
      <c r="G1628" t="s">
        <v>130</v>
      </c>
      <c r="H1628" s="1">
        <v>46131</v>
      </c>
      <c r="I1628" t="s">
        <v>8861</v>
      </c>
      <c r="J1628" t="s">
        <v>8862</v>
      </c>
      <c r="K1628" t="s">
        <v>1100</v>
      </c>
      <c r="L1628" t="s">
        <v>1881</v>
      </c>
      <c r="M1628" t="s">
        <v>2046</v>
      </c>
      <c r="N1628" s="166">
        <v>19.16</v>
      </c>
      <c r="O1628" t="s">
        <v>131</v>
      </c>
    </row>
    <row r="1629" spans="1:15">
      <c r="A1629" s="166" t="s">
        <v>8863</v>
      </c>
      <c r="B1629" t="s">
        <v>111</v>
      </c>
      <c r="C1629" t="s">
        <v>134</v>
      </c>
      <c r="D1629" t="s">
        <v>118</v>
      </c>
      <c r="E1629" t="s">
        <v>6703</v>
      </c>
      <c r="F1629" t="s">
        <v>6</v>
      </c>
      <c r="G1629" t="s">
        <v>130</v>
      </c>
      <c r="H1629" s="1">
        <v>46131</v>
      </c>
      <c r="I1629" t="s">
        <v>8864</v>
      </c>
      <c r="J1629" t="s">
        <v>8865</v>
      </c>
      <c r="K1629" t="s">
        <v>160</v>
      </c>
      <c r="L1629" t="s">
        <v>831</v>
      </c>
      <c r="M1629" t="s">
        <v>3631</v>
      </c>
      <c r="N1629" s="166">
        <v>22.52</v>
      </c>
      <c r="O1629" t="s">
        <v>131</v>
      </c>
    </row>
    <row r="1630" spans="1:15">
      <c r="A1630" s="166" t="s">
        <v>8866</v>
      </c>
      <c r="B1630" t="s">
        <v>111</v>
      </c>
      <c r="C1630" t="s">
        <v>136</v>
      </c>
      <c r="D1630" t="s">
        <v>118</v>
      </c>
      <c r="E1630" t="s">
        <v>2618</v>
      </c>
      <c r="F1630" t="s">
        <v>6</v>
      </c>
      <c r="G1630" t="s">
        <v>130</v>
      </c>
      <c r="H1630" s="1">
        <v>46131</v>
      </c>
      <c r="I1630" t="s">
        <v>8867</v>
      </c>
      <c r="J1630" t="s">
        <v>8868</v>
      </c>
      <c r="K1630" t="s">
        <v>2379</v>
      </c>
      <c r="L1630" t="s">
        <v>672</v>
      </c>
      <c r="M1630" t="s">
        <v>1145</v>
      </c>
      <c r="N1630" s="166">
        <v>19.579999999999998</v>
      </c>
      <c r="O1630" t="s">
        <v>131</v>
      </c>
    </row>
    <row r="1631" spans="1:15">
      <c r="A1631" s="166" t="s">
        <v>8869</v>
      </c>
      <c r="B1631" t="s">
        <v>111</v>
      </c>
      <c r="C1631" t="s">
        <v>7474</v>
      </c>
      <c r="D1631" t="s">
        <v>118</v>
      </c>
      <c r="E1631" t="s">
        <v>2618</v>
      </c>
      <c r="F1631" t="s">
        <v>6</v>
      </c>
      <c r="G1631" t="s">
        <v>130</v>
      </c>
      <c r="H1631" s="1">
        <v>46131</v>
      </c>
      <c r="I1631" t="s">
        <v>8870</v>
      </c>
      <c r="J1631" t="s">
        <v>8871</v>
      </c>
      <c r="K1631" t="s">
        <v>1810</v>
      </c>
      <c r="L1631" t="s">
        <v>2998</v>
      </c>
      <c r="M1631" t="s">
        <v>1369</v>
      </c>
      <c r="N1631" s="166">
        <v>18.78</v>
      </c>
      <c r="O1631" t="s">
        <v>131</v>
      </c>
    </row>
    <row r="1632" spans="1:15">
      <c r="A1632" s="166" t="s">
        <v>8872</v>
      </c>
      <c r="B1632" t="s">
        <v>111</v>
      </c>
      <c r="C1632" t="s">
        <v>406</v>
      </c>
      <c r="D1632" t="s">
        <v>118</v>
      </c>
      <c r="E1632" t="s">
        <v>2618</v>
      </c>
      <c r="F1632" t="s">
        <v>6</v>
      </c>
      <c r="G1632" t="s">
        <v>130</v>
      </c>
      <c r="H1632" s="1">
        <v>46131</v>
      </c>
      <c r="I1632" t="s">
        <v>8873</v>
      </c>
      <c r="J1632" t="s">
        <v>8874</v>
      </c>
      <c r="K1632" t="s">
        <v>825</v>
      </c>
      <c r="L1632" t="s">
        <v>149</v>
      </c>
      <c r="M1632" t="s">
        <v>3582</v>
      </c>
      <c r="N1632" s="166">
        <v>19.72</v>
      </c>
      <c r="O1632" t="s">
        <v>131</v>
      </c>
    </row>
    <row r="1633" spans="1:15">
      <c r="A1633" s="166" t="s">
        <v>8875</v>
      </c>
      <c r="B1633" t="s">
        <v>111</v>
      </c>
      <c r="C1633" t="s">
        <v>1104</v>
      </c>
      <c r="D1633" t="s">
        <v>118</v>
      </c>
      <c r="E1633" t="s">
        <v>2618</v>
      </c>
      <c r="F1633" t="s">
        <v>6</v>
      </c>
      <c r="G1633" t="s">
        <v>130</v>
      </c>
      <c r="H1633" s="1">
        <v>46131</v>
      </c>
      <c r="I1633" t="s">
        <v>8876</v>
      </c>
      <c r="J1633" t="s">
        <v>8877</v>
      </c>
      <c r="K1633" t="s">
        <v>1047</v>
      </c>
      <c r="L1633" t="s">
        <v>1404</v>
      </c>
      <c r="M1633" t="s">
        <v>591</v>
      </c>
      <c r="N1633" s="166">
        <v>22.92</v>
      </c>
      <c r="O1633" t="s">
        <v>131</v>
      </c>
    </row>
    <row r="1634" spans="1:15">
      <c r="A1634" s="166" t="s">
        <v>8878</v>
      </c>
      <c r="B1634" t="s">
        <v>111</v>
      </c>
      <c r="C1634" t="s">
        <v>135</v>
      </c>
      <c r="D1634" t="s">
        <v>118</v>
      </c>
      <c r="E1634" t="s">
        <v>6703</v>
      </c>
      <c r="F1634" t="s">
        <v>6</v>
      </c>
      <c r="G1634" t="s">
        <v>130</v>
      </c>
      <c r="H1634" s="1">
        <v>46131</v>
      </c>
      <c r="I1634" t="s">
        <v>8879</v>
      </c>
      <c r="J1634" t="s">
        <v>8880</v>
      </c>
      <c r="K1634" t="s">
        <v>1429</v>
      </c>
      <c r="L1634" t="s">
        <v>720</v>
      </c>
      <c r="M1634" t="s">
        <v>416</v>
      </c>
      <c r="N1634" s="166">
        <v>19.3</v>
      </c>
      <c r="O1634" t="s">
        <v>131</v>
      </c>
    </row>
    <row r="1635" spans="1:15">
      <c r="A1635" s="166" t="s">
        <v>8881</v>
      </c>
      <c r="B1635" t="s">
        <v>111</v>
      </c>
      <c r="C1635" t="s">
        <v>133</v>
      </c>
      <c r="D1635" t="s">
        <v>118</v>
      </c>
      <c r="E1635" t="s">
        <v>6703</v>
      </c>
      <c r="F1635" t="s">
        <v>6</v>
      </c>
      <c r="G1635" t="s">
        <v>130</v>
      </c>
      <c r="H1635" s="1">
        <v>46131</v>
      </c>
      <c r="I1635" t="s">
        <v>8882</v>
      </c>
      <c r="J1635" t="s">
        <v>8883</v>
      </c>
      <c r="K1635" t="s">
        <v>3592</v>
      </c>
      <c r="L1635" t="s">
        <v>1862</v>
      </c>
      <c r="M1635" t="s">
        <v>3278</v>
      </c>
      <c r="N1635" s="166">
        <v>22.32</v>
      </c>
      <c r="O1635" t="s">
        <v>131</v>
      </c>
    </row>
    <row r="1636" spans="1:15">
      <c r="A1636" s="166" t="s">
        <v>8884</v>
      </c>
      <c r="B1636" t="s">
        <v>111</v>
      </c>
      <c r="C1636" t="s">
        <v>134</v>
      </c>
      <c r="D1636" t="s">
        <v>118</v>
      </c>
      <c r="E1636" t="s">
        <v>6703</v>
      </c>
      <c r="F1636" t="s">
        <v>6</v>
      </c>
      <c r="G1636" t="s">
        <v>130</v>
      </c>
      <c r="H1636" s="1">
        <v>46131</v>
      </c>
      <c r="I1636" t="s">
        <v>8885</v>
      </c>
      <c r="J1636" t="s">
        <v>8886</v>
      </c>
      <c r="K1636" t="s">
        <v>8887</v>
      </c>
      <c r="L1636" t="s">
        <v>1662</v>
      </c>
      <c r="M1636" t="s">
        <v>2586</v>
      </c>
      <c r="N1636" s="166">
        <v>21.04</v>
      </c>
      <c r="O1636" t="s">
        <v>131</v>
      </c>
    </row>
    <row r="1637" spans="1:15">
      <c r="A1637" s="166" t="s">
        <v>8888</v>
      </c>
      <c r="B1637" t="s">
        <v>111</v>
      </c>
      <c r="C1637" t="s">
        <v>136</v>
      </c>
      <c r="D1637" t="s">
        <v>118</v>
      </c>
      <c r="E1637" t="s">
        <v>2618</v>
      </c>
      <c r="F1637" t="s">
        <v>6</v>
      </c>
      <c r="G1637" t="s">
        <v>130</v>
      </c>
      <c r="H1637" s="1">
        <v>46131</v>
      </c>
      <c r="I1637" t="s">
        <v>8889</v>
      </c>
      <c r="J1637" t="s">
        <v>8890</v>
      </c>
      <c r="K1637" t="s">
        <v>3546</v>
      </c>
      <c r="L1637" t="s">
        <v>2267</v>
      </c>
      <c r="M1637" t="s">
        <v>4521</v>
      </c>
      <c r="N1637" s="166">
        <v>18.46</v>
      </c>
      <c r="O1637" t="s">
        <v>131</v>
      </c>
    </row>
    <row r="1638" spans="1:15">
      <c r="A1638" s="166" t="s">
        <v>8891</v>
      </c>
      <c r="B1638" t="s">
        <v>111</v>
      </c>
      <c r="C1638" t="s">
        <v>406</v>
      </c>
      <c r="D1638" t="s">
        <v>118</v>
      </c>
      <c r="E1638" t="s">
        <v>2618</v>
      </c>
      <c r="F1638" t="s">
        <v>6</v>
      </c>
      <c r="G1638" t="s">
        <v>130</v>
      </c>
      <c r="H1638" s="1">
        <v>46131</v>
      </c>
      <c r="I1638" t="s">
        <v>8892</v>
      </c>
      <c r="J1638" t="s">
        <v>8893</v>
      </c>
      <c r="K1638" t="s">
        <v>4388</v>
      </c>
      <c r="L1638" t="s">
        <v>665</v>
      </c>
      <c r="M1638" t="s">
        <v>1206</v>
      </c>
      <c r="N1638" s="166">
        <v>22.66</v>
      </c>
      <c r="O1638" t="s">
        <v>131</v>
      </c>
    </row>
    <row r="1639" spans="1:15">
      <c r="A1639" s="166" t="s">
        <v>8894</v>
      </c>
      <c r="B1639" t="s">
        <v>111</v>
      </c>
      <c r="C1639" t="s">
        <v>7474</v>
      </c>
      <c r="D1639" t="s">
        <v>118</v>
      </c>
      <c r="E1639" t="s">
        <v>2618</v>
      </c>
      <c r="F1639" t="s">
        <v>6</v>
      </c>
      <c r="G1639" t="s">
        <v>130</v>
      </c>
      <c r="H1639" s="1">
        <v>46131</v>
      </c>
      <c r="I1639" t="s">
        <v>8895</v>
      </c>
      <c r="J1639" t="s">
        <v>8896</v>
      </c>
      <c r="K1639" t="s">
        <v>4119</v>
      </c>
      <c r="L1639" t="s">
        <v>1823</v>
      </c>
      <c r="M1639" t="s">
        <v>2406</v>
      </c>
      <c r="N1639" s="166">
        <v>20.12</v>
      </c>
      <c r="O1639" t="s">
        <v>131</v>
      </c>
    </row>
    <row r="1640" spans="1:15">
      <c r="A1640" s="166" t="s">
        <v>8897</v>
      </c>
      <c r="B1640" t="s">
        <v>111</v>
      </c>
      <c r="C1640" t="s">
        <v>1104</v>
      </c>
      <c r="D1640" t="s">
        <v>118</v>
      </c>
      <c r="E1640" t="s">
        <v>2618</v>
      </c>
      <c r="F1640" t="s">
        <v>6</v>
      </c>
      <c r="G1640" t="s">
        <v>130</v>
      </c>
      <c r="H1640" s="1">
        <v>46131</v>
      </c>
      <c r="I1640" t="s">
        <v>8898</v>
      </c>
      <c r="J1640" t="s">
        <v>8899</v>
      </c>
      <c r="K1640" t="s">
        <v>2616</v>
      </c>
      <c r="L1640" t="s">
        <v>2154</v>
      </c>
      <c r="M1640" t="s">
        <v>1155</v>
      </c>
      <c r="N1640" s="166">
        <v>18.3</v>
      </c>
      <c r="O1640" t="s">
        <v>131</v>
      </c>
    </row>
    <row r="1641" spans="1:15">
      <c r="A1641" s="166" t="s">
        <v>8900</v>
      </c>
      <c r="B1641" t="s">
        <v>111</v>
      </c>
      <c r="C1641" t="s">
        <v>135</v>
      </c>
      <c r="D1641" t="s">
        <v>118</v>
      </c>
      <c r="E1641" t="s">
        <v>6703</v>
      </c>
      <c r="F1641" t="s">
        <v>6</v>
      </c>
      <c r="G1641" t="s">
        <v>130</v>
      </c>
      <c r="H1641" s="1">
        <v>46131</v>
      </c>
      <c r="I1641" t="s">
        <v>8901</v>
      </c>
      <c r="J1641" t="s">
        <v>8902</v>
      </c>
      <c r="K1641" t="s">
        <v>178</v>
      </c>
      <c r="L1641" t="s">
        <v>149</v>
      </c>
      <c r="M1641" t="s">
        <v>1127</v>
      </c>
      <c r="N1641" s="166">
        <v>19.920000000000002</v>
      </c>
      <c r="O1641" t="s">
        <v>131</v>
      </c>
    </row>
    <row r="1642" spans="1:15">
      <c r="A1642" s="166" t="s">
        <v>8903</v>
      </c>
      <c r="B1642" t="s">
        <v>111</v>
      </c>
      <c r="C1642" t="s">
        <v>133</v>
      </c>
      <c r="D1642" t="s">
        <v>118</v>
      </c>
      <c r="E1642" t="s">
        <v>6703</v>
      </c>
      <c r="F1642" t="s">
        <v>6</v>
      </c>
      <c r="G1642" t="s">
        <v>130</v>
      </c>
      <c r="H1642" s="1">
        <v>46131</v>
      </c>
      <c r="I1642" t="s">
        <v>8904</v>
      </c>
      <c r="J1642" t="s">
        <v>8905</v>
      </c>
      <c r="K1642" t="s">
        <v>2326</v>
      </c>
      <c r="L1642" t="s">
        <v>870</v>
      </c>
      <c r="M1642" t="s">
        <v>1173</v>
      </c>
      <c r="N1642" s="166">
        <v>19.34</v>
      </c>
      <c r="O1642" t="s">
        <v>131</v>
      </c>
    </row>
    <row r="1643" spans="1:15">
      <c r="A1643" s="166" t="s">
        <v>8906</v>
      </c>
      <c r="B1643" t="s">
        <v>111</v>
      </c>
      <c r="C1643" t="s">
        <v>136</v>
      </c>
      <c r="D1643" t="s">
        <v>118</v>
      </c>
      <c r="E1643" t="s">
        <v>2618</v>
      </c>
      <c r="F1643" t="s">
        <v>6</v>
      </c>
      <c r="G1643" t="s">
        <v>130</v>
      </c>
      <c r="H1643" s="1">
        <v>46131</v>
      </c>
      <c r="I1643" t="s">
        <v>8907</v>
      </c>
      <c r="J1643" t="s">
        <v>8908</v>
      </c>
      <c r="K1643" t="s">
        <v>2050</v>
      </c>
      <c r="L1643" t="s">
        <v>2657</v>
      </c>
      <c r="M1643" t="s">
        <v>1333</v>
      </c>
      <c r="N1643" s="166">
        <v>19.14</v>
      </c>
      <c r="O1643" t="s">
        <v>131</v>
      </c>
    </row>
    <row r="1644" spans="1:15">
      <c r="A1644" s="166" t="s">
        <v>1305</v>
      </c>
      <c r="B1644" t="s">
        <v>111</v>
      </c>
      <c r="C1644" t="s">
        <v>406</v>
      </c>
      <c r="D1644" t="s">
        <v>118</v>
      </c>
      <c r="E1644" t="s">
        <v>2618</v>
      </c>
      <c r="F1644" t="s">
        <v>6</v>
      </c>
      <c r="G1644" t="s">
        <v>130</v>
      </c>
      <c r="H1644" s="1">
        <v>46131</v>
      </c>
      <c r="I1644" t="s">
        <v>8909</v>
      </c>
      <c r="J1644" t="s">
        <v>8910</v>
      </c>
      <c r="K1644" t="s">
        <v>192</v>
      </c>
      <c r="L1644" t="s">
        <v>144</v>
      </c>
      <c r="M1644" t="s">
        <v>2355</v>
      </c>
      <c r="N1644" s="166">
        <v>22.56</v>
      </c>
      <c r="O1644" t="s">
        <v>131</v>
      </c>
    </row>
    <row r="1645" spans="1:15">
      <c r="A1645" s="166" t="s">
        <v>8911</v>
      </c>
      <c r="B1645" t="s">
        <v>111</v>
      </c>
      <c r="C1645" t="s">
        <v>7474</v>
      </c>
      <c r="D1645" t="s">
        <v>118</v>
      </c>
      <c r="E1645" t="s">
        <v>2618</v>
      </c>
      <c r="F1645" t="s">
        <v>6</v>
      </c>
      <c r="G1645" t="s">
        <v>130</v>
      </c>
      <c r="H1645" s="1">
        <v>46131</v>
      </c>
      <c r="I1645" t="s">
        <v>8912</v>
      </c>
      <c r="J1645" t="s">
        <v>8913</v>
      </c>
      <c r="K1645" t="s">
        <v>8914</v>
      </c>
      <c r="L1645" t="s">
        <v>2128</v>
      </c>
      <c r="M1645" t="s">
        <v>182</v>
      </c>
      <c r="N1645" s="166">
        <v>23.74</v>
      </c>
      <c r="O1645" t="s">
        <v>131</v>
      </c>
    </row>
    <row r="1646" spans="1:15">
      <c r="A1646" s="166" t="s">
        <v>8915</v>
      </c>
      <c r="B1646" t="s">
        <v>111</v>
      </c>
      <c r="C1646" t="s">
        <v>134</v>
      </c>
      <c r="D1646" t="s">
        <v>118</v>
      </c>
      <c r="E1646" t="s">
        <v>2618</v>
      </c>
      <c r="F1646" t="s">
        <v>6</v>
      </c>
      <c r="G1646" t="s">
        <v>130</v>
      </c>
      <c r="H1646" s="1">
        <v>46131</v>
      </c>
      <c r="I1646" t="s">
        <v>8916</v>
      </c>
      <c r="J1646" t="s">
        <v>8917</v>
      </c>
      <c r="K1646" t="s">
        <v>1681</v>
      </c>
      <c r="L1646" t="s">
        <v>1257</v>
      </c>
      <c r="M1646" t="s">
        <v>1797</v>
      </c>
      <c r="N1646" s="166">
        <v>20.260000000000002</v>
      </c>
      <c r="O1646" t="s">
        <v>131</v>
      </c>
    </row>
    <row r="1647" spans="1:15">
      <c r="A1647" s="166" t="s">
        <v>8918</v>
      </c>
      <c r="B1647" t="s">
        <v>111</v>
      </c>
      <c r="C1647" t="s">
        <v>641</v>
      </c>
      <c r="D1647" t="s">
        <v>118</v>
      </c>
      <c r="E1647" t="s">
        <v>6703</v>
      </c>
      <c r="F1647" t="s">
        <v>6</v>
      </c>
      <c r="G1647" t="s">
        <v>130</v>
      </c>
      <c r="H1647" s="1">
        <v>46131</v>
      </c>
      <c r="I1647" t="s">
        <v>8919</v>
      </c>
      <c r="J1647" t="s">
        <v>8920</v>
      </c>
      <c r="K1647" t="s">
        <v>3475</v>
      </c>
      <c r="L1647" t="s">
        <v>2657</v>
      </c>
      <c r="M1647" t="s">
        <v>3437</v>
      </c>
      <c r="N1647" s="166">
        <v>17.46</v>
      </c>
      <c r="O1647" t="s">
        <v>131</v>
      </c>
    </row>
    <row r="1648" spans="1:15">
      <c r="A1648" s="166" t="s">
        <v>8921</v>
      </c>
      <c r="B1648" t="s">
        <v>111</v>
      </c>
      <c r="C1648" t="s">
        <v>136</v>
      </c>
      <c r="D1648" t="s">
        <v>118</v>
      </c>
      <c r="E1648" t="s">
        <v>2618</v>
      </c>
      <c r="F1648" t="s">
        <v>6</v>
      </c>
      <c r="G1648" t="s">
        <v>130</v>
      </c>
      <c r="H1648" s="1">
        <v>46131</v>
      </c>
      <c r="I1648" t="s">
        <v>8922</v>
      </c>
      <c r="J1648" t="s">
        <v>8923</v>
      </c>
      <c r="K1648" t="s">
        <v>1080</v>
      </c>
      <c r="L1648" t="s">
        <v>2267</v>
      </c>
      <c r="M1648" t="s">
        <v>782</v>
      </c>
      <c r="N1648" s="166">
        <v>21.92</v>
      </c>
      <c r="O1648" t="s">
        <v>131</v>
      </c>
    </row>
    <row r="1649" spans="1:15">
      <c r="A1649" s="166" t="s">
        <v>8924</v>
      </c>
      <c r="B1649" t="s">
        <v>111</v>
      </c>
      <c r="C1649" t="s">
        <v>133</v>
      </c>
      <c r="D1649" t="s">
        <v>118</v>
      </c>
      <c r="E1649" t="s">
        <v>2618</v>
      </c>
      <c r="F1649" t="s">
        <v>6</v>
      </c>
      <c r="G1649" t="s">
        <v>130</v>
      </c>
      <c r="H1649" s="1">
        <v>46131</v>
      </c>
      <c r="I1649" t="s">
        <v>8925</v>
      </c>
      <c r="J1649" t="s">
        <v>8926</v>
      </c>
      <c r="K1649" t="s">
        <v>2820</v>
      </c>
      <c r="L1649" t="s">
        <v>1062</v>
      </c>
      <c r="M1649" t="s">
        <v>1228</v>
      </c>
      <c r="N1649" s="166">
        <v>25.98</v>
      </c>
      <c r="O1649" t="s">
        <v>131</v>
      </c>
    </row>
    <row r="1650" spans="1:15">
      <c r="A1650" s="166" t="s">
        <v>8927</v>
      </c>
      <c r="B1650" t="s">
        <v>111</v>
      </c>
      <c r="C1650" t="s">
        <v>135</v>
      </c>
      <c r="D1650" t="s">
        <v>118</v>
      </c>
      <c r="E1650" t="s">
        <v>6703</v>
      </c>
      <c r="F1650" t="s">
        <v>6</v>
      </c>
      <c r="G1650" t="s">
        <v>130</v>
      </c>
      <c r="H1650" s="1">
        <v>46131</v>
      </c>
      <c r="I1650" t="s">
        <v>8928</v>
      </c>
      <c r="J1650" t="s">
        <v>8929</v>
      </c>
      <c r="K1650" t="s">
        <v>1613</v>
      </c>
      <c r="L1650" t="s">
        <v>720</v>
      </c>
      <c r="M1650" t="s">
        <v>3028</v>
      </c>
      <c r="N1650" s="166">
        <v>17.28</v>
      </c>
      <c r="O1650" t="s">
        <v>131</v>
      </c>
    </row>
    <row r="1651" spans="1:15">
      <c r="A1651" s="166" t="s">
        <v>8930</v>
      </c>
      <c r="B1651" t="s">
        <v>111</v>
      </c>
      <c r="C1651" t="s">
        <v>134</v>
      </c>
      <c r="D1651" t="s">
        <v>118</v>
      </c>
      <c r="E1651" t="s">
        <v>2618</v>
      </c>
      <c r="F1651" t="s">
        <v>7</v>
      </c>
      <c r="G1651" t="s">
        <v>130</v>
      </c>
      <c r="H1651" s="1">
        <v>46131</v>
      </c>
      <c r="I1651" t="s">
        <v>8931</v>
      </c>
      <c r="J1651" t="s">
        <v>8932</v>
      </c>
      <c r="K1651" t="s">
        <v>3942</v>
      </c>
      <c r="L1651" t="s">
        <v>1452</v>
      </c>
      <c r="M1651" t="s">
        <v>4462</v>
      </c>
      <c r="N1651" s="166">
        <v>14.06</v>
      </c>
      <c r="O1651" t="s">
        <v>131</v>
      </c>
    </row>
    <row r="1652" spans="1:15">
      <c r="A1652" s="166" t="s">
        <v>8933</v>
      </c>
      <c r="B1652" t="s">
        <v>111</v>
      </c>
      <c r="C1652" t="s">
        <v>136</v>
      </c>
      <c r="D1652" t="s">
        <v>118</v>
      </c>
      <c r="E1652" t="s">
        <v>2618</v>
      </c>
      <c r="F1652" t="s">
        <v>7</v>
      </c>
      <c r="G1652" t="s">
        <v>130</v>
      </c>
      <c r="H1652" s="1">
        <v>46131</v>
      </c>
      <c r="I1652" t="s">
        <v>8934</v>
      </c>
      <c r="J1652" t="s">
        <v>8935</v>
      </c>
      <c r="K1652" t="s">
        <v>3553</v>
      </c>
      <c r="L1652" t="s">
        <v>2267</v>
      </c>
      <c r="M1652" t="s">
        <v>428</v>
      </c>
      <c r="N1652" s="166">
        <v>20.96</v>
      </c>
      <c r="O1652" t="s">
        <v>131</v>
      </c>
    </row>
    <row r="1653" spans="1:15">
      <c r="A1653" s="166" t="s">
        <v>8936</v>
      </c>
      <c r="B1653" t="s">
        <v>111</v>
      </c>
      <c r="C1653" t="s">
        <v>133</v>
      </c>
      <c r="D1653" t="s">
        <v>118</v>
      </c>
      <c r="E1653" t="s">
        <v>2618</v>
      </c>
      <c r="F1653" t="s">
        <v>7</v>
      </c>
      <c r="G1653" t="s">
        <v>130</v>
      </c>
      <c r="H1653" s="1">
        <v>46131</v>
      </c>
      <c r="I1653" t="s">
        <v>8937</v>
      </c>
      <c r="J1653" t="s">
        <v>8938</v>
      </c>
      <c r="K1653" t="s">
        <v>3083</v>
      </c>
      <c r="L1653" t="s">
        <v>1958</v>
      </c>
      <c r="M1653" t="s">
        <v>226</v>
      </c>
      <c r="N1653" s="166">
        <v>20.2</v>
      </c>
      <c r="O1653" t="s">
        <v>131</v>
      </c>
    </row>
    <row r="1654" spans="1:15">
      <c r="A1654" s="166" t="s">
        <v>8939</v>
      </c>
      <c r="B1654" t="s">
        <v>111</v>
      </c>
      <c r="C1654" t="s">
        <v>136</v>
      </c>
      <c r="D1654" t="s">
        <v>118</v>
      </c>
      <c r="E1654" t="s">
        <v>2618</v>
      </c>
      <c r="F1654" t="s">
        <v>7</v>
      </c>
      <c r="G1654" t="s">
        <v>130</v>
      </c>
      <c r="H1654" s="1">
        <v>46131</v>
      </c>
      <c r="I1654" t="s">
        <v>8940</v>
      </c>
      <c r="J1654" t="s">
        <v>8941</v>
      </c>
      <c r="K1654" t="s">
        <v>1463</v>
      </c>
      <c r="L1654" t="s">
        <v>2568</v>
      </c>
      <c r="M1654" t="s">
        <v>498</v>
      </c>
      <c r="N1654" s="166">
        <v>21.62</v>
      </c>
      <c r="O1654" t="s">
        <v>131</v>
      </c>
    </row>
    <row r="1655" spans="1:15">
      <c r="A1655" s="166" t="s">
        <v>8942</v>
      </c>
      <c r="B1655" t="s">
        <v>111</v>
      </c>
      <c r="C1655" t="s">
        <v>133</v>
      </c>
      <c r="D1655" t="s">
        <v>118</v>
      </c>
      <c r="E1655" t="s">
        <v>2618</v>
      </c>
      <c r="F1655" t="s">
        <v>7</v>
      </c>
      <c r="G1655" t="s">
        <v>130</v>
      </c>
      <c r="H1655" s="1">
        <v>46131</v>
      </c>
      <c r="I1655" t="s">
        <v>8943</v>
      </c>
      <c r="J1655" t="s">
        <v>8944</v>
      </c>
      <c r="K1655" t="s">
        <v>6800</v>
      </c>
      <c r="L1655" t="s">
        <v>4556</v>
      </c>
      <c r="M1655" t="s">
        <v>682</v>
      </c>
      <c r="N1655" s="166">
        <v>23.34</v>
      </c>
      <c r="O1655" t="s">
        <v>131</v>
      </c>
    </row>
    <row r="1656" spans="1:15">
      <c r="A1656" s="166" t="s">
        <v>8945</v>
      </c>
      <c r="B1656" t="s">
        <v>111</v>
      </c>
      <c r="C1656" t="s">
        <v>2424</v>
      </c>
      <c r="D1656" t="s">
        <v>118</v>
      </c>
      <c r="E1656" t="s">
        <v>6703</v>
      </c>
      <c r="F1656" t="s">
        <v>6</v>
      </c>
      <c r="G1656" t="s">
        <v>130</v>
      </c>
      <c r="H1656" s="1">
        <v>46131</v>
      </c>
      <c r="I1656" t="s">
        <v>8946</v>
      </c>
      <c r="J1656" t="s">
        <v>8947</v>
      </c>
      <c r="K1656" t="s">
        <v>1342</v>
      </c>
      <c r="L1656" t="s">
        <v>3287</v>
      </c>
      <c r="M1656" t="s">
        <v>4556</v>
      </c>
      <c r="N1656" s="166">
        <v>16.86</v>
      </c>
      <c r="O1656" t="s">
        <v>131</v>
      </c>
    </row>
    <row r="1657" spans="1:15">
      <c r="A1657" s="166" t="s">
        <v>8948</v>
      </c>
      <c r="B1657" t="s">
        <v>111</v>
      </c>
      <c r="C1657" t="s">
        <v>135</v>
      </c>
      <c r="D1657" t="s">
        <v>118</v>
      </c>
      <c r="E1657" t="s">
        <v>6703</v>
      </c>
      <c r="F1657" t="s">
        <v>6</v>
      </c>
      <c r="G1657" t="s">
        <v>130</v>
      </c>
      <c r="H1657" s="1">
        <v>46131</v>
      </c>
      <c r="I1657" t="s">
        <v>8949</v>
      </c>
      <c r="J1657" t="s">
        <v>8950</v>
      </c>
      <c r="K1657" t="s">
        <v>2142</v>
      </c>
      <c r="L1657" t="s">
        <v>1483</v>
      </c>
      <c r="M1657" t="s">
        <v>4927</v>
      </c>
      <c r="N1657" s="166">
        <v>18.04</v>
      </c>
      <c r="O1657" t="s">
        <v>131</v>
      </c>
    </row>
    <row r="1658" spans="1:15">
      <c r="A1658" s="166" t="s">
        <v>8951</v>
      </c>
      <c r="B1658" t="s">
        <v>111</v>
      </c>
      <c r="C1658" t="s">
        <v>134</v>
      </c>
      <c r="D1658" t="s">
        <v>118</v>
      </c>
      <c r="E1658" t="s">
        <v>2618</v>
      </c>
      <c r="F1658" t="s">
        <v>7</v>
      </c>
      <c r="G1658" t="s">
        <v>130</v>
      </c>
      <c r="H1658" s="1">
        <v>46131</v>
      </c>
      <c r="I1658" t="s">
        <v>8952</v>
      </c>
      <c r="J1658" t="s">
        <v>8953</v>
      </c>
      <c r="K1658" t="s">
        <v>5049</v>
      </c>
      <c r="L1658" t="s">
        <v>162</v>
      </c>
      <c r="M1658" t="s">
        <v>2887</v>
      </c>
      <c r="N1658" s="166">
        <v>24.98</v>
      </c>
      <c r="O1658" t="s">
        <v>131</v>
      </c>
    </row>
    <row r="1659" spans="1:15">
      <c r="A1659" s="166" t="s">
        <v>8954</v>
      </c>
      <c r="B1659" t="s">
        <v>111</v>
      </c>
      <c r="C1659" t="s">
        <v>406</v>
      </c>
      <c r="D1659" t="s">
        <v>118</v>
      </c>
      <c r="E1659" t="s">
        <v>6703</v>
      </c>
      <c r="F1659" t="s">
        <v>6</v>
      </c>
      <c r="G1659" t="s">
        <v>130</v>
      </c>
      <c r="H1659" s="1">
        <v>46131</v>
      </c>
      <c r="I1659" t="s">
        <v>8955</v>
      </c>
      <c r="J1659" t="s">
        <v>8956</v>
      </c>
      <c r="K1659" t="s">
        <v>1071</v>
      </c>
      <c r="L1659" t="s">
        <v>645</v>
      </c>
      <c r="M1659" t="s">
        <v>2586</v>
      </c>
      <c r="N1659" s="166">
        <v>21.04</v>
      </c>
      <c r="O1659" t="s">
        <v>131</v>
      </c>
    </row>
    <row r="1660" spans="1:15">
      <c r="A1660" s="166" t="s">
        <v>8957</v>
      </c>
      <c r="B1660" t="s">
        <v>111</v>
      </c>
      <c r="C1660" t="s">
        <v>136</v>
      </c>
      <c r="D1660" t="s">
        <v>118</v>
      </c>
      <c r="E1660" t="s">
        <v>2618</v>
      </c>
      <c r="F1660" t="s">
        <v>7</v>
      </c>
      <c r="G1660" t="s">
        <v>130</v>
      </c>
      <c r="H1660" s="1">
        <v>46131</v>
      </c>
      <c r="I1660" t="s">
        <v>8958</v>
      </c>
      <c r="J1660" t="s">
        <v>8959</v>
      </c>
      <c r="K1660" t="s">
        <v>1256</v>
      </c>
      <c r="L1660" t="s">
        <v>2568</v>
      </c>
      <c r="M1660" t="s">
        <v>3395</v>
      </c>
      <c r="N1660" s="166">
        <v>18.420000000000002</v>
      </c>
      <c r="O1660" t="s">
        <v>131</v>
      </c>
    </row>
    <row r="1661" spans="1:15">
      <c r="A1661" s="166" t="s">
        <v>8960</v>
      </c>
      <c r="B1661" t="s">
        <v>111</v>
      </c>
      <c r="C1661" t="s">
        <v>133</v>
      </c>
      <c r="D1661" t="s">
        <v>118</v>
      </c>
      <c r="E1661" t="s">
        <v>2618</v>
      </c>
      <c r="F1661" t="s">
        <v>7</v>
      </c>
      <c r="G1661" t="s">
        <v>130</v>
      </c>
      <c r="H1661" s="1">
        <v>46131</v>
      </c>
      <c r="I1661" t="s">
        <v>8961</v>
      </c>
      <c r="J1661" t="s">
        <v>8962</v>
      </c>
      <c r="K1661" t="s">
        <v>696</v>
      </c>
      <c r="L1661" t="s">
        <v>3152</v>
      </c>
      <c r="M1661" t="s">
        <v>8859</v>
      </c>
      <c r="N1661" s="166">
        <v>25.38</v>
      </c>
      <c r="O1661" t="s">
        <v>131</v>
      </c>
    </row>
    <row r="1662" spans="1:15">
      <c r="A1662" s="166" t="s">
        <v>8963</v>
      </c>
      <c r="B1662" t="s">
        <v>111</v>
      </c>
      <c r="C1662" t="s">
        <v>135</v>
      </c>
      <c r="D1662" t="s">
        <v>118</v>
      </c>
      <c r="E1662" t="s">
        <v>6703</v>
      </c>
      <c r="F1662" t="s">
        <v>6</v>
      </c>
      <c r="G1662" t="s">
        <v>130</v>
      </c>
      <c r="H1662" s="1">
        <v>46131</v>
      </c>
      <c r="I1662" t="s">
        <v>8964</v>
      </c>
      <c r="J1662" t="s">
        <v>8965</v>
      </c>
      <c r="K1662" t="s">
        <v>2585</v>
      </c>
      <c r="L1662" t="s">
        <v>515</v>
      </c>
      <c r="M1662" t="s">
        <v>4374</v>
      </c>
      <c r="N1662" s="166">
        <v>22.54</v>
      </c>
      <c r="O1662" t="s">
        <v>131</v>
      </c>
    </row>
    <row r="1663" spans="1:15">
      <c r="A1663" s="166" t="s">
        <v>8966</v>
      </c>
      <c r="B1663" t="s">
        <v>111</v>
      </c>
      <c r="C1663" t="s">
        <v>134</v>
      </c>
      <c r="D1663" t="s">
        <v>118</v>
      </c>
      <c r="E1663" t="s">
        <v>2618</v>
      </c>
      <c r="F1663" t="s">
        <v>7</v>
      </c>
      <c r="G1663" t="s">
        <v>130</v>
      </c>
      <c r="H1663" s="1">
        <v>46131</v>
      </c>
      <c r="I1663" t="s">
        <v>8967</v>
      </c>
      <c r="J1663" t="s">
        <v>8968</v>
      </c>
      <c r="K1663" t="s">
        <v>488</v>
      </c>
      <c r="L1663" t="s">
        <v>1499</v>
      </c>
      <c r="M1663" t="s">
        <v>3192</v>
      </c>
      <c r="N1663" s="166">
        <v>17.16</v>
      </c>
      <c r="O1663" t="s">
        <v>131</v>
      </c>
    </row>
    <row r="1664" spans="1:15">
      <c r="A1664" s="166" t="s">
        <v>1918</v>
      </c>
      <c r="B1664" t="s">
        <v>111</v>
      </c>
      <c r="C1664" t="s">
        <v>2424</v>
      </c>
      <c r="D1664" t="s">
        <v>118</v>
      </c>
      <c r="E1664" t="s">
        <v>6703</v>
      </c>
      <c r="F1664" t="s">
        <v>6</v>
      </c>
      <c r="G1664" t="s">
        <v>130</v>
      </c>
      <c r="H1664" s="1">
        <v>46131</v>
      </c>
      <c r="I1664" t="s">
        <v>8969</v>
      </c>
      <c r="J1664" t="s">
        <v>8970</v>
      </c>
      <c r="K1664" t="s">
        <v>1965</v>
      </c>
      <c r="L1664" t="s">
        <v>2034</v>
      </c>
      <c r="M1664" t="s">
        <v>4148</v>
      </c>
      <c r="N1664" s="166">
        <v>17.899999999999999</v>
      </c>
      <c r="O1664" t="s">
        <v>131</v>
      </c>
    </row>
    <row r="1665" spans="1:15">
      <c r="A1665" s="166" t="s">
        <v>8971</v>
      </c>
      <c r="B1665" t="s">
        <v>111</v>
      </c>
      <c r="C1665" t="s">
        <v>406</v>
      </c>
      <c r="D1665" t="s">
        <v>118</v>
      </c>
      <c r="E1665" t="s">
        <v>6703</v>
      </c>
      <c r="F1665" t="s">
        <v>6</v>
      </c>
      <c r="G1665" t="s">
        <v>130</v>
      </c>
      <c r="H1665" s="1">
        <v>46131</v>
      </c>
      <c r="I1665" t="s">
        <v>8972</v>
      </c>
      <c r="J1665" t="s">
        <v>8973</v>
      </c>
      <c r="K1665" t="s">
        <v>771</v>
      </c>
      <c r="L1665" t="s">
        <v>149</v>
      </c>
      <c r="M1665" t="s">
        <v>2180</v>
      </c>
      <c r="N1665" s="166">
        <v>20.9</v>
      </c>
      <c r="O1665" t="s">
        <v>131</v>
      </c>
    </row>
    <row r="1666" spans="1:15">
      <c r="A1666" s="166" t="s">
        <v>8974</v>
      </c>
      <c r="B1666" t="s">
        <v>111</v>
      </c>
      <c r="C1666" t="s">
        <v>136</v>
      </c>
      <c r="D1666" t="s">
        <v>118</v>
      </c>
      <c r="E1666" t="s">
        <v>2618</v>
      </c>
      <c r="F1666" t="s">
        <v>7</v>
      </c>
      <c r="G1666" t="s">
        <v>130</v>
      </c>
      <c r="H1666" s="1">
        <v>46131</v>
      </c>
      <c r="I1666" t="s">
        <v>8975</v>
      </c>
      <c r="J1666" t="s">
        <v>8976</v>
      </c>
      <c r="K1666" t="s">
        <v>6241</v>
      </c>
      <c r="L1666" t="s">
        <v>1958</v>
      </c>
      <c r="M1666" t="s">
        <v>8977</v>
      </c>
      <c r="N1666" s="166">
        <v>14.26</v>
      </c>
      <c r="O1666" t="s">
        <v>131</v>
      </c>
    </row>
    <row r="1667" spans="1:15">
      <c r="A1667" s="166" t="s">
        <v>8978</v>
      </c>
      <c r="B1667" t="s">
        <v>111</v>
      </c>
      <c r="C1667" t="s">
        <v>135</v>
      </c>
      <c r="D1667" t="s">
        <v>118</v>
      </c>
      <c r="E1667" t="s">
        <v>6703</v>
      </c>
      <c r="F1667" t="s">
        <v>6</v>
      </c>
      <c r="G1667" t="s">
        <v>130</v>
      </c>
      <c r="H1667" s="1">
        <v>46131</v>
      </c>
      <c r="I1667" t="s">
        <v>8979</v>
      </c>
      <c r="J1667" t="s">
        <v>8980</v>
      </c>
      <c r="K1667" t="s">
        <v>3479</v>
      </c>
      <c r="L1667" t="s">
        <v>148</v>
      </c>
      <c r="M1667" t="s">
        <v>2188</v>
      </c>
      <c r="N1667" s="166">
        <v>22.26</v>
      </c>
      <c r="O1667" t="s">
        <v>131</v>
      </c>
    </row>
    <row r="1668" spans="1:15">
      <c r="A1668" s="166" t="s">
        <v>405</v>
      </c>
      <c r="B1668" t="s">
        <v>111</v>
      </c>
      <c r="C1668" t="s">
        <v>406</v>
      </c>
      <c r="D1668" t="s">
        <v>116</v>
      </c>
      <c r="E1668" t="s">
        <v>138</v>
      </c>
      <c r="F1668" t="s">
        <v>7</v>
      </c>
      <c r="G1668" t="s">
        <v>130</v>
      </c>
      <c r="H1668" s="1">
        <v>46114</v>
      </c>
      <c r="I1668" t="s">
        <v>407</v>
      </c>
      <c r="J1668" t="s">
        <v>408</v>
      </c>
      <c r="K1668" t="s">
        <v>409</v>
      </c>
      <c r="L1668" t="s">
        <v>162</v>
      </c>
      <c r="M1668" t="s">
        <v>410</v>
      </c>
      <c r="N1668" s="166">
        <v>22.36</v>
      </c>
      <c r="O1668" t="s">
        <v>131</v>
      </c>
    </row>
    <row r="1669" spans="1:15">
      <c r="A1669" s="166" t="s">
        <v>411</v>
      </c>
      <c r="B1669" t="s">
        <v>111</v>
      </c>
      <c r="C1669" t="s">
        <v>135</v>
      </c>
      <c r="D1669" t="s">
        <v>116</v>
      </c>
      <c r="E1669" t="s">
        <v>138</v>
      </c>
      <c r="F1669" t="s">
        <v>7</v>
      </c>
      <c r="G1669" t="s">
        <v>130</v>
      </c>
      <c r="H1669" s="1">
        <v>46114</v>
      </c>
      <c r="I1669" t="s">
        <v>412</v>
      </c>
      <c r="J1669" t="s">
        <v>413</v>
      </c>
      <c r="K1669" t="s">
        <v>414</v>
      </c>
      <c r="L1669" t="s">
        <v>415</v>
      </c>
      <c r="M1669" t="s">
        <v>416</v>
      </c>
      <c r="N1669" s="166">
        <v>19.3</v>
      </c>
      <c r="O1669" t="s">
        <v>131</v>
      </c>
    </row>
    <row r="1670" spans="1:15">
      <c r="A1670" s="166" t="s">
        <v>417</v>
      </c>
      <c r="B1670" t="s">
        <v>111</v>
      </c>
      <c r="C1670" t="s">
        <v>133</v>
      </c>
      <c r="D1670" t="s">
        <v>116</v>
      </c>
      <c r="E1670" t="s">
        <v>418</v>
      </c>
      <c r="F1670" t="s">
        <v>7</v>
      </c>
      <c r="G1670" t="s">
        <v>130</v>
      </c>
      <c r="H1670" s="1">
        <v>46114</v>
      </c>
      <c r="I1670" t="s">
        <v>419</v>
      </c>
      <c r="J1670" t="s">
        <v>420</v>
      </c>
      <c r="K1670" t="s">
        <v>421</v>
      </c>
      <c r="L1670" t="s">
        <v>154</v>
      </c>
      <c r="M1670" t="s">
        <v>422</v>
      </c>
      <c r="N1670" s="166">
        <v>20.420000000000002</v>
      </c>
      <c r="O1670" t="s">
        <v>131</v>
      </c>
    </row>
    <row r="1671" spans="1:15">
      <c r="A1671" s="166" t="s">
        <v>423</v>
      </c>
      <c r="B1671" t="s">
        <v>111</v>
      </c>
      <c r="C1671" t="s">
        <v>133</v>
      </c>
      <c r="D1671" t="s">
        <v>116</v>
      </c>
      <c r="E1671" t="s">
        <v>418</v>
      </c>
      <c r="F1671" t="s">
        <v>7</v>
      </c>
      <c r="G1671" t="s">
        <v>130</v>
      </c>
      <c r="H1671" s="1">
        <v>46114</v>
      </c>
      <c r="I1671" t="s">
        <v>424</v>
      </c>
      <c r="J1671" t="s">
        <v>425</v>
      </c>
      <c r="K1671" t="s">
        <v>426</v>
      </c>
      <c r="L1671" t="s">
        <v>427</v>
      </c>
      <c r="M1671" t="s">
        <v>428</v>
      </c>
      <c r="N1671" s="166">
        <v>20.96</v>
      </c>
      <c r="O1671" t="s">
        <v>131</v>
      </c>
    </row>
    <row r="1672" spans="1:15">
      <c r="A1672" s="166" t="s">
        <v>429</v>
      </c>
      <c r="B1672" t="s">
        <v>111</v>
      </c>
      <c r="C1672" t="s">
        <v>134</v>
      </c>
      <c r="D1672" t="s">
        <v>118</v>
      </c>
      <c r="E1672" t="s">
        <v>430</v>
      </c>
      <c r="F1672" t="s">
        <v>7</v>
      </c>
      <c r="G1672" t="s">
        <v>130</v>
      </c>
      <c r="H1672" s="1">
        <v>46114</v>
      </c>
      <c r="I1672" t="s">
        <v>431</v>
      </c>
      <c r="J1672" t="s">
        <v>432</v>
      </c>
      <c r="K1672" t="s">
        <v>433</v>
      </c>
      <c r="L1672" t="s">
        <v>168</v>
      </c>
      <c r="M1672" t="s">
        <v>434</v>
      </c>
      <c r="N1672" s="166">
        <v>21.6</v>
      </c>
      <c r="O1672" t="s">
        <v>131</v>
      </c>
    </row>
    <row r="1673" spans="1:15">
      <c r="A1673" s="166" t="s">
        <v>435</v>
      </c>
      <c r="B1673" t="s">
        <v>111</v>
      </c>
      <c r="C1673" t="s">
        <v>135</v>
      </c>
      <c r="D1673" t="s">
        <v>118</v>
      </c>
      <c r="E1673" t="s">
        <v>430</v>
      </c>
      <c r="F1673" t="s">
        <v>7</v>
      </c>
      <c r="G1673" t="s">
        <v>130</v>
      </c>
      <c r="H1673" s="1">
        <v>46114</v>
      </c>
      <c r="I1673" t="s">
        <v>436</v>
      </c>
      <c r="J1673" t="s">
        <v>437</v>
      </c>
      <c r="K1673" t="s">
        <v>438</v>
      </c>
      <c r="L1673" t="s">
        <v>165</v>
      </c>
      <c r="M1673" t="s">
        <v>439</v>
      </c>
      <c r="N1673" s="166">
        <v>21.72</v>
      </c>
      <c r="O1673" t="s">
        <v>131</v>
      </c>
    </row>
    <row r="1674" spans="1:15">
      <c r="A1674" s="166" t="s">
        <v>440</v>
      </c>
      <c r="B1674" t="s">
        <v>111</v>
      </c>
      <c r="C1674" t="s">
        <v>136</v>
      </c>
      <c r="D1674" t="s">
        <v>118</v>
      </c>
      <c r="E1674" t="s">
        <v>430</v>
      </c>
      <c r="F1674" t="s">
        <v>7</v>
      </c>
      <c r="G1674" t="s">
        <v>130</v>
      </c>
      <c r="H1674" s="1">
        <v>46114</v>
      </c>
      <c r="I1674" t="s">
        <v>441</v>
      </c>
      <c r="J1674" t="s">
        <v>442</v>
      </c>
      <c r="K1674" t="s">
        <v>443</v>
      </c>
      <c r="L1674" t="s">
        <v>180</v>
      </c>
      <c r="M1674" t="s">
        <v>444</v>
      </c>
      <c r="N1674" s="166">
        <v>20.079999999999998</v>
      </c>
      <c r="O1674" t="s">
        <v>131</v>
      </c>
    </row>
    <row r="1675" spans="1:15">
      <c r="A1675" s="166" t="s">
        <v>445</v>
      </c>
      <c r="B1675" t="s">
        <v>111</v>
      </c>
      <c r="C1675" t="s">
        <v>133</v>
      </c>
      <c r="D1675" t="s">
        <v>118</v>
      </c>
      <c r="E1675" t="s">
        <v>430</v>
      </c>
      <c r="F1675" t="s">
        <v>7</v>
      </c>
      <c r="G1675" t="s">
        <v>130</v>
      </c>
      <c r="H1675" s="1">
        <v>46114</v>
      </c>
      <c r="I1675" t="s">
        <v>446</v>
      </c>
      <c r="J1675" t="s">
        <v>447</v>
      </c>
      <c r="K1675" t="s">
        <v>448</v>
      </c>
      <c r="L1675" t="s">
        <v>449</v>
      </c>
      <c r="M1675" t="s">
        <v>450</v>
      </c>
      <c r="N1675" s="166">
        <v>21.52</v>
      </c>
      <c r="O1675" t="s">
        <v>131</v>
      </c>
    </row>
    <row r="1676" spans="1:15">
      <c r="A1676" s="166" t="s">
        <v>451</v>
      </c>
      <c r="B1676" t="s">
        <v>111</v>
      </c>
      <c r="C1676" t="s">
        <v>134</v>
      </c>
      <c r="D1676" t="s">
        <v>118</v>
      </c>
      <c r="E1676" t="s">
        <v>430</v>
      </c>
      <c r="F1676" t="s">
        <v>7</v>
      </c>
      <c r="G1676" t="s">
        <v>130</v>
      </c>
      <c r="H1676" s="1">
        <v>46114</v>
      </c>
      <c r="I1676" t="s">
        <v>452</v>
      </c>
      <c r="J1676" t="s">
        <v>453</v>
      </c>
      <c r="K1676" t="s">
        <v>454</v>
      </c>
      <c r="L1676" t="s">
        <v>143</v>
      </c>
      <c r="M1676" t="s">
        <v>455</v>
      </c>
      <c r="N1676" s="166">
        <v>21.68</v>
      </c>
      <c r="O1676" t="s">
        <v>131</v>
      </c>
    </row>
    <row r="1677" spans="1:15">
      <c r="A1677" s="166" t="s">
        <v>456</v>
      </c>
      <c r="B1677" t="s">
        <v>111</v>
      </c>
      <c r="C1677" t="s">
        <v>135</v>
      </c>
      <c r="D1677" t="s">
        <v>118</v>
      </c>
      <c r="E1677" t="s">
        <v>430</v>
      </c>
      <c r="F1677" t="s">
        <v>7</v>
      </c>
      <c r="G1677" t="s">
        <v>130</v>
      </c>
      <c r="H1677" s="1">
        <v>46114</v>
      </c>
      <c r="I1677" t="s">
        <v>457</v>
      </c>
      <c r="J1677" t="s">
        <v>458</v>
      </c>
      <c r="K1677" t="s">
        <v>426</v>
      </c>
      <c r="L1677" t="s">
        <v>459</v>
      </c>
      <c r="M1677" t="s">
        <v>460</v>
      </c>
      <c r="N1677" s="166">
        <v>21.28</v>
      </c>
      <c r="O1677" t="s">
        <v>131</v>
      </c>
    </row>
    <row r="1678" spans="1:15">
      <c r="A1678" s="166" t="s">
        <v>461</v>
      </c>
      <c r="B1678" t="s">
        <v>111</v>
      </c>
      <c r="C1678" t="s">
        <v>136</v>
      </c>
      <c r="D1678" t="s">
        <v>118</v>
      </c>
      <c r="E1678" t="s">
        <v>430</v>
      </c>
      <c r="F1678" t="s">
        <v>7</v>
      </c>
      <c r="G1678" t="s">
        <v>130</v>
      </c>
      <c r="H1678" s="1">
        <v>46114</v>
      </c>
      <c r="I1678" t="s">
        <v>462</v>
      </c>
      <c r="J1678" t="s">
        <v>463</v>
      </c>
      <c r="K1678" t="s">
        <v>464</v>
      </c>
      <c r="L1678" t="s">
        <v>465</v>
      </c>
      <c r="M1678" t="s">
        <v>466</v>
      </c>
      <c r="N1678" s="166">
        <v>20.32</v>
      </c>
      <c r="O1678" t="s">
        <v>131</v>
      </c>
    </row>
    <row r="1679" spans="1:15">
      <c r="A1679" s="166" t="s">
        <v>467</v>
      </c>
      <c r="B1679" t="s">
        <v>111</v>
      </c>
      <c r="C1679" t="s">
        <v>133</v>
      </c>
      <c r="D1679" t="s">
        <v>118</v>
      </c>
      <c r="E1679" t="s">
        <v>430</v>
      </c>
      <c r="F1679" t="s">
        <v>7</v>
      </c>
      <c r="G1679" t="s">
        <v>130</v>
      </c>
      <c r="H1679" s="1">
        <v>46114</v>
      </c>
      <c r="I1679" t="s">
        <v>468</v>
      </c>
      <c r="J1679" t="s">
        <v>469</v>
      </c>
      <c r="K1679" t="s">
        <v>470</v>
      </c>
      <c r="L1679" t="s">
        <v>449</v>
      </c>
      <c r="M1679" t="s">
        <v>471</v>
      </c>
      <c r="N1679" s="166">
        <v>22.04</v>
      </c>
      <c r="O1679" t="s">
        <v>131</v>
      </c>
    </row>
    <row r="1680" spans="1:15">
      <c r="A1680" s="166" t="s">
        <v>472</v>
      </c>
      <c r="B1680" t="s">
        <v>111</v>
      </c>
      <c r="C1680" t="s">
        <v>134</v>
      </c>
      <c r="D1680" t="s">
        <v>118</v>
      </c>
      <c r="E1680" t="s">
        <v>430</v>
      </c>
      <c r="F1680" t="s">
        <v>7</v>
      </c>
      <c r="G1680" t="s">
        <v>130</v>
      </c>
      <c r="H1680" s="1">
        <v>46114</v>
      </c>
      <c r="I1680" t="s">
        <v>473</v>
      </c>
      <c r="J1680" t="s">
        <v>474</v>
      </c>
      <c r="K1680" t="s">
        <v>475</v>
      </c>
      <c r="L1680" t="s">
        <v>155</v>
      </c>
      <c r="M1680" t="s">
        <v>476</v>
      </c>
      <c r="N1680" s="166">
        <v>21.82</v>
      </c>
      <c r="O1680" t="s">
        <v>131</v>
      </c>
    </row>
    <row r="1681" spans="1:15">
      <c r="A1681" s="166" t="s">
        <v>477</v>
      </c>
      <c r="B1681" t="s">
        <v>111</v>
      </c>
      <c r="C1681" t="s">
        <v>135</v>
      </c>
      <c r="D1681" t="s">
        <v>118</v>
      </c>
      <c r="E1681" t="s">
        <v>430</v>
      </c>
      <c r="F1681" t="s">
        <v>7</v>
      </c>
      <c r="G1681" t="s">
        <v>130</v>
      </c>
      <c r="H1681" s="1">
        <v>46114</v>
      </c>
      <c r="I1681" t="s">
        <v>478</v>
      </c>
      <c r="J1681" t="s">
        <v>479</v>
      </c>
      <c r="K1681" t="s">
        <v>480</v>
      </c>
      <c r="L1681" t="s">
        <v>143</v>
      </c>
      <c r="M1681" t="s">
        <v>481</v>
      </c>
      <c r="N1681" s="166">
        <v>22.4</v>
      </c>
      <c r="O1681" t="s">
        <v>131</v>
      </c>
    </row>
    <row r="1682" spans="1:15">
      <c r="A1682" s="166" t="s">
        <v>482</v>
      </c>
      <c r="B1682" t="s">
        <v>111</v>
      </c>
      <c r="C1682" t="s">
        <v>136</v>
      </c>
      <c r="D1682" t="s">
        <v>118</v>
      </c>
      <c r="E1682" t="s">
        <v>430</v>
      </c>
      <c r="F1682" t="s">
        <v>7</v>
      </c>
      <c r="G1682" t="s">
        <v>130</v>
      </c>
      <c r="H1682" s="1">
        <v>46114</v>
      </c>
      <c r="I1682" t="s">
        <v>483</v>
      </c>
      <c r="J1682" t="s">
        <v>484</v>
      </c>
      <c r="K1682" t="s">
        <v>485</v>
      </c>
      <c r="L1682" t="s">
        <v>486</v>
      </c>
      <c r="M1682" t="s">
        <v>487</v>
      </c>
      <c r="N1682" s="166">
        <v>21.88</v>
      </c>
      <c r="O1682" t="s">
        <v>131</v>
      </c>
    </row>
    <row r="1683" spans="1:15">
      <c r="A1683" s="166" t="s">
        <v>488</v>
      </c>
      <c r="B1683" t="s">
        <v>111</v>
      </c>
      <c r="C1683" t="s">
        <v>133</v>
      </c>
      <c r="D1683" t="s">
        <v>118</v>
      </c>
      <c r="E1683" t="s">
        <v>430</v>
      </c>
      <c r="F1683" t="s">
        <v>7</v>
      </c>
      <c r="G1683" t="s">
        <v>130</v>
      </c>
      <c r="H1683" s="1">
        <v>46114</v>
      </c>
      <c r="I1683" t="s">
        <v>489</v>
      </c>
      <c r="J1683" t="s">
        <v>490</v>
      </c>
      <c r="K1683" t="s">
        <v>491</v>
      </c>
      <c r="L1683" t="s">
        <v>492</v>
      </c>
      <c r="M1683" t="s">
        <v>493</v>
      </c>
      <c r="N1683" s="166">
        <v>22.16</v>
      </c>
      <c r="O1683" t="s">
        <v>131</v>
      </c>
    </row>
    <row r="1684" spans="1:15">
      <c r="A1684" s="166" t="s">
        <v>494</v>
      </c>
      <c r="B1684" t="s">
        <v>111</v>
      </c>
      <c r="C1684" t="s">
        <v>134</v>
      </c>
      <c r="D1684" t="s">
        <v>118</v>
      </c>
      <c r="E1684" t="s">
        <v>430</v>
      </c>
      <c r="F1684" t="s">
        <v>7</v>
      </c>
      <c r="G1684" t="s">
        <v>130</v>
      </c>
      <c r="H1684" s="1">
        <v>46114</v>
      </c>
      <c r="I1684" t="s">
        <v>495</v>
      </c>
      <c r="J1684" t="s">
        <v>496</v>
      </c>
      <c r="K1684" t="s">
        <v>497</v>
      </c>
      <c r="L1684" t="s">
        <v>153</v>
      </c>
      <c r="M1684" t="s">
        <v>498</v>
      </c>
      <c r="N1684" s="166">
        <v>21.62</v>
      </c>
      <c r="O1684" t="s">
        <v>131</v>
      </c>
    </row>
    <row r="1685" spans="1:15">
      <c r="A1685" s="166" t="s">
        <v>499</v>
      </c>
      <c r="B1685" t="s">
        <v>111</v>
      </c>
      <c r="C1685" t="s">
        <v>135</v>
      </c>
      <c r="D1685" t="s">
        <v>118</v>
      </c>
      <c r="E1685" t="s">
        <v>430</v>
      </c>
      <c r="F1685" t="s">
        <v>7</v>
      </c>
      <c r="G1685" t="s">
        <v>130</v>
      </c>
      <c r="H1685" s="1">
        <v>46114</v>
      </c>
      <c r="I1685" t="s">
        <v>500</v>
      </c>
      <c r="J1685" t="s">
        <v>501</v>
      </c>
      <c r="K1685" t="s">
        <v>502</v>
      </c>
      <c r="L1685" t="s">
        <v>503</v>
      </c>
      <c r="M1685" t="s">
        <v>504</v>
      </c>
      <c r="N1685" s="166">
        <v>23.16</v>
      </c>
      <c r="O1685" t="s">
        <v>131</v>
      </c>
    </row>
    <row r="1686" spans="1:15">
      <c r="A1686" s="166" t="s">
        <v>505</v>
      </c>
      <c r="B1686" t="s">
        <v>111</v>
      </c>
      <c r="C1686" t="s">
        <v>136</v>
      </c>
      <c r="D1686" t="s">
        <v>118</v>
      </c>
      <c r="E1686" t="s">
        <v>430</v>
      </c>
      <c r="F1686" t="s">
        <v>7</v>
      </c>
      <c r="G1686" t="s">
        <v>130</v>
      </c>
      <c r="H1686" s="1">
        <v>46114</v>
      </c>
      <c r="I1686" t="s">
        <v>506</v>
      </c>
      <c r="J1686" t="s">
        <v>507</v>
      </c>
      <c r="K1686" t="s">
        <v>508</v>
      </c>
      <c r="L1686" t="s">
        <v>509</v>
      </c>
      <c r="M1686" t="s">
        <v>510</v>
      </c>
      <c r="N1686" s="166">
        <v>22.18</v>
      </c>
      <c r="O1686" t="s">
        <v>131</v>
      </c>
    </row>
    <row r="1687" spans="1:15">
      <c r="A1687" s="166" t="s">
        <v>511</v>
      </c>
      <c r="B1687" t="s">
        <v>111</v>
      </c>
      <c r="C1687" t="s">
        <v>133</v>
      </c>
      <c r="D1687" t="s">
        <v>118</v>
      </c>
      <c r="E1687" t="s">
        <v>430</v>
      </c>
      <c r="F1687" t="s">
        <v>7</v>
      </c>
      <c r="G1687" t="s">
        <v>130</v>
      </c>
      <c r="H1687" s="1">
        <v>46114</v>
      </c>
      <c r="I1687" t="s">
        <v>512</v>
      </c>
      <c r="J1687" t="s">
        <v>513</v>
      </c>
      <c r="K1687" t="s">
        <v>514</v>
      </c>
      <c r="L1687" t="s">
        <v>515</v>
      </c>
      <c r="M1687" t="s">
        <v>145</v>
      </c>
      <c r="N1687" s="166">
        <v>21.3</v>
      </c>
      <c r="O1687" t="s">
        <v>131</v>
      </c>
    </row>
    <row r="1688" spans="1:15">
      <c r="A1688" s="166" t="s">
        <v>516</v>
      </c>
      <c r="B1688" t="s">
        <v>111</v>
      </c>
      <c r="C1688" t="s">
        <v>134</v>
      </c>
      <c r="D1688" t="s">
        <v>118</v>
      </c>
      <c r="E1688" t="s">
        <v>430</v>
      </c>
      <c r="F1688" t="s">
        <v>7</v>
      </c>
      <c r="G1688" t="s">
        <v>130</v>
      </c>
      <c r="H1688" s="1">
        <v>46114</v>
      </c>
      <c r="I1688" t="s">
        <v>517</v>
      </c>
      <c r="J1688" t="s">
        <v>518</v>
      </c>
      <c r="K1688" t="s">
        <v>519</v>
      </c>
      <c r="L1688" t="s">
        <v>168</v>
      </c>
      <c r="M1688" t="s">
        <v>520</v>
      </c>
      <c r="N1688" s="166">
        <v>24.42</v>
      </c>
      <c r="O1688" t="s">
        <v>131</v>
      </c>
    </row>
    <row r="1689" spans="1:15">
      <c r="A1689" s="166" t="s">
        <v>521</v>
      </c>
      <c r="B1689" t="s">
        <v>111</v>
      </c>
      <c r="C1689" t="s">
        <v>135</v>
      </c>
      <c r="D1689" t="s">
        <v>118</v>
      </c>
      <c r="E1689" t="s">
        <v>430</v>
      </c>
      <c r="F1689" t="s">
        <v>7</v>
      </c>
      <c r="G1689" t="s">
        <v>130</v>
      </c>
      <c r="H1689" s="1">
        <v>46114</v>
      </c>
      <c r="I1689" t="s">
        <v>522</v>
      </c>
      <c r="J1689" t="s">
        <v>523</v>
      </c>
      <c r="K1689" t="s">
        <v>524</v>
      </c>
      <c r="L1689" t="s">
        <v>154</v>
      </c>
      <c r="M1689" t="s">
        <v>493</v>
      </c>
      <c r="N1689" s="166">
        <v>22.16</v>
      </c>
      <c r="O1689" t="s">
        <v>131</v>
      </c>
    </row>
    <row r="1690" spans="1:15">
      <c r="A1690" s="166" t="s">
        <v>525</v>
      </c>
      <c r="B1690" t="s">
        <v>111</v>
      </c>
      <c r="C1690" t="s">
        <v>133</v>
      </c>
      <c r="D1690" t="s">
        <v>118</v>
      </c>
      <c r="E1690" t="s">
        <v>430</v>
      </c>
      <c r="F1690" t="s">
        <v>7</v>
      </c>
      <c r="G1690" t="s">
        <v>130</v>
      </c>
      <c r="H1690" s="1">
        <v>46114</v>
      </c>
      <c r="I1690" t="s">
        <v>526</v>
      </c>
      <c r="J1690" t="s">
        <v>527</v>
      </c>
      <c r="K1690" t="s">
        <v>528</v>
      </c>
      <c r="L1690" t="s">
        <v>529</v>
      </c>
      <c r="M1690" t="s">
        <v>530</v>
      </c>
      <c r="N1690" s="166">
        <v>21</v>
      </c>
      <c r="O1690" t="s">
        <v>131</v>
      </c>
    </row>
    <row r="1691" spans="1:15">
      <c r="A1691" s="166" t="s">
        <v>531</v>
      </c>
      <c r="B1691" t="s">
        <v>111</v>
      </c>
      <c r="C1691" t="s">
        <v>136</v>
      </c>
      <c r="D1691" t="s">
        <v>118</v>
      </c>
      <c r="E1691" t="s">
        <v>430</v>
      </c>
      <c r="F1691" t="s">
        <v>7</v>
      </c>
      <c r="G1691" t="s">
        <v>130</v>
      </c>
      <c r="H1691" s="1">
        <v>46114</v>
      </c>
      <c r="I1691" t="s">
        <v>532</v>
      </c>
      <c r="J1691" t="s">
        <v>533</v>
      </c>
      <c r="K1691" t="s">
        <v>534</v>
      </c>
      <c r="L1691" t="s">
        <v>535</v>
      </c>
      <c r="M1691" t="s">
        <v>536</v>
      </c>
      <c r="N1691" s="166">
        <v>24.9</v>
      </c>
      <c r="O1691" t="s">
        <v>131</v>
      </c>
    </row>
    <row r="1692" spans="1:15">
      <c r="A1692" s="166" t="s">
        <v>537</v>
      </c>
      <c r="B1692" t="s">
        <v>111</v>
      </c>
      <c r="C1692" t="s">
        <v>134</v>
      </c>
      <c r="D1692" t="s">
        <v>118</v>
      </c>
      <c r="E1692" t="s">
        <v>430</v>
      </c>
      <c r="F1692" t="s">
        <v>7</v>
      </c>
      <c r="G1692" t="s">
        <v>130</v>
      </c>
      <c r="H1692" s="1">
        <v>46114</v>
      </c>
      <c r="I1692" t="s">
        <v>538</v>
      </c>
      <c r="J1692" t="s">
        <v>539</v>
      </c>
      <c r="K1692" t="s">
        <v>540</v>
      </c>
      <c r="L1692" t="s">
        <v>168</v>
      </c>
      <c r="M1692" t="s">
        <v>541</v>
      </c>
      <c r="N1692" s="166">
        <v>21.18</v>
      </c>
      <c r="O1692" t="s">
        <v>131</v>
      </c>
    </row>
    <row r="1693" spans="1:15">
      <c r="A1693" s="166" t="s">
        <v>542</v>
      </c>
      <c r="B1693" t="s">
        <v>111</v>
      </c>
      <c r="C1693" t="s">
        <v>135</v>
      </c>
      <c r="D1693" t="s">
        <v>118</v>
      </c>
      <c r="E1693" t="s">
        <v>430</v>
      </c>
      <c r="F1693" t="s">
        <v>7</v>
      </c>
      <c r="G1693" t="s">
        <v>130</v>
      </c>
      <c r="H1693" s="1">
        <v>46114</v>
      </c>
      <c r="I1693" t="s">
        <v>543</v>
      </c>
      <c r="J1693" t="s">
        <v>544</v>
      </c>
      <c r="K1693" t="s">
        <v>545</v>
      </c>
      <c r="L1693" t="s">
        <v>503</v>
      </c>
      <c r="M1693" t="s">
        <v>546</v>
      </c>
      <c r="N1693" s="166">
        <v>22.38</v>
      </c>
      <c r="O1693" t="s">
        <v>131</v>
      </c>
    </row>
    <row r="1694" spans="1:15">
      <c r="A1694" s="166" t="s">
        <v>547</v>
      </c>
      <c r="B1694" t="s">
        <v>111</v>
      </c>
      <c r="C1694" t="s">
        <v>133</v>
      </c>
      <c r="D1694" t="s">
        <v>118</v>
      </c>
      <c r="E1694" t="s">
        <v>430</v>
      </c>
      <c r="F1694" t="s">
        <v>7</v>
      </c>
      <c r="G1694" t="s">
        <v>130</v>
      </c>
      <c r="H1694" s="1">
        <v>46114</v>
      </c>
      <c r="I1694" t="s">
        <v>548</v>
      </c>
      <c r="J1694" t="s">
        <v>549</v>
      </c>
      <c r="K1694" t="s">
        <v>550</v>
      </c>
      <c r="L1694" t="s">
        <v>529</v>
      </c>
      <c r="M1694" t="s">
        <v>493</v>
      </c>
      <c r="N1694" s="166">
        <v>22.16</v>
      </c>
      <c r="O1694" t="s">
        <v>131</v>
      </c>
    </row>
    <row r="1695" spans="1:15">
      <c r="A1695" s="166" t="s">
        <v>551</v>
      </c>
      <c r="B1695" t="s">
        <v>111</v>
      </c>
      <c r="C1695" t="s">
        <v>136</v>
      </c>
      <c r="D1695" t="s">
        <v>118</v>
      </c>
      <c r="E1695" t="s">
        <v>430</v>
      </c>
      <c r="F1695" t="s">
        <v>7</v>
      </c>
      <c r="G1695" t="s">
        <v>130</v>
      </c>
      <c r="H1695" s="1">
        <v>46114</v>
      </c>
      <c r="I1695" t="s">
        <v>552</v>
      </c>
      <c r="J1695" t="s">
        <v>553</v>
      </c>
      <c r="K1695" t="s">
        <v>554</v>
      </c>
      <c r="L1695" t="s">
        <v>555</v>
      </c>
      <c r="M1695" t="s">
        <v>556</v>
      </c>
      <c r="N1695" s="166">
        <v>22.44</v>
      </c>
      <c r="O1695" t="s">
        <v>131</v>
      </c>
    </row>
    <row r="1696" spans="1:15">
      <c r="A1696" s="166" t="s">
        <v>557</v>
      </c>
      <c r="B1696" t="s">
        <v>111</v>
      </c>
      <c r="C1696" t="s">
        <v>134</v>
      </c>
      <c r="D1696" t="s">
        <v>118</v>
      </c>
      <c r="E1696" t="s">
        <v>558</v>
      </c>
      <c r="F1696" t="s">
        <v>7</v>
      </c>
      <c r="G1696" t="s">
        <v>130</v>
      </c>
      <c r="H1696" s="1">
        <v>46114</v>
      </c>
      <c r="I1696" t="s">
        <v>559</v>
      </c>
      <c r="J1696" t="s">
        <v>560</v>
      </c>
      <c r="K1696" t="s">
        <v>206</v>
      </c>
      <c r="L1696" t="s">
        <v>174</v>
      </c>
      <c r="M1696" t="s">
        <v>561</v>
      </c>
      <c r="N1696" s="166">
        <v>21.98</v>
      </c>
      <c r="O1696" t="s">
        <v>131</v>
      </c>
    </row>
    <row r="1697" spans="1:15">
      <c r="A1697" s="166" t="s">
        <v>562</v>
      </c>
      <c r="B1697" t="s">
        <v>111</v>
      </c>
      <c r="C1697" t="s">
        <v>136</v>
      </c>
      <c r="D1697" t="s">
        <v>118</v>
      </c>
      <c r="E1697" t="s">
        <v>558</v>
      </c>
      <c r="F1697" t="s">
        <v>7</v>
      </c>
      <c r="G1697" t="s">
        <v>130</v>
      </c>
      <c r="H1697" s="1">
        <v>46114</v>
      </c>
      <c r="I1697" t="s">
        <v>563</v>
      </c>
      <c r="J1697" t="s">
        <v>564</v>
      </c>
      <c r="K1697" t="s">
        <v>438</v>
      </c>
      <c r="L1697" t="s">
        <v>565</v>
      </c>
      <c r="M1697" t="s">
        <v>471</v>
      </c>
      <c r="N1697" s="166">
        <v>22.04</v>
      </c>
      <c r="O1697" t="s">
        <v>131</v>
      </c>
    </row>
    <row r="1698" spans="1:15">
      <c r="A1698" s="166" t="s">
        <v>566</v>
      </c>
      <c r="B1698" t="s">
        <v>111</v>
      </c>
      <c r="C1698" t="s">
        <v>133</v>
      </c>
      <c r="D1698" t="s">
        <v>118</v>
      </c>
      <c r="E1698" t="s">
        <v>558</v>
      </c>
      <c r="F1698" t="s">
        <v>7</v>
      </c>
      <c r="G1698" t="s">
        <v>130</v>
      </c>
      <c r="H1698" s="1">
        <v>46114</v>
      </c>
      <c r="I1698" t="s">
        <v>567</v>
      </c>
      <c r="J1698" t="s">
        <v>568</v>
      </c>
      <c r="K1698" t="s">
        <v>475</v>
      </c>
      <c r="L1698" t="s">
        <v>449</v>
      </c>
      <c r="M1698" t="s">
        <v>569</v>
      </c>
      <c r="N1698" s="166">
        <v>21.7</v>
      </c>
      <c r="O1698" t="s">
        <v>131</v>
      </c>
    </row>
    <row r="1699" spans="1:15">
      <c r="A1699" s="166" t="s">
        <v>570</v>
      </c>
      <c r="B1699" t="s">
        <v>111</v>
      </c>
      <c r="C1699" t="s">
        <v>136</v>
      </c>
      <c r="D1699" t="s">
        <v>118</v>
      </c>
      <c r="E1699" t="s">
        <v>558</v>
      </c>
      <c r="F1699" t="s">
        <v>7</v>
      </c>
      <c r="G1699" t="s">
        <v>130</v>
      </c>
      <c r="H1699" s="1">
        <v>46114</v>
      </c>
      <c r="I1699" t="s">
        <v>571</v>
      </c>
      <c r="J1699" t="s">
        <v>572</v>
      </c>
      <c r="K1699" t="s">
        <v>573</v>
      </c>
      <c r="L1699" t="s">
        <v>574</v>
      </c>
      <c r="M1699" t="s">
        <v>575</v>
      </c>
      <c r="N1699" s="166">
        <v>21.48</v>
      </c>
      <c r="O1699" t="s">
        <v>131</v>
      </c>
    </row>
    <row r="1700" spans="1:15">
      <c r="A1700" s="166" t="s">
        <v>576</v>
      </c>
      <c r="B1700" t="s">
        <v>111</v>
      </c>
      <c r="C1700" t="s">
        <v>134</v>
      </c>
      <c r="D1700" t="s">
        <v>118</v>
      </c>
      <c r="E1700" t="s">
        <v>558</v>
      </c>
      <c r="F1700" t="s">
        <v>7</v>
      </c>
      <c r="G1700" t="s">
        <v>130</v>
      </c>
      <c r="H1700" s="1">
        <v>46114</v>
      </c>
      <c r="I1700" t="s">
        <v>577</v>
      </c>
      <c r="J1700" t="s">
        <v>578</v>
      </c>
      <c r="K1700" t="s">
        <v>210</v>
      </c>
      <c r="L1700" t="s">
        <v>143</v>
      </c>
      <c r="M1700" t="s">
        <v>579</v>
      </c>
      <c r="N1700" s="166">
        <v>21.22</v>
      </c>
      <c r="O1700" t="s">
        <v>131</v>
      </c>
    </row>
    <row r="1701" spans="1:15">
      <c r="A1701" s="166" t="s">
        <v>580</v>
      </c>
      <c r="B1701" t="s">
        <v>111</v>
      </c>
      <c r="C1701" t="s">
        <v>133</v>
      </c>
      <c r="D1701" t="s">
        <v>118</v>
      </c>
      <c r="E1701" t="s">
        <v>558</v>
      </c>
      <c r="F1701" t="s">
        <v>7</v>
      </c>
      <c r="G1701" t="s">
        <v>130</v>
      </c>
      <c r="H1701" s="1">
        <v>46114</v>
      </c>
      <c r="I1701" t="s">
        <v>581</v>
      </c>
      <c r="J1701" t="s">
        <v>582</v>
      </c>
      <c r="K1701" t="s">
        <v>583</v>
      </c>
      <c r="L1701" t="s">
        <v>584</v>
      </c>
      <c r="M1701" t="s">
        <v>585</v>
      </c>
      <c r="N1701" s="166">
        <v>24.88</v>
      </c>
      <c r="O1701" t="s">
        <v>131</v>
      </c>
    </row>
    <row r="1702" spans="1:15">
      <c r="A1702" s="166" t="s">
        <v>586</v>
      </c>
      <c r="B1702" t="s">
        <v>111</v>
      </c>
      <c r="C1702" t="s">
        <v>136</v>
      </c>
      <c r="D1702" t="s">
        <v>118</v>
      </c>
      <c r="E1702" t="s">
        <v>558</v>
      </c>
      <c r="F1702" t="s">
        <v>7</v>
      </c>
      <c r="G1702" t="s">
        <v>130</v>
      </c>
      <c r="H1702" s="1">
        <v>46114</v>
      </c>
      <c r="I1702" t="s">
        <v>587</v>
      </c>
      <c r="J1702" t="s">
        <v>588</v>
      </c>
      <c r="K1702" t="s">
        <v>589</v>
      </c>
      <c r="L1702" t="s">
        <v>590</v>
      </c>
      <c r="M1702" t="s">
        <v>591</v>
      </c>
      <c r="N1702" s="166">
        <v>22.92</v>
      </c>
      <c r="O1702" t="s">
        <v>131</v>
      </c>
    </row>
    <row r="1703" spans="1:15">
      <c r="A1703" s="166" t="s">
        <v>592</v>
      </c>
      <c r="B1703" t="s">
        <v>111</v>
      </c>
      <c r="C1703" t="s">
        <v>134</v>
      </c>
      <c r="D1703" t="s">
        <v>118</v>
      </c>
      <c r="E1703" t="s">
        <v>558</v>
      </c>
      <c r="F1703" t="s">
        <v>7</v>
      </c>
      <c r="G1703" t="s">
        <v>130</v>
      </c>
      <c r="H1703" s="1">
        <v>46114</v>
      </c>
      <c r="I1703" t="s">
        <v>593</v>
      </c>
      <c r="J1703" t="s">
        <v>594</v>
      </c>
      <c r="K1703" t="s">
        <v>595</v>
      </c>
      <c r="L1703" t="s">
        <v>143</v>
      </c>
      <c r="M1703" t="s">
        <v>596</v>
      </c>
      <c r="N1703" s="166">
        <v>20.36</v>
      </c>
      <c r="O1703" t="s">
        <v>131</v>
      </c>
    </row>
    <row r="1704" spans="1:15">
      <c r="A1704" s="166" t="s">
        <v>597</v>
      </c>
      <c r="B1704" t="s">
        <v>111</v>
      </c>
      <c r="C1704" t="s">
        <v>133</v>
      </c>
      <c r="D1704" t="s">
        <v>118</v>
      </c>
      <c r="E1704" t="s">
        <v>558</v>
      </c>
      <c r="F1704" t="s">
        <v>7</v>
      </c>
      <c r="G1704" t="s">
        <v>130</v>
      </c>
      <c r="H1704" s="1">
        <v>46114</v>
      </c>
      <c r="I1704" t="s">
        <v>598</v>
      </c>
      <c r="J1704" t="s">
        <v>599</v>
      </c>
      <c r="K1704" t="s">
        <v>600</v>
      </c>
      <c r="L1704" t="s">
        <v>529</v>
      </c>
      <c r="M1704" t="s">
        <v>601</v>
      </c>
      <c r="N1704" s="166">
        <v>21.46</v>
      </c>
      <c r="O1704" t="s">
        <v>131</v>
      </c>
    </row>
    <row r="1705" spans="1:15">
      <c r="A1705" s="166" t="s">
        <v>8981</v>
      </c>
      <c r="B1705" t="s">
        <v>111</v>
      </c>
      <c r="C1705" t="s">
        <v>2424</v>
      </c>
      <c r="D1705" t="s">
        <v>118</v>
      </c>
      <c r="E1705" t="s">
        <v>2618</v>
      </c>
      <c r="F1705" t="s">
        <v>6</v>
      </c>
      <c r="G1705" t="s">
        <v>130</v>
      </c>
      <c r="H1705" s="1">
        <v>46132</v>
      </c>
      <c r="I1705" t="s">
        <v>8982</v>
      </c>
      <c r="J1705" t="s">
        <v>8983</v>
      </c>
      <c r="K1705" t="s">
        <v>554</v>
      </c>
      <c r="L1705" t="s">
        <v>2572</v>
      </c>
      <c r="M1705" t="s">
        <v>1237</v>
      </c>
      <c r="N1705" s="166">
        <v>20.059999999999999</v>
      </c>
      <c r="O1705" t="s">
        <v>131</v>
      </c>
    </row>
    <row r="1706" spans="1:15">
      <c r="A1706" s="166" t="s">
        <v>8984</v>
      </c>
      <c r="B1706" t="s">
        <v>111</v>
      </c>
      <c r="C1706" t="s">
        <v>134</v>
      </c>
      <c r="D1706" t="s">
        <v>118</v>
      </c>
      <c r="E1706" t="s">
        <v>2618</v>
      </c>
      <c r="F1706" t="s">
        <v>6</v>
      </c>
      <c r="G1706" t="s">
        <v>130</v>
      </c>
      <c r="H1706" s="1">
        <v>46132</v>
      </c>
      <c r="I1706" t="s">
        <v>8985</v>
      </c>
      <c r="J1706" t="s">
        <v>8986</v>
      </c>
      <c r="K1706" t="s">
        <v>519</v>
      </c>
      <c r="L1706" t="s">
        <v>720</v>
      </c>
      <c r="M1706" t="s">
        <v>209</v>
      </c>
      <c r="N1706" s="166">
        <v>23.96</v>
      </c>
      <c r="O1706" t="s">
        <v>131</v>
      </c>
    </row>
    <row r="1707" spans="1:15">
      <c r="A1707" s="166" t="s">
        <v>8987</v>
      </c>
      <c r="B1707" t="s">
        <v>111</v>
      </c>
      <c r="C1707" t="s">
        <v>406</v>
      </c>
      <c r="D1707" t="s">
        <v>118</v>
      </c>
      <c r="E1707" t="s">
        <v>2618</v>
      </c>
      <c r="F1707" t="s">
        <v>6</v>
      </c>
      <c r="G1707" t="s">
        <v>130</v>
      </c>
      <c r="H1707" s="1">
        <v>46132</v>
      </c>
      <c r="I1707" t="s">
        <v>8988</v>
      </c>
      <c r="J1707" t="s">
        <v>8989</v>
      </c>
      <c r="K1707" t="s">
        <v>4406</v>
      </c>
      <c r="L1707" t="s">
        <v>622</v>
      </c>
      <c r="M1707" t="s">
        <v>3748</v>
      </c>
      <c r="N1707" s="166">
        <v>23.76</v>
      </c>
      <c r="O1707" t="s">
        <v>131</v>
      </c>
    </row>
    <row r="1708" spans="1:15">
      <c r="A1708" s="166" t="s">
        <v>8990</v>
      </c>
      <c r="B1708" t="s">
        <v>111</v>
      </c>
      <c r="C1708" t="s">
        <v>135</v>
      </c>
      <c r="D1708" t="s">
        <v>118</v>
      </c>
      <c r="E1708" t="s">
        <v>139</v>
      </c>
      <c r="F1708" t="s">
        <v>6</v>
      </c>
      <c r="G1708" t="s">
        <v>130</v>
      </c>
      <c r="H1708" s="1">
        <v>46132</v>
      </c>
      <c r="I1708" t="s">
        <v>8991</v>
      </c>
      <c r="J1708" t="s">
        <v>8992</v>
      </c>
      <c r="K1708" t="s">
        <v>8993</v>
      </c>
      <c r="L1708" t="s">
        <v>645</v>
      </c>
      <c r="M1708" t="s">
        <v>2238</v>
      </c>
      <c r="N1708" s="166">
        <v>29</v>
      </c>
      <c r="O1708" t="s">
        <v>131</v>
      </c>
    </row>
    <row r="1709" spans="1:15">
      <c r="A1709" s="166" t="s">
        <v>8994</v>
      </c>
      <c r="B1709" t="s">
        <v>111</v>
      </c>
      <c r="C1709" t="s">
        <v>134</v>
      </c>
      <c r="D1709" t="s">
        <v>118</v>
      </c>
      <c r="E1709" t="s">
        <v>139</v>
      </c>
      <c r="F1709" t="s">
        <v>6</v>
      </c>
      <c r="G1709" t="s">
        <v>130</v>
      </c>
      <c r="H1709" s="1">
        <v>46132</v>
      </c>
      <c r="I1709" t="s">
        <v>8995</v>
      </c>
      <c r="J1709" t="s">
        <v>8996</v>
      </c>
      <c r="K1709" t="s">
        <v>4645</v>
      </c>
      <c r="L1709" t="s">
        <v>714</v>
      </c>
      <c r="M1709" t="s">
        <v>4834</v>
      </c>
      <c r="N1709" s="166">
        <v>21.36</v>
      </c>
      <c r="O1709" t="s">
        <v>131</v>
      </c>
    </row>
    <row r="1710" spans="1:15">
      <c r="A1710" s="166" t="s">
        <v>8997</v>
      </c>
      <c r="B1710" t="s">
        <v>111</v>
      </c>
      <c r="C1710" t="s">
        <v>133</v>
      </c>
      <c r="D1710" t="s">
        <v>118</v>
      </c>
      <c r="E1710" t="s">
        <v>139</v>
      </c>
      <c r="F1710" t="s">
        <v>7</v>
      </c>
      <c r="G1710" t="s">
        <v>130</v>
      </c>
      <c r="H1710" s="1">
        <v>46132</v>
      </c>
      <c r="I1710" t="s">
        <v>8998</v>
      </c>
      <c r="J1710" t="s">
        <v>8999</v>
      </c>
      <c r="K1710" t="s">
        <v>8887</v>
      </c>
      <c r="L1710" t="s">
        <v>2090</v>
      </c>
      <c r="M1710" t="s">
        <v>1323</v>
      </c>
      <c r="N1710" s="166">
        <v>20.440000000000001</v>
      </c>
      <c r="O1710" t="s">
        <v>131</v>
      </c>
    </row>
    <row r="1711" spans="1:15">
      <c r="A1711" s="166" t="s">
        <v>9000</v>
      </c>
      <c r="B1711" t="s">
        <v>111</v>
      </c>
      <c r="C1711" t="s">
        <v>2424</v>
      </c>
      <c r="D1711" t="s">
        <v>118</v>
      </c>
      <c r="E1711" t="s">
        <v>139</v>
      </c>
      <c r="F1711" t="s">
        <v>7</v>
      </c>
      <c r="G1711" t="s">
        <v>130</v>
      </c>
      <c r="H1711" s="1">
        <v>46132</v>
      </c>
      <c r="I1711" t="s">
        <v>9001</v>
      </c>
      <c r="J1711" t="s">
        <v>9002</v>
      </c>
      <c r="K1711" t="s">
        <v>4388</v>
      </c>
      <c r="L1711" t="s">
        <v>3152</v>
      </c>
      <c r="M1711" t="s">
        <v>1701</v>
      </c>
      <c r="N1711" s="166">
        <v>21.14</v>
      </c>
      <c r="O1711" t="s">
        <v>131</v>
      </c>
    </row>
    <row r="1712" spans="1:15">
      <c r="A1712" s="166" t="s">
        <v>9003</v>
      </c>
      <c r="B1712" t="s">
        <v>111</v>
      </c>
      <c r="C1712" t="s">
        <v>406</v>
      </c>
      <c r="D1712" t="s">
        <v>118</v>
      </c>
      <c r="E1712" t="s">
        <v>139</v>
      </c>
      <c r="F1712" t="s">
        <v>7</v>
      </c>
      <c r="G1712" t="s">
        <v>130</v>
      </c>
      <c r="H1712" s="1">
        <v>46132</v>
      </c>
      <c r="I1712" t="s">
        <v>9004</v>
      </c>
      <c r="J1712" t="s">
        <v>9005</v>
      </c>
      <c r="K1712" t="s">
        <v>1844</v>
      </c>
      <c r="L1712" t="s">
        <v>772</v>
      </c>
      <c r="M1712" t="s">
        <v>2067</v>
      </c>
      <c r="N1712" s="166">
        <v>18.559999999999999</v>
      </c>
      <c r="O1712" t="s">
        <v>131</v>
      </c>
    </row>
    <row r="1713" spans="1:15">
      <c r="A1713" s="166" t="s">
        <v>9006</v>
      </c>
      <c r="B1713" t="s">
        <v>111</v>
      </c>
      <c r="C1713" t="s">
        <v>134</v>
      </c>
      <c r="D1713" t="s">
        <v>118</v>
      </c>
      <c r="E1713" t="s">
        <v>139</v>
      </c>
      <c r="F1713" t="s">
        <v>7</v>
      </c>
      <c r="G1713" t="s">
        <v>130</v>
      </c>
      <c r="H1713" s="1">
        <v>46132</v>
      </c>
      <c r="I1713" t="s">
        <v>9007</v>
      </c>
      <c r="J1713" t="s">
        <v>9008</v>
      </c>
      <c r="K1713" t="s">
        <v>514</v>
      </c>
      <c r="L1713" t="s">
        <v>831</v>
      </c>
      <c r="M1713" t="s">
        <v>1504</v>
      </c>
      <c r="N1713" s="166">
        <v>20.84</v>
      </c>
      <c r="O1713" t="s">
        <v>131</v>
      </c>
    </row>
    <row r="1714" spans="1:15">
      <c r="A1714" s="166" t="s">
        <v>9009</v>
      </c>
      <c r="B1714" t="s">
        <v>111</v>
      </c>
      <c r="C1714" t="s">
        <v>133</v>
      </c>
      <c r="D1714" t="s">
        <v>118</v>
      </c>
      <c r="E1714" t="s">
        <v>139</v>
      </c>
      <c r="F1714" t="s">
        <v>7</v>
      </c>
      <c r="G1714" t="s">
        <v>130</v>
      </c>
      <c r="H1714" s="1">
        <v>46132</v>
      </c>
      <c r="I1714" t="s">
        <v>9010</v>
      </c>
      <c r="J1714" t="s">
        <v>9011</v>
      </c>
      <c r="K1714" t="s">
        <v>2225</v>
      </c>
      <c r="L1714" t="s">
        <v>2549</v>
      </c>
      <c r="M1714" t="s">
        <v>5446</v>
      </c>
      <c r="N1714" s="166">
        <v>25.02</v>
      </c>
      <c r="O1714" t="s">
        <v>131</v>
      </c>
    </row>
    <row r="1715" spans="1:15">
      <c r="A1715" s="166" t="s">
        <v>9012</v>
      </c>
      <c r="B1715" t="s">
        <v>111</v>
      </c>
      <c r="C1715" t="s">
        <v>406</v>
      </c>
      <c r="D1715" t="s">
        <v>118</v>
      </c>
      <c r="E1715" t="s">
        <v>139</v>
      </c>
      <c r="F1715" t="s">
        <v>7</v>
      </c>
      <c r="G1715" t="s">
        <v>130</v>
      </c>
      <c r="H1715" s="1">
        <v>46132</v>
      </c>
      <c r="I1715" t="s">
        <v>9013</v>
      </c>
      <c r="J1715" t="s">
        <v>9014</v>
      </c>
      <c r="K1715" t="s">
        <v>3133</v>
      </c>
      <c r="L1715" t="s">
        <v>650</v>
      </c>
      <c r="M1715" t="s">
        <v>434</v>
      </c>
      <c r="N1715" s="166">
        <v>21.6</v>
      </c>
      <c r="O1715" t="s">
        <v>131</v>
      </c>
    </row>
    <row r="1716" spans="1:15">
      <c r="A1716" s="166" t="s">
        <v>9015</v>
      </c>
      <c r="B1716" t="s">
        <v>111</v>
      </c>
      <c r="C1716" t="s">
        <v>134</v>
      </c>
      <c r="D1716" t="s">
        <v>118</v>
      </c>
      <c r="E1716" t="s">
        <v>139</v>
      </c>
      <c r="F1716" t="s">
        <v>7</v>
      </c>
      <c r="G1716" t="s">
        <v>130</v>
      </c>
      <c r="H1716" s="1">
        <v>46132</v>
      </c>
      <c r="I1716" t="s">
        <v>9016</v>
      </c>
      <c r="J1716" t="s">
        <v>9017</v>
      </c>
      <c r="K1716" t="s">
        <v>3627</v>
      </c>
      <c r="L1716" t="s">
        <v>720</v>
      </c>
      <c r="M1716" t="s">
        <v>3219</v>
      </c>
      <c r="N1716" s="166">
        <v>24.86</v>
      </c>
      <c r="O1716" t="s">
        <v>131</v>
      </c>
    </row>
    <row r="1717" spans="1:15">
      <c r="A1717" s="166" t="s">
        <v>9018</v>
      </c>
      <c r="B1717" t="s">
        <v>111</v>
      </c>
      <c r="C1717" t="s">
        <v>133</v>
      </c>
      <c r="D1717" t="s">
        <v>118</v>
      </c>
      <c r="E1717" t="s">
        <v>139</v>
      </c>
      <c r="F1717" t="s">
        <v>7</v>
      </c>
      <c r="G1717" t="s">
        <v>130</v>
      </c>
      <c r="H1717" s="1">
        <v>46132</v>
      </c>
      <c r="I1717" t="s">
        <v>9019</v>
      </c>
      <c r="J1717" t="s">
        <v>9020</v>
      </c>
      <c r="K1717" t="s">
        <v>4119</v>
      </c>
      <c r="L1717" t="s">
        <v>3152</v>
      </c>
      <c r="M1717" t="s">
        <v>1587</v>
      </c>
      <c r="N1717" s="166">
        <v>20.5</v>
      </c>
      <c r="O1717" t="s">
        <v>131</v>
      </c>
    </row>
    <row r="1718" spans="1:15">
      <c r="A1718" s="166" t="s">
        <v>9021</v>
      </c>
      <c r="B1718" t="s">
        <v>111</v>
      </c>
      <c r="C1718" t="s">
        <v>406</v>
      </c>
      <c r="D1718" t="s">
        <v>118</v>
      </c>
      <c r="E1718" t="s">
        <v>139</v>
      </c>
      <c r="F1718" t="s">
        <v>7</v>
      </c>
      <c r="G1718" t="s">
        <v>130</v>
      </c>
      <c r="H1718" s="1">
        <v>46132</v>
      </c>
      <c r="I1718" t="s">
        <v>9022</v>
      </c>
      <c r="J1718" t="s">
        <v>9023</v>
      </c>
      <c r="K1718" t="s">
        <v>671</v>
      </c>
      <c r="L1718" t="s">
        <v>1076</v>
      </c>
      <c r="M1718" t="s">
        <v>2975</v>
      </c>
      <c r="N1718" s="166">
        <v>24.06</v>
      </c>
      <c r="O1718" t="s">
        <v>131</v>
      </c>
    </row>
    <row r="1719" spans="1:15">
      <c r="A1719" s="166" t="s">
        <v>9024</v>
      </c>
      <c r="B1719" t="s">
        <v>111</v>
      </c>
      <c r="C1719" t="s">
        <v>134</v>
      </c>
      <c r="D1719" t="s">
        <v>116</v>
      </c>
      <c r="E1719" t="s">
        <v>418</v>
      </c>
      <c r="F1719" t="s">
        <v>7</v>
      </c>
      <c r="G1719" t="s">
        <v>130</v>
      </c>
      <c r="H1719" s="1">
        <v>46132</v>
      </c>
      <c r="I1719" t="s">
        <v>9025</v>
      </c>
      <c r="J1719" t="s">
        <v>9026</v>
      </c>
      <c r="K1719" t="s">
        <v>2712</v>
      </c>
      <c r="L1719" t="s">
        <v>974</v>
      </c>
      <c r="M1719" t="s">
        <v>251</v>
      </c>
      <c r="N1719" s="166">
        <v>26.7</v>
      </c>
      <c r="O1719" t="s">
        <v>131</v>
      </c>
    </row>
    <row r="1720" spans="1:15">
      <c r="A1720" s="166" t="s">
        <v>9027</v>
      </c>
      <c r="B1720" t="s">
        <v>111</v>
      </c>
      <c r="C1720" t="s">
        <v>133</v>
      </c>
      <c r="D1720" t="s">
        <v>118</v>
      </c>
      <c r="E1720" t="s">
        <v>139</v>
      </c>
      <c r="F1720" t="s">
        <v>7</v>
      </c>
      <c r="G1720" t="s">
        <v>130</v>
      </c>
      <c r="H1720" s="1">
        <v>46132</v>
      </c>
      <c r="I1720" t="s">
        <v>9028</v>
      </c>
      <c r="J1720" t="s">
        <v>9029</v>
      </c>
      <c r="K1720" t="s">
        <v>9030</v>
      </c>
      <c r="L1720" t="s">
        <v>3192</v>
      </c>
      <c r="M1720" t="s">
        <v>5141</v>
      </c>
      <c r="N1720" s="166">
        <v>22.88</v>
      </c>
      <c r="O1720" t="s">
        <v>131</v>
      </c>
    </row>
    <row r="1721" spans="1:15">
      <c r="A1721" s="166" t="s">
        <v>9031</v>
      </c>
      <c r="B1721" t="s">
        <v>111</v>
      </c>
      <c r="C1721" t="s">
        <v>406</v>
      </c>
      <c r="D1721" t="s">
        <v>118</v>
      </c>
      <c r="E1721" t="s">
        <v>139</v>
      </c>
      <c r="F1721" t="s">
        <v>7</v>
      </c>
      <c r="G1721" t="s">
        <v>130</v>
      </c>
      <c r="H1721" s="1">
        <v>46132</v>
      </c>
      <c r="I1721" t="s">
        <v>9032</v>
      </c>
      <c r="J1721" t="s">
        <v>9033</v>
      </c>
      <c r="K1721" t="s">
        <v>173</v>
      </c>
      <c r="L1721" t="s">
        <v>1076</v>
      </c>
      <c r="M1721" t="s">
        <v>3723</v>
      </c>
      <c r="N1721" s="166">
        <v>24.16</v>
      </c>
      <c r="O1721" t="s">
        <v>131</v>
      </c>
    </row>
    <row r="1722" spans="1:15">
      <c r="A1722" s="166" t="s">
        <v>9034</v>
      </c>
      <c r="B1722" t="s">
        <v>111</v>
      </c>
      <c r="C1722" t="s">
        <v>133</v>
      </c>
      <c r="D1722" t="s">
        <v>116</v>
      </c>
      <c r="E1722" t="s">
        <v>418</v>
      </c>
      <c r="F1722" t="s">
        <v>7</v>
      </c>
      <c r="G1722" t="s">
        <v>130</v>
      </c>
      <c r="H1722" s="1">
        <v>46132</v>
      </c>
      <c r="I1722" t="s">
        <v>9035</v>
      </c>
      <c r="J1722" t="s">
        <v>9036</v>
      </c>
      <c r="K1722" t="s">
        <v>9037</v>
      </c>
      <c r="L1722" t="s">
        <v>3751</v>
      </c>
      <c r="M1722" t="s">
        <v>7263</v>
      </c>
      <c r="N1722" s="166">
        <v>27.86</v>
      </c>
      <c r="O1722" t="s">
        <v>131</v>
      </c>
    </row>
    <row r="1723" spans="1:15">
      <c r="A1723" s="166" t="s">
        <v>9038</v>
      </c>
      <c r="B1723" t="s">
        <v>111</v>
      </c>
      <c r="C1723" t="s">
        <v>135</v>
      </c>
      <c r="D1723" t="s">
        <v>118</v>
      </c>
      <c r="E1723" t="s">
        <v>139</v>
      </c>
      <c r="F1723" t="s">
        <v>7</v>
      </c>
      <c r="G1723" t="s">
        <v>130</v>
      </c>
      <c r="H1723" s="1">
        <v>46132</v>
      </c>
      <c r="I1723" t="s">
        <v>9039</v>
      </c>
      <c r="J1723" t="s">
        <v>9040</v>
      </c>
      <c r="K1723" t="s">
        <v>1880</v>
      </c>
      <c r="L1723" t="s">
        <v>144</v>
      </c>
      <c r="M1723" t="s">
        <v>541</v>
      </c>
      <c r="N1723" s="166">
        <v>21.18</v>
      </c>
      <c r="O1723" t="s">
        <v>131</v>
      </c>
    </row>
    <row r="1724" spans="1:15">
      <c r="A1724" s="166" t="s">
        <v>9041</v>
      </c>
      <c r="B1724" t="s">
        <v>111</v>
      </c>
      <c r="C1724" t="s">
        <v>134</v>
      </c>
      <c r="D1724" t="s">
        <v>116</v>
      </c>
      <c r="E1724" t="s">
        <v>418</v>
      </c>
      <c r="F1724" t="s">
        <v>7</v>
      </c>
      <c r="G1724" t="s">
        <v>130</v>
      </c>
      <c r="H1724" s="1">
        <v>46132</v>
      </c>
      <c r="I1724" t="s">
        <v>9042</v>
      </c>
      <c r="J1724" t="s">
        <v>9043</v>
      </c>
      <c r="K1724" t="s">
        <v>2367</v>
      </c>
      <c r="L1724" t="s">
        <v>144</v>
      </c>
      <c r="M1724" t="s">
        <v>575</v>
      </c>
      <c r="N1724" s="166">
        <v>21.48</v>
      </c>
      <c r="O1724" t="s">
        <v>131</v>
      </c>
    </row>
    <row r="1725" spans="1:15">
      <c r="A1725" s="166" t="s">
        <v>9044</v>
      </c>
      <c r="B1725" t="s">
        <v>111</v>
      </c>
      <c r="C1725" t="s">
        <v>406</v>
      </c>
      <c r="D1725" t="s">
        <v>118</v>
      </c>
      <c r="E1725" t="s">
        <v>139</v>
      </c>
      <c r="F1725" t="s">
        <v>7</v>
      </c>
      <c r="G1725" t="s">
        <v>130</v>
      </c>
      <c r="H1725" s="1">
        <v>46132</v>
      </c>
      <c r="I1725" t="s">
        <v>9045</v>
      </c>
      <c r="J1725" t="s">
        <v>9046</v>
      </c>
      <c r="K1725" t="s">
        <v>6923</v>
      </c>
      <c r="L1725" t="s">
        <v>1662</v>
      </c>
      <c r="M1725" t="s">
        <v>3076</v>
      </c>
      <c r="N1725" s="166">
        <v>23.42</v>
      </c>
      <c r="O1725" t="s">
        <v>131</v>
      </c>
    </row>
    <row r="1726" spans="1:15">
      <c r="A1726" s="166" t="s">
        <v>9047</v>
      </c>
      <c r="B1726" t="s">
        <v>111</v>
      </c>
      <c r="C1726" t="s">
        <v>133</v>
      </c>
      <c r="D1726" t="s">
        <v>116</v>
      </c>
      <c r="E1726" t="s">
        <v>418</v>
      </c>
      <c r="F1726" t="s">
        <v>7</v>
      </c>
      <c r="G1726" t="s">
        <v>130</v>
      </c>
      <c r="H1726" s="1">
        <v>46132</v>
      </c>
      <c r="I1726" t="s">
        <v>9048</v>
      </c>
      <c r="J1726" t="s">
        <v>9049</v>
      </c>
      <c r="K1726" t="s">
        <v>671</v>
      </c>
      <c r="L1726" t="s">
        <v>1823</v>
      </c>
      <c r="M1726" t="s">
        <v>3631</v>
      </c>
      <c r="N1726" s="166">
        <v>22.52</v>
      </c>
      <c r="O1726" t="s">
        <v>131</v>
      </c>
    </row>
    <row r="1727" spans="1:15">
      <c r="A1727" s="166" t="s">
        <v>9050</v>
      </c>
      <c r="B1727" t="s">
        <v>111</v>
      </c>
      <c r="C1727" t="s">
        <v>135</v>
      </c>
      <c r="D1727" t="s">
        <v>118</v>
      </c>
      <c r="E1727" t="s">
        <v>139</v>
      </c>
      <c r="F1727" t="s">
        <v>6</v>
      </c>
      <c r="G1727" t="s">
        <v>130</v>
      </c>
      <c r="H1727" s="1">
        <v>46132</v>
      </c>
      <c r="I1727" t="s">
        <v>9051</v>
      </c>
      <c r="J1727" t="s">
        <v>9052</v>
      </c>
      <c r="K1727" t="s">
        <v>735</v>
      </c>
      <c r="L1727" t="s">
        <v>208</v>
      </c>
      <c r="M1727" t="s">
        <v>1182</v>
      </c>
      <c r="N1727" s="166">
        <v>23.18</v>
      </c>
      <c r="O1727" t="s">
        <v>131</v>
      </c>
    </row>
    <row r="1728" spans="1:15">
      <c r="A1728" s="166" t="s">
        <v>9053</v>
      </c>
      <c r="B1728" t="s">
        <v>111</v>
      </c>
      <c r="C1728" t="s">
        <v>134</v>
      </c>
      <c r="D1728" t="s">
        <v>116</v>
      </c>
      <c r="E1728" t="s">
        <v>418</v>
      </c>
      <c r="F1728" t="s">
        <v>7</v>
      </c>
      <c r="G1728" t="s">
        <v>130</v>
      </c>
      <c r="H1728" s="1">
        <v>46132</v>
      </c>
      <c r="I1728" t="s">
        <v>9054</v>
      </c>
      <c r="J1728" t="s">
        <v>9055</v>
      </c>
      <c r="K1728" t="s">
        <v>6268</v>
      </c>
      <c r="L1728" t="s">
        <v>1072</v>
      </c>
      <c r="M1728" t="s">
        <v>1323</v>
      </c>
      <c r="N1728" s="166">
        <v>20.440000000000001</v>
      </c>
      <c r="O1728" t="s">
        <v>131</v>
      </c>
    </row>
    <row r="1729" spans="1:15">
      <c r="A1729" s="166" t="s">
        <v>9056</v>
      </c>
      <c r="B1729" t="s">
        <v>111</v>
      </c>
      <c r="C1729" t="s">
        <v>136</v>
      </c>
      <c r="D1729" t="s">
        <v>118</v>
      </c>
      <c r="E1729" t="s">
        <v>139</v>
      </c>
      <c r="F1729" t="s">
        <v>6</v>
      </c>
      <c r="G1729" t="s">
        <v>130</v>
      </c>
      <c r="H1729" s="1">
        <v>46132</v>
      </c>
      <c r="I1729" t="s">
        <v>9057</v>
      </c>
      <c r="J1729" t="s">
        <v>9058</v>
      </c>
      <c r="K1729" t="s">
        <v>161</v>
      </c>
      <c r="L1729" t="s">
        <v>1081</v>
      </c>
      <c r="M1729" t="s">
        <v>1452</v>
      </c>
      <c r="N1729" s="166">
        <v>22.96</v>
      </c>
      <c r="O1729" t="s">
        <v>131</v>
      </c>
    </row>
    <row r="1730" spans="1:15">
      <c r="A1730" s="166" t="s">
        <v>9059</v>
      </c>
      <c r="B1730" t="s">
        <v>111</v>
      </c>
      <c r="C1730" t="s">
        <v>406</v>
      </c>
      <c r="D1730" t="s">
        <v>118</v>
      </c>
      <c r="E1730" t="s">
        <v>139</v>
      </c>
      <c r="F1730" t="s">
        <v>6</v>
      </c>
      <c r="G1730" t="s">
        <v>130</v>
      </c>
      <c r="H1730" s="1">
        <v>46132</v>
      </c>
      <c r="I1730" t="s">
        <v>9060</v>
      </c>
      <c r="J1730" t="s">
        <v>9061</v>
      </c>
      <c r="K1730" t="s">
        <v>2203</v>
      </c>
      <c r="L1730" t="s">
        <v>2272</v>
      </c>
      <c r="M1730" t="s">
        <v>896</v>
      </c>
      <c r="N1730" s="166">
        <v>25.6</v>
      </c>
      <c r="O1730" t="s">
        <v>131</v>
      </c>
    </row>
    <row r="1731" spans="1:15">
      <c r="A1731" s="166" t="s">
        <v>9062</v>
      </c>
      <c r="B1731" t="s">
        <v>111</v>
      </c>
      <c r="C1731" t="s">
        <v>133</v>
      </c>
      <c r="D1731" t="s">
        <v>118</v>
      </c>
      <c r="E1731" t="s">
        <v>139</v>
      </c>
      <c r="F1731" t="s">
        <v>6</v>
      </c>
      <c r="G1731" t="s">
        <v>130</v>
      </c>
      <c r="H1731" s="1">
        <v>46132</v>
      </c>
      <c r="I1731" t="s">
        <v>9063</v>
      </c>
      <c r="J1731" t="s">
        <v>9064</v>
      </c>
      <c r="K1731" t="s">
        <v>9065</v>
      </c>
      <c r="L1731" t="s">
        <v>3287</v>
      </c>
      <c r="M1731" t="s">
        <v>4801</v>
      </c>
      <c r="N1731" s="166">
        <v>26.14</v>
      </c>
      <c r="O1731" t="s">
        <v>131</v>
      </c>
    </row>
    <row r="1732" spans="1:15">
      <c r="A1732" s="166" t="s">
        <v>9066</v>
      </c>
      <c r="B1732" t="s">
        <v>111</v>
      </c>
      <c r="C1732" t="s">
        <v>134</v>
      </c>
      <c r="D1732" t="s">
        <v>118</v>
      </c>
      <c r="E1732" t="s">
        <v>139</v>
      </c>
      <c r="F1732" t="s">
        <v>6</v>
      </c>
      <c r="G1732" t="s">
        <v>130</v>
      </c>
      <c r="H1732" s="1">
        <v>46132</v>
      </c>
      <c r="I1732" t="s">
        <v>9067</v>
      </c>
      <c r="J1732" t="s">
        <v>9068</v>
      </c>
      <c r="K1732" t="s">
        <v>2830</v>
      </c>
      <c r="L1732" t="s">
        <v>622</v>
      </c>
      <c r="M1732" t="s">
        <v>9069</v>
      </c>
      <c r="N1732" s="166">
        <v>26.68</v>
      </c>
      <c r="O1732" t="s">
        <v>131</v>
      </c>
    </row>
    <row r="1733" spans="1:15">
      <c r="A1733" s="166" t="s">
        <v>9070</v>
      </c>
      <c r="B1733" t="s">
        <v>111</v>
      </c>
      <c r="C1733" t="s">
        <v>406</v>
      </c>
      <c r="D1733" t="s">
        <v>118</v>
      </c>
      <c r="E1733" t="s">
        <v>139</v>
      </c>
      <c r="F1733" t="s">
        <v>6</v>
      </c>
      <c r="G1733" t="s">
        <v>130</v>
      </c>
      <c r="H1733" s="1">
        <v>46132</v>
      </c>
      <c r="I1733" t="s">
        <v>9071</v>
      </c>
      <c r="J1733" t="s">
        <v>9072</v>
      </c>
      <c r="K1733" t="s">
        <v>231</v>
      </c>
      <c r="L1733" t="s">
        <v>687</v>
      </c>
      <c r="M1733" t="s">
        <v>201</v>
      </c>
      <c r="N1733" s="166">
        <v>24.32</v>
      </c>
      <c r="O1733" t="s">
        <v>131</v>
      </c>
    </row>
    <row r="1734" spans="1:15">
      <c r="A1734" s="166" t="s">
        <v>9073</v>
      </c>
      <c r="B1734" t="s">
        <v>111</v>
      </c>
      <c r="C1734" t="s">
        <v>133</v>
      </c>
      <c r="D1734" t="s">
        <v>118</v>
      </c>
      <c r="E1734" t="s">
        <v>139</v>
      </c>
      <c r="F1734" t="s">
        <v>6</v>
      </c>
      <c r="G1734" t="s">
        <v>130</v>
      </c>
      <c r="H1734" s="1">
        <v>46132</v>
      </c>
      <c r="I1734" t="s">
        <v>9074</v>
      </c>
      <c r="J1734" t="s">
        <v>9075</v>
      </c>
      <c r="K1734" t="s">
        <v>4740</v>
      </c>
      <c r="L1734" t="s">
        <v>3635</v>
      </c>
      <c r="M1734" t="s">
        <v>747</v>
      </c>
      <c r="N1734" s="166">
        <v>23.38</v>
      </c>
      <c r="O1734" t="s">
        <v>131</v>
      </c>
    </row>
    <row r="1735" spans="1:15">
      <c r="A1735" s="166" t="s">
        <v>9076</v>
      </c>
      <c r="B1735" t="s">
        <v>111</v>
      </c>
      <c r="C1735" t="s">
        <v>134</v>
      </c>
      <c r="D1735" t="s">
        <v>118</v>
      </c>
      <c r="E1735" t="s">
        <v>2618</v>
      </c>
      <c r="F1735" t="s">
        <v>6</v>
      </c>
      <c r="G1735" t="s">
        <v>130</v>
      </c>
      <c r="H1735" s="1">
        <v>46132</v>
      </c>
      <c r="I1735" t="s">
        <v>9077</v>
      </c>
      <c r="J1735" t="s">
        <v>9078</v>
      </c>
      <c r="K1735" t="s">
        <v>9079</v>
      </c>
      <c r="L1735" t="s">
        <v>1499</v>
      </c>
      <c r="M1735" t="s">
        <v>272</v>
      </c>
      <c r="N1735" s="166">
        <v>27.76</v>
      </c>
      <c r="O1735" t="s">
        <v>131</v>
      </c>
    </row>
    <row r="1736" spans="1:15">
      <c r="A1736" s="166" t="s">
        <v>9080</v>
      </c>
      <c r="B1736" t="s">
        <v>111</v>
      </c>
      <c r="C1736" t="s">
        <v>406</v>
      </c>
      <c r="D1736" t="s">
        <v>118</v>
      </c>
      <c r="E1736" t="s">
        <v>139</v>
      </c>
      <c r="F1736" t="s">
        <v>6</v>
      </c>
      <c r="G1736" t="s">
        <v>130</v>
      </c>
      <c r="H1736" s="1">
        <v>46132</v>
      </c>
      <c r="I1736" t="s">
        <v>9081</v>
      </c>
      <c r="J1736" t="s">
        <v>9082</v>
      </c>
      <c r="K1736" t="s">
        <v>9083</v>
      </c>
      <c r="L1736" t="s">
        <v>2336</v>
      </c>
      <c r="M1736" t="s">
        <v>2952</v>
      </c>
      <c r="N1736" s="166">
        <v>24.2</v>
      </c>
      <c r="O1736" t="s">
        <v>131</v>
      </c>
    </row>
    <row r="1737" spans="1:15">
      <c r="A1737" s="166" t="s">
        <v>9084</v>
      </c>
      <c r="B1737" t="s">
        <v>111</v>
      </c>
      <c r="C1737" t="s">
        <v>133</v>
      </c>
      <c r="D1737" t="s">
        <v>118</v>
      </c>
      <c r="E1737" t="s">
        <v>139</v>
      </c>
      <c r="F1737" t="s">
        <v>6</v>
      </c>
      <c r="G1737" t="s">
        <v>130</v>
      </c>
      <c r="H1737" s="1">
        <v>46132</v>
      </c>
      <c r="I1737" t="s">
        <v>9085</v>
      </c>
      <c r="J1737" t="s">
        <v>9086</v>
      </c>
      <c r="K1737" t="s">
        <v>9087</v>
      </c>
      <c r="L1737" t="s">
        <v>3182</v>
      </c>
      <c r="M1737" t="s">
        <v>2218</v>
      </c>
      <c r="N1737" s="166">
        <v>25.66</v>
      </c>
      <c r="O1737" t="s">
        <v>131</v>
      </c>
    </row>
    <row r="1738" spans="1:15">
      <c r="A1738" s="166" t="s">
        <v>9088</v>
      </c>
      <c r="B1738" t="s">
        <v>111</v>
      </c>
      <c r="C1738" t="s">
        <v>406</v>
      </c>
      <c r="D1738" t="s">
        <v>118</v>
      </c>
      <c r="E1738" t="s">
        <v>139</v>
      </c>
      <c r="F1738" t="s">
        <v>6</v>
      </c>
      <c r="G1738" t="s">
        <v>130</v>
      </c>
      <c r="H1738" s="1">
        <v>46132</v>
      </c>
      <c r="I1738" t="s">
        <v>9089</v>
      </c>
      <c r="J1738" t="s">
        <v>9090</v>
      </c>
      <c r="K1738" t="s">
        <v>1094</v>
      </c>
      <c r="L1738" t="s">
        <v>2639</v>
      </c>
      <c r="M1738" t="s">
        <v>185</v>
      </c>
      <c r="N1738" s="166">
        <v>20.72</v>
      </c>
      <c r="O1738" t="s">
        <v>131</v>
      </c>
    </row>
    <row r="1739" spans="1:15">
      <c r="A1739" s="166" t="s">
        <v>9091</v>
      </c>
      <c r="B1739" t="s">
        <v>111</v>
      </c>
      <c r="C1739" t="s">
        <v>133</v>
      </c>
      <c r="D1739" t="s">
        <v>118</v>
      </c>
      <c r="E1739" t="s">
        <v>2618</v>
      </c>
      <c r="F1739" t="s">
        <v>6</v>
      </c>
      <c r="G1739" t="s">
        <v>130</v>
      </c>
      <c r="H1739" s="1">
        <v>46132</v>
      </c>
      <c r="I1739" t="s">
        <v>9092</v>
      </c>
      <c r="J1739" t="s">
        <v>9093</v>
      </c>
      <c r="K1739" t="s">
        <v>9094</v>
      </c>
      <c r="L1739" t="s">
        <v>2639</v>
      </c>
      <c r="M1739" t="s">
        <v>2905</v>
      </c>
      <c r="N1739" s="166">
        <v>24.3</v>
      </c>
      <c r="O1739" t="s">
        <v>131</v>
      </c>
    </row>
    <row r="1740" spans="1:15">
      <c r="A1740" s="166" t="s">
        <v>9095</v>
      </c>
      <c r="B1740" t="s">
        <v>111</v>
      </c>
      <c r="C1740" t="s">
        <v>133</v>
      </c>
      <c r="D1740" t="s">
        <v>118</v>
      </c>
      <c r="E1740" t="s">
        <v>2618</v>
      </c>
      <c r="F1740" t="s">
        <v>6</v>
      </c>
      <c r="G1740" t="s">
        <v>130</v>
      </c>
      <c r="H1740" s="1">
        <v>46132</v>
      </c>
      <c r="I1740" t="s">
        <v>9096</v>
      </c>
      <c r="J1740" t="s">
        <v>9097</v>
      </c>
      <c r="K1740" t="s">
        <v>4312</v>
      </c>
      <c r="L1740" t="s">
        <v>2639</v>
      </c>
      <c r="M1740" t="s">
        <v>1545</v>
      </c>
      <c r="N1740" s="166">
        <v>20.68</v>
      </c>
      <c r="O1740" t="s">
        <v>131</v>
      </c>
    </row>
    <row r="1741" spans="1:15">
      <c r="A1741" s="166" t="s">
        <v>2135</v>
      </c>
      <c r="B1741" t="s">
        <v>111</v>
      </c>
      <c r="C1741" t="s">
        <v>406</v>
      </c>
      <c r="D1741" t="s">
        <v>118</v>
      </c>
      <c r="E1741" t="s">
        <v>139</v>
      </c>
      <c r="F1741" t="s">
        <v>6</v>
      </c>
      <c r="G1741" t="s">
        <v>130</v>
      </c>
      <c r="H1741" s="1">
        <v>46132</v>
      </c>
      <c r="I1741" t="s">
        <v>9098</v>
      </c>
      <c r="J1741" t="s">
        <v>9099</v>
      </c>
      <c r="K1741" t="s">
        <v>1661</v>
      </c>
      <c r="L1741" t="s">
        <v>3501</v>
      </c>
      <c r="M1741" t="s">
        <v>3722</v>
      </c>
      <c r="N1741" s="166">
        <v>18.100000000000001</v>
      </c>
      <c r="O1741" t="s">
        <v>131</v>
      </c>
    </row>
    <row r="1742" spans="1:15">
      <c r="A1742" s="166" t="s">
        <v>9100</v>
      </c>
      <c r="B1742" t="s">
        <v>111</v>
      </c>
      <c r="C1742" t="s">
        <v>136</v>
      </c>
      <c r="D1742" t="s">
        <v>118</v>
      </c>
      <c r="E1742" t="s">
        <v>2618</v>
      </c>
      <c r="F1742" t="s">
        <v>6</v>
      </c>
      <c r="G1742" t="s">
        <v>130</v>
      </c>
      <c r="H1742" s="1">
        <v>46132</v>
      </c>
      <c r="I1742" t="s">
        <v>9101</v>
      </c>
      <c r="J1742" t="s">
        <v>9102</v>
      </c>
      <c r="K1742" t="s">
        <v>583</v>
      </c>
      <c r="L1742" t="s">
        <v>180</v>
      </c>
      <c r="M1742" t="s">
        <v>202</v>
      </c>
      <c r="N1742" s="166">
        <v>23.46</v>
      </c>
      <c r="O1742" t="s">
        <v>131</v>
      </c>
    </row>
    <row r="1743" spans="1:15">
      <c r="A1743" s="166" t="s">
        <v>9103</v>
      </c>
      <c r="B1743" t="s">
        <v>111</v>
      </c>
      <c r="C1743" t="s">
        <v>134</v>
      </c>
      <c r="D1743" t="s">
        <v>118</v>
      </c>
      <c r="E1743" t="s">
        <v>2618</v>
      </c>
      <c r="F1743" t="s">
        <v>6</v>
      </c>
      <c r="G1743" t="s">
        <v>130</v>
      </c>
      <c r="H1743" s="1">
        <v>46132</v>
      </c>
      <c r="I1743" t="s">
        <v>9104</v>
      </c>
      <c r="J1743" t="s">
        <v>9105</v>
      </c>
      <c r="K1743" t="s">
        <v>3809</v>
      </c>
      <c r="L1743" t="s">
        <v>989</v>
      </c>
      <c r="M1743" t="s">
        <v>171</v>
      </c>
      <c r="N1743" s="166">
        <v>25.04</v>
      </c>
      <c r="O1743" t="s">
        <v>131</v>
      </c>
    </row>
    <row r="1744" spans="1:15">
      <c r="A1744" s="166" t="s">
        <v>9106</v>
      </c>
      <c r="B1744" t="s">
        <v>111</v>
      </c>
      <c r="C1744" t="s">
        <v>133</v>
      </c>
      <c r="D1744" t="s">
        <v>118</v>
      </c>
      <c r="E1744" t="s">
        <v>2618</v>
      </c>
      <c r="F1744" t="s">
        <v>6</v>
      </c>
      <c r="G1744" t="s">
        <v>130</v>
      </c>
      <c r="H1744" s="1">
        <v>46132</v>
      </c>
      <c r="I1744" t="s">
        <v>9107</v>
      </c>
      <c r="J1744" t="s">
        <v>9108</v>
      </c>
      <c r="K1744" t="s">
        <v>2707</v>
      </c>
      <c r="L1744" t="s">
        <v>1328</v>
      </c>
      <c r="M1744" t="s">
        <v>1494</v>
      </c>
      <c r="N1744" s="166">
        <v>21.9</v>
      </c>
      <c r="O1744" t="s">
        <v>131</v>
      </c>
    </row>
    <row r="1745" spans="1:15">
      <c r="A1745" s="166" t="s">
        <v>9109</v>
      </c>
      <c r="B1745" t="s">
        <v>111</v>
      </c>
      <c r="C1745" t="s">
        <v>406</v>
      </c>
      <c r="D1745" t="s">
        <v>118</v>
      </c>
      <c r="E1745" t="s">
        <v>2618</v>
      </c>
      <c r="F1745" t="s">
        <v>6</v>
      </c>
      <c r="G1745" t="s">
        <v>130</v>
      </c>
      <c r="H1745" s="1">
        <v>46132</v>
      </c>
      <c r="I1745" t="s">
        <v>9110</v>
      </c>
      <c r="J1745" t="s">
        <v>9111</v>
      </c>
      <c r="K1745" t="s">
        <v>534</v>
      </c>
      <c r="L1745" t="s">
        <v>907</v>
      </c>
      <c r="M1745" t="s">
        <v>186</v>
      </c>
      <c r="N1745" s="166">
        <v>23.58</v>
      </c>
      <c r="O1745" t="s">
        <v>131</v>
      </c>
    </row>
    <row r="1746" spans="1:15">
      <c r="A1746" s="166" t="s">
        <v>9112</v>
      </c>
      <c r="B1746" t="s">
        <v>111</v>
      </c>
      <c r="C1746" t="s">
        <v>136</v>
      </c>
      <c r="D1746" t="s">
        <v>118</v>
      </c>
      <c r="E1746" t="s">
        <v>2618</v>
      </c>
      <c r="F1746" t="s">
        <v>6</v>
      </c>
      <c r="G1746" t="s">
        <v>130</v>
      </c>
      <c r="H1746" s="1">
        <v>46132</v>
      </c>
      <c r="I1746" t="s">
        <v>9113</v>
      </c>
      <c r="J1746" t="s">
        <v>9114</v>
      </c>
      <c r="K1746" t="s">
        <v>1568</v>
      </c>
      <c r="L1746" t="s">
        <v>2549</v>
      </c>
      <c r="M1746" t="s">
        <v>5125</v>
      </c>
      <c r="N1746" s="166">
        <v>21.76</v>
      </c>
      <c r="O1746" t="s">
        <v>131</v>
      </c>
    </row>
    <row r="1747" spans="1:15">
      <c r="A1747" s="166" t="s">
        <v>9115</v>
      </c>
      <c r="B1747" t="s">
        <v>111</v>
      </c>
      <c r="C1747" t="s">
        <v>134</v>
      </c>
      <c r="D1747" t="s">
        <v>118</v>
      </c>
      <c r="E1747" t="s">
        <v>2618</v>
      </c>
      <c r="F1747" t="s">
        <v>6</v>
      </c>
      <c r="G1747" t="s">
        <v>130</v>
      </c>
      <c r="H1747" s="1">
        <v>46132</v>
      </c>
      <c r="I1747" t="s">
        <v>9116</v>
      </c>
      <c r="J1747" t="s">
        <v>9117</v>
      </c>
      <c r="K1747" t="s">
        <v>3303</v>
      </c>
      <c r="L1747" t="s">
        <v>529</v>
      </c>
      <c r="M1747" t="s">
        <v>1723</v>
      </c>
      <c r="N1747" s="166">
        <v>25.48</v>
      </c>
      <c r="O1747" t="s">
        <v>131</v>
      </c>
    </row>
    <row r="1748" spans="1:15">
      <c r="A1748" s="166" t="s">
        <v>9118</v>
      </c>
      <c r="B1748" t="s">
        <v>111</v>
      </c>
      <c r="C1748" t="s">
        <v>133</v>
      </c>
      <c r="D1748" t="s">
        <v>118</v>
      </c>
      <c r="E1748" t="s">
        <v>2618</v>
      </c>
      <c r="F1748" t="s">
        <v>6</v>
      </c>
      <c r="G1748" t="s">
        <v>130</v>
      </c>
      <c r="H1748" s="1">
        <v>46132</v>
      </c>
      <c r="I1748" t="s">
        <v>9119</v>
      </c>
      <c r="J1748" t="s">
        <v>9120</v>
      </c>
      <c r="K1748" t="s">
        <v>9121</v>
      </c>
      <c r="L1748" t="s">
        <v>1237</v>
      </c>
      <c r="M1748" t="s">
        <v>1623</v>
      </c>
      <c r="N1748" s="166">
        <v>23.5</v>
      </c>
      <c r="O1748" t="s">
        <v>131</v>
      </c>
    </row>
    <row r="1749" spans="1:15">
      <c r="A1749" s="166" t="s">
        <v>9122</v>
      </c>
      <c r="B1749" t="s">
        <v>111</v>
      </c>
      <c r="C1749" t="s">
        <v>406</v>
      </c>
      <c r="D1749" t="s">
        <v>118</v>
      </c>
      <c r="E1749" t="s">
        <v>2618</v>
      </c>
      <c r="F1749" t="s">
        <v>6</v>
      </c>
      <c r="G1749" t="s">
        <v>130</v>
      </c>
      <c r="H1749" s="1">
        <v>46132</v>
      </c>
      <c r="I1749" t="s">
        <v>9123</v>
      </c>
      <c r="J1749" t="s">
        <v>9124</v>
      </c>
      <c r="K1749" t="s">
        <v>2661</v>
      </c>
      <c r="L1749" t="s">
        <v>144</v>
      </c>
      <c r="M1749" t="s">
        <v>3666</v>
      </c>
      <c r="N1749" s="166">
        <v>24.12</v>
      </c>
      <c r="O1749" t="s">
        <v>131</v>
      </c>
    </row>
    <row r="1750" spans="1:15">
      <c r="A1750" s="166" t="s">
        <v>9125</v>
      </c>
      <c r="B1750" t="s">
        <v>111</v>
      </c>
      <c r="C1750" t="s">
        <v>136</v>
      </c>
      <c r="D1750" t="s">
        <v>118</v>
      </c>
      <c r="E1750" t="s">
        <v>2618</v>
      </c>
      <c r="F1750" t="s">
        <v>6</v>
      </c>
      <c r="G1750" t="s">
        <v>130</v>
      </c>
      <c r="H1750" s="1">
        <v>46132</v>
      </c>
      <c r="I1750" t="s">
        <v>9126</v>
      </c>
      <c r="J1750" t="s">
        <v>9127</v>
      </c>
      <c r="K1750" t="s">
        <v>9128</v>
      </c>
      <c r="L1750" t="s">
        <v>3287</v>
      </c>
      <c r="M1750" t="s">
        <v>4963</v>
      </c>
      <c r="N1750" s="166">
        <v>27.42</v>
      </c>
      <c r="O1750" t="s">
        <v>131</v>
      </c>
    </row>
    <row r="1751" spans="1:15">
      <c r="A1751" s="166" t="s">
        <v>9129</v>
      </c>
      <c r="B1751" t="s">
        <v>111</v>
      </c>
      <c r="C1751" t="s">
        <v>134</v>
      </c>
      <c r="D1751" t="s">
        <v>118</v>
      </c>
      <c r="E1751" t="s">
        <v>2618</v>
      </c>
      <c r="F1751" t="s">
        <v>6</v>
      </c>
      <c r="G1751" t="s">
        <v>130</v>
      </c>
      <c r="H1751" s="1">
        <v>46132</v>
      </c>
      <c r="I1751" t="s">
        <v>9130</v>
      </c>
      <c r="J1751" t="s">
        <v>9131</v>
      </c>
      <c r="K1751" t="s">
        <v>3083</v>
      </c>
      <c r="L1751" t="s">
        <v>3032</v>
      </c>
      <c r="M1751" t="s">
        <v>460</v>
      </c>
      <c r="N1751" s="166">
        <v>21.28</v>
      </c>
      <c r="O1751" t="s">
        <v>131</v>
      </c>
    </row>
    <row r="1752" spans="1:15">
      <c r="A1752" s="166" t="s">
        <v>9132</v>
      </c>
      <c r="B1752" t="s">
        <v>111</v>
      </c>
      <c r="C1752" t="s">
        <v>133</v>
      </c>
      <c r="D1752" t="s">
        <v>118</v>
      </c>
      <c r="E1752" t="s">
        <v>2618</v>
      </c>
      <c r="F1752" t="s">
        <v>6</v>
      </c>
      <c r="G1752" t="s">
        <v>130</v>
      </c>
      <c r="H1752" s="1">
        <v>46132</v>
      </c>
      <c r="I1752" t="s">
        <v>9133</v>
      </c>
      <c r="J1752" t="s">
        <v>9134</v>
      </c>
      <c r="K1752" t="s">
        <v>192</v>
      </c>
      <c r="L1752" t="s">
        <v>730</v>
      </c>
      <c r="M1752" t="s">
        <v>660</v>
      </c>
      <c r="N1752" s="166">
        <v>22.3</v>
      </c>
      <c r="O1752" t="s">
        <v>131</v>
      </c>
    </row>
    <row r="1753" spans="1:15">
      <c r="A1753" s="166" t="s">
        <v>9135</v>
      </c>
      <c r="B1753" t="s">
        <v>111</v>
      </c>
      <c r="C1753" t="s">
        <v>406</v>
      </c>
      <c r="D1753" t="s">
        <v>116</v>
      </c>
      <c r="E1753" t="s">
        <v>418</v>
      </c>
      <c r="F1753" t="s">
        <v>7</v>
      </c>
      <c r="G1753" t="s">
        <v>130</v>
      </c>
      <c r="H1753" s="1">
        <v>46132</v>
      </c>
      <c r="I1753" t="s">
        <v>9136</v>
      </c>
      <c r="J1753" t="s">
        <v>9137</v>
      </c>
      <c r="K1753" t="s">
        <v>1066</v>
      </c>
      <c r="L1753" t="s">
        <v>665</v>
      </c>
      <c r="M1753" t="s">
        <v>4641</v>
      </c>
      <c r="N1753" s="166">
        <v>19.02</v>
      </c>
      <c r="O1753" t="s">
        <v>131</v>
      </c>
    </row>
    <row r="1754" spans="1:15">
      <c r="A1754" s="166" t="s">
        <v>9138</v>
      </c>
      <c r="B1754" t="s">
        <v>111</v>
      </c>
      <c r="C1754" t="s">
        <v>136</v>
      </c>
      <c r="D1754" t="s">
        <v>116</v>
      </c>
      <c r="E1754" t="s">
        <v>418</v>
      </c>
      <c r="F1754" t="s">
        <v>7</v>
      </c>
      <c r="G1754" t="s">
        <v>130</v>
      </c>
      <c r="H1754" s="1">
        <v>46132</v>
      </c>
      <c r="I1754" t="s">
        <v>9139</v>
      </c>
      <c r="J1754" t="s">
        <v>9140</v>
      </c>
      <c r="K1754" t="s">
        <v>3178</v>
      </c>
      <c r="L1754" t="s">
        <v>1710</v>
      </c>
      <c r="M1754" t="s">
        <v>4556</v>
      </c>
      <c r="N1754" s="166">
        <v>16.86</v>
      </c>
      <c r="O1754" t="s">
        <v>131</v>
      </c>
    </row>
    <row r="1755" spans="1:15">
      <c r="A1755" s="166" t="s">
        <v>9141</v>
      </c>
      <c r="B1755" t="s">
        <v>111</v>
      </c>
      <c r="C1755" t="s">
        <v>134</v>
      </c>
      <c r="D1755" t="s">
        <v>116</v>
      </c>
      <c r="E1755" t="s">
        <v>418</v>
      </c>
      <c r="F1755" t="s">
        <v>7</v>
      </c>
      <c r="G1755" t="s">
        <v>130</v>
      </c>
      <c r="H1755" s="1">
        <v>46132</v>
      </c>
      <c r="I1755" t="s">
        <v>9142</v>
      </c>
      <c r="J1755" t="s">
        <v>9143</v>
      </c>
      <c r="K1755" t="s">
        <v>1533</v>
      </c>
      <c r="L1755" t="s">
        <v>1280</v>
      </c>
      <c r="M1755" t="s">
        <v>1468</v>
      </c>
      <c r="N1755" s="166">
        <v>19</v>
      </c>
      <c r="O1755" t="s">
        <v>131</v>
      </c>
    </row>
    <row r="1756" spans="1:15">
      <c r="A1756" s="166" t="s">
        <v>9144</v>
      </c>
      <c r="B1756" t="s">
        <v>111</v>
      </c>
      <c r="C1756" t="s">
        <v>7474</v>
      </c>
      <c r="D1756" t="s">
        <v>116</v>
      </c>
      <c r="E1756" t="s">
        <v>418</v>
      </c>
      <c r="F1756" t="s">
        <v>7</v>
      </c>
      <c r="G1756" t="s">
        <v>130</v>
      </c>
      <c r="H1756" s="1">
        <v>46132</v>
      </c>
      <c r="I1756" t="s">
        <v>9145</v>
      </c>
      <c r="J1756" t="s">
        <v>9146</v>
      </c>
      <c r="K1756" t="s">
        <v>1381</v>
      </c>
      <c r="L1756" t="s">
        <v>193</v>
      </c>
      <c r="M1756" t="s">
        <v>1577</v>
      </c>
      <c r="N1756" s="166">
        <v>19.22</v>
      </c>
      <c r="O1756" t="s">
        <v>131</v>
      </c>
    </row>
    <row r="1757" spans="1:15">
      <c r="A1757" s="166" t="s">
        <v>9147</v>
      </c>
      <c r="B1757" t="s">
        <v>111</v>
      </c>
      <c r="C1757" t="s">
        <v>133</v>
      </c>
      <c r="D1757" t="s">
        <v>116</v>
      </c>
      <c r="E1757" t="s">
        <v>418</v>
      </c>
      <c r="F1757" t="s">
        <v>7</v>
      </c>
      <c r="G1757" t="s">
        <v>130</v>
      </c>
      <c r="H1757" s="1">
        <v>46132</v>
      </c>
      <c r="I1757" t="s">
        <v>9148</v>
      </c>
      <c r="J1757" t="s">
        <v>9149</v>
      </c>
      <c r="K1757" t="s">
        <v>2050</v>
      </c>
      <c r="L1757" t="s">
        <v>687</v>
      </c>
      <c r="M1757" t="s">
        <v>2336</v>
      </c>
      <c r="N1757" s="166">
        <v>19.440000000000001</v>
      </c>
      <c r="O1757" t="s">
        <v>131</v>
      </c>
    </row>
    <row r="1758" spans="1:15">
      <c r="A1758" s="166" t="s">
        <v>9150</v>
      </c>
      <c r="B1758" t="s">
        <v>111</v>
      </c>
      <c r="C1758" t="s">
        <v>406</v>
      </c>
      <c r="D1758" t="s">
        <v>116</v>
      </c>
      <c r="E1758" t="s">
        <v>418</v>
      </c>
      <c r="F1758" t="s">
        <v>7</v>
      </c>
      <c r="G1758" t="s">
        <v>130</v>
      </c>
      <c r="H1758" s="1">
        <v>46132</v>
      </c>
      <c r="I1758" t="s">
        <v>9151</v>
      </c>
      <c r="J1758" t="s">
        <v>9152</v>
      </c>
      <c r="K1758" t="s">
        <v>4663</v>
      </c>
      <c r="L1758" t="s">
        <v>151</v>
      </c>
      <c r="M1758" t="s">
        <v>1168</v>
      </c>
      <c r="N1758" s="166">
        <v>18.5</v>
      </c>
      <c r="O1758" t="s">
        <v>131</v>
      </c>
    </row>
    <row r="1759" spans="1:15">
      <c r="A1759" s="166" t="s">
        <v>9153</v>
      </c>
      <c r="B1759" t="s">
        <v>111</v>
      </c>
      <c r="C1759" t="s">
        <v>1104</v>
      </c>
      <c r="D1759" t="s">
        <v>116</v>
      </c>
      <c r="E1759" t="s">
        <v>418</v>
      </c>
      <c r="F1759" t="s">
        <v>7</v>
      </c>
      <c r="G1759" t="s">
        <v>130</v>
      </c>
      <c r="H1759" s="1">
        <v>46132</v>
      </c>
      <c r="I1759" t="s">
        <v>9154</v>
      </c>
      <c r="J1759" t="s">
        <v>9155</v>
      </c>
      <c r="K1759" t="s">
        <v>1591</v>
      </c>
      <c r="L1759" t="s">
        <v>2816</v>
      </c>
      <c r="M1759" t="s">
        <v>845</v>
      </c>
      <c r="N1759" s="166">
        <v>16.52</v>
      </c>
      <c r="O1759" t="s">
        <v>131</v>
      </c>
    </row>
    <row r="1760" spans="1:15">
      <c r="A1760" s="166" t="s">
        <v>9156</v>
      </c>
      <c r="B1760" t="s">
        <v>111</v>
      </c>
      <c r="C1760" t="s">
        <v>134</v>
      </c>
      <c r="D1760" t="s">
        <v>116</v>
      </c>
      <c r="E1760" t="s">
        <v>418</v>
      </c>
      <c r="F1760" t="s">
        <v>7</v>
      </c>
      <c r="G1760" t="s">
        <v>130</v>
      </c>
      <c r="H1760" s="1">
        <v>46132</v>
      </c>
      <c r="I1760" t="s">
        <v>9157</v>
      </c>
      <c r="J1760" t="s">
        <v>9158</v>
      </c>
      <c r="K1760" t="s">
        <v>2379</v>
      </c>
      <c r="L1760" t="s">
        <v>1062</v>
      </c>
      <c r="M1760" t="s">
        <v>1275</v>
      </c>
      <c r="N1760" s="166">
        <v>18.98</v>
      </c>
      <c r="O1760" t="s">
        <v>131</v>
      </c>
    </row>
    <row r="1761" spans="1:15">
      <c r="A1761" s="166" t="s">
        <v>1131</v>
      </c>
      <c r="B1761" t="s">
        <v>111</v>
      </c>
      <c r="C1761" t="s">
        <v>133</v>
      </c>
      <c r="D1761" t="s">
        <v>116</v>
      </c>
      <c r="E1761" t="s">
        <v>418</v>
      </c>
      <c r="F1761" t="s">
        <v>7</v>
      </c>
      <c r="G1761" t="s">
        <v>130</v>
      </c>
      <c r="H1761" s="1">
        <v>46132</v>
      </c>
      <c r="I1761" t="s">
        <v>9159</v>
      </c>
      <c r="J1761" t="s">
        <v>9160</v>
      </c>
      <c r="K1761" t="s">
        <v>414</v>
      </c>
      <c r="L1761" t="s">
        <v>650</v>
      </c>
      <c r="M1761" t="s">
        <v>3993</v>
      </c>
      <c r="N1761" s="166">
        <v>18.239999999999998</v>
      </c>
      <c r="O1761" t="s">
        <v>131</v>
      </c>
    </row>
    <row r="1762" spans="1:15">
      <c r="A1762" s="166" t="s">
        <v>9161</v>
      </c>
      <c r="B1762" t="s">
        <v>111</v>
      </c>
      <c r="C1762" t="s">
        <v>7474</v>
      </c>
      <c r="D1762" t="s">
        <v>116</v>
      </c>
      <c r="E1762" t="s">
        <v>418</v>
      </c>
      <c r="F1762" t="s">
        <v>7</v>
      </c>
      <c r="G1762" t="s">
        <v>130</v>
      </c>
      <c r="H1762" s="1">
        <v>46132</v>
      </c>
      <c r="I1762" t="s">
        <v>9162</v>
      </c>
      <c r="J1762" t="s">
        <v>9163</v>
      </c>
      <c r="K1762" t="s">
        <v>781</v>
      </c>
      <c r="L1762" t="s">
        <v>786</v>
      </c>
      <c r="M1762" t="s">
        <v>2586</v>
      </c>
      <c r="N1762" s="166">
        <v>21.04</v>
      </c>
      <c r="O1762" t="s">
        <v>131</v>
      </c>
    </row>
    <row r="1763" spans="1:15">
      <c r="A1763" s="166" t="s">
        <v>9164</v>
      </c>
      <c r="B1763" t="s">
        <v>111</v>
      </c>
      <c r="C1763" t="s">
        <v>136</v>
      </c>
      <c r="D1763" t="s">
        <v>116</v>
      </c>
      <c r="E1763" t="s">
        <v>418</v>
      </c>
      <c r="F1763" t="s">
        <v>7</v>
      </c>
      <c r="G1763" t="s">
        <v>130</v>
      </c>
      <c r="H1763" s="1">
        <v>46132</v>
      </c>
      <c r="I1763" t="s">
        <v>9165</v>
      </c>
      <c r="J1763" t="s">
        <v>9166</v>
      </c>
      <c r="K1763" t="s">
        <v>1705</v>
      </c>
      <c r="L1763" t="s">
        <v>2568</v>
      </c>
      <c r="M1763" t="s">
        <v>1802</v>
      </c>
      <c r="N1763" s="166">
        <v>19.399999999999999</v>
      </c>
      <c r="O1763" t="s">
        <v>131</v>
      </c>
    </row>
    <row r="1764" spans="1:15">
      <c r="A1764" s="166" t="s">
        <v>9167</v>
      </c>
      <c r="B1764" t="s">
        <v>111</v>
      </c>
      <c r="C1764" t="s">
        <v>406</v>
      </c>
      <c r="D1764" t="s">
        <v>116</v>
      </c>
      <c r="E1764" t="s">
        <v>418</v>
      </c>
      <c r="F1764" t="s">
        <v>7</v>
      </c>
      <c r="G1764" t="s">
        <v>130</v>
      </c>
      <c r="H1764" s="1">
        <v>46132</v>
      </c>
      <c r="I1764" t="s">
        <v>9168</v>
      </c>
      <c r="J1764" t="s">
        <v>9169</v>
      </c>
      <c r="K1764" t="s">
        <v>1327</v>
      </c>
      <c r="L1764" t="s">
        <v>1280</v>
      </c>
      <c r="M1764" t="s">
        <v>1830</v>
      </c>
      <c r="N1764" s="166">
        <v>18.52</v>
      </c>
      <c r="O1764" t="s">
        <v>131</v>
      </c>
    </row>
    <row r="1765" spans="1:15">
      <c r="A1765" s="166" t="s">
        <v>9170</v>
      </c>
      <c r="B1765" t="s">
        <v>111</v>
      </c>
      <c r="C1765" t="s">
        <v>1104</v>
      </c>
      <c r="D1765" t="s">
        <v>116</v>
      </c>
      <c r="E1765" t="s">
        <v>418</v>
      </c>
      <c r="F1765" t="s">
        <v>7</v>
      </c>
      <c r="G1765" t="s">
        <v>130</v>
      </c>
      <c r="H1765" s="1">
        <v>46132</v>
      </c>
      <c r="I1765" t="s">
        <v>9171</v>
      </c>
      <c r="J1765" t="s">
        <v>9172</v>
      </c>
      <c r="K1765" t="s">
        <v>5668</v>
      </c>
      <c r="L1765" t="s">
        <v>2267</v>
      </c>
      <c r="M1765" t="s">
        <v>1281</v>
      </c>
      <c r="N1765" s="166">
        <v>17.86</v>
      </c>
      <c r="O1765" t="s">
        <v>131</v>
      </c>
    </row>
    <row r="1766" spans="1:15">
      <c r="A1766" s="166" t="s">
        <v>9173</v>
      </c>
      <c r="B1766" t="s">
        <v>111</v>
      </c>
      <c r="C1766" t="s">
        <v>134</v>
      </c>
      <c r="D1766" t="s">
        <v>116</v>
      </c>
      <c r="E1766" t="s">
        <v>418</v>
      </c>
      <c r="F1766" t="s">
        <v>7</v>
      </c>
      <c r="G1766" t="s">
        <v>130</v>
      </c>
      <c r="H1766" s="1">
        <v>46132</v>
      </c>
      <c r="I1766" t="s">
        <v>9174</v>
      </c>
      <c r="J1766" t="s">
        <v>9175</v>
      </c>
      <c r="K1766" t="s">
        <v>1100</v>
      </c>
      <c r="L1766" t="s">
        <v>645</v>
      </c>
      <c r="M1766" t="s">
        <v>1057</v>
      </c>
      <c r="N1766" s="166">
        <v>20.14</v>
      </c>
      <c r="O1766" t="s">
        <v>131</v>
      </c>
    </row>
    <row r="1767" spans="1:15">
      <c r="A1767" s="166" t="s">
        <v>9176</v>
      </c>
      <c r="B1767" t="s">
        <v>111</v>
      </c>
      <c r="C1767" t="s">
        <v>133</v>
      </c>
      <c r="D1767" t="s">
        <v>116</v>
      </c>
      <c r="E1767" t="s">
        <v>418</v>
      </c>
      <c r="F1767" t="s">
        <v>7</v>
      </c>
      <c r="G1767" t="s">
        <v>130</v>
      </c>
      <c r="H1767" s="1">
        <v>46132</v>
      </c>
      <c r="I1767" t="s">
        <v>9177</v>
      </c>
      <c r="J1767" t="s">
        <v>9178</v>
      </c>
      <c r="K1767" t="s">
        <v>5668</v>
      </c>
      <c r="L1767" t="s">
        <v>730</v>
      </c>
      <c r="M1767" t="s">
        <v>2536</v>
      </c>
      <c r="N1767" s="166">
        <v>18.16</v>
      </c>
      <c r="O1767" t="s">
        <v>131</v>
      </c>
    </row>
    <row r="1768" spans="1:15">
      <c r="A1768" s="166" t="s">
        <v>9179</v>
      </c>
      <c r="B1768" t="s">
        <v>111</v>
      </c>
      <c r="C1768" t="s">
        <v>7474</v>
      </c>
      <c r="D1768" t="s">
        <v>116</v>
      </c>
      <c r="E1768" t="s">
        <v>418</v>
      </c>
      <c r="F1768" t="s">
        <v>7</v>
      </c>
      <c r="G1768" t="s">
        <v>130</v>
      </c>
      <c r="H1768" s="1">
        <v>46132</v>
      </c>
      <c r="I1768" t="s">
        <v>9180</v>
      </c>
      <c r="J1768" t="s">
        <v>9181</v>
      </c>
      <c r="K1768" t="s">
        <v>1144</v>
      </c>
      <c r="L1768" t="s">
        <v>622</v>
      </c>
      <c r="M1768" t="s">
        <v>2518</v>
      </c>
      <c r="N1768" s="166">
        <v>18.64</v>
      </c>
      <c r="O1768" t="s">
        <v>131</v>
      </c>
    </row>
    <row r="1769" spans="1:15">
      <c r="A1769" s="166" t="s">
        <v>9182</v>
      </c>
      <c r="B1769" t="s">
        <v>111</v>
      </c>
      <c r="C1769" t="s">
        <v>136</v>
      </c>
      <c r="D1769" t="s">
        <v>116</v>
      </c>
      <c r="E1769" t="s">
        <v>418</v>
      </c>
      <c r="F1769" t="s">
        <v>7</v>
      </c>
      <c r="G1769" t="s">
        <v>130</v>
      </c>
      <c r="H1769" s="1">
        <v>46132</v>
      </c>
      <c r="I1769" t="s">
        <v>9183</v>
      </c>
      <c r="J1769" t="s">
        <v>9184</v>
      </c>
      <c r="K1769" t="s">
        <v>6216</v>
      </c>
      <c r="L1769" t="s">
        <v>193</v>
      </c>
      <c r="M1769" t="s">
        <v>2336</v>
      </c>
      <c r="N1769" s="166">
        <v>19.440000000000001</v>
      </c>
      <c r="O1769" t="s">
        <v>131</v>
      </c>
    </row>
    <row r="1770" spans="1:15">
      <c r="A1770" s="166" t="s">
        <v>9185</v>
      </c>
      <c r="B1770" t="s">
        <v>111</v>
      </c>
      <c r="C1770" t="s">
        <v>406</v>
      </c>
      <c r="D1770" t="s">
        <v>116</v>
      </c>
      <c r="E1770" t="s">
        <v>418</v>
      </c>
      <c r="F1770" t="s">
        <v>7</v>
      </c>
      <c r="G1770" t="s">
        <v>130</v>
      </c>
      <c r="H1770" s="1">
        <v>46132</v>
      </c>
      <c r="I1770" t="s">
        <v>9186</v>
      </c>
      <c r="J1770" t="s">
        <v>9187</v>
      </c>
      <c r="K1770" t="s">
        <v>1251</v>
      </c>
      <c r="L1770" t="s">
        <v>584</v>
      </c>
      <c r="M1770" t="s">
        <v>2091</v>
      </c>
      <c r="N1770" s="166">
        <v>18.02</v>
      </c>
      <c r="O1770" t="s">
        <v>131</v>
      </c>
    </row>
    <row r="1771" spans="1:15">
      <c r="A1771" s="166" t="s">
        <v>9188</v>
      </c>
      <c r="B1771" t="s">
        <v>111</v>
      </c>
      <c r="C1771" t="s">
        <v>1104</v>
      </c>
      <c r="D1771" t="s">
        <v>116</v>
      </c>
      <c r="E1771" t="s">
        <v>418</v>
      </c>
      <c r="F1771" t="s">
        <v>7</v>
      </c>
      <c r="G1771" t="s">
        <v>130</v>
      </c>
      <c r="H1771" s="1">
        <v>46132</v>
      </c>
      <c r="I1771" t="s">
        <v>9189</v>
      </c>
      <c r="J1771" t="s">
        <v>9190</v>
      </c>
      <c r="K1771" t="s">
        <v>2301</v>
      </c>
      <c r="L1771" t="s">
        <v>1862</v>
      </c>
      <c r="M1771" t="s">
        <v>1252</v>
      </c>
      <c r="N1771" s="166">
        <v>18.36</v>
      </c>
      <c r="O1771" t="s">
        <v>131</v>
      </c>
    </row>
    <row r="1772" spans="1:15">
      <c r="A1772" s="166" t="s">
        <v>9191</v>
      </c>
      <c r="B1772" t="s">
        <v>111</v>
      </c>
      <c r="C1772" t="s">
        <v>134</v>
      </c>
      <c r="D1772" t="s">
        <v>116</v>
      </c>
      <c r="E1772" t="s">
        <v>418</v>
      </c>
      <c r="F1772" t="s">
        <v>7</v>
      </c>
      <c r="G1772" t="s">
        <v>130</v>
      </c>
      <c r="H1772" s="1">
        <v>46132</v>
      </c>
      <c r="I1772" t="s">
        <v>9192</v>
      </c>
      <c r="J1772" t="s">
        <v>9193</v>
      </c>
      <c r="K1772" t="s">
        <v>2292</v>
      </c>
      <c r="L1772" t="s">
        <v>772</v>
      </c>
      <c r="M1772" t="s">
        <v>2024</v>
      </c>
      <c r="N1772" s="166">
        <v>17.78</v>
      </c>
      <c r="O1772" t="s">
        <v>131</v>
      </c>
    </row>
    <row r="1773" spans="1:15">
      <c r="A1773" s="166" t="s">
        <v>9194</v>
      </c>
      <c r="B1773" t="s">
        <v>111</v>
      </c>
      <c r="C1773" t="s">
        <v>133</v>
      </c>
      <c r="D1773" t="s">
        <v>116</v>
      </c>
      <c r="E1773" t="s">
        <v>418</v>
      </c>
      <c r="F1773" t="s">
        <v>7</v>
      </c>
      <c r="G1773" t="s">
        <v>130</v>
      </c>
      <c r="H1773" s="1">
        <v>46132</v>
      </c>
      <c r="I1773" t="s">
        <v>9195</v>
      </c>
      <c r="J1773" t="s">
        <v>9196</v>
      </c>
      <c r="K1773" t="s">
        <v>6323</v>
      </c>
      <c r="L1773" t="s">
        <v>650</v>
      </c>
      <c r="M1773" t="s">
        <v>439</v>
      </c>
      <c r="N1773" s="166">
        <v>21.72</v>
      </c>
      <c r="O1773" t="s">
        <v>131</v>
      </c>
    </row>
    <row r="1774" spans="1:15">
      <c r="A1774" s="166" t="s">
        <v>9197</v>
      </c>
      <c r="B1774" t="s">
        <v>111</v>
      </c>
      <c r="C1774" t="s">
        <v>7474</v>
      </c>
      <c r="D1774" t="s">
        <v>116</v>
      </c>
      <c r="E1774" t="s">
        <v>418</v>
      </c>
      <c r="F1774" t="s">
        <v>7</v>
      </c>
      <c r="G1774" t="s">
        <v>130</v>
      </c>
      <c r="H1774" s="1">
        <v>46132</v>
      </c>
      <c r="I1774" t="s">
        <v>9198</v>
      </c>
      <c r="J1774" t="s">
        <v>9199</v>
      </c>
      <c r="K1774" t="s">
        <v>2527</v>
      </c>
      <c r="L1774" t="s">
        <v>974</v>
      </c>
      <c r="M1774" t="s">
        <v>2344</v>
      </c>
      <c r="N1774" s="166">
        <v>18.28</v>
      </c>
      <c r="O1774" t="s">
        <v>131</v>
      </c>
    </row>
    <row r="1775" spans="1:15">
      <c r="A1775" s="166" t="s">
        <v>9200</v>
      </c>
      <c r="B1775" t="s">
        <v>111</v>
      </c>
      <c r="C1775" t="s">
        <v>136</v>
      </c>
      <c r="D1775" t="s">
        <v>116</v>
      </c>
      <c r="E1775" t="s">
        <v>418</v>
      </c>
      <c r="F1775" t="s">
        <v>7</v>
      </c>
      <c r="G1775" t="s">
        <v>130</v>
      </c>
      <c r="H1775" s="1">
        <v>46132</v>
      </c>
      <c r="I1775" t="s">
        <v>9201</v>
      </c>
      <c r="J1775" t="s">
        <v>9202</v>
      </c>
      <c r="K1775" t="s">
        <v>2000</v>
      </c>
      <c r="L1775" t="s">
        <v>193</v>
      </c>
      <c r="M1775" t="s">
        <v>2599</v>
      </c>
      <c r="N1775" s="166">
        <v>17.239999999999998</v>
      </c>
      <c r="O1775" t="s">
        <v>131</v>
      </c>
    </row>
    <row r="1776" spans="1:15">
      <c r="A1776" s="166" t="s">
        <v>9203</v>
      </c>
      <c r="B1776" t="s">
        <v>111</v>
      </c>
      <c r="C1776" t="s">
        <v>406</v>
      </c>
      <c r="D1776" t="s">
        <v>116</v>
      </c>
      <c r="E1776" t="s">
        <v>418</v>
      </c>
      <c r="F1776" t="s">
        <v>7</v>
      </c>
      <c r="G1776" t="s">
        <v>130</v>
      </c>
      <c r="H1776" s="1">
        <v>46132</v>
      </c>
      <c r="I1776" t="s">
        <v>9204</v>
      </c>
      <c r="J1776" t="s">
        <v>9205</v>
      </c>
      <c r="K1776" t="s">
        <v>9206</v>
      </c>
      <c r="L1776" t="s">
        <v>148</v>
      </c>
      <c r="M1776" t="s">
        <v>5385</v>
      </c>
      <c r="N1776" s="166">
        <v>16.82</v>
      </c>
      <c r="O1776" t="s">
        <v>131</v>
      </c>
    </row>
    <row r="1777" spans="1:15">
      <c r="A1777" s="166" t="s">
        <v>9207</v>
      </c>
      <c r="B1777" t="s">
        <v>111</v>
      </c>
      <c r="C1777" t="s">
        <v>1104</v>
      </c>
      <c r="D1777" t="s">
        <v>116</v>
      </c>
      <c r="E1777" t="s">
        <v>418</v>
      </c>
      <c r="F1777" t="s">
        <v>7</v>
      </c>
      <c r="G1777" t="s">
        <v>130</v>
      </c>
      <c r="H1777" s="1">
        <v>46132</v>
      </c>
      <c r="I1777" t="s">
        <v>9208</v>
      </c>
      <c r="J1777" t="s">
        <v>9209</v>
      </c>
      <c r="K1777" t="s">
        <v>1066</v>
      </c>
      <c r="L1777" t="s">
        <v>2678</v>
      </c>
      <c r="M1777" t="s">
        <v>1101</v>
      </c>
      <c r="N1777" s="166">
        <v>16.68</v>
      </c>
      <c r="O1777" t="s">
        <v>131</v>
      </c>
    </row>
    <row r="1778" spans="1:15">
      <c r="A1778" s="166" t="s">
        <v>9210</v>
      </c>
      <c r="B1778" t="s">
        <v>111</v>
      </c>
      <c r="C1778" t="s">
        <v>134</v>
      </c>
      <c r="D1778" t="s">
        <v>116</v>
      </c>
      <c r="E1778" t="s">
        <v>418</v>
      </c>
      <c r="F1778" t="s">
        <v>7</v>
      </c>
      <c r="G1778" t="s">
        <v>130</v>
      </c>
      <c r="H1778" s="1">
        <v>46132</v>
      </c>
      <c r="I1778" t="s">
        <v>9211</v>
      </c>
      <c r="J1778" t="s">
        <v>9212</v>
      </c>
      <c r="K1778" t="s">
        <v>3942</v>
      </c>
      <c r="L1778" t="s">
        <v>1483</v>
      </c>
      <c r="M1778" t="s">
        <v>569</v>
      </c>
      <c r="N1778" s="166">
        <v>21.7</v>
      </c>
      <c r="O1778" t="s">
        <v>131</v>
      </c>
    </row>
    <row r="1779" spans="1:15">
      <c r="A1779" s="166" t="s">
        <v>9213</v>
      </c>
      <c r="B1779" t="s">
        <v>111</v>
      </c>
      <c r="C1779" t="s">
        <v>7474</v>
      </c>
      <c r="D1779" t="s">
        <v>116</v>
      </c>
      <c r="E1779" t="s">
        <v>418</v>
      </c>
      <c r="F1779" t="s">
        <v>7</v>
      </c>
      <c r="G1779" t="s">
        <v>130</v>
      </c>
      <c r="H1779" s="1">
        <v>46132</v>
      </c>
      <c r="I1779" t="s">
        <v>9214</v>
      </c>
      <c r="J1779" t="s">
        <v>9215</v>
      </c>
      <c r="K1779" t="s">
        <v>1144</v>
      </c>
      <c r="L1779" t="s">
        <v>772</v>
      </c>
      <c r="M1779" t="s">
        <v>3395</v>
      </c>
      <c r="N1779" s="166">
        <v>18.420000000000002</v>
      </c>
      <c r="O1779" t="s">
        <v>131</v>
      </c>
    </row>
    <row r="1780" spans="1:15">
      <c r="A1780" s="166" t="s">
        <v>9216</v>
      </c>
      <c r="B1780" t="s">
        <v>111</v>
      </c>
      <c r="C1780" t="s">
        <v>133</v>
      </c>
      <c r="D1780" t="s">
        <v>116</v>
      </c>
      <c r="E1780" t="s">
        <v>418</v>
      </c>
      <c r="F1780" t="s">
        <v>7</v>
      </c>
      <c r="G1780" t="s">
        <v>130</v>
      </c>
      <c r="H1780" s="1">
        <v>46132</v>
      </c>
      <c r="I1780" t="s">
        <v>9217</v>
      </c>
      <c r="J1780" t="s">
        <v>9218</v>
      </c>
      <c r="K1780" t="s">
        <v>1930</v>
      </c>
      <c r="L1780" t="s">
        <v>2004</v>
      </c>
      <c r="M1780" t="s">
        <v>147</v>
      </c>
      <c r="N1780" s="166">
        <v>16.84</v>
      </c>
      <c r="O1780" t="s">
        <v>131</v>
      </c>
    </row>
    <row r="1781" spans="1:15">
      <c r="A1781" s="166" t="s">
        <v>1154</v>
      </c>
      <c r="B1781" t="s">
        <v>111</v>
      </c>
      <c r="C1781" t="s">
        <v>136</v>
      </c>
      <c r="D1781" t="s">
        <v>116</v>
      </c>
      <c r="E1781" t="s">
        <v>418</v>
      </c>
      <c r="F1781" t="s">
        <v>7</v>
      </c>
      <c r="G1781" t="s">
        <v>130</v>
      </c>
      <c r="H1781" s="1">
        <v>46132</v>
      </c>
      <c r="I1781" t="s">
        <v>9219</v>
      </c>
      <c r="J1781" t="s">
        <v>9220</v>
      </c>
      <c r="K1781" t="s">
        <v>6750</v>
      </c>
      <c r="L1781" t="s">
        <v>665</v>
      </c>
      <c r="M1781" t="s">
        <v>1296</v>
      </c>
      <c r="N1781" s="166">
        <v>18.760000000000002</v>
      </c>
      <c r="O1781" t="s">
        <v>131</v>
      </c>
    </row>
    <row r="1782" spans="1:15">
      <c r="A1782" s="166" t="s">
        <v>9221</v>
      </c>
      <c r="B1782" t="s">
        <v>111</v>
      </c>
      <c r="C1782" t="s">
        <v>1104</v>
      </c>
      <c r="D1782" t="s">
        <v>116</v>
      </c>
      <c r="E1782" t="s">
        <v>418</v>
      </c>
      <c r="F1782" t="s">
        <v>7</v>
      </c>
      <c r="G1782" t="s">
        <v>130</v>
      </c>
      <c r="H1782" s="1">
        <v>46132</v>
      </c>
      <c r="I1782" t="s">
        <v>9222</v>
      </c>
      <c r="J1782" t="s">
        <v>9223</v>
      </c>
      <c r="K1782" t="s">
        <v>540</v>
      </c>
      <c r="L1782" t="s">
        <v>2184</v>
      </c>
      <c r="M1782" t="s">
        <v>444</v>
      </c>
      <c r="N1782" s="166">
        <v>20.079999999999998</v>
      </c>
      <c r="O1782" t="s">
        <v>131</v>
      </c>
    </row>
    <row r="1783" spans="1:15">
      <c r="A1783" s="166" t="s">
        <v>9224</v>
      </c>
      <c r="B1783" t="s">
        <v>111</v>
      </c>
      <c r="C1783" t="s">
        <v>406</v>
      </c>
      <c r="D1783" t="s">
        <v>116</v>
      </c>
      <c r="E1783" t="s">
        <v>418</v>
      </c>
      <c r="F1783" t="s">
        <v>7</v>
      </c>
      <c r="G1783" t="s">
        <v>130</v>
      </c>
      <c r="H1783" s="1">
        <v>46132</v>
      </c>
      <c r="I1783" t="s">
        <v>9225</v>
      </c>
      <c r="J1783" t="s">
        <v>9226</v>
      </c>
      <c r="K1783" t="s">
        <v>3475</v>
      </c>
      <c r="L1783" t="s">
        <v>208</v>
      </c>
      <c r="M1783" t="s">
        <v>3722</v>
      </c>
      <c r="N1783" s="166">
        <v>18.100000000000001</v>
      </c>
      <c r="O1783" t="s">
        <v>131</v>
      </c>
    </row>
    <row r="1784" spans="1:15">
      <c r="A1784" s="166" t="s">
        <v>9227</v>
      </c>
      <c r="B1784" t="s">
        <v>111</v>
      </c>
      <c r="C1784" t="s">
        <v>134</v>
      </c>
      <c r="D1784" t="s">
        <v>116</v>
      </c>
      <c r="E1784" t="s">
        <v>418</v>
      </c>
      <c r="F1784" t="s">
        <v>7</v>
      </c>
      <c r="G1784" t="s">
        <v>130</v>
      </c>
      <c r="H1784" s="1">
        <v>46132</v>
      </c>
      <c r="I1784" t="s">
        <v>9228</v>
      </c>
      <c r="J1784" t="s">
        <v>9229</v>
      </c>
      <c r="K1784" t="s">
        <v>1854</v>
      </c>
      <c r="L1784" t="s">
        <v>148</v>
      </c>
      <c r="M1784" t="s">
        <v>1484</v>
      </c>
      <c r="N1784" s="166">
        <v>18.22</v>
      </c>
      <c r="O1784" t="s">
        <v>131</v>
      </c>
    </row>
    <row r="1785" spans="1:15">
      <c r="A1785" s="166" t="s">
        <v>9230</v>
      </c>
      <c r="B1785" t="s">
        <v>111</v>
      </c>
      <c r="C1785" t="s">
        <v>2424</v>
      </c>
      <c r="D1785" t="s">
        <v>118</v>
      </c>
      <c r="E1785" t="s">
        <v>139</v>
      </c>
      <c r="F1785" t="s">
        <v>6</v>
      </c>
      <c r="G1785" t="s">
        <v>130</v>
      </c>
      <c r="H1785" s="1">
        <v>46132</v>
      </c>
      <c r="I1785" t="s">
        <v>9231</v>
      </c>
      <c r="J1785" t="s">
        <v>9232</v>
      </c>
      <c r="K1785" t="s">
        <v>760</v>
      </c>
      <c r="L1785" t="s">
        <v>5610</v>
      </c>
      <c r="M1785" t="s">
        <v>1830</v>
      </c>
      <c r="N1785" s="166">
        <v>18.52</v>
      </c>
      <c r="O1785" t="s">
        <v>131</v>
      </c>
    </row>
    <row r="1786" spans="1:15">
      <c r="A1786" s="166" t="s">
        <v>9233</v>
      </c>
      <c r="B1786" t="s">
        <v>111</v>
      </c>
      <c r="C1786" t="s">
        <v>133</v>
      </c>
      <c r="D1786" t="s">
        <v>118</v>
      </c>
      <c r="E1786" t="s">
        <v>139</v>
      </c>
      <c r="F1786" t="s">
        <v>6</v>
      </c>
      <c r="G1786" t="s">
        <v>130</v>
      </c>
      <c r="H1786" s="1">
        <v>46132</v>
      </c>
      <c r="I1786" t="s">
        <v>9234</v>
      </c>
      <c r="J1786" t="s">
        <v>9235</v>
      </c>
      <c r="K1786" t="s">
        <v>191</v>
      </c>
      <c r="L1786" t="s">
        <v>2095</v>
      </c>
      <c r="M1786" t="s">
        <v>471</v>
      </c>
      <c r="N1786" s="166">
        <v>22.04</v>
      </c>
      <c r="O1786" t="s">
        <v>131</v>
      </c>
    </row>
    <row r="1787" spans="1:15">
      <c r="A1787" s="166" t="s">
        <v>9236</v>
      </c>
      <c r="B1787" t="s">
        <v>111</v>
      </c>
      <c r="C1787" t="s">
        <v>135</v>
      </c>
      <c r="D1787" t="s">
        <v>118</v>
      </c>
      <c r="E1787" t="s">
        <v>139</v>
      </c>
      <c r="F1787" t="s">
        <v>6</v>
      </c>
      <c r="G1787" t="s">
        <v>130</v>
      </c>
      <c r="H1787" s="1">
        <v>46132</v>
      </c>
      <c r="I1787" t="s">
        <v>9237</v>
      </c>
      <c r="J1787" t="s">
        <v>9238</v>
      </c>
      <c r="K1787" t="s">
        <v>1071</v>
      </c>
      <c r="L1787" t="s">
        <v>974</v>
      </c>
      <c r="M1787" t="s">
        <v>1504</v>
      </c>
      <c r="N1787" s="166">
        <v>20.84</v>
      </c>
      <c r="O1787" t="s">
        <v>131</v>
      </c>
    </row>
    <row r="1788" spans="1:15">
      <c r="A1788" s="166" t="s">
        <v>9239</v>
      </c>
      <c r="B1788" t="s">
        <v>111</v>
      </c>
      <c r="C1788" t="s">
        <v>7474</v>
      </c>
      <c r="D1788" t="s">
        <v>118</v>
      </c>
      <c r="E1788" t="s">
        <v>139</v>
      </c>
      <c r="F1788" t="s">
        <v>6</v>
      </c>
      <c r="G1788" t="s">
        <v>130</v>
      </c>
      <c r="H1788" s="1">
        <v>46132</v>
      </c>
      <c r="I1788" t="s">
        <v>9240</v>
      </c>
      <c r="J1788" t="s">
        <v>9241</v>
      </c>
      <c r="K1788" t="s">
        <v>1568</v>
      </c>
      <c r="L1788" t="s">
        <v>5840</v>
      </c>
      <c r="M1788" t="s">
        <v>9242</v>
      </c>
      <c r="N1788" s="166">
        <v>3.26</v>
      </c>
      <c r="O1788" t="s">
        <v>131</v>
      </c>
    </row>
    <row r="1789" spans="1:15">
      <c r="A1789" s="166" t="s">
        <v>9243</v>
      </c>
      <c r="B1789" t="s">
        <v>111</v>
      </c>
      <c r="C1789" t="s">
        <v>2424</v>
      </c>
      <c r="D1789" t="s">
        <v>118</v>
      </c>
      <c r="E1789" t="s">
        <v>139</v>
      </c>
      <c r="F1789" t="s">
        <v>6</v>
      </c>
      <c r="G1789" t="s">
        <v>130</v>
      </c>
      <c r="H1789" s="1">
        <v>46132</v>
      </c>
      <c r="I1789" t="s">
        <v>9244</v>
      </c>
      <c r="J1789" t="s">
        <v>9245</v>
      </c>
      <c r="K1789" t="s">
        <v>4493</v>
      </c>
      <c r="L1789" t="s">
        <v>1347</v>
      </c>
      <c r="M1789" t="s">
        <v>4641</v>
      </c>
      <c r="N1789" s="166">
        <v>19.02</v>
      </c>
      <c r="O1789" t="s">
        <v>131</v>
      </c>
    </row>
    <row r="1790" spans="1:15">
      <c r="A1790" s="166" t="s">
        <v>9246</v>
      </c>
      <c r="B1790" t="s">
        <v>111</v>
      </c>
      <c r="C1790" t="s">
        <v>135</v>
      </c>
      <c r="D1790" t="s">
        <v>118</v>
      </c>
      <c r="E1790" t="s">
        <v>2618</v>
      </c>
      <c r="F1790" t="s">
        <v>6</v>
      </c>
      <c r="G1790" t="s">
        <v>130</v>
      </c>
      <c r="H1790" s="1">
        <v>46132</v>
      </c>
      <c r="I1790" t="s">
        <v>9247</v>
      </c>
      <c r="J1790" t="s">
        <v>9248</v>
      </c>
      <c r="K1790" t="s">
        <v>9249</v>
      </c>
      <c r="L1790" t="s">
        <v>208</v>
      </c>
      <c r="M1790" t="s">
        <v>9250</v>
      </c>
      <c r="N1790" s="166">
        <v>26.56</v>
      </c>
      <c r="O1790" t="s">
        <v>131</v>
      </c>
    </row>
    <row r="1791" spans="1:15">
      <c r="A1791" s="166" t="s">
        <v>9251</v>
      </c>
      <c r="B1791" t="s">
        <v>111</v>
      </c>
      <c r="C1791" t="s">
        <v>2424</v>
      </c>
      <c r="D1791" t="s">
        <v>118</v>
      </c>
      <c r="E1791" t="s">
        <v>2618</v>
      </c>
      <c r="F1791" t="s">
        <v>6</v>
      </c>
      <c r="G1791" t="s">
        <v>130</v>
      </c>
      <c r="H1791" s="1">
        <v>46132</v>
      </c>
      <c r="I1791" t="s">
        <v>9252</v>
      </c>
      <c r="J1791" t="s">
        <v>9253</v>
      </c>
      <c r="K1791" t="s">
        <v>8591</v>
      </c>
      <c r="L1791" t="s">
        <v>1797</v>
      </c>
      <c r="M1791" t="s">
        <v>3799</v>
      </c>
      <c r="N1791" s="166">
        <v>24.24</v>
      </c>
      <c r="O1791" t="s">
        <v>131</v>
      </c>
    </row>
    <row r="1792" spans="1:15">
      <c r="A1792" s="166" t="s">
        <v>9254</v>
      </c>
      <c r="B1792" t="s">
        <v>111</v>
      </c>
      <c r="C1792" t="s">
        <v>133</v>
      </c>
      <c r="D1792" t="s">
        <v>118</v>
      </c>
      <c r="E1792" t="s">
        <v>139</v>
      </c>
      <c r="F1792" t="s">
        <v>6</v>
      </c>
      <c r="G1792" t="s">
        <v>130</v>
      </c>
      <c r="H1792" s="1">
        <v>46132</v>
      </c>
      <c r="I1792" t="s">
        <v>9255</v>
      </c>
      <c r="J1792" t="s">
        <v>9256</v>
      </c>
      <c r="K1792" t="s">
        <v>514</v>
      </c>
      <c r="L1792" t="s">
        <v>907</v>
      </c>
      <c r="M1792" t="s">
        <v>4325</v>
      </c>
      <c r="N1792" s="166">
        <v>20.58</v>
      </c>
      <c r="O1792" t="s">
        <v>131</v>
      </c>
    </row>
    <row r="1793" spans="1:15">
      <c r="A1793" s="166" t="s">
        <v>9257</v>
      </c>
      <c r="B1793" t="s">
        <v>111</v>
      </c>
      <c r="C1793" t="s">
        <v>1104</v>
      </c>
      <c r="D1793" t="s">
        <v>118</v>
      </c>
      <c r="E1793" t="s">
        <v>2618</v>
      </c>
      <c r="F1793" t="s">
        <v>6</v>
      </c>
      <c r="G1793" t="s">
        <v>130</v>
      </c>
      <c r="H1793" s="1">
        <v>46132</v>
      </c>
      <c r="I1793" t="s">
        <v>9258</v>
      </c>
      <c r="J1793" t="s">
        <v>9259</v>
      </c>
      <c r="K1793" t="s">
        <v>3592</v>
      </c>
      <c r="L1793" t="s">
        <v>169</v>
      </c>
      <c r="M1793" t="s">
        <v>3138</v>
      </c>
      <c r="N1793" s="166">
        <v>21.94</v>
      </c>
      <c r="O1793" t="s">
        <v>131</v>
      </c>
    </row>
    <row r="1794" spans="1:15">
      <c r="A1794" s="166" t="s">
        <v>9260</v>
      </c>
      <c r="B1794" t="s">
        <v>111</v>
      </c>
      <c r="C1794" t="s">
        <v>136</v>
      </c>
      <c r="D1794" t="s">
        <v>118</v>
      </c>
      <c r="E1794" t="s">
        <v>139</v>
      </c>
      <c r="F1794" t="s">
        <v>6</v>
      </c>
      <c r="G1794" t="s">
        <v>130</v>
      </c>
      <c r="H1794" s="1">
        <v>46132</v>
      </c>
      <c r="I1794" t="s">
        <v>9261</v>
      </c>
      <c r="J1794" t="s">
        <v>9262</v>
      </c>
      <c r="K1794" t="s">
        <v>771</v>
      </c>
      <c r="L1794" t="s">
        <v>801</v>
      </c>
      <c r="M1794" t="s">
        <v>1819</v>
      </c>
      <c r="N1794" s="166">
        <v>20.62</v>
      </c>
      <c r="O1794" t="s">
        <v>131</v>
      </c>
    </row>
    <row r="1795" spans="1:15">
      <c r="A1795" s="166" t="s">
        <v>9263</v>
      </c>
      <c r="B1795" t="s">
        <v>111</v>
      </c>
      <c r="C1795" t="s">
        <v>135</v>
      </c>
      <c r="D1795" t="s">
        <v>118</v>
      </c>
      <c r="E1795" t="s">
        <v>2618</v>
      </c>
      <c r="F1795" t="s">
        <v>6</v>
      </c>
      <c r="G1795" t="s">
        <v>130</v>
      </c>
      <c r="H1795" s="1">
        <v>46132</v>
      </c>
      <c r="I1795" t="s">
        <v>9264</v>
      </c>
      <c r="J1795" t="s">
        <v>9265</v>
      </c>
      <c r="K1795" t="s">
        <v>454</v>
      </c>
      <c r="L1795" t="s">
        <v>974</v>
      </c>
      <c r="M1795" t="s">
        <v>2158</v>
      </c>
      <c r="N1795" s="166">
        <v>20.94</v>
      </c>
      <c r="O1795" t="s">
        <v>131</v>
      </c>
    </row>
    <row r="1796" spans="1:15">
      <c r="A1796" s="166" t="s">
        <v>9266</v>
      </c>
      <c r="B1796" t="s">
        <v>111</v>
      </c>
      <c r="C1796" t="s">
        <v>406</v>
      </c>
      <c r="D1796" t="s">
        <v>118</v>
      </c>
      <c r="E1796" t="s">
        <v>2618</v>
      </c>
      <c r="F1796" t="s">
        <v>6</v>
      </c>
      <c r="G1796" t="s">
        <v>130</v>
      </c>
      <c r="H1796" s="1">
        <v>46132</v>
      </c>
      <c r="I1796" t="s">
        <v>9267</v>
      </c>
      <c r="J1796" t="s">
        <v>9268</v>
      </c>
      <c r="K1796" t="s">
        <v>1635</v>
      </c>
      <c r="L1796" t="s">
        <v>193</v>
      </c>
      <c r="M1796" t="s">
        <v>751</v>
      </c>
      <c r="N1796" s="166">
        <v>20.88</v>
      </c>
      <c r="O1796" t="s">
        <v>131</v>
      </c>
    </row>
    <row r="1797" spans="1:15">
      <c r="A1797" s="166" t="s">
        <v>9269</v>
      </c>
      <c r="B1797" t="s">
        <v>111</v>
      </c>
      <c r="C1797" t="s">
        <v>2424</v>
      </c>
      <c r="D1797" t="s">
        <v>118</v>
      </c>
      <c r="E1797" t="s">
        <v>2618</v>
      </c>
      <c r="F1797" t="s">
        <v>6</v>
      </c>
      <c r="G1797" t="s">
        <v>130</v>
      </c>
      <c r="H1797" s="1">
        <v>46132</v>
      </c>
      <c r="I1797" t="s">
        <v>9270</v>
      </c>
      <c r="J1797" t="s">
        <v>9271</v>
      </c>
      <c r="K1797" t="s">
        <v>9272</v>
      </c>
      <c r="L1797" t="s">
        <v>5610</v>
      </c>
      <c r="M1797" t="s">
        <v>861</v>
      </c>
      <c r="N1797" s="166">
        <v>21.84</v>
      </c>
      <c r="O1797" t="s">
        <v>131</v>
      </c>
    </row>
    <row r="1798" spans="1:15">
      <c r="A1798" s="166" t="s">
        <v>9273</v>
      </c>
      <c r="B1798" t="s">
        <v>111</v>
      </c>
      <c r="C1798" t="s">
        <v>134</v>
      </c>
      <c r="D1798" t="s">
        <v>118</v>
      </c>
      <c r="E1798" t="s">
        <v>139</v>
      </c>
      <c r="F1798" t="s">
        <v>6</v>
      </c>
      <c r="G1798" t="s">
        <v>130</v>
      </c>
      <c r="H1798" s="1">
        <v>46132</v>
      </c>
      <c r="I1798" t="s">
        <v>9274</v>
      </c>
      <c r="J1798" t="s">
        <v>9275</v>
      </c>
      <c r="K1798" t="s">
        <v>1541</v>
      </c>
      <c r="L1798" t="s">
        <v>208</v>
      </c>
      <c r="M1798" t="s">
        <v>2086</v>
      </c>
      <c r="N1798" s="166">
        <v>19.559999999999999</v>
      </c>
      <c r="O1798" t="s">
        <v>131</v>
      </c>
    </row>
    <row r="1799" spans="1:15">
      <c r="A1799" s="166" t="s">
        <v>9276</v>
      </c>
      <c r="B1799" t="s">
        <v>111</v>
      </c>
      <c r="C1799" t="s">
        <v>7474</v>
      </c>
      <c r="D1799" t="s">
        <v>118</v>
      </c>
      <c r="E1799" t="s">
        <v>139</v>
      </c>
      <c r="F1799" t="s">
        <v>6</v>
      </c>
      <c r="G1799" t="s">
        <v>130</v>
      </c>
      <c r="H1799" s="1">
        <v>46132</v>
      </c>
      <c r="I1799" t="s">
        <v>9277</v>
      </c>
      <c r="J1799" t="s">
        <v>9278</v>
      </c>
      <c r="K1799" t="s">
        <v>2545</v>
      </c>
      <c r="L1799" t="s">
        <v>534</v>
      </c>
      <c r="M1799" t="s">
        <v>1164</v>
      </c>
      <c r="N1799" s="166">
        <v>22.46</v>
      </c>
      <c r="O1799" t="s">
        <v>131</v>
      </c>
    </row>
    <row r="1800" spans="1:15">
      <c r="A1800" s="166" t="s">
        <v>9279</v>
      </c>
      <c r="B1800" t="s">
        <v>111</v>
      </c>
      <c r="C1800" t="s">
        <v>2424</v>
      </c>
      <c r="D1800" t="s">
        <v>118</v>
      </c>
      <c r="E1800" t="s">
        <v>2618</v>
      </c>
      <c r="F1800" t="s">
        <v>6</v>
      </c>
      <c r="G1800" t="s">
        <v>130</v>
      </c>
      <c r="H1800" s="1">
        <v>46132</v>
      </c>
      <c r="I1800" t="s">
        <v>9280</v>
      </c>
      <c r="J1800" t="s">
        <v>9281</v>
      </c>
      <c r="K1800" t="s">
        <v>2994</v>
      </c>
      <c r="L1800" t="s">
        <v>5610</v>
      </c>
      <c r="M1800" t="s">
        <v>1354</v>
      </c>
      <c r="N1800" s="166">
        <v>18.7</v>
      </c>
      <c r="O1800" t="s">
        <v>131</v>
      </c>
    </row>
    <row r="1801" spans="1:15">
      <c r="A1801" s="166" t="s">
        <v>6216</v>
      </c>
      <c r="B1801" t="s">
        <v>111</v>
      </c>
      <c r="C1801" t="s">
        <v>406</v>
      </c>
      <c r="D1801" t="s">
        <v>118</v>
      </c>
      <c r="E1801" t="s">
        <v>139</v>
      </c>
      <c r="F1801" t="s">
        <v>6</v>
      </c>
      <c r="G1801" t="s">
        <v>130</v>
      </c>
      <c r="H1801" s="1">
        <v>46132</v>
      </c>
      <c r="I1801" t="s">
        <v>9282</v>
      </c>
      <c r="J1801" t="s">
        <v>9283</v>
      </c>
      <c r="K1801" t="s">
        <v>1218</v>
      </c>
      <c r="L1801" t="s">
        <v>1076</v>
      </c>
      <c r="M1801" t="s">
        <v>2402</v>
      </c>
      <c r="N1801" s="166">
        <v>20.04</v>
      </c>
      <c r="O1801" t="s">
        <v>131</v>
      </c>
    </row>
    <row r="1802" spans="1:15">
      <c r="A1802" s="166" t="s">
        <v>9284</v>
      </c>
      <c r="B1802" t="s">
        <v>111</v>
      </c>
      <c r="C1802" t="s">
        <v>134</v>
      </c>
      <c r="D1802" t="s">
        <v>118</v>
      </c>
      <c r="E1802" t="s">
        <v>2618</v>
      </c>
      <c r="F1802" t="s">
        <v>6</v>
      </c>
      <c r="G1802" t="s">
        <v>130</v>
      </c>
      <c r="H1802" s="1">
        <v>46132</v>
      </c>
      <c r="I1802" t="s">
        <v>9285</v>
      </c>
      <c r="J1802" t="s">
        <v>9286</v>
      </c>
      <c r="K1802" t="s">
        <v>2301</v>
      </c>
      <c r="L1802" t="s">
        <v>720</v>
      </c>
      <c r="M1802" t="s">
        <v>1399</v>
      </c>
      <c r="N1802" s="166">
        <v>19.32</v>
      </c>
      <c r="O1802" t="s">
        <v>131</v>
      </c>
    </row>
    <row r="1803" spans="1:15">
      <c r="A1803" s="166" t="s">
        <v>9287</v>
      </c>
      <c r="B1803" t="s">
        <v>111</v>
      </c>
      <c r="C1803" t="s">
        <v>133</v>
      </c>
      <c r="D1803" t="s">
        <v>118</v>
      </c>
      <c r="E1803" t="s">
        <v>2618</v>
      </c>
      <c r="F1803" t="s">
        <v>6</v>
      </c>
      <c r="G1803" t="s">
        <v>130</v>
      </c>
      <c r="H1803" s="1">
        <v>46132</v>
      </c>
      <c r="I1803" t="s">
        <v>9288</v>
      </c>
      <c r="J1803" t="s">
        <v>9289</v>
      </c>
      <c r="K1803" t="s">
        <v>1602</v>
      </c>
      <c r="L1803" t="s">
        <v>672</v>
      </c>
      <c r="M1803" t="s">
        <v>617</v>
      </c>
      <c r="N1803" s="166">
        <v>20.02</v>
      </c>
      <c r="O1803" t="s">
        <v>131</v>
      </c>
    </row>
    <row r="1804" spans="1:15">
      <c r="A1804" s="166" t="s">
        <v>9290</v>
      </c>
      <c r="B1804" t="s">
        <v>111</v>
      </c>
      <c r="C1804" t="s">
        <v>135</v>
      </c>
      <c r="D1804" t="s">
        <v>118</v>
      </c>
      <c r="E1804" t="s">
        <v>139</v>
      </c>
      <c r="F1804" t="s">
        <v>6</v>
      </c>
      <c r="G1804" t="s">
        <v>130</v>
      </c>
      <c r="H1804" s="1">
        <v>46132</v>
      </c>
      <c r="I1804" t="s">
        <v>9291</v>
      </c>
      <c r="J1804" t="s">
        <v>9292</v>
      </c>
      <c r="K1804" t="s">
        <v>895</v>
      </c>
      <c r="L1804" t="s">
        <v>772</v>
      </c>
      <c r="M1804" t="s">
        <v>2218</v>
      </c>
      <c r="N1804" s="166">
        <v>25.66</v>
      </c>
      <c r="O1804" t="s">
        <v>131</v>
      </c>
    </row>
    <row r="1805" spans="1:15">
      <c r="A1805" s="166" t="s">
        <v>9293</v>
      </c>
      <c r="B1805" t="s">
        <v>111</v>
      </c>
      <c r="C1805" t="s">
        <v>7474</v>
      </c>
      <c r="D1805" t="s">
        <v>118</v>
      </c>
      <c r="E1805" t="s">
        <v>139</v>
      </c>
      <c r="F1805" t="s">
        <v>6</v>
      </c>
      <c r="G1805" t="s">
        <v>130</v>
      </c>
      <c r="H1805" s="1">
        <v>46132</v>
      </c>
      <c r="I1805" t="s">
        <v>9294</v>
      </c>
      <c r="J1805" t="s">
        <v>9295</v>
      </c>
      <c r="K1805" t="s">
        <v>3575</v>
      </c>
      <c r="L1805" t="s">
        <v>1965</v>
      </c>
      <c r="M1805" t="s">
        <v>1301</v>
      </c>
      <c r="N1805" s="166">
        <v>19.36</v>
      </c>
      <c r="O1805" t="s">
        <v>131</v>
      </c>
    </row>
    <row r="1806" spans="1:15">
      <c r="A1806" s="166" t="s">
        <v>9296</v>
      </c>
      <c r="B1806" t="s">
        <v>111</v>
      </c>
      <c r="C1806" t="s">
        <v>2424</v>
      </c>
      <c r="D1806" t="s">
        <v>118</v>
      </c>
      <c r="E1806" t="s">
        <v>2618</v>
      </c>
      <c r="F1806" t="s">
        <v>6</v>
      </c>
      <c r="G1806" t="s">
        <v>130</v>
      </c>
      <c r="H1806" s="1">
        <v>46132</v>
      </c>
      <c r="I1806" t="s">
        <v>9297</v>
      </c>
      <c r="J1806" t="s">
        <v>9298</v>
      </c>
      <c r="K1806" t="s">
        <v>921</v>
      </c>
      <c r="L1806" t="s">
        <v>725</v>
      </c>
      <c r="M1806" t="s">
        <v>2948</v>
      </c>
      <c r="N1806" s="166">
        <v>25.86</v>
      </c>
      <c r="O1806" t="s">
        <v>131</v>
      </c>
    </row>
    <row r="1807" spans="1:15">
      <c r="A1807" s="166" t="s">
        <v>9299</v>
      </c>
      <c r="B1807" t="s">
        <v>111</v>
      </c>
      <c r="C1807" t="s">
        <v>134</v>
      </c>
      <c r="D1807" t="s">
        <v>118</v>
      </c>
      <c r="E1807" t="s">
        <v>2618</v>
      </c>
      <c r="F1807" t="s">
        <v>6</v>
      </c>
      <c r="G1807" t="s">
        <v>130</v>
      </c>
      <c r="H1807" s="1">
        <v>46132</v>
      </c>
      <c r="I1807" t="s">
        <v>9300</v>
      </c>
      <c r="J1807" t="s">
        <v>9301</v>
      </c>
      <c r="K1807" t="s">
        <v>2661</v>
      </c>
      <c r="L1807" t="s">
        <v>665</v>
      </c>
      <c r="M1807" t="s">
        <v>2952</v>
      </c>
      <c r="N1807" s="166">
        <v>24.2</v>
      </c>
      <c r="O1807" t="s">
        <v>131</v>
      </c>
    </row>
    <row r="1808" spans="1:15">
      <c r="A1808" s="166" t="s">
        <v>9302</v>
      </c>
      <c r="B1808" t="s">
        <v>111</v>
      </c>
      <c r="C1808" t="s">
        <v>406</v>
      </c>
      <c r="D1808" t="s">
        <v>118</v>
      </c>
      <c r="E1808" t="s">
        <v>139</v>
      </c>
      <c r="F1808" t="s">
        <v>6</v>
      </c>
      <c r="G1808" t="s">
        <v>130</v>
      </c>
      <c r="H1808" s="1">
        <v>46132</v>
      </c>
      <c r="I1808" t="s">
        <v>9303</v>
      </c>
      <c r="J1808" t="s">
        <v>9304</v>
      </c>
      <c r="K1808" t="s">
        <v>1442</v>
      </c>
      <c r="L1808" t="s">
        <v>1076</v>
      </c>
      <c r="M1808" t="s">
        <v>2502</v>
      </c>
      <c r="N1808" s="166">
        <v>19.96</v>
      </c>
      <c r="O1808" t="s">
        <v>131</v>
      </c>
    </row>
    <row r="1809" spans="1:15">
      <c r="A1809" s="166" t="s">
        <v>9305</v>
      </c>
      <c r="B1809" t="s">
        <v>111</v>
      </c>
      <c r="C1809" t="s">
        <v>133</v>
      </c>
      <c r="D1809" t="s">
        <v>118</v>
      </c>
      <c r="E1809" t="s">
        <v>2618</v>
      </c>
      <c r="F1809" t="s">
        <v>6</v>
      </c>
      <c r="G1809" t="s">
        <v>130</v>
      </c>
      <c r="H1809" s="1">
        <v>46132</v>
      </c>
      <c r="I1809" t="s">
        <v>9306</v>
      </c>
      <c r="J1809" t="s">
        <v>9307</v>
      </c>
      <c r="K1809" t="s">
        <v>9308</v>
      </c>
      <c r="L1809" t="s">
        <v>2095</v>
      </c>
      <c r="M1809" t="s">
        <v>9309</v>
      </c>
      <c r="N1809" s="166">
        <v>27.06</v>
      </c>
      <c r="O1809" t="s">
        <v>131</v>
      </c>
    </row>
    <row r="1810" spans="1:15">
      <c r="A1810" s="166" t="s">
        <v>9310</v>
      </c>
      <c r="B1810" t="s">
        <v>111</v>
      </c>
      <c r="C1810" t="s">
        <v>135</v>
      </c>
      <c r="D1810" t="s">
        <v>118</v>
      </c>
      <c r="E1810" t="s">
        <v>139</v>
      </c>
      <c r="F1810" t="s">
        <v>6</v>
      </c>
      <c r="G1810" t="s">
        <v>130</v>
      </c>
      <c r="H1810" s="1">
        <v>46132</v>
      </c>
      <c r="I1810" t="s">
        <v>9311</v>
      </c>
      <c r="J1810" t="s">
        <v>9312</v>
      </c>
      <c r="K1810" t="s">
        <v>3433</v>
      </c>
      <c r="L1810" t="s">
        <v>786</v>
      </c>
      <c r="M1810" t="s">
        <v>3145</v>
      </c>
      <c r="N1810" s="166">
        <v>21.54</v>
      </c>
      <c r="O1810" t="s">
        <v>131</v>
      </c>
    </row>
    <row r="1811" spans="1:15">
      <c r="A1811" s="166" t="s">
        <v>9313</v>
      </c>
      <c r="B1811" t="s">
        <v>111</v>
      </c>
      <c r="C1811" t="s">
        <v>1104</v>
      </c>
      <c r="D1811" t="s">
        <v>118</v>
      </c>
      <c r="E1811" t="s">
        <v>2618</v>
      </c>
      <c r="F1811" t="s">
        <v>6</v>
      </c>
      <c r="G1811" t="s">
        <v>130</v>
      </c>
      <c r="H1811" s="1">
        <v>46132</v>
      </c>
      <c r="I1811" t="s">
        <v>9314</v>
      </c>
      <c r="J1811" t="s">
        <v>9315</v>
      </c>
      <c r="K1811" t="s">
        <v>2994</v>
      </c>
      <c r="L1811" t="s">
        <v>3441</v>
      </c>
      <c r="M1811" t="s">
        <v>434</v>
      </c>
      <c r="N1811" s="166">
        <v>21.6</v>
      </c>
      <c r="O1811" t="s">
        <v>131</v>
      </c>
    </row>
    <row r="1812" spans="1:15">
      <c r="A1812" s="166" t="s">
        <v>9316</v>
      </c>
      <c r="B1812" t="s">
        <v>111</v>
      </c>
      <c r="C1812" t="s">
        <v>2424</v>
      </c>
      <c r="D1812" t="s">
        <v>118</v>
      </c>
      <c r="E1812" t="s">
        <v>2618</v>
      </c>
      <c r="F1812" t="s">
        <v>6</v>
      </c>
      <c r="G1812" t="s">
        <v>130</v>
      </c>
      <c r="H1812" s="1">
        <v>46132</v>
      </c>
      <c r="I1812" t="s">
        <v>9317</v>
      </c>
      <c r="J1812" t="s">
        <v>9318</v>
      </c>
      <c r="K1812" t="s">
        <v>9319</v>
      </c>
      <c r="L1812" t="s">
        <v>2004</v>
      </c>
      <c r="M1812" t="s">
        <v>9320</v>
      </c>
      <c r="N1812" s="166">
        <v>26.3</v>
      </c>
      <c r="O1812" t="s">
        <v>131</v>
      </c>
    </row>
    <row r="1813" spans="1:15">
      <c r="A1813" s="166" t="s">
        <v>9321</v>
      </c>
      <c r="B1813" t="s">
        <v>111</v>
      </c>
      <c r="C1813" t="s">
        <v>134</v>
      </c>
      <c r="D1813" t="s">
        <v>118</v>
      </c>
      <c r="E1813" t="s">
        <v>2618</v>
      </c>
      <c r="F1813" t="s">
        <v>6</v>
      </c>
      <c r="G1813" t="s">
        <v>130</v>
      </c>
      <c r="H1813" s="1">
        <v>46132</v>
      </c>
      <c r="I1813" t="s">
        <v>9322</v>
      </c>
      <c r="J1813" t="s">
        <v>9323</v>
      </c>
      <c r="K1813" t="s">
        <v>1689</v>
      </c>
      <c r="L1813" t="s">
        <v>720</v>
      </c>
      <c r="M1813" t="s">
        <v>4764</v>
      </c>
      <c r="N1813" s="166">
        <v>23.08</v>
      </c>
      <c r="O1813" t="s">
        <v>131</v>
      </c>
    </row>
    <row r="1814" spans="1:15">
      <c r="A1814" s="166" t="s">
        <v>9324</v>
      </c>
      <c r="B1814" t="s">
        <v>111</v>
      </c>
      <c r="C1814" t="s">
        <v>133</v>
      </c>
      <c r="D1814" t="s">
        <v>118</v>
      </c>
      <c r="E1814" t="s">
        <v>2618</v>
      </c>
      <c r="F1814" t="s">
        <v>6</v>
      </c>
      <c r="G1814" t="s">
        <v>130</v>
      </c>
      <c r="H1814" s="1">
        <v>46132</v>
      </c>
      <c r="I1814" t="s">
        <v>9325</v>
      </c>
      <c r="J1814" t="s">
        <v>9326</v>
      </c>
      <c r="K1814" t="s">
        <v>5922</v>
      </c>
      <c r="L1814" t="s">
        <v>1662</v>
      </c>
      <c r="M1814" t="s">
        <v>2831</v>
      </c>
      <c r="N1814" s="166">
        <v>26.38</v>
      </c>
      <c r="O1814" t="s">
        <v>131</v>
      </c>
    </row>
    <row r="1815" spans="1:15">
      <c r="A1815" s="166" t="s">
        <v>9327</v>
      </c>
      <c r="B1815" t="s">
        <v>111</v>
      </c>
      <c r="C1815" t="s">
        <v>406</v>
      </c>
      <c r="D1815" t="s">
        <v>118</v>
      </c>
      <c r="E1815" t="s">
        <v>139</v>
      </c>
      <c r="F1815" t="s">
        <v>6</v>
      </c>
      <c r="G1815" t="s">
        <v>130</v>
      </c>
      <c r="H1815" s="1">
        <v>46132</v>
      </c>
      <c r="I1815" t="s">
        <v>9328</v>
      </c>
      <c r="J1815" t="s">
        <v>9329</v>
      </c>
      <c r="K1815" t="s">
        <v>9031</v>
      </c>
      <c r="L1815" t="s">
        <v>611</v>
      </c>
      <c r="M1815" t="s">
        <v>3898</v>
      </c>
      <c r="N1815" s="166">
        <v>19.059999999999999</v>
      </c>
      <c r="O1815" t="s">
        <v>131</v>
      </c>
    </row>
    <row r="1816" spans="1:15">
      <c r="A1816" s="166" t="s">
        <v>9330</v>
      </c>
      <c r="B1816" t="s">
        <v>111</v>
      </c>
      <c r="C1816" t="s">
        <v>1104</v>
      </c>
      <c r="D1816" t="s">
        <v>118</v>
      </c>
      <c r="E1816" t="s">
        <v>2618</v>
      </c>
      <c r="F1816" t="s">
        <v>6</v>
      </c>
      <c r="G1816" t="s">
        <v>130</v>
      </c>
      <c r="H1816" s="1">
        <v>46132</v>
      </c>
      <c r="I1816" t="s">
        <v>9331</v>
      </c>
      <c r="J1816" t="s">
        <v>9332</v>
      </c>
      <c r="K1816" t="s">
        <v>161</v>
      </c>
      <c r="L1816" t="s">
        <v>3207</v>
      </c>
      <c r="M1816" t="s">
        <v>2652</v>
      </c>
      <c r="N1816" s="166">
        <v>17.54</v>
      </c>
      <c r="O1816" t="s">
        <v>131</v>
      </c>
    </row>
    <row r="1817" spans="1:15">
      <c r="A1817" s="166" t="s">
        <v>9333</v>
      </c>
      <c r="B1817" t="s">
        <v>111</v>
      </c>
      <c r="C1817" t="s">
        <v>135</v>
      </c>
      <c r="D1817" t="s">
        <v>118</v>
      </c>
      <c r="E1817" t="s">
        <v>139</v>
      </c>
      <c r="F1817" t="s">
        <v>6</v>
      </c>
      <c r="G1817" t="s">
        <v>130</v>
      </c>
      <c r="H1817" s="1">
        <v>46132</v>
      </c>
      <c r="I1817" t="s">
        <v>9334</v>
      </c>
      <c r="J1817" t="s">
        <v>9335</v>
      </c>
      <c r="K1817" t="s">
        <v>781</v>
      </c>
      <c r="L1817" t="s">
        <v>761</v>
      </c>
      <c r="M1817" t="s">
        <v>634</v>
      </c>
      <c r="N1817" s="166">
        <v>21.06</v>
      </c>
      <c r="O1817" t="s">
        <v>131</v>
      </c>
    </row>
    <row r="1818" spans="1:15">
      <c r="A1818" s="166" t="s">
        <v>9336</v>
      </c>
      <c r="B1818" t="s">
        <v>111</v>
      </c>
      <c r="C1818" t="s">
        <v>2424</v>
      </c>
      <c r="D1818" t="s">
        <v>118</v>
      </c>
      <c r="E1818" t="s">
        <v>2618</v>
      </c>
      <c r="F1818" t="s">
        <v>6</v>
      </c>
      <c r="G1818" t="s">
        <v>130</v>
      </c>
      <c r="H1818" s="1">
        <v>46132</v>
      </c>
      <c r="I1818" t="s">
        <v>9337</v>
      </c>
      <c r="J1818" t="s">
        <v>9338</v>
      </c>
      <c r="K1818" t="s">
        <v>9339</v>
      </c>
      <c r="L1818" t="s">
        <v>2184</v>
      </c>
      <c r="M1818" t="s">
        <v>9340</v>
      </c>
      <c r="N1818" s="166">
        <v>29.02</v>
      </c>
      <c r="O1818" t="s">
        <v>131</v>
      </c>
    </row>
    <row r="1819" spans="1:15">
      <c r="A1819" s="166" t="s">
        <v>9341</v>
      </c>
      <c r="B1819" t="s">
        <v>111</v>
      </c>
      <c r="C1819" t="s">
        <v>7474</v>
      </c>
      <c r="D1819" t="s">
        <v>118</v>
      </c>
      <c r="E1819" t="s">
        <v>139</v>
      </c>
      <c r="F1819" t="s">
        <v>6</v>
      </c>
      <c r="G1819" t="s">
        <v>130</v>
      </c>
      <c r="H1819" s="1">
        <v>46132</v>
      </c>
      <c r="I1819" t="s">
        <v>9342</v>
      </c>
      <c r="J1819" t="s">
        <v>9343</v>
      </c>
      <c r="K1819" t="s">
        <v>672</v>
      </c>
      <c r="L1819" t="s">
        <v>638</v>
      </c>
      <c r="M1819" t="s">
        <v>2100</v>
      </c>
      <c r="N1819" s="166">
        <v>20.54</v>
      </c>
      <c r="O1819" t="s">
        <v>131</v>
      </c>
    </row>
    <row r="1820" spans="1:15">
      <c r="A1820" s="166" t="s">
        <v>9344</v>
      </c>
      <c r="B1820" t="s">
        <v>111</v>
      </c>
      <c r="C1820" t="s">
        <v>134</v>
      </c>
      <c r="D1820" t="s">
        <v>118</v>
      </c>
      <c r="E1820" t="s">
        <v>2618</v>
      </c>
      <c r="F1820" t="s">
        <v>6</v>
      </c>
      <c r="G1820" t="s">
        <v>130</v>
      </c>
      <c r="H1820" s="1">
        <v>46132</v>
      </c>
      <c r="I1820" t="s">
        <v>9345</v>
      </c>
      <c r="J1820" t="s">
        <v>9346</v>
      </c>
      <c r="K1820" t="s">
        <v>988</v>
      </c>
      <c r="L1820" t="s">
        <v>144</v>
      </c>
      <c r="M1820" t="s">
        <v>9347</v>
      </c>
      <c r="N1820" s="166">
        <v>29.26</v>
      </c>
      <c r="O1820" t="s">
        <v>131</v>
      </c>
    </row>
    <row r="1821" spans="1:15">
      <c r="A1821" s="166" t="s">
        <v>1398</v>
      </c>
      <c r="B1821" t="s">
        <v>111</v>
      </c>
      <c r="C1821" t="s">
        <v>133</v>
      </c>
      <c r="D1821" t="s">
        <v>118</v>
      </c>
      <c r="E1821" t="s">
        <v>2618</v>
      </c>
      <c r="F1821" t="s">
        <v>6</v>
      </c>
      <c r="G1821" t="s">
        <v>130</v>
      </c>
      <c r="H1821" s="1">
        <v>46132</v>
      </c>
      <c r="I1821" t="s">
        <v>9348</v>
      </c>
      <c r="J1821" t="s">
        <v>9349</v>
      </c>
      <c r="K1821" t="s">
        <v>2811</v>
      </c>
      <c r="L1821" t="s">
        <v>2568</v>
      </c>
      <c r="M1821" t="s">
        <v>9350</v>
      </c>
      <c r="N1821" s="166">
        <v>28.72</v>
      </c>
      <c r="O1821" t="s">
        <v>131</v>
      </c>
    </row>
    <row r="1822" spans="1:15">
      <c r="A1822" s="166" t="s">
        <v>9351</v>
      </c>
      <c r="B1822" t="s">
        <v>111</v>
      </c>
      <c r="C1822" t="s">
        <v>1104</v>
      </c>
      <c r="D1822" t="s">
        <v>118</v>
      </c>
      <c r="E1822" t="s">
        <v>2618</v>
      </c>
      <c r="F1822" t="s">
        <v>6</v>
      </c>
      <c r="G1822" t="s">
        <v>130</v>
      </c>
      <c r="H1822" s="1">
        <v>46132</v>
      </c>
      <c r="I1822" t="s">
        <v>9352</v>
      </c>
      <c r="J1822" t="s">
        <v>9353</v>
      </c>
      <c r="K1822" t="s">
        <v>2237</v>
      </c>
      <c r="L1822" t="s">
        <v>3542</v>
      </c>
      <c r="M1822" t="s">
        <v>2785</v>
      </c>
      <c r="N1822" s="166">
        <v>26.96</v>
      </c>
      <c r="O1822" t="s">
        <v>131</v>
      </c>
    </row>
    <row r="1823" spans="1:15">
      <c r="A1823" s="166" t="s">
        <v>9354</v>
      </c>
      <c r="B1823" t="s">
        <v>111</v>
      </c>
      <c r="C1823" t="s">
        <v>406</v>
      </c>
      <c r="D1823" t="s">
        <v>118</v>
      </c>
      <c r="E1823" t="s">
        <v>139</v>
      </c>
      <c r="F1823" t="s">
        <v>6</v>
      </c>
      <c r="G1823" t="s">
        <v>130</v>
      </c>
      <c r="H1823" s="1">
        <v>46132</v>
      </c>
      <c r="I1823" t="s">
        <v>9355</v>
      </c>
      <c r="J1823" t="s">
        <v>9356</v>
      </c>
      <c r="K1823" t="s">
        <v>632</v>
      </c>
      <c r="L1823" t="s">
        <v>650</v>
      </c>
      <c r="M1823" t="s">
        <v>596</v>
      </c>
      <c r="N1823" s="166">
        <v>20.36</v>
      </c>
      <c r="O1823" t="s">
        <v>131</v>
      </c>
    </row>
    <row r="1824" spans="1:15">
      <c r="A1824" s="166" t="s">
        <v>9357</v>
      </c>
      <c r="B1824" t="s">
        <v>111</v>
      </c>
      <c r="C1824" t="s">
        <v>135</v>
      </c>
      <c r="D1824" t="s">
        <v>118</v>
      </c>
      <c r="E1824" t="s">
        <v>139</v>
      </c>
      <c r="F1824" t="s">
        <v>6</v>
      </c>
      <c r="G1824" t="s">
        <v>130</v>
      </c>
      <c r="H1824" s="1">
        <v>46132</v>
      </c>
      <c r="I1824" t="s">
        <v>9358</v>
      </c>
      <c r="J1824" t="s">
        <v>9359</v>
      </c>
      <c r="K1824" t="s">
        <v>3553</v>
      </c>
      <c r="L1824" t="s">
        <v>777</v>
      </c>
      <c r="M1824" t="s">
        <v>1653</v>
      </c>
      <c r="N1824" s="166">
        <v>21.42</v>
      </c>
      <c r="O1824" t="s">
        <v>131</v>
      </c>
    </row>
    <row r="1825" spans="1:15">
      <c r="A1825" s="166" t="s">
        <v>9360</v>
      </c>
      <c r="B1825" t="s">
        <v>111</v>
      </c>
      <c r="C1825" t="s">
        <v>7474</v>
      </c>
      <c r="D1825" t="s">
        <v>118</v>
      </c>
      <c r="E1825" t="s">
        <v>139</v>
      </c>
      <c r="F1825" t="s">
        <v>6</v>
      </c>
      <c r="G1825" t="s">
        <v>130</v>
      </c>
      <c r="H1825" s="1">
        <v>46132</v>
      </c>
      <c r="I1825" t="s">
        <v>9361</v>
      </c>
      <c r="J1825" t="s">
        <v>9362</v>
      </c>
      <c r="K1825" t="s">
        <v>611</v>
      </c>
      <c r="L1825" t="s">
        <v>2267</v>
      </c>
      <c r="M1825" t="s">
        <v>9363</v>
      </c>
      <c r="N1825" s="166">
        <v>0.22</v>
      </c>
      <c r="O1825" t="s">
        <v>131</v>
      </c>
    </row>
    <row r="1826" spans="1:15">
      <c r="A1826" s="166" t="s">
        <v>9364</v>
      </c>
      <c r="B1826" t="s">
        <v>111</v>
      </c>
      <c r="C1826" t="s">
        <v>406</v>
      </c>
      <c r="D1826" t="s">
        <v>118</v>
      </c>
      <c r="E1826" t="s">
        <v>139</v>
      </c>
      <c r="F1826" t="s">
        <v>6</v>
      </c>
      <c r="G1826" t="s">
        <v>130</v>
      </c>
      <c r="H1826" s="1">
        <v>46132</v>
      </c>
      <c r="I1826" t="s">
        <v>9365</v>
      </c>
      <c r="J1826" t="s">
        <v>9366</v>
      </c>
      <c r="K1826" t="s">
        <v>8887</v>
      </c>
      <c r="L1826" t="s">
        <v>725</v>
      </c>
      <c r="M1826" t="s">
        <v>541</v>
      </c>
      <c r="N1826" s="166">
        <v>21.18</v>
      </c>
      <c r="O1826" t="s">
        <v>131</v>
      </c>
    </row>
    <row r="1827" spans="1:15">
      <c r="A1827" s="166" t="s">
        <v>9367</v>
      </c>
      <c r="B1827" t="s">
        <v>111</v>
      </c>
      <c r="C1827" t="s">
        <v>2424</v>
      </c>
      <c r="D1827" t="s">
        <v>118</v>
      </c>
      <c r="E1827" t="s">
        <v>2618</v>
      </c>
      <c r="F1827" t="s">
        <v>6</v>
      </c>
      <c r="G1827" t="s">
        <v>130</v>
      </c>
      <c r="H1827" s="1">
        <v>46132</v>
      </c>
      <c r="I1827" t="s">
        <v>9368</v>
      </c>
      <c r="J1827" t="s">
        <v>9369</v>
      </c>
      <c r="K1827" t="s">
        <v>2696</v>
      </c>
      <c r="L1827" t="s">
        <v>2644</v>
      </c>
      <c r="M1827" t="s">
        <v>3689</v>
      </c>
      <c r="N1827" s="166">
        <v>25.44</v>
      </c>
      <c r="O1827" t="s">
        <v>131</v>
      </c>
    </row>
    <row r="1828" spans="1:15">
      <c r="A1828" s="166" t="s">
        <v>9370</v>
      </c>
      <c r="B1828" t="s">
        <v>111</v>
      </c>
      <c r="C1828" t="s">
        <v>134</v>
      </c>
      <c r="D1828" t="s">
        <v>118</v>
      </c>
      <c r="E1828" t="s">
        <v>2618</v>
      </c>
      <c r="F1828" t="s">
        <v>6</v>
      </c>
      <c r="G1828" t="s">
        <v>130</v>
      </c>
      <c r="H1828" s="1">
        <v>46132</v>
      </c>
      <c r="I1828" t="s">
        <v>9371</v>
      </c>
      <c r="J1828" t="s">
        <v>9372</v>
      </c>
      <c r="K1828" t="s">
        <v>9373</v>
      </c>
      <c r="L1828" t="s">
        <v>777</v>
      </c>
      <c r="M1828" t="s">
        <v>5923</v>
      </c>
      <c r="N1828" s="166">
        <v>27.12</v>
      </c>
      <c r="O1828" t="s">
        <v>131</v>
      </c>
    </row>
    <row r="1829" spans="1:15">
      <c r="A1829" s="166" t="s">
        <v>9374</v>
      </c>
      <c r="B1829" t="s">
        <v>111</v>
      </c>
      <c r="C1829" t="s">
        <v>135</v>
      </c>
      <c r="D1829" t="s">
        <v>118</v>
      </c>
      <c r="E1829" t="s">
        <v>139</v>
      </c>
      <c r="F1829" t="s">
        <v>6</v>
      </c>
      <c r="G1829" t="s">
        <v>130</v>
      </c>
      <c r="H1829" s="1">
        <v>46132</v>
      </c>
      <c r="I1829" t="s">
        <v>9375</v>
      </c>
      <c r="J1829" t="s">
        <v>9376</v>
      </c>
      <c r="K1829" t="s">
        <v>5209</v>
      </c>
      <c r="L1829" t="s">
        <v>786</v>
      </c>
      <c r="M1829" t="s">
        <v>1757</v>
      </c>
      <c r="N1829" s="166">
        <v>20.28</v>
      </c>
      <c r="O1829" t="s">
        <v>131</v>
      </c>
    </row>
    <row r="1830" spans="1:15">
      <c r="A1830" s="166" t="s">
        <v>9377</v>
      </c>
      <c r="B1830" t="s">
        <v>111</v>
      </c>
      <c r="C1830" t="s">
        <v>133</v>
      </c>
      <c r="D1830" t="s">
        <v>118</v>
      </c>
      <c r="E1830" t="s">
        <v>2618</v>
      </c>
      <c r="F1830" t="s">
        <v>6</v>
      </c>
      <c r="G1830" t="s">
        <v>130</v>
      </c>
      <c r="H1830" s="1">
        <v>46132</v>
      </c>
      <c r="I1830" t="s">
        <v>9378</v>
      </c>
      <c r="J1830" t="s">
        <v>9379</v>
      </c>
      <c r="K1830" t="s">
        <v>4012</v>
      </c>
      <c r="L1830" t="s">
        <v>2058</v>
      </c>
      <c r="M1830" t="s">
        <v>2359</v>
      </c>
      <c r="N1830" s="166">
        <v>22.48</v>
      </c>
      <c r="O1830" t="s">
        <v>131</v>
      </c>
    </row>
    <row r="1831" spans="1:15">
      <c r="A1831" s="166" t="s">
        <v>9380</v>
      </c>
      <c r="B1831" t="s">
        <v>111</v>
      </c>
      <c r="C1831" t="s">
        <v>1104</v>
      </c>
      <c r="D1831" t="s">
        <v>118</v>
      </c>
      <c r="E1831" t="s">
        <v>2618</v>
      </c>
      <c r="F1831" t="s">
        <v>6</v>
      </c>
      <c r="G1831" t="s">
        <v>130</v>
      </c>
      <c r="H1831" s="1">
        <v>46132</v>
      </c>
      <c r="I1831" t="s">
        <v>9381</v>
      </c>
      <c r="J1831" t="s">
        <v>9382</v>
      </c>
      <c r="K1831" t="s">
        <v>2413</v>
      </c>
      <c r="L1831" t="s">
        <v>2008</v>
      </c>
      <c r="M1831" t="s">
        <v>1573</v>
      </c>
      <c r="N1831" s="166">
        <v>18.32</v>
      </c>
      <c r="O1831" t="s">
        <v>131</v>
      </c>
    </row>
    <row r="1832" spans="1:15">
      <c r="A1832" s="166" t="s">
        <v>9383</v>
      </c>
      <c r="B1832" t="s">
        <v>111</v>
      </c>
      <c r="C1832" t="s">
        <v>2424</v>
      </c>
      <c r="D1832" t="s">
        <v>118</v>
      </c>
      <c r="E1832" t="s">
        <v>2618</v>
      </c>
      <c r="F1832" t="s">
        <v>6</v>
      </c>
      <c r="G1832" t="s">
        <v>130</v>
      </c>
      <c r="H1832" s="1">
        <v>46132</v>
      </c>
      <c r="I1832" t="s">
        <v>9384</v>
      </c>
      <c r="J1832" t="s">
        <v>9385</v>
      </c>
      <c r="K1832" t="s">
        <v>5922</v>
      </c>
      <c r="L1832" t="s">
        <v>890</v>
      </c>
      <c r="M1832" t="s">
        <v>2929</v>
      </c>
      <c r="N1832" s="166">
        <v>25.96</v>
      </c>
      <c r="O1832" t="s">
        <v>131</v>
      </c>
    </row>
    <row r="1833" spans="1:15">
      <c r="A1833" s="166" t="s">
        <v>9386</v>
      </c>
      <c r="B1833" t="s">
        <v>111</v>
      </c>
      <c r="C1833" t="s">
        <v>406</v>
      </c>
      <c r="D1833" t="s">
        <v>118</v>
      </c>
      <c r="E1833" t="s">
        <v>139</v>
      </c>
      <c r="F1833" t="s">
        <v>6</v>
      </c>
      <c r="G1833" t="s">
        <v>130</v>
      </c>
      <c r="H1833" s="1">
        <v>46132</v>
      </c>
      <c r="I1833" t="s">
        <v>9387</v>
      </c>
      <c r="J1833" t="s">
        <v>9388</v>
      </c>
      <c r="K1833" t="s">
        <v>215</v>
      </c>
      <c r="L1833" t="s">
        <v>725</v>
      </c>
      <c r="M1833" t="s">
        <v>3174</v>
      </c>
      <c r="N1833" s="166">
        <v>20.7</v>
      </c>
      <c r="O1833" t="s">
        <v>131</v>
      </c>
    </row>
    <row r="1834" spans="1:15">
      <c r="A1834" s="166" t="s">
        <v>9389</v>
      </c>
      <c r="B1834" t="s">
        <v>111</v>
      </c>
      <c r="C1834" t="s">
        <v>135</v>
      </c>
      <c r="D1834" t="s">
        <v>118</v>
      </c>
      <c r="E1834" t="s">
        <v>139</v>
      </c>
      <c r="F1834" t="s">
        <v>6</v>
      </c>
      <c r="G1834" t="s">
        <v>130</v>
      </c>
      <c r="H1834" s="1">
        <v>46132</v>
      </c>
      <c r="I1834" t="s">
        <v>9390</v>
      </c>
      <c r="J1834" t="s">
        <v>9391</v>
      </c>
      <c r="K1834" t="s">
        <v>1442</v>
      </c>
      <c r="L1834" t="s">
        <v>786</v>
      </c>
      <c r="M1834" t="s">
        <v>444</v>
      </c>
      <c r="N1834" s="166">
        <v>20.079999999999998</v>
      </c>
      <c r="O1834" t="s">
        <v>131</v>
      </c>
    </row>
    <row r="1835" spans="1:15">
      <c r="A1835" s="166" t="s">
        <v>9392</v>
      </c>
      <c r="B1835" t="s">
        <v>111</v>
      </c>
      <c r="C1835" t="s">
        <v>7474</v>
      </c>
      <c r="D1835" t="s">
        <v>118</v>
      </c>
      <c r="E1835" t="s">
        <v>139</v>
      </c>
      <c r="F1835" t="s">
        <v>6</v>
      </c>
      <c r="G1835" t="s">
        <v>130</v>
      </c>
      <c r="H1835" s="1">
        <v>46132</v>
      </c>
      <c r="I1835" t="s">
        <v>9393</v>
      </c>
      <c r="J1835" t="s">
        <v>9394</v>
      </c>
      <c r="K1835" t="s">
        <v>1880</v>
      </c>
      <c r="L1835" t="s">
        <v>948</v>
      </c>
      <c r="M1835" t="s">
        <v>826</v>
      </c>
      <c r="N1835" s="166">
        <v>20.38</v>
      </c>
      <c r="O1835" t="s">
        <v>131</v>
      </c>
    </row>
    <row r="1836" spans="1:15">
      <c r="A1836" s="166" t="s">
        <v>9395</v>
      </c>
      <c r="B1836" t="s">
        <v>111</v>
      </c>
      <c r="C1836" t="s">
        <v>134</v>
      </c>
      <c r="D1836" t="s">
        <v>118</v>
      </c>
      <c r="E1836" t="s">
        <v>2618</v>
      </c>
      <c r="F1836" t="s">
        <v>6</v>
      </c>
      <c r="G1836" t="s">
        <v>130</v>
      </c>
      <c r="H1836" s="1">
        <v>46132</v>
      </c>
      <c r="I1836" t="s">
        <v>9396</v>
      </c>
      <c r="J1836" t="s">
        <v>9397</v>
      </c>
      <c r="K1836" t="s">
        <v>9398</v>
      </c>
      <c r="L1836" t="s">
        <v>162</v>
      </c>
      <c r="M1836" t="s">
        <v>9399</v>
      </c>
      <c r="N1836" s="166">
        <v>28.18</v>
      </c>
      <c r="O1836" t="s">
        <v>131</v>
      </c>
    </row>
    <row r="1837" spans="1:15">
      <c r="A1837" s="166" t="s">
        <v>9400</v>
      </c>
      <c r="B1837" t="s">
        <v>111</v>
      </c>
      <c r="C1837" t="s">
        <v>641</v>
      </c>
      <c r="D1837" t="s">
        <v>118</v>
      </c>
      <c r="E1837" t="s">
        <v>2618</v>
      </c>
      <c r="F1837" t="s">
        <v>6</v>
      </c>
      <c r="G1837" t="s">
        <v>130</v>
      </c>
      <c r="H1837" s="1">
        <v>46132</v>
      </c>
      <c r="I1837" t="s">
        <v>9401</v>
      </c>
      <c r="J1837" t="s">
        <v>9402</v>
      </c>
      <c r="K1837" t="s">
        <v>5015</v>
      </c>
      <c r="L1837" t="s">
        <v>2272</v>
      </c>
      <c r="M1837" t="s">
        <v>251</v>
      </c>
      <c r="N1837" s="166">
        <v>26.7</v>
      </c>
      <c r="O1837" t="s">
        <v>131</v>
      </c>
    </row>
    <row r="1838" spans="1:15">
      <c r="A1838" s="166" t="s">
        <v>9403</v>
      </c>
      <c r="B1838" t="s">
        <v>111</v>
      </c>
      <c r="C1838" t="s">
        <v>1104</v>
      </c>
      <c r="D1838" t="s">
        <v>118</v>
      </c>
      <c r="E1838" t="s">
        <v>2618</v>
      </c>
      <c r="F1838" t="s">
        <v>6</v>
      </c>
      <c r="G1838" t="s">
        <v>130</v>
      </c>
      <c r="H1838" s="1">
        <v>46132</v>
      </c>
      <c r="I1838" t="s">
        <v>9404</v>
      </c>
      <c r="J1838" t="s">
        <v>9405</v>
      </c>
      <c r="K1838" t="s">
        <v>9406</v>
      </c>
      <c r="L1838" t="s">
        <v>486</v>
      </c>
      <c r="M1838" t="s">
        <v>1018</v>
      </c>
      <c r="N1838" s="166">
        <v>28.94</v>
      </c>
      <c r="O1838" t="s">
        <v>131</v>
      </c>
    </row>
    <row r="1839" spans="1:15">
      <c r="A1839" s="166" t="s">
        <v>9407</v>
      </c>
      <c r="B1839" t="s">
        <v>111</v>
      </c>
      <c r="C1839" t="s">
        <v>133</v>
      </c>
      <c r="D1839" t="s">
        <v>118</v>
      </c>
      <c r="E1839" t="s">
        <v>2618</v>
      </c>
      <c r="F1839" t="s">
        <v>6</v>
      </c>
      <c r="G1839" t="s">
        <v>130</v>
      </c>
      <c r="H1839" s="1">
        <v>46132</v>
      </c>
      <c r="I1839" t="s">
        <v>9408</v>
      </c>
      <c r="J1839" t="s">
        <v>9409</v>
      </c>
      <c r="K1839" t="s">
        <v>2634</v>
      </c>
      <c r="L1839" t="s">
        <v>2184</v>
      </c>
      <c r="M1839" t="s">
        <v>707</v>
      </c>
      <c r="N1839" s="166">
        <v>25.54</v>
      </c>
      <c r="O1839" t="s">
        <v>131</v>
      </c>
    </row>
    <row r="1840" spans="1:15">
      <c r="A1840" s="166" t="s">
        <v>9410</v>
      </c>
      <c r="B1840" t="s">
        <v>111</v>
      </c>
      <c r="C1840" t="s">
        <v>406</v>
      </c>
      <c r="D1840" t="s">
        <v>118</v>
      </c>
      <c r="E1840" t="s">
        <v>139</v>
      </c>
      <c r="F1840" t="s">
        <v>6</v>
      </c>
      <c r="G1840" t="s">
        <v>130</v>
      </c>
      <c r="H1840" s="1">
        <v>46132</v>
      </c>
      <c r="I1840" t="s">
        <v>9411</v>
      </c>
      <c r="J1840" t="s">
        <v>9412</v>
      </c>
      <c r="K1840" t="s">
        <v>454</v>
      </c>
      <c r="L1840" t="s">
        <v>650</v>
      </c>
      <c r="M1840" t="s">
        <v>3174</v>
      </c>
      <c r="N1840" s="166">
        <v>20.7</v>
      </c>
      <c r="O1840" t="s">
        <v>131</v>
      </c>
    </row>
    <row r="1841" spans="1:15">
      <c r="A1841" s="166" t="s">
        <v>1709</v>
      </c>
      <c r="B1841" t="s">
        <v>111</v>
      </c>
      <c r="C1841" t="s">
        <v>135</v>
      </c>
      <c r="D1841" t="s">
        <v>118</v>
      </c>
      <c r="E1841" t="s">
        <v>139</v>
      </c>
      <c r="F1841" t="s">
        <v>6</v>
      </c>
      <c r="G1841" t="s">
        <v>130</v>
      </c>
      <c r="H1841" s="1">
        <v>46132</v>
      </c>
      <c r="I1841" t="s">
        <v>9413</v>
      </c>
      <c r="J1841" t="s">
        <v>9414</v>
      </c>
      <c r="K1841" t="s">
        <v>448</v>
      </c>
      <c r="L1841" t="s">
        <v>974</v>
      </c>
      <c r="M1841" t="s">
        <v>2586</v>
      </c>
      <c r="N1841" s="166">
        <v>21.04</v>
      </c>
      <c r="O1841" t="s">
        <v>131</v>
      </c>
    </row>
    <row r="1842" spans="1:15">
      <c r="A1842" s="166" t="s">
        <v>9415</v>
      </c>
      <c r="B1842" t="s">
        <v>111</v>
      </c>
      <c r="C1842" t="s">
        <v>7474</v>
      </c>
      <c r="D1842" t="s">
        <v>118</v>
      </c>
      <c r="E1842" t="s">
        <v>139</v>
      </c>
      <c r="F1842" t="s">
        <v>6</v>
      </c>
      <c r="G1842" t="s">
        <v>130</v>
      </c>
      <c r="H1842" s="1">
        <v>46132</v>
      </c>
      <c r="I1842" t="s">
        <v>9416</v>
      </c>
      <c r="J1842" t="s">
        <v>9417</v>
      </c>
      <c r="K1842" t="s">
        <v>1896</v>
      </c>
      <c r="L1842" t="s">
        <v>1062</v>
      </c>
      <c r="M1842" t="s">
        <v>791</v>
      </c>
      <c r="N1842" s="166">
        <v>19.079999999999998</v>
      </c>
      <c r="O1842" t="s">
        <v>131</v>
      </c>
    </row>
    <row r="1843" spans="1:15">
      <c r="A1843" s="166" t="s">
        <v>9418</v>
      </c>
      <c r="B1843" t="s">
        <v>111</v>
      </c>
      <c r="C1843" t="s">
        <v>134</v>
      </c>
      <c r="D1843" t="s">
        <v>118</v>
      </c>
      <c r="E1843" t="s">
        <v>2618</v>
      </c>
      <c r="F1843" t="s">
        <v>6</v>
      </c>
      <c r="G1843" t="s">
        <v>130</v>
      </c>
      <c r="H1843" s="1">
        <v>46132</v>
      </c>
      <c r="I1843" t="s">
        <v>9419</v>
      </c>
      <c r="J1843" t="s">
        <v>9420</v>
      </c>
      <c r="K1843" t="s">
        <v>9421</v>
      </c>
      <c r="L1843" t="s">
        <v>144</v>
      </c>
      <c r="M1843" t="s">
        <v>5788</v>
      </c>
      <c r="N1843" s="166">
        <v>31.62</v>
      </c>
      <c r="O1843" t="s">
        <v>131</v>
      </c>
    </row>
    <row r="1844" spans="1:15">
      <c r="A1844" s="166" t="s">
        <v>9422</v>
      </c>
      <c r="B1844" t="s">
        <v>111</v>
      </c>
      <c r="C1844" t="s">
        <v>641</v>
      </c>
      <c r="D1844" t="s">
        <v>118</v>
      </c>
      <c r="E1844" t="s">
        <v>2618</v>
      </c>
      <c r="F1844" t="s">
        <v>6</v>
      </c>
      <c r="G1844" t="s">
        <v>130</v>
      </c>
      <c r="H1844" s="1">
        <v>46132</v>
      </c>
      <c r="I1844" t="s">
        <v>9423</v>
      </c>
      <c r="J1844" t="s">
        <v>9424</v>
      </c>
      <c r="K1844" t="s">
        <v>9425</v>
      </c>
      <c r="L1844" t="s">
        <v>3441</v>
      </c>
      <c r="M1844" t="s">
        <v>9426</v>
      </c>
      <c r="N1844" s="166">
        <v>27.2</v>
      </c>
      <c r="O1844" t="s">
        <v>131</v>
      </c>
    </row>
    <row r="1845" spans="1:15">
      <c r="A1845" s="166" t="s">
        <v>9427</v>
      </c>
      <c r="B1845" t="s">
        <v>111</v>
      </c>
      <c r="C1845" t="s">
        <v>1104</v>
      </c>
      <c r="D1845" t="s">
        <v>118</v>
      </c>
      <c r="E1845" t="s">
        <v>2618</v>
      </c>
      <c r="F1845" t="s">
        <v>6</v>
      </c>
      <c r="G1845" t="s">
        <v>130</v>
      </c>
      <c r="H1845" s="1">
        <v>46132</v>
      </c>
      <c r="I1845" t="s">
        <v>9428</v>
      </c>
      <c r="J1845" t="s">
        <v>9429</v>
      </c>
      <c r="K1845" t="s">
        <v>696</v>
      </c>
      <c r="L1845" t="s">
        <v>3534</v>
      </c>
      <c r="M1845" t="s">
        <v>3311</v>
      </c>
      <c r="N1845" s="166">
        <v>23.64</v>
      </c>
      <c r="O1845" t="s">
        <v>131</v>
      </c>
    </row>
    <row r="1846" spans="1:15">
      <c r="A1846" s="166" t="s">
        <v>9430</v>
      </c>
      <c r="B1846" t="s">
        <v>111</v>
      </c>
      <c r="C1846" t="s">
        <v>1104</v>
      </c>
      <c r="D1846" t="s">
        <v>118</v>
      </c>
      <c r="E1846" t="s">
        <v>2618</v>
      </c>
      <c r="F1846" t="s">
        <v>6</v>
      </c>
      <c r="G1846" t="s">
        <v>130</v>
      </c>
      <c r="H1846" s="1">
        <v>46132</v>
      </c>
      <c r="I1846" t="s">
        <v>9428</v>
      </c>
      <c r="J1846" t="s">
        <v>9428</v>
      </c>
      <c r="K1846" t="s">
        <v>3592</v>
      </c>
      <c r="L1846" t="s">
        <v>3534</v>
      </c>
      <c r="M1846" t="s">
        <v>3646</v>
      </c>
      <c r="N1846" s="166">
        <v>20</v>
      </c>
      <c r="O1846" t="s">
        <v>232</v>
      </c>
    </row>
    <row r="1847" spans="1:15">
      <c r="A1847" s="166" t="s">
        <v>9431</v>
      </c>
      <c r="B1847" t="s">
        <v>111</v>
      </c>
      <c r="C1847" t="s">
        <v>2424</v>
      </c>
      <c r="D1847" t="s">
        <v>118</v>
      </c>
      <c r="E1847" t="s">
        <v>2618</v>
      </c>
      <c r="F1847" t="s">
        <v>6</v>
      </c>
      <c r="G1847" t="s">
        <v>130</v>
      </c>
      <c r="H1847" s="1">
        <v>46132</v>
      </c>
      <c r="I1847" t="s">
        <v>9428</v>
      </c>
      <c r="J1847" t="s">
        <v>9428</v>
      </c>
      <c r="K1847" t="s">
        <v>3592</v>
      </c>
      <c r="L1847" t="s">
        <v>3534</v>
      </c>
      <c r="M1847" t="s">
        <v>3646</v>
      </c>
      <c r="N1847" s="166">
        <v>20</v>
      </c>
      <c r="O1847" t="s">
        <v>232</v>
      </c>
    </row>
    <row r="1848" spans="1:15">
      <c r="A1848" s="166" t="s">
        <v>9432</v>
      </c>
      <c r="B1848" t="s">
        <v>111</v>
      </c>
      <c r="C1848" t="s">
        <v>406</v>
      </c>
      <c r="D1848" t="s">
        <v>118</v>
      </c>
      <c r="E1848" t="s">
        <v>2618</v>
      </c>
      <c r="F1848" t="s">
        <v>6</v>
      </c>
      <c r="G1848" t="s">
        <v>130</v>
      </c>
      <c r="H1848" s="1">
        <v>46132</v>
      </c>
      <c r="I1848" t="s">
        <v>9428</v>
      </c>
      <c r="J1848" t="s">
        <v>9428</v>
      </c>
      <c r="K1848" t="s">
        <v>3592</v>
      </c>
      <c r="L1848" t="s">
        <v>3534</v>
      </c>
      <c r="M1848" t="s">
        <v>3646</v>
      </c>
      <c r="N1848" s="166">
        <v>20</v>
      </c>
      <c r="O1848" t="s">
        <v>232</v>
      </c>
    </row>
    <row r="1849" spans="1:15">
      <c r="A1849" s="166" t="s">
        <v>9433</v>
      </c>
      <c r="B1849" t="s">
        <v>111</v>
      </c>
      <c r="C1849" t="s">
        <v>135</v>
      </c>
      <c r="D1849" t="s">
        <v>118</v>
      </c>
      <c r="E1849" t="s">
        <v>2618</v>
      </c>
      <c r="F1849" t="s">
        <v>6</v>
      </c>
      <c r="G1849" t="s">
        <v>130</v>
      </c>
      <c r="H1849" s="1">
        <v>46132</v>
      </c>
      <c r="I1849" t="s">
        <v>9428</v>
      </c>
      <c r="J1849" t="s">
        <v>9428</v>
      </c>
      <c r="K1849" t="s">
        <v>3592</v>
      </c>
      <c r="L1849" t="s">
        <v>3534</v>
      </c>
      <c r="M1849" t="s">
        <v>3646</v>
      </c>
      <c r="N1849" s="166">
        <v>20</v>
      </c>
      <c r="O1849" t="s">
        <v>232</v>
      </c>
    </row>
    <row r="1850" spans="1:15">
      <c r="A1850" s="166" t="s">
        <v>9434</v>
      </c>
      <c r="B1850" t="s">
        <v>111</v>
      </c>
      <c r="C1850" t="s">
        <v>7474</v>
      </c>
      <c r="D1850" t="s">
        <v>118</v>
      </c>
      <c r="E1850" t="s">
        <v>2618</v>
      </c>
      <c r="F1850" t="s">
        <v>6</v>
      </c>
      <c r="G1850" t="s">
        <v>130</v>
      </c>
      <c r="H1850" s="1">
        <v>46132</v>
      </c>
      <c r="I1850" t="s">
        <v>9428</v>
      </c>
      <c r="J1850" t="s">
        <v>9428</v>
      </c>
      <c r="K1850" t="s">
        <v>3592</v>
      </c>
      <c r="L1850" t="s">
        <v>3534</v>
      </c>
      <c r="M1850" t="s">
        <v>3646</v>
      </c>
      <c r="N1850" s="166">
        <v>20</v>
      </c>
      <c r="O1850" t="s">
        <v>232</v>
      </c>
    </row>
    <row r="1851" spans="1:15">
      <c r="A1851" s="166" t="s">
        <v>9435</v>
      </c>
      <c r="B1851" t="s">
        <v>111</v>
      </c>
      <c r="C1851" t="s">
        <v>134</v>
      </c>
      <c r="D1851" t="s">
        <v>118</v>
      </c>
      <c r="E1851" t="s">
        <v>2618</v>
      </c>
      <c r="F1851" t="s">
        <v>6</v>
      </c>
      <c r="G1851" t="s">
        <v>130</v>
      </c>
      <c r="H1851" s="1">
        <v>46132</v>
      </c>
      <c r="I1851" t="s">
        <v>9428</v>
      </c>
      <c r="J1851" t="s">
        <v>9428</v>
      </c>
      <c r="K1851" t="s">
        <v>3592</v>
      </c>
      <c r="L1851" t="s">
        <v>3534</v>
      </c>
      <c r="M1851" t="s">
        <v>3646</v>
      </c>
      <c r="N1851" s="166">
        <v>20</v>
      </c>
      <c r="O1851" t="s">
        <v>232</v>
      </c>
    </row>
    <row r="1852" spans="1:15">
      <c r="A1852" s="166" t="s">
        <v>9436</v>
      </c>
      <c r="B1852" t="s">
        <v>111</v>
      </c>
      <c r="C1852" t="s">
        <v>641</v>
      </c>
      <c r="D1852" t="s">
        <v>118</v>
      </c>
      <c r="E1852" t="s">
        <v>2618</v>
      </c>
      <c r="F1852" t="s">
        <v>6</v>
      </c>
      <c r="G1852" t="s">
        <v>130</v>
      </c>
      <c r="H1852" s="1">
        <v>46132</v>
      </c>
      <c r="I1852" t="s">
        <v>9428</v>
      </c>
      <c r="J1852" t="s">
        <v>9428</v>
      </c>
      <c r="K1852" t="s">
        <v>3592</v>
      </c>
      <c r="L1852" t="s">
        <v>3534</v>
      </c>
      <c r="M1852" t="s">
        <v>3646</v>
      </c>
      <c r="N1852" s="166">
        <v>20</v>
      </c>
      <c r="O1852" t="s">
        <v>232</v>
      </c>
    </row>
    <row r="1853" spans="1:15">
      <c r="A1853" s="166" t="s">
        <v>9437</v>
      </c>
      <c r="B1853" t="s">
        <v>111</v>
      </c>
      <c r="C1853" t="s">
        <v>1104</v>
      </c>
      <c r="D1853" t="s">
        <v>118</v>
      </c>
      <c r="E1853" t="s">
        <v>2618</v>
      </c>
      <c r="F1853" t="s">
        <v>6</v>
      </c>
      <c r="G1853" t="s">
        <v>130</v>
      </c>
      <c r="H1853" s="1">
        <v>46132</v>
      </c>
      <c r="I1853" t="s">
        <v>9428</v>
      </c>
      <c r="J1853" t="s">
        <v>9428</v>
      </c>
      <c r="K1853" t="s">
        <v>3592</v>
      </c>
      <c r="L1853" t="s">
        <v>3534</v>
      </c>
      <c r="M1853" t="s">
        <v>3646</v>
      </c>
      <c r="N1853" s="166">
        <v>20</v>
      </c>
      <c r="O1853" t="s">
        <v>232</v>
      </c>
    </row>
    <row r="1854" spans="1:15">
      <c r="A1854" s="166" t="s">
        <v>9438</v>
      </c>
      <c r="B1854" t="s">
        <v>111</v>
      </c>
      <c r="C1854" t="s">
        <v>133</v>
      </c>
      <c r="D1854" t="s">
        <v>118</v>
      </c>
      <c r="E1854" t="s">
        <v>2618</v>
      </c>
      <c r="F1854" t="s">
        <v>6</v>
      </c>
      <c r="G1854" t="s">
        <v>130</v>
      </c>
      <c r="H1854" s="1">
        <v>46132</v>
      </c>
      <c r="I1854" t="s">
        <v>9428</v>
      </c>
      <c r="J1854" t="s">
        <v>9428</v>
      </c>
      <c r="K1854" t="s">
        <v>3592</v>
      </c>
      <c r="L1854" t="s">
        <v>3534</v>
      </c>
      <c r="M1854" t="s">
        <v>3646</v>
      </c>
      <c r="N1854" s="166">
        <v>20</v>
      </c>
      <c r="O1854" t="s">
        <v>232</v>
      </c>
    </row>
    <row r="1855" spans="1:15">
      <c r="A1855" s="166" t="s">
        <v>9439</v>
      </c>
      <c r="B1855" t="s">
        <v>111</v>
      </c>
      <c r="C1855" t="s">
        <v>406</v>
      </c>
      <c r="D1855" t="s">
        <v>118</v>
      </c>
      <c r="E1855" t="s">
        <v>2618</v>
      </c>
      <c r="F1855" t="s">
        <v>6</v>
      </c>
      <c r="G1855" t="s">
        <v>130</v>
      </c>
      <c r="H1855" s="1">
        <v>46132</v>
      </c>
      <c r="I1855" t="s">
        <v>9428</v>
      </c>
      <c r="J1855" t="s">
        <v>9428</v>
      </c>
      <c r="K1855" t="s">
        <v>3592</v>
      </c>
      <c r="L1855" t="s">
        <v>3534</v>
      </c>
      <c r="M1855" t="s">
        <v>3646</v>
      </c>
      <c r="N1855" s="166">
        <v>20</v>
      </c>
      <c r="O1855" t="s">
        <v>232</v>
      </c>
    </row>
    <row r="1856" spans="1:15">
      <c r="A1856" s="166" t="s">
        <v>9440</v>
      </c>
      <c r="B1856" t="s">
        <v>111</v>
      </c>
      <c r="C1856" t="s">
        <v>135</v>
      </c>
      <c r="D1856" t="s">
        <v>118</v>
      </c>
      <c r="E1856" t="s">
        <v>2618</v>
      </c>
      <c r="F1856" t="s">
        <v>6</v>
      </c>
      <c r="G1856" t="s">
        <v>130</v>
      </c>
      <c r="H1856" s="1">
        <v>46132</v>
      </c>
      <c r="I1856" t="s">
        <v>9428</v>
      </c>
      <c r="J1856" t="s">
        <v>9428</v>
      </c>
      <c r="K1856" t="s">
        <v>3592</v>
      </c>
      <c r="L1856" t="s">
        <v>3534</v>
      </c>
      <c r="M1856" t="s">
        <v>3646</v>
      </c>
      <c r="N1856" s="166">
        <v>20</v>
      </c>
      <c r="O1856" t="s">
        <v>232</v>
      </c>
    </row>
    <row r="1857" spans="1:15">
      <c r="A1857" s="166" t="s">
        <v>9441</v>
      </c>
      <c r="B1857" t="s">
        <v>111</v>
      </c>
      <c r="C1857" t="s">
        <v>7474</v>
      </c>
      <c r="D1857" t="s">
        <v>118</v>
      </c>
      <c r="E1857" t="s">
        <v>2618</v>
      </c>
      <c r="F1857" t="s">
        <v>6</v>
      </c>
      <c r="G1857" t="s">
        <v>130</v>
      </c>
      <c r="H1857" s="1">
        <v>46132</v>
      </c>
      <c r="I1857" t="s">
        <v>9428</v>
      </c>
      <c r="J1857" t="s">
        <v>9428</v>
      </c>
      <c r="K1857" t="s">
        <v>3592</v>
      </c>
      <c r="L1857" t="s">
        <v>3534</v>
      </c>
      <c r="M1857" t="s">
        <v>3646</v>
      </c>
      <c r="N1857" s="166">
        <v>20</v>
      </c>
      <c r="O1857" t="s">
        <v>232</v>
      </c>
    </row>
    <row r="1858" spans="1:15">
      <c r="A1858" s="166" t="s">
        <v>9442</v>
      </c>
      <c r="B1858" t="s">
        <v>111</v>
      </c>
      <c r="C1858" t="s">
        <v>134</v>
      </c>
      <c r="D1858" t="s">
        <v>118</v>
      </c>
      <c r="E1858" t="s">
        <v>139</v>
      </c>
      <c r="F1858" t="s">
        <v>6</v>
      </c>
      <c r="G1858" t="s">
        <v>130</v>
      </c>
      <c r="H1858" s="1">
        <v>46132</v>
      </c>
      <c r="I1858" t="s">
        <v>9428</v>
      </c>
      <c r="J1858" t="s">
        <v>9428</v>
      </c>
      <c r="K1858" t="s">
        <v>3592</v>
      </c>
      <c r="L1858" t="s">
        <v>3534</v>
      </c>
      <c r="M1858" t="s">
        <v>3646</v>
      </c>
      <c r="N1858" s="166">
        <v>20</v>
      </c>
      <c r="O1858" t="s">
        <v>232</v>
      </c>
    </row>
    <row r="1859" spans="1:15">
      <c r="A1859" s="166" t="s">
        <v>9443</v>
      </c>
      <c r="B1859" t="s">
        <v>111</v>
      </c>
      <c r="C1859" t="s">
        <v>641</v>
      </c>
      <c r="D1859" t="s">
        <v>118</v>
      </c>
      <c r="E1859" t="s">
        <v>139</v>
      </c>
      <c r="F1859" t="s">
        <v>6</v>
      </c>
      <c r="G1859" t="s">
        <v>130</v>
      </c>
      <c r="H1859" s="1">
        <v>46132</v>
      </c>
      <c r="I1859" t="s">
        <v>9428</v>
      </c>
      <c r="J1859" t="s">
        <v>9428</v>
      </c>
      <c r="K1859" t="s">
        <v>3592</v>
      </c>
      <c r="L1859" t="s">
        <v>3534</v>
      </c>
      <c r="M1859" t="s">
        <v>3646</v>
      </c>
      <c r="N1859" s="166">
        <v>20</v>
      </c>
      <c r="O1859" t="s">
        <v>232</v>
      </c>
    </row>
    <row r="1860" spans="1:15">
      <c r="A1860" s="166" t="s">
        <v>9444</v>
      </c>
      <c r="B1860" t="s">
        <v>111</v>
      </c>
      <c r="C1860" t="s">
        <v>1104</v>
      </c>
      <c r="D1860" t="s">
        <v>118</v>
      </c>
      <c r="E1860" t="s">
        <v>139</v>
      </c>
      <c r="F1860" t="s">
        <v>6</v>
      </c>
      <c r="G1860" t="s">
        <v>130</v>
      </c>
      <c r="H1860" s="1">
        <v>46132</v>
      </c>
      <c r="I1860" t="s">
        <v>9428</v>
      </c>
      <c r="J1860" t="s">
        <v>9428</v>
      </c>
      <c r="K1860" t="s">
        <v>3592</v>
      </c>
      <c r="L1860" t="s">
        <v>3534</v>
      </c>
      <c r="M1860" t="s">
        <v>3646</v>
      </c>
      <c r="N1860" s="166">
        <v>20</v>
      </c>
      <c r="O1860" t="s">
        <v>232</v>
      </c>
    </row>
    <row r="1861" spans="1:15">
      <c r="A1861" s="166" t="s">
        <v>9445</v>
      </c>
      <c r="B1861" t="s">
        <v>111</v>
      </c>
      <c r="C1861" t="s">
        <v>1104</v>
      </c>
      <c r="D1861" t="s">
        <v>118</v>
      </c>
      <c r="E1861" t="s">
        <v>139</v>
      </c>
      <c r="F1861" t="s">
        <v>6</v>
      </c>
      <c r="G1861" t="s">
        <v>130</v>
      </c>
      <c r="H1861" s="1">
        <v>46132</v>
      </c>
      <c r="I1861" t="s">
        <v>9428</v>
      </c>
      <c r="J1861" t="s">
        <v>9428</v>
      </c>
      <c r="K1861" t="s">
        <v>3592</v>
      </c>
      <c r="L1861" t="s">
        <v>3534</v>
      </c>
      <c r="M1861" t="s">
        <v>3646</v>
      </c>
      <c r="N1861" s="166">
        <v>20</v>
      </c>
      <c r="O1861" t="s">
        <v>232</v>
      </c>
    </row>
    <row r="1862" spans="1:15">
      <c r="A1862" s="166" t="s">
        <v>9446</v>
      </c>
      <c r="B1862" t="s">
        <v>111</v>
      </c>
      <c r="C1862" t="s">
        <v>2424</v>
      </c>
      <c r="D1862" t="s">
        <v>118</v>
      </c>
      <c r="E1862" t="s">
        <v>139</v>
      </c>
      <c r="F1862" t="s">
        <v>6</v>
      </c>
      <c r="G1862" t="s">
        <v>130</v>
      </c>
      <c r="H1862" s="1">
        <v>46132</v>
      </c>
      <c r="I1862" t="s">
        <v>9428</v>
      </c>
      <c r="J1862" t="s">
        <v>9428</v>
      </c>
      <c r="K1862" t="s">
        <v>3592</v>
      </c>
      <c r="L1862" t="s">
        <v>3534</v>
      </c>
      <c r="M1862" t="s">
        <v>3646</v>
      </c>
      <c r="N1862" s="166">
        <v>20</v>
      </c>
      <c r="O1862" t="s">
        <v>232</v>
      </c>
    </row>
    <row r="1863" spans="1:15">
      <c r="A1863" s="166" t="s">
        <v>9447</v>
      </c>
      <c r="B1863" t="s">
        <v>111</v>
      </c>
      <c r="C1863" t="s">
        <v>406</v>
      </c>
      <c r="D1863" t="s">
        <v>118</v>
      </c>
      <c r="E1863" t="s">
        <v>139</v>
      </c>
      <c r="F1863" t="s">
        <v>6</v>
      </c>
      <c r="G1863" t="s">
        <v>130</v>
      </c>
      <c r="H1863" s="1">
        <v>46132</v>
      </c>
      <c r="I1863" t="s">
        <v>9428</v>
      </c>
      <c r="J1863" t="s">
        <v>9428</v>
      </c>
      <c r="K1863" t="s">
        <v>3592</v>
      </c>
      <c r="L1863" t="s">
        <v>3534</v>
      </c>
      <c r="M1863" t="s">
        <v>3646</v>
      </c>
      <c r="N1863" s="166">
        <v>20</v>
      </c>
      <c r="O1863" t="s">
        <v>232</v>
      </c>
    </row>
    <row r="1864" spans="1:15">
      <c r="A1864" s="166" t="s">
        <v>9448</v>
      </c>
      <c r="B1864" t="s">
        <v>111</v>
      </c>
      <c r="C1864" t="s">
        <v>135</v>
      </c>
      <c r="D1864" t="s">
        <v>118</v>
      </c>
      <c r="E1864" t="s">
        <v>139</v>
      </c>
      <c r="F1864" t="s">
        <v>6</v>
      </c>
      <c r="G1864" t="s">
        <v>130</v>
      </c>
      <c r="H1864" s="1">
        <v>46132</v>
      </c>
      <c r="I1864" t="s">
        <v>9428</v>
      </c>
      <c r="J1864" t="s">
        <v>9428</v>
      </c>
      <c r="K1864" t="s">
        <v>3592</v>
      </c>
      <c r="L1864" t="s">
        <v>3534</v>
      </c>
      <c r="M1864" t="s">
        <v>3646</v>
      </c>
      <c r="N1864" s="166">
        <v>20</v>
      </c>
      <c r="O1864" t="s">
        <v>232</v>
      </c>
    </row>
    <row r="1865" spans="1:15">
      <c r="A1865" s="166" t="s">
        <v>9449</v>
      </c>
      <c r="B1865" t="s">
        <v>111</v>
      </c>
      <c r="C1865" t="s">
        <v>7474</v>
      </c>
      <c r="D1865" t="s">
        <v>118</v>
      </c>
      <c r="E1865" t="s">
        <v>139</v>
      </c>
      <c r="F1865" t="s">
        <v>6</v>
      </c>
      <c r="G1865" t="s">
        <v>130</v>
      </c>
      <c r="H1865" s="1">
        <v>46132</v>
      </c>
      <c r="I1865" t="s">
        <v>9428</v>
      </c>
      <c r="J1865" t="s">
        <v>9428</v>
      </c>
      <c r="K1865" t="s">
        <v>3592</v>
      </c>
      <c r="L1865" t="s">
        <v>3534</v>
      </c>
      <c r="M1865" t="s">
        <v>3646</v>
      </c>
      <c r="N1865" s="166">
        <v>20</v>
      </c>
      <c r="O1865" t="s">
        <v>232</v>
      </c>
    </row>
    <row r="1866" spans="1:15">
      <c r="A1866" s="166" t="s">
        <v>9450</v>
      </c>
      <c r="B1866" t="s">
        <v>111</v>
      </c>
      <c r="C1866" t="s">
        <v>134</v>
      </c>
      <c r="D1866" t="s">
        <v>118</v>
      </c>
      <c r="E1866" t="s">
        <v>139</v>
      </c>
      <c r="F1866" t="s">
        <v>6</v>
      </c>
      <c r="G1866" t="s">
        <v>130</v>
      </c>
      <c r="H1866" s="1">
        <v>46132</v>
      </c>
      <c r="I1866" t="s">
        <v>9428</v>
      </c>
      <c r="J1866" t="s">
        <v>9428</v>
      </c>
      <c r="K1866" t="s">
        <v>3592</v>
      </c>
      <c r="L1866" t="s">
        <v>3534</v>
      </c>
      <c r="M1866" t="s">
        <v>3646</v>
      </c>
      <c r="N1866" s="166">
        <v>20</v>
      </c>
      <c r="O1866" t="s">
        <v>232</v>
      </c>
    </row>
    <row r="1867" spans="1:15">
      <c r="A1867" s="166" t="s">
        <v>9451</v>
      </c>
      <c r="B1867" t="s">
        <v>111</v>
      </c>
      <c r="C1867" t="s">
        <v>641</v>
      </c>
      <c r="D1867" t="s">
        <v>118</v>
      </c>
      <c r="E1867" t="s">
        <v>139</v>
      </c>
      <c r="F1867" t="s">
        <v>6</v>
      </c>
      <c r="G1867" t="s">
        <v>130</v>
      </c>
      <c r="H1867" s="1">
        <v>46132</v>
      </c>
      <c r="I1867" t="s">
        <v>9428</v>
      </c>
      <c r="J1867" t="s">
        <v>9428</v>
      </c>
      <c r="K1867" t="s">
        <v>3592</v>
      </c>
      <c r="L1867" t="s">
        <v>3534</v>
      </c>
      <c r="M1867" t="s">
        <v>3646</v>
      </c>
      <c r="N1867" s="166">
        <v>20</v>
      </c>
      <c r="O1867" t="s">
        <v>232</v>
      </c>
    </row>
    <row r="1868" spans="1:15">
      <c r="A1868" s="166" t="s">
        <v>9452</v>
      </c>
      <c r="B1868" t="s">
        <v>111</v>
      </c>
      <c r="C1868" t="s">
        <v>1104</v>
      </c>
      <c r="D1868" t="s">
        <v>118</v>
      </c>
      <c r="E1868" t="s">
        <v>139</v>
      </c>
      <c r="F1868" t="s">
        <v>6</v>
      </c>
      <c r="G1868" t="s">
        <v>130</v>
      </c>
      <c r="H1868" s="1">
        <v>46132</v>
      </c>
      <c r="I1868" t="s">
        <v>9428</v>
      </c>
      <c r="J1868" t="s">
        <v>9428</v>
      </c>
      <c r="K1868" t="s">
        <v>3592</v>
      </c>
      <c r="L1868" t="s">
        <v>3534</v>
      </c>
      <c r="M1868" t="s">
        <v>3646</v>
      </c>
      <c r="N1868" s="166">
        <v>20</v>
      </c>
      <c r="O1868" t="s">
        <v>232</v>
      </c>
    </row>
    <row r="1869" spans="1:15">
      <c r="A1869" s="166" t="s">
        <v>9453</v>
      </c>
      <c r="B1869" t="s">
        <v>111</v>
      </c>
      <c r="C1869" t="s">
        <v>133</v>
      </c>
      <c r="D1869" t="s">
        <v>118</v>
      </c>
      <c r="E1869" t="s">
        <v>139</v>
      </c>
      <c r="F1869" t="s">
        <v>6</v>
      </c>
      <c r="G1869" t="s">
        <v>130</v>
      </c>
      <c r="H1869" s="1">
        <v>46132</v>
      </c>
      <c r="I1869" t="s">
        <v>9428</v>
      </c>
      <c r="J1869" t="s">
        <v>9428</v>
      </c>
      <c r="K1869" t="s">
        <v>3592</v>
      </c>
      <c r="L1869" t="s">
        <v>3534</v>
      </c>
      <c r="M1869" t="s">
        <v>3646</v>
      </c>
      <c r="N1869" s="166">
        <v>20</v>
      </c>
      <c r="O1869" t="s">
        <v>232</v>
      </c>
    </row>
    <row r="1870" spans="1:15">
      <c r="A1870" s="166" t="s">
        <v>9454</v>
      </c>
      <c r="B1870" t="s">
        <v>111</v>
      </c>
      <c r="C1870" t="s">
        <v>406</v>
      </c>
      <c r="D1870" t="s">
        <v>118</v>
      </c>
      <c r="E1870" t="s">
        <v>139</v>
      </c>
      <c r="F1870" t="s">
        <v>6</v>
      </c>
      <c r="G1870" t="s">
        <v>130</v>
      </c>
      <c r="H1870" s="1">
        <v>46132</v>
      </c>
      <c r="I1870" t="s">
        <v>9428</v>
      </c>
      <c r="J1870" t="s">
        <v>9428</v>
      </c>
      <c r="K1870" t="s">
        <v>3592</v>
      </c>
      <c r="L1870" t="s">
        <v>3534</v>
      </c>
      <c r="M1870" t="s">
        <v>3646</v>
      </c>
      <c r="N1870" s="166">
        <v>20</v>
      </c>
      <c r="O1870" t="s">
        <v>232</v>
      </c>
    </row>
    <row r="1871" spans="1:15">
      <c r="A1871" s="166" t="s">
        <v>9455</v>
      </c>
      <c r="B1871" t="s">
        <v>111</v>
      </c>
      <c r="C1871" t="s">
        <v>135</v>
      </c>
      <c r="D1871" t="s">
        <v>118</v>
      </c>
      <c r="E1871" t="s">
        <v>139</v>
      </c>
      <c r="F1871" t="s">
        <v>6</v>
      </c>
      <c r="G1871" t="s">
        <v>130</v>
      </c>
      <c r="H1871" s="1">
        <v>46132</v>
      </c>
      <c r="I1871" t="s">
        <v>9428</v>
      </c>
      <c r="J1871" t="s">
        <v>9428</v>
      </c>
      <c r="K1871" t="s">
        <v>3592</v>
      </c>
      <c r="L1871" t="s">
        <v>3534</v>
      </c>
      <c r="M1871" t="s">
        <v>3646</v>
      </c>
      <c r="N1871" s="166">
        <v>20</v>
      </c>
      <c r="O1871" t="s">
        <v>232</v>
      </c>
    </row>
    <row r="1872" spans="1:15">
      <c r="A1872" s="166" t="s">
        <v>9456</v>
      </c>
      <c r="B1872" t="s">
        <v>111</v>
      </c>
      <c r="C1872" t="s">
        <v>7474</v>
      </c>
      <c r="D1872" t="s">
        <v>118</v>
      </c>
      <c r="E1872" t="s">
        <v>139</v>
      </c>
      <c r="F1872" t="s">
        <v>6</v>
      </c>
      <c r="G1872" t="s">
        <v>130</v>
      </c>
      <c r="H1872" s="1">
        <v>46132</v>
      </c>
      <c r="I1872" t="s">
        <v>9428</v>
      </c>
      <c r="J1872" t="s">
        <v>9428</v>
      </c>
      <c r="K1872" t="s">
        <v>3592</v>
      </c>
      <c r="L1872" t="s">
        <v>3534</v>
      </c>
      <c r="M1872" t="s">
        <v>3646</v>
      </c>
      <c r="N1872" s="166">
        <v>20</v>
      </c>
      <c r="O1872" t="s">
        <v>232</v>
      </c>
    </row>
    <row r="1873" spans="1:15">
      <c r="A1873" s="166" t="s">
        <v>9457</v>
      </c>
      <c r="B1873" t="s">
        <v>111</v>
      </c>
      <c r="C1873" t="s">
        <v>134</v>
      </c>
      <c r="D1873" t="s">
        <v>118</v>
      </c>
      <c r="E1873" t="s">
        <v>139</v>
      </c>
      <c r="F1873" t="s">
        <v>6</v>
      </c>
      <c r="G1873" t="s">
        <v>130</v>
      </c>
      <c r="H1873" s="1">
        <v>46132</v>
      </c>
      <c r="I1873" t="s">
        <v>9428</v>
      </c>
      <c r="J1873" t="s">
        <v>9428</v>
      </c>
      <c r="K1873" t="s">
        <v>3592</v>
      </c>
      <c r="L1873" t="s">
        <v>3534</v>
      </c>
      <c r="M1873" t="s">
        <v>3646</v>
      </c>
      <c r="N1873" s="166">
        <v>20</v>
      </c>
      <c r="O1873" t="s">
        <v>232</v>
      </c>
    </row>
    <row r="1874" spans="1:15">
      <c r="A1874" s="166" t="s">
        <v>9458</v>
      </c>
      <c r="B1874" t="s">
        <v>111</v>
      </c>
      <c r="C1874" t="s">
        <v>641</v>
      </c>
      <c r="D1874" t="s">
        <v>118</v>
      </c>
      <c r="E1874" t="s">
        <v>139</v>
      </c>
      <c r="F1874" t="s">
        <v>6</v>
      </c>
      <c r="G1874" t="s">
        <v>130</v>
      </c>
      <c r="H1874" s="1">
        <v>46132</v>
      </c>
      <c r="I1874" t="s">
        <v>9428</v>
      </c>
      <c r="J1874" t="s">
        <v>9428</v>
      </c>
      <c r="K1874" t="s">
        <v>3592</v>
      </c>
      <c r="L1874" t="s">
        <v>3534</v>
      </c>
      <c r="M1874" t="s">
        <v>3646</v>
      </c>
      <c r="N1874" s="166">
        <v>20</v>
      </c>
      <c r="O1874" t="s">
        <v>232</v>
      </c>
    </row>
    <row r="1875" spans="1:15">
      <c r="A1875" s="166" t="s">
        <v>9459</v>
      </c>
      <c r="B1875" t="s">
        <v>111</v>
      </c>
      <c r="C1875" t="s">
        <v>1104</v>
      </c>
      <c r="D1875" t="s">
        <v>118</v>
      </c>
      <c r="E1875" t="s">
        <v>139</v>
      </c>
      <c r="F1875" t="s">
        <v>6</v>
      </c>
      <c r="G1875" t="s">
        <v>130</v>
      </c>
      <c r="H1875" s="1">
        <v>46132</v>
      </c>
      <c r="I1875" t="s">
        <v>9428</v>
      </c>
      <c r="J1875" t="s">
        <v>9428</v>
      </c>
      <c r="K1875" t="s">
        <v>3592</v>
      </c>
      <c r="L1875" t="s">
        <v>3534</v>
      </c>
      <c r="M1875" t="s">
        <v>3646</v>
      </c>
      <c r="N1875" s="166">
        <v>20</v>
      </c>
      <c r="O1875" t="s">
        <v>232</v>
      </c>
    </row>
    <row r="1876" spans="1:15">
      <c r="A1876" s="166" t="s">
        <v>9460</v>
      </c>
      <c r="B1876" t="s">
        <v>111</v>
      </c>
      <c r="C1876" t="s">
        <v>1104</v>
      </c>
      <c r="D1876" t="s">
        <v>118</v>
      </c>
      <c r="E1876" t="s">
        <v>139</v>
      </c>
      <c r="F1876" t="s">
        <v>6</v>
      </c>
      <c r="G1876" t="s">
        <v>130</v>
      </c>
      <c r="H1876" s="1">
        <v>46132</v>
      </c>
      <c r="I1876" t="s">
        <v>9428</v>
      </c>
      <c r="J1876" t="s">
        <v>9428</v>
      </c>
      <c r="K1876" t="s">
        <v>3592</v>
      </c>
      <c r="L1876" t="s">
        <v>3534</v>
      </c>
      <c r="M1876" t="s">
        <v>3646</v>
      </c>
      <c r="N1876" s="166">
        <v>20</v>
      </c>
      <c r="O1876" t="s">
        <v>232</v>
      </c>
    </row>
    <row r="1877" spans="1:15">
      <c r="A1877" s="166" t="s">
        <v>9461</v>
      </c>
      <c r="B1877" t="s">
        <v>111</v>
      </c>
      <c r="C1877" t="s">
        <v>2424</v>
      </c>
      <c r="D1877" t="s">
        <v>118</v>
      </c>
      <c r="E1877" t="s">
        <v>139</v>
      </c>
      <c r="F1877" t="s">
        <v>6</v>
      </c>
      <c r="G1877" t="s">
        <v>130</v>
      </c>
      <c r="H1877" s="1">
        <v>46132</v>
      </c>
      <c r="I1877" t="s">
        <v>9428</v>
      </c>
      <c r="J1877" t="s">
        <v>9428</v>
      </c>
      <c r="K1877" t="s">
        <v>3592</v>
      </c>
      <c r="L1877" t="s">
        <v>3534</v>
      </c>
      <c r="M1877" t="s">
        <v>3646</v>
      </c>
      <c r="N1877" s="166">
        <v>20</v>
      </c>
      <c r="O1877" t="s">
        <v>232</v>
      </c>
    </row>
    <row r="1878" spans="1:15">
      <c r="A1878" s="166" t="s">
        <v>9462</v>
      </c>
      <c r="B1878" t="s">
        <v>111</v>
      </c>
      <c r="C1878" t="s">
        <v>406</v>
      </c>
      <c r="D1878" t="s">
        <v>118</v>
      </c>
      <c r="E1878" t="s">
        <v>139</v>
      </c>
      <c r="F1878" t="s">
        <v>6</v>
      </c>
      <c r="G1878" t="s">
        <v>130</v>
      </c>
      <c r="H1878" s="1">
        <v>46132</v>
      </c>
      <c r="I1878" t="s">
        <v>9428</v>
      </c>
      <c r="J1878" t="s">
        <v>9428</v>
      </c>
      <c r="K1878" t="s">
        <v>3592</v>
      </c>
      <c r="L1878" t="s">
        <v>3534</v>
      </c>
      <c r="M1878" t="s">
        <v>3646</v>
      </c>
      <c r="N1878" s="166">
        <v>20</v>
      </c>
      <c r="O1878" t="s">
        <v>232</v>
      </c>
    </row>
    <row r="1879" spans="1:15">
      <c r="A1879" s="166" t="s">
        <v>9463</v>
      </c>
      <c r="B1879" t="s">
        <v>111</v>
      </c>
      <c r="C1879" t="s">
        <v>135</v>
      </c>
      <c r="D1879" t="s">
        <v>118</v>
      </c>
      <c r="E1879" t="s">
        <v>139</v>
      </c>
      <c r="F1879" t="s">
        <v>6</v>
      </c>
      <c r="G1879" t="s">
        <v>130</v>
      </c>
      <c r="H1879" s="1">
        <v>46132</v>
      </c>
      <c r="I1879" t="s">
        <v>9428</v>
      </c>
      <c r="J1879" t="s">
        <v>9428</v>
      </c>
      <c r="K1879" t="s">
        <v>3592</v>
      </c>
      <c r="L1879" t="s">
        <v>3534</v>
      </c>
      <c r="M1879" t="s">
        <v>3646</v>
      </c>
      <c r="N1879" s="166">
        <v>20</v>
      </c>
      <c r="O1879" t="s">
        <v>232</v>
      </c>
    </row>
    <row r="1880" spans="1:15">
      <c r="A1880" s="166" t="s">
        <v>9464</v>
      </c>
      <c r="B1880" t="s">
        <v>111</v>
      </c>
      <c r="C1880" t="s">
        <v>7474</v>
      </c>
      <c r="D1880" t="s">
        <v>118</v>
      </c>
      <c r="E1880" t="s">
        <v>139</v>
      </c>
      <c r="F1880" t="s">
        <v>6</v>
      </c>
      <c r="G1880" t="s">
        <v>130</v>
      </c>
      <c r="H1880" s="1">
        <v>46132</v>
      </c>
      <c r="I1880" t="s">
        <v>9428</v>
      </c>
      <c r="J1880" t="s">
        <v>9428</v>
      </c>
      <c r="K1880" t="s">
        <v>3592</v>
      </c>
      <c r="L1880" t="s">
        <v>3534</v>
      </c>
      <c r="M1880" t="s">
        <v>3646</v>
      </c>
      <c r="N1880" s="166">
        <v>20</v>
      </c>
      <c r="O1880" t="s">
        <v>232</v>
      </c>
    </row>
    <row r="1881" spans="1:15">
      <c r="A1881" s="166" t="s">
        <v>9465</v>
      </c>
      <c r="B1881" t="s">
        <v>111</v>
      </c>
      <c r="C1881" t="s">
        <v>134</v>
      </c>
      <c r="D1881" t="s">
        <v>118</v>
      </c>
      <c r="E1881" t="s">
        <v>139</v>
      </c>
      <c r="F1881" t="s">
        <v>6</v>
      </c>
      <c r="G1881" t="s">
        <v>130</v>
      </c>
      <c r="H1881" s="1">
        <v>46132</v>
      </c>
      <c r="I1881" t="s">
        <v>9428</v>
      </c>
      <c r="J1881" t="s">
        <v>9428</v>
      </c>
      <c r="K1881" t="s">
        <v>3592</v>
      </c>
      <c r="L1881" t="s">
        <v>3534</v>
      </c>
      <c r="M1881" t="s">
        <v>3646</v>
      </c>
      <c r="N1881" s="166">
        <v>20</v>
      </c>
      <c r="O1881" t="s">
        <v>232</v>
      </c>
    </row>
    <row r="1882" spans="1:15">
      <c r="A1882" s="166" t="s">
        <v>9466</v>
      </c>
      <c r="B1882" t="s">
        <v>111</v>
      </c>
      <c r="C1882" t="s">
        <v>641</v>
      </c>
      <c r="D1882" t="s">
        <v>118</v>
      </c>
      <c r="E1882" t="s">
        <v>139</v>
      </c>
      <c r="F1882" t="s">
        <v>6</v>
      </c>
      <c r="G1882" t="s">
        <v>130</v>
      </c>
      <c r="H1882" s="1">
        <v>46132</v>
      </c>
      <c r="I1882" t="s">
        <v>9428</v>
      </c>
      <c r="J1882" t="s">
        <v>9428</v>
      </c>
      <c r="K1882" t="s">
        <v>3592</v>
      </c>
      <c r="L1882" t="s">
        <v>3534</v>
      </c>
      <c r="M1882" t="s">
        <v>3646</v>
      </c>
      <c r="N1882" s="166">
        <v>20</v>
      </c>
      <c r="O1882" t="s">
        <v>232</v>
      </c>
    </row>
    <row r="1883" spans="1:15">
      <c r="A1883" s="166" t="s">
        <v>9467</v>
      </c>
      <c r="B1883" t="s">
        <v>111</v>
      </c>
      <c r="C1883" t="s">
        <v>1104</v>
      </c>
      <c r="D1883" t="s">
        <v>118</v>
      </c>
      <c r="E1883" t="s">
        <v>139</v>
      </c>
      <c r="F1883" t="s">
        <v>6</v>
      </c>
      <c r="G1883" t="s">
        <v>130</v>
      </c>
      <c r="H1883" s="1">
        <v>46132</v>
      </c>
      <c r="I1883" t="s">
        <v>9428</v>
      </c>
      <c r="J1883" t="s">
        <v>9428</v>
      </c>
      <c r="K1883" t="s">
        <v>3592</v>
      </c>
      <c r="L1883" t="s">
        <v>3534</v>
      </c>
      <c r="M1883" t="s">
        <v>3646</v>
      </c>
      <c r="N1883" s="166">
        <v>20</v>
      </c>
      <c r="O1883" t="s">
        <v>232</v>
      </c>
    </row>
    <row r="1884" spans="1:15">
      <c r="A1884" s="166" t="s">
        <v>9468</v>
      </c>
      <c r="B1884" t="s">
        <v>111</v>
      </c>
      <c r="C1884" t="s">
        <v>133</v>
      </c>
      <c r="D1884" t="s">
        <v>118</v>
      </c>
      <c r="E1884" t="s">
        <v>139</v>
      </c>
      <c r="F1884" t="s">
        <v>6</v>
      </c>
      <c r="G1884" t="s">
        <v>130</v>
      </c>
      <c r="H1884" s="1">
        <v>46132</v>
      </c>
      <c r="I1884" t="s">
        <v>9428</v>
      </c>
      <c r="J1884" t="s">
        <v>9428</v>
      </c>
      <c r="K1884" t="s">
        <v>3592</v>
      </c>
      <c r="L1884" t="s">
        <v>3534</v>
      </c>
      <c r="M1884" t="s">
        <v>3646</v>
      </c>
      <c r="N1884" s="166">
        <v>20</v>
      </c>
      <c r="O1884" t="s">
        <v>232</v>
      </c>
    </row>
    <row r="1885" spans="1:15">
      <c r="A1885" s="166" t="s">
        <v>9469</v>
      </c>
      <c r="B1885" t="s">
        <v>111</v>
      </c>
      <c r="C1885" t="s">
        <v>406</v>
      </c>
      <c r="D1885" t="s">
        <v>118</v>
      </c>
      <c r="E1885" t="s">
        <v>139</v>
      </c>
      <c r="F1885" t="s">
        <v>6</v>
      </c>
      <c r="G1885" t="s">
        <v>130</v>
      </c>
      <c r="H1885" s="1">
        <v>46132</v>
      </c>
      <c r="I1885" t="s">
        <v>9428</v>
      </c>
      <c r="J1885" t="s">
        <v>9428</v>
      </c>
      <c r="K1885" t="s">
        <v>3592</v>
      </c>
      <c r="L1885" t="s">
        <v>3534</v>
      </c>
      <c r="M1885" t="s">
        <v>3646</v>
      </c>
      <c r="N1885" s="166">
        <v>20</v>
      </c>
      <c r="O1885" t="s">
        <v>232</v>
      </c>
    </row>
    <row r="1886" spans="1:15">
      <c r="A1886" s="166" t="s">
        <v>9470</v>
      </c>
      <c r="B1886" t="s">
        <v>111</v>
      </c>
      <c r="C1886" t="s">
        <v>135</v>
      </c>
      <c r="D1886" t="s">
        <v>118</v>
      </c>
      <c r="E1886" t="s">
        <v>139</v>
      </c>
      <c r="F1886" t="s">
        <v>6</v>
      </c>
      <c r="G1886" t="s">
        <v>130</v>
      </c>
      <c r="H1886" s="1">
        <v>46132</v>
      </c>
      <c r="I1886" t="s">
        <v>9428</v>
      </c>
      <c r="J1886" t="s">
        <v>9428</v>
      </c>
      <c r="K1886" t="s">
        <v>3592</v>
      </c>
      <c r="L1886" t="s">
        <v>3534</v>
      </c>
      <c r="M1886" t="s">
        <v>3646</v>
      </c>
      <c r="N1886" s="166">
        <v>20</v>
      </c>
      <c r="O1886" t="s">
        <v>232</v>
      </c>
    </row>
    <row r="1887" spans="1:15">
      <c r="A1887" s="166" t="s">
        <v>9471</v>
      </c>
      <c r="B1887" t="s">
        <v>111</v>
      </c>
      <c r="C1887" t="s">
        <v>7474</v>
      </c>
      <c r="D1887" t="s">
        <v>118</v>
      </c>
      <c r="E1887" t="s">
        <v>139</v>
      </c>
      <c r="F1887" t="s">
        <v>6</v>
      </c>
      <c r="G1887" t="s">
        <v>130</v>
      </c>
      <c r="H1887" s="1">
        <v>46132</v>
      </c>
      <c r="I1887" t="s">
        <v>9428</v>
      </c>
      <c r="J1887" t="s">
        <v>9428</v>
      </c>
      <c r="K1887" t="s">
        <v>3592</v>
      </c>
      <c r="L1887" t="s">
        <v>3534</v>
      </c>
      <c r="M1887" t="s">
        <v>3646</v>
      </c>
      <c r="N1887" s="166">
        <v>20</v>
      </c>
      <c r="O1887" t="s">
        <v>232</v>
      </c>
    </row>
    <row r="1888" spans="1:15">
      <c r="A1888" s="166" t="s">
        <v>9472</v>
      </c>
      <c r="B1888" t="s">
        <v>111</v>
      </c>
      <c r="C1888" t="s">
        <v>134</v>
      </c>
      <c r="D1888" t="s">
        <v>118</v>
      </c>
      <c r="E1888" t="s">
        <v>139</v>
      </c>
      <c r="F1888" t="s">
        <v>6</v>
      </c>
      <c r="G1888" t="s">
        <v>130</v>
      </c>
      <c r="H1888" s="1">
        <v>46132</v>
      </c>
      <c r="I1888" t="s">
        <v>9428</v>
      </c>
      <c r="J1888" t="s">
        <v>9428</v>
      </c>
      <c r="K1888" t="s">
        <v>3592</v>
      </c>
      <c r="L1888" t="s">
        <v>3534</v>
      </c>
      <c r="M1888" t="s">
        <v>3646</v>
      </c>
      <c r="N1888" s="166">
        <v>20</v>
      </c>
      <c r="O1888" t="s">
        <v>232</v>
      </c>
    </row>
    <row r="1889" spans="1:15">
      <c r="A1889" s="166" t="s">
        <v>9473</v>
      </c>
      <c r="B1889" t="s">
        <v>111</v>
      </c>
      <c r="C1889" t="s">
        <v>641</v>
      </c>
      <c r="D1889" t="s">
        <v>118</v>
      </c>
      <c r="E1889" t="s">
        <v>139</v>
      </c>
      <c r="F1889" t="s">
        <v>6</v>
      </c>
      <c r="G1889" t="s">
        <v>130</v>
      </c>
      <c r="H1889" s="1">
        <v>46132</v>
      </c>
      <c r="I1889" t="s">
        <v>9428</v>
      </c>
      <c r="J1889" t="s">
        <v>9428</v>
      </c>
      <c r="K1889" t="s">
        <v>3592</v>
      </c>
      <c r="L1889" t="s">
        <v>3534</v>
      </c>
      <c r="M1889" t="s">
        <v>3646</v>
      </c>
      <c r="N1889" s="166">
        <v>20</v>
      </c>
      <c r="O1889" t="s">
        <v>232</v>
      </c>
    </row>
    <row r="1890" spans="1:15">
      <c r="A1890" s="166" t="s">
        <v>9474</v>
      </c>
      <c r="B1890" t="s">
        <v>111</v>
      </c>
      <c r="C1890" t="s">
        <v>1104</v>
      </c>
      <c r="D1890" t="s">
        <v>118</v>
      </c>
      <c r="E1890" t="s">
        <v>139</v>
      </c>
      <c r="F1890" t="s">
        <v>6</v>
      </c>
      <c r="G1890" t="s">
        <v>130</v>
      </c>
      <c r="H1890" s="1">
        <v>46132</v>
      </c>
      <c r="I1890" t="s">
        <v>9428</v>
      </c>
      <c r="J1890" t="s">
        <v>9428</v>
      </c>
      <c r="K1890" t="s">
        <v>3592</v>
      </c>
      <c r="L1890" t="s">
        <v>3534</v>
      </c>
      <c r="M1890" t="s">
        <v>3646</v>
      </c>
      <c r="N1890" s="166">
        <v>20</v>
      </c>
      <c r="O1890" t="s">
        <v>232</v>
      </c>
    </row>
    <row r="1891" spans="1:15">
      <c r="A1891" s="166" t="s">
        <v>9475</v>
      </c>
      <c r="B1891" t="s">
        <v>111</v>
      </c>
      <c r="C1891" t="s">
        <v>1104</v>
      </c>
      <c r="D1891" t="s">
        <v>118</v>
      </c>
      <c r="E1891" t="s">
        <v>139</v>
      </c>
      <c r="F1891" t="s">
        <v>6</v>
      </c>
      <c r="G1891" t="s">
        <v>130</v>
      </c>
      <c r="H1891" s="1">
        <v>46132</v>
      </c>
      <c r="I1891" t="s">
        <v>9428</v>
      </c>
      <c r="J1891" t="s">
        <v>9428</v>
      </c>
      <c r="K1891" t="s">
        <v>3592</v>
      </c>
      <c r="L1891" t="s">
        <v>3534</v>
      </c>
      <c r="M1891" t="s">
        <v>3646</v>
      </c>
      <c r="N1891" s="166">
        <v>20</v>
      </c>
      <c r="O1891" t="s">
        <v>232</v>
      </c>
    </row>
    <row r="1892" spans="1:15">
      <c r="A1892" s="166" t="s">
        <v>9476</v>
      </c>
      <c r="B1892" t="s">
        <v>111</v>
      </c>
      <c r="C1892" t="s">
        <v>2424</v>
      </c>
      <c r="D1892" t="s">
        <v>118</v>
      </c>
      <c r="E1892" t="s">
        <v>139</v>
      </c>
      <c r="F1892" t="s">
        <v>6</v>
      </c>
      <c r="G1892" t="s">
        <v>130</v>
      </c>
      <c r="H1892" s="1">
        <v>46132</v>
      </c>
      <c r="I1892" t="s">
        <v>9428</v>
      </c>
      <c r="J1892" t="s">
        <v>9428</v>
      </c>
      <c r="K1892" t="s">
        <v>3592</v>
      </c>
      <c r="L1892" t="s">
        <v>3534</v>
      </c>
      <c r="M1892" t="s">
        <v>3646</v>
      </c>
      <c r="N1892" s="166">
        <v>20</v>
      </c>
      <c r="O1892" t="s">
        <v>232</v>
      </c>
    </row>
    <row r="1893" spans="1:15">
      <c r="A1893" s="166" t="s">
        <v>9477</v>
      </c>
      <c r="B1893" t="s">
        <v>111</v>
      </c>
      <c r="C1893" t="s">
        <v>406</v>
      </c>
      <c r="D1893" t="s">
        <v>118</v>
      </c>
      <c r="E1893" t="s">
        <v>139</v>
      </c>
      <c r="F1893" t="s">
        <v>6</v>
      </c>
      <c r="G1893" t="s">
        <v>130</v>
      </c>
      <c r="H1893" s="1">
        <v>46132</v>
      </c>
      <c r="I1893" t="s">
        <v>9428</v>
      </c>
      <c r="J1893" t="s">
        <v>9428</v>
      </c>
      <c r="K1893" t="s">
        <v>3592</v>
      </c>
      <c r="L1893" t="s">
        <v>3534</v>
      </c>
      <c r="M1893" t="s">
        <v>3646</v>
      </c>
      <c r="N1893" s="166">
        <v>20</v>
      </c>
      <c r="O1893" t="s">
        <v>232</v>
      </c>
    </row>
    <row r="1894" spans="1:15">
      <c r="A1894" s="166" t="s">
        <v>9478</v>
      </c>
      <c r="B1894" t="s">
        <v>111</v>
      </c>
      <c r="C1894" t="s">
        <v>135</v>
      </c>
      <c r="D1894" t="s">
        <v>118</v>
      </c>
      <c r="E1894" t="s">
        <v>139</v>
      </c>
      <c r="F1894" t="s">
        <v>6</v>
      </c>
      <c r="G1894" t="s">
        <v>130</v>
      </c>
      <c r="H1894" s="1">
        <v>46132</v>
      </c>
      <c r="I1894" t="s">
        <v>9428</v>
      </c>
      <c r="J1894" t="s">
        <v>9428</v>
      </c>
      <c r="K1894" t="s">
        <v>3592</v>
      </c>
      <c r="L1894" t="s">
        <v>3534</v>
      </c>
      <c r="M1894" t="s">
        <v>3646</v>
      </c>
      <c r="N1894" s="166">
        <v>20</v>
      </c>
      <c r="O1894" t="s">
        <v>232</v>
      </c>
    </row>
    <row r="1895" spans="1:15">
      <c r="A1895" s="166" t="s">
        <v>9479</v>
      </c>
      <c r="B1895" t="s">
        <v>111</v>
      </c>
      <c r="C1895" t="s">
        <v>7474</v>
      </c>
      <c r="D1895" t="s">
        <v>118</v>
      </c>
      <c r="E1895" t="s">
        <v>139</v>
      </c>
      <c r="F1895" t="s">
        <v>6</v>
      </c>
      <c r="G1895" t="s">
        <v>130</v>
      </c>
      <c r="H1895" s="1">
        <v>46132</v>
      </c>
      <c r="I1895" t="s">
        <v>9428</v>
      </c>
      <c r="J1895" t="s">
        <v>9428</v>
      </c>
      <c r="K1895" t="s">
        <v>3592</v>
      </c>
      <c r="L1895" t="s">
        <v>3534</v>
      </c>
      <c r="M1895" t="s">
        <v>3646</v>
      </c>
      <c r="N1895" s="166">
        <v>20</v>
      </c>
      <c r="O1895" t="s">
        <v>232</v>
      </c>
    </row>
    <row r="1896" spans="1:15">
      <c r="A1896" s="166" t="s">
        <v>9480</v>
      </c>
      <c r="B1896" t="s">
        <v>111</v>
      </c>
      <c r="C1896" t="s">
        <v>134</v>
      </c>
      <c r="D1896" t="s">
        <v>118</v>
      </c>
      <c r="E1896" t="s">
        <v>139</v>
      </c>
      <c r="F1896" t="s">
        <v>6</v>
      </c>
      <c r="G1896" t="s">
        <v>130</v>
      </c>
      <c r="H1896" s="1">
        <v>46132</v>
      </c>
      <c r="I1896" t="s">
        <v>9428</v>
      </c>
      <c r="J1896" t="s">
        <v>9428</v>
      </c>
      <c r="K1896" t="s">
        <v>3592</v>
      </c>
      <c r="L1896" t="s">
        <v>3534</v>
      </c>
      <c r="M1896" t="s">
        <v>3646</v>
      </c>
      <c r="N1896" s="166">
        <v>20</v>
      </c>
      <c r="O1896" t="s">
        <v>232</v>
      </c>
    </row>
    <row r="1897" spans="1:15">
      <c r="A1897" s="166" t="s">
        <v>9481</v>
      </c>
      <c r="B1897" t="s">
        <v>111</v>
      </c>
      <c r="C1897" t="s">
        <v>641</v>
      </c>
      <c r="D1897" t="s">
        <v>118</v>
      </c>
      <c r="E1897" t="s">
        <v>139</v>
      </c>
      <c r="F1897" t="s">
        <v>6</v>
      </c>
      <c r="G1897" t="s">
        <v>130</v>
      </c>
      <c r="H1897" s="1">
        <v>46132</v>
      </c>
      <c r="I1897" t="s">
        <v>9428</v>
      </c>
      <c r="J1897" t="s">
        <v>9428</v>
      </c>
      <c r="K1897" t="s">
        <v>3592</v>
      </c>
      <c r="L1897" t="s">
        <v>3534</v>
      </c>
      <c r="M1897" t="s">
        <v>3646</v>
      </c>
      <c r="N1897" s="166">
        <v>20</v>
      </c>
      <c r="O1897" t="s">
        <v>232</v>
      </c>
    </row>
    <row r="1898" spans="1:15">
      <c r="A1898" s="166" t="s">
        <v>9482</v>
      </c>
      <c r="B1898" t="s">
        <v>111</v>
      </c>
      <c r="C1898" t="s">
        <v>1104</v>
      </c>
      <c r="D1898" t="s">
        <v>118</v>
      </c>
      <c r="E1898" t="s">
        <v>139</v>
      </c>
      <c r="F1898" t="s">
        <v>6</v>
      </c>
      <c r="G1898" t="s">
        <v>130</v>
      </c>
      <c r="H1898" s="1">
        <v>46132</v>
      </c>
      <c r="I1898" t="s">
        <v>9428</v>
      </c>
      <c r="J1898" t="s">
        <v>9428</v>
      </c>
      <c r="K1898" t="s">
        <v>3592</v>
      </c>
      <c r="L1898" t="s">
        <v>3534</v>
      </c>
      <c r="M1898" t="s">
        <v>3646</v>
      </c>
      <c r="N1898" s="166">
        <v>20</v>
      </c>
      <c r="O1898" t="s">
        <v>232</v>
      </c>
    </row>
    <row r="1899" spans="1:15">
      <c r="A1899" s="166" t="s">
        <v>9483</v>
      </c>
      <c r="B1899" t="s">
        <v>111</v>
      </c>
      <c r="C1899" t="s">
        <v>133</v>
      </c>
      <c r="D1899" t="s">
        <v>118</v>
      </c>
      <c r="E1899" t="s">
        <v>139</v>
      </c>
      <c r="F1899" t="s">
        <v>6</v>
      </c>
      <c r="G1899" t="s">
        <v>130</v>
      </c>
      <c r="H1899" s="1">
        <v>46132</v>
      </c>
      <c r="I1899" t="s">
        <v>9428</v>
      </c>
      <c r="J1899" t="s">
        <v>9428</v>
      </c>
      <c r="K1899" t="s">
        <v>3592</v>
      </c>
      <c r="L1899" t="s">
        <v>3534</v>
      </c>
      <c r="M1899" t="s">
        <v>3646</v>
      </c>
      <c r="N1899" s="166">
        <v>20</v>
      </c>
      <c r="O1899" t="s">
        <v>232</v>
      </c>
    </row>
    <row r="1900" spans="1:15">
      <c r="A1900" s="166" t="s">
        <v>9484</v>
      </c>
      <c r="B1900" t="s">
        <v>111</v>
      </c>
      <c r="C1900" t="s">
        <v>406</v>
      </c>
      <c r="D1900" t="s">
        <v>118</v>
      </c>
      <c r="E1900" t="s">
        <v>139</v>
      </c>
      <c r="F1900" t="s">
        <v>6</v>
      </c>
      <c r="G1900" t="s">
        <v>130</v>
      </c>
      <c r="H1900" s="1">
        <v>46132</v>
      </c>
      <c r="I1900" t="s">
        <v>9428</v>
      </c>
      <c r="J1900" t="s">
        <v>9428</v>
      </c>
      <c r="K1900" t="s">
        <v>3592</v>
      </c>
      <c r="L1900" t="s">
        <v>3534</v>
      </c>
      <c r="M1900" t="s">
        <v>3646</v>
      </c>
      <c r="N1900" s="166">
        <v>20</v>
      </c>
      <c r="O1900" t="s">
        <v>232</v>
      </c>
    </row>
    <row r="1901" spans="1:15">
      <c r="A1901" s="166" t="s">
        <v>9485</v>
      </c>
      <c r="B1901" t="s">
        <v>111</v>
      </c>
      <c r="C1901" t="s">
        <v>135</v>
      </c>
      <c r="D1901" t="s">
        <v>118</v>
      </c>
      <c r="E1901" t="s">
        <v>139</v>
      </c>
      <c r="F1901" t="s">
        <v>6</v>
      </c>
      <c r="G1901" t="s">
        <v>130</v>
      </c>
      <c r="H1901" s="1">
        <v>46132</v>
      </c>
      <c r="I1901" t="s">
        <v>9428</v>
      </c>
      <c r="J1901" t="s">
        <v>9428</v>
      </c>
      <c r="K1901" t="s">
        <v>3592</v>
      </c>
      <c r="L1901" t="s">
        <v>3534</v>
      </c>
      <c r="M1901" t="s">
        <v>3646</v>
      </c>
      <c r="N1901" s="166">
        <v>20</v>
      </c>
      <c r="O1901" t="s">
        <v>232</v>
      </c>
    </row>
    <row r="1902" spans="1:15">
      <c r="A1902" s="166" t="s">
        <v>9486</v>
      </c>
      <c r="B1902" t="s">
        <v>111</v>
      </c>
      <c r="C1902" t="s">
        <v>7474</v>
      </c>
      <c r="D1902" t="s">
        <v>118</v>
      </c>
      <c r="E1902" t="s">
        <v>139</v>
      </c>
      <c r="F1902" t="s">
        <v>6</v>
      </c>
      <c r="G1902" t="s">
        <v>130</v>
      </c>
      <c r="H1902" s="1">
        <v>46132</v>
      </c>
      <c r="I1902" t="s">
        <v>9428</v>
      </c>
      <c r="J1902" t="s">
        <v>9428</v>
      </c>
      <c r="K1902" t="s">
        <v>3592</v>
      </c>
      <c r="L1902" t="s">
        <v>3534</v>
      </c>
      <c r="M1902" t="s">
        <v>3646</v>
      </c>
      <c r="N1902" s="166">
        <v>20</v>
      </c>
      <c r="O1902" t="s">
        <v>232</v>
      </c>
    </row>
    <row r="1903" spans="1:15">
      <c r="A1903" s="166" t="s">
        <v>9487</v>
      </c>
      <c r="B1903" t="s">
        <v>111</v>
      </c>
      <c r="C1903" t="s">
        <v>134</v>
      </c>
      <c r="D1903" t="s">
        <v>118</v>
      </c>
      <c r="E1903" t="s">
        <v>139</v>
      </c>
      <c r="F1903" t="s">
        <v>6</v>
      </c>
      <c r="G1903" t="s">
        <v>130</v>
      </c>
      <c r="H1903" s="1">
        <v>46132</v>
      </c>
      <c r="I1903" t="s">
        <v>9428</v>
      </c>
      <c r="J1903" t="s">
        <v>9428</v>
      </c>
      <c r="K1903" t="s">
        <v>3592</v>
      </c>
      <c r="L1903" t="s">
        <v>3534</v>
      </c>
      <c r="M1903" t="s">
        <v>3646</v>
      </c>
      <c r="N1903" s="166">
        <v>20</v>
      </c>
      <c r="O1903" t="s">
        <v>232</v>
      </c>
    </row>
    <row r="1904" spans="1:15">
      <c r="A1904" s="166" t="s">
        <v>9488</v>
      </c>
      <c r="B1904" t="s">
        <v>111</v>
      </c>
      <c r="C1904" t="s">
        <v>641</v>
      </c>
      <c r="D1904" t="s">
        <v>118</v>
      </c>
      <c r="E1904" t="s">
        <v>139</v>
      </c>
      <c r="F1904" t="s">
        <v>6</v>
      </c>
      <c r="G1904" t="s">
        <v>130</v>
      </c>
      <c r="H1904" s="1">
        <v>46132</v>
      </c>
      <c r="I1904" t="s">
        <v>9428</v>
      </c>
      <c r="J1904" t="s">
        <v>9428</v>
      </c>
      <c r="K1904" t="s">
        <v>3592</v>
      </c>
      <c r="L1904" t="s">
        <v>3534</v>
      </c>
      <c r="M1904" t="s">
        <v>3646</v>
      </c>
      <c r="N1904" s="166">
        <v>20</v>
      </c>
      <c r="O1904" t="s">
        <v>232</v>
      </c>
    </row>
    <row r="1905" spans="1:15">
      <c r="A1905" s="166" t="s">
        <v>9489</v>
      </c>
      <c r="B1905" t="s">
        <v>111</v>
      </c>
      <c r="C1905" t="s">
        <v>1104</v>
      </c>
      <c r="D1905" t="s">
        <v>118</v>
      </c>
      <c r="E1905" t="s">
        <v>139</v>
      </c>
      <c r="F1905" t="s">
        <v>6</v>
      </c>
      <c r="G1905" t="s">
        <v>130</v>
      </c>
      <c r="H1905" s="1">
        <v>46132</v>
      </c>
      <c r="I1905" t="s">
        <v>9428</v>
      </c>
      <c r="J1905" t="s">
        <v>9428</v>
      </c>
      <c r="K1905" t="s">
        <v>3592</v>
      </c>
      <c r="L1905" t="s">
        <v>3534</v>
      </c>
      <c r="M1905" t="s">
        <v>3646</v>
      </c>
      <c r="N1905" s="166">
        <v>20</v>
      </c>
      <c r="O1905" t="s">
        <v>232</v>
      </c>
    </row>
    <row r="1906" spans="1:15">
      <c r="A1906" s="166" t="s">
        <v>9490</v>
      </c>
      <c r="B1906" t="s">
        <v>111</v>
      </c>
      <c r="C1906" t="s">
        <v>1104</v>
      </c>
      <c r="D1906" t="s">
        <v>118</v>
      </c>
      <c r="E1906" t="s">
        <v>139</v>
      </c>
      <c r="F1906" t="s">
        <v>6</v>
      </c>
      <c r="G1906" t="s">
        <v>130</v>
      </c>
      <c r="H1906" s="1">
        <v>46132</v>
      </c>
      <c r="I1906" t="s">
        <v>9428</v>
      </c>
      <c r="J1906" t="s">
        <v>9428</v>
      </c>
      <c r="K1906" t="s">
        <v>3592</v>
      </c>
      <c r="L1906" t="s">
        <v>3534</v>
      </c>
      <c r="M1906" t="s">
        <v>3646</v>
      </c>
      <c r="N1906" s="166">
        <v>20</v>
      </c>
      <c r="O1906" t="s">
        <v>232</v>
      </c>
    </row>
    <row r="1907" spans="1:15">
      <c r="A1907" s="166" t="s">
        <v>9491</v>
      </c>
      <c r="B1907" t="s">
        <v>111</v>
      </c>
      <c r="C1907" t="s">
        <v>2424</v>
      </c>
      <c r="D1907" t="s">
        <v>118</v>
      </c>
      <c r="E1907" t="s">
        <v>139</v>
      </c>
      <c r="F1907" t="s">
        <v>6</v>
      </c>
      <c r="G1907" t="s">
        <v>130</v>
      </c>
      <c r="H1907" s="1">
        <v>46132</v>
      </c>
      <c r="I1907" t="s">
        <v>9428</v>
      </c>
      <c r="J1907" t="s">
        <v>9428</v>
      </c>
      <c r="K1907" t="s">
        <v>3592</v>
      </c>
      <c r="L1907" t="s">
        <v>3534</v>
      </c>
      <c r="M1907" t="s">
        <v>3646</v>
      </c>
      <c r="N1907" s="166">
        <v>20</v>
      </c>
      <c r="O1907" t="s">
        <v>232</v>
      </c>
    </row>
    <row r="1908" spans="1:15">
      <c r="A1908" s="166" t="s">
        <v>9492</v>
      </c>
      <c r="B1908" t="s">
        <v>111</v>
      </c>
      <c r="C1908" t="s">
        <v>406</v>
      </c>
      <c r="D1908" t="s">
        <v>118</v>
      </c>
      <c r="E1908" t="s">
        <v>139</v>
      </c>
      <c r="F1908" t="s">
        <v>6</v>
      </c>
      <c r="G1908" t="s">
        <v>130</v>
      </c>
      <c r="H1908" s="1">
        <v>46132</v>
      </c>
      <c r="I1908" t="s">
        <v>9428</v>
      </c>
      <c r="J1908" t="s">
        <v>9428</v>
      </c>
      <c r="K1908" t="s">
        <v>3592</v>
      </c>
      <c r="L1908" t="s">
        <v>3534</v>
      </c>
      <c r="M1908" t="s">
        <v>3646</v>
      </c>
      <c r="N1908" s="166">
        <v>20</v>
      </c>
      <c r="O1908" t="s">
        <v>232</v>
      </c>
    </row>
    <row r="1909" spans="1:15">
      <c r="A1909" s="166" t="s">
        <v>9493</v>
      </c>
      <c r="B1909" t="s">
        <v>111</v>
      </c>
      <c r="C1909" t="s">
        <v>135</v>
      </c>
      <c r="D1909" t="s">
        <v>118</v>
      </c>
      <c r="E1909" t="s">
        <v>139</v>
      </c>
      <c r="F1909" t="s">
        <v>6</v>
      </c>
      <c r="G1909" t="s">
        <v>130</v>
      </c>
      <c r="H1909" s="1">
        <v>46132</v>
      </c>
      <c r="I1909" t="s">
        <v>9428</v>
      </c>
      <c r="J1909" t="s">
        <v>9428</v>
      </c>
      <c r="K1909" t="s">
        <v>3592</v>
      </c>
      <c r="L1909" t="s">
        <v>3534</v>
      </c>
      <c r="M1909" t="s">
        <v>3646</v>
      </c>
      <c r="N1909" s="166">
        <v>20</v>
      </c>
      <c r="O1909" t="s">
        <v>232</v>
      </c>
    </row>
    <row r="1910" spans="1:15">
      <c r="A1910" s="166" t="s">
        <v>9494</v>
      </c>
      <c r="B1910" t="s">
        <v>111</v>
      </c>
      <c r="C1910" t="s">
        <v>7474</v>
      </c>
      <c r="D1910" t="s">
        <v>118</v>
      </c>
      <c r="E1910" t="s">
        <v>139</v>
      </c>
      <c r="F1910" t="s">
        <v>6</v>
      </c>
      <c r="G1910" t="s">
        <v>130</v>
      </c>
      <c r="H1910" s="1">
        <v>46132</v>
      </c>
      <c r="I1910" t="s">
        <v>9428</v>
      </c>
      <c r="J1910" t="s">
        <v>9428</v>
      </c>
      <c r="K1910" t="s">
        <v>3592</v>
      </c>
      <c r="L1910" t="s">
        <v>3534</v>
      </c>
      <c r="M1910" t="s">
        <v>3646</v>
      </c>
      <c r="N1910" s="166">
        <v>20</v>
      </c>
      <c r="O1910" t="s">
        <v>232</v>
      </c>
    </row>
    <row r="1911" spans="1:15">
      <c r="A1911" s="166" t="s">
        <v>9495</v>
      </c>
      <c r="B1911" t="s">
        <v>111</v>
      </c>
      <c r="C1911" t="s">
        <v>134</v>
      </c>
      <c r="D1911" t="s">
        <v>118</v>
      </c>
      <c r="E1911" t="s">
        <v>139</v>
      </c>
      <c r="F1911" t="s">
        <v>6</v>
      </c>
      <c r="G1911" t="s">
        <v>130</v>
      </c>
      <c r="H1911" s="1">
        <v>46132</v>
      </c>
      <c r="I1911" t="s">
        <v>9428</v>
      </c>
      <c r="J1911" t="s">
        <v>9428</v>
      </c>
      <c r="K1911" t="s">
        <v>3592</v>
      </c>
      <c r="L1911" t="s">
        <v>3534</v>
      </c>
      <c r="M1911" t="s">
        <v>3646</v>
      </c>
      <c r="N1911" s="166">
        <v>20</v>
      </c>
      <c r="O1911" t="s">
        <v>232</v>
      </c>
    </row>
    <row r="1912" spans="1:15">
      <c r="A1912" s="166" t="s">
        <v>9496</v>
      </c>
      <c r="B1912" t="s">
        <v>111</v>
      </c>
      <c r="C1912" t="s">
        <v>641</v>
      </c>
      <c r="D1912" t="s">
        <v>118</v>
      </c>
      <c r="E1912" t="s">
        <v>139</v>
      </c>
      <c r="F1912" t="s">
        <v>6</v>
      </c>
      <c r="G1912" t="s">
        <v>130</v>
      </c>
      <c r="H1912" s="1">
        <v>46132</v>
      </c>
      <c r="I1912" t="s">
        <v>9428</v>
      </c>
      <c r="J1912" t="s">
        <v>9428</v>
      </c>
      <c r="K1912" t="s">
        <v>3592</v>
      </c>
      <c r="L1912" t="s">
        <v>3534</v>
      </c>
      <c r="M1912" t="s">
        <v>3646</v>
      </c>
      <c r="N1912" s="166">
        <v>20</v>
      </c>
      <c r="O1912" t="s">
        <v>232</v>
      </c>
    </row>
    <row r="1913" spans="1:15">
      <c r="A1913" s="166" t="s">
        <v>9497</v>
      </c>
      <c r="B1913" t="s">
        <v>111</v>
      </c>
      <c r="C1913" t="s">
        <v>1104</v>
      </c>
      <c r="D1913" t="s">
        <v>118</v>
      </c>
      <c r="E1913" t="s">
        <v>139</v>
      </c>
      <c r="F1913" t="s">
        <v>6</v>
      </c>
      <c r="G1913" t="s">
        <v>130</v>
      </c>
      <c r="H1913" s="1">
        <v>46132</v>
      </c>
      <c r="I1913" t="s">
        <v>9428</v>
      </c>
      <c r="J1913" t="s">
        <v>9428</v>
      </c>
      <c r="K1913" t="s">
        <v>3592</v>
      </c>
      <c r="L1913" t="s">
        <v>3534</v>
      </c>
      <c r="M1913" t="s">
        <v>3646</v>
      </c>
      <c r="N1913" s="166">
        <v>20</v>
      </c>
      <c r="O1913" t="s">
        <v>232</v>
      </c>
    </row>
    <row r="1914" spans="1:15">
      <c r="A1914" s="166" t="s">
        <v>9498</v>
      </c>
      <c r="B1914" t="s">
        <v>111</v>
      </c>
      <c r="C1914" t="s">
        <v>133</v>
      </c>
      <c r="D1914" t="s">
        <v>118</v>
      </c>
      <c r="E1914" t="s">
        <v>139</v>
      </c>
      <c r="F1914" t="s">
        <v>6</v>
      </c>
      <c r="G1914" t="s">
        <v>130</v>
      </c>
      <c r="H1914" s="1">
        <v>46132</v>
      </c>
      <c r="I1914" t="s">
        <v>9428</v>
      </c>
      <c r="J1914" t="s">
        <v>9428</v>
      </c>
      <c r="K1914" t="s">
        <v>3592</v>
      </c>
      <c r="L1914" t="s">
        <v>3534</v>
      </c>
      <c r="M1914" t="s">
        <v>3646</v>
      </c>
      <c r="N1914" s="166">
        <v>20</v>
      </c>
      <c r="O1914" t="s">
        <v>232</v>
      </c>
    </row>
    <row r="1915" spans="1:15">
      <c r="A1915" s="166" t="s">
        <v>9499</v>
      </c>
      <c r="B1915" t="s">
        <v>111</v>
      </c>
      <c r="C1915" t="s">
        <v>406</v>
      </c>
      <c r="D1915" t="s">
        <v>118</v>
      </c>
      <c r="E1915" t="s">
        <v>139</v>
      </c>
      <c r="F1915" t="s">
        <v>6</v>
      </c>
      <c r="G1915" t="s">
        <v>130</v>
      </c>
      <c r="H1915" s="1">
        <v>46132</v>
      </c>
      <c r="I1915" t="s">
        <v>9428</v>
      </c>
      <c r="J1915" t="s">
        <v>9428</v>
      </c>
      <c r="K1915" t="s">
        <v>3592</v>
      </c>
      <c r="L1915" t="s">
        <v>3534</v>
      </c>
      <c r="M1915" t="s">
        <v>3646</v>
      </c>
      <c r="N1915" s="166">
        <v>20</v>
      </c>
      <c r="O1915" t="s">
        <v>232</v>
      </c>
    </row>
    <row r="1916" spans="1:15">
      <c r="A1916" s="166" t="s">
        <v>9500</v>
      </c>
      <c r="B1916" t="s">
        <v>111</v>
      </c>
      <c r="C1916" t="s">
        <v>135</v>
      </c>
      <c r="D1916" t="s">
        <v>118</v>
      </c>
      <c r="E1916" t="s">
        <v>139</v>
      </c>
      <c r="F1916" t="s">
        <v>6</v>
      </c>
      <c r="G1916" t="s">
        <v>130</v>
      </c>
      <c r="H1916" s="1">
        <v>46132</v>
      </c>
      <c r="I1916" t="s">
        <v>9428</v>
      </c>
      <c r="J1916" t="s">
        <v>9428</v>
      </c>
      <c r="K1916" t="s">
        <v>3592</v>
      </c>
      <c r="L1916" t="s">
        <v>3534</v>
      </c>
      <c r="M1916" t="s">
        <v>3646</v>
      </c>
      <c r="N1916" s="166">
        <v>20</v>
      </c>
      <c r="O1916" t="s">
        <v>232</v>
      </c>
    </row>
    <row r="1917" spans="1:15">
      <c r="A1917" s="166" t="s">
        <v>9501</v>
      </c>
      <c r="B1917" t="s">
        <v>111</v>
      </c>
      <c r="C1917" t="s">
        <v>7474</v>
      </c>
      <c r="D1917" t="s">
        <v>118</v>
      </c>
      <c r="E1917" t="s">
        <v>139</v>
      </c>
      <c r="F1917" t="s">
        <v>6</v>
      </c>
      <c r="G1917" t="s">
        <v>130</v>
      </c>
      <c r="H1917" s="1">
        <v>46132</v>
      </c>
      <c r="I1917" t="s">
        <v>9428</v>
      </c>
      <c r="J1917" t="s">
        <v>9428</v>
      </c>
      <c r="K1917" t="s">
        <v>3592</v>
      </c>
      <c r="L1917" t="s">
        <v>3534</v>
      </c>
      <c r="M1917" t="s">
        <v>3646</v>
      </c>
      <c r="N1917" s="166">
        <v>20</v>
      </c>
      <c r="O1917" t="s">
        <v>232</v>
      </c>
    </row>
    <row r="1918" spans="1:15">
      <c r="A1918" s="166" t="s">
        <v>9502</v>
      </c>
      <c r="B1918" t="s">
        <v>111</v>
      </c>
      <c r="C1918" t="s">
        <v>134</v>
      </c>
      <c r="D1918" t="s">
        <v>118</v>
      </c>
      <c r="E1918" t="s">
        <v>139</v>
      </c>
      <c r="F1918" t="s">
        <v>6</v>
      </c>
      <c r="G1918" t="s">
        <v>130</v>
      </c>
      <c r="H1918" s="1">
        <v>46132</v>
      </c>
      <c r="I1918" t="s">
        <v>9428</v>
      </c>
      <c r="J1918" t="s">
        <v>9428</v>
      </c>
      <c r="K1918" t="s">
        <v>3592</v>
      </c>
      <c r="L1918" t="s">
        <v>3534</v>
      </c>
      <c r="M1918" t="s">
        <v>3646</v>
      </c>
      <c r="N1918" s="166">
        <v>20</v>
      </c>
      <c r="O1918" t="s">
        <v>232</v>
      </c>
    </row>
    <row r="1919" spans="1:15">
      <c r="A1919" s="166" t="s">
        <v>9503</v>
      </c>
      <c r="B1919" t="s">
        <v>111</v>
      </c>
      <c r="C1919" t="s">
        <v>641</v>
      </c>
      <c r="D1919" t="s">
        <v>118</v>
      </c>
      <c r="E1919" t="s">
        <v>139</v>
      </c>
      <c r="F1919" t="s">
        <v>6</v>
      </c>
      <c r="G1919" t="s">
        <v>130</v>
      </c>
      <c r="H1919" s="1">
        <v>46132</v>
      </c>
      <c r="I1919" t="s">
        <v>9428</v>
      </c>
      <c r="J1919" t="s">
        <v>9428</v>
      </c>
      <c r="K1919" t="s">
        <v>3592</v>
      </c>
      <c r="L1919" t="s">
        <v>3534</v>
      </c>
      <c r="M1919" t="s">
        <v>3646</v>
      </c>
      <c r="N1919" s="166">
        <v>20</v>
      </c>
      <c r="O1919" t="s">
        <v>232</v>
      </c>
    </row>
    <row r="1920" spans="1:15">
      <c r="A1920" s="166" t="s">
        <v>9504</v>
      </c>
      <c r="B1920" t="s">
        <v>111</v>
      </c>
      <c r="C1920" t="s">
        <v>1104</v>
      </c>
      <c r="D1920" t="s">
        <v>118</v>
      </c>
      <c r="E1920" t="s">
        <v>139</v>
      </c>
      <c r="F1920" t="s">
        <v>6</v>
      </c>
      <c r="G1920" t="s">
        <v>130</v>
      </c>
      <c r="H1920" s="1">
        <v>46132</v>
      </c>
      <c r="I1920" t="s">
        <v>9428</v>
      </c>
      <c r="J1920" t="s">
        <v>9428</v>
      </c>
      <c r="K1920" t="s">
        <v>3592</v>
      </c>
      <c r="L1920" t="s">
        <v>3534</v>
      </c>
      <c r="M1920" t="s">
        <v>3646</v>
      </c>
      <c r="N1920" s="166">
        <v>20</v>
      </c>
      <c r="O1920" t="s">
        <v>232</v>
      </c>
    </row>
    <row r="1921" spans="1:15">
      <c r="A1921" s="166" t="s">
        <v>9505</v>
      </c>
      <c r="B1921" t="s">
        <v>111</v>
      </c>
      <c r="C1921" t="s">
        <v>1104</v>
      </c>
      <c r="D1921" t="s">
        <v>118</v>
      </c>
      <c r="E1921" t="s">
        <v>139</v>
      </c>
      <c r="F1921" t="s">
        <v>6</v>
      </c>
      <c r="G1921" t="s">
        <v>130</v>
      </c>
      <c r="H1921" s="1">
        <v>46132</v>
      </c>
      <c r="I1921" t="s">
        <v>9428</v>
      </c>
      <c r="J1921" t="s">
        <v>9428</v>
      </c>
      <c r="K1921" t="s">
        <v>3592</v>
      </c>
      <c r="L1921" t="s">
        <v>3534</v>
      </c>
      <c r="M1921" t="s">
        <v>3646</v>
      </c>
      <c r="N1921" s="166">
        <v>20</v>
      </c>
      <c r="O1921" t="s">
        <v>232</v>
      </c>
    </row>
    <row r="1922" spans="1:15">
      <c r="A1922" s="166" t="s">
        <v>9506</v>
      </c>
      <c r="B1922" t="s">
        <v>111</v>
      </c>
      <c r="C1922" t="s">
        <v>2424</v>
      </c>
      <c r="D1922" t="s">
        <v>118</v>
      </c>
      <c r="E1922" t="s">
        <v>139</v>
      </c>
      <c r="F1922" t="s">
        <v>6</v>
      </c>
      <c r="G1922" t="s">
        <v>130</v>
      </c>
      <c r="H1922" s="1">
        <v>46132</v>
      </c>
      <c r="I1922" t="s">
        <v>9428</v>
      </c>
      <c r="J1922" t="s">
        <v>9428</v>
      </c>
      <c r="K1922" t="s">
        <v>3592</v>
      </c>
      <c r="L1922" t="s">
        <v>3534</v>
      </c>
      <c r="M1922" t="s">
        <v>3646</v>
      </c>
      <c r="N1922" s="166">
        <v>20</v>
      </c>
      <c r="O1922" t="s">
        <v>232</v>
      </c>
    </row>
    <row r="1923" spans="1:15">
      <c r="A1923" s="166" t="s">
        <v>9507</v>
      </c>
      <c r="B1923" t="s">
        <v>111</v>
      </c>
      <c r="C1923" t="s">
        <v>406</v>
      </c>
      <c r="D1923" t="s">
        <v>116</v>
      </c>
      <c r="E1923" t="s">
        <v>418</v>
      </c>
      <c r="F1923" t="s">
        <v>7</v>
      </c>
      <c r="G1923" t="s">
        <v>130</v>
      </c>
      <c r="H1923" s="1">
        <v>46132</v>
      </c>
      <c r="I1923" t="s">
        <v>9428</v>
      </c>
      <c r="J1923" t="s">
        <v>9428</v>
      </c>
      <c r="K1923" t="s">
        <v>3592</v>
      </c>
      <c r="L1923" t="s">
        <v>3534</v>
      </c>
      <c r="M1923" t="s">
        <v>3646</v>
      </c>
      <c r="N1923" s="166">
        <v>20</v>
      </c>
      <c r="O1923" t="s">
        <v>232</v>
      </c>
    </row>
    <row r="1924" spans="1:15">
      <c r="A1924" s="166" t="s">
        <v>9508</v>
      </c>
      <c r="B1924" t="s">
        <v>111</v>
      </c>
      <c r="C1924" t="s">
        <v>135</v>
      </c>
      <c r="D1924" t="s">
        <v>116</v>
      </c>
      <c r="E1924" t="s">
        <v>418</v>
      </c>
      <c r="F1924" t="s">
        <v>7</v>
      </c>
      <c r="G1924" t="s">
        <v>130</v>
      </c>
      <c r="H1924" s="1">
        <v>46132</v>
      </c>
      <c r="I1924" t="s">
        <v>9428</v>
      </c>
      <c r="J1924" t="s">
        <v>9428</v>
      </c>
      <c r="K1924" t="s">
        <v>3592</v>
      </c>
      <c r="L1924" t="s">
        <v>3534</v>
      </c>
      <c r="M1924" t="s">
        <v>3646</v>
      </c>
      <c r="N1924" s="166">
        <v>20</v>
      </c>
      <c r="O1924" t="s">
        <v>232</v>
      </c>
    </row>
    <row r="1925" spans="1:15">
      <c r="A1925" s="166" t="s">
        <v>9509</v>
      </c>
      <c r="B1925" t="s">
        <v>111</v>
      </c>
      <c r="C1925" t="s">
        <v>7474</v>
      </c>
      <c r="D1925" t="s">
        <v>116</v>
      </c>
      <c r="E1925" t="s">
        <v>418</v>
      </c>
      <c r="F1925" t="s">
        <v>7</v>
      </c>
      <c r="G1925" t="s">
        <v>130</v>
      </c>
      <c r="H1925" s="1">
        <v>46132</v>
      </c>
      <c r="I1925" t="s">
        <v>9428</v>
      </c>
      <c r="J1925" t="s">
        <v>9428</v>
      </c>
      <c r="K1925" t="s">
        <v>3592</v>
      </c>
      <c r="L1925" t="s">
        <v>3534</v>
      </c>
      <c r="M1925" t="s">
        <v>3646</v>
      </c>
      <c r="N1925" s="166">
        <v>20</v>
      </c>
      <c r="O1925" t="s">
        <v>232</v>
      </c>
    </row>
    <row r="1926" spans="1:15">
      <c r="A1926" s="166" t="s">
        <v>9510</v>
      </c>
      <c r="B1926" t="s">
        <v>111</v>
      </c>
      <c r="C1926" t="s">
        <v>134</v>
      </c>
      <c r="D1926" t="s">
        <v>116</v>
      </c>
      <c r="E1926" t="s">
        <v>418</v>
      </c>
      <c r="F1926" t="s">
        <v>7</v>
      </c>
      <c r="G1926" t="s">
        <v>130</v>
      </c>
      <c r="H1926" s="1">
        <v>46132</v>
      </c>
      <c r="I1926" t="s">
        <v>9428</v>
      </c>
      <c r="J1926" t="s">
        <v>9428</v>
      </c>
      <c r="K1926" t="s">
        <v>3592</v>
      </c>
      <c r="L1926" t="s">
        <v>3534</v>
      </c>
      <c r="M1926" t="s">
        <v>3646</v>
      </c>
      <c r="N1926" s="166">
        <v>20</v>
      </c>
      <c r="O1926" t="s">
        <v>232</v>
      </c>
    </row>
    <row r="1927" spans="1:15">
      <c r="A1927" s="166" t="s">
        <v>9511</v>
      </c>
      <c r="B1927" t="s">
        <v>111</v>
      </c>
      <c r="C1927" t="s">
        <v>641</v>
      </c>
      <c r="D1927" t="s">
        <v>116</v>
      </c>
      <c r="E1927" t="s">
        <v>418</v>
      </c>
      <c r="F1927" t="s">
        <v>7</v>
      </c>
      <c r="G1927" t="s">
        <v>130</v>
      </c>
      <c r="H1927" s="1">
        <v>46132</v>
      </c>
      <c r="I1927" t="s">
        <v>9428</v>
      </c>
      <c r="J1927" t="s">
        <v>9428</v>
      </c>
      <c r="K1927" t="s">
        <v>3592</v>
      </c>
      <c r="L1927" t="s">
        <v>3534</v>
      </c>
      <c r="M1927" t="s">
        <v>3646</v>
      </c>
      <c r="N1927" s="166">
        <v>20</v>
      </c>
      <c r="O1927" t="s">
        <v>232</v>
      </c>
    </row>
    <row r="1928" spans="1:15">
      <c r="A1928" s="166" t="s">
        <v>9512</v>
      </c>
      <c r="B1928" t="s">
        <v>111</v>
      </c>
      <c r="C1928" t="s">
        <v>1104</v>
      </c>
      <c r="D1928" t="s">
        <v>116</v>
      </c>
      <c r="E1928" t="s">
        <v>418</v>
      </c>
      <c r="F1928" t="s">
        <v>7</v>
      </c>
      <c r="G1928" t="s">
        <v>130</v>
      </c>
      <c r="H1928" s="1">
        <v>46132</v>
      </c>
      <c r="I1928" t="s">
        <v>9428</v>
      </c>
      <c r="J1928" t="s">
        <v>9428</v>
      </c>
      <c r="K1928" t="s">
        <v>3592</v>
      </c>
      <c r="L1928" t="s">
        <v>3534</v>
      </c>
      <c r="M1928" t="s">
        <v>3646</v>
      </c>
      <c r="N1928" s="166">
        <v>20</v>
      </c>
      <c r="O1928" t="s">
        <v>232</v>
      </c>
    </row>
    <row r="1929" spans="1:15">
      <c r="A1929" s="166" t="s">
        <v>9513</v>
      </c>
      <c r="B1929" t="s">
        <v>111</v>
      </c>
      <c r="C1929" t="s">
        <v>133</v>
      </c>
      <c r="D1929" t="s">
        <v>116</v>
      </c>
      <c r="E1929" t="s">
        <v>418</v>
      </c>
      <c r="F1929" t="s">
        <v>7</v>
      </c>
      <c r="G1929" t="s">
        <v>130</v>
      </c>
      <c r="H1929" s="1">
        <v>46132</v>
      </c>
      <c r="I1929" t="s">
        <v>9428</v>
      </c>
      <c r="J1929" t="s">
        <v>9428</v>
      </c>
      <c r="K1929" t="s">
        <v>3592</v>
      </c>
      <c r="L1929" t="s">
        <v>3534</v>
      </c>
      <c r="M1929" t="s">
        <v>3646</v>
      </c>
      <c r="N1929" s="166">
        <v>20</v>
      </c>
      <c r="O1929" t="s">
        <v>232</v>
      </c>
    </row>
    <row r="1930" spans="1:15">
      <c r="A1930" s="166" t="s">
        <v>9514</v>
      </c>
      <c r="B1930" t="s">
        <v>111</v>
      </c>
      <c r="C1930" t="s">
        <v>406</v>
      </c>
      <c r="D1930" t="s">
        <v>116</v>
      </c>
      <c r="E1930" t="s">
        <v>418</v>
      </c>
      <c r="F1930" t="s">
        <v>7</v>
      </c>
      <c r="G1930" t="s">
        <v>130</v>
      </c>
      <c r="H1930" s="1">
        <v>46132</v>
      </c>
      <c r="I1930" t="s">
        <v>9428</v>
      </c>
      <c r="J1930" t="s">
        <v>9428</v>
      </c>
      <c r="K1930" t="s">
        <v>3592</v>
      </c>
      <c r="L1930" t="s">
        <v>3534</v>
      </c>
      <c r="M1930" t="s">
        <v>3646</v>
      </c>
      <c r="N1930" s="166">
        <v>20</v>
      </c>
      <c r="O1930" t="s">
        <v>232</v>
      </c>
    </row>
    <row r="1931" spans="1:15">
      <c r="A1931" s="166" t="s">
        <v>9515</v>
      </c>
      <c r="B1931" t="s">
        <v>111</v>
      </c>
      <c r="C1931" t="s">
        <v>135</v>
      </c>
      <c r="D1931" t="s">
        <v>116</v>
      </c>
      <c r="E1931" t="s">
        <v>418</v>
      </c>
      <c r="F1931" t="s">
        <v>7</v>
      </c>
      <c r="G1931" t="s">
        <v>130</v>
      </c>
      <c r="H1931" s="1">
        <v>46132</v>
      </c>
      <c r="I1931" t="s">
        <v>9428</v>
      </c>
      <c r="J1931" t="s">
        <v>9428</v>
      </c>
      <c r="K1931" t="s">
        <v>3592</v>
      </c>
      <c r="L1931" t="s">
        <v>3534</v>
      </c>
      <c r="M1931" t="s">
        <v>3646</v>
      </c>
      <c r="N1931" s="166">
        <v>20</v>
      </c>
      <c r="O1931" t="s">
        <v>232</v>
      </c>
    </row>
    <row r="1932" spans="1:15">
      <c r="A1932" s="166" t="s">
        <v>9516</v>
      </c>
      <c r="B1932" t="s">
        <v>111</v>
      </c>
      <c r="C1932" t="s">
        <v>7474</v>
      </c>
      <c r="D1932" t="s">
        <v>116</v>
      </c>
      <c r="E1932" t="s">
        <v>418</v>
      </c>
      <c r="F1932" t="s">
        <v>7</v>
      </c>
      <c r="G1932" t="s">
        <v>130</v>
      </c>
      <c r="H1932" s="1">
        <v>46132</v>
      </c>
      <c r="I1932" t="s">
        <v>9428</v>
      </c>
      <c r="J1932" t="s">
        <v>9428</v>
      </c>
      <c r="K1932" t="s">
        <v>3592</v>
      </c>
      <c r="L1932" t="s">
        <v>3534</v>
      </c>
      <c r="M1932" t="s">
        <v>3646</v>
      </c>
      <c r="N1932" s="166">
        <v>20</v>
      </c>
      <c r="O1932" t="s">
        <v>232</v>
      </c>
    </row>
    <row r="1933" spans="1:15">
      <c r="A1933" s="166" t="s">
        <v>9517</v>
      </c>
      <c r="B1933" t="s">
        <v>111</v>
      </c>
      <c r="C1933" t="s">
        <v>134</v>
      </c>
      <c r="D1933" t="s">
        <v>116</v>
      </c>
      <c r="E1933" t="s">
        <v>418</v>
      </c>
      <c r="F1933" t="s">
        <v>7</v>
      </c>
      <c r="G1933" t="s">
        <v>130</v>
      </c>
      <c r="H1933" s="1">
        <v>46132</v>
      </c>
      <c r="I1933" t="s">
        <v>9428</v>
      </c>
      <c r="J1933" t="s">
        <v>9428</v>
      </c>
      <c r="K1933" t="s">
        <v>3592</v>
      </c>
      <c r="L1933" t="s">
        <v>3534</v>
      </c>
      <c r="M1933" t="s">
        <v>3646</v>
      </c>
      <c r="N1933" s="166">
        <v>20</v>
      </c>
      <c r="O1933" t="s">
        <v>232</v>
      </c>
    </row>
    <row r="1934" spans="1:15">
      <c r="A1934" s="166" t="s">
        <v>9518</v>
      </c>
      <c r="B1934" t="s">
        <v>111</v>
      </c>
      <c r="C1934" t="s">
        <v>641</v>
      </c>
      <c r="D1934" t="s">
        <v>116</v>
      </c>
      <c r="E1934" t="s">
        <v>418</v>
      </c>
      <c r="F1934" t="s">
        <v>7</v>
      </c>
      <c r="G1934" t="s">
        <v>130</v>
      </c>
      <c r="H1934" s="1">
        <v>46132</v>
      </c>
      <c r="I1934" t="s">
        <v>9428</v>
      </c>
      <c r="J1934" t="s">
        <v>9428</v>
      </c>
      <c r="K1934" t="s">
        <v>3592</v>
      </c>
      <c r="L1934" t="s">
        <v>3534</v>
      </c>
      <c r="M1934" t="s">
        <v>3646</v>
      </c>
      <c r="N1934" s="166">
        <v>20</v>
      </c>
      <c r="O1934" t="s">
        <v>232</v>
      </c>
    </row>
    <row r="1935" spans="1:15">
      <c r="A1935" s="166" t="s">
        <v>9519</v>
      </c>
      <c r="B1935" t="s">
        <v>111</v>
      </c>
      <c r="C1935" t="s">
        <v>1104</v>
      </c>
      <c r="D1935" t="s">
        <v>116</v>
      </c>
      <c r="E1935" t="s">
        <v>418</v>
      </c>
      <c r="F1935" t="s">
        <v>7</v>
      </c>
      <c r="G1935" t="s">
        <v>130</v>
      </c>
      <c r="H1935" s="1">
        <v>46132</v>
      </c>
      <c r="I1935" t="s">
        <v>9428</v>
      </c>
      <c r="J1935" t="s">
        <v>9428</v>
      </c>
      <c r="K1935" t="s">
        <v>3592</v>
      </c>
      <c r="L1935" t="s">
        <v>3534</v>
      </c>
      <c r="M1935" t="s">
        <v>3646</v>
      </c>
      <c r="N1935" s="166">
        <v>20</v>
      </c>
      <c r="O1935" t="s">
        <v>232</v>
      </c>
    </row>
    <row r="1936" spans="1:15">
      <c r="A1936" s="166" t="s">
        <v>9520</v>
      </c>
      <c r="B1936" t="s">
        <v>111</v>
      </c>
      <c r="C1936" t="s">
        <v>1104</v>
      </c>
      <c r="D1936" t="s">
        <v>116</v>
      </c>
      <c r="E1936" t="s">
        <v>418</v>
      </c>
      <c r="F1936" t="s">
        <v>7</v>
      </c>
      <c r="G1936" t="s">
        <v>130</v>
      </c>
      <c r="H1936" s="1">
        <v>46132</v>
      </c>
      <c r="I1936" t="s">
        <v>9428</v>
      </c>
      <c r="J1936" t="s">
        <v>9428</v>
      </c>
      <c r="K1936" t="s">
        <v>3592</v>
      </c>
      <c r="L1936" t="s">
        <v>3534</v>
      </c>
      <c r="M1936" t="s">
        <v>3646</v>
      </c>
      <c r="N1936" s="166">
        <v>20</v>
      </c>
      <c r="O1936" t="s">
        <v>232</v>
      </c>
    </row>
    <row r="1937" spans="1:15">
      <c r="A1937" s="166" t="s">
        <v>9521</v>
      </c>
      <c r="B1937" t="s">
        <v>111</v>
      </c>
      <c r="C1937" t="s">
        <v>2424</v>
      </c>
      <c r="D1937" t="s">
        <v>116</v>
      </c>
      <c r="E1937" t="s">
        <v>418</v>
      </c>
      <c r="F1937" t="s">
        <v>7</v>
      </c>
      <c r="G1937" t="s">
        <v>130</v>
      </c>
      <c r="H1937" s="1">
        <v>46132</v>
      </c>
      <c r="I1937" t="s">
        <v>9428</v>
      </c>
      <c r="J1937" t="s">
        <v>9428</v>
      </c>
      <c r="K1937" t="s">
        <v>3592</v>
      </c>
      <c r="L1937" t="s">
        <v>3534</v>
      </c>
      <c r="M1937" t="s">
        <v>3646</v>
      </c>
      <c r="N1937" s="166">
        <v>20</v>
      </c>
      <c r="O1937" t="s">
        <v>232</v>
      </c>
    </row>
    <row r="1938" spans="1:15">
      <c r="A1938" s="166" t="s">
        <v>9522</v>
      </c>
      <c r="B1938" t="s">
        <v>111</v>
      </c>
      <c r="C1938" t="s">
        <v>406</v>
      </c>
      <c r="D1938" t="s">
        <v>116</v>
      </c>
      <c r="E1938" t="s">
        <v>418</v>
      </c>
      <c r="F1938" t="s">
        <v>7</v>
      </c>
      <c r="G1938" t="s">
        <v>130</v>
      </c>
      <c r="H1938" s="1">
        <v>46132</v>
      </c>
      <c r="I1938" t="s">
        <v>9428</v>
      </c>
      <c r="J1938" t="s">
        <v>9428</v>
      </c>
      <c r="K1938" t="s">
        <v>3592</v>
      </c>
      <c r="L1938" t="s">
        <v>3534</v>
      </c>
      <c r="M1938" t="s">
        <v>3646</v>
      </c>
      <c r="N1938" s="166">
        <v>20</v>
      </c>
      <c r="O1938" t="s">
        <v>232</v>
      </c>
    </row>
    <row r="1939" spans="1:15">
      <c r="A1939" s="166" t="s">
        <v>9523</v>
      </c>
      <c r="B1939" t="s">
        <v>111</v>
      </c>
      <c r="C1939" t="s">
        <v>135</v>
      </c>
      <c r="D1939" t="s">
        <v>116</v>
      </c>
      <c r="E1939" t="s">
        <v>418</v>
      </c>
      <c r="F1939" t="s">
        <v>7</v>
      </c>
      <c r="G1939" t="s">
        <v>130</v>
      </c>
      <c r="H1939" s="1">
        <v>46132</v>
      </c>
      <c r="I1939" t="s">
        <v>9428</v>
      </c>
      <c r="J1939" t="s">
        <v>9428</v>
      </c>
      <c r="K1939" t="s">
        <v>3592</v>
      </c>
      <c r="L1939" t="s">
        <v>3534</v>
      </c>
      <c r="M1939" t="s">
        <v>3646</v>
      </c>
      <c r="N1939" s="166">
        <v>20</v>
      </c>
      <c r="O1939" t="s">
        <v>232</v>
      </c>
    </row>
    <row r="1940" spans="1:15">
      <c r="A1940" s="166" t="s">
        <v>9524</v>
      </c>
      <c r="B1940" t="s">
        <v>111</v>
      </c>
      <c r="C1940" t="s">
        <v>7474</v>
      </c>
      <c r="D1940" t="s">
        <v>116</v>
      </c>
      <c r="E1940" t="s">
        <v>418</v>
      </c>
      <c r="F1940" t="s">
        <v>7</v>
      </c>
      <c r="G1940" t="s">
        <v>130</v>
      </c>
      <c r="H1940" s="1">
        <v>46132</v>
      </c>
      <c r="I1940" t="s">
        <v>9428</v>
      </c>
      <c r="J1940" t="s">
        <v>9428</v>
      </c>
      <c r="K1940" t="s">
        <v>3592</v>
      </c>
      <c r="L1940" t="s">
        <v>3534</v>
      </c>
      <c r="M1940" t="s">
        <v>3646</v>
      </c>
      <c r="N1940" s="166">
        <v>20</v>
      </c>
      <c r="O1940" t="s">
        <v>232</v>
      </c>
    </row>
    <row r="1941" spans="1:15">
      <c r="A1941" s="166" t="s">
        <v>9525</v>
      </c>
      <c r="B1941" t="s">
        <v>111</v>
      </c>
      <c r="C1941" t="s">
        <v>134</v>
      </c>
      <c r="D1941" t="s">
        <v>116</v>
      </c>
      <c r="E1941" t="s">
        <v>418</v>
      </c>
      <c r="F1941" t="s">
        <v>7</v>
      </c>
      <c r="G1941" t="s">
        <v>130</v>
      </c>
      <c r="H1941" s="1">
        <v>46132</v>
      </c>
      <c r="I1941" t="s">
        <v>9428</v>
      </c>
      <c r="J1941" t="s">
        <v>9428</v>
      </c>
      <c r="K1941" t="s">
        <v>3592</v>
      </c>
      <c r="L1941" t="s">
        <v>3534</v>
      </c>
      <c r="M1941" t="s">
        <v>3646</v>
      </c>
      <c r="N1941" s="166">
        <v>20</v>
      </c>
      <c r="O1941" t="s">
        <v>232</v>
      </c>
    </row>
    <row r="1942" spans="1:15">
      <c r="A1942" s="166" t="s">
        <v>9526</v>
      </c>
      <c r="B1942" t="s">
        <v>111</v>
      </c>
      <c r="C1942" t="s">
        <v>641</v>
      </c>
      <c r="D1942" t="s">
        <v>116</v>
      </c>
      <c r="E1942" t="s">
        <v>418</v>
      </c>
      <c r="F1942" t="s">
        <v>7</v>
      </c>
      <c r="G1942" t="s">
        <v>130</v>
      </c>
      <c r="H1942" s="1">
        <v>46132</v>
      </c>
      <c r="I1942" t="s">
        <v>9428</v>
      </c>
      <c r="J1942" t="s">
        <v>9428</v>
      </c>
      <c r="K1942" t="s">
        <v>3592</v>
      </c>
      <c r="L1942" t="s">
        <v>3534</v>
      </c>
      <c r="M1942" t="s">
        <v>3646</v>
      </c>
      <c r="N1942" s="166">
        <v>20</v>
      </c>
      <c r="O1942" t="s">
        <v>232</v>
      </c>
    </row>
    <row r="1943" spans="1:15">
      <c r="A1943" s="166" t="s">
        <v>9527</v>
      </c>
      <c r="B1943" t="s">
        <v>111</v>
      </c>
      <c r="C1943" t="s">
        <v>1104</v>
      </c>
      <c r="D1943" t="s">
        <v>116</v>
      </c>
      <c r="E1943" t="s">
        <v>418</v>
      </c>
      <c r="F1943" t="s">
        <v>7</v>
      </c>
      <c r="G1943" t="s">
        <v>130</v>
      </c>
      <c r="H1943" s="1">
        <v>46132</v>
      </c>
      <c r="I1943" t="s">
        <v>9428</v>
      </c>
      <c r="J1943" t="s">
        <v>9428</v>
      </c>
      <c r="K1943" t="s">
        <v>3592</v>
      </c>
      <c r="L1943" t="s">
        <v>3534</v>
      </c>
      <c r="M1943" t="s">
        <v>3646</v>
      </c>
      <c r="N1943" s="166">
        <v>20</v>
      </c>
      <c r="O1943" t="s">
        <v>232</v>
      </c>
    </row>
    <row r="1944" spans="1:15">
      <c r="A1944" s="166" t="s">
        <v>9528</v>
      </c>
      <c r="B1944" t="s">
        <v>111</v>
      </c>
      <c r="C1944" t="s">
        <v>133</v>
      </c>
      <c r="D1944" t="s">
        <v>116</v>
      </c>
      <c r="E1944" t="s">
        <v>418</v>
      </c>
      <c r="F1944" t="s">
        <v>7</v>
      </c>
      <c r="G1944" t="s">
        <v>130</v>
      </c>
      <c r="H1944" s="1">
        <v>46132</v>
      </c>
      <c r="I1944" t="s">
        <v>9428</v>
      </c>
      <c r="J1944" t="s">
        <v>9428</v>
      </c>
      <c r="K1944" t="s">
        <v>3592</v>
      </c>
      <c r="L1944" t="s">
        <v>3534</v>
      </c>
      <c r="M1944" t="s">
        <v>3646</v>
      </c>
      <c r="N1944" s="166">
        <v>20</v>
      </c>
      <c r="O1944" t="s">
        <v>232</v>
      </c>
    </row>
    <row r="1945" spans="1:15">
      <c r="A1945" s="166" t="s">
        <v>9529</v>
      </c>
      <c r="B1945" t="s">
        <v>111</v>
      </c>
      <c r="C1945" t="s">
        <v>406</v>
      </c>
      <c r="D1945" t="s">
        <v>116</v>
      </c>
      <c r="E1945" t="s">
        <v>418</v>
      </c>
      <c r="F1945" t="s">
        <v>7</v>
      </c>
      <c r="G1945" t="s">
        <v>130</v>
      </c>
      <c r="H1945" s="1">
        <v>46132</v>
      </c>
      <c r="I1945" t="s">
        <v>9428</v>
      </c>
      <c r="J1945" t="s">
        <v>9428</v>
      </c>
      <c r="K1945" t="s">
        <v>3592</v>
      </c>
      <c r="L1945" t="s">
        <v>3534</v>
      </c>
      <c r="M1945" t="s">
        <v>3646</v>
      </c>
      <c r="N1945" s="166">
        <v>20</v>
      </c>
      <c r="O1945" t="s">
        <v>232</v>
      </c>
    </row>
    <row r="1946" spans="1:15">
      <c r="A1946" s="166" t="s">
        <v>9530</v>
      </c>
      <c r="B1946" t="s">
        <v>111</v>
      </c>
      <c r="C1946" t="s">
        <v>135</v>
      </c>
      <c r="D1946" t="s">
        <v>116</v>
      </c>
      <c r="E1946" t="s">
        <v>418</v>
      </c>
      <c r="F1946" t="s">
        <v>7</v>
      </c>
      <c r="G1946" t="s">
        <v>130</v>
      </c>
      <c r="H1946" s="1">
        <v>46132</v>
      </c>
      <c r="I1946" t="s">
        <v>9428</v>
      </c>
      <c r="J1946" t="s">
        <v>9428</v>
      </c>
      <c r="K1946" t="s">
        <v>3592</v>
      </c>
      <c r="L1946" t="s">
        <v>3534</v>
      </c>
      <c r="M1946" t="s">
        <v>3646</v>
      </c>
      <c r="N1946" s="166">
        <v>20</v>
      </c>
      <c r="O1946" t="s">
        <v>232</v>
      </c>
    </row>
    <row r="1947" spans="1:15">
      <c r="A1947" s="166" t="s">
        <v>9531</v>
      </c>
      <c r="B1947" t="s">
        <v>111</v>
      </c>
      <c r="C1947" t="s">
        <v>7474</v>
      </c>
      <c r="D1947" t="s">
        <v>116</v>
      </c>
      <c r="E1947" t="s">
        <v>418</v>
      </c>
      <c r="F1947" t="s">
        <v>7</v>
      </c>
      <c r="G1947" t="s">
        <v>130</v>
      </c>
      <c r="H1947" s="1">
        <v>46132</v>
      </c>
      <c r="I1947" t="s">
        <v>9428</v>
      </c>
      <c r="J1947" t="s">
        <v>9428</v>
      </c>
      <c r="K1947" t="s">
        <v>3592</v>
      </c>
      <c r="L1947" t="s">
        <v>3534</v>
      </c>
      <c r="M1947" t="s">
        <v>3646</v>
      </c>
      <c r="N1947" s="166">
        <v>20</v>
      </c>
      <c r="O1947" t="s">
        <v>232</v>
      </c>
    </row>
    <row r="1948" spans="1:15">
      <c r="A1948" s="166" t="s">
        <v>9532</v>
      </c>
      <c r="B1948" t="s">
        <v>111</v>
      </c>
      <c r="C1948" t="s">
        <v>134</v>
      </c>
      <c r="D1948" t="s">
        <v>116</v>
      </c>
      <c r="E1948" t="s">
        <v>418</v>
      </c>
      <c r="F1948" t="s">
        <v>7</v>
      </c>
      <c r="G1948" t="s">
        <v>130</v>
      </c>
      <c r="H1948" s="1">
        <v>46132</v>
      </c>
      <c r="I1948" t="s">
        <v>9428</v>
      </c>
      <c r="J1948" t="s">
        <v>9428</v>
      </c>
      <c r="K1948" t="s">
        <v>3592</v>
      </c>
      <c r="L1948" t="s">
        <v>3534</v>
      </c>
      <c r="M1948" t="s">
        <v>3646</v>
      </c>
      <c r="N1948" s="166">
        <v>20</v>
      </c>
      <c r="O1948" t="s">
        <v>232</v>
      </c>
    </row>
    <row r="1949" spans="1:15">
      <c r="A1949" s="166" t="s">
        <v>9533</v>
      </c>
      <c r="B1949" t="s">
        <v>111</v>
      </c>
      <c r="C1949" t="s">
        <v>641</v>
      </c>
      <c r="D1949" t="s">
        <v>116</v>
      </c>
      <c r="E1949" t="s">
        <v>418</v>
      </c>
      <c r="F1949" t="s">
        <v>7</v>
      </c>
      <c r="G1949" t="s">
        <v>130</v>
      </c>
      <c r="H1949" s="1">
        <v>46132</v>
      </c>
      <c r="I1949" t="s">
        <v>9428</v>
      </c>
      <c r="J1949" t="s">
        <v>9428</v>
      </c>
      <c r="K1949" t="s">
        <v>3592</v>
      </c>
      <c r="L1949" t="s">
        <v>3534</v>
      </c>
      <c r="M1949" t="s">
        <v>3646</v>
      </c>
      <c r="N1949" s="166">
        <v>20</v>
      </c>
      <c r="O1949" t="s">
        <v>232</v>
      </c>
    </row>
    <row r="1950" spans="1:15">
      <c r="A1950" s="166" t="s">
        <v>9534</v>
      </c>
      <c r="B1950" t="s">
        <v>111</v>
      </c>
      <c r="C1950" t="s">
        <v>1104</v>
      </c>
      <c r="D1950" t="s">
        <v>116</v>
      </c>
      <c r="E1950" t="s">
        <v>418</v>
      </c>
      <c r="F1950" t="s">
        <v>7</v>
      </c>
      <c r="G1950" t="s">
        <v>130</v>
      </c>
      <c r="H1950" s="1">
        <v>46132</v>
      </c>
      <c r="I1950" t="s">
        <v>9428</v>
      </c>
      <c r="J1950" t="s">
        <v>9428</v>
      </c>
      <c r="K1950" t="s">
        <v>3592</v>
      </c>
      <c r="L1950" t="s">
        <v>3534</v>
      </c>
      <c r="M1950" t="s">
        <v>3646</v>
      </c>
      <c r="N1950" s="166">
        <v>20</v>
      </c>
      <c r="O1950" t="s">
        <v>232</v>
      </c>
    </row>
    <row r="1951" spans="1:15">
      <c r="A1951" s="166" t="s">
        <v>9535</v>
      </c>
      <c r="B1951" t="s">
        <v>111</v>
      </c>
      <c r="C1951" t="s">
        <v>1104</v>
      </c>
      <c r="D1951" t="s">
        <v>116</v>
      </c>
      <c r="E1951" t="s">
        <v>418</v>
      </c>
      <c r="F1951" t="s">
        <v>7</v>
      </c>
      <c r="G1951" t="s">
        <v>130</v>
      </c>
      <c r="H1951" s="1">
        <v>46132</v>
      </c>
      <c r="I1951" t="s">
        <v>9428</v>
      </c>
      <c r="J1951" t="s">
        <v>9428</v>
      </c>
      <c r="K1951" t="s">
        <v>3592</v>
      </c>
      <c r="L1951" t="s">
        <v>3534</v>
      </c>
      <c r="M1951" t="s">
        <v>3646</v>
      </c>
      <c r="N1951" s="166">
        <v>20</v>
      </c>
      <c r="O1951" t="s">
        <v>232</v>
      </c>
    </row>
    <row r="1952" spans="1:15">
      <c r="A1952" s="166" t="s">
        <v>9536</v>
      </c>
      <c r="B1952" t="s">
        <v>111</v>
      </c>
      <c r="C1952" t="s">
        <v>2424</v>
      </c>
      <c r="D1952" t="s">
        <v>116</v>
      </c>
      <c r="E1952" t="s">
        <v>418</v>
      </c>
      <c r="F1952" t="s">
        <v>7</v>
      </c>
      <c r="G1952" t="s">
        <v>130</v>
      </c>
      <c r="H1952" s="1">
        <v>46132</v>
      </c>
      <c r="I1952" t="s">
        <v>9428</v>
      </c>
      <c r="J1952" t="s">
        <v>9428</v>
      </c>
      <c r="K1952" t="s">
        <v>3592</v>
      </c>
      <c r="L1952" t="s">
        <v>3534</v>
      </c>
      <c r="M1952" t="s">
        <v>3646</v>
      </c>
      <c r="N1952" s="166">
        <v>20</v>
      </c>
      <c r="O1952" t="s">
        <v>232</v>
      </c>
    </row>
    <row r="1953" spans="1:15">
      <c r="A1953" s="166" t="s">
        <v>9537</v>
      </c>
      <c r="B1953" t="s">
        <v>111</v>
      </c>
      <c r="C1953" t="s">
        <v>406</v>
      </c>
      <c r="D1953" t="s">
        <v>116</v>
      </c>
      <c r="E1953" t="s">
        <v>418</v>
      </c>
      <c r="F1953" t="s">
        <v>7</v>
      </c>
      <c r="G1953" t="s">
        <v>130</v>
      </c>
      <c r="H1953" s="1">
        <v>46132</v>
      </c>
      <c r="I1953" t="s">
        <v>9428</v>
      </c>
      <c r="J1953" t="s">
        <v>9428</v>
      </c>
      <c r="K1953" t="s">
        <v>3592</v>
      </c>
      <c r="L1953" t="s">
        <v>3534</v>
      </c>
      <c r="M1953" t="s">
        <v>3646</v>
      </c>
      <c r="N1953" s="166">
        <v>20</v>
      </c>
      <c r="O1953" t="s">
        <v>232</v>
      </c>
    </row>
    <row r="1954" spans="1:15">
      <c r="A1954" s="166" t="s">
        <v>9538</v>
      </c>
      <c r="B1954" t="s">
        <v>111</v>
      </c>
      <c r="C1954" t="s">
        <v>135</v>
      </c>
      <c r="D1954" t="s">
        <v>116</v>
      </c>
      <c r="E1954" t="s">
        <v>418</v>
      </c>
      <c r="F1954" t="s">
        <v>7</v>
      </c>
      <c r="G1954" t="s">
        <v>130</v>
      </c>
      <c r="H1954" s="1">
        <v>46132</v>
      </c>
      <c r="I1954" t="s">
        <v>9428</v>
      </c>
      <c r="J1954" t="s">
        <v>9428</v>
      </c>
      <c r="K1954" t="s">
        <v>3592</v>
      </c>
      <c r="L1954" t="s">
        <v>3534</v>
      </c>
      <c r="M1954" t="s">
        <v>3646</v>
      </c>
      <c r="N1954" s="166">
        <v>20</v>
      </c>
      <c r="O1954" t="s">
        <v>232</v>
      </c>
    </row>
    <row r="1955" spans="1:15">
      <c r="A1955" s="166" t="s">
        <v>9539</v>
      </c>
      <c r="B1955" t="s">
        <v>111</v>
      </c>
      <c r="C1955" t="s">
        <v>133</v>
      </c>
      <c r="D1955" t="s">
        <v>118</v>
      </c>
      <c r="E1955" t="s">
        <v>2618</v>
      </c>
      <c r="F1955" t="s">
        <v>6</v>
      </c>
      <c r="G1955" t="s">
        <v>130</v>
      </c>
      <c r="H1955" s="1">
        <v>46133</v>
      </c>
      <c r="I1955" t="s">
        <v>9540</v>
      </c>
      <c r="J1955" t="s">
        <v>9541</v>
      </c>
      <c r="K1955" t="s">
        <v>9542</v>
      </c>
      <c r="L1955" t="s">
        <v>907</v>
      </c>
      <c r="M1955" t="s">
        <v>9543</v>
      </c>
      <c r="N1955" s="166">
        <v>29.24</v>
      </c>
      <c r="O1955" t="s">
        <v>131</v>
      </c>
    </row>
    <row r="1956" spans="1:15">
      <c r="A1956" s="166" t="s">
        <v>9544</v>
      </c>
      <c r="B1956" t="s">
        <v>111</v>
      </c>
      <c r="C1956" t="s">
        <v>134</v>
      </c>
      <c r="D1956" t="s">
        <v>118</v>
      </c>
      <c r="E1956" t="s">
        <v>2618</v>
      </c>
      <c r="F1956" t="s">
        <v>6</v>
      </c>
      <c r="G1956" t="s">
        <v>130</v>
      </c>
      <c r="H1956" s="1">
        <v>46133</v>
      </c>
      <c r="I1956" t="s">
        <v>9545</v>
      </c>
      <c r="J1956" t="s">
        <v>9546</v>
      </c>
      <c r="K1956" t="s">
        <v>9547</v>
      </c>
      <c r="L1956" t="s">
        <v>162</v>
      </c>
      <c r="M1956" t="s">
        <v>9548</v>
      </c>
      <c r="N1956" s="166">
        <v>13.18</v>
      </c>
      <c r="O1956" t="s">
        <v>131</v>
      </c>
    </row>
    <row r="1957" spans="1:15">
      <c r="A1957" s="166" t="s">
        <v>9549</v>
      </c>
      <c r="B1957" t="s">
        <v>111</v>
      </c>
      <c r="C1957" t="s">
        <v>2424</v>
      </c>
      <c r="D1957" t="s">
        <v>118</v>
      </c>
      <c r="E1957" t="s">
        <v>2618</v>
      </c>
      <c r="F1957" t="s">
        <v>6</v>
      </c>
      <c r="G1957" t="s">
        <v>130</v>
      </c>
      <c r="H1957" s="1">
        <v>46133</v>
      </c>
      <c r="I1957" t="s">
        <v>9550</v>
      </c>
      <c r="J1957" t="s">
        <v>9551</v>
      </c>
      <c r="K1957" t="s">
        <v>5895</v>
      </c>
      <c r="L1957" t="s">
        <v>3441</v>
      </c>
      <c r="M1957" t="s">
        <v>2024</v>
      </c>
      <c r="N1957" s="166">
        <v>17.78</v>
      </c>
      <c r="O1957" t="s">
        <v>131</v>
      </c>
    </row>
    <row r="1958" spans="1:15">
      <c r="A1958" s="166" t="s">
        <v>9552</v>
      </c>
      <c r="B1958" t="s">
        <v>111</v>
      </c>
      <c r="C1958" t="s">
        <v>641</v>
      </c>
      <c r="D1958" t="s">
        <v>118</v>
      </c>
      <c r="E1958" t="s">
        <v>2618</v>
      </c>
      <c r="F1958" t="s">
        <v>6</v>
      </c>
      <c r="G1958" t="s">
        <v>130</v>
      </c>
      <c r="H1958" s="1">
        <v>46133</v>
      </c>
      <c r="I1958" t="s">
        <v>9553</v>
      </c>
      <c r="J1958" t="s">
        <v>9554</v>
      </c>
      <c r="K1958" t="s">
        <v>621</v>
      </c>
      <c r="L1958" t="s">
        <v>948</v>
      </c>
      <c r="M1958" t="s">
        <v>617</v>
      </c>
      <c r="N1958" s="166">
        <v>20.02</v>
      </c>
      <c r="O1958" t="s">
        <v>131</v>
      </c>
    </row>
    <row r="1959" spans="1:15">
      <c r="A1959" s="166" t="s">
        <v>9555</v>
      </c>
      <c r="B1959" t="s">
        <v>111</v>
      </c>
      <c r="C1959" t="s">
        <v>1104</v>
      </c>
      <c r="D1959" t="s">
        <v>118</v>
      </c>
      <c r="E1959" t="s">
        <v>2618</v>
      </c>
      <c r="F1959" t="s">
        <v>6</v>
      </c>
      <c r="G1959" t="s">
        <v>130</v>
      </c>
      <c r="H1959" s="1">
        <v>46133</v>
      </c>
      <c r="I1959" t="s">
        <v>9556</v>
      </c>
      <c r="J1959" t="s">
        <v>9557</v>
      </c>
      <c r="K1959" t="s">
        <v>2643</v>
      </c>
      <c r="L1959" t="s">
        <v>890</v>
      </c>
      <c r="M1959" t="s">
        <v>182</v>
      </c>
      <c r="N1959" s="166">
        <v>23.74</v>
      </c>
      <c r="O1959" t="s">
        <v>131</v>
      </c>
    </row>
    <row r="1960" spans="1:15">
      <c r="A1960" s="166" t="s">
        <v>9558</v>
      </c>
      <c r="B1960" t="s">
        <v>111</v>
      </c>
      <c r="C1960" t="s">
        <v>133</v>
      </c>
      <c r="D1960" t="s">
        <v>118</v>
      </c>
      <c r="E1960" t="s">
        <v>2618</v>
      </c>
      <c r="F1960" t="s">
        <v>6</v>
      </c>
      <c r="G1960" t="s">
        <v>130</v>
      </c>
      <c r="H1960" s="1">
        <v>46133</v>
      </c>
      <c r="I1960" t="s">
        <v>9559</v>
      </c>
      <c r="J1960" t="s">
        <v>9560</v>
      </c>
      <c r="K1960" t="s">
        <v>9561</v>
      </c>
      <c r="L1960" t="s">
        <v>907</v>
      </c>
      <c r="M1960" t="s">
        <v>697</v>
      </c>
      <c r="N1960" s="166">
        <v>26.46</v>
      </c>
      <c r="O1960" t="s">
        <v>131</v>
      </c>
    </row>
    <row r="1961" spans="1:15">
      <c r="A1961" s="166" t="s">
        <v>9562</v>
      </c>
      <c r="B1961" t="s">
        <v>111</v>
      </c>
      <c r="C1961" t="s">
        <v>134</v>
      </c>
      <c r="D1961" t="s">
        <v>118</v>
      </c>
      <c r="E1961" t="s">
        <v>2618</v>
      </c>
      <c r="F1961" t="s">
        <v>6</v>
      </c>
      <c r="G1961" t="s">
        <v>130</v>
      </c>
      <c r="H1961" s="1">
        <v>46133</v>
      </c>
      <c r="I1961" t="s">
        <v>9563</v>
      </c>
      <c r="J1961" t="s">
        <v>9564</v>
      </c>
      <c r="K1961" t="s">
        <v>816</v>
      </c>
      <c r="L1961" t="s">
        <v>208</v>
      </c>
      <c r="M1961" t="s">
        <v>481</v>
      </c>
      <c r="N1961" s="166">
        <v>22.4</v>
      </c>
      <c r="O1961" t="s">
        <v>131</v>
      </c>
    </row>
    <row r="1962" spans="1:15">
      <c r="A1962" s="166" t="s">
        <v>9565</v>
      </c>
      <c r="B1962" t="s">
        <v>111</v>
      </c>
      <c r="C1962" t="s">
        <v>2424</v>
      </c>
      <c r="D1962" t="s">
        <v>118</v>
      </c>
      <c r="E1962" t="s">
        <v>2618</v>
      </c>
      <c r="F1962" t="s">
        <v>6</v>
      </c>
      <c r="G1962" t="s">
        <v>130</v>
      </c>
      <c r="H1962" s="1">
        <v>46133</v>
      </c>
      <c r="I1962" t="s">
        <v>9566</v>
      </c>
      <c r="J1962" t="s">
        <v>9567</v>
      </c>
      <c r="K1962" t="s">
        <v>1744</v>
      </c>
      <c r="L1962" t="s">
        <v>1845</v>
      </c>
      <c r="M1962" t="s">
        <v>197</v>
      </c>
      <c r="N1962" s="166">
        <v>24.76</v>
      </c>
      <c r="O1962" t="s">
        <v>131</v>
      </c>
    </row>
    <row r="1963" spans="1:15">
      <c r="A1963" s="166" t="s">
        <v>9568</v>
      </c>
      <c r="B1963" t="s">
        <v>111</v>
      </c>
      <c r="C1963" t="s">
        <v>641</v>
      </c>
      <c r="D1963" t="s">
        <v>118</v>
      </c>
      <c r="E1963" t="s">
        <v>2618</v>
      </c>
      <c r="F1963" t="s">
        <v>6</v>
      </c>
      <c r="G1963" t="s">
        <v>130</v>
      </c>
      <c r="H1963" s="1">
        <v>46133</v>
      </c>
      <c r="I1963" t="s">
        <v>9569</v>
      </c>
      <c r="J1963" t="s">
        <v>9570</v>
      </c>
      <c r="K1963" t="s">
        <v>994</v>
      </c>
      <c r="L1963" t="s">
        <v>1881</v>
      </c>
      <c r="M1963" t="s">
        <v>3112</v>
      </c>
      <c r="N1963" s="166">
        <v>24.5</v>
      </c>
      <c r="O1963" t="s">
        <v>131</v>
      </c>
    </row>
    <row r="1964" spans="1:15">
      <c r="A1964" s="166" t="s">
        <v>9571</v>
      </c>
      <c r="B1964" t="s">
        <v>111</v>
      </c>
      <c r="C1964" t="s">
        <v>1104</v>
      </c>
      <c r="D1964" t="s">
        <v>118</v>
      </c>
      <c r="E1964" t="s">
        <v>2618</v>
      </c>
      <c r="F1964" t="s">
        <v>6</v>
      </c>
      <c r="G1964" t="s">
        <v>130</v>
      </c>
      <c r="H1964" s="1">
        <v>46133</v>
      </c>
      <c r="I1964" t="s">
        <v>9572</v>
      </c>
      <c r="J1964" t="s">
        <v>9573</v>
      </c>
      <c r="K1964" t="s">
        <v>229</v>
      </c>
      <c r="L1964" t="s">
        <v>890</v>
      </c>
      <c r="M1964" t="s">
        <v>857</v>
      </c>
      <c r="N1964" s="166">
        <v>22.94</v>
      </c>
      <c r="O1964" t="s">
        <v>131</v>
      </c>
    </row>
    <row r="1965" spans="1:15">
      <c r="A1965" s="166" t="s">
        <v>9574</v>
      </c>
      <c r="B1965" t="s">
        <v>111</v>
      </c>
      <c r="C1965" t="s">
        <v>133</v>
      </c>
      <c r="D1965" t="s">
        <v>118</v>
      </c>
      <c r="E1965" t="s">
        <v>2618</v>
      </c>
      <c r="F1965" t="s">
        <v>6</v>
      </c>
      <c r="G1965" t="s">
        <v>130</v>
      </c>
      <c r="H1965" s="1">
        <v>46133</v>
      </c>
      <c r="I1965" t="s">
        <v>9575</v>
      </c>
      <c r="J1965" t="s">
        <v>9576</v>
      </c>
      <c r="K1965" t="s">
        <v>2781</v>
      </c>
      <c r="L1965" t="s">
        <v>2058</v>
      </c>
      <c r="M1965" t="s">
        <v>922</v>
      </c>
      <c r="N1965" s="166">
        <v>25.2</v>
      </c>
      <c r="O1965" t="s">
        <v>131</v>
      </c>
    </row>
    <row r="1966" spans="1:15">
      <c r="A1966" s="166" t="s">
        <v>9577</v>
      </c>
      <c r="B1966" t="s">
        <v>111</v>
      </c>
      <c r="C1966" t="s">
        <v>7474</v>
      </c>
      <c r="D1966" t="s">
        <v>118</v>
      </c>
      <c r="E1966" t="s">
        <v>139</v>
      </c>
      <c r="F1966" t="s">
        <v>6</v>
      </c>
      <c r="G1966" t="s">
        <v>130</v>
      </c>
      <c r="H1966" s="1">
        <v>46133</v>
      </c>
      <c r="I1966" t="s">
        <v>9578</v>
      </c>
      <c r="J1966" t="s">
        <v>9579</v>
      </c>
      <c r="K1966" t="s">
        <v>448</v>
      </c>
      <c r="L1966" t="s">
        <v>4556</v>
      </c>
      <c r="M1966" t="s">
        <v>1778</v>
      </c>
      <c r="N1966" s="166">
        <v>19.8</v>
      </c>
      <c r="O1966" t="s">
        <v>131</v>
      </c>
    </row>
    <row r="1967" spans="1:15">
      <c r="A1967" s="166" t="s">
        <v>9580</v>
      </c>
      <c r="B1967" t="s">
        <v>111</v>
      </c>
      <c r="C1967" t="s">
        <v>135</v>
      </c>
      <c r="D1967" t="s">
        <v>118</v>
      </c>
      <c r="E1967" t="s">
        <v>139</v>
      </c>
      <c r="F1967" t="s">
        <v>6</v>
      </c>
      <c r="G1967" t="s">
        <v>130</v>
      </c>
      <c r="H1967" s="1">
        <v>46133</v>
      </c>
      <c r="I1967" t="s">
        <v>9581</v>
      </c>
      <c r="J1967" t="s">
        <v>9582</v>
      </c>
      <c r="K1967" t="s">
        <v>4347</v>
      </c>
      <c r="L1967" t="s">
        <v>777</v>
      </c>
      <c r="M1967" t="s">
        <v>2273</v>
      </c>
      <c r="N1967" s="166">
        <v>20.3</v>
      </c>
      <c r="O1967" t="s">
        <v>131</v>
      </c>
    </row>
    <row r="1968" spans="1:15">
      <c r="A1968" s="166" t="s">
        <v>9583</v>
      </c>
      <c r="B1968" t="s">
        <v>111</v>
      </c>
      <c r="C1968" t="s">
        <v>406</v>
      </c>
      <c r="D1968" t="s">
        <v>118</v>
      </c>
      <c r="E1968" t="s">
        <v>139</v>
      </c>
      <c r="F1968" t="s">
        <v>6</v>
      </c>
      <c r="G1968" t="s">
        <v>130</v>
      </c>
      <c r="H1968" s="1">
        <v>46133</v>
      </c>
      <c r="I1968" t="s">
        <v>9584</v>
      </c>
      <c r="J1968" t="s">
        <v>9585</v>
      </c>
      <c r="K1968" t="s">
        <v>1358</v>
      </c>
      <c r="L1968" t="s">
        <v>2095</v>
      </c>
      <c r="M1968" t="s">
        <v>3437</v>
      </c>
      <c r="N1968" s="166">
        <v>17.46</v>
      </c>
      <c r="O1968" t="s">
        <v>131</v>
      </c>
    </row>
    <row r="1969" spans="1:15">
      <c r="A1969" s="166" t="s">
        <v>9586</v>
      </c>
      <c r="B1969" t="s">
        <v>111</v>
      </c>
      <c r="C1969" t="s">
        <v>134</v>
      </c>
      <c r="D1969" t="s">
        <v>118</v>
      </c>
      <c r="E1969" t="s">
        <v>2618</v>
      </c>
      <c r="F1969" t="s">
        <v>6</v>
      </c>
      <c r="G1969" t="s">
        <v>130</v>
      </c>
      <c r="H1969" s="1">
        <v>46133</v>
      </c>
      <c r="I1969" t="s">
        <v>9587</v>
      </c>
      <c r="J1969" t="s">
        <v>9588</v>
      </c>
      <c r="K1969" t="s">
        <v>4594</v>
      </c>
      <c r="L1969" t="s">
        <v>665</v>
      </c>
      <c r="M1969" t="s">
        <v>9347</v>
      </c>
      <c r="N1969" s="166">
        <v>29.26</v>
      </c>
      <c r="O1969" t="s">
        <v>131</v>
      </c>
    </row>
    <row r="1970" spans="1:15">
      <c r="A1970" s="166" t="s">
        <v>167</v>
      </c>
      <c r="B1970" t="s">
        <v>111</v>
      </c>
      <c r="C1970" t="s">
        <v>2424</v>
      </c>
      <c r="D1970" t="s">
        <v>118</v>
      </c>
      <c r="E1970" t="s">
        <v>2618</v>
      </c>
      <c r="F1970" t="s">
        <v>6</v>
      </c>
      <c r="G1970" t="s">
        <v>130</v>
      </c>
      <c r="H1970" s="1">
        <v>46133</v>
      </c>
      <c r="I1970" t="s">
        <v>9589</v>
      </c>
      <c r="J1970" t="s">
        <v>9590</v>
      </c>
      <c r="K1970" t="s">
        <v>177</v>
      </c>
      <c r="L1970" t="s">
        <v>1958</v>
      </c>
      <c r="M1970" t="s">
        <v>5753</v>
      </c>
      <c r="N1970" s="166">
        <v>21.58</v>
      </c>
      <c r="O1970" t="s">
        <v>131</v>
      </c>
    </row>
    <row r="1971" spans="1:15">
      <c r="A1971" s="166" t="s">
        <v>9591</v>
      </c>
      <c r="B1971" t="s">
        <v>111</v>
      </c>
      <c r="C1971" t="s">
        <v>641</v>
      </c>
      <c r="D1971" t="s">
        <v>118</v>
      </c>
      <c r="E1971" t="s">
        <v>2618</v>
      </c>
      <c r="F1971" t="s">
        <v>6</v>
      </c>
      <c r="G1971" t="s">
        <v>130</v>
      </c>
      <c r="H1971" s="1">
        <v>46133</v>
      </c>
      <c r="I1971" t="s">
        <v>9592</v>
      </c>
      <c r="J1971" t="s">
        <v>9593</v>
      </c>
      <c r="K1971" t="s">
        <v>3125</v>
      </c>
      <c r="L1971" t="s">
        <v>3441</v>
      </c>
      <c r="M1971" t="s">
        <v>184</v>
      </c>
      <c r="N1971" s="166">
        <v>20.98</v>
      </c>
      <c r="O1971" t="s">
        <v>131</v>
      </c>
    </row>
    <row r="1972" spans="1:15">
      <c r="A1972" s="166" t="s">
        <v>9594</v>
      </c>
      <c r="B1972" t="s">
        <v>111</v>
      </c>
      <c r="C1972" t="s">
        <v>135</v>
      </c>
      <c r="D1972" t="s">
        <v>118</v>
      </c>
      <c r="E1972" t="s">
        <v>139</v>
      </c>
      <c r="F1972" t="s">
        <v>6</v>
      </c>
      <c r="G1972" t="s">
        <v>130</v>
      </c>
      <c r="H1972" s="1">
        <v>46133</v>
      </c>
      <c r="I1972" t="s">
        <v>9595</v>
      </c>
      <c r="J1972" t="s">
        <v>9596</v>
      </c>
      <c r="K1972" t="s">
        <v>1028</v>
      </c>
      <c r="L1972" t="s">
        <v>974</v>
      </c>
      <c r="M1972" t="s">
        <v>2644</v>
      </c>
      <c r="N1972" s="166">
        <v>16.239999999999998</v>
      </c>
      <c r="O1972" t="s">
        <v>131</v>
      </c>
    </row>
    <row r="1973" spans="1:15">
      <c r="A1973" s="166" t="s">
        <v>9597</v>
      </c>
      <c r="B1973" t="s">
        <v>111</v>
      </c>
      <c r="C1973" t="s">
        <v>1104</v>
      </c>
      <c r="D1973" t="s">
        <v>118</v>
      </c>
      <c r="E1973" t="s">
        <v>2618</v>
      </c>
      <c r="F1973" t="s">
        <v>6</v>
      </c>
      <c r="G1973" t="s">
        <v>130</v>
      </c>
      <c r="H1973" s="1">
        <v>46133</v>
      </c>
      <c r="I1973" t="s">
        <v>9598</v>
      </c>
      <c r="J1973" t="s">
        <v>9599</v>
      </c>
      <c r="K1973" t="s">
        <v>806</v>
      </c>
      <c r="L1973" t="s">
        <v>890</v>
      </c>
      <c r="M1973" t="s">
        <v>216</v>
      </c>
      <c r="N1973" s="166">
        <v>23.4</v>
      </c>
      <c r="O1973" t="s">
        <v>131</v>
      </c>
    </row>
    <row r="1974" spans="1:15">
      <c r="A1974" s="166" t="s">
        <v>9600</v>
      </c>
      <c r="B1974" t="s">
        <v>111</v>
      </c>
      <c r="C1974" t="s">
        <v>406</v>
      </c>
      <c r="D1974" t="s">
        <v>118</v>
      </c>
      <c r="E1974" t="s">
        <v>139</v>
      </c>
      <c r="F1974" t="s">
        <v>6</v>
      </c>
      <c r="G1974" t="s">
        <v>130</v>
      </c>
      <c r="H1974" s="1">
        <v>46133</v>
      </c>
      <c r="I1974" t="s">
        <v>9601</v>
      </c>
      <c r="J1974" t="s">
        <v>9602</v>
      </c>
      <c r="K1974" t="s">
        <v>9603</v>
      </c>
      <c r="L1974" t="s">
        <v>907</v>
      </c>
      <c r="M1974" t="s">
        <v>611</v>
      </c>
      <c r="N1974" s="166">
        <v>15.9</v>
      </c>
      <c r="O1974" t="s">
        <v>131</v>
      </c>
    </row>
    <row r="1975" spans="1:15">
      <c r="A1975" s="166" t="s">
        <v>9604</v>
      </c>
      <c r="B1975" t="s">
        <v>111</v>
      </c>
      <c r="C1975" t="s">
        <v>133</v>
      </c>
      <c r="D1975" t="s">
        <v>118</v>
      </c>
      <c r="E1975" t="s">
        <v>2618</v>
      </c>
      <c r="F1975" t="s">
        <v>6</v>
      </c>
      <c r="G1975" t="s">
        <v>130</v>
      </c>
      <c r="H1975" s="1">
        <v>46133</v>
      </c>
      <c r="I1975" t="s">
        <v>9605</v>
      </c>
      <c r="J1975" t="s">
        <v>9606</v>
      </c>
      <c r="K1975" t="s">
        <v>221</v>
      </c>
      <c r="L1975" t="s">
        <v>907</v>
      </c>
      <c r="M1975" t="s">
        <v>7428</v>
      </c>
      <c r="N1975" s="166">
        <v>23.44</v>
      </c>
      <c r="O1975" t="s">
        <v>131</v>
      </c>
    </row>
    <row r="1976" spans="1:15">
      <c r="A1976" s="166" t="s">
        <v>9607</v>
      </c>
      <c r="B1976" t="s">
        <v>111</v>
      </c>
      <c r="C1976" t="s">
        <v>134</v>
      </c>
      <c r="D1976" t="s">
        <v>118</v>
      </c>
      <c r="E1976" t="s">
        <v>2618</v>
      </c>
      <c r="F1976" t="s">
        <v>6</v>
      </c>
      <c r="G1976" t="s">
        <v>130</v>
      </c>
      <c r="H1976" s="1">
        <v>46133</v>
      </c>
      <c r="I1976" t="s">
        <v>9608</v>
      </c>
      <c r="J1976" t="s">
        <v>9609</v>
      </c>
      <c r="K1976" t="s">
        <v>3592</v>
      </c>
      <c r="L1976" t="s">
        <v>665</v>
      </c>
      <c r="M1976" t="s">
        <v>4407</v>
      </c>
      <c r="N1976" s="166">
        <v>23.26</v>
      </c>
      <c r="O1976" t="s">
        <v>131</v>
      </c>
    </row>
    <row r="1977" spans="1:15">
      <c r="A1977" s="166" t="s">
        <v>9610</v>
      </c>
      <c r="B1977" t="s">
        <v>111</v>
      </c>
      <c r="C1977" t="s">
        <v>135</v>
      </c>
      <c r="D1977" t="s">
        <v>118</v>
      </c>
      <c r="E1977" t="s">
        <v>139</v>
      </c>
      <c r="F1977" t="s">
        <v>6</v>
      </c>
      <c r="G1977" t="s">
        <v>130</v>
      </c>
      <c r="H1977" s="1">
        <v>46133</v>
      </c>
      <c r="I1977" t="s">
        <v>9611</v>
      </c>
      <c r="J1977" t="s">
        <v>9612</v>
      </c>
      <c r="K1977" t="s">
        <v>1131</v>
      </c>
      <c r="L1977" t="s">
        <v>616</v>
      </c>
      <c r="M1977" t="s">
        <v>1399</v>
      </c>
      <c r="N1977" s="166">
        <v>19.32</v>
      </c>
      <c r="O1977" t="s">
        <v>131</v>
      </c>
    </row>
    <row r="1978" spans="1:15">
      <c r="A1978" s="166" t="s">
        <v>9613</v>
      </c>
      <c r="B1978" t="s">
        <v>111</v>
      </c>
      <c r="C1978" t="s">
        <v>2424</v>
      </c>
      <c r="D1978" t="s">
        <v>118</v>
      </c>
      <c r="E1978" t="s">
        <v>2618</v>
      </c>
      <c r="F1978" t="s">
        <v>6</v>
      </c>
      <c r="G1978" t="s">
        <v>130</v>
      </c>
      <c r="H1978" s="1">
        <v>46133</v>
      </c>
      <c r="I1978" t="s">
        <v>9614</v>
      </c>
      <c r="J1978" t="s">
        <v>9615</v>
      </c>
      <c r="K1978" t="s">
        <v>3926</v>
      </c>
      <c r="L1978" t="s">
        <v>1958</v>
      </c>
      <c r="M1978" t="s">
        <v>2586</v>
      </c>
      <c r="N1978" s="166">
        <v>21.04</v>
      </c>
      <c r="O1978" t="s">
        <v>131</v>
      </c>
    </row>
    <row r="1979" spans="1:15">
      <c r="A1979" s="166" t="s">
        <v>9616</v>
      </c>
      <c r="B1979" t="s">
        <v>111</v>
      </c>
      <c r="C1979" t="s">
        <v>641</v>
      </c>
      <c r="D1979" t="s">
        <v>118</v>
      </c>
      <c r="E1979" t="s">
        <v>2618</v>
      </c>
      <c r="F1979" t="s">
        <v>6</v>
      </c>
      <c r="G1979" t="s">
        <v>130</v>
      </c>
      <c r="H1979" s="1">
        <v>46133</v>
      </c>
      <c r="I1979" t="s">
        <v>9617</v>
      </c>
      <c r="J1979" t="s">
        <v>9618</v>
      </c>
      <c r="K1979" t="s">
        <v>1463</v>
      </c>
      <c r="L1979" t="s">
        <v>2272</v>
      </c>
      <c r="M1979" t="s">
        <v>3084</v>
      </c>
      <c r="N1979" s="166">
        <v>21.5</v>
      </c>
      <c r="O1979" t="s">
        <v>131</v>
      </c>
    </row>
    <row r="1980" spans="1:15">
      <c r="A1980" s="166" t="s">
        <v>9619</v>
      </c>
      <c r="B1980" t="s">
        <v>111</v>
      </c>
      <c r="C1980" t="s">
        <v>406</v>
      </c>
      <c r="D1980" t="s">
        <v>118</v>
      </c>
      <c r="E1980" t="s">
        <v>139</v>
      </c>
      <c r="F1980" t="s">
        <v>6</v>
      </c>
      <c r="G1980" t="s">
        <v>130</v>
      </c>
      <c r="H1980" s="1">
        <v>46133</v>
      </c>
      <c r="I1980" t="s">
        <v>9620</v>
      </c>
      <c r="J1980" t="s">
        <v>9621</v>
      </c>
      <c r="K1980" t="s">
        <v>1172</v>
      </c>
      <c r="L1980" t="s">
        <v>2058</v>
      </c>
      <c r="M1980" t="s">
        <v>1155</v>
      </c>
      <c r="N1980" s="166">
        <v>18.3</v>
      </c>
      <c r="O1980" t="s">
        <v>131</v>
      </c>
    </row>
    <row r="1981" spans="1:15">
      <c r="A1981" s="166" t="s">
        <v>9622</v>
      </c>
      <c r="B1981" t="s">
        <v>111</v>
      </c>
      <c r="C1981" t="s">
        <v>133</v>
      </c>
      <c r="D1981" t="s">
        <v>118</v>
      </c>
      <c r="E1981" t="s">
        <v>2618</v>
      </c>
      <c r="F1981" t="s">
        <v>6</v>
      </c>
      <c r="G1981" t="s">
        <v>130</v>
      </c>
      <c r="H1981" s="1">
        <v>46133</v>
      </c>
      <c r="I1981" t="s">
        <v>9623</v>
      </c>
      <c r="J1981" t="s">
        <v>9624</v>
      </c>
      <c r="K1981" t="s">
        <v>475</v>
      </c>
      <c r="L1981" t="s">
        <v>2267</v>
      </c>
      <c r="M1981" t="s">
        <v>185</v>
      </c>
      <c r="N1981" s="166">
        <v>20.72</v>
      </c>
      <c r="O1981" t="s">
        <v>131</v>
      </c>
    </row>
    <row r="1982" spans="1:15">
      <c r="A1982" s="166" t="s">
        <v>9625</v>
      </c>
      <c r="B1982" t="s">
        <v>111</v>
      </c>
      <c r="C1982" t="s">
        <v>1104</v>
      </c>
      <c r="D1982" t="s">
        <v>118</v>
      </c>
      <c r="E1982" t="s">
        <v>2618</v>
      </c>
      <c r="F1982" t="s">
        <v>6</v>
      </c>
      <c r="G1982" t="s">
        <v>130</v>
      </c>
      <c r="H1982" s="1">
        <v>46133</v>
      </c>
      <c r="I1982" t="s">
        <v>9626</v>
      </c>
      <c r="J1982" t="s">
        <v>9627</v>
      </c>
      <c r="K1982" t="s">
        <v>414</v>
      </c>
      <c r="L1982" t="s">
        <v>870</v>
      </c>
      <c r="M1982" t="s">
        <v>2652</v>
      </c>
      <c r="N1982" s="166">
        <v>17.54</v>
      </c>
      <c r="O1982" t="s">
        <v>131</v>
      </c>
    </row>
    <row r="1983" spans="1:15">
      <c r="A1983" s="166" t="s">
        <v>9628</v>
      </c>
      <c r="B1983" t="s">
        <v>111</v>
      </c>
      <c r="C1983" t="s">
        <v>135</v>
      </c>
      <c r="D1983" t="s">
        <v>118</v>
      </c>
      <c r="E1983" t="s">
        <v>139</v>
      </c>
      <c r="F1983" t="s">
        <v>6</v>
      </c>
      <c r="G1983" t="s">
        <v>130</v>
      </c>
      <c r="H1983" s="1">
        <v>46133</v>
      </c>
      <c r="I1983" t="s">
        <v>9629</v>
      </c>
      <c r="J1983" t="s">
        <v>9630</v>
      </c>
      <c r="K1983" t="s">
        <v>9631</v>
      </c>
      <c r="L1983" t="s">
        <v>616</v>
      </c>
      <c r="M1983" t="s">
        <v>1845</v>
      </c>
      <c r="N1983" s="166">
        <v>16.38</v>
      </c>
      <c r="O1983" t="s">
        <v>131</v>
      </c>
    </row>
    <row r="1984" spans="1:15">
      <c r="A1984" s="166" t="s">
        <v>9632</v>
      </c>
      <c r="B1984" t="s">
        <v>111</v>
      </c>
      <c r="C1984" t="s">
        <v>134</v>
      </c>
      <c r="D1984" t="s">
        <v>118</v>
      </c>
      <c r="E1984" t="s">
        <v>2618</v>
      </c>
      <c r="F1984" t="s">
        <v>6</v>
      </c>
      <c r="G1984" t="s">
        <v>130</v>
      </c>
      <c r="H1984" s="1">
        <v>46133</v>
      </c>
      <c r="I1984" t="s">
        <v>9633</v>
      </c>
      <c r="J1984" t="s">
        <v>9634</v>
      </c>
      <c r="K1984" t="s">
        <v>1933</v>
      </c>
      <c r="L1984" t="s">
        <v>622</v>
      </c>
      <c r="M1984" t="s">
        <v>1995</v>
      </c>
      <c r="N1984" s="166">
        <v>19.12</v>
      </c>
      <c r="O1984" t="s">
        <v>131</v>
      </c>
    </row>
    <row r="1985" spans="1:15">
      <c r="A1985" s="166" t="s">
        <v>9635</v>
      </c>
      <c r="B1985" t="s">
        <v>111</v>
      </c>
      <c r="C1985" t="s">
        <v>2424</v>
      </c>
      <c r="D1985" t="s">
        <v>118</v>
      </c>
      <c r="E1985" t="s">
        <v>139</v>
      </c>
      <c r="F1985" t="s">
        <v>6</v>
      </c>
      <c r="G1985" t="s">
        <v>130</v>
      </c>
      <c r="H1985" s="1">
        <v>46133</v>
      </c>
      <c r="I1985" t="s">
        <v>9636</v>
      </c>
      <c r="J1985" t="s">
        <v>9637</v>
      </c>
      <c r="K1985" t="s">
        <v>1342</v>
      </c>
      <c r="L1985" t="s">
        <v>1177</v>
      </c>
      <c r="M1985" t="s">
        <v>2639</v>
      </c>
      <c r="N1985" s="166">
        <v>17.579999999999998</v>
      </c>
      <c r="O1985" t="s">
        <v>131</v>
      </c>
    </row>
    <row r="1986" spans="1:15">
      <c r="A1986" s="166" t="s">
        <v>9638</v>
      </c>
      <c r="B1986" t="s">
        <v>111</v>
      </c>
      <c r="C1986" t="s">
        <v>133</v>
      </c>
      <c r="D1986" t="s">
        <v>118</v>
      </c>
      <c r="E1986" t="s">
        <v>139</v>
      </c>
      <c r="F1986" t="s">
        <v>6</v>
      </c>
      <c r="G1986" t="s">
        <v>130</v>
      </c>
      <c r="H1986" s="1">
        <v>46133</v>
      </c>
      <c r="I1986" t="s">
        <v>9639</v>
      </c>
      <c r="J1986" t="s">
        <v>9640</v>
      </c>
      <c r="K1986" t="s">
        <v>3538</v>
      </c>
      <c r="L1986" t="s">
        <v>1280</v>
      </c>
      <c r="M1986" t="s">
        <v>3653</v>
      </c>
      <c r="N1986" s="166">
        <v>18.440000000000001</v>
      </c>
      <c r="O1986" t="s">
        <v>131</v>
      </c>
    </row>
    <row r="1987" spans="1:15">
      <c r="A1987" s="166" t="s">
        <v>9641</v>
      </c>
      <c r="B1987" t="s">
        <v>111</v>
      </c>
      <c r="C1987" t="s">
        <v>641</v>
      </c>
      <c r="D1987" t="s">
        <v>118</v>
      </c>
      <c r="E1987" t="s">
        <v>139</v>
      </c>
      <c r="F1987" t="s">
        <v>6</v>
      </c>
      <c r="G1987" t="s">
        <v>130</v>
      </c>
      <c r="H1987" s="1">
        <v>46133</v>
      </c>
      <c r="I1987" t="s">
        <v>9642</v>
      </c>
      <c r="J1987" t="s">
        <v>9643</v>
      </c>
      <c r="K1987" t="s">
        <v>3546</v>
      </c>
      <c r="L1987" t="s">
        <v>5385</v>
      </c>
      <c r="M1987" t="s">
        <v>1364</v>
      </c>
      <c r="N1987" s="166">
        <v>17.760000000000002</v>
      </c>
      <c r="O1987" t="s">
        <v>131</v>
      </c>
    </row>
    <row r="1988" spans="1:15">
      <c r="A1988" s="166" t="s">
        <v>9644</v>
      </c>
      <c r="B1988" t="s">
        <v>111</v>
      </c>
      <c r="C1988" t="s">
        <v>135</v>
      </c>
      <c r="D1988" t="s">
        <v>118</v>
      </c>
      <c r="E1988" t="s">
        <v>139</v>
      </c>
      <c r="F1988" t="s">
        <v>6</v>
      </c>
      <c r="G1988" t="s">
        <v>130</v>
      </c>
      <c r="H1988" s="1">
        <v>46133</v>
      </c>
      <c r="I1988" t="s">
        <v>9645</v>
      </c>
      <c r="J1988" t="s">
        <v>9646</v>
      </c>
      <c r="K1988" t="s">
        <v>5209</v>
      </c>
      <c r="L1988" t="s">
        <v>974</v>
      </c>
      <c r="M1988" t="s">
        <v>826</v>
      </c>
      <c r="N1988" s="166">
        <v>20.38</v>
      </c>
      <c r="O1988" t="s">
        <v>131</v>
      </c>
    </row>
    <row r="1989" spans="1:15">
      <c r="A1989" s="166" t="s">
        <v>9647</v>
      </c>
      <c r="B1989" t="s">
        <v>111</v>
      </c>
      <c r="C1989" t="s">
        <v>2424</v>
      </c>
      <c r="D1989" t="s">
        <v>118</v>
      </c>
      <c r="E1989" t="s">
        <v>139</v>
      </c>
      <c r="F1989" t="s">
        <v>6</v>
      </c>
      <c r="G1989" t="s">
        <v>130</v>
      </c>
      <c r="H1989" s="1">
        <v>46133</v>
      </c>
      <c r="I1989" t="s">
        <v>9648</v>
      </c>
      <c r="J1989" t="s">
        <v>9649</v>
      </c>
      <c r="K1989" t="s">
        <v>1709</v>
      </c>
      <c r="L1989" t="s">
        <v>1062</v>
      </c>
      <c r="M1989" t="s">
        <v>1263</v>
      </c>
      <c r="N1989" s="166">
        <v>18.48</v>
      </c>
      <c r="O1989" t="s">
        <v>131</v>
      </c>
    </row>
    <row r="1990" spans="1:15">
      <c r="A1990" s="166" t="s">
        <v>2066</v>
      </c>
      <c r="B1990" t="s">
        <v>111</v>
      </c>
      <c r="C1990" t="s">
        <v>1104</v>
      </c>
      <c r="D1990" t="s">
        <v>118</v>
      </c>
      <c r="E1990" t="s">
        <v>139</v>
      </c>
      <c r="F1990" t="s">
        <v>6</v>
      </c>
      <c r="G1990" t="s">
        <v>130</v>
      </c>
      <c r="H1990" s="1">
        <v>46133</v>
      </c>
      <c r="I1990" t="s">
        <v>9650</v>
      </c>
      <c r="J1990" t="s">
        <v>9651</v>
      </c>
      <c r="K1990" t="s">
        <v>573</v>
      </c>
      <c r="L1990" t="s">
        <v>3813</v>
      </c>
      <c r="M1990" t="s">
        <v>1850</v>
      </c>
      <c r="N1990" s="166">
        <v>19.739999999999998</v>
      </c>
      <c r="O1990" t="s">
        <v>131</v>
      </c>
    </row>
    <row r="1991" spans="1:15">
      <c r="A1991" s="166" t="s">
        <v>9652</v>
      </c>
      <c r="B1991" t="s">
        <v>111</v>
      </c>
      <c r="C1991" t="s">
        <v>7474</v>
      </c>
      <c r="D1991" t="s">
        <v>118</v>
      </c>
      <c r="E1991" t="s">
        <v>139</v>
      </c>
      <c r="F1991" t="s">
        <v>6</v>
      </c>
      <c r="G1991" t="s">
        <v>130</v>
      </c>
      <c r="H1991" s="1">
        <v>46133</v>
      </c>
      <c r="I1991" t="s">
        <v>9653</v>
      </c>
      <c r="J1991" t="s">
        <v>9654</v>
      </c>
      <c r="K1991" t="s">
        <v>649</v>
      </c>
      <c r="L1991" t="s">
        <v>1062</v>
      </c>
      <c r="M1991" t="s">
        <v>455</v>
      </c>
      <c r="N1991" s="166">
        <v>21.68</v>
      </c>
      <c r="O1991" t="s">
        <v>131</v>
      </c>
    </row>
    <row r="1992" spans="1:15">
      <c r="A1992" s="166" t="s">
        <v>9655</v>
      </c>
      <c r="B1992" t="s">
        <v>111</v>
      </c>
      <c r="C1992" t="s">
        <v>133</v>
      </c>
      <c r="D1992" t="s">
        <v>118</v>
      </c>
      <c r="E1992" t="s">
        <v>139</v>
      </c>
      <c r="F1992" t="s">
        <v>6</v>
      </c>
      <c r="G1992" t="s">
        <v>130</v>
      </c>
      <c r="H1992" s="1">
        <v>46133</v>
      </c>
      <c r="I1992" t="s">
        <v>9656</v>
      </c>
      <c r="J1992" t="s">
        <v>9657</v>
      </c>
      <c r="K1992" t="s">
        <v>1107</v>
      </c>
      <c r="L1992" t="s">
        <v>2127</v>
      </c>
      <c r="M1992" t="s">
        <v>1934</v>
      </c>
      <c r="N1992" s="166">
        <v>19.62</v>
      </c>
      <c r="O1992" t="s">
        <v>131</v>
      </c>
    </row>
    <row r="1993" spans="1:15">
      <c r="A1993" s="166" t="s">
        <v>9658</v>
      </c>
      <c r="B1993" t="s">
        <v>111</v>
      </c>
      <c r="C1993" t="s">
        <v>406</v>
      </c>
      <c r="D1993" t="s">
        <v>118</v>
      </c>
      <c r="E1993" t="s">
        <v>139</v>
      </c>
      <c r="F1993" t="s">
        <v>6</v>
      </c>
      <c r="G1993" t="s">
        <v>130</v>
      </c>
      <c r="H1993" s="1">
        <v>46133</v>
      </c>
      <c r="I1993" t="s">
        <v>9659</v>
      </c>
      <c r="J1993" t="s">
        <v>9660</v>
      </c>
      <c r="K1993" t="s">
        <v>1126</v>
      </c>
      <c r="L1993" t="s">
        <v>2058</v>
      </c>
      <c r="M1993" t="s">
        <v>1296</v>
      </c>
      <c r="N1993" s="166">
        <v>18.760000000000002</v>
      </c>
      <c r="O1993" t="s">
        <v>131</v>
      </c>
    </row>
    <row r="1994" spans="1:15">
      <c r="A1994" s="166" t="s">
        <v>9661</v>
      </c>
      <c r="B1994" t="s">
        <v>111</v>
      </c>
      <c r="C1994" t="s">
        <v>135</v>
      </c>
      <c r="D1994" t="s">
        <v>118</v>
      </c>
      <c r="E1994" t="s">
        <v>139</v>
      </c>
      <c r="F1994" t="s">
        <v>6</v>
      </c>
      <c r="G1994" t="s">
        <v>130</v>
      </c>
      <c r="H1994" s="1">
        <v>46133</v>
      </c>
      <c r="I1994" t="s">
        <v>9662</v>
      </c>
      <c r="J1994" t="s">
        <v>9663</v>
      </c>
      <c r="K1994" t="s">
        <v>800</v>
      </c>
      <c r="L1994" t="s">
        <v>193</v>
      </c>
      <c r="M1994" t="s">
        <v>871</v>
      </c>
      <c r="N1994" s="166">
        <v>22.86</v>
      </c>
      <c r="O1994" t="s">
        <v>131</v>
      </c>
    </row>
    <row r="1995" spans="1:15">
      <c r="A1995" s="166" t="s">
        <v>9664</v>
      </c>
      <c r="B1995" t="s">
        <v>111</v>
      </c>
      <c r="C1995" t="s">
        <v>641</v>
      </c>
      <c r="D1995" t="s">
        <v>118</v>
      </c>
      <c r="E1995" t="s">
        <v>139</v>
      </c>
      <c r="F1995" t="s">
        <v>6</v>
      </c>
      <c r="G1995" t="s">
        <v>130</v>
      </c>
      <c r="H1995" s="1">
        <v>46133</v>
      </c>
      <c r="I1995" t="s">
        <v>9665</v>
      </c>
      <c r="J1995" t="s">
        <v>9666</v>
      </c>
      <c r="K1995" t="s">
        <v>1381</v>
      </c>
      <c r="L1995" t="s">
        <v>180</v>
      </c>
      <c r="M1995" t="s">
        <v>2075</v>
      </c>
      <c r="N1995" s="166">
        <v>18.12</v>
      </c>
      <c r="O1995" t="s">
        <v>131</v>
      </c>
    </row>
    <row r="1996" spans="1:15">
      <c r="A1996" s="166" t="s">
        <v>9667</v>
      </c>
      <c r="B1996" t="s">
        <v>111</v>
      </c>
      <c r="C1996" t="s">
        <v>7474</v>
      </c>
      <c r="D1996" t="s">
        <v>118</v>
      </c>
      <c r="E1996" t="s">
        <v>139</v>
      </c>
      <c r="F1996" t="s">
        <v>6</v>
      </c>
      <c r="G1996" t="s">
        <v>130</v>
      </c>
      <c r="H1996" s="1">
        <v>46133</v>
      </c>
      <c r="I1996" t="s">
        <v>9668</v>
      </c>
      <c r="J1996" t="s">
        <v>9669</v>
      </c>
      <c r="K1996" t="s">
        <v>621</v>
      </c>
      <c r="L1996" t="s">
        <v>1101</v>
      </c>
      <c r="M1996" t="s">
        <v>1421</v>
      </c>
      <c r="N1996" s="166">
        <v>19.7</v>
      </c>
      <c r="O1996" t="s">
        <v>131</v>
      </c>
    </row>
    <row r="1997" spans="1:15">
      <c r="A1997" s="166" t="s">
        <v>9670</v>
      </c>
      <c r="B1997" t="s">
        <v>111</v>
      </c>
      <c r="C1997" t="s">
        <v>2424</v>
      </c>
      <c r="D1997" t="s">
        <v>118</v>
      </c>
      <c r="E1997" t="s">
        <v>139</v>
      </c>
      <c r="F1997" t="s">
        <v>6</v>
      </c>
      <c r="G1997" t="s">
        <v>130</v>
      </c>
      <c r="H1997" s="1">
        <v>46133</v>
      </c>
      <c r="I1997" t="s">
        <v>9671</v>
      </c>
      <c r="J1997" t="s">
        <v>9672</v>
      </c>
      <c r="K1997" t="s">
        <v>1591</v>
      </c>
      <c r="L1997" t="s">
        <v>465</v>
      </c>
      <c r="M1997" t="s">
        <v>1995</v>
      </c>
      <c r="N1997" s="166">
        <v>19.12</v>
      </c>
      <c r="O1997" t="s">
        <v>131</v>
      </c>
    </row>
    <row r="1998" spans="1:15">
      <c r="A1998" s="166" t="s">
        <v>9673</v>
      </c>
      <c r="B1998" t="s">
        <v>111</v>
      </c>
      <c r="C1998" t="s">
        <v>134</v>
      </c>
      <c r="D1998" t="s">
        <v>118</v>
      </c>
      <c r="E1998" t="s">
        <v>139</v>
      </c>
      <c r="F1998" t="s">
        <v>6</v>
      </c>
      <c r="G1998" t="s">
        <v>130</v>
      </c>
      <c r="H1998" s="1">
        <v>46133</v>
      </c>
      <c r="I1998" t="s">
        <v>9674</v>
      </c>
      <c r="J1998" t="s">
        <v>9675</v>
      </c>
      <c r="K1998" t="s">
        <v>1581</v>
      </c>
      <c r="L1998" t="s">
        <v>622</v>
      </c>
      <c r="M1998" t="s">
        <v>1127</v>
      </c>
      <c r="N1998" s="166">
        <v>19.920000000000002</v>
      </c>
      <c r="O1998" t="s">
        <v>131</v>
      </c>
    </row>
    <row r="1999" spans="1:15">
      <c r="A1999" s="166" t="s">
        <v>9676</v>
      </c>
      <c r="B1999" t="s">
        <v>111</v>
      </c>
      <c r="C1999" t="s">
        <v>133</v>
      </c>
      <c r="D1999" t="s">
        <v>118</v>
      </c>
      <c r="E1999" t="s">
        <v>139</v>
      </c>
      <c r="F1999" t="s">
        <v>6</v>
      </c>
      <c r="G1999" t="s">
        <v>130</v>
      </c>
      <c r="H1999" s="1">
        <v>46133</v>
      </c>
      <c r="I1999" t="s">
        <v>9677</v>
      </c>
      <c r="J1999" t="s">
        <v>9678</v>
      </c>
      <c r="K1999" t="s">
        <v>1332</v>
      </c>
      <c r="L1999" t="s">
        <v>2058</v>
      </c>
      <c r="M1999" t="s">
        <v>1369</v>
      </c>
      <c r="N1999" s="166">
        <v>18.78</v>
      </c>
      <c r="O1999" t="s">
        <v>131</v>
      </c>
    </row>
    <row r="2000" spans="1:15">
      <c r="A2000" s="166" t="s">
        <v>9679</v>
      </c>
      <c r="B2000" t="s">
        <v>111</v>
      </c>
      <c r="C2000" t="s">
        <v>641</v>
      </c>
      <c r="D2000" t="s">
        <v>118</v>
      </c>
      <c r="E2000" t="s">
        <v>139</v>
      </c>
      <c r="F2000" t="s">
        <v>6</v>
      </c>
      <c r="G2000" t="s">
        <v>130</v>
      </c>
      <c r="H2000" s="1">
        <v>46133</v>
      </c>
      <c r="I2000" t="s">
        <v>9680</v>
      </c>
      <c r="J2000" t="s">
        <v>9681</v>
      </c>
      <c r="K2000" t="s">
        <v>2383</v>
      </c>
      <c r="L2000" t="s">
        <v>2624</v>
      </c>
      <c r="M2000" t="s">
        <v>1662</v>
      </c>
      <c r="N2000" s="166">
        <v>16.02</v>
      </c>
      <c r="O2000" t="s">
        <v>131</v>
      </c>
    </row>
    <row r="2001" spans="1:15">
      <c r="A2001" s="166" t="s">
        <v>9682</v>
      </c>
      <c r="B2001" t="s">
        <v>111</v>
      </c>
      <c r="C2001" t="s">
        <v>2424</v>
      </c>
      <c r="D2001" t="s">
        <v>118</v>
      </c>
      <c r="E2001" t="s">
        <v>139</v>
      </c>
      <c r="F2001" t="s">
        <v>6</v>
      </c>
      <c r="G2001" t="s">
        <v>130</v>
      </c>
      <c r="H2001" s="1">
        <v>46133</v>
      </c>
      <c r="I2001" t="s">
        <v>9683</v>
      </c>
      <c r="J2001" t="s">
        <v>9684</v>
      </c>
      <c r="K2001" t="s">
        <v>6275</v>
      </c>
      <c r="L2001" t="s">
        <v>180</v>
      </c>
      <c r="M2001" t="s">
        <v>660</v>
      </c>
      <c r="N2001" s="166">
        <v>22.3</v>
      </c>
      <c r="O2001" t="s">
        <v>131</v>
      </c>
    </row>
    <row r="2002" spans="1:15">
      <c r="A2002" s="166" t="s">
        <v>9685</v>
      </c>
      <c r="B2002" t="s">
        <v>111</v>
      </c>
      <c r="C2002" t="s">
        <v>133</v>
      </c>
      <c r="D2002" t="s">
        <v>118</v>
      </c>
      <c r="E2002" t="s">
        <v>139</v>
      </c>
      <c r="F2002" t="s">
        <v>6</v>
      </c>
      <c r="G2002" t="s">
        <v>130</v>
      </c>
      <c r="H2002" s="1">
        <v>46133</v>
      </c>
      <c r="I2002" t="s">
        <v>9686</v>
      </c>
      <c r="J2002" t="s">
        <v>9687</v>
      </c>
      <c r="K2002" t="s">
        <v>1840</v>
      </c>
      <c r="L2002" t="s">
        <v>856</v>
      </c>
      <c r="M2002" t="s">
        <v>1412</v>
      </c>
      <c r="N2002" s="166">
        <v>18.62</v>
      </c>
      <c r="O2002" t="s">
        <v>131</v>
      </c>
    </row>
    <row r="2003" spans="1:15">
      <c r="A2003" s="166" t="s">
        <v>9688</v>
      </c>
      <c r="B2003" t="s">
        <v>111</v>
      </c>
      <c r="C2003" t="s">
        <v>2424</v>
      </c>
      <c r="D2003" t="s">
        <v>116</v>
      </c>
      <c r="E2003" t="s">
        <v>418</v>
      </c>
      <c r="F2003" t="s">
        <v>6</v>
      </c>
      <c r="G2003" t="s">
        <v>130</v>
      </c>
      <c r="H2003" s="1">
        <v>46133</v>
      </c>
      <c r="I2003" t="s">
        <v>9689</v>
      </c>
      <c r="J2003" t="s">
        <v>9690</v>
      </c>
      <c r="K2003" t="s">
        <v>739</v>
      </c>
      <c r="L2003" t="s">
        <v>2090</v>
      </c>
      <c r="M2003" t="s">
        <v>575</v>
      </c>
      <c r="N2003" s="166">
        <v>21.48</v>
      </c>
      <c r="O2003" t="s">
        <v>131</v>
      </c>
    </row>
    <row r="2004" spans="1:15">
      <c r="A2004" s="166" t="s">
        <v>9691</v>
      </c>
      <c r="B2004" t="s">
        <v>111</v>
      </c>
      <c r="C2004" t="s">
        <v>135</v>
      </c>
      <c r="D2004" t="s">
        <v>118</v>
      </c>
      <c r="E2004" t="s">
        <v>139</v>
      </c>
      <c r="F2004" t="s">
        <v>6</v>
      </c>
      <c r="G2004" t="s">
        <v>130</v>
      </c>
      <c r="H2004" s="1">
        <v>46133</v>
      </c>
      <c r="I2004" t="s">
        <v>9692</v>
      </c>
      <c r="J2004" t="s">
        <v>9693</v>
      </c>
      <c r="K2004" t="s">
        <v>1705</v>
      </c>
      <c r="L2004" t="s">
        <v>193</v>
      </c>
      <c r="M2004" t="s">
        <v>3646</v>
      </c>
      <c r="N2004" s="166">
        <v>20</v>
      </c>
      <c r="O2004" t="s">
        <v>131</v>
      </c>
    </row>
    <row r="2005" spans="1:15">
      <c r="A2005" s="166" t="s">
        <v>9694</v>
      </c>
      <c r="B2005" t="s">
        <v>111</v>
      </c>
      <c r="C2005" t="s">
        <v>134</v>
      </c>
      <c r="D2005" t="s">
        <v>116</v>
      </c>
      <c r="E2005" t="s">
        <v>418</v>
      </c>
      <c r="F2005" t="s">
        <v>6</v>
      </c>
      <c r="G2005" t="s">
        <v>130</v>
      </c>
      <c r="H2005" s="1">
        <v>46133</v>
      </c>
      <c r="I2005" t="s">
        <v>9695</v>
      </c>
      <c r="J2005" t="s">
        <v>9696</v>
      </c>
      <c r="K2005" t="s">
        <v>2904</v>
      </c>
      <c r="L2005" t="s">
        <v>720</v>
      </c>
      <c r="M2005" t="s">
        <v>1095</v>
      </c>
      <c r="N2005" s="166">
        <v>23.78</v>
      </c>
      <c r="O2005" t="s">
        <v>131</v>
      </c>
    </row>
    <row r="2006" spans="1:15">
      <c r="A2006" s="166" t="s">
        <v>9697</v>
      </c>
      <c r="B2006" t="s">
        <v>111</v>
      </c>
      <c r="C2006" t="s">
        <v>641</v>
      </c>
      <c r="D2006" t="s">
        <v>116</v>
      </c>
      <c r="E2006" t="s">
        <v>418</v>
      </c>
      <c r="F2006" t="s">
        <v>6</v>
      </c>
      <c r="G2006" t="s">
        <v>130</v>
      </c>
      <c r="H2006" s="1">
        <v>46133</v>
      </c>
      <c r="I2006" t="s">
        <v>9698</v>
      </c>
      <c r="J2006" t="s">
        <v>9699</v>
      </c>
      <c r="K2006" t="s">
        <v>4190</v>
      </c>
      <c r="L2006" t="s">
        <v>1101</v>
      </c>
      <c r="M2006" t="s">
        <v>2034</v>
      </c>
      <c r="N2006" s="166">
        <v>17.72</v>
      </c>
      <c r="O2006" t="s">
        <v>131</v>
      </c>
    </row>
    <row r="2007" spans="1:15">
      <c r="A2007" s="166" t="s">
        <v>9700</v>
      </c>
      <c r="B2007" t="s">
        <v>111</v>
      </c>
      <c r="C2007" t="s">
        <v>406</v>
      </c>
      <c r="D2007" t="s">
        <v>118</v>
      </c>
      <c r="E2007" t="s">
        <v>139</v>
      </c>
      <c r="F2007" t="s">
        <v>6</v>
      </c>
      <c r="G2007" t="s">
        <v>130</v>
      </c>
      <c r="H2007" s="1">
        <v>46133</v>
      </c>
      <c r="I2007" t="s">
        <v>9701</v>
      </c>
      <c r="J2007" t="s">
        <v>9702</v>
      </c>
      <c r="K2007" t="s">
        <v>1472</v>
      </c>
      <c r="L2007" t="s">
        <v>1483</v>
      </c>
      <c r="M2007" t="s">
        <v>184</v>
      </c>
      <c r="N2007" s="166">
        <v>20.98</v>
      </c>
      <c r="O2007" t="s">
        <v>131</v>
      </c>
    </row>
    <row r="2008" spans="1:15">
      <c r="A2008" s="166" t="s">
        <v>9703</v>
      </c>
      <c r="B2008" t="s">
        <v>111</v>
      </c>
      <c r="C2008" t="s">
        <v>2424</v>
      </c>
      <c r="D2008" t="s">
        <v>116</v>
      </c>
      <c r="E2008" t="s">
        <v>418</v>
      </c>
      <c r="F2008" t="s">
        <v>6</v>
      </c>
      <c r="G2008" t="s">
        <v>130</v>
      </c>
      <c r="H2008" s="1">
        <v>46133</v>
      </c>
      <c r="I2008" t="s">
        <v>9704</v>
      </c>
      <c r="J2008" t="s">
        <v>9705</v>
      </c>
      <c r="K2008" t="s">
        <v>2363</v>
      </c>
      <c r="L2008" t="s">
        <v>3040</v>
      </c>
      <c r="M2008" t="s">
        <v>2975</v>
      </c>
      <c r="N2008" s="166">
        <v>24.06</v>
      </c>
      <c r="O2008" t="s">
        <v>131</v>
      </c>
    </row>
    <row r="2009" spans="1:15">
      <c r="A2009" s="166" t="s">
        <v>9706</v>
      </c>
      <c r="B2009" t="s">
        <v>111</v>
      </c>
      <c r="C2009" t="s">
        <v>134</v>
      </c>
      <c r="D2009" t="s">
        <v>116</v>
      </c>
      <c r="E2009" t="s">
        <v>418</v>
      </c>
      <c r="F2009" t="s">
        <v>6</v>
      </c>
      <c r="G2009" t="s">
        <v>130</v>
      </c>
      <c r="H2009" s="1">
        <v>46133</v>
      </c>
      <c r="I2009" t="s">
        <v>9707</v>
      </c>
      <c r="J2009" t="s">
        <v>9708</v>
      </c>
      <c r="K2009" t="s">
        <v>5500</v>
      </c>
      <c r="L2009" t="s">
        <v>149</v>
      </c>
      <c r="M2009" t="s">
        <v>1628</v>
      </c>
      <c r="N2009" s="166">
        <v>23.66</v>
      </c>
      <c r="O2009" t="s">
        <v>131</v>
      </c>
    </row>
    <row r="2010" spans="1:15">
      <c r="A2010" s="166" t="s">
        <v>1541</v>
      </c>
      <c r="B2010" t="s">
        <v>111</v>
      </c>
      <c r="C2010" t="s">
        <v>7474</v>
      </c>
      <c r="D2010" t="s">
        <v>116</v>
      </c>
      <c r="E2010" t="s">
        <v>418</v>
      </c>
      <c r="F2010" t="s">
        <v>6</v>
      </c>
      <c r="G2010" t="s">
        <v>130</v>
      </c>
      <c r="H2010" s="1">
        <v>46133</v>
      </c>
      <c r="I2010" t="s">
        <v>9709</v>
      </c>
      <c r="J2010" t="s">
        <v>9710</v>
      </c>
      <c r="K2010" t="s">
        <v>2495</v>
      </c>
      <c r="L2010" t="s">
        <v>2184</v>
      </c>
      <c r="M2010" t="s">
        <v>1802</v>
      </c>
      <c r="N2010" s="166">
        <v>19.399999999999999</v>
      </c>
      <c r="O2010" t="s">
        <v>131</v>
      </c>
    </row>
    <row r="2011" spans="1:15">
      <c r="A2011" s="166" t="s">
        <v>9711</v>
      </c>
      <c r="B2011" t="s">
        <v>111</v>
      </c>
      <c r="C2011" t="s">
        <v>641</v>
      </c>
      <c r="D2011" t="s">
        <v>116</v>
      </c>
      <c r="E2011" t="s">
        <v>418</v>
      </c>
      <c r="F2011" t="s">
        <v>6</v>
      </c>
      <c r="G2011" t="s">
        <v>130</v>
      </c>
      <c r="H2011" s="1">
        <v>46133</v>
      </c>
      <c r="I2011" t="s">
        <v>9712</v>
      </c>
      <c r="J2011" t="s">
        <v>9713</v>
      </c>
      <c r="K2011" t="s">
        <v>844</v>
      </c>
      <c r="L2011" t="s">
        <v>1062</v>
      </c>
      <c r="M2011" t="s">
        <v>1452</v>
      </c>
      <c r="N2011" s="166">
        <v>22.96</v>
      </c>
      <c r="O2011" t="s">
        <v>131</v>
      </c>
    </row>
    <row r="2012" spans="1:15">
      <c r="A2012" s="166" t="s">
        <v>9714</v>
      </c>
      <c r="B2012" t="s">
        <v>111</v>
      </c>
      <c r="C2012" t="s">
        <v>135</v>
      </c>
      <c r="D2012" t="s">
        <v>118</v>
      </c>
      <c r="E2012" t="s">
        <v>139</v>
      </c>
      <c r="F2012" t="s">
        <v>6</v>
      </c>
      <c r="G2012" t="s">
        <v>130</v>
      </c>
      <c r="H2012" s="1">
        <v>46133</v>
      </c>
      <c r="I2012" t="s">
        <v>9715</v>
      </c>
      <c r="J2012" t="s">
        <v>9716</v>
      </c>
      <c r="K2012" t="s">
        <v>1976</v>
      </c>
      <c r="L2012" t="s">
        <v>208</v>
      </c>
      <c r="M2012" t="s">
        <v>1778</v>
      </c>
      <c r="N2012" s="166">
        <v>19.8</v>
      </c>
      <c r="O2012" t="s">
        <v>131</v>
      </c>
    </row>
    <row r="2013" spans="1:15">
      <c r="A2013" s="166" t="s">
        <v>9717</v>
      </c>
      <c r="B2013" t="s">
        <v>111</v>
      </c>
      <c r="C2013" t="s">
        <v>406</v>
      </c>
      <c r="D2013" t="s">
        <v>118</v>
      </c>
      <c r="E2013" t="s">
        <v>139</v>
      </c>
      <c r="F2013" t="s">
        <v>6</v>
      </c>
      <c r="G2013" t="s">
        <v>130</v>
      </c>
      <c r="H2013" s="1">
        <v>46133</v>
      </c>
      <c r="I2013" t="s">
        <v>9718</v>
      </c>
      <c r="J2013" t="s">
        <v>9719</v>
      </c>
      <c r="K2013" t="s">
        <v>1126</v>
      </c>
      <c r="L2013" t="s">
        <v>1499</v>
      </c>
      <c r="M2013" t="s">
        <v>1328</v>
      </c>
      <c r="N2013" s="166">
        <v>19.54</v>
      </c>
      <c r="O2013" t="s">
        <v>131</v>
      </c>
    </row>
    <row r="2014" spans="1:15">
      <c r="A2014" s="166" t="s">
        <v>9720</v>
      </c>
      <c r="B2014" t="s">
        <v>111</v>
      </c>
      <c r="C2014" t="s">
        <v>2424</v>
      </c>
      <c r="D2014" t="s">
        <v>116</v>
      </c>
      <c r="E2014" t="s">
        <v>418</v>
      </c>
      <c r="F2014" t="s">
        <v>6</v>
      </c>
      <c r="G2014" t="s">
        <v>130</v>
      </c>
      <c r="H2014" s="1">
        <v>46133</v>
      </c>
      <c r="I2014" t="s">
        <v>9721</v>
      </c>
      <c r="J2014" t="s">
        <v>9722</v>
      </c>
      <c r="K2014" t="s">
        <v>4420</v>
      </c>
      <c r="L2014" t="s">
        <v>1101</v>
      </c>
      <c r="M2014" t="s">
        <v>546</v>
      </c>
      <c r="N2014" s="166">
        <v>22.38</v>
      </c>
      <c r="O2014" t="s">
        <v>131</v>
      </c>
    </row>
    <row r="2015" spans="1:15">
      <c r="A2015" s="166" t="s">
        <v>9723</v>
      </c>
      <c r="B2015" t="s">
        <v>111</v>
      </c>
      <c r="C2015" t="s">
        <v>134</v>
      </c>
      <c r="D2015" t="s">
        <v>116</v>
      </c>
      <c r="E2015" t="s">
        <v>418</v>
      </c>
      <c r="F2015" t="s">
        <v>6</v>
      </c>
      <c r="G2015" t="s">
        <v>130</v>
      </c>
      <c r="H2015" s="1">
        <v>46133</v>
      </c>
      <c r="I2015" t="s">
        <v>9724</v>
      </c>
      <c r="J2015" t="s">
        <v>9725</v>
      </c>
      <c r="K2015" t="s">
        <v>4728</v>
      </c>
      <c r="L2015" t="s">
        <v>989</v>
      </c>
      <c r="M2015" t="s">
        <v>3219</v>
      </c>
      <c r="N2015" s="166">
        <v>24.86</v>
      </c>
      <c r="O2015" t="s">
        <v>131</v>
      </c>
    </row>
    <row r="2016" spans="1:15">
      <c r="A2016" s="166" t="s">
        <v>9726</v>
      </c>
      <c r="B2016" t="s">
        <v>111</v>
      </c>
      <c r="C2016" t="s">
        <v>133</v>
      </c>
      <c r="D2016" t="s">
        <v>116</v>
      </c>
      <c r="E2016" t="s">
        <v>418</v>
      </c>
      <c r="F2016" t="s">
        <v>6</v>
      </c>
      <c r="G2016" t="s">
        <v>130</v>
      </c>
      <c r="H2016" s="1">
        <v>46133</v>
      </c>
      <c r="I2016" t="s">
        <v>9727</v>
      </c>
      <c r="J2016" t="s">
        <v>9728</v>
      </c>
      <c r="K2016" t="s">
        <v>4851</v>
      </c>
      <c r="L2016" t="s">
        <v>856</v>
      </c>
      <c r="M2016" t="s">
        <v>702</v>
      </c>
      <c r="N2016" s="166">
        <v>25</v>
      </c>
      <c r="O2016" t="s">
        <v>131</v>
      </c>
    </row>
    <row r="2017" spans="1:15">
      <c r="A2017" s="166" t="s">
        <v>9729</v>
      </c>
      <c r="B2017" t="s">
        <v>111</v>
      </c>
      <c r="C2017" t="s">
        <v>7474</v>
      </c>
      <c r="D2017" t="s">
        <v>118</v>
      </c>
      <c r="E2017" t="s">
        <v>139</v>
      </c>
      <c r="F2017" t="s">
        <v>6</v>
      </c>
      <c r="G2017" t="s">
        <v>130</v>
      </c>
      <c r="H2017" s="1">
        <v>46133</v>
      </c>
      <c r="I2017" t="s">
        <v>9730</v>
      </c>
      <c r="J2017" t="s">
        <v>9731</v>
      </c>
      <c r="K2017" t="s">
        <v>781</v>
      </c>
      <c r="L2017" t="s">
        <v>3441</v>
      </c>
      <c r="M2017" t="s">
        <v>422</v>
      </c>
      <c r="N2017" s="166">
        <v>20.420000000000002</v>
      </c>
      <c r="O2017" t="s">
        <v>131</v>
      </c>
    </row>
    <row r="2018" spans="1:15">
      <c r="A2018" s="166" t="s">
        <v>9732</v>
      </c>
      <c r="B2018" t="s">
        <v>111</v>
      </c>
      <c r="C2018" t="s">
        <v>641</v>
      </c>
      <c r="D2018" t="s">
        <v>116</v>
      </c>
      <c r="E2018" t="s">
        <v>418</v>
      </c>
      <c r="F2018" t="s">
        <v>6</v>
      </c>
      <c r="G2018" t="s">
        <v>130</v>
      </c>
      <c r="H2018" s="1">
        <v>46133</v>
      </c>
      <c r="I2018" t="s">
        <v>9733</v>
      </c>
      <c r="J2018" t="s">
        <v>9734</v>
      </c>
      <c r="K2018" t="s">
        <v>3871</v>
      </c>
      <c r="L2018" t="s">
        <v>169</v>
      </c>
      <c r="M2018" t="s">
        <v>481</v>
      </c>
      <c r="N2018" s="166">
        <v>22.4</v>
      </c>
      <c r="O2018" t="s">
        <v>131</v>
      </c>
    </row>
    <row r="2019" spans="1:15">
      <c r="A2019" s="166" t="s">
        <v>9735</v>
      </c>
      <c r="B2019" t="s">
        <v>111</v>
      </c>
      <c r="C2019" t="s">
        <v>135</v>
      </c>
      <c r="D2019" t="s">
        <v>118</v>
      </c>
      <c r="E2019" t="s">
        <v>139</v>
      </c>
      <c r="F2019" t="s">
        <v>6</v>
      </c>
      <c r="G2019" t="s">
        <v>130</v>
      </c>
      <c r="H2019" s="1">
        <v>46133</v>
      </c>
      <c r="I2019" t="s">
        <v>9736</v>
      </c>
      <c r="J2019" t="s">
        <v>9737</v>
      </c>
      <c r="K2019" t="s">
        <v>1154</v>
      </c>
      <c r="L2019" t="s">
        <v>193</v>
      </c>
      <c r="M2019" t="s">
        <v>1258</v>
      </c>
      <c r="N2019" s="166">
        <v>19.420000000000002</v>
      </c>
      <c r="O2019" t="s">
        <v>131</v>
      </c>
    </row>
    <row r="2020" spans="1:15">
      <c r="A2020" s="166" t="s">
        <v>9738</v>
      </c>
      <c r="B2020" t="s">
        <v>111</v>
      </c>
      <c r="C2020" t="s">
        <v>2424</v>
      </c>
      <c r="D2020" t="s">
        <v>116</v>
      </c>
      <c r="E2020" t="s">
        <v>418</v>
      </c>
      <c r="F2020" t="s">
        <v>6</v>
      </c>
      <c r="G2020" t="s">
        <v>130</v>
      </c>
      <c r="H2020" s="1">
        <v>46133</v>
      </c>
      <c r="I2020" t="s">
        <v>9739</v>
      </c>
      <c r="J2020" t="s">
        <v>9740</v>
      </c>
      <c r="K2020" t="s">
        <v>912</v>
      </c>
      <c r="L2020" t="s">
        <v>180</v>
      </c>
      <c r="M2020" t="s">
        <v>197</v>
      </c>
      <c r="N2020" s="166">
        <v>24.76</v>
      </c>
      <c r="O2020" t="s">
        <v>131</v>
      </c>
    </row>
    <row r="2021" spans="1:15">
      <c r="A2021" s="166" t="s">
        <v>9741</v>
      </c>
      <c r="B2021" t="s">
        <v>111</v>
      </c>
      <c r="C2021" t="s">
        <v>134</v>
      </c>
      <c r="D2021" t="s">
        <v>116</v>
      </c>
      <c r="E2021" t="s">
        <v>418</v>
      </c>
      <c r="F2021" t="s">
        <v>6</v>
      </c>
      <c r="G2021" t="s">
        <v>130</v>
      </c>
      <c r="H2021" s="1">
        <v>46133</v>
      </c>
      <c r="I2021" t="s">
        <v>9742</v>
      </c>
      <c r="J2021" t="s">
        <v>9743</v>
      </c>
      <c r="K2021" t="s">
        <v>5097</v>
      </c>
      <c r="L2021" t="s">
        <v>1072</v>
      </c>
      <c r="M2021" t="s">
        <v>9069</v>
      </c>
      <c r="N2021" s="166">
        <v>26.68</v>
      </c>
      <c r="O2021" t="s">
        <v>131</v>
      </c>
    </row>
    <row r="2022" spans="1:15">
      <c r="A2022" s="166" t="s">
        <v>9744</v>
      </c>
      <c r="B2022" t="s">
        <v>111</v>
      </c>
      <c r="C2022" t="s">
        <v>406</v>
      </c>
      <c r="D2022" t="s">
        <v>118</v>
      </c>
      <c r="E2022" t="s">
        <v>139</v>
      </c>
      <c r="F2022" t="s">
        <v>6</v>
      </c>
      <c r="G2022" t="s">
        <v>130</v>
      </c>
      <c r="H2022" s="1">
        <v>46133</v>
      </c>
      <c r="I2022" t="s">
        <v>9745</v>
      </c>
      <c r="J2022" t="s">
        <v>9746</v>
      </c>
      <c r="K2022" t="s">
        <v>781</v>
      </c>
      <c r="L2022" t="s">
        <v>3032</v>
      </c>
      <c r="M2022" t="s">
        <v>4834</v>
      </c>
      <c r="N2022" s="166">
        <v>21.36</v>
      </c>
      <c r="O2022" t="s">
        <v>131</v>
      </c>
    </row>
    <row r="2023" spans="1:15">
      <c r="A2023" s="166" t="s">
        <v>9747</v>
      </c>
      <c r="B2023" t="s">
        <v>111</v>
      </c>
      <c r="C2023" t="s">
        <v>133</v>
      </c>
      <c r="D2023" t="s">
        <v>116</v>
      </c>
      <c r="E2023" t="s">
        <v>418</v>
      </c>
      <c r="F2023" t="s">
        <v>6</v>
      </c>
      <c r="G2023" t="s">
        <v>130</v>
      </c>
      <c r="H2023" s="1">
        <v>46133</v>
      </c>
      <c r="I2023" t="s">
        <v>9748</v>
      </c>
      <c r="J2023" t="s">
        <v>9749</v>
      </c>
      <c r="K2023" t="s">
        <v>942</v>
      </c>
      <c r="L2023" t="s">
        <v>2568</v>
      </c>
      <c r="M2023" t="s">
        <v>9750</v>
      </c>
      <c r="N2023" s="166">
        <v>27.14</v>
      </c>
      <c r="O2023" t="s">
        <v>131</v>
      </c>
    </row>
    <row r="2024" spans="1:15">
      <c r="A2024" s="166" t="s">
        <v>9751</v>
      </c>
      <c r="B2024" t="s">
        <v>111</v>
      </c>
      <c r="C2024" t="s">
        <v>641</v>
      </c>
      <c r="D2024" t="s">
        <v>116</v>
      </c>
      <c r="E2024" t="s">
        <v>418</v>
      </c>
      <c r="F2024" t="s">
        <v>6</v>
      </c>
      <c r="G2024" t="s">
        <v>130</v>
      </c>
      <c r="H2024" s="1">
        <v>46133</v>
      </c>
      <c r="I2024" t="s">
        <v>9752</v>
      </c>
      <c r="J2024" t="s">
        <v>9753</v>
      </c>
      <c r="K2024" t="s">
        <v>2865</v>
      </c>
      <c r="L2024" t="s">
        <v>2272</v>
      </c>
      <c r="M2024" t="s">
        <v>272</v>
      </c>
      <c r="N2024" s="166">
        <v>27.76</v>
      </c>
      <c r="O2024" t="s">
        <v>131</v>
      </c>
    </row>
    <row r="2025" spans="1:15">
      <c r="A2025" s="166" t="s">
        <v>9754</v>
      </c>
      <c r="B2025" t="s">
        <v>111</v>
      </c>
      <c r="C2025" t="s">
        <v>7474</v>
      </c>
      <c r="D2025" t="s">
        <v>118</v>
      </c>
      <c r="E2025" t="s">
        <v>139</v>
      </c>
      <c r="F2025" t="s">
        <v>6</v>
      </c>
      <c r="G2025" t="s">
        <v>130</v>
      </c>
      <c r="H2025" s="1">
        <v>46133</v>
      </c>
      <c r="I2025" t="s">
        <v>9755</v>
      </c>
      <c r="J2025" t="s">
        <v>9756</v>
      </c>
      <c r="K2025" t="s">
        <v>5840</v>
      </c>
      <c r="L2025" t="s">
        <v>870</v>
      </c>
      <c r="M2025" t="s">
        <v>1275</v>
      </c>
      <c r="N2025" s="166">
        <v>18.98</v>
      </c>
      <c r="O2025" t="s">
        <v>131</v>
      </c>
    </row>
    <row r="2026" spans="1:15">
      <c r="A2026" s="166" t="s">
        <v>9757</v>
      </c>
      <c r="B2026" t="s">
        <v>111</v>
      </c>
      <c r="C2026" t="s">
        <v>133</v>
      </c>
      <c r="D2026" t="s">
        <v>116</v>
      </c>
      <c r="E2026" t="s">
        <v>418</v>
      </c>
      <c r="F2026" t="s">
        <v>7285</v>
      </c>
      <c r="G2026" t="s">
        <v>130</v>
      </c>
      <c r="H2026" s="1">
        <v>46133</v>
      </c>
      <c r="I2026" t="s">
        <v>9758</v>
      </c>
      <c r="J2026" t="s">
        <v>9759</v>
      </c>
      <c r="K2026" t="s">
        <v>9760</v>
      </c>
      <c r="L2026" t="s">
        <v>3813</v>
      </c>
      <c r="M2026" t="s">
        <v>9761</v>
      </c>
      <c r="N2026" s="166">
        <v>32.119999999999997</v>
      </c>
      <c r="O2026" t="s">
        <v>131</v>
      </c>
    </row>
    <row r="2027" spans="1:15">
      <c r="A2027" s="166" t="s">
        <v>9762</v>
      </c>
      <c r="B2027" t="s">
        <v>111</v>
      </c>
      <c r="C2027" t="s">
        <v>1104</v>
      </c>
      <c r="D2027" t="s">
        <v>116</v>
      </c>
      <c r="E2027" t="s">
        <v>418</v>
      </c>
      <c r="F2027" t="s">
        <v>7285</v>
      </c>
      <c r="G2027" t="s">
        <v>130</v>
      </c>
      <c r="H2027" s="1">
        <v>46133</v>
      </c>
      <c r="I2027" t="s">
        <v>9763</v>
      </c>
      <c r="J2027" t="s">
        <v>9764</v>
      </c>
      <c r="K2027" t="s">
        <v>9765</v>
      </c>
      <c r="L2027" t="s">
        <v>1062</v>
      </c>
      <c r="M2027" t="s">
        <v>9766</v>
      </c>
      <c r="N2027" s="166">
        <v>29.6</v>
      </c>
      <c r="O2027" t="s">
        <v>131</v>
      </c>
    </row>
    <row r="2028" spans="1:15">
      <c r="A2028" s="166" t="s">
        <v>9767</v>
      </c>
      <c r="B2028" t="s">
        <v>111</v>
      </c>
      <c r="C2028" t="s">
        <v>133</v>
      </c>
      <c r="D2028" t="s">
        <v>116</v>
      </c>
      <c r="E2028" t="s">
        <v>138</v>
      </c>
      <c r="F2028" t="s">
        <v>101</v>
      </c>
      <c r="G2028" t="s">
        <v>130</v>
      </c>
      <c r="H2028" s="1">
        <v>46133</v>
      </c>
      <c r="I2028" t="s">
        <v>9768</v>
      </c>
      <c r="J2028" t="s">
        <v>9769</v>
      </c>
      <c r="K2028" t="s">
        <v>589</v>
      </c>
      <c r="L2028" t="s">
        <v>1958</v>
      </c>
      <c r="M2028" t="s">
        <v>2038</v>
      </c>
      <c r="N2028" s="166">
        <v>21.08</v>
      </c>
      <c r="O2028" t="s">
        <v>131</v>
      </c>
    </row>
    <row r="2029" spans="1:15">
      <c r="A2029" s="166" t="s">
        <v>9770</v>
      </c>
      <c r="B2029" t="s">
        <v>111</v>
      </c>
      <c r="C2029" t="s">
        <v>135</v>
      </c>
      <c r="D2029" t="s">
        <v>116</v>
      </c>
      <c r="E2029" t="s">
        <v>418</v>
      </c>
      <c r="F2029" t="s">
        <v>6</v>
      </c>
      <c r="G2029" t="s">
        <v>130</v>
      </c>
      <c r="H2029" s="1">
        <v>46133</v>
      </c>
      <c r="I2029" t="s">
        <v>9771</v>
      </c>
      <c r="J2029" t="s">
        <v>9772</v>
      </c>
      <c r="K2029" t="s">
        <v>2367</v>
      </c>
      <c r="L2029" t="s">
        <v>786</v>
      </c>
      <c r="M2029" t="s">
        <v>211</v>
      </c>
      <c r="N2029" s="166">
        <v>21.32</v>
      </c>
      <c r="O2029" t="s">
        <v>131</v>
      </c>
    </row>
    <row r="2030" spans="1:15">
      <c r="A2030" s="166" t="s">
        <v>1533</v>
      </c>
      <c r="B2030" t="s">
        <v>111</v>
      </c>
      <c r="C2030" t="s">
        <v>406</v>
      </c>
      <c r="D2030" t="s">
        <v>116</v>
      </c>
      <c r="E2030" t="s">
        <v>418</v>
      </c>
      <c r="F2030" t="s">
        <v>6</v>
      </c>
      <c r="G2030" t="s">
        <v>130</v>
      </c>
      <c r="H2030" s="1">
        <v>46133</v>
      </c>
      <c r="I2030" t="s">
        <v>9773</v>
      </c>
      <c r="J2030" t="s">
        <v>9774</v>
      </c>
      <c r="K2030" t="s">
        <v>638</v>
      </c>
      <c r="L2030" t="s">
        <v>622</v>
      </c>
      <c r="M2030" t="s">
        <v>639</v>
      </c>
      <c r="N2030" s="166">
        <v>21.02</v>
      </c>
      <c r="O2030" t="s">
        <v>131</v>
      </c>
    </row>
    <row r="2031" spans="1:15">
      <c r="A2031" s="166" t="s">
        <v>9775</v>
      </c>
      <c r="B2031" t="s">
        <v>111</v>
      </c>
      <c r="C2031" t="s">
        <v>2424</v>
      </c>
      <c r="D2031" t="s">
        <v>116</v>
      </c>
      <c r="E2031" t="s">
        <v>418</v>
      </c>
      <c r="F2031" t="s">
        <v>6</v>
      </c>
      <c r="G2031" t="s">
        <v>130</v>
      </c>
      <c r="H2031" s="1">
        <v>46133</v>
      </c>
      <c r="I2031" t="s">
        <v>9776</v>
      </c>
      <c r="J2031" t="s">
        <v>9777</v>
      </c>
      <c r="K2031" t="s">
        <v>2707</v>
      </c>
      <c r="L2031" t="s">
        <v>2572</v>
      </c>
      <c r="M2031" t="s">
        <v>726</v>
      </c>
      <c r="N2031" s="166">
        <v>24.36</v>
      </c>
      <c r="O2031" t="s">
        <v>131</v>
      </c>
    </row>
    <row r="2032" spans="1:15">
      <c r="A2032" s="166" t="s">
        <v>9778</v>
      </c>
      <c r="B2032" t="s">
        <v>111</v>
      </c>
      <c r="C2032" t="s">
        <v>135</v>
      </c>
      <c r="D2032" t="s">
        <v>116</v>
      </c>
      <c r="E2032" t="s">
        <v>418</v>
      </c>
      <c r="F2032" t="s">
        <v>6</v>
      </c>
      <c r="G2032" t="s">
        <v>130</v>
      </c>
      <c r="H2032" s="1">
        <v>46133</v>
      </c>
      <c r="I2032" t="s">
        <v>9779</v>
      </c>
      <c r="J2032" t="s">
        <v>9780</v>
      </c>
      <c r="K2032" t="s">
        <v>1227</v>
      </c>
      <c r="L2032" t="s">
        <v>616</v>
      </c>
      <c r="M2032" t="s">
        <v>6382</v>
      </c>
      <c r="N2032" s="166">
        <v>25.24</v>
      </c>
      <c r="O2032" t="s">
        <v>131</v>
      </c>
    </row>
    <row r="2033" spans="1:15">
      <c r="A2033" s="166" t="s">
        <v>9781</v>
      </c>
      <c r="B2033" t="s">
        <v>111</v>
      </c>
      <c r="C2033" t="s">
        <v>133</v>
      </c>
      <c r="D2033" t="s">
        <v>118</v>
      </c>
      <c r="E2033" t="s">
        <v>139</v>
      </c>
      <c r="F2033" t="s">
        <v>6</v>
      </c>
      <c r="G2033" t="s">
        <v>130</v>
      </c>
      <c r="H2033" s="1">
        <v>46133</v>
      </c>
      <c r="I2033" t="s">
        <v>9782</v>
      </c>
      <c r="J2033" t="s">
        <v>9783</v>
      </c>
      <c r="K2033" t="s">
        <v>2296</v>
      </c>
      <c r="L2033" t="s">
        <v>890</v>
      </c>
      <c r="M2033" t="s">
        <v>579</v>
      </c>
      <c r="N2033" s="166">
        <v>21.22</v>
      </c>
      <c r="O2033" t="s">
        <v>131</v>
      </c>
    </row>
    <row r="2034" spans="1:15">
      <c r="A2034" s="166" t="s">
        <v>9784</v>
      </c>
      <c r="B2034" t="s">
        <v>111</v>
      </c>
      <c r="C2034" t="s">
        <v>134</v>
      </c>
      <c r="D2034" t="s">
        <v>118</v>
      </c>
      <c r="E2034" t="s">
        <v>139</v>
      </c>
      <c r="F2034" t="s">
        <v>6</v>
      </c>
      <c r="G2034" t="s">
        <v>130</v>
      </c>
      <c r="H2034" s="1">
        <v>46133</v>
      </c>
      <c r="I2034" t="s">
        <v>9785</v>
      </c>
      <c r="J2034" t="s">
        <v>9786</v>
      </c>
      <c r="K2034" t="s">
        <v>231</v>
      </c>
      <c r="L2034" t="s">
        <v>974</v>
      </c>
      <c r="M2034" t="s">
        <v>3663</v>
      </c>
      <c r="N2034" s="166">
        <v>24.62</v>
      </c>
      <c r="O2034" t="s">
        <v>131</v>
      </c>
    </row>
    <row r="2035" spans="1:15">
      <c r="A2035" s="166" t="s">
        <v>9787</v>
      </c>
      <c r="B2035" t="s">
        <v>111</v>
      </c>
      <c r="C2035" t="s">
        <v>406</v>
      </c>
      <c r="D2035" t="s">
        <v>118</v>
      </c>
      <c r="E2035" t="s">
        <v>2618</v>
      </c>
      <c r="F2035" t="s">
        <v>6</v>
      </c>
      <c r="G2035" t="s">
        <v>130</v>
      </c>
      <c r="H2035" s="1">
        <v>46133</v>
      </c>
      <c r="I2035" t="s">
        <v>9788</v>
      </c>
      <c r="J2035" t="s">
        <v>9789</v>
      </c>
      <c r="K2035" t="s">
        <v>210</v>
      </c>
      <c r="L2035" t="s">
        <v>149</v>
      </c>
      <c r="M2035" t="s">
        <v>2560</v>
      </c>
      <c r="N2035" s="166">
        <v>20.6</v>
      </c>
      <c r="O2035" t="s">
        <v>131</v>
      </c>
    </row>
    <row r="2036" spans="1:15">
      <c r="A2036" s="166" t="s">
        <v>9790</v>
      </c>
      <c r="B2036" t="s">
        <v>111</v>
      </c>
      <c r="C2036" t="s">
        <v>2424</v>
      </c>
      <c r="D2036" t="s">
        <v>118</v>
      </c>
      <c r="E2036" t="s">
        <v>139</v>
      </c>
      <c r="F2036" t="s">
        <v>6</v>
      </c>
      <c r="G2036" t="s">
        <v>130</v>
      </c>
      <c r="H2036" s="1">
        <v>46133</v>
      </c>
      <c r="I2036" t="s">
        <v>9791</v>
      </c>
      <c r="J2036" t="s">
        <v>9792</v>
      </c>
      <c r="K2036" t="s">
        <v>589</v>
      </c>
      <c r="L2036" t="s">
        <v>2019</v>
      </c>
      <c r="M2036" t="s">
        <v>1323</v>
      </c>
      <c r="N2036" s="166">
        <v>20.440000000000001</v>
      </c>
      <c r="O2036" t="s">
        <v>131</v>
      </c>
    </row>
    <row r="2037" spans="1:15">
      <c r="A2037" s="166" t="s">
        <v>9793</v>
      </c>
      <c r="B2037" t="s">
        <v>111</v>
      </c>
      <c r="C2037" t="s">
        <v>1104</v>
      </c>
      <c r="D2037" t="s">
        <v>118</v>
      </c>
      <c r="E2037" t="s">
        <v>139</v>
      </c>
      <c r="F2037" t="s">
        <v>6</v>
      </c>
      <c r="G2037" t="s">
        <v>130</v>
      </c>
      <c r="H2037" s="1">
        <v>46133</v>
      </c>
      <c r="I2037" t="s">
        <v>9794</v>
      </c>
      <c r="J2037" t="s">
        <v>9795</v>
      </c>
      <c r="K2037" t="s">
        <v>1801</v>
      </c>
      <c r="L2037" t="s">
        <v>1062</v>
      </c>
      <c r="M2037" t="s">
        <v>2678</v>
      </c>
      <c r="N2037" s="166">
        <v>17.82</v>
      </c>
      <c r="O2037" t="s">
        <v>131</v>
      </c>
    </row>
    <row r="2038" spans="1:15">
      <c r="A2038" s="166" t="s">
        <v>9796</v>
      </c>
      <c r="B2038" t="s">
        <v>111</v>
      </c>
      <c r="C2038" t="s">
        <v>7474</v>
      </c>
      <c r="D2038" t="s">
        <v>118</v>
      </c>
      <c r="E2038" t="s">
        <v>139</v>
      </c>
      <c r="F2038" t="s">
        <v>6</v>
      </c>
      <c r="G2038" t="s">
        <v>130</v>
      </c>
      <c r="H2038" s="1">
        <v>46133</v>
      </c>
      <c r="I2038" t="s">
        <v>9797</v>
      </c>
      <c r="J2038" t="s">
        <v>9798</v>
      </c>
      <c r="K2038" t="s">
        <v>3303</v>
      </c>
      <c r="L2038" t="s">
        <v>3501</v>
      </c>
      <c r="M2038" t="s">
        <v>3311</v>
      </c>
      <c r="N2038" s="166">
        <v>23.64</v>
      </c>
      <c r="O2038" t="s">
        <v>131</v>
      </c>
    </row>
    <row r="2039" spans="1:15">
      <c r="A2039" s="166" t="s">
        <v>9799</v>
      </c>
      <c r="B2039" t="s">
        <v>111</v>
      </c>
      <c r="C2039" t="s">
        <v>133</v>
      </c>
      <c r="D2039" t="s">
        <v>118</v>
      </c>
      <c r="E2039" t="s">
        <v>139</v>
      </c>
      <c r="F2039" t="s">
        <v>6</v>
      </c>
      <c r="G2039" t="s">
        <v>130</v>
      </c>
      <c r="H2039" s="1">
        <v>46133</v>
      </c>
      <c r="I2039" t="s">
        <v>9800</v>
      </c>
      <c r="J2039" t="s">
        <v>9801</v>
      </c>
      <c r="K2039" t="s">
        <v>755</v>
      </c>
      <c r="L2039" t="s">
        <v>948</v>
      </c>
      <c r="M2039" t="s">
        <v>1653</v>
      </c>
      <c r="N2039" s="166">
        <v>21.42</v>
      </c>
      <c r="O2039" t="s">
        <v>131</v>
      </c>
    </row>
    <row r="2040" spans="1:15">
      <c r="A2040" s="166" t="s">
        <v>9802</v>
      </c>
      <c r="B2040" t="s">
        <v>111</v>
      </c>
      <c r="C2040" t="s">
        <v>134</v>
      </c>
      <c r="D2040" t="s">
        <v>118</v>
      </c>
      <c r="E2040" t="s">
        <v>139</v>
      </c>
      <c r="F2040" t="s">
        <v>6</v>
      </c>
      <c r="G2040" t="s">
        <v>130</v>
      </c>
      <c r="H2040" s="1">
        <v>46133</v>
      </c>
      <c r="I2040" t="s">
        <v>9803</v>
      </c>
      <c r="J2040" t="s">
        <v>9804</v>
      </c>
      <c r="K2040" t="s">
        <v>2634</v>
      </c>
      <c r="L2040" t="s">
        <v>720</v>
      </c>
      <c r="M2040" t="s">
        <v>4621</v>
      </c>
      <c r="N2040" s="166">
        <v>26.18</v>
      </c>
      <c r="O2040" t="s">
        <v>131</v>
      </c>
    </row>
    <row r="2041" spans="1:15">
      <c r="A2041" s="166" t="s">
        <v>9805</v>
      </c>
      <c r="B2041" t="s">
        <v>111</v>
      </c>
      <c r="C2041" t="s">
        <v>2424</v>
      </c>
      <c r="D2041" t="s">
        <v>118</v>
      </c>
      <c r="E2041" t="s">
        <v>139</v>
      </c>
      <c r="F2041" t="s">
        <v>6</v>
      </c>
      <c r="G2041" t="s">
        <v>130</v>
      </c>
      <c r="H2041" s="1">
        <v>46133</v>
      </c>
      <c r="I2041" t="s">
        <v>9806</v>
      </c>
      <c r="J2041" t="s">
        <v>9807</v>
      </c>
      <c r="K2041" t="s">
        <v>3693</v>
      </c>
      <c r="L2041" t="s">
        <v>772</v>
      </c>
      <c r="M2041" t="s">
        <v>156</v>
      </c>
      <c r="N2041" s="166">
        <v>22.98</v>
      </c>
      <c r="O2041" t="s">
        <v>131</v>
      </c>
    </row>
    <row r="2042" spans="1:15">
      <c r="A2042" s="166" t="s">
        <v>9808</v>
      </c>
      <c r="B2042" t="s">
        <v>111</v>
      </c>
      <c r="C2042" t="s">
        <v>1104</v>
      </c>
      <c r="D2042" t="s">
        <v>118</v>
      </c>
      <c r="E2042" t="s">
        <v>139</v>
      </c>
      <c r="F2042" t="s">
        <v>6</v>
      </c>
      <c r="G2042" t="s">
        <v>130</v>
      </c>
      <c r="H2042" s="1">
        <v>46133</v>
      </c>
      <c r="I2042" t="s">
        <v>9809</v>
      </c>
      <c r="J2042" t="s">
        <v>9810</v>
      </c>
      <c r="K2042" t="s">
        <v>1521</v>
      </c>
      <c r="L2042" t="s">
        <v>3129</v>
      </c>
      <c r="M2042" t="s">
        <v>2586</v>
      </c>
      <c r="N2042" s="166">
        <v>21.04</v>
      </c>
      <c r="O2042" t="s">
        <v>131</v>
      </c>
    </row>
    <row r="2043" spans="1:15">
      <c r="A2043" s="166" t="s">
        <v>9811</v>
      </c>
      <c r="B2043" t="s">
        <v>111</v>
      </c>
      <c r="C2043" t="s">
        <v>7474</v>
      </c>
      <c r="D2043" t="s">
        <v>118</v>
      </c>
      <c r="E2043" t="s">
        <v>139</v>
      </c>
      <c r="F2043" t="s">
        <v>6</v>
      </c>
      <c r="G2043" t="s">
        <v>130</v>
      </c>
      <c r="H2043" s="1">
        <v>46133</v>
      </c>
      <c r="I2043" t="s">
        <v>9812</v>
      </c>
      <c r="J2043" t="s">
        <v>9813</v>
      </c>
      <c r="K2043" t="s">
        <v>1080</v>
      </c>
      <c r="L2043" t="s">
        <v>3075</v>
      </c>
      <c r="M2043" t="s">
        <v>175</v>
      </c>
      <c r="N2043" s="166">
        <v>21.1</v>
      </c>
      <c r="O2043" t="s">
        <v>131</v>
      </c>
    </row>
    <row r="2044" spans="1:15">
      <c r="A2044" s="166" t="s">
        <v>9814</v>
      </c>
      <c r="B2044" t="s">
        <v>111</v>
      </c>
      <c r="C2044" t="s">
        <v>133</v>
      </c>
      <c r="D2044" t="s">
        <v>118</v>
      </c>
      <c r="E2044" t="s">
        <v>2618</v>
      </c>
      <c r="F2044" t="s">
        <v>6</v>
      </c>
      <c r="G2044" t="s">
        <v>130</v>
      </c>
      <c r="H2044" s="1">
        <v>46133</v>
      </c>
      <c r="I2044" t="s">
        <v>9815</v>
      </c>
      <c r="J2044" t="s">
        <v>9816</v>
      </c>
      <c r="K2044" t="s">
        <v>4645</v>
      </c>
      <c r="L2044" t="s">
        <v>927</v>
      </c>
      <c r="M2044" t="s">
        <v>731</v>
      </c>
      <c r="N2044" s="166">
        <v>20.82</v>
      </c>
      <c r="O2044" t="s">
        <v>131</v>
      </c>
    </row>
    <row r="2045" spans="1:15">
      <c r="A2045" s="166" t="s">
        <v>9817</v>
      </c>
      <c r="B2045" t="s">
        <v>111</v>
      </c>
      <c r="C2045" t="s">
        <v>134</v>
      </c>
      <c r="D2045" t="s">
        <v>118</v>
      </c>
      <c r="E2045" t="s">
        <v>139</v>
      </c>
      <c r="F2045" t="s">
        <v>6</v>
      </c>
      <c r="G2045" t="s">
        <v>130</v>
      </c>
      <c r="H2045" s="1">
        <v>46133</v>
      </c>
      <c r="I2045" t="s">
        <v>9818</v>
      </c>
      <c r="J2045" t="s">
        <v>9819</v>
      </c>
      <c r="K2045" t="s">
        <v>204</v>
      </c>
      <c r="L2045" t="s">
        <v>645</v>
      </c>
      <c r="M2045" t="s">
        <v>1323</v>
      </c>
      <c r="N2045" s="166">
        <v>20.440000000000001</v>
      </c>
      <c r="O2045" t="s">
        <v>131</v>
      </c>
    </row>
    <row r="2046" spans="1:15">
      <c r="A2046" s="166" t="s">
        <v>9820</v>
      </c>
      <c r="B2046" t="s">
        <v>111</v>
      </c>
      <c r="C2046" t="s">
        <v>2424</v>
      </c>
      <c r="D2046" t="s">
        <v>118</v>
      </c>
      <c r="E2046" t="s">
        <v>2618</v>
      </c>
      <c r="F2046" t="s">
        <v>6</v>
      </c>
      <c r="G2046" t="s">
        <v>130</v>
      </c>
      <c r="H2046" s="1">
        <v>46133</v>
      </c>
      <c r="I2046" t="s">
        <v>9821</v>
      </c>
      <c r="J2046" t="s">
        <v>9822</v>
      </c>
      <c r="K2046" t="s">
        <v>589</v>
      </c>
      <c r="L2046" t="s">
        <v>730</v>
      </c>
      <c r="M2046" t="s">
        <v>6807</v>
      </c>
      <c r="N2046" s="166">
        <v>21.74</v>
      </c>
      <c r="O2046" t="s">
        <v>131</v>
      </c>
    </row>
    <row r="2047" spans="1:15">
      <c r="A2047" s="166" t="s">
        <v>9823</v>
      </c>
      <c r="B2047" t="s">
        <v>111</v>
      </c>
      <c r="C2047" t="s">
        <v>1104</v>
      </c>
      <c r="D2047" t="s">
        <v>118</v>
      </c>
      <c r="E2047" t="s">
        <v>139</v>
      </c>
      <c r="F2047" t="s">
        <v>6</v>
      </c>
      <c r="G2047" t="s">
        <v>130</v>
      </c>
      <c r="H2047" s="1">
        <v>46133</v>
      </c>
      <c r="I2047" t="s">
        <v>9824</v>
      </c>
      <c r="J2047" t="s">
        <v>9825</v>
      </c>
      <c r="K2047" t="s">
        <v>600</v>
      </c>
      <c r="L2047" t="s">
        <v>1958</v>
      </c>
      <c r="M2047" t="s">
        <v>1553</v>
      </c>
      <c r="N2047" s="166">
        <v>20.239999999999998</v>
      </c>
      <c r="O2047" t="s">
        <v>131</v>
      </c>
    </row>
    <row r="2048" spans="1:15">
      <c r="A2048" s="166" t="s">
        <v>9826</v>
      </c>
      <c r="B2048" t="s">
        <v>111</v>
      </c>
      <c r="C2048" t="s">
        <v>7474</v>
      </c>
      <c r="D2048" t="s">
        <v>118</v>
      </c>
      <c r="E2048" t="s">
        <v>139</v>
      </c>
      <c r="F2048" t="s">
        <v>6</v>
      </c>
      <c r="G2048" t="s">
        <v>130</v>
      </c>
      <c r="H2048" s="1">
        <v>46133</v>
      </c>
      <c r="I2048" t="s">
        <v>9827</v>
      </c>
      <c r="J2048" t="s">
        <v>9828</v>
      </c>
      <c r="K2048" t="s">
        <v>1818</v>
      </c>
      <c r="L2048" t="s">
        <v>2549</v>
      </c>
      <c r="M2048" t="s">
        <v>791</v>
      </c>
      <c r="N2048" s="166">
        <v>19.079999999999998</v>
      </c>
      <c r="O2048" t="s">
        <v>131</v>
      </c>
    </row>
    <row r="2049" spans="1:15">
      <c r="A2049" s="166" t="s">
        <v>9829</v>
      </c>
      <c r="B2049" t="s">
        <v>111</v>
      </c>
      <c r="C2049" t="s">
        <v>135</v>
      </c>
      <c r="D2049" t="s">
        <v>118</v>
      </c>
      <c r="E2049" t="s">
        <v>139</v>
      </c>
      <c r="F2049" t="s">
        <v>6</v>
      </c>
      <c r="G2049" t="s">
        <v>130</v>
      </c>
      <c r="H2049" s="1">
        <v>46133</v>
      </c>
      <c r="I2049" t="s">
        <v>9830</v>
      </c>
      <c r="J2049" t="s">
        <v>9831</v>
      </c>
      <c r="K2049" t="s">
        <v>2301</v>
      </c>
      <c r="L2049" t="s">
        <v>162</v>
      </c>
      <c r="M2049" t="s">
        <v>1333</v>
      </c>
      <c r="N2049" s="166">
        <v>19.14</v>
      </c>
      <c r="O2049" t="s">
        <v>131</v>
      </c>
    </row>
    <row r="2050" spans="1:15">
      <c r="A2050" s="166" t="s">
        <v>1309</v>
      </c>
      <c r="B2050" t="s">
        <v>111</v>
      </c>
      <c r="C2050" t="s">
        <v>406</v>
      </c>
      <c r="D2050" t="s">
        <v>118</v>
      </c>
      <c r="E2050" t="s">
        <v>2618</v>
      </c>
      <c r="F2050" t="s">
        <v>6</v>
      </c>
      <c r="G2050" t="s">
        <v>130</v>
      </c>
      <c r="H2050" s="1">
        <v>46133</v>
      </c>
      <c r="I2050" t="s">
        <v>9832</v>
      </c>
      <c r="J2050" t="s">
        <v>9833</v>
      </c>
      <c r="K2050" t="s">
        <v>3168</v>
      </c>
      <c r="L2050" t="s">
        <v>149</v>
      </c>
      <c r="M2050" t="s">
        <v>1150</v>
      </c>
      <c r="N2050" s="166">
        <v>18.86</v>
      </c>
      <c r="O2050" t="s">
        <v>131</v>
      </c>
    </row>
    <row r="2051" spans="1:15">
      <c r="A2051" s="166" t="s">
        <v>9834</v>
      </c>
      <c r="B2051" t="s">
        <v>111</v>
      </c>
      <c r="C2051" t="s">
        <v>133</v>
      </c>
      <c r="D2051" t="s">
        <v>118</v>
      </c>
      <c r="E2051" t="s">
        <v>2618</v>
      </c>
      <c r="F2051" t="s">
        <v>6</v>
      </c>
      <c r="G2051" t="s">
        <v>130</v>
      </c>
      <c r="H2051" s="1">
        <v>46133</v>
      </c>
      <c r="I2051" t="s">
        <v>9835</v>
      </c>
      <c r="J2051" t="s">
        <v>9836</v>
      </c>
      <c r="K2051" t="s">
        <v>2567</v>
      </c>
      <c r="L2051" t="s">
        <v>3441</v>
      </c>
      <c r="M2051" t="s">
        <v>634</v>
      </c>
      <c r="N2051" s="166">
        <v>21.06</v>
      </c>
      <c r="O2051" t="s">
        <v>131</v>
      </c>
    </row>
    <row r="2052" spans="1:15">
      <c r="A2052" s="166" t="s">
        <v>9837</v>
      </c>
      <c r="B2052" t="s">
        <v>111</v>
      </c>
      <c r="C2052" t="s">
        <v>134</v>
      </c>
      <c r="D2052" t="s">
        <v>118</v>
      </c>
      <c r="E2052" t="s">
        <v>2618</v>
      </c>
      <c r="F2052" t="s">
        <v>6</v>
      </c>
      <c r="G2052" t="s">
        <v>130</v>
      </c>
      <c r="H2052" s="1">
        <v>46133</v>
      </c>
      <c r="I2052" t="s">
        <v>9838</v>
      </c>
      <c r="J2052" t="s">
        <v>9839</v>
      </c>
      <c r="K2052" t="s">
        <v>790</v>
      </c>
      <c r="L2052" t="s">
        <v>720</v>
      </c>
      <c r="M2052" t="s">
        <v>2816</v>
      </c>
      <c r="N2052" s="166">
        <v>19.260000000000002</v>
      </c>
      <c r="O2052" t="s">
        <v>131</v>
      </c>
    </row>
    <row r="2053" spans="1:15">
      <c r="A2053" s="166" t="s">
        <v>9840</v>
      </c>
      <c r="B2053" t="s">
        <v>111</v>
      </c>
      <c r="C2053" t="s">
        <v>2424</v>
      </c>
      <c r="D2053" t="s">
        <v>118</v>
      </c>
      <c r="E2053" t="s">
        <v>2618</v>
      </c>
      <c r="F2053" t="s">
        <v>6</v>
      </c>
      <c r="G2053" t="s">
        <v>130</v>
      </c>
      <c r="H2053" s="1">
        <v>46133</v>
      </c>
      <c r="I2053" t="s">
        <v>9841</v>
      </c>
      <c r="J2053" t="s">
        <v>9842</v>
      </c>
      <c r="K2053" t="s">
        <v>1541</v>
      </c>
      <c r="L2053" t="s">
        <v>1835</v>
      </c>
      <c r="M2053" t="s">
        <v>1347</v>
      </c>
      <c r="N2053" s="166">
        <v>19.2</v>
      </c>
      <c r="O2053" t="s">
        <v>131</v>
      </c>
    </row>
    <row r="2054" spans="1:15">
      <c r="A2054" s="166" t="s">
        <v>9843</v>
      </c>
      <c r="B2054" t="s">
        <v>111</v>
      </c>
      <c r="C2054" t="s">
        <v>1104</v>
      </c>
      <c r="D2054" t="s">
        <v>118</v>
      </c>
      <c r="E2054" t="s">
        <v>2618</v>
      </c>
      <c r="F2054" t="s">
        <v>6</v>
      </c>
      <c r="G2054" t="s">
        <v>130</v>
      </c>
      <c r="H2054" s="1">
        <v>46133</v>
      </c>
      <c r="I2054" t="s">
        <v>9844</v>
      </c>
      <c r="J2054" t="s">
        <v>9845</v>
      </c>
      <c r="K2054" t="s">
        <v>1918</v>
      </c>
      <c r="L2054" t="s">
        <v>1958</v>
      </c>
      <c r="M2054" t="s">
        <v>4521</v>
      </c>
      <c r="N2054" s="166">
        <v>18.46</v>
      </c>
      <c r="O2054" t="s">
        <v>131</v>
      </c>
    </row>
    <row r="2055" spans="1:15">
      <c r="A2055" s="166" t="s">
        <v>9846</v>
      </c>
      <c r="B2055" t="s">
        <v>111</v>
      </c>
      <c r="C2055" t="s">
        <v>7474</v>
      </c>
      <c r="D2055" t="s">
        <v>118</v>
      </c>
      <c r="E2055" t="s">
        <v>139</v>
      </c>
      <c r="F2055" t="s">
        <v>6</v>
      </c>
      <c r="G2055" t="s">
        <v>130</v>
      </c>
      <c r="H2055" s="1">
        <v>46133</v>
      </c>
      <c r="I2055" t="s">
        <v>9847</v>
      </c>
      <c r="J2055" t="s">
        <v>9848</v>
      </c>
      <c r="K2055" t="s">
        <v>1933</v>
      </c>
      <c r="L2055" t="s">
        <v>3028</v>
      </c>
      <c r="M2055" t="s">
        <v>3287</v>
      </c>
      <c r="N2055" s="166">
        <v>17.36</v>
      </c>
      <c r="O2055" t="s">
        <v>131</v>
      </c>
    </row>
    <row r="2056" spans="1:15">
      <c r="A2056" s="166" t="s">
        <v>9849</v>
      </c>
      <c r="B2056" t="s">
        <v>111</v>
      </c>
      <c r="C2056" t="s">
        <v>135</v>
      </c>
      <c r="D2056" t="s">
        <v>118</v>
      </c>
      <c r="E2056" t="s">
        <v>2618</v>
      </c>
      <c r="F2056" t="s">
        <v>6</v>
      </c>
      <c r="G2056" t="s">
        <v>130</v>
      </c>
      <c r="H2056" s="1">
        <v>46133</v>
      </c>
      <c r="I2056" t="s">
        <v>9850</v>
      </c>
      <c r="J2056" t="s">
        <v>9851</v>
      </c>
      <c r="K2056" t="s">
        <v>540</v>
      </c>
      <c r="L2056" t="s">
        <v>144</v>
      </c>
      <c r="M2056" t="s">
        <v>1819</v>
      </c>
      <c r="N2056" s="166">
        <v>20.62</v>
      </c>
      <c r="O2056" t="s">
        <v>131</v>
      </c>
    </row>
    <row r="2057" spans="1:15">
      <c r="A2057" s="166" t="s">
        <v>9852</v>
      </c>
      <c r="B2057" t="s">
        <v>111</v>
      </c>
      <c r="C2057" t="s">
        <v>406</v>
      </c>
      <c r="D2057" t="s">
        <v>118</v>
      </c>
      <c r="E2057" t="s">
        <v>2618</v>
      </c>
      <c r="F2057" t="s">
        <v>6</v>
      </c>
      <c r="G2057" t="s">
        <v>130</v>
      </c>
      <c r="H2057" s="1">
        <v>46133</v>
      </c>
      <c r="I2057" t="s">
        <v>9853</v>
      </c>
      <c r="J2057" t="s">
        <v>9854</v>
      </c>
      <c r="K2057" t="s">
        <v>4329</v>
      </c>
      <c r="L2057" t="s">
        <v>665</v>
      </c>
      <c r="M2057" t="s">
        <v>2758</v>
      </c>
      <c r="N2057" s="166">
        <v>17.98</v>
      </c>
      <c r="O2057" t="s">
        <v>131</v>
      </c>
    </row>
    <row r="2058" spans="1:15">
      <c r="A2058" s="166" t="s">
        <v>9855</v>
      </c>
      <c r="B2058" t="s">
        <v>111</v>
      </c>
      <c r="C2058" t="s">
        <v>134</v>
      </c>
      <c r="D2058" t="s">
        <v>118</v>
      </c>
      <c r="E2058" t="s">
        <v>2618</v>
      </c>
      <c r="F2058" t="s">
        <v>6</v>
      </c>
      <c r="G2058" t="s">
        <v>130</v>
      </c>
      <c r="H2058" s="1">
        <v>46133</v>
      </c>
      <c r="I2058" t="s">
        <v>9856</v>
      </c>
      <c r="J2058" t="s">
        <v>9857</v>
      </c>
      <c r="K2058" t="s">
        <v>1533</v>
      </c>
      <c r="L2058" t="s">
        <v>3032</v>
      </c>
      <c r="M2058" t="s">
        <v>2175</v>
      </c>
      <c r="N2058" s="166">
        <v>19.760000000000002</v>
      </c>
      <c r="O2058" t="s">
        <v>131</v>
      </c>
    </row>
    <row r="2059" spans="1:15">
      <c r="A2059" s="166" t="s">
        <v>9858</v>
      </c>
      <c r="B2059" t="s">
        <v>111</v>
      </c>
      <c r="C2059" t="s">
        <v>2424</v>
      </c>
      <c r="D2059" t="s">
        <v>118</v>
      </c>
      <c r="E2059" t="s">
        <v>2618</v>
      </c>
      <c r="F2059" t="s">
        <v>6</v>
      </c>
      <c r="G2059" t="s">
        <v>130</v>
      </c>
      <c r="H2059" s="1">
        <v>46133</v>
      </c>
      <c r="I2059" t="s">
        <v>9859</v>
      </c>
      <c r="J2059" t="s">
        <v>9860</v>
      </c>
      <c r="K2059" t="s">
        <v>1793</v>
      </c>
      <c r="L2059" t="s">
        <v>1662</v>
      </c>
      <c r="M2059" t="s">
        <v>1504</v>
      </c>
      <c r="N2059" s="166">
        <v>20.84</v>
      </c>
      <c r="O2059" t="s">
        <v>131</v>
      </c>
    </row>
    <row r="2060" spans="1:15">
      <c r="A2060" s="166" t="s">
        <v>9861</v>
      </c>
      <c r="B2060" t="s">
        <v>111</v>
      </c>
      <c r="C2060" t="s">
        <v>1104</v>
      </c>
      <c r="D2060" t="s">
        <v>118</v>
      </c>
      <c r="E2060" t="s">
        <v>2618</v>
      </c>
      <c r="F2060" t="s">
        <v>6</v>
      </c>
      <c r="G2060" t="s">
        <v>130</v>
      </c>
      <c r="H2060" s="1">
        <v>46133</v>
      </c>
      <c r="I2060" t="s">
        <v>9862</v>
      </c>
      <c r="J2060" t="s">
        <v>9863</v>
      </c>
      <c r="K2060" t="s">
        <v>1232</v>
      </c>
      <c r="L2060" t="s">
        <v>890</v>
      </c>
      <c r="M2060" t="s">
        <v>1237</v>
      </c>
      <c r="N2060" s="166">
        <v>20.059999999999999</v>
      </c>
      <c r="O2060" t="s">
        <v>131</v>
      </c>
    </row>
    <row r="2061" spans="1:15">
      <c r="A2061" s="166" t="s">
        <v>9864</v>
      </c>
      <c r="B2061" t="s">
        <v>111</v>
      </c>
      <c r="C2061" t="s">
        <v>135</v>
      </c>
      <c r="D2061" t="s">
        <v>118</v>
      </c>
      <c r="E2061" t="s">
        <v>2618</v>
      </c>
      <c r="F2061" t="s">
        <v>6</v>
      </c>
      <c r="G2061" t="s">
        <v>130</v>
      </c>
      <c r="H2061" s="1">
        <v>46133</v>
      </c>
      <c r="I2061" t="s">
        <v>9865</v>
      </c>
      <c r="J2061" t="s">
        <v>9866</v>
      </c>
      <c r="K2061" t="s">
        <v>855</v>
      </c>
      <c r="L2061" t="s">
        <v>144</v>
      </c>
      <c r="M2061" t="s">
        <v>6351</v>
      </c>
      <c r="N2061" s="166">
        <v>23.56</v>
      </c>
      <c r="O2061" t="s">
        <v>131</v>
      </c>
    </row>
    <row r="2062" spans="1:15">
      <c r="A2062" s="166" t="s">
        <v>9867</v>
      </c>
      <c r="B2062" t="s">
        <v>111</v>
      </c>
      <c r="C2062" t="s">
        <v>406</v>
      </c>
      <c r="D2062" t="s">
        <v>118</v>
      </c>
      <c r="E2062" t="s">
        <v>2618</v>
      </c>
      <c r="F2062" t="s">
        <v>6</v>
      </c>
      <c r="G2062" t="s">
        <v>130</v>
      </c>
      <c r="H2062" s="1">
        <v>46133</v>
      </c>
      <c r="I2062" t="s">
        <v>9868</v>
      </c>
      <c r="J2062" t="s">
        <v>9869</v>
      </c>
      <c r="K2062" t="s">
        <v>217</v>
      </c>
      <c r="L2062" t="s">
        <v>720</v>
      </c>
      <c r="M2062" t="s">
        <v>731</v>
      </c>
      <c r="N2062" s="166">
        <v>20.82</v>
      </c>
      <c r="O2062" t="s">
        <v>131</v>
      </c>
    </row>
    <row r="2063" spans="1:15">
      <c r="A2063" s="166" t="s">
        <v>9870</v>
      </c>
      <c r="B2063" t="s">
        <v>111</v>
      </c>
      <c r="C2063" t="s">
        <v>134</v>
      </c>
      <c r="D2063" t="s">
        <v>118</v>
      </c>
      <c r="E2063" t="s">
        <v>2618</v>
      </c>
      <c r="F2063" t="s">
        <v>6</v>
      </c>
      <c r="G2063" t="s">
        <v>130</v>
      </c>
      <c r="H2063" s="1">
        <v>46133</v>
      </c>
      <c r="I2063" t="s">
        <v>9871</v>
      </c>
      <c r="J2063" t="s">
        <v>9872</v>
      </c>
      <c r="K2063" t="s">
        <v>1420</v>
      </c>
      <c r="L2063" t="s">
        <v>3032</v>
      </c>
      <c r="M2063" t="s">
        <v>2816</v>
      </c>
      <c r="N2063" s="166">
        <v>19.260000000000002</v>
      </c>
      <c r="O2063" t="s">
        <v>131</v>
      </c>
    </row>
    <row r="2064" spans="1:15">
      <c r="A2064" s="166" t="s">
        <v>9873</v>
      </c>
      <c r="B2064" t="s">
        <v>111</v>
      </c>
      <c r="C2064" t="s">
        <v>2424</v>
      </c>
      <c r="D2064" t="s">
        <v>118</v>
      </c>
      <c r="E2064" t="s">
        <v>2618</v>
      </c>
      <c r="F2064" t="s">
        <v>6</v>
      </c>
      <c r="G2064" t="s">
        <v>130</v>
      </c>
      <c r="H2064" s="1">
        <v>46133</v>
      </c>
      <c r="I2064" t="s">
        <v>9874</v>
      </c>
      <c r="J2064" t="s">
        <v>9875</v>
      </c>
      <c r="K2064" t="s">
        <v>1661</v>
      </c>
      <c r="L2064" t="s">
        <v>1493</v>
      </c>
      <c r="M2064" t="s">
        <v>5610</v>
      </c>
      <c r="N2064" s="166">
        <v>19.239999999999998</v>
      </c>
      <c r="O2064" t="s">
        <v>131</v>
      </c>
    </row>
    <row r="2065" spans="1:15">
      <c r="A2065" s="166" t="s">
        <v>9876</v>
      </c>
      <c r="B2065" t="s">
        <v>111</v>
      </c>
      <c r="C2065" t="s">
        <v>135</v>
      </c>
      <c r="D2065" t="s">
        <v>118</v>
      </c>
      <c r="E2065" t="s">
        <v>2618</v>
      </c>
      <c r="F2065" t="s">
        <v>6</v>
      </c>
      <c r="G2065" t="s">
        <v>130</v>
      </c>
      <c r="H2065" s="1">
        <v>46133</v>
      </c>
      <c r="I2065" t="s">
        <v>9877</v>
      </c>
      <c r="J2065" t="s">
        <v>9878</v>
      </c>
      <c r="K2065" t="s">
        <v>4103</v>
      </c>
      <c r="L2065" t="s">
        <v>144</v>
      </c>
      <c r="M2065" t="s">
        <v>6603</v>
      </c>
      <c r="N2065" s="166">
        <v>22.82</v>
      </c>
      <c r="O2065" t="s">
        <v>131</v>
      </c>
    </row>
    <row r="2066" spans="1:15">
      <c r="A2066" s="166" t="s">
        <v>9879</v>
      </c>
      <c r="B2066" t="s">
        <v>111</v>
      </c>
      <c r="C2066" t="s">
        <v>406</v>
      </c>
      <c r="D2066" t="s">
        <v>118</v>
      </c>
      <c r="E2066" t="s">
        <v>2618</v>
      </c>
      <c r="F2066" t="s">
        <v>6</v>
      </c>
      <c r="G2066" t="s">
        <v>130</v>
      </c>
      <c r="H2066" s="1">
        <v>46133</v>
      </c>
      <c r="I2066" t="s">
        <v>9880</v>
      </c>
      <c r="J2066" t="s">
        <v>9881</v>
      </c>
      <c r="K2066" t="s">
        <v>228</v>
      </c>
      <c r="L2066" t="s">
        <v>720</v>
      </c>
      <c r="M2066" t="s">
        <v>189</v>
      </c>
      <c r="N2066" s="166">
        <v>24</v>
      </c>
      <c r="O2066" t="s">
        <v>131</v>
      </c>
    </row>
    <row r="2067" spans="1:15">
      <c r="A2067" s="166" t="s">
        <v>9882</v>
      </c>
      <c r="B2067" t="s">
        <v>111</v>
      </c>
      <c r="C2067" t="s">
        <v>134</v>
      </c>
      <c r="D2067" t="s">
        <v>118</v>
      </c>
      <c r="E2067" t="s">
        <v>2618</v>
      </c>
      <c r="F2067" t="s">
        <v>6</v>
      </c>
      <c r="G2067" t="s">
        <v>130</v>
      </c>
      <c r="H2067" s="1">
        <v>46133</v>
      </c>
      <c r="I2067" t="s">
        <v>9883</v>
      </c>
      <c r="J2067" t="s">
        <v>9884</v>
      </c>
      <c r="K2067" t="s">
        <v>6750</v>
      </c>
      <c r="L2067" t="s">
        <v>3032</v>
      </c>
      <c r="M2067" t="s">
        <v>1067</v>
      </c>
      <c r="N2067" s="166">
        <v>18.84</v>
      </c>
      <c r="O2067" t="s">
        <v>131</v>
      </c>
    </row>
    <row r="2068" spans="1:15">
      <c r="A2068" s="166" t="s">
        <v>9885</v>
      </c>
      <c r="B2068" t="s">
        <v>111</v>
      </c>
      <c r="C2068" t="s">
        <v>7474</v>
      </c>
      <c r="D2068" t="s">
        <v>118</v>
      </c>
      <c r="E2068" t="s">
        <v>2618</v>
      </c>
      <c r="F2068" t="s">
        <v>6</v>
      </c>
      <c r="G2068" t="s">
        <v>130</v>
      </c>
      <c r="H2068" s="1">
        <v>46133</v>
      </c>
      <c r="I2068" t="s">
        <v>9886</v>
      </c>
      <c r="J2068" t="s">
        <v>9887</v>
      </c>
      <c r="K2068" t="s">
        <v>3178</v>
      </c>
      <c r="L2068" t="s">
        <v>2589</v>
      </c>
      <c r="M2068" t="s">
        <v>1663</v>
      </c>
      <c r="N2068" s="166">
        <v>19.18</v>
      </c>
      <c r="O2068" t="s">
        <v>131</v>
      </c>
    </row>
    <row r="2069" spans="1:15">
      <c r="A2069" s="166" t="s">
        <v>9888</v>
      </c>
      <c r="B2069" t="s">
        <v>111</v>
      </c>
      <c r="C2069" t="s">
        <v>2424</v>
      </c>
      <c r="D2069" t="s">
        <v>118</v>
      </c>
      <c r="E2069" t="s">
        <v>139</v>
      </c>
      <c r="F2069" t="s">
        <v>6</v>
      </c>
      <c r="G2069" t="s">
        <v>130</v>
      </c>
      <c r="H2069" s="1">
        <v>46133</v>
      </c>
      <c r="I2069" t="s">
        <v>9889</v>
      </c>
      <c r="J2069" t="s">
        <v>9890</v>
      </c>
      <c r="K2069" t="s">
        <v>1681</v>
      </c>
      <c r="L2069" t="s">
        <v>1835</v>
      </c>
      <c r="M2069" t="s">
        <v>1425</v>
      </c>
      <c r="N2069" s="166">
        <v>19.52</v>
      </c>
      <c r="O2069" t="s">
        <v>131</v>
      </c>
    </row>
    <row r="2070" spans="1:15">
      <c r="A2070" s="166" t="s">
        <v>1661</v>
      </c>
      <c r="B2070" t="s">
        <v>111</v>
      </c>
      <c r="C2070" t="s">
        <v>135</v>
      </c>
      <c r="D2070" t="s">
        <v>118</v>
      </c>
      <c r="E2070" t="s">
        <v>2618</v>
      </c>
      <c r="F2070" t="s">
        <v>6</v>
      </c>
      <c r="G2070" t="s">
        <v>130</v>
      </c>
      <c r="H2070" s="1">
        <v>46133</v>
      </c>
      <c r="I2070" t="s">
        <v>9891</v>
      </c>
      <c r="J2070" t="s">
        <v>9892</v>
      </c>
      <c r="K2070" t="s">
        <v>2853</v>
      </c>
      <c r="L2070" t="s">
        <v>144</v>
      </c>
      <c r="M2070" t="s">
        <v>913</v>
      </c>
      <c r="N2070" s="166">
        <v>26.1</v>
      </c>
      <c r="O2070" t="s">
        <v>131</v>
      </c>
    </row>
    <row r="2071" spans="1:15">
      <c r="A2071" s="166" t="s">
        <v>9893</v>
      </c>
      <c r="B2071" t="s">
        <v>111</v>
      </c>
      <c r="C2071" t="s">
        <v>133</v>
      </c>
      <c r="D2071" t="s">
        <v>118</v>
      </c>
      <c r="E2071" t="s">
        <v>2618</v>
      </c>
      <c r="F2071" t="s">
        <v>6</v>
      </c>
      <c r="G2071" t="s">
        <v>130</v>
      </c>
      <c r="H2071" s="1">
        <v>46133</v>
      </c>
      <c r="I2071" t="s">
        <v>9894</v>
      </c>
      <c r="J2071" t="s">
        <v>9895</v>
      </c>
      <c r="K2071" t="s">
        <v>1627</v>
      </c>
      <c r="L2071" t="s">
        <v>2272</v>
      </c>
      <c r="M2071" t="s">
        <v>1206</v>
      </c>
      <c r="N2071" s="166">
        <v>22.66</v>
      </c>
      <c r="O2071" t="s">
        <v>131</v>
      </c>
    </row>
    <row r="2072" spans="1:15">
      <c r="A2072" s="166" t="s">
        <v>9896</v>
      </c>
      <c r="B2072" t="s">
        <v>111</v>
      </c>
      <c r="C2072" t="s">
        <v>406</v>
      </c>
      <c r="D2072" t="s">
        <v>118</v>
      </c>
      <c r="E2072" t="s">
        <v>2618</v>
      </c>
      <c r="F2072" t="s">
        <v>6</v>
      </c>
      <c r="G2072" t="s">
        <v>130</v>
      </c>
      <c r="H2072" s="1">
        <v>46133</v>
      </c>
      <c r="I2072" t="s">
        <v>9897</v>
      </c>
      <c r="J2072" t="s">
        <v>9898</v>
      </c>
      <c r="K2072" t="s">
        <v>528</v>
      </c>
      <c r="L2072" t="s">
        <v>989</v>
      </c>
      <c r="M2072" t="s">
        <v>731</v>
      </c>
      <c r="N2072" s="166">
        <v>20.82</v>
      </c>
      <c r="O2072" t="s">
        <v>131</v>
      </c>
    </row>
    <row r="2073" spans="1:15">
      <c r="A2073" s="166" t="s">
        <v>9899</v>
      </c>
      <c r="B2073" t="s">
        <v>111</v>
      </c>
      <c r="C2073" t="s">
        <v>134</v>
      </c>
      <c r="D2073" t="s">
        <v>118</v>
      </c>
      <c r="E2073" t="s">
        <v>2618</v>
      </c>
      <c r="F2073" t="s">
        <v>6</v>
      </c>
      <c r="G2073" t="s">
        <v>130</v>
      </c>
      <c r="H2073" s="1">
        <v>46133</v>
      </c>
      <c r="I2073" t="s">
        <v>9900</v>
      </c>
      <c r="J2073" t="s">
        <v>9901</v>
      </c>
      <c r="K2073" t="s">
        <v>6268</v>
      </c>
      <c r="L2073" t="s">
        <v>3032</v>
      </c>
      <c r="M2073" t="s">
        <v>4325</v>
      </c>
      <c r="N2073" s="166">
        <v>20.58</v>
      </c>
      <c r="O2073" t="s">
        <v>131</v>
      </c>
    </row>
    <row r="2074" spans="1:15">
      <c r="A2074" s="166" t="s">
        <v>9902</v>
      </c>
      <c r="B2074" t="s">
        <v>111</v>
      </c>
      <c r="C2074" t="s">
        <v>7474</v>
      </c>
      <c r="D2074" t="s">
        <v>118</v>
      </c>
      <c r="E2074" t="s">
        <v>2618</v>
      </c>
      <c r="F2074" t="s">
        <v>6</v>
      </c>
      <c r="G2074" t="s">
        <v>130</v>
      </c>
      <c r="H2074" s="1">
        <v>46133</v>
      </c>
      <c r="I2074" t="s">
        <v>9903</v>
      </c>
      <c r="J2074" t="s">
        <v>9904</v>
      </c>
      <c r="K2074" t="s">
        <v>655</v>
      </c>
      <c r="L2074" t="s">
        <v>3192</v>
      </c>
      <c r="M2074" t="s">
        <v>639</v>
      </c>
      <c r="N2074" s="166">
        <v>21.02</v>
      </c>
      <c r="O2074" t="s">
        <v>131</v>
      </c>
    </row>
    <row r="2075" spans="1:15">
      <c r="A2075" s="166" t="s">
        <v>9905</v>
      </c>
      <c r="B2075" t="s">
        <v>111</v>
      </c>
      <c r="C2075" t="s">
        <v>133</v>
      </c>
      <c r="D2075" t="s">
        <v>118</v>
      </c>
      <c r="E2075" t="s">
        <v>2618</v>
      </c>
      <c r="F2075" t="s">
        <v>6</v>
      </c>
      <c r="G2075" t="s">
        <v>130</v>
      </c>
      <c r="H2075" s="1">
        <v>46133</v>
      </c>
      <c r="I2075" t="s">
        <v>9906</v>
      </c>
      <c r="J2075" t="s">
        <v>9907</v>
      </c>
      <c r="K2075" t="s">
        <v>621</v>
      </c>
      <c r="L2075" t="s">
        <v>927</v>
      </c>
      <c r="M2075" t="s">
        <v>444</v>
      </c>
      <c r="N2075" s="166">
        <v>20.079999999999998</v>
      </c>
      <c r="O2075" t="s">
        <v>131</v>
      </c>
    </row>
    <row r="2076" spans="1:15">
      <c r="A2076" s="166" t="s">
        <v>9908</v>
      </c>
      <c r="B2076" t="s">
        <v>111</v>
      </c>
      <c r="C2076" t="s">
        <v>135</v>
      </c>
      <c r="D2076" t="s">
        <v>118</v>
      </c>
      <c r="E2076" t="s">
        <v>2618</v>
      </c>
      <c r="F2076" t="s">
        <v>6</v>
      </c>
      <c r="G2076" t="s">
        <v>130</v>
      </c>
      <c r="H2076" s="1">
        <v>46133</v>
      </c>
      <c r="I2076" t="s">
        <v>9909</v>
      </c>
      <c r="J2076" t="s">
        <v>9910</v>
      </c>
      <c r="K2076" t="s">
        <v>204</v>
      </c>
      <c r="L2076" t="s">
        <v>974</v>
      </c>
      <c r="M2076" t="s">
        <v>1553</v>
      </c>
      <c r="N2076" s="166">
        <v>20.239999999999998</v>
      </c>
      <c r="O2076" t="s">
        <v>131</v>
      </c>
    </row>
    <row r="2077" spans="1:15">
      <c r="A2077" s="166" t="s">
        <v>9911</v>
      </c>
      <c r="B2077" t="s">
        <v>111</v>
      </c>
      <c r="C2077" t="s">
        <v>134</v>
      </c>
      <c r="D2077" t="s">
        <v>118</v>
      </c>
      <c r="E2077" t="s">
        <v>2618</v>
      </c>
      <c r="F2077" t="s">
        <v>6</v>
      </c>
      <c r="G2077" t="s">
        <v>130</v>
      </c>
      <c r="H2077" s="1">
        <v>46133</v>
      </c>
      <c r="I2077" t="s">
        <v>9912</v>
      </c>
      <c r="J2077" t="s">
        <v>9913</v>
      </c>
      <c r="K2077" t="s">
        <v>1681</v>
      </c>
      <c r="L2077" t="s">
        <v>1503</v>
      </c>
      <c r="M2077" t="s">
        <v>444</v>
      </c>
      <c r="N2077" s="166">
        <v>20.079999999999998</v>
      </c>
      <c r="O2077" t="s">
        <v>131</v>
      </c>
    </row>
    <row r="2078" spans="1:15">
      <c r="A2078" s="166" t="s">
        <v>9914</v>
      </c>
      <c r="B2078" t="s">
        <v>111</v>
      </c>
      <c r="C2078" t="s">
        <v>406</v>
      </c>
      <c r="D2078" t="s">
        <v>118</v>
      </c>
      <c r="E2078" t="s">
        <v>2618</v>
      </c>
      <c r="F2078" t="s">
        <v>6</v>
      </c>
      <c r="G2078" t="s">
        <v>130</v>
      </c>
      <c r="H2078" s="1">
        <v>46133</v>
      </c>
      <c r="I2078" t="s">
        <v>9915</v>
      </c>
      <c r="J2078" t="s">
        <v>9916</v>
      </c>
      <c r="K2078" t="s">
        <v>2258</v>
      </c>
      <c r="L2078" t="s">
        <v>720</v>
      </c>
      <c r="M2078" t="s">
        <v>2961</v>
      </c>
      <c r="N2078" s="166">
        <v>27.5</v>
      </c>
      <c r="O2078" t="s">
        <v>131</v>
      </c>
    </row>
    <row r="2079" spans="1:15">
      <c r="A2079" s="166" t="s">
        <v>9917</v>
      </c>
      <c r="B2079" t="s">
        <v>111</v>
      </c>
      <c r="C2079" t="s">
        <v>2424</v>
      </c>
      <c r="D2079" t="s">
        <v>116</v>
      </c>
      <c r="E2079" t="s">
        <v>418</v>
      </c>
      <c r="F2079" t="s">
        <v>6</v>
      </c>
      <c r="G2079" t="s">
        <v>130</v>
      </c>
      <c r="H2079" s="1">
        <v>46133</v>
      </c>
      <c r="I2079" t="s">
        <v>9918</v>
      </c>
      <c r="J2079" t="s">
        <v>9919</v>
      </c>
      <c r="K2079" t="s">
        <v>497</v>
      </c>
      <c r="L2079" t="s">
        <v>2004</v>
      </c>
      <c r="M2079" t="s">
        <v>185</v>
      </c>
      <c r="N2079" s="166">
        <v>20.72</v>
      </c>
      <c r="O2079" t="s">
        <v>131</v>
      </c>
    </row>
    <row r="2080" spans="1:15">
      <c r="A2080" s="166" t="s">
        <v>9920</v>
      </c>
      <c r="B2080" t="s">
        <v>111</v>
      </c>
      <c r="C2080" t="s">
        <v>135</v>
      </c>
      <c r="D2080" t="s">
        <v>116</v>
      </c>
      <c r="E2080" t="s">
        <v>418</v>
      </c>
      <c r="F2080" t="s">
        <v>6</v>
      </c>
      <c r="G2080" t="s">
        <v>130</v>
      </c>
      <c r="H2080" s="1">
        <v>46133</v>
      </c>
      <c r="I2080" t="s">
        <v>9921</v>
      </c>
      <c r="J2080" t="s">
        <v>9922</v>
      </c>
      <c r="K2080" t="s">
        <v>610</v>
      </c>
      <c r="L2080" t="s">
        <v>162</v>
      </c>
      <c r="M2080" t="s">
        <v>6807</v>
      </c>
      <c r="N2080" s="166">
        <v>21.74</v>
      </c>
      <c r="O2080" t="s">
        <v>131</v>
      </c>
    </row>
    <row r="2081" spans="1:15">
      <c r="A2081" s="166" t="s">
        <v>9923</v>
      </c>
      <c r="B2081" t="s">
        <v>111</v>
      </c>
      <c r="C2081" t="s">
        <v>133</v>
      </c>
      <c r="D2081" t="s">
        <v>116</v>
      </c>
      <c r="E2081" t="s">
        <v>418</v>
      </c>
      <c r="F2081" t="s">
        <v>6</v>
      </c>
      <c r="G2081" t="s">
        <v>130</v>
      </c>
      <c r="H2081" s="1">
        <v>46133</v>
      </c>
      <c r="I2081" t="s">
        <v>9924</v>
      </c>
      <c r="J2081" t="s">
        <v>9925</v>
      </c>
      <c r="K2081" t="s">
        <v>735</v>
      </c>
      <c r="L2081" t="s">
        <v>701</v>
      </c>
      <c r="M2081" t="s">
        <v>9926</v>
      </c>
      <c r="N2081" s="166">
        <v>1.88</v>
      </c>
      <c r="O2081" t="s">
        <v>131</v>
      </c>
    </row>
    <row r="2082" spans="1:15">
      <c r="A2082" s="166" t="s">
        <v>9927</v>
      </c>
      <c r="B2082" t="s">
        <v>111</v>
      </c>
      <c r="C2082" t="s">
        <v>2424</v>
      </c>
      <c r="D2082" t="s">
        <v>116</v>
      </c>
      <c r="E2082" t="s">
        <v>418</v>
      </c>
      <c r="F2082" t="s">
        <v>6</v>
      </c>
      <c r="G2082" t="s">
        <v>130</v>
      </c>
      <c r="H2082" s="1">
        <v>46133</v>
      </c>
      <c r="I2082" t="s">
        <v>9928</v>
      </c>
      <c r="J2082" t="s">
        <v>9929</v>
      </c>
      <c r="K2082" t="s">
        <v>519</v>
      </c>
      <c r="L2082" t="s">
        <v>1493</v>
      </c>
      <c r="M2082" t="s">
        <v>202</v>
      </c>
      <c r="N2082" s="166">
        <v>23.46</v>
      </c>
      <c r="O2082" t="s">
        <v>131</v>
      </c>
    </row>
    <row r="2083" spans="1:15">
      <c r="A2083" s="166" t="s">
        <v>9930</v>
      </c>
      <c r="B2083" t="s">
        <v>111</v>
      </c>
      <c r="C2083" t="s">
        <v>135</v>
      </c>
      <c r="D2083" t="s">
        <v>116</v>
      </c>
      <c r="E2083" t="s">
        <v>418</v>
      </c>
      <c r="F2083" t="s">
        <v>6</v>
      </c>
      <c r="G2083" t="s">
        <v>130</v>
      </c>
      <c r="H2083" s="1">
        <v>46133</v>
      </c>
      <c r="I2083" t="s">
        <v>9931</v>
      </c>
      <c r="J2083" t="s">
        <v>9932</v>
      </c>
      <c r="K2083" t="s">
        <v>1564</v>
      </c>
      <c r="L2083" t="s">
        <v>144</v>
      </c>
      <c r="M2083" t="s">
        <v>410</v>
      </c>
      <c r="N2083" s="166">
        <v>22.36</v>
      </c>
      <c r="O2083" t="s">
        <v>131</v>
      </c>
    </row>
    <row r="2084" spans="1:15">
      <c r="A2084" s="166" t="s">
        <v>9933</v>
      </c>
      <c r="B2084" t="s">
        <v>111</v>
      </c>
      <c r="C2084" t="s">
        <v>133</v>
      </c>
      <c r="D2084" t="s">
        <v>116</v>
      </c>
      <c r="E2084" t="s">
        <v>418</v>
      </c>
      <c r="F2084" t="s">
        <v>6</v>
      </c>
      <c r="G2084" t="s">
        <v>130</v>
      </c>
      <c r="H2084" s="1">
        <v>46133</v>
      </c>
      <c r="I2084" t="s">
        <v>9934</v>
      </c>
      <c r="J2084" t="s">
        <v>9935</v>
      </c>
      <c r="K2084" t="s">
        <v>927</v>
      </c>
      <c r="L2084" t="s">
        <v>2965</v>
      </c>
      <c r="M2084" t="s">
        <v>4732</v>
      </c>
      <c r="N2084" s="166">
        <v>22.12</v>
      </c>
      <c r="O2084" t="s">
        <v>131</v>
      </c>
    </row>
    <row r="2085" spans="1:15">
      <c r="A2085" s="166" t="s">
        <v>9936</v>
      </c>
      <c r="B2085" t="s">
        <v>111</v>
      </c>
      <c r="C2085" t="s">
        <v>2424</v>
      </c>
      <c r="D2085" t="s">
        <v>116</v>
      </c>
      <c r="E2085" t="s">
        <v>418</v>
      </c>
      <c r="F2085" t="s">
        <v>6</v>
      </c>
      <c r="G2085" t="s">
        <v>130</v>
      </c>
      <c r="H2085" s="1">
        <v>46133</v>
      </c>
      <c r="I2085" t="s">
        <v>9937</v>
      </c>
      <c r="J2085" t="s">
        <v>9938</v>
      </c>
      <c r="K2085" t="s">
        <v>177</v>
      </c>
      <c r="L2085" t="s">
        <v>907</v>
      </c>
      <c r="M2085" t="s">
        <v>3207</v>
      </c>
      <c r="N2085" s="166">
        <v>22</v>
      </c>
      <c r="O2085" t="s">
        <v>131</v>
      </c>
    </row>
    <row r="2086" spans="1:15">
      <c r="A2086" s="166" t="s">
        <v>9939</v>
      </c>
      <c r="B2086" t="s">
        <v>111</v>
      </c>
      <c r="C2086" t="s">
        <v>135</v>
      </c>
      <c r="D2086" t="s">
        <v>116</v>
      </c>
      <c r="E2086" t="s">
        <v>418</v>
      </c>
      <c r="F2086" t="s">
        <v>6</v>
      </c>
      <c r="G2086" t="s">
        <v>130</v>
      </c>
      <c r="H2086" s="1">
        <v>46133</v>
      </c>
      <c r="I2086" t="s">
        <v>9940</v>
      </c>
      <c r="J2086" t="s">
        <v>9941</v>
      </c>
      <c r="K2086" t="s">
        <v>1635</v>
      </c>
      <c r="L2086" t="s">
        <v>622</v>
      </c>
      <c r="M2086" t="s">
        <v>428</v>
      </c>
      <c r="N2086" s="166">
        <v>20.96</v>
      </c>
      <c r="O2086" t="s">
        <v>131</v>
      </c>
    </row>
    <row r="2087" spans="1:15">
      <c r="A2087" s="166" t="s">
        <v>9942</v>
      </c>
      <c r="B2087" t="s">
        <v>111</v>
      </c>
      <c r="C2087" t="s">
        <v>133</v>
      </c>
      <c r="D2087" t="s">
        <v>116</v>
      </c>
      <c r="E2087" t="s">
        <v>418</v>
      </c>
      <c r="F2087" t="s">
        <v>6</v>
      </c>
      <c r="G2087" t="s">
        <v>130</v>
      </c>
      <c r="H2087" s="1">
        <v>46133</v>
      </c>
      <c r="I2087" t="s">
        <v>9943</v>
      </c>
      <c r="J2087" t="s">
        <v>9944</v>
      </c>
      <c r="K2087" t="s">
        <v>3295</v>
      </c>
      <c r="L2087" t="s">
        <v>177</v>
      </c>
      <c r="M2087" t="s">
        <v>1456</v>
      </c>
      <c r="N2087" s="166">
        <v>21.78</v>
      </c>
      <c r="O2087" t="s">
        <v>131</v>
      </c>
    </row>
    <row r="2088" spans="1:15">
      <c r="A2088" s="166" t="s">
        <v>9945</v>
      </c>
      <c r="B2088" t="s">
        <v>111</v>
      </c>
      <c r="C2088" t="s">
        <v>2424</v>
      </c>
      <c r="D2088" t="s">
        <v>116</v>
      </c>
      <c r="E2088" t="s">
        <v>418</v>
      </c>
      <c r="F2088" t="s">
        <v>6</v>
      </c>
      <c r="G2088" t="s">
        <v>130</v>
      </c>
      <c r="H2088" s="1">
        <v>46133</v>
      </c>
      <c r="I2088" t="s">
        <v>9946</v>
      </c>
      <c r="J2088" t="s">
        <v>9947</v>
      </c>
      <c r="K2088" t="s">
        <v>4527</v>
      </c>
      <c r="L2088" t="s">
        <v>1484</v>
      </c>
      <c r="M2088" t="s">
        <v>1926</v>
      </c>
      <c r="N2088" s="166">
        <v>18.2</v>
      </c>
      <c r="O2088" t="s">
        <v>131</v>
      </c>
    </row>
    <row r="2089" spans="1:15">
      <c r="A2089" s="166" t="s">
        <v>9948</v>
      </c>
      <c r="B2089" t="s">
        <v>111</v>
      </c>
      <c r="C2089" t="s">
        <v>135</v>
      </c>
      <c r="D2089" t="s">
        <v>116</v>
      </c>
      <c r="E2089" t="s">
        <v>418</v>
      </c>
      <c r="F2089" t="s">
        <v>6</v>
      </c>
      <c r="G2089" t="s">
        <v>130</v>
      </c>
      <c r="H2089" s="1">
        <v>46133</v>
      </c>
      <c r="I2089" t="s">
        <v>9949</v>
      </c>
      <c r="J2089" t="s">
        <v>9950</v>
      </c>
      <c r="K2089" t="s">
        <v>1222</v>
      </c>
      <c r="L2089" t="s">
        <v>622</v>
      </c>
      <c r="M2089" t="s">
        <v>493</v>
      </c>
      <c r="N2089" s="166">
        <v>22.16</v>
      </c>
      <c r="O2089" t="s">
        <v>131</v>
      </c>
    </row>
    <row r="2090" spans="1:15">
      <c r="A2090" s="166" t="s">
        <v>825</v>
      </c>
      <c r="B2090" t="s">
        <v>111</v>
      </c>
      <c r="C2090" t="s">
        <v>133</v>
      </c>
      <c r="D2090" t="s">
        <v>116</v>
      </c>
      <c r="E2090" t="s">
        <v>418</v>
      </c>
      <c r="F2090" t="s">
        <v>6</v>
      </c>
      <c r="G2090" t="s">
        <v>130</v>
      </c>
      <c r="H2090" s="1">
        <v>46133</v>
      </c>
      <c r="I2090" t="s">
        <v>9951</v>
      </c>
      <c r="J2090" t="s">
        <v>9952</v>
      </c>
      <c r="K2090" t="s">
        <v>927</v>
      </c>
      <c r="L2090" t="s">
        <v>755</v>
      </c>
      <c r="M2090" t="s">
        <v>575</v>
      </c>
      <c r="N2090" s="166">
        <v>21.48</v>
      </c>
      <c r="O2090" t="s">
        <v>131</v>
      </c>
    </row>
    <row r="2091" spans="1:15">
      <c r="A2091" s="166" t="s">
        <v>9953</v>
      </c>
      <c r="B2091" t="s">
        <v>111</v>
      </c>
      <c r="C2091" t="s">
        <v>2424</v>
      </c>
      <c r="D2091" t="s">
        <v>116</v>
      </c>
      <c r="E2091" t="s">
        <v>418</v>
      </c>
      <c r="F2091" t="s">
        <v>6</v>
      </c>
      <c r="G2091" t="s">
        <v>130</v>
      </c>
      <c r="H2091" s="1">
        <v>46133</v>
      </c>
      <c r="I2091" t="s">
        <v>9954</v>
      </c>
      <c r="J2091" t="s">
        <v>9955</v>
      </c>
      <c r="K2091" t="s">
        <v>2904</v>
      </c>
      <c r="L2091" t="s">
        <v>4556</v>
      </c>
      <c r="M2091" t="s">
        <v>546</v>
      </c>
      <c r="N2091" s="166">
        <v>22.38</v>
      </c>
      <c r="O2091" t="s">
        <v>131</v>
      </c>
    </row>
    <row r="2092" spans="1:15">
      <c r="A2092" s="166" t="s">
        <v>9956</v>
      </c>
      <c r="B2092" t="s">
        <v>111</v>
      </c>
      <c r="C2092" t="s">
        <v>135</v>
      </c>
      <c r="D2092" t="s">
        <v>116</v>
      </c>
      <c r="E2092" t="s">
        <v>418</v>
      </c>
      <c r="F2092" t="s">
        <v>6</v>
      </c>
      <c r="G2092" t="s">
        <v>130</v>
      </c>
      <c r="H2092" s="1">
        <v>46133</v>
      </c>
      <c r="I2092" t="s">
        <v>9957</v>
      </c>
      <c r="J2092" t="s">
        <v>9958</v>
      </c>
      <c r="K2092" t="s">
        <v>5707</v>
      </c>
      <c r="L2092" t="s">
        <v>193</v>
      </c>
      <c r="M2092" t="s">
        <v>3084</v>
      </c>
      <c r="N2092" s="166">
        <v>21.5</v>
      </c>
      <c r="O2092" t="s">
        <v>131</v>
      </c>
    </row>
    <row r="2093" spans="1:15">
      <c r="A2093" s="166" t="s">
        <v>9959</v>
      </c>
      <c r="B2093" t="s">
        <v>111</v>
      </c>
      <c r="C2093" t="s">
        <v>133</v>
      </c>
      <c r="D2093" t="s">
        <v>116</v>
      </c>
      <c r="E2093" t="s">
        <v>418</v>
      </c>
      <c r="F2093" t="s">
        <v>6</v>
      </c>
      <c r="G2093" t="s">
        <v>130</v>
      </c>
      <c r="H2093" s="1">
        <v>46133</v>
      </c>
      <c r="I2093" t="s">
        <v>9960</v>
      </c>
      <c r="J2093" t="s">
        <v>9961</v>
      </c>
      <c r="K2093" t="s">
        <v>948</v>
      </c>
      <c r="L2093" t="s">
        <v>1845</v>
      </c>
      <c r="M2093" t="s">
        <v>9962</v>
      </c>
      <c r="N2093" s="166">
        <v>0.02</v>
      </c>
      <c r="O2093" t="s">
        <v>131</v>
      </c>
    </row>
    <row r="2094" spans="1:15">
      <c r="A2094" s="166" t="s">
        <v>9963</v>
      </c>
      <c r="B2094" t="s">
        <v>111</v>
      </c>
      <c r="C2094" t="s">
        <v>2424</v>
      </c>
      <c r="D2094" t="s">
        <v>116</v>
      </c>
      <c r="E2094" t="s">
        <v>418</v>
      </c>
      <c r="F2094" t="s">
        <v>6</v>
      </c>
      <c r="G2094" t="s">
        <v>130</v>
      </c>
      <c r="H2094" s="1">
        <v>46133</v>
      </c>
      <c r="I2094" t="s">
        <v>9964</v>
      </c>
      <c r="J2094" t="s">
        <v>9965</v>
      </c>
      <c r="K2094" t="s">
        <v>825</v>
      </c>
      <c r="L2094" t="s">
        <v>1155</v>
      </c>
      <c r="M2094" t="s">
        <v>2624</v>
      </c>
      <c r="N2094" s="166">
        <v>16.920000000000002</v>
      </c>
      <c r="O2094" t="s">
        <v>131</v>
      </c>
    </row>
    <row r="2095" spans="1:15">
      <c r="A2095" s="166" t="s">
        <v>9966</v>
      </c>
      <c r="B2095" t="s">
        <v>111</v>
      </c>
      <c r="C2095" t="s">
        <v>135</v>
      </c>
      <c r="D2095" t="s">
        <v>116</v>
      </c>
      <c r="E2095" t="s">
        <v>418</v>
      </c>
      <c r="F2095" t="s">
        <v>6</v>
      </c>
      <c r="G2095" t="s">
        <v>130</v>
      </c>
      <c r="H2095" s="1">
        <v>46133</v>
      </c>
      <c r="I2095" t="s">
        <v>9967</v>
      </c>
      <c r="J2095" t="s">
        <v>9968</v>
      </c>
      <c r="K2095" t="s">
        <v>6113</v>
      </c>
      <c r="L2095" t="s">
        <v>777</v>
      </c>
      <c r="M2095" t="s">
        <v>747</v>
      </c>
      <c r="N2095" s="166">
        <v>23.38</v>
      </c>
      <c r="O2095" t="s">
        <v>131</v>
      </c>
    </row>
    <row r="2096" spans="1:15">
      <c r="A2096" s="166" t="s">
        <v>9969</v>
      </c>
      <c r="B2096" t="s">
        <v>111</v>
      </c>
      <c r="C2096" t="s">
        <v>134</v>
      </c>
      <c r="D2096" t="s">
        <v>118</v>
      </c>
      <c r="E2096" t="s">
        <v>2618</v>
      </c>
      <c r="F2096" t="s">
        <v>6</v>
      </c>
      <c r="G2096" t="s">
        <v>130</v>
      </c>
      <c r="H2096" s="1">
        <v>46133</v>
      </c>
      <c r="I2096" t="s">
        <v>9970</v>
      </c>
      <c r="J2096" t="s">
        <v>9971</v>
      </c>
      <c r="K2096" t="s">
        <v>3133</v>
      </c>
      <c r="L2096" t="s">
        <v>645</v>
      </c>
      <c r="M2096" t="s">
        <v>471</v>
      </c>
      <c r="N2096" s="166">
        <v>22.04</v>
      </c>
      <c r="O2096" t="s">
        <v>131</v>
      </c>
    </row>
    <row r="2097" spans="1:15">
      <c r="A2097" s="166" t="s">
        <v>9972</v>
      </c>
      <c r="B2097" t="s">
        <v>111</v>
      </c>
      <c r="C2097" t="s">
        <v>406</v>
      </c>
      <c r="D2097" t="s">
        <v>118</v>
      </c>
      <c r="E2097" t="s">
        <v>2618</v>
      </c>
      <c r="F2097" t="s">
        <v>6</v>
      </c>
      <c r="G2097" t="s">
        <v>130</v>
      </c>
      <c r="H2097" s="1">
        <v>46133</v>
      </c>
      <c r="I2097" t="s">
        <v>9973</v>
      </c>
      <c r="J2097" t="s">
        <v>9974</v>
      </c>
      <c r="K2097" t="s">
        <v>1232</v>
      </c>
      <c r="L2097" t="s">
        <v>989</v>
      </c>
      <c r="M2097" t="s">
        <v>634</v>
      </c>
      <c r="N2097" s="166">
        <v>21.06</v>
      </c>
      <c r="O2097" t="s">
        <v>131</v>
      </c>
    </row>
    <row r="2098" spans="1:15">
      <c r="A2098" s="166" t="s">
        <v>9975</v>
      </c>
      <c r="B2098" t="s">
        <v>111</v>
      </c>
      <c r="C2098" t="s">
        <v>135</v>
      </c>
      <c r="D2098" t="s">
        <v>118</v>
      </c>
      <c r="E2098" t="s">
        <v>2618</v>
      </c>
      <c r="F2098" t="s">
        <v>6</v>
      </c>
      <c r="G2098" t="s">
        <v>130</v>
      </c>
      <c r="H2098" s="1">
        <v>46133</v>
      </c>
      <c r="I2098" t="s">
        <v>9976</v>
      </c>
      <c r="J2098" t="s">
        <v>9977</v>
      </c>
      <c r="K2098" t="s">
        <v>719</v>
      </c>
      <c r="L2098" t="s">
        <v>193</v>
      </c>
      <c r="M2098" t="s">
        <v>189</v>
      </c>
      <c r="N2098" s="166">
        <v>24</v>
      </c>
      <c r="O2098" t="s">
        <v>131</v>
      </c>
    </row>
    <row r="2099" spans="1:15">
      <c r="A2099" s="166" t="s">
        <v>9978</v>
      </c>
      <c r="B2099" t="s">
        <v>111</v>
      </c>
      <c r="C2099" t="s">
        <v>2424</v>
      </c>
      <c r="D2099" t="s">
        <v>118</v>
      </c>
      <c r="E2099" t="s">
        <v>2618</v>
      </c>
      <c r="F2099" t="s">
        <v>6</v>
      </c>
      <c r="G2099" t="s">
        <v>130</v>
      </c>
      <c r="H2099" s="1">
        <v>46133</v>
      </c>
      <c r="I2099" t="s">
        <v>9979</v>
      </c>
      <c r="J2099" t="s">
        <v>9980</v>
      </c>
      <c r="K2099" t="s">
        <v>1834</v>
      </c>
      <c r="L2099" t="s">
        <v>1086</v>
      </c>
      <c r="M2099" t="s">
        <v>1504</v>
      </c>
      <c r="N2099" s="166">
        <v>20.84</v>
      </c>
      <c r="O2099" t="s">
        <v>131</v>
      </c>
    </row>
    <row r="2100" spans="1:15">
      <c r="A2100" s="166" t="s">
        <v>9981</v>
      </c>
      <c r="B2100" t="s">
        <v>111</v>
      </c>
      <c r="C2100" t="s">
        <v>133</v>
      </c>
      <c r="D2100" t="s">
        <v>118</v>
      </c>
      <c r="E2100" t="s">
        <v>2618</v>
      </c>
      <c r="F2100" t="s">
        <v>6</v>
      </c>
      <c r="G2100" t="s">
        <v>130</v>
      </c>
      <c r="H2100" s="1">
        <v>46133</v>
      </c>
      <c r="I2100" t="s">
        <v>9982</v>
      </c>
      <c r="J2100" t="s">
        <v>9983</v>
      </c>
      <c r="K2100" t="s">
        <v>2638</v>
      </c>
      <c r="L2100" t="s">
        <v>1881</v>
      </c>
      <c r="M2100" t="s">
        <v>756</v>
      </c>
      <c r="N2100" s="166">
        <v>22.1</v>
      </c>
      <c r="O2100" t="s">
        <v>131</v>
      </c>
    </row>
    <row r="2101" spans="1:15">
      <c r="A2101" s="166" t="s">
        <v>9984</v>
      </c>
      <c r="B2101" t="s">
        <v>111</v>
      </c>
      <c r="C2101" t="s">
        <v>134</v>
      </c>
      <c r="D2101" t="s">
        <v>118</v>
      </c>
      <c r="E2101" t="s">
        <v>2618</v>
      </c>
      <c r="F2101" t="s">
        <v>6</v>
      </c>
      <c r="G2101" t="s">
        <v>130</v>
      </c>
      <c r="H2101" s="1">
        <v>46133</v>
      </c>
      <c r="I2101" t="s">
        <v>9985</v>
      </c>
      <c r="J2101" t="s">
        <v>9986</v>
      </c>
      <c r="K2101" t="s">
        <v>1536</v>
      </c>
      <c r="L2101" t="s">
        <v>3032</v>
      </c>
      <c r="M2101" t="s">
        <v>3278</v>
      </c>
      <c r="N2101" s="166">
        <v>22.32</v>
      </c>
      <c r="O2101" t="s">
        <v>131</v>
      </c>
    </row>
    <row r="2102" spans="1:15">
      <c r="A2102" s="166" t="s">
        <v>9987</v>
      </c>
      <c r="B2102" t="s">
        <v>111</v>
      </c>
      <c r="C2102" t="s">
        <v>406</v>
      </c>
      <c r="D2102" t="s">
        <v>118</v>
      </c>
      <c r="E2102" t="s">
        <v>2618</v>
      </c>
      <c r="F2102" t="s">
        <v>6</v>
      </c>
      <c r="G2102" t="s">
        <v>130</v>
      </c>
      <c r="H2102" s="1">
        <v>46133</v>
      </c>
      <c r="I2102" t="s">
        <v>9988</v>
      </c>
      <c r="J2102" t="s">
        <v>9989</v>
      </c>
      <c r="K2102" t="s">
        <v>475</v>
      </c>
      <c r="L2102" t="s">
        <v>989</v>
      </c>
      <c r="M2102" t="s">
        <v>3159</v>
      </c>
      <c r="N2102" s="166">
        <v>21.4</v>
      </c>
      <c r="O2102" t="s">
        <v>131</v>
      </c>
    </row>
    <row r="2103" spans="1:15">
      <c r="A2103" s="166" t="s">
        <v>9990</v>
      </c>
      <c r="B2103" t="s">
        <v>111</v>
      </c>
      <c r="C2103" t="s">
        <v>135</v>
      </c>
      <c r="D2103" t="s">
        <v>118</v>
      </c>
      <c r="E2103" t="s">
        <v>2618</v>
      </c>
      <c r="F2103" t="s">
        <v>6</v>
      </c>
      <c r="G2103" t="s">
        <v>130</v>
      </c>
      <c r="H2103" s="1">
        <v>46133</v>
      </c>
      <c r="I2103" t="s">
        <v>9991</v>
      </c>
      <c r="J2103" t="s">
        <v>9992</v>
      </c>
      <c r="K2103" t="s">
        <v>1305</v>
      </c>
      <c r="L2103" t="s">
        <v>777</v>
      </c>
      <c r="M2103" t="s">
        <v>2816</v>
      </c>
      <c r="N2103" s="166">
        <v>19.260000000000002</v>
      </c>
      <c r="O2103" t="s">
        <v>131</v>
      </c>
    </row>
    <row r="2104" spans="1:15">
      <c r="A2104" s="166" t="s">
        <v>9993</v>
      </c>
      <c r="B2104" t="s">
        <v>111</v>
      </c>
      <c r="C2104" t="s">
        <v>2424</v>
      </c>
      <c r="D2104" t="s">
        <v>118</v>
      </c>
      <c r="E2104" t="s">
        <v>2618</v>
      </c>
      <c r="F2104" t="s">
        <v>6</v>
      </c>
      <c r="G2104" t="s">
        <v>130</v>
      </c>
      <c r="H2104" s="1">
        <v>46133</v>
      </c>
      <c r="I2104" t="s">
        <v>9994</v>
      </c>
      <c r="J2104" t="s">
        <v>9995</v>
      </c>
      <c r="K2104" t="s">
        <v>4879</v>
      </c>
      <c r="L2104" t="s">
        <v>1173</v>
      </c>
      <c r="M2104" t="s">
        <v>1127</v>
      </c>
      <c r="N2104" s="166">
        <v>19.920000000000002</v>
      </c>
      <c r="O2104" t="s">
        <v>131</v>
      </c>
    </row>
    <row r="2105" spans="1:15">
      <c r="A2105" s="166" t="s">
        <v>9996</v>
      </c>
      <c r="B2105" t="s">
        <v>111</v>
      </c>
      <c r="C2105" t="s">
        <v>134</v>
      </c>
      <c r="D2105" t="s">
        <v>118</v>
      </c>
      <c r="E2105" t="s">
        <v>2618</v>
      </c>
      <c r="F2105" t="s">
        <v>6</v>
      </c>
      <c r="G2105" t="s">
        <v>130</v>
      </c>
      <c r="H2105" s="1">
        <v>46133</v>
      </c>
      <c r="I2105" t="s">
        <v>9997</v>
      </c>
      <c r="J2105" t="s">
        <v>9998</v>
      </c>
      <c r="K2105" t="s">
        <v>5707</v>
      </c>
      <c r="L2105" t="s">
        <v>645</v>
      </c>
      <c r="M2105" t="s">
        <v>455</v>
      </c>
      <c r="N2105" s="166">
        <v>21.68</v>
      </c>
      <c r="O2105" t="s">
        <v>131</v>
      </c>
    </row>
    <row r="2106" spans="1:15">
      <c r="A2106" s="166" t="s">
        <v>9999</v>
      </c>
      <c r="B2106" t="s">
        <v>111</v>
      </c>
      <c r="C2106" t="s">
        <v>406</v>
      </c>
      <c r="D2106" t="s">
        <v>118</v>
      </c>
      <c r="E2106" t="s">
        <v>2618</v>
      </c>
      <c r="F2106" t="s">
        <v>6</v>
      </c>
      <c r="G2106" t="s">
        <v>130</v>
      </c>
      <c r="H2106" s="1">
        <v>46133</v>
      </c>
      <c r="I2106" t="s">
        <v>10000</v>
      </c>
      <c r="J2106" t="s">
        <v>10001</v>
      </c>
      <c r="K2106" t="s">
        <v>1056</v>
      </c>
      <c r="L2106" t="s">
        <v>989</v>
      </c>
      <c r="M2106" t="s">
        <v>1587</v>
      </c>
      <c r="N2106" s="166">
        <v>20.5</v>
      </c>
      <c r="O2106" t="s">
        <v>131</v>
      </c>
    </row>
    <row r="2107" spans="1:15">
      <c r="A2107" s="166" t="s">
        <v>10002</v>
      </c>
      <c r="B2107" t="s">
        <v>111</v>
      </c>
      <c r="C2107" t="s">
        <v>133</v>
      </c>
      <c r="D2107" t="s">
        <v>118</v>
      </c>
      <c r="E2107" t="s">
        <v>2618</v>
      </c>
      <c r="F2107" t="s">
        <v>6</v>
      </c>
      <c r="G2107" t="s">
        <v>130</v>
      </c>
      <c r="H2107" s="1">
        <v>46133</v>
      </c>
      <c r="I2107" t="s">
        <v>10003</v>
      </c>
      <c r="J2107" t="s">
        <v>10004</v>
      </c>
      <c r="K2107" t="s">
        <v>875</v>
      </c>
      <c r="L2107" t="s">
        <v>1881</v>
      </c>
      <c r="M2107" t="s">
        <v>3361</v>
      </c>
      <c r="N2107" s="166">
        <v>21.96</v>
      </c>
      <c r="O2107" t="s">
        <v>131</v>
      </c>
    </row>
    <row r="2108" spans="1:15">
      <c r="A2108" s="166" t="s">
        <v>10005</v>
      </c>
      <c r="B2108" t="s">
        <v>111</v>
      </c>
      <c r="C2108" t="s">
        <v>135</v>
      </c>
      <c r="D2108" t="s">
        <v>118</v>
      </c>
      <c r="E2108" t="s">
        <v>2618</v>
      </c>
      <c r="F2108" t="s">
        <v>6</v>
      </c>
      <c r="G2108" t="s">
        <v>130</v>
      </c>
      <c r="H2108" s="1">
        <v>46133</v>
      </c>
      <c r="I2108" t="s">
        <v>10006</v>
      </c>
      <c r="J2108" t="s">
        <v>10007</v>
      </c>
      <c r="K2108" t="s">
        <v>3357</v>
      </c>
      <c r="L2108" t="s">
        <v>974</v>
      </c>
      <c r="M2108" t="s">
        <v>1140</v>
      </c>
      <c r="N2108" s="166">
        <v>21.2</v>
      </c>
      <c r="O2108" t="s">
        <v>131</v>
      </c>
    </row>
    <row r="2109" spans="1:15">
      <c r="A2109" s="166" t="s">
        <v>10008</v>
      </c>
      <c r="B2109" t="s">
        <v>111</v>
      </c>
      <c r="C2109" t="s">
        <v>2424</v>
      </c>
      <c r="D2109" t="s">
        <v>118</v>
      </c>
      <c r="E2109" t="s">
        <v>2618</v>
      </c>
      <c r="F2109" t="s">
        <v>6</v>
      </c>
      <c r="G2109" t="s">
        <v>130</v>
      </c>
      <c r="H2109" s="1">
        <v>46133</v>
      </c>
      <c r="I2109" t="s">
        <v>10009</v>
      </c>
      <c r="J2109" t="s">
        <v>10010</v>
      </c>
      <c r="K2109" t="s">
        <v>4364</v>
      </c>
      <c r="L2109" t="s">
        <v>3484</v>
      </c>
      <c r="M2109" t="s">
        <v>1286</v>
      </c>
      <c r="N2109" s="166">
        <v>19.64</v>
      </c>
      <c r="O2109" t="s">
        <v>131</v>
      </c>
    </row>
    <row r="2110" spans="1:15">
      <c r="A2110" s="166" t="s">
        <v>595</v>
      </c>
      <c r="B2110" t="s">
        <v>111</v>
      </c>
      <c r="C2110" t="s">
        <v>134</v>
      </c>
      <c r="D2110" t="s">
        <v>118</v>
      </c>
      <c r="E2110" t="s">
        <v>2618</v>
      </c>
      <c r="F2110" t="s">
        <v>6</v>
      </c>
      <c r="G2110" t="s">
        <v>130</v>
      </c>
      <c r="H2110" s="1">
        <v>46133</v>
      </c>
      <c r="I2110" t="s">
        <v>10011</v>
      </c>
      <c r="J2110" t="s">
        <v>10012</v>
      </c>
      <c r="K2110" t="s">
        <v>4119</v>
      </c>
      <c r="L2110" t="s">
        <v>645</v>
      </c>
      <c r="M2110" t="s">
        <v>3814</v>
      </c>
      <c r="N2110" s="166">
        <v>22.08</v>
      </c>
      <c r="O2110" t="s">
        <v>131</v>
      </c>
    </row>
    <row r="2111" spans="1:15">
      <c r="A2111" s="166" t="s">
        <v>10013</v>
      </c>
      <c r="B2111" t="s">
        <v>111</v>
      </c>
      <c r="C2111" t="s">
        <v>406</v>
      </c>
      <c r="D2111" t="s">
        <v>118</v>
      </c>
      <c r="E2111" t="s">
        <v>2618</v>
      </c>
      <c r="F2111" t="s">
        <v>6</v>
      </c>
      <c r="G2111" t="s">
        <v>130</v>
      </c>
      <c r="H2111" s="1">
        <v>46133</v>
      </c>
      <c r="I2111" t="s">
        <v>10014</v>
      </c>
      <c r="J2111" t="s">
        <v>10015</v>
      </c>
      <c r="K2111" t="s">
        <v>1472</v>
      </c>
      <c r="L2111" t="s">
        <v>989</v>
      </c>
      <c r="M2111" t="s">
        <v>623</v>
      </c>
      <c r="N2111" s="166">
        <v>20.86</v>
      </c>
      <c r="O2111" t="s">
        <v>131</v>
      </c>
    </row>
    <row r="2112" spans="1:15">
      <c r="A2112" s="166" t="s">
        <v>10016</v>
      </c>
      <c r="B2112" t="s">
        <v>111</v>
      </c>
      <c r="C2112" t="s">
        <v>1104</v>
      </c>
      <c r="D2112" t="s">
        <v>118</v>
      </c>
      <c r="E2112" t="s">
        <v>2618</v>
      </c>
      <c r="F2112" t="s">
        <v>6</v>
      </c>
      <c r="G2112" t="s">
        <v>130</v>
      </c>
      <c r="H2112" s="1">
        <v>46133</v>
      </c>
      <c r="I2112" t="s">
        <v>10017</v>
      </c>
      <c r="J2112" t="s">
        <v>10018</v>
      </c>
      <c r="K2112" t="s">
        <v>3125</v>
      </c>
      <c r="L2112" t="s">
        <v>1958</v>
      </c>
      <c r="M2112" t="s">
        <v>1504</v>
      </c>
      <c r="N2112" s="166">
        <v>20.84</v>
      </c>
      <c r="O2112" t="s">
        <v>131</v>
      </c>
    </row>
    <row r="2113" spans="1:15">
      <c r="A2113" s="166" t="s">
        <v>10019</v>
      </c>
      <c r="B2113" t="s">
        <v>111</v>
      </c>
      <c r="C2113" t="s">
        <v>133</v>
      </c>
      <c r="D2113" t="s">
        <v>118</v>
      </c>
      <c r="E2113" t="s">
        <v>2618</v>
      </c>
      <c r="F2113" t="s">
        <v>6</v>
      </c>
      <c r="G2113" t="s">
        <v>130</v>
      </c>
      <c r="H2113" s="1">
        <v>46133</v>
      </c>
      <c r="I2113" t="s">
        <v>10020</v>
      </c>
      <c r="J2113" t="s">
        <v>10021</v>
      </c>
      <c r="K2113" t="s">
        <v>1619</v>
      </c>
      <c r="L2113" t="s">
        <v>845</v>
      </c>
      <c r="M2113" t="s">
        <v>510</v>
      </c>
      <c r="N2113" s="166">
        <v>22.18</v>
      </c>
      <c r="O2113" t="s">
        <v>131</v>
      </c>
    </row>
    <row r="2114" spans="1:15">
      <c r="A2114" s="166" t="s">
        <v>10022</v>
      </c>
      <c r="B2114" t="s">
        <v>111</v>
      </c>
      <c r="C2114" t="s">
        <v>135</v>
      </c>
      <c r="D2114" t="s">
        <v>118</v>
      </c>
      <c r="E2114" t="s">
        <v>2618</v>
      </c>
      <c r="F2114" t="s">
        <v>6</v>
      </c>
      <c r="G2114" t="s">
        <v>130</v>
      </c>
      <c r="H2114" s="1">
        <v>46133</v>
      </c>
      <c r="I2114" t="s">
        <v>10023</v>
      </c>
      <c r="J2114" t="s">
        <v>10024</v>
      </c>
      <c r="K2114" t="s">
        <v>7424</v>
      </c>
      <c r="L2114" t="s">
        <v>162</v>
      </c>
      <c r="M2114" t="s">
        <v>176</v>
      </c>
      <c r="N2114" s="166">
        <v>23.02</v>
      </c>
      <c r="O2114" t="s">
        <v>131</v>
      </c>
    </row>
    <row r="2115" spans="1:15">
      <c r="A2115" s="166" t="s">
        <v>10025</v>
      </c>
      <c r="B2115" t="s">
        <v>111</v>
      </c>
      <c r="C2115" t="s">
        <v>2424</v>
      </c>
      <c r="D2115" t="s">
        <v>118</v>
      </c>
      <c r="E2115" t="s">
        <v>2618</v>
      </c>
      <c r="F2115" t="s">
        <v>6</v>
      </c>
      <c r="G2115" t="s">
        <v>130</v>
      </c>
      <c r="H2115" s="1">
        <v>46133</v>
      </c>
      <c r="I2115" t="s">
        <v>10026</v>
      </c>
      <c r="J2115" t="s">
        <v>10027</v>
      </c>
      <c r="K2115" t="s">
        <v>2634</v>
      </c>
      <c r="L2115" t="s">
        <v>1583</v>
      </c>
      <c r="M2115" t="s">
        <v>1653</v>
      </c>
      <c r="N2115" s="166">
        <v>21.42</v>
      </c>
      <c r="O2115" t="s">
        <v>131</v>
      </c>
    </row>
    <row r="2116" spans="1:15">
      <c r="A2116" s="166" t="s">
        <v>10028</v>
      </c>
      <c r="B2116" t="s">
        <v>111</v>
      </c>
      <c r="C2116" t="s">
        <v>406</v>
      </c>
      <c r="D2116" t="s">
        <v>118</v>
      </c>
      <c r="E2116" t="s">
        <v>2618</v>
      </c>
      <c r="F2116" t="s">
        <v>6</v>
      </c>
      <c r="G2116" t="s">
        <v>130</v>
      </c>
      <c r="H2116" s="1">
        <v>46133</v>
      </c>
      <c r="I2116" t="s">
        <v>10029</v>
      </c>
      <c r="J2116" t="s">
        <v>10030</v>
      </c>
      <c r="K2116" t="s">
        <v>4645</v>
      </c>
      <c r="L2116" t="s">
        <v>1845</v>
      </c>
      <c r="M2116" t="s">
        <v>2096</v>
      </c>
      <c r="N2116" s="166">
        <v>20.74</v>
      </c>
      <c r="O2116" t="s">
        <v>131</v>
      </c>
    </row>
    <row r="2117" spans="1:15">
      <c r="A2117" s="166" t="s">
        <v>10031</v>
      </c>
      <c r="B2117" t="s">
        <v>111</v>
      </c>
      <c r="C2117" t="s">
        <v>134</v>
      </c>
      <c r="D2117" t="s">
        <v>118</v>
      </c>
      <c r="E2117" t="s">
        <v>2618</v>
      </c>
      <c r="F2117" t="s">
        <v>6</v>
      </c>
      <c r="G2117" t="s">
        <v>130</v>
      </c>
      <c r="H2117" s="1">
        <v>46133</v>
      </c>
      <c r="I2117" t="s">
        <v>10032</v>
      </c>
      <c r="J2117" t="s">
        <v>10033</v>
      </c>
      <c r="K2117" t="s">
        <v>632</v>
      </c>
      <c r="L2117" t="s">
        <v>149</v>
      </c>
      <c r="M2117" t="s">
        <v>185</v>
      </c>
      <c r="N2117" s="166">
        <v>20.72</v>
      </c>
      <c r="O2117" t="s">
        <v>131</v>
      </c>
    </row>
    <row r="2118" spans="1:15">
      <c r="A2118" s="166" t="s">
        <v>10034</v>
      </c>
      <c r="B2118" t="s">
        <v>111</v>
      </c>
      <c r="C2118" t="s">
        <v>133</v>
      </c>
      <c r="D2118" t="s">
        <v>118</v>
      </c>
      <c r="E2118" t="s">
        <v>2618</v>
      </c>
      <c r="F2118" t="s">
        <v>6</v>
      </c>
      <c r="G2118" t="s">
        <v>130</v>
      </c>
      <c r="H2118" s="1">
        <v>46133</v>
      </c>
      <c r="I2118" t="s">
        <v>10035</v>
      </c>
      <c r="J2118" t="s">
        <v>10036</v>
      </c>
      <c r="K2118" t="s">
        <v>1193</v>
      </c>
      <c r="L2118" t="s">
        <v>3813</v>
      </c>
      <c r="M2118" t="s">
        <v>4778</v>
      </c>
      <c r="N2118" s="166">
        <v>21.44</v>
      </c>
      <c r="O2118" t="s">
        <v>131</v>
      </c>
    </row>
    <row r="2119" spans="1:15">
      <c r="A2119" s="166" t="s">
        <v>10037</v>
      </c>
      <c r="B2119" t="s">
        <v>111</v>
      </c>
      <c r="C2119" t="s">
        <v>135</v>
      </c>
      <c r="D2119" t="s">
        <v>118</v>
      </c>
      <c r="E2119" t="s">
        <v>139</v>
      </c>
      <c r="F2119" t="s">
        <v>6</v>
      </c>
      <c r="G2119" t="s">
        <v>130</v>
      </c>
      <c r="H2119" s="1">
        <v>46133</v>
      </c>
      <c r="I2119" t="s">
        <v>10038</v>
      </c>
      <c r="J2119" t="s">
        <v>10039</v>
      </c>
      <c r="K2119" t="s">
        <v>1549</v>
      </c>
      <c r="L2119" t="s">
        <v>761</v>
      </c>
      <c r="M2119" t="s">
        <v>1159</v>
      </c>
      <c r="N2119" s="166">
        <v>20.34</v>
      </c>
      <c r="O2119" t="s">
        <v>131</v>
      </c>
    </row>
    <row r="2120" spans="1:15">
      <c r="A2120" s="166" t="s">
        <v>10040</v>
      </c>
      <c r="B2120" t="s">
        <v>111</v>
      </c>
      <c r="C2120" t="s">
        <v>2424</v>
      </c>
      <c r="D2120" t="s">
        <v>118</v>
      </c>
      <c r="E2120" t="s">
        <v>139</v>
      </c>
      <c r="F2120" t="s">
        <v>6</v>
      </c>
      <c r="G2120" t="s">
        <v>130</v>
      </c>
      <c r="H2120" s="1">
        <v>46133</v>
      </c>
      <c r="I2120" t="s">
        <v>10041</v>
      </c>
      <c r="J2120" t="s">
        <v>10042</v>
      </c>
      <c r="K2120" t="s">
        <v>2682</v>
      </c>
      <c r="L2120" t="s">
        <v>1862</v>
      </c>
      <c r="M2120" t="s">
        <v>812</v>
      </c>
      <c r="N2120" s="166">
        <v>24.18</v>
      </c>
      <c r="O2120" t="s">
        <v>131</v>
      </c>
    </row>
    <row r="2121" spans="1:15">
      <c r="A2121" s="166" t="s">
        <v>10043</v>
      </c>
      <c r="B2121" t="s">
        <v>111</v>
      </c>
      <c r="C2121" t="s">
        <v>134</v>
      </c>
      <c r="D2121" t="s">
        <v>116</v>
      </c>
      <c r="E2121" t="s">
        <v>418</v>
      </c>
      <c r="F2121" t="s">
        <v>7285</v>
      </c>
      <c r="G2121" t="s">
        <v>130</v>
      </c>
      <c r="H2121" s="1">
        <v>46133</v>
      </c>
      <c r="I2121" t="s">
        <v>10044</v>
      </c>
      <c r="J2121" t="s">
        <v>10045</v>
      </c>
      <c r="K2121" t="s">
        <v>10046</v>
      </c>
      <c r="L2121" t="s">
        <v>144</v>
      </c>
      <c r="M2121" t="s">
        <v>697</v>
      </c>
      <c r="N2121" s="166">
        <v>26.46</v>
      </c>
      <c r="O2121" t="s">
        <v>131</v>
      </c>
    </row>
    <row r="2122" spans="1:15">
      <c r="A2122" s="166" t="s">
        <v>10047</v>
      </c>
      <c r="B2122" t="s">
        <v>111</v>
      </c>
      <c r="C2122" t="s">
        <v>406</v>
      </c>
      <c r="D2122" t="s">
        <v>118</v>
      </c>
      <c r="E2122" t="s">
        <v>139</v>
      </c>
      <c r="F2122" t="s">
        <v>6</v>
      </c>
      <c r="G2122" t="s">
        <v>130</v>
      </c>
      <c r="H2122" s="1">
        <v>46133</v>
      </c>
      <c r="I2122" t="s">
        <v>10048</v>
      </c>
      <c r="J2122" t="s">
        <v>10049</v>
      </c>
      <c r="K2122" t="s">
        <v>2781</v>
      </c>
      <c r="L2122" t="s">
        <v>144</v>
      </c>
      <c r="M2122" t="s">
        <v>234</v>
      </c>
      <c r="N2122" s="166">
        <v>25.72</v>
      </c>
      <c r="O2122" t="s">
        <v>131</v>
      </c>
    </row>
    <row r="2123" spans="1:15">
      <c r="A2123" s="166" t="s">
        <v>10050</v>
      </c>
      <c r="B2123" t="s">
        <v>111</v>
      </c>
      <c r="C2123" t="s">
        <v>133</v>
      </c>
      <c r="D2123" t="s">
        <v>116</v>
      </c>
      <c r="E2123" t="s">
        <v>418</v>
      </c>
      <c r="F2123" t="s">
        <v>7285</v>
      </c>
      <c r="G2123" t="s">
        <v>130</v>
      </c>
      <c r="H2123" s="1">
        <v>46133</v>
      </c>
      <c r="I2123" t="s">
        <v>10051</v>
      </c>
      <c r="J2123" t="s">
        <v>10052</v>
      </c>
      <c r="K2123" t="s">
        <v>10053</v>
      </c>
      <c r="L2123" t="s">
        <v>1101</v>
      </c>
      <c r="M2123" t="s">
        <v>10054</v>
      </c>
      <c r="N2123" s="166">
        <v>30.06</v>
      </c>
      <c r="O2123" t="s">
        <v>131</v>
      </c>
    </row>
    <row r="2124" spans="1:15">
      <c r="A2124" s="166" t="s">
        <v>10055</v>
      </c>
      <c r="B2124" t="s">
        <v>111</v>
      </c>
      <c r="C2124" t="s">
        <v>134</v>
      </c>
      <c r="D2124" t="s">
        <v>116</v>
      </c>
      <c r="E2124" t="s">
        <v>418</v>
      </c>
      <c r="F2124" t="s">
        <v>6</v>
      </c>
      <c r="G2124" t="s">
        <v>130</v>
      </c>
      <c r="H2124" s="1">
        <v>46133</v>
      </c>
      <c r="I2124" t="s">
        <v>10056</v>
      </c>
      <c r="J2124" t="s">
        <v>10057</v>
      </c>
      <c r="K2124" t="s">
        <v>10058</v>
      </c>
      <c r="L2124" t="s">
        <v>149</v>
      </c>
      <c r="M2124" t="s">
        <v>10059</v>
      </c>
      <c r="N2124" s="166">
        <v>30.2</v>
      </c>
      <c r="O2124" t="s">
        <v>131</v>
      </c>
    </row>
    <row r="2125" spans="1:15">
      <c r="A2125" s="166" t="s">
        <v>10060</v>
      </c>
      <c r="B2125" t="s">
        <v>111</v>
      </c>
      <c r="C2125" t="s">
        <v>406</v>
      </c>
      <c r="D2125" t="s">
        <v>116</v>
      </c>
      <c r="E2125" t="s">
        <v>138</v>
      </c>
      <c r="F2125" t="s">
        <v>101</v>
      </c>
      <c r="G2125" t="s">
        <v>130</v>
      </c>
      <c r="H2125" s="1">
        <v>46133</v>
      </c>
      <c r="I2125" t="s">
        <v>10061</v>
      </c>
      <c r="J2125" t="s">
        <v>10062</v>
      </c>
      <c r="K2125" t="s">
        <v>706</v>
      </c>
      <c r="L2125" t="s">
        <v>2603</v>
      </c>
      <c r="M2125" t="s">
        <v>721</v>
      </c>
      <c r="N2125" s="166">
        <v>24.14</v>
      </c>
      <c r="O2125" t="s">
        <v>131</v>
      </c>
    </row>
    <row r="2126" spans="1:15">
      <c r="A2126" s="166" t="s">
        <v>10063</v>
      </c>
      <c r="B2126" t="s">
        <v>111</v>
      </c>
      <c r="C2126" t="s">
        <v>2424</v>
      </c>
      <c r="D2126" t="s">
        <v>118</v>
      </c>
      <c r="E2126" t="s">
        <v>139</v>
      </c>
      <c r="F2126" t="s">
        <v>6</v>
      </c>
      <c r="G2126" t="s">
        <v>130</v>
      </c>
      <c r="H2126" s="1">
        <v>46133</v>
      </c>
      <c r="I2126" t="s">
        <v>10064</v>
      </c>
      <c r="J2126" t="s">
        <v>10065</v>
      </c>
      <c r="K2126" t="s">
        <v>2540</v>
      </c>
      <c r="L2126" t="s">
        <v>1823</v>
      </c>
      <c r="M2126" t="s">
        <v>1394</v>
      </c>
      <c r="N2126" s="166">
        <v>18.96</v>
      </c>
      <c r="O2126" t="s">
        <v>131</v>
      </c>
    </row>
    <row r="2127" spans="1:15">
      <c r="A2127" s="166" t="s">
        <v>10066</v>
      </c>
      <c r="B2127" t="s">
        <v>111</v>
      </c>
      <c r="C2127" t="s">
        <v>133</v>
      </c>
      <c r="D2127" t="s">
        <v>118</v>
      </c>
      <c r="E2127" t="s">
        <v>139</v>
      </c>
      <c r="F2127" t="s">
        <v>6</v>
      </c>
      <c r="G2127" t="s">
        <v>130</v>
      </c>
      <c r="H2127" s="1">
        <v>46133</v>
      </c>
      <c r="I2127" t="s">
        <v>10067</v>
      </c>
      <c r="J2127" t="s">
        <v>10068</v>
      </c>
      <c r="K2127" t="s">
        <v>2559</v>
      </c>
      <c r="L2127" t="s">
        <v>901</v>
      </c>
      <c r="M2127" t="s">
        <v>3484</v>
      </c>
      <c r="N2127" s="166">
        <v>19.98</v>
      </c>
      <c r="O2127" t="s">
        <v>131</v>
      </c>
    </row>
    <row r="2128" spans="1:15">
      <c r="A2128" s="166" t="s">
        <v>10069</v>
      </c>
      <c r="B2128" t="s">
        <v>111</v>
      </c>
      <c r="C2128" t="s">
        <v>135</v>
      </c>
      <c r="D2128" t="s">
        <v>118</v>
      </c>
      <c r="E2128" t="s">
        <v>139</v>
      </c>
      <c r="F2128" t="s">
        <v>6</v>
      </c>
      <c r="G2128" t="s">
        <v>130</v>
      </c>
      <c r="H2128" s="1">
        <v>46133</v>
      </c>
      <c r="I2128" t="s">
        <v>10070</v>
      </c>
      <c r="J2128" t="s">
        <v>10071</v>
      </c>
      <c r="K2128" t="s">
        <v>2495</v>
      </c>
      <c r="L2128" t="s">
        <v>616</v>
      </c>
      <c r="M2128" t="s">
        <v>1682</v>
      </c>
      <c r="N2128" s="166">
        <v>19.82</v>
      </c>
      <c r="O2128" t="s">
        <v>131</v>
      </c>
    </row>
    <row r="2129" spans="1:15">
      <c r="A2129" s="166" t="s">
        <v>10072</v>
      </c>
      <c r="B2129" t="s">
        <v>111</v>
      </c>
      <c r="C2129" t="s">
        <v>134</v>
      </c>
      <c r="D2129" t="s">
        <v>118</v>
      </c>
      <c r="E2129" t="s">
        <v>2618</v>
      </c>
      <c r="F2129" t="s">
        <v>6</v>
      </c>
      <c r="G2129" t="s">
        <v>130</v>
      </c>
      <c r="H2129" s="1">
        <v>46133</v>
      </c>
      <c r="I2129" t="s">
        <v>10073</v>
      </c>
      <c r="J2129" t="s">
        <v>10074</v>
      </c>
      <c r="K2129" t="s">
        <v>573</v>
      </c>
      <c r="L2129" t="s">
        <v>208</v>
      </c>
      <c r="M2129" t="s">
        <v>1819</v>
      </c>
      <c r="N2129" s="166">
        <v>20.62</v>
      </c>
      <c r="O2129" t="s">
        <v>131</v>
      </c>
    </row>
    <row r="2130" spans="1:15">
      <c r="A2130" s="166" t="s">
        <v>421</v>
      </c>
      <c r="B2130" t="s">
        <v>111</v>
      </c>
      <c r="C2130" t="s">
        <v>406</v>
      </c>
      <c r="D2130" t="s">
        <v>118</v>
      </c>
      <c r="E2130" t="s">
        <v>2618</v>
      </c>
      <c r="F2130" t="s">
        <v>6</v>
      </c>
      <c r="G2130" t="s">
        <v>130</v>
      </c>
      <c r="H2130" s="1">
        <v>46133</v>
      </c>
      <c r="I2130" t="s">
        <v>10075</v>
      </c>
      <c r="J2130" t="s">
        <v>10076</v>
      </c>
      <c r="K2130" t="s">
        <v>3291</v>
      </c>
      <c r="L2130" t="s">
        <v>144</v>
      </c>
      <c r="M2130" t="s">
        <v>481</v>
      </c>
      <c r="N2130" s="166">
        <v>22.4</v>
      </c>
      <c r="O2130" t="s">
        <v>131</v>
      </c>
    </row>
    <row r="2131" spans="1:15">
      <c r="A2131" s="166" t="s">
        <v>10077</v>
      </c>
      <c r="B2131" t="s">
        <v>111</v>
      </c>
      <c r="C2131" t="s">
        <v>133</v>
      </c>
      <c r="D2131" t="s">
        <v>118</v>
      </c>
      <c r="E2131" t="s">
        <v>139</v>
      </c>
      <c r="F2131" t="s">
        <v>6</v>
      </c>
      <c r="G2131" t="s">
        <v>130</v>
      </c>
      <c r="H2131" s="1">
        <v>46133</v>
      </c>
      <c r="I2131" t="s">
        <v>10078</v>
      </c>
      <c r="J2131" t="s">
        <v>10079</v>
      </c>
      <c r="K2131" t="s">
        <v>3357</v>
      </c>
      <c r="L2131" t="s">
        <v>870</v>
      </c>
      <c r="M2131" t="s">
        <v>1797</v>
      </c>
      <c r="N2131" s="166">
        <v>20.260000000000002</v>
      </c>
      <c r="O2131" t="s">
        <v>131</v>
      </c>
    </row>
    <row r="2132" spans="1:15">
      <c r="A2132" s="166" t="s">
        <v>10080</v>
      </c>
      <c r="B2132" t="s">
        <v>111</v>
      </c>
      <c r="C2132" t="s">
        <v>135</v>
      </c>
      <c r="D2132" t="s">
        <v>118</v>
      </c>
      <c r="E2132" t="s">
        <v>139</v>
      </c>
      <c r="F2132" t="s">
        <v>6</v>
      </c>
      <c r="G2132" t="s">
        <v>130</v>
      </c>
      <c r="H2132" s="1">
        <v>46133</v>
      </c>
      <c r="I2132" t="s">
        <v>10081</v>
      </c>
      <c r="J2132" t="s">
        <v>10082</v>
      </c>
      <c r="K2132" t="s">
        <v>3622</v>
      </c>
      <c r="L2132" t="s">
        <v>616</v>
      </c>
      <c r="M2132" t="s">
        <v>536</v>
      </c>
      <c r="N2132" s="166">
        <v>24.9</v>
      </c>
      <c r="O2132" t="s">
        <v>131</v>
      </c>
    </row>
    <row r="2133" spans="1:15">
      <c r="A2133" s="166" t="s">
        <v>10083</v>
      </c>
      <c r="B2133" t="s">
        <v>111</v>
      </c>
      <c r="C2133" t="s">
        <v>134</v>
      </c>
      <c r="D2133" t="s">
        <v>118</v>
      </c>
      <c r="E2133" t="s">
        <v>2618</v>
      </c>
      <c r="F2133" t="s">
        <v>6</v>
      </c>
      <c r="G2133" t="s">
        <v>130</v>
      </c>
      <c r="H2133" s="1">
        <v>46133</v>
      </c>
      <c r="I2133" t="s">
        <v>10084</v>
      </c>
      <c r="J2133" t="s">
        <v>10085</v>
      </c>
      <c r="K2133" t="s">
        <v>3553</v>
      </c>
      <c r="L2133" t="s">
        <v>622</v>
      </c>
      <c r="M2133" t="s">
        <v>3420</v>
      </c>
      <c r="N2133" s="166">
        <v>21.56</v>
      </c>
      <c r="O2133" t="s">
        <v>131</v>
      </c>
    </row>
    <row r="2134" spans="1:15">
      <c r="A2134" s="166" t="s">
        <v>10086</v>
      </c>
      <c r="B2134" t="s">
        <v>111</v>
      </c>
      <c r="C2134" t="s">
        <v>2424</v>
      </c>
      <c r="D2134" t="s">
        <v>118</v>
      </c>
      <c r="E2134" t="s">
        <v>2618</v>
      </c>
      <c r="F2134" t="s">
        <v>6</v>
      </c>
      <c r="G2134" t="s">
        <v>130</v>
      </c>
      <c r="H2134" s="1">
        <v>46133</v>
      </c>
      <c r="I2134" t="s">
        <v>10087</v>
      </c>
      <c r="J2134" t="s">
        <v>10088</v>
      </c>
      <c r="K2134" t="s">
        <v>158</v>
      </c>
      <c r="L2134" t="s">
        <v>3372</v>
      </c>
      <c r="M2134" t="s">
        <v>207</v>
      </c>
      <c r="N2134" s="166">
        <v>20.92</v>
      </c>
      <c r="O2134" t="s">
        <v>131</v>
      </c>
    </row>
    <row r="2135" spans="1:15">
      <c r="A2135" s="166" t="s">
        <v>10089</v>
      </c>
      <c r="B2135" t="s">
        <v>111</v>
      </c>
      <c r="C2135" t="s">
        <v>7474</v>
      </c>
      <c r="D2135" t="s">
        <v>118</v>
      </c>
      <c r="E2135" t="s">
        <v>2618</v>
      </c>
      <c r="F2135" t="s">
        <v>6</v>
      </c>
      <c r="G2135" t="s">
        <v>130</v>
      </c>
      <c r="H2135" s="1">
        <v>46133</v>
      </c>
      <c r="I2135" t="s">
        <v>10090</v>
      </c>
      <c r="J2135" t="s">
        <v>10091</v>
      </c>
      <c r="K2135" t="s">
        <v>681</v>
      </c>
      <c r="L2135" t="s">
        <v>2599</v>
      </c>
      <c r="M2135" t="s">
        <v>5753</v>
      </c>
      <c r="N2135" s="166">
        <v>21.58</v>
      </c>
      <c r="O2135" t="s">
        <v>131</v>
      </c>
    </row>
    <row r="2136" spans="1:15">
      <c r="A2136" s="166" t="s">
        <v>10092</v>
      </c>
      <c r="B2136" t="s">
        <v>111</v>
      </c>
      <c r="C2136" t="s">
        <v>133</v>
      </c>
      <c r="D2136" t="s">
        <v>118</v>
      </c>
      <c r="E2136" t="s">
        <v>2618</v>
      </c>
      <c r="F2136" t="s">
        <v>6</v>
      </c>
      <c r="G2136" t="s">
        <v>130</v>
      </c>
      <c r="H2136" s="1">
        <v>46133</v>
      </c>
      <c r="I2136" t="s">
        <v>10093</v>
      </c>
      <c r="J2136" t="s">
        <v>10094</v>
      </c>
      <c r="K2136" t="s">
        <v>4815</v>
      </c>
      <c r="L2136" t="s">
        <v>465</v>
      </c>
      <c r="M2136" t="s">
        <v>5398</v>
      </c>
      <c r="N2136" s="166">
        <v>21.86</v>
      </c>
      <c r="O2136" t="s">
        <v>131</v>
      </c>
    </row>
    <row r="2137" spans="1:15">
      <c r="A2137" s="166" t="s">
        <v>10095</v>
      </c>
      <c r="B2137" t="s">
        <v>111</v>
      </c>
      <c r="C2137" t="s">
        <v>406</v>
      </c>
      <c r="D2137" t="s">
        <v>118</v>
      </c>
      <c r="E2137" t="s">
        <v>2618</v>
      </c>
      <c r="F2137" t="s">
        <v>6</v>
      </c>
      <c r="G2137" t="s">
        <v>130</v>
      </c>
      <c r="H2137" s="1">
        <v>46133</v>
      </c>
      <c r="I2137" t="s">
        <v>10096</v>
      </c>
      <c r="J2137" t="s">
        <v>10097</v>
      </c>
      <c r="K2137" t="s">
        <v>554</v>
      </c>
      <c r="L2137" t="s">
        <v>193</v>
      </c>
      <c r="M2137" t="s">
        <v>3145</v>
      </c>
      <c r="N2137" s="166">
        <v>21.54</v>
      </c>
      <c r="O2137" t="s">
        <v>131</v>
      </c>
    </row>
    <row r="2138" spans="1:15">
      <c r="A2138" s="166" t="s">
        <v>10098</v>
      </c>
      <c r="B2138" t="s">
        <v>111</v>
      </c>
      <c r="C2138" t="s">
        <v>135</v>
      </c>
      <c r="D2138" t="s">
        <v>118</v>
      </c>
      <c r="E2138" t="s">
        <v>2618</v>
      </c>
      <c r="F2138" t="s">
        <v>6</v>
      </c>
      <c r="G2138" t="s">
        <v>130</v>
      </c>
      <c r="H2138" s="1">
        <v>46133</v>
      </c>
      <c r="I2138" t="s">
        <v>10099</v>
      </c>
      <c r="J2138" t="s">
        <v>10100</v>
      </c>
      <c r="K2138" t="s">
        <v>3479</v>
      </c>
      <c r="L2138" t="s">
        <v>777</v>
      </c>
      <c r="M2138" t="s">
        <v>3361</v>
      </c>
      <c r="N2138" s="166">
        <v>21.96</v>
      </c>
      <c r="O2138" t="s">
        <v>131</v>
      </c>
    </row>
    <row r="2139" spans="1:15">
      <c r="A2139" s="166" t="s">
        <v>10101</v>
      </c>
      <c r="B2139" t="s">
        <v>111</v>
      </c>
      <c r="C2139" t="s">
        <v>136</v>
      </c>
      <c r="D2139" t="s">
        <v>118</v>
      </c>
      <c r="E2139" t="s">
        <v>2618</v>
      </c>
      <c r="F2139" t="s">
        <v>6</v>
      </c>
      <c r="G2139" t="s">
        <v>130</v>
      </c>
      <c r="H2139" s="1">
        <v>46133</v>
      </c>
      <c r="I2139" t="s">
        <v>10102</v>
      </c>
      <c r="J2139" t="s">
        <v>10103</v>
      </c>
      <c r="K2139" t="s">
        <v>4103</v>
      </c>
      <c r="L2139" t="s">
        <v>611</v>
      </c>
      <c r="M2139" t="s">
        <v>2359</v>
      </c>
      <c r="N2139" s="166">
        <v>22.48</v>
      </c>
      <c r="O2139" t="s">
        <v>131</v>
      </c>
    </row>
    <row r="2140" spans="1:15">
      <c r="A2140" s="166" t="s">
        <v>10104</v>
      </c>
      <c r="B2140" t="s">
        <v>111</v>
      </c>
      <c r="C2140" t="s">
        <v>2424</v>
      </c>
      <c r="D2140" t="s">
        <v>118</v>
      </c>
      <c r="E2140" t="s">
        <v>2618</v>
      </c>
      <c r="F2140" t="s">
        <v>6</v>
      </c>
      <c r="G2140" t="s">
        <v>130</v>
      </c>
      <c r="H2140" s="1">
        <v>46133</v>
      </c>
      <c r="I2140" t="s">
        <v>10105</v>
      </c>
      <c r="J2140" t="s">
        <v>10106</v>
      </c>
      <c r="K2140" t="s">
        <v>2296</v>
      </c>
      <c r="L2140" t="s">
        <v>1168</v>
      </c>
      <c r="M2140" t="s">
        <v>2046</v>
      </c>
      <c r="N2140" s="166">
        <v>19.16</v>
      </c>
      <c r="O2140" t="s">
        <v>131</v>
      </c>
    </row>
    <row r="2141" spans="1:15">
      <c r="A2141" s="166" t="s">
        <v>10107</v>
      </c>
      <c r="B2141" t="s">
        <v>111</v>
      </c>
      <c r="C2141" t="s">
        <v>134</v>
      </c>
      <c r="D2141" t="s">
        <v>118</v>
      </c>
      <c r="E2141" t="s">
        <v>2618</v>
      </c>
      <c r="F2141" t="s">
        <v>6</v>
      </c>
      <c r="G2141" t="s">
        <v>130</v>
      </c>
      <c r="H2141" s="1">
        <v>46133</v>
      </c>
      <c r="I2141" t="s">
        <v>10108</v>
      </c>
      <c r="J2141" t="s">
        <v>10109</v>
      </c>
      <c r="K2141" t="s">
        <v>4645</v>
      </c>
      <c r="L2141" t="s">
        <v>149</v>
      </c>
      <c r="M2141" t="s">
        <v>498</v>
      </c>
      <c r="N2141" s="166">
        <v>21.62</v>
      </c>
      <c r="O2141" t="s">
        <v>131</v>
      </c>
    </row>
    <row r="2142" spans="1:15">
      <c r="A2142" s="166" t="s">
        <v>10110</v>
      </c>
      <c r="B2142" t="s">
        <v>111</v>
      </c>
      <c r="C2142" t="s">
        <v>7474</v>
      </c>
      <c r="D2142" t="s">
        <v>118</v>
      </c>
      <c r="E2142" t="s">
        <v>2618</v>
      </c>
      <c r="F2142" t="s">
        <v>6</v>
      </c>
      <c r="G2142" t="s">
        <v>130</v>
      </c>
      <c r="H2142" s="1">
        <v>46133</v>
      </c>
      <c r="I2142" t="s">
        <v>10111</v>
      </c>
      <c r="J2142" t="s">
        <v>10112</v>
      </c>
      <c r="K2142" t="s">
        <v>655</v>
      </c>
      <c r="L2142" t="s">
        <v>3229</v>
      </c>
      <c r="M2142" t="s">
        <v>2745</v>
      </c>
      <c r="N2142" s="166">
        <v>20.78</v>
      </c>
      <c r="O2142" t="s">
        <v>131</v>
      </c>
    </row>
    <row r="2143" spans="1:15">
      <c r="A2143" s="166" t="s">
        <v>10113</v>
      </c>
      <c r="B2143" t="s">
        <v>111</v>
      </c>
      <c r="C2143" t="s">
        <v>406</v>
      </c>
      <c r="D2143" t="s">
        <v>118</v>
      </c>
      <c r="E2143" t="s">
        <v>2618</v>
      </c>
      <c r="F2143" t="s">
        <v>6</v>
      </c>
      <c r="G2143" t="s">
        <v>130</v>
      </c>
      <c r="H2143" s="1">
        <v>46133</v>
      </c>
      <c r="I2143" t="s">
        <v>10114</v>
      </c>
      <c r="J2143" t="s">
        <v>10115</v>
      </c>
      <c r="K2143" t="s">
        <v>1840</v>
      </c>
      <c r="L2143" t="s">
        <v>193</v>
      </c>
      <c r="M2143" t="s">
        <v>1347</v>
      </c>
      <c r="N2143" s="166">
        <v>19.2</v>
      </c>
      <c r="O2143" t="s">
        <v>131</v>
      </c>
    </row>
    <row r="2144" spans="1:15">
      <c r="A2144" s="166" t="s">
        <v>10116</v>
      </c>
      <c r="B2144" t="s">
        <v>111</v>
      </c>
      <c r="C2144" t="s">
        <v>135</v>
      </c>
      <c r="D2144" t="s">
        <v>118</v>
      </c>
      <c r="E2144" t="s">
        <v>2618</v>
      </c>
      <c r="F2144" t="s">
        <v>6</v>
      </c>
      <c r="G2144" t="s">
        <v>130</v>
      </c>
      <c r="H2144" s="1">
        <v>46133</v>
      </c>
      <c r="I2144" t="s">
        <v>10117</v>
      </c>
      <c r="J2144" t="s">
        <v>10118</v>
      </c>
      <c r="K2144" t="s">
        <v>5707</v>
      </c>
      <c r="L2144" t="s">
        <v>761</v>
      </c>
      <c r="M2144" t="s">
        <v>3159</v>
      </c>
      <c r="N2144" s="166">
        <v>21.4</v>
      </c>
      <c r="O2144" t="s">
        <v>131</v>
      </c>
    </row>
    <row r="2145" spans="1:15">
      <c r="A2145" s="166" t="s">
        <v>10119</v>
      </c>
      <c r="B2145" t="s">
        <v>111</v>
      </c>
      <c r="C2145" t="s">
        <v>133</v>
      </c>
      <c r="D2145" t="s">
        <v>118</v>
      </c>
      <c r="E2145" t="s">
        <v>2618</v>
      </c>
      <c r="F2145" t="s">
        <v>6</v>
      </c>
      <c r="G2145" t="s">
        <v>130</v>
      </c>
      <c r="H2145" s="1">
        <v>46133</v>
      </c>
      <c r="I2145" t="s">
        <v>10120</v>
      </c>
      <c r="J2145" t="s">
        <v>10121</v>
      </c>
      <c r="K2145" t="s">
        <v>4719</v>
      </c>
      <c r="L2145" t="s">
        <v>2090</v>
      </c>
      <c r="M2145" t="s">
        <v>5753</v>
      </c>
      <c r="N2145" s="166">
        <v>21.58</v>
      </c>
      <c r="O2145" t="s">
        <v>131</v>
      </c>
    </row>
    <row r="2146" spans="1:15">
      <c r="A2146" s="166" t="s">
        <v>10122</v>
      </c>
      <c r="B2146" t="s">
        <v>111</v>
      </c>
      <c r="C2146" t="s">
        <v>2424</v>
      </c>
      <c r="D2146" t="s">
        <v>118</v>
      </c>
      <c r="E2146" t="s">
        <v>2618</v>
      </c>
      <c r="F2146" t="s">
        <v>6</v>
      </c>
      <c r="G2146" t="s">
        <v>130</v>
      </c>
      <c r="H2146" s="1">
        <v>46133</v>
      </c>
      <c r="I2146" t="s">
        <v>10123</v>
      </c>
      <c r="J2146" t="s">
        <v>10124</v>
      </c>
      <c r="K2146" t="s">
        <v>1472</v>
      </c>
      <c r="L2146" t="s">
        <v>1102</v>
      </c>
      <c r="M2146" t="s">
        <v>2532</v>
      </c>
      <c r="N2146" s="166">
        <v>17.420000000000002</v>
      </c>
      <c r="O2146" t="s">
        <v>131</v>
      </c>
    </row>
    <row r="2147" spans="1:15">
      <c r="A2147" s="166" t="s">
        <v>10125</v>
      </c>
      <c r="B2147" t="s">
        <v>111</v>
      </c>
      <c r="C2147" t="s">
        <v>136</v>
      </c>
      <c r="D2147" t="s">
        <v>118</v>
      </c>
      <c r="E2147" t="s">
        <v>2618</v>
      </c>
      <c r="F2147" t="s">
        <v>6</v>
      </c>
      <c r="G2147" t="s">
        <v>130</v>
      </c>
      <c r="H2147" s="1">
        <v>46133</v>
      </c>
      <c r="I2147" t="s">
        <v>10126</v>
      </c>
      <c r="J2147" t="s">
        <v>10127</v>
      </c>
      <c r="K2147" t="s">
        <v>524</v>
      </c>
      <c r="L2147" t="s">
        <v>907</v>
      </c>
      <c r="M2147" t="s">
        <v>2158</v>
      </c>
      <c r="N2147" s="166">
        <v>20.94</v>
      </c>
      <c r="O2147" t="s">
        <v>131</v>
      </c>
    </row>
    <row r="2148" spans="1:15">
      <c r="A2148" s="166" t="s">
        <v>10128</v>
      </c>
      <c r="B2148" t="s">
        <v>111</v>
      </c>
      <c r="C2148" t="s">
        <v>134</v>
      </c>
      <c r="D2148" t="s">
        <v>118</v>
      </c>
      <c r="E2148" t="s">
        <v>2618</v>
      </c>
      <c r="F2148" t="s">
        <v>6</v>
      </c>
      <c r="G2148" t="s">
        <v>130</v>
      </c>
      <c r="H2148" s="1">
        <v>46133</v>
      </c>
      <c r="I2148" t="s">
        <v>10129</v>
      </c>
      <c r="J2148" t="s">
        <v>10130</v>
      </c>
      <c r="K2148" t="s">
        <v>3592</v>
      </c>
      <c r="L2148" t="s">
        <v>672</v>
      </c>
      <c r="M2148" t="s">
        <v>187</v>
      </c>
      <c r="N2148" s="166">
        <v>22.74</v>
      </c>
      <c r="O2148" t="s">
        <v>131</v>
      </c>
    </row>
    <row r="2149" spans="1:15">
      <c r="A2149" s="166" t="s">
        <v>10131</v>
      </c>
      <c r="B2149" t="s">
        <v>111</v>
      </c>
      <c r="C2149" t="s">
        <v>7474</v>
      </c>
      <c r="D2149" t="s">
        <v>118</v>
      </c>
      <c r="E2149" t="s">
        <v>2618</v>
      </c>
      <c r="F2149" t="s">
        <v>6</v>
      </c>
      <c r="G2149" t="s">
        <v>130</v>
      </c>
      <c r="H2149" s="1">
        <v>46133</v>
      </c>
      <c r="I2149" t="s">
        <v>10132</v>
      </c>
      <c r="J2149" t="s">
        <v>10133</v>
      </c>
      <c r="K2149" t="s">
        <v>1606</v>
      </c>
      <c r="L2149" t="s">
        <v>1819</v>
      </c>
      <c r="M2149" t="s">
        <v>3376</v>
      </c>
      <c r="N2149" s="166">
        <v>17.02</v>
      </c>
      <c r="O2149" t="s">
        <v>131</v>
      </c>
    </row>
    <row r="2150" spans="1:15">
      <c r="A2150" s="166" t="s">
        <v>1969</v>
      </c>
      <c r="B2150" t="s">
        <v>111</v>
      </c>
      <c r="C2150" t="s">
        <v>406</v>
      </c>
      <c r="D2150" t="s">
        <v>118</v>
      </c>
      <c r="E2150" t="s">
        <v>2618</v>
      </c>
      <c r="F2150" t="s">
        <v>6</v>
      </c>
      <c r="G2150" t="s">
        <v>130</v>
      </c>
      <c r="H2150" s="1">
        <v>46133</v>
      </c>
      <c r="I2150" t="s">
        <v>10134</v>
      </c>
      <c r="J2150" t="s">
        <v>10135</v>
      </c>
      <c r="K2150" t="s">
        <v>573</v>
      </c>
      <c r="L2150" t="s">
        <v>622</v>
      </c>
      <c r="M2150" t="s">
        <v>1545</v>
      </c>
      <c r="N2150" s="166">
        <v>20.68</v>
      </c>
      <c r="O2150" t="s">
        <v>131</v>
      </c>
    </row>
    <row r="2151" spans="1:15">
      <c r="A2151" s="166" t="s">
        <v>10136</v>
      </c>
      <c r="B2151" t="s">
        <v>111</v>
      </c>
      <c r="C2151" t="s">
        <v>135</v>
      </c>
      <c r="D2151" t="s">
        <v>118</v>
      </c>
      <c r="E2151" t="s">
        <v>2618</v>
      </c>
      <c r="F2151" t="s">
        <v>6</v>
      </c>
      <c r="G2151" t="s">
        <v>130</v>
      </c>
      <c r="H2151" s="1">
        <v>46133</v>
      </c>
      <c r="I2151" t="s">
        <v>10137</v>
      </c>
      <c r="J2151" t="s">
        <v>10138</v>
      </c>
      <c r="K2151" t="s">
        <v>2559</v>
      </c>
      <c r="L2151" t="s">
        <v>801</v>
      </c>
      <c r="M2151" t="s">
        <v>2096</v>
      </c>
      <c r="N2151" s="166">
        <v>20.74</v>
      </c>
      <c r="O2151" t="s">
        <v>131</v>
      </c>
    </row>
    <row r="2152" spans="1:15">
      <c r="A2152" s="166" t="s">
        <v>10139</v>
      </c>
      <c r="B2152" t="s">
        <v>111</v>
      </c>
      <c r="C2152" t="s">
        <v>133</v>
      </c>
      <c r="D2152" t="s">
        <v>118</v>
      </c>
      <c r="E2152" t="s">
        <v>2618</v>
      </c>
      <c r="F2152" t="s">
        <v>6</v>
      </c>
      <c r="G2152" t="s">
        <v>130</v>
      </c>
      <c r="H2152" s="1">
        <v>46133</v>
      </c>
      <c r="I2152" t="s">
        <v>10140</v>
      </c>
      <c r="J2152" t="s">
        <v>10141</v>
      </c>
      <c r="K2152" t="s">
        <v>1844</v>
      </c>
      <c r="L2152" t="s">
        <v>1177</v>
      </c>
      <c r="M2152" t="s">
        <v>2473</v>
      </c>
      <c r="N2152" s="166">
        <v>17.66</v>
      </c>
      <c r="O2152" t="s">
        <v>131</v>
      </c>
    </row>
    <row r="2153" spans="1:15">
      <c r="A2153" s="166" t="s">
        <v>10142</v>
      </c>
      <c r="B2153" t="s">
        <v>111</v>
      </c>
      <c r="C2153" t="s">
        <v>2424</v>
      </c>
      <c r="D2153" t="s">
        <v>118</v>
      </c>
      <c r="E2153" t="s">
        <v>2618</v>
      </c>
      <c r="F2153" t="s">
        <v>6</v>
      </c>
      <c r="G2153" t="s">
        <v>130</v>
      </c>
      <c r="H2153" s="1">
        <v>46133</v>
      </c>
      <c r="I2153" t="s">
        <v>10143</v>
      </c>
      <c r="J2153" t="s">
        <v>10144</v>
      </c>
      <c r="K2153" t="s">
        <v>1602</v>
      </c>
      <c r="L2153" t="s">
        <v>3517</v>
      </c>
      <c r="M2153" t="s">
        <v>1394</v>
      </c>
      <c r="N2153" s="166">
        <v>18.96</v>
      </c>
      <c r="O2153" t="s">
        <v>131</v>
      </c>
    </row>
    <row r="2154" spans="1:15">
      <c r="A2154" s="166" t="s">
        <v>10145</v>
      </c>
      <c r="B2154" t="s">
        <v>111</v>
      </c>
      <c r="C2154" t="s">
        <v>7474</v>
      </c>
      <c r="D2154" t="s">
        <v>118</v>
      </c>
      <c r="E2154" t="s">
        <v>2618</v>
      </c>
      <c r="F2154" t="s">
        <v>6</v>
      </c>
      <c r="G2154" t="s">
        <v>130</v>
      </c>
      <c r="H2154" s="1">
        <v>46133</v>
      </c>
      <c r="I2154" t="s">
        <v>10146</v>
      </c>
      <c r="J2154" t="s">
        <v>10147</v>
      </c>
      <c r="K2154" t="s">
        <v>3357</v>
      </c>
      <c r="L2154" t="s">
        <v>2523</v>
      </c>
      <c r="M2154" t="s">
        <v>1399</v>
      </c>
      <c r="N2154" s="166">
        <v>19.32</v>
      </c>
      <c r="O2154" t="s">
        <v>131</v>
      </c>
    </row>
    <row r="2155" spans="1:15">
      <c r="A2155" s="166" t="s">
        <v>10148</v>
      </c>
      <c r="B2155" t="s">
        <v>111</v>
      </c>
      <c r="C2155" t="s">
        <v>134</v>
      </c>
      <c r="D2155" t="s">
        <v>118</v>
      </c>
      <c r="E2155" t="s">
        <v>2618</v>
      </c>
      <c r="F2155" t="s">
        <v>6</v>
      </c>
      <c r="G2155" t="s">
        <v>130</v>
      </c>
      <c r="H2155" s="1">
        <v>46133</v>
      </c>
      <c r="I2155" t="s">
        <v>10149</v>
      </c>
      <c r="J2155" t="s">
        <v>10150</v>
      </c>
      <c r="K2155" t="s">
        <v>1322</v>
      </c>
      <c r="L2155" t="s">
        <v>974</v>
      </c>
      <c r="M2155" t="s">
        <v>1421</v>
      </c>
      <c r="N2155" s="166">
        <v>19.7</v>
      </c>
      <c r="O2155" t="s">
        <v>131</v>
      </c>
    </row>
    <row r="2156" spans="1:15">
      <c r="A2156" s="166" t="s">
        <v>10151</v>
      </c>
      <c r="B2156" t="s">
        <v>111</v>
      </c>
      <c r="C2156" t="s">
        <v>136</v>
      </c>
      <c r="D2156" t="s">
        <v>118</v>
      </c>
      <c r="E2156" t="s">
        <v>2618</v>
      </c>
      <c r="F2156" t="s">
        <v>6</v>
      </c>
      <c r="G2156" t="s">
        <v>130</v>
      </c>
      <c r="H2156" s="1">
        <v>46133</v>
      </c>
      <c r="I2156" t="s">
        <v>10152</v>
      </c>
      <c r="J2156" t="s">
        <v>10153</v>
      </c>
      <c r="K2156" t="s">
        <v>4263</v>
      </c>
      <c r="L2156" t="s">
        <v>1662</v>
      </c>
      <c r="M2156" t="s">
        <v>4148</v>
      </c>
      <c r="N2156" s="166">
        <v>17.899999999999999</v>
      </c>
      <c r="O2156" t="s">
        <v>131</v>
      </c>
    </row>
    <row r="2157" spans="1:15">
      <c r="A2157" s="166" t="s">
        <v>10154</v>
      </c>
      <c r="B2157" t="s">
        <v>111</v>
      </c>
      <c r="C2157" t="s">
        <v>406</v>
      </c>
      <c r="D2157" t="s">
        <v>118</v>
      </c>
      <c r="E2157" t="s">
        <v>139</v>
      </c>
      <c r="F2157" t="s">
        <v>6</v>
      </c>
      <c r="G2157" t="s">
        <v>130</v>
      </c>
      <c r="H2157" s="1">
        <v>46133</v>
      </c>
      <c r="I2157" t="s">
        <v>10155</v>
      </c>
      <c r="J2157" t="s">
        <v>10156</v>
      </c>
      <c r="K2157" t="s">
        <v>790</v>
      </c>
      <c r="L2157" t="s">
        <v>989</v>
      </c>
      <c r="M2157" t="s">
        <v>1315</v>
      </c>
      <c r="N2157" s="166">
        <v>19.28</v>
      </c>
      <c r="O2157" t="s">
        <v>131</v>
      </c>
    </row>
    <row r="2158" spans="1:15">
      <c r="A2158" s="166" t="s">
        <v>10157</v>
      </c>
      <c r="B2158" t="s">
        <v>111</v>
      </c>
      <c r="C2158" t="s">
        <v>133</v>
      </c>
      <c r="D2158" t="s">
        <v>118</v>
      </c>
      <c r="E2158" t="s">
        <v>139</v>
      </c>
      <c r="F2158" t="s">
        <v>6</v>
      </c>
      <c r="G2158" t="s">
        <v>130</v>
      </c>
      <c r="H2158" s="1">
        <v>46133</v>
      </c>
      <c r="I2158" t="s">
        <v>10158</v>
      </c>
      <c r="J2158" t="s">
        <v>10159</v>
      </c>
      <c r="K2158" t="s">
        <v>1262</v>
      </c>
      <c r="L2158" t="s">
        <v>465</v>
      </c>
      <c r="M2158" t="s">
        <v>2473</v>
      </c>
      <c r="N2158" s="166">
        <v>17.66</v>
      </c>
      <c r="O2158" t="s">
        <v>131</v>
      </c>
    </row>
    <row r="2159" spans="1:15">
      <c r="A2159" s="166" t="s">
        <v>10160</v>
      </c>
      <c r="B2159" t="s">
        <v>111</v>
      </c>
      <c r="C2159" t="s">
        <v>135</v>
      </c>
      <c r="D2159" t="s">
        <v>118</v>
      </c>
      <c r="E2159" t="s">
        <v>139</v>
      </c>
      <c r="F2159" t="s">
        <v>6</v>
      </c>
      <c r="G2159" t="s">
        <v>130</v>
      </c>
      <c r="H2159" s="1">
        <v>46133</v>
      </c>
      <c r="I2159" t="s">
        <v>10161</v>
      </c>
      <c r="J2159" t="s">
        <v>10162</v>
      </c>
      <c r="K2159" t="s">
        <v>1525</v>
      </c>
      <c r="L2159" t="s">
        <v>831</v>
      </c>
      <c r="M2159" t="s">
        <v>1233</v>
      </c>
      <c r="N2159" s="166">
        <v>19.86</v>
      </c>
      <c r="O2159" t="s">
        <v>131</v>
      </c>
    </row>
    <row r="2160" spans="1:15">
      <c r="A2160" s="166" t="s">
        <v>10163</v>
      </c>
      <c r="B2160" t="s">
        <v>111</v>
      </c>
      <c r="C2160" t="s">
        <v>2424</v>
      </c>
      <c r="D2160" t="s">
        <v>118</v>
      </c>
      <c r="E2160" t="s">
        <v>139</v>
      </c>
      <c r="F2160" t="s">
        <v>6</v>
      </c>
      <c r="G2160" t="s">
        <v>130</v>
      </c>
      <c r="H2160" s="1">
        <v>46133</v>
      </c>
      <c r="I2160" t="s">
        <v>10164</v>
      </c>
      <c r="J2160" t="s">
        <v>10165</v>
      </c>
      <c r="K2160" t="s">
        <v>4119</v>
      </c>
      <c r="L2160" t="s">
        <v>2572</v>
      </c>
      <c r="M2160" t="s">
        <v>422</v>
      </c>
      <c r="N2160" s="166">
        <v>20.420000000000002</v>
      </c>
      <c r="O2160" t="s">
        <v>131</v>
      </c>
    </row>
    <row r="2161" spans="1:15">
      <c r="A2161" s="166" t="s">
        <v>10166</v>
      </c>
      <c r="B2161" t="s">
        <v>111</v>
      </c>
      <c r="C2161" t="s">
        <v>7474</v>
      </c>
      <c r="D2161" t="s">
        <v>118</v>
      </c>
      <c r="E2161" t="s">
        <v>139</v>
      </c>
      <c r="F2161" t="s">
        <v>6</v>
      </c>
      <c r="G2161" t="s">
        <v>130</v>
      </c>
      <c r="H2161" s="1">
        <v>46133</v>
      </c>
      <c r="I2161" t="s">
        <v>10167</v>
      </c>
      <c r="J2161" t="s">
        <v>10168</v>
      </c>
      <c r="K2161" t="s">
        <v>1094</v>
      </c>
      <c r="L2161" t="s">
        <v>3350</v>
      </c>
      <c r="M2161" t="s">
        <v>731</v>
      </c>
      <c r="N2161" s="166">
        <v>20.82</v>
      </c>
      <c r="O2161" t="s">
        <v>131</v>
      </c>
    </row>
    <row r="2162" spans="1:15">
      <c r="A2162" s="166" t="s">
        <v>10169</v>
      </c>
      <c r="B2162" t="s">
        <v>111</v>
      </c>
      <c r="C2162" t="s">
        <v>134</v>
      </c>
      <c r="D2162" t="s">
        <v>118</v>
      </c>
      <c r="E2162" t="s">
        <v>139</v>
      </c>
      <c r="F2162" t="s">
        <v>6</v>
      </c>
      <c r="G2162" t="s">
        <v>130</v>
      </c>
      <c r="H2162" s="1">
        <v>46133</v>
      </c>
      <c r="I2162" t="s">
        <v>10170</v>
      </c>
      <c r="J2162" t="s">
        <v>10171</v>
      </c>
      <c r="K2162" t="s">
        <v>3960</v>
      </c>
      <c r="L2162" t="s">
        <v>974</v>
      </c>
      <c r="M2162" t="s">
        <v>1926</v>
      </c>
      <c r="N2162" s="166">
        <v>18.2</v>
      </c>
      <c r="O2162" t="s">
        <v>131</v>
      </c>
    </row>
    <row r="2163" spans="1:15">
      <c r="A2163" s="166" t="s">
        <v>10172</v>
      </c>
      <c r="B2163" t="s">
        <v>111</v>
      </c>
      <c r="C2163" t="s">
        <v>406</v>
      </c>
      <c r="D2163" t="s">
        <v>118</v>
      </c>
      <c r="E2163" t="s">
        <v>139</v>
      </c>
      <c r="F2163" t="s">
        <v>6</v>
      </c>
      <c r="G2163" t="s">
        <v>130</v>
      </c>
      <c r="H2163" s="1">
        <v>46133</v>
      </c>
      <c r="I2163" t="s">
        <v>10173</v>
      </c>
      <c r="J2163" t="s">
        <v>10174</v>
      </c>
      <c r="K2163" t="s">
        <v>2383</v>
      </c>
      <c r="L2163" t="s">
        <v>989</v>
      </c>
      <c r="M2163" t="s">
        <v>2523</v>
      </c>
      <c r="N2163" s="166">
        <v>17.5</v>
      </c>
      <c r="O2163" t="s">
        <v>131</v>
      </c>
    </row>
    <row r="2164" spans="1:15">
      <c r="A2164" s="166" t="s">
        <v>10175</v>
      </c>
      <c r="B2164" t="s">
        <v>111</v>
      </c>
      <c r="C2164" t="s">
        <v>133</v>
      </c>
      <c r="D2164" t="s">
        <v>118</v>
      </c>
      <c r="E2164" t="s">
        <v>139</v>
      </c>
      <c r="F2164" t="s">
        <v>6</v>
      </c>
      <c r="G2164" t="s">
        <v>130</v>
      </c>
      <c r="H2164" s="1">
        <v>46133</v>
      </c>
      <c r="I2164" t="s">
        <v>10176</v>
      </c>
      <c r="J2164" t="s">
        <v>10177</v>
      </c>
      <c r="K2164" t="s">
        <v>3011</v>
      </c>
      <c r="L2164" t="s">
        <v>1177</v>
      </c>
      <c r="M2164" t="s">
        <v>3813</v>
      </c>
      <c r="N2164" s="166">
        <v>16.46</v>
      </c>
      <c r="O2164" t="s">
        <v>131</v>
      </c>
    </row>
    <row r="2165" spans="1:15">
      <c r="A2165" s="166" t="s">
        <v>10178</v>
      </c>
      <c r="B2165" t="s">
        <v>111</v>
      </c>
      <c r="C2165" t="s">
        <v>136</v>
      </c>
      <c r="D2165" t="s">
        <v>118</v>
      </c>
      <c r="E2165" t="s">
        <v>139</v>
      </c>
      <c r="F2165" t="s">
        <v>6</v>
      </c>
      <c r="G2165" t="s">
        <v>130</v>
      </c>
      <c r="H2165" s="1">
        <v>46133</v>
      </c>
      <c r="I2165" t="s">
        <v>10179</v>
      </c>
      <c r="J2165" t="s">
        <v>10180</v>
      </c>
      <c r="K2165" t="s">
        <v>426</v>
      </c>
      <c r="L2165" t="s">
        <v>1662</v>
      </c>
      <c r="M2165" t="s">
        <v>2402</v>
      </c>
      <c r="N2165" s="166">
        <v>20.04</v>
      </c>
      <c r="O2165" t="s">
        <v>131</v>
      </c>
    </row>
    <row r="2166" spans="1:15">
      <c r="A2166" s="166" t="s">
        <v>10181</v>
      </c>
      <c r="B2166" t="s">
        <v>111</v>
      </c>
      <c r="C2166" t="s">
        <v>135</v>
      </c>
      <c r="D2166" t="s">
        <v>118</v>
      </c>
      <c r="E2166" t="s">
        <v>139</v>
      </c>
      <c r="F2166" t="s">
        <v>6</v>
      </c>
      <c r="G2166" t="s">
        <v>130</v>
      </c>
      <c r="H2166" s="1">
        <v>46133</v>
      </c>
      <c r="I2166" t="s">
        <v>10182</v>
      </c>
      <c r="J2166" t="s">
        <v>10183</v>
      </c>
      <c r="K2166" t="s">
        <v>3818</v>
      </c>
      <c r="L2166" t="s">
        <v>772</v>
      </c>
      <c r="M2166" t="s">
        <v>2639</v>
      </c>
      <c r="N2166" s="166">
        <v>17.579999999999998</v>
      </c>
      <c r="O2166" t="s">
        <v>131</v>
      </c>
    </row>
    <row r="2167" spans="1:15">
      <c r="A2167" s="166" t="s">
        <v>10184</v>
      </c>
      <c r="B2167" t="s">
        <v>111</v>
      </c>
      <c r="C2167" t="s">
        <v>2424</v>
      </c>
      <c r="D2167" t="s">
        <v>118</v>
      </c>
      <c r="E2167" t="s">
        <v>139</v>
      </c>
      <c r="F2167" t="s">
        <v>6</v>
      </c>
      <c r="G2167" t="s">
        <v>130</v>
      </c>
      <c r="H2167" s="1">
        <v>46133</v>
      </c>
      <c r="I2167" t="s">
        <v>10185</v>
      </c>
      <c r="J2167" t="s">
        <v>10186</v>
      </c>
      <c r="K2167" t="s">
        <v>2023</v>
      </c>
      <c r="L2167" t="s">
        <v>4662</v>
      </c>
      <c r="M2167" t="s">
        <v>2019</v>
      </c>
      <c r="N2167" s="166">
        <v>17.12</v>
      </c>
      <c r="O2167" t="s">
        <v>131</v>
      </c>
    </row>
    <row r="2168" spans="1:15">
      <c r="A2168" s="166" t="s">
        <v>10187</v>
      </c>
      <c r="B2168" t="s">
        <v>111</v>
      </c>
      <c r="C2168" t="s">
        <v>7474</v>
      </c>
      <c r="D2168" t="s">
        <v>118</v>
      </c>
      <c r="E2168" t="s">
        <v>139</v>
      </c>
      <c r="F2168" t="s">
        <v>6</v>
      </c>
      <c r="G2168" t="s">
        <v>130</v>
      </c>
      <c r="H2168" s="1">
        <v>46133</v>
      </c>
      <c r="I2168" t="s">
        <v>10188</v>
      </c>
      <c r="J2168" t="s">
        <v>10189</v>
      </c>
      <c r="K2168" t="s">
        <v>1965</v>
      </c>
      <c r="L2168" t="s">
        <v>2532</v>
      </c>
      <c r="M2168" t="s">
        <v>1926</v>
      </c>
      <c r="N2168" s="166">
        <v>18.2</v>
      </c>
      <c r="O2168" t="s">
        <v>131</v>
      </c>
    </row>
    <row r="2169" spans="1:15">
      <c r="A2169" s="166" t="s">
        <v>10190</v>
      </c>
      <c r="B2169" t="s">
        <v>111</v>
      </c>
      <c r="C2169" t="s">
        <v>406</v>
      </c>
      <c r="D2169" t="s">
        <v>118</v>
      </c>
      <c r="E2169" t="s">
        <v>139</v>
      </c>
      <c r="F2169" t="s">
        <v>6</v>
      </c>
      <c r="G2169" t="s">
        <v>130</v>
      </c>
      <c r="H2169" s="1">
        <v>46133</v>
      </c>
      <c r="I2169" t="s">
        <v>10191</v>
      </c>
      <c r="J2169" t="s">
        <v>10192</v>
      </c>
      <c r="K2169" t="s">
        <v>825</v>
      </c>
      <c r="L2169" t="s">
        <v>720</v>
      </c>
      <c r="M2169" t="s">
        <v>2175</v>
      </c>
      <c r="N2169" s="166">
        <v>19.760000000000002</v>
      </c>
      <c r="O2169" t="s">
        <v>131</v>
      </c>
    </row>
    <row r="2170" spans="1:15">
      <c r="A2170" s="166" t="s">
        <v>1774</v>
      </c>
      <c r="B2170" t="s">
        <v>111</v>
      </c>
      <c r="C2170" t="s">
        <v>134</v>
      </c>
      <c r="D2170" t="s">
        <v>118</v>
      </c>
      <c r="E2170" t="s">
        <v>139</v>
      </c>
      <c r="F2170" t="s">
        <v>6</v>
      </c>
      <c r="G2170" t="s">
        <v>130</v>
      </c>
      <c r="H2170" s="1">
        <v>46133</v>
      </c>
      <c r="I2170" t="s">
        <v>10193</v>
      </c>
      <c r="J2170" t="s">
        <v>10194</v>
      </c>
      <c r="K2170" t="s">
        <v>2079</v>
      </c>
      <c r="L2170" t="s">
        <v>1072</v>
      </c>
      <c r="M2170" t="s">
        <v>3098</v>
      </c>
      <c r="N2170" s="166">
        <v>22.2</v>
      </c>
      <c r="O2170" t="s">
        <v>131</v>
      </c>
    </row>
    <row r="2171" spans="1:15">
      <c r="A2171" s="166" t="s">
        <v>10195</v>
      </c>
      <c r="B2171" t="s">
        <v>111</v>
      </c>
      <c r="C2171" t="s">
        <v>133</v>
      </c>
      <c r="D2171" t="s">
        <v>116</v>
      </c>
      <c r="E2171" t="s">
        <v>418</v>
      </c>
      <c r="F2171" t="s">
        <v>6</v>
      </c>
      <c r="G2171" t="s">
        <v>130</v>
      </c>
      <c r="H2171" s="1">
        <v>46133</v>
      </c>
      <c r="I2171" t="s">
        <v>10196</v>
      </c>
      <c r="J2171" t="s">
        <v>10197</v>
      </c>
      <c r="K2171" t="s">
        <v>4728</v>
      </c>
      <c r="L2171" t="s">
        <v>465</v>
      </c>
      <c r="M2171" t="s">
        <v>3311</v>
      </c>
      <c r="N2171" s="166">
        <v>23.64</v>
      </c>
      <c r="O2171" t="s">
        <v>131</v>
      </c>
    </row>
    <row r="2172" spans="1:15">
      <c r="A2172" s="166" t="s">
        <v>10198</v>
      </c>
      <c r="B2172" t="s">
        <v>111</v>
      </c>
      <c r="C2172" t="s">
        <v>135</v>
      </c>
      <c r="D2172" t="s">
        <v>118</v>
      </c>
      <c r="E2172" t="s">
        <v>139</v>
      </c>
      <c r="F2172" t="s">
        <v>6</v>
      </c>
      <c r="G2172" t="s">
        <v>130</v>
      </c>
      <c r="H2172" s="1">
        <v>46133</v>
      </c>
      <c r="I2172" t="s">
        <v>10199</v>
      </c>
      <c r="J2172" t="s">
        <v>10200</v>
      </c>
      <c r="K2172" t="s">
        <v>3524</v>
      </c>
      <c r="L2172" t="s">
        <v>786</v>
      </c>
      <c r="M2172" t="s">
        <v>5753</v>
      </c>
      <c r="N2172" s="166">
        <v>21.58</v>
      </c>
      <c r="O2172" t="s">
        <v>131</v>
      </c>
    </row>
    <row r="2173" spans="1:15">
      <c r="A2173" s="166" t="s">
        <v>10201</v>
      </c>
      <c r="B2173" t="s">
        <v>111</v>
      </c>
      <c r="C2173" t="s">
        <v>2424</v>
      </c>
      <c r="D2173" t="s">
        <v>118</v>
      </c>
      <c r="E2173" t="s">
        <v>139</v>
      </c>
      <c r="F2173" t="s">
        <v>6</v>
      </c>
      <c r="G2173" t="s">
        <v>130</v>
      </c>
      <c r="H2173" s="1">
        <v>46133</v>
      </c>
      <c r="I2173" t="s">
        <v>10202</v>
      </c>
      <c r="J2173" t="s">
        <v>10203</v>
      </c>
      <c r="K2173" t="s">
        <v>1342</v>
      </c>
      <c r="L2173" t="s">
        <v>1823</v>
      </c>
      <c r="M2173" t="s">
        <v>147</v>
      </c>
      <c r="N2173" s="166">
        <v>16.84</v>
      </c>
      <c r="O2173" t="s">
        <v>131</v>
      </c>
    </row>
    <row r="2174" spans="1:15">
      <c r="A2174" s="166" t="s">
        <v>10204</v>
      </c>
      <c r="B2174" t="s">
        <v>111</v>
      </c>
      <c r="C2174" t="s">
        <v>7474</v>
      </c>
      <c r="D2174" t="s">
        <v>118</v>
      </c>
      <c r="E2174" t="s">
        <v>139</v>
      </c>
      <c r="F2174" t="s">
        <v>6</v>
      </c>
      <c r="G2174" t="s">
        <v>130</v>
      </c>
      <c r="H2174" s="1">
        <v>46133</v>
      </c>
      <c r="I2174" t="s">
        <v>10205</v>
      </c>
      <c r="J2174" t="s">
        <v>10206</v>
      </c>
      <c r="K2174" t="s">
        <v>1201</v>
      </c>
      <c r="L2174" t="s">
        <v>1823</v>
      </c>
      <c r="M2174" t="s">
        <v>1338</v>
      </c>
      <c r="N2174" s="166">
        <v>19.84</v>
      </c>
      <c r="O2174" t="s">
        <v>131</v>
      </c>
    </row>
    <row r="2175" spans="1:15">
      <c r="A2175" s="166" t="s">
        <v>10207</v>
      </c>
      <c r="B2175" t="s">
        <v>111</v>
      </c>
      <c r="C2175" t="s">
        <v>406</v>
      </c>
      <c r="D2175" t="s">
        <v>118</v>
      </c>
      <c r="E2175" t="s">
        <v>139</v>
      </c>
      <c r="F2175" t="s">
        <v>6</v>
      </c>
      <c r="G2175" t="s">
        <v>130</v>
      </c>
      <c r="H2175" s="1">
        <v>46133</v>
      </c>
      <c r="I2175" t="s">
        <v>10208</v>
      </c>
      <c r="J2175" t="s">
        <v>10209</v>
      </c>
      <c r="K2175" t="s">
        <v>1948</v>
      </c>
      <c r="L2175" t="s">
        <v>1503</v>
      </c>
      <c r="M2175" t="s">
        <v>1797</v>
      </c>
      <c r="N2175" s="166">
        <v>20.260000000000002</v>
      </c>
      <c r="O2175" t="s">
        <v>131</v>
      </c>
    </row>
    <row r="2176" spans="1:15">
      <c r="A2176" s="166" t="s">
        <v>10210</v>
      </c>
      <c r="B2176" t="s">
        <v>111</v>
      </c>
      <c r="C2176" t="s">
        <v>134</v>
      </c>
      <c r="D2176" t="s">
        <v>116</v>
      </c>
      <c r="E2176" t="s">
        <v>418</v>
      </c>
      <c r="F2176" t="s">
        <v>6</v>
      </c>
      <c r="G2176" t="s">
        <v>130</v>
      </c>
      <c r="H2176" s="1">
        <v>46133</v>
      </c>
      <c r="I2176" t="s">
        <v>10208</v>
      </c>
      <c r="J2176" t="s">
        <v>10208</v>
      </c>
      <c r="K2176" t="s">
        <v>1976</v>
      </c>
      <c r="L2176" t="s">
        <v>1503</v>
      </c>
      <c r="M2176" t="s">
        <v>3646</v>
      </c>
      <c r="N2176" s="166">
        <v>20</v>
      </c>
      <c r="O2176" t="s">
        <v>232</v>
      </c>
    </row>
    <row r="2177" spans="1:15">
      <c r="A2177" s="166" t="s">
        <v>10211</v>
      </c>
      <c r="B2177" t="s">
        <v>111</v>
      </c>
      <c r="C2177" t="s">
        <v>406</v>
      </c>
      <c r="D2177" t="s">
        <v>116</v>
      </c>
      <c r="E2177" t="s">
        <v>418</v>
      </c>
      <c r="F2177" t="s">
        <v>6</v>
      </c>
      <c r="G2177" t="s">
        <v>130</v>
      </c>
      <c r="H2177" s="1">
        <v>46133</v>
      </c>
      <c r="I2177" t="s">
        <v>10208</v>
      </c>
      <c r="J2177" t="s">
        <v>10208</v>
      </c>
      <c r="K2177" t="s">
        <v>1976</v>
      </c>
      <c r="L2177" t="s">
        <v>1503</v>
      </c>
      <c r="M2177" t="s">
        <v>3646</v>
      </c>
      <c r="N2177" s="166">
        <v>20</v>
      </c>
      <c r="O2177" t="s">
        <v>232</v>
      </c>
    </row>
    <row r="2178" spans="1:15">
      <c r="A2178" s="166" t="s">
        <v>10212</v>
      </c>
      <c r="B2178" t="s">
        <v>111</v>
      </c>
      <c r="C2178" t="s">
        <v>133</v>
      </c>
      <c r="D2178" t="s">
        <v>116</v>
      </c>
      <c r="E2178" t="s">
        <v>418</v>
      </c>
      <c r="F2178" t="s">
        <v>6</v>
      </c>
      <c r="G2178" t="s">
        <v>130</v>
      </c>
      <c r="H2178" s="1">
        <v>46133</v>
      </c>
      <c r="I2178" t="s">
        <v>10208</v>
      </c>
      <c r="J2178" t="s">
        <v>10208</v>
      </c>
      <c r="K2178" t="s">
        <v>1976</v>
      </c>
      <c r="L2178" t="s">
        <v>1503</v>
      </c>
      <c r="M2178" t="s">
        <v>3646</v>
      </c>
      <c r="N2178" s="166">
        <v>20</v>
      </c>
      <c r="O2178" t="s">
        <v>232</v>
      </c>
    </row>
    <row r="2179" spans="1:15">
      <c r="A2179" s="166" t="s">
        <v>10213</v>
      </c>
      <c r="B2179" t="s">
        <v>111</v>
      </c>
      <c r="C2179" t="s">
        <v>136</v>
      </c>
      <c r="D2179" t="s">
        <v>116</v>
      </c>
      <c r="E2179" t="s">
        <v>418</v>
      </c>
      <c r="F2179" t="s">
        <v>6</v>
      </c>
      <c r="G2179" t="s">
        <v>130</v>
      </c>
      <c r="H2179" s="1">
        <v>46133</v>
      </c>
      <c r="I2179" t="s">
        <v>10208</v>
      </c>
      <c r="J2179" t="s">
        <v>10208</v>
      </c>
      <c r="K2179" t="s">
        <v>1976</v>
      </c>
      <c r="L2179" t="s">
        <v>1503</v>
      </c>
      <c r="M2179" t="s">
        <v>3646</v>
      </c>
      <c r="N2179" s="166">
        <v>20</v>
      </c>
      <c r="O2179" t="s">
        <v>232</v>
      </c>
    </row>
    <row r="2180" spans="1:15">
      <c r="A2180" s="166" t="s">
        <v>10214</v>
      </c>
      <c r="B2180" t="s">
        <v>111</v>
      </c>
      <c r="C2180" t="s">
        <v>135</v>
      </c>
      <c r="D2180" t="s">
        <v>116</v>
      </c>
      <c r="E2180" t="s">
        <v>418</v>
      </c>
      <c r="F2180" t="s">
        <v>6</v>
      </c>
      <c r="G2180" t="s">
        <v>130</v>
      </c>
      <c r="H2180" s="1">
        <v>46133</v>
      </c>
      <c r="I2180" t="s">
        <v>10208</v>
      </c>
      <c r="J2180" t="s">
        <v>10208</v>
      </c>
      <c r="K2180" t="s">
        <v>1976</v>
      </c>
      <c r="L2180" t="s">
        <v>1503</v>
      </c>
      <c r="M2180" t="s">
        <v>3646</v>
      </c>
      <c r="N2180" s="166">
        <v>20</v>
      </c>
      <c r="O2180" t="s">
        <v>232</v>
      </c>
    </row>
    <row r="2181" spans="1:15">
      <c r="A2181" s="166" t="s">
        <v>10215</v>
      </c>
      <c r="B2181" t="s">
        <v>111</v>
      </c>
      <c r="C2181" t="s">
        <v>2424</v>
      </c>
      <c r="D2181" t="s">
        <v>118</v>
      </c>
      <c r="E2181" t="s">
        <v>139</v>
      </c>
      <c r="F2181" t="s">
        <v>6</v>
      </c>
      <c r="G2181" t="s">
        <v>130</v>
      </c>
      <c r="H2181" s="1">
        <v>46133</v>
      </c>
      <c r="I2181" t="s">
        <v>10208</v>
      </c>
      <c r="J2181" t="s">
        <v>10208</v>
      </c>
      <c r="K2181" t="s">
        <v>1976</v>
      </c>
      <c r="L2181" t="s">
        <v>1503</v>
      </c>
      <c r="M2181" t="s">
        <v>3646</v>
      </c>
      <c r="N2181" s="166">
        <v>20</v>
      </c>
      <c r="O2181" t="s">
        <v>232</v>
      </c>
    </row>
    <row r="2182" spans="1:15">
      <c r="A2182" s="166" t="s">
        <v>10216</v>
      </c>
      <c r="B2182" t="s">
        <v>111</v>
      </c>
      <c r="C2182" t="s">
        <v>7474</v>
      </c>
      <c r="D2182" t="s">
        <v>118</v>
      </c>
      <c r="E2182" t="s">
        <v>139</v>
      </c>
      <c r="F2182" t="s">
        <v>6</v>
      </c>
      <c r="G2182" t="s">
        <v>130</v>
      </c>
      <c r="H2182" s="1">
        <v>46133</v>
      </c>
      <c r="I2182" t="s">
        <v>10208</v>
      </c>
      <c r="J2182" t="s">
        <v>10208</v>
      </c>
      <c r="K2182" t="s">
        <v>1976</v>
      </c>
      <c r="L2182" t="s">
        <v>1503</v>
      </c>
      <c r="M2182" t="s">
        <v>3646</v>
      </c>
      <c r="N2182" s="166">
        <v>20</v>
      </c>
      <c r="O2182" t="s">
        <v>232</v>
      </c>
    </row>
    <row r="2183" spans="1:15">
      <c r="A2183" s="166" t="s">
        <v>10217</v>
      </c>
      <c r="B2183" t="s">
        <v>111</v>
      </c>
      <c r="C2183" t="s">
        <v>406</v>
      </c>
      <c r="D2183" t="s">
        <v>118</v>
      </c>
      <c r="E2183" t="s">
        <v>139</v>
      </c>
      <c r="F2183" t="s">
        <v>6</v>
      </c>
      <c r="G2183" t="s">
        <v>130</v>
      </c>
      <c r="H2183" s="1">
        <v>46133</v>
      </c>
      <c r="I2183" t="s">
        <v>10208</v>
      </c>
      <c r="J2183" t="s">
        <v>10208</v>
      </c>
      <c r="K2183" t="s">
        <v>1976</v>
      </c>
      <c r="L2183" t="s">
        <v>1503</v>
      </c>
      <c r="M2183" t="s">
        <v>3646</v>
      </c>
      <c r="N2183" s="166">
        <v>20</v>
      </c>
      <c r="O2183" t="s">
        <v>232</v>
      </c>
    </row>
    <row r="2184" spans="1:15">
      <c r="A2184" s="166" t="s">
        <v>10218</v>
      </c>
      <c r="B2184" t="s">
        <v>111</v>
      </c>
      <c r="C2184" t="s">
        <v>134</v>
      </c>
      <c r="D2184" t="s">
        <v>118</v>
      </c>
      <c r="E2184" t="s">
        <v>139</v>
      </c>
      <c r="F2184" t="s">
        <v>6</v>
      </c>
      <c r="G2184" t="s">
        <v>130</v>
      </c>
      <c r="H2184" s="1">
        <v>46133</v>
      </c>
      <c r="I2184" t="s">
        <v>10208</v>
      </c>
      <c r="J2184" t="s">
        <v>10208</v>
      </c>
      <c r="K2184" t="s">
        <v>1976</v>
      </c>
      <c r="L2184" t="s">
        <v>1503</v>
      </c>
      <c r="M2184" t="s">
        <v>3646</v>
      </c>
      <c r="N2184" s="166">
        <v>20</v>
      </c>
      <c r="O2184" t="s">
        <v>232</v>
      </c>
    </row>
    <row r="2185" spans="1:15">
      <c r="A2185" s="166" t="s">
        <v>10219</v>
      </c>
      <c r="B2185" t="s">
        <v>111</v>
      </c>
      <c r="C2185" t="s">
        <v>133</v>
      </c>
      <c r="D2185" t="s">
        <v>118</v>
      </c>
      <c r="E2185" t="s">
        <v>139</v>
      </c>
      <c r="F2185" t="s">
        <v>6</v>
      </c>
      <c r="G2185" t="s">
        <v>130</v>
      </c>
      <c r="H2185" s="1">
        <v>46133</v>
      </c>
      <c r="I2185" t="s">
        <v>10208</v>
      </c>
      <c r="J2185" t="s">
        <v>10208</v>
      </c>
      <c r="K2185" t="s">
        <v>1976</v>
      </c>
      <c r="L2185" t="s">
        <v>1503</v>
      </c>
      <c r="M2185" t="s">
        <v>3646</v>
      </c>
      <c r="N2185" s="166">
        <v>20</v>
      </c>
      <c r="O2185" t="s">
        <v>232</v>
      </c>
    </row>
    <row r="2186" spans="1:15">
      <c r="A2186" s="166" t="s">
        <v>10220</v>
      </c>
      <c r="B2186" t="s">
        <v>111</v>
      </c>
      <c r="C2186" t="s">
        <v>135</v>
      </c>
      <c r="D2186" t="s">
        <v>118</v>
      </c>
      <c r="E2186" t="s">
        <v>139</v>
      </c>
      <c r="F2186" t="s">
        <v>6</v>
      </c>
      <c r="G2186" t="s">
        <v>130</v>
      </c>
      <c r="H2186" s="1">
        <v>46133</v>
      </c>
      <c r="I2186" t="s">
        <v>10208</v>
      </c>
      <c r="J2186" t="s">
        <v>10208</v>
      </c>
      <c r="K2186" t="s">
        <v>1976</v>
      </c>
      <c r="L2186" t="s">
        <v>1503</v>
      </c>
      <c r="M2186" t="s">
        <v>3646</v>
      </c>
      <c r="N2186" s="166">
        <v>20</v>
      </c>
      <c r="O2186" t="s">
        <v>232</v>
      </c>
    </row>
    <row r="2187" spans="1:15">
      <c r="A2187" s="166" t="s">
        <v>10221</v>
      </c>
      <c r="B2187" t="s">
        <v>111</v>
      </c>
      <c r="C2187" t="s">
        <v>2424</v>
      </c>
      <c r="D2187" t="s">
        <v>118</v>
      </c>
      <c r="E2187" t="s">
        <v>139</v>
      </c>
      <c r="F2187" t="s">
        <v>6</v>
      </c>
      <c r="G2187" t="s">
        <v>130</v>
      </c>
      <c r="H2187" s="1">
        <v>46133</v>
      </c>
      <c r="I2187" t="s">
        <v>10208</v>
      </c>
      <c r="J2187" t="s">
        <v>10208</v>
      </c>
      <c r="K2187" t="s">
        <v>1976</v>
      </c>
      <c r="L2187" t="s">
        <v>1503</v>
      </c>
      <c r="M2187" t="s">
        <v>3646</v>
      </c>
      <c r="N2187" s="166">
        <v>20</v>
      </c>
      <c r="O2187" t="s">
        <v>232</v>
      </c>
    </row>
    <row r="2188" spans="1:15">
      <c r="A2188" s="166" t="s">
        <v>10222</v>
      </c>
      <c r="B2188" t="s">
        <v>111</v>
      </c>
      <c r="C2188" t="s">
        <v>7474</v>
      </c>
      <c r="D2188" t="s">
        <v>118</v>
      </c>
      <c r="E2188" t="s">
        <v>139</v>
      </c>
      <c r="F2188" t="s">
        <v>6</v>
      </c>
      <c r="G2188" t="s">
        <v>130</v>
      </c>
      <c r="H2188" s="1">
        <v>46133</v>
      </c>
      <c r="I2188" t="s">
        <v>10208</v>
      </c>
      <c r="J2188" t="s">
        <v>10208</v>
      </c>
      <c r="K2188" t="s">
        <v>1976</v>
      </c>
      <c r="L2188" t="s">
        <v>1503</v>
      </c>
      <c r="M2188" t="s">
        <v>3646</v>
      </c>
      <c r="N2188" s="166">
        <v>20</v>
      </c>
      <c r="O2188" t="s">
        <v>232</v>
      </c>
    </row>
    <row r="2189" spans="1:15">
      <c r="A2189" s="166" t="s">
        <v>10223</v>
      </c>
      <c r="B2189" t="s">
        <v>111</v>
      </c>
      <c r="C2189" t="s">
        <v>406</v>
      </c>
      <c r="D2189" t="s">
        <v>118</v>
      </c>
      <c r="E2189" t="s">
        <v>139</v>
      </c>
      <c r="F2189" t="s">
        <v>6</v>
      </c>
      <c r="G2189" t="s">
        <v>130</v>
      </c>
      <c r="H2189" s="1">
        <v>46133</v>
      </c>
      <c r="I2189" t="s">
        <v>10208</v>
      </c>
      <c r="J2189" t="s">
        <v>10208</v>
      </c>
      <c r="K2189" t="s">
        <v>1976</v>
      </c>
      <c r="L2189" t="s">
        <v>1503</v>
      </c>
      <c r="M2189" t="s">
        <v>3646</v>
      </c>
      <c r="N2189" s="166">
        <v>20</v>
      </c>
      <c r="O2189" t="s">
        <v>232</v>
      </c>
    </row>
    <row r="2190" spans="1:15">
      <c r="A2190" s="166" t="s">
        <v>10224</v>
      </c>
      <c r="B2190" t="s">
        <v>111</v>
      </c>
      <c r="C2190" t="s">
        <v>134</v>
      </c>
      <c r="D2190" t="s">
        <v>118</v>
      </c>
      <c r="E2190" t="s">
        <v>139</v>
      </c>
      <c r="F2190" t="s">
        <v>6</v>
      </c>
      <c r="G2190" t="s">
        <v>130</v>
      </c>
      <c r="H2190" s="1">
        <v>46133</v>
      </c>
      <c r="I2190" t="s">
        <v>10208</v>
      </c>
      <c r="J2190" t="s">
        <v>10208</v>
      </c>
      <c r="K2190" t="s">
        <v>1976</v>
      </c>
      <c r="L2190" t="s">
        <v>1503</v>
      </c>
      <c r="M2190" t="s">
        <v>3646</v>
      </c>
      <c r="N2190" s="166">
        <v>20</v>
      </c>
      <c r="O2190" t="s">
        <v>232</v>
      </c>
    </row>
    <row r="2191" spans="1:15">
      <c r="A2191" s="166" t="s">
        <v>607</v>
      </c>
      <c r="B2191" t="s">
        <v>111</v>
      </c>
      <c r="C2191" t="s">
        <v>406</v>
      </c>
      <c r="D2191" t="s">
        <v>118</v>
      </c>
      <c r="E2191" t="s">
        <v>558</v>
      </c>
      <c r="F2191" t="s">
        <v>7</v>
      </c>
      <c r="G2191" t="s">
        <v>130</v>
      </c>
      <c r="H2191" s="1">
        <v>46115</v>
      </c>
      <c r="I2191" t="s">
        <v>608</v>
      </c>
      <c r="J2191" t="s">
        <v>609</v>
      </c>
      <c r="K2191" t="s">
        <v>610</v>
      </c>
      <c r="L2191" t="s">
        <v>611</v>
      </c>
      <c r="M2191" t="s">
        <v>575</v>
      </c>
      <c r="N2191" s="166">
        <v>21.48</v>
      </c>
      <c r="O2191" t="s">
        <v>131</v>
      </c>
    </row>
    <row r="2192" spans="1:15">
      <c r="A2192" s="166" t="s">
        <v>612</v>
      </c>
      <c r="B2192" t="s">
        <v>111</v>
      </c>
      <c r="C2192" t="s">
        <v>133</v>
      </c>
      <c r="D2192" t="s">
        <v>118</v>
      </c>
      <c r="E2192" t="s">
        <v>558</v>
      </c>
      <c r="F2192" t="s">
        <v>7</v>
      </c>
      <c r="G2192" t="s">
        <v>130</v>
      </c>
      <c r="H2192" s="1">
        <v>46115</v>
      </c>
      <c r="I2192" t="s">
        <v>613</v>
      </c>
      <c r="J2192" t="s">
        <v>614</v>
      </c>
      <c r="K2192" t="s">
        <v>615</v>
      </c>
      <c r="L2192" t="s">
        <v>616</v>
      </c>
      <c r="M2192" t="s">
        <v>617</v>
      </c>
      <c r="N2192" s="166">
        <v>20.02</v>
      </c>
      <c r="O2192" t="s">
        <v>131</v>
      </c>
    </row>
    <row r="2193" spans="1:15">
      <c r="A2193" s="166" t="s">
        <v>618</v>
      </c>
      <c r="B2193" t="s">
        <v>111</v>
      </c>
      <c r="C2193" t="s">
        <v>135</v>
      </c>
      <c r="D2193" t="s">
        <v>118</v>
      </c>
      <c r="E2193" t="s">
        <v>558</v>
      </c>
      <c r="F2193" t="s">
        <v>7</v>
      </c>
      <c r="G2193" t="s">
        <v>130</v>
      </c>
      <c r="H2193" s="1">
        <v>46115</v>
      </c>
      <c r="I2193" t="s">
        <v>619</v>
      </c>
      <c r="J2193" t="s">
        <v>620</v>
      </c>
      <c r="K2193" t="s">
        <v>621</v>
      </c>
      <c r="L2193" t="s">
        <v>622</v>
      </c>
      <c r="M2193" t="s">
        <v>623</v>
      </c>
      <c r="N2193" s="166">
        <v>20.86</v>
      </c>
      <c r="O2193" t="s">
        <v>131</v>
      </c>
    </row>
    <row r="2194" spans="1:15">
      <c r="A2194" s="166" t="s">
        <v>624</v>
      </c>
      <c r="B2194" t="s">
        <v>111</v>
      </c>
      <c r="C2194" t="s">
        <v>133</v>
      </c>
      <c r="D2194" t="s">
        <v>118</v>
      </c>
      <c r="E2194" t="s">
        <v>558</v>
      </c>
      <c r="F2194" t="s">
        <v>7</v>
      </c>
      <c r="G2194" t="s">
        <v>130</v>
      </c>
      <c r="H2194" s="1">
        <v>46115</v>
      </c>
      <c r="I2194" t="s">
        <v>625</v>
      </c>
      <c r="J2194" t="s">
        <v>626</v>
      </c>
      <c r="K2194" t="s">
        <v>627</v>
      </c>
      <c r="L2194" t="s">
        <v>616</v>
      </c>
      <c r="M2194" t="s">
        <v>628</v>
      </c>
      <c r="N2194" s="166">
        <v>20.48</v>
      </c>
      <c r="O2194" t="s">
        <v>131</v>
      </c>
    </row>
    <row r="2195" spans="1:15">
      <c r="A2195" s="166" t="s">
        <v>629</v>
      </c>
      <c r="B2195" t="s">
        <v>111</v>
      </c>
      <c r="C2195" t="s">
        <v>136</v>
      </c>
      <c r="D2195" t="s">
        <v>118</v>
      </c>
      <c r="E2195" t="s">
        <v>558</v>
      </c>
      <c r="F2195" t="s">
        <v>7</v>
      </c>
      <c r="G2195" t="s">
        <v>130</v>
      </c>
      <c r="H2195" s="1">
        <v>46115</v>
      </c>
      <c r="I2195" t="s">
        <v>630</v>
      </c>
      <c r="J2195" t="s">
        <v>631</v>
      </c>
      <c r="K2195" t="s">
        <v>632</v>
      </c>
      <c r="L2195" t="s">
        <v>633</v>
      </c>
      <c r="M2195" t="s">
        <v>634</v>
      </c>
      <c r="N2195" s="166">
        <v>21.06</v>
      </c>
      <c r="O2195" t="s">
        <v>131</v>
      </c>
    </row>
    <row r="2196" spans="1:15">
      <c r="A2196" s="166" t="s">
        <v>635</v>
      </c>
      <c r="B2196" t="s">
        <v>111</v>
      </c>
      <c r="C2196" t="s">
        <v>135</v>
      </c>
      <c r="D2196" t="s">
        <v>118</v>
      </c>
      <c r="E2196" t="s">
        <v>558</v>
      </c>
      <c r="F2196" t="s">
        <v>7</v>
      </c>
      <c r="G2196" t="s">
        <v>130</v>
      </c>
      <c r="H2196" s="1">
        <v>46115</v>
      </c>
      <c r="I2196" t="s">
        <v>636</v>
      </c>
      <c r="J2196" t="s">
        <v>637</v>
      </c>
      <c r="K2196" t="s">
        <v>638</v>
      </c>
      <c r="L2196" t="s">
        <v>622</v>
      </c>
      <c r="M2196" t="s">
        <v>639</v>
      </c>
      <c r="N2196" s="166">
        <v>21.02</v>
      </c>
      <c r="O2196" t="s">
        <v>131</v>
      </c>
    </row>
    <row r="2197" spans="1:15">
      <c r="A2197" s="166" t="s">
        <v>640</v>
      </c>
      <c r="B2197" t="s">
        <v>111</v>
      </c>
      <c r="C2197" t="s">
        <v>641</v>
      </c>
      <c r="D2197" t="s">
        <v>118</v>
      </c>
      <c r="E2197" t="s">
        <v>558</v>
      </c>
      <c r="F2197" t="s">
        <v>7</v>
      </c>
      <c r="G2197" t="s">
        <v>130</v>
      </c>
      <c r="H2197" s="1">
        <v>46115</v>
      </c>
      <c r="I2197" t="s">
        <v>642</v>
      </c>
      <c r="J2197" t="s">
        <v>643</v>
      </c>
      <c r="K2197" t="s">
        <v>644</v>
      </c>
      <c r="L2197" t="s">
        <v>645</v>
      </c>
      <c r="M2197" t="s">
        <v>591</v>
      </c>
      <c r="N2197" s="166">
        <v>22.92</v>
      </c>
      <c r="O2197" t="s">
        <v>131</v>
      </c>
    </row>
    <row r="2198" spans="1:15">
      <c r="A2198" s="166" t="s">
        <v>646</v>
      </c>
      <c r="B2198" t="s">
        <v>111</v>
      </c>
      <c r="C2198" t="s">
        <v>133</v>
      </c>
      <c r="D2198" t="s">
        <v>118</v>
      </c>
      <c r="E2198" t="s">
        <v>558</v>
      </c>
      <c r="F2198" t="s">
        <v>7</v>
      </c>
      <c r="G2198" t="s">
        <v>130</v>
      </c>
      <c r="H2198" s="1">
        <v>46115</v>
      </c>
      <c r="I2198" t="s">
        <v>647</v>
      </c>
      <c r="J2198" t="s">
        <v>648</v>
      </c>
      <c r="K2198" t="s">
        <v>649</v>
      </c>
      <c r="L2198" t="s">
        <v>650</v>
      </c>
      <c r="M2198" t="s">
        <v>651</v>
      </c>
      <c r="N2198" s="166">
        <v>22.42</v>
      </c>
      <c r="O2198" t="s">
        <v>131</v>
      </c>
    </row>
    <row r="2199" spans="1:15">
      <c r="A2199" s="166" t="s">
        <v>652</v>
      </c>
      <c r="B2199" t="s">
        <v>111</v>
      </c>
      <c r="C2199" t="s">
        <v>136</v>
      </c>
      <c r="D2199" t="s">
        <v>118</v>
      </c>
      <c r="E2199" t="s">
        <v>558</v>
      </c>
      <c r="F2199" t="s">
        <v>7</v>
      </c>
      <c r="G2199" t="s">
        <v>130</v>
      </c>
      <c r="H2199" s="1">
        <v>46115</v>
      </c>
      <c r="I2199" t="s">
        <v>653</v>
      </c>
      <c r="J2199" t="s">
        <v>654</v>
      </c>
      <c r="K2199" t="s">
        <v>655</v>
      </c>
      <c r="L2199" t="s">
        <v>529</v>
      </c>
      <c r="M2199" t="s">
        <v>591</v>
      </c>
      <c r="N2199" s="166">
        <v>22.92</v>
      </c>
      <c r="O2199" t="s">
        <v>131</v>
      </c>
    </row>
    <row r="2200" spans="1:15">
      <c r="A2200" s="166" t="s">
        <v>656</v>
      </c>
      <c r="B2200" t="s">
        <v>111</v>
      </c>
      <c r="C2200" t="s">
        <v>135</v>
      </c>
      <c r="D2200" t="s">
        <v>118</v>
      </c>
      <c r="E2200" t="s">
        <v>558</v>
      </c>
      <c r="F2200" t="s">
        <v>7</v>
      </c>
      <c r="G2200" t="s">
        <v>130</v>
      </c>
      <c r="H2200" s="1">
        <v>46115</v>
      </c>
      <c r="I2200" t="s">
        <v>657</v>
      </c>
      <c r="J2200" t="s">
        <v>658</v>
      </c>
      <c r="K2200" t="s">
        <v>659</v>
      </c>
      <c r="L2200" t="s">
        <v>149</v>
      </c>
      <c r="M2200" t="s">
        <v>660</v>
      </c>
      <c r="N2200" s="166">
        <v>22.3</v>
      </c>
      <c r="O2200" t="s">
        <v>131</v>
      </c>
    </row>
    <row r="2201" spans="1:15">
      <c r="A2201" s="166" t="s">
        <v>661</v>
      </c>
      <c r="B2201" t="s">
        <v>111</v>
      </c>
      <c r="C2201" t="s">
        <v>641</v>
      </c>
      <c r="D2201" t="s">
        <v>118</v>
      </c>
      <c r="E2201" t="s">
        <v>558</v>
      </c>
      <c r="F2201" t="s">
        <v>7</v>
      </c>
      <c r="G2201" t="s">
        <v>130</v>
      </c>
      <c r="H2201" s="1">
        <v>46115</v>
      </c>
      <c r="I2201" t="s">
        <v>662</v>
      </c>
      <c r="J2201" t="s">
        <v>663</v>
      </c>
      <c r="K2201" t="s">
        <v>664</v>
      </c>
      <c r="L2201" t="s">
        <v>665</v>
      </c>
      <c r="M2201" t="s">
        <v>666</v>
      </c>
      <c r="N2201" s="166">
        <v>23.6</v>
      </c>
      <c r="O2201" t="s">
        <v>131</v>
      </c>
    </row>
    <row r="2202" spans="1:15">
      <c r="A2202" s="166" t="s">
        <v>667</v>
      </c>
      <c r="B2202" t="s">
        <v>111</v>
      </c>
      <c r="C2202" t="s">
        <v>133</v>
      </c>
      <c r="D2202" t="s">
        <v>118</v>
      </c>
      <c r="E2202" t="s">
        <v>668</v>
      </c>
      <c r="F2202" t="s">
        <v>7</v>
      </c>
      <c r="G2202" t="s">
        <v>130</v>
      </c>
      <c r="H2202" s="1">
        <v>46115</v>
      </c>
      <c r="I2202" t="s">
        <v>669</v>
      </c>
      <c r="J2202" t="s">
        <v>670</v>
      </c>
      <c r="K2202" t="s">
        <v>671</v>
      </c>
      <c r="L2202" t="s">
        <v>672</v>
      </c>
      <c r="M2202" t="s">
        <v>673</v>
      </c>
      <c r="N2202" s="166">
        <v>23.9</v>
      </c>
      <c r="O2202" t="s">
        <v>131</v>
      </c>
    </row>
    <row r="2203" spans="1:15">
      <c r="A2203" s="166" t="s">
        <v>674</v>
      </c>
      <c r="B2203" t="s">
        <v>111</v>
      </c>
      <c r="C2203" t="s">
        <v>641</v>
      </c>
      <c r="D2203" t="s">
        <v>118</v>
      </c>
      <c r="E2203" t="s">
        <v>668</v>
      </c>
      <c r="F2203" t="s">
        <v>7</v>
      </c>
      <c r="G2203" t="s">
        <v>130</v>
      </c>
      <c r="H2203" s="1">
        <v>46115</v>
      </c>
      <c r="I2203" t="s">
        <v>675</v>
      </c>
      <c r="J2203" t="s">
        <v>676</v>
      </c>
      <c r="K2203" t="s">
        <v>173</v>
      </c>
      <c r="L2203" t="s">
        <v>645</v>
      </c>
      <c r="M2203" t="s">
        <v>677</v>
      </c>
      <c r="N2203" s="166">
        <v>24.58</v>
      </c>
      <c r="O2203" t="s">
        <v>131</v>
      </c>
    </row>
    <row r="2204" spans="1:15">
      <c r="A2204" s="166" t="s">
        <v>678</v>
      </c>
      <c r="B2204" t="s">
        <v>111</v>
      </c>
      <c r="C2204" t="s">
        <v>135</v>
      </c>
      <c r="D2204" t="s">
        <v>118</v>
      </c>
      <c r="E2204" t="s">
        <v>139</v>
      </c>
      <c r="F2204" t="s">
        <v>7</v>
      </c>
      <c r="G2204" t="s">
        <v>130</v>
      </c>
      <c r="H2204" s="1">
        <v>46115</v>
      </c>
      <c r="I2204" t="s">
        <v>679</v>
      </c>
      <c r="J2204" t="s">
        <v>680</v>
      </c>
      <c r="K2204" t="s">
        <v>681</v>
      </c>
      <c r="L2204" t="s">
        <v>665</v>
      </c>
      <c r="M2204" t="s">
        <v>682</v>
      </c>
      <c r="N2204" s="166">
        <v>23.34</v>
      </c>
      <c r="O2204" t="s">
        <v>131</v>
      </c>
    </row>
    <row r="2205" spans="1:15">
      <c r="A2205" s="166" t="s">
        <v>683</v>
      </c>
      <c r="B2205" t="s">
        <v>111</v>
      </c>
      <c r="C2205" t="s">
        <v>133</v>
      </c>
      <c r="D2205" t="s">
        <v>118</v>
      </c>
      <c r="E2205" t="s">
        <v>139</v>
      </c>
      <c r="F2205" t="s">
        <v>7</v>
      </c>
      <c r="G2205" t="s">
        <v>130</v>
      </c>
      <c r="H2205" s="1">
        <v>46115</v>
      </c>
      <c r="I2205" t="s">
        <v>684</v>
      </c>
      <c r="J2205" t="s">
        <v>685</v>
      </c>
      <c r="K2205" t="s">
        <v>686</v>
      </c>
      <c r="L2205" t="s">
        <v>687</v>
      </c>
      <c r="M2205" t="s">
        <v>688</v>
      </c>
      <c r="N2205" s="166">
        <v>25.56</v>
      </c>
      <c r="O2205" t="s">
        <v>131</v>
      </c>
    </row>
    <row r="2206" spans="1:15">
      <c r="A2206" s="166" t="s">
        <v>689</v>
      </c>
      <c r="B2206" t="s">
        <v>111</v>
      </c>
      <c r="C2206" t="s">
        <v>641</v>
      </c>
      <c r="D2206" t="s">
        <v>118</v>
      </c>
      <c r="E2206" t="s">
        <v>139</v>
      </c>
      <c r="F2206" t="s">
        <v>7</v>
      </c>
      <c r="G2206" t="s">
        <v>130</v>
      </c>
      <c r="H2206" s="1">
        <v>46115</v>
      </c>
      <c r="I2206" t="s">
        <v>690</v>
      </c>
      <c r="J2206" t="s">
        <v>691</v>
      </c>
      <c r="K2206" t="s">
        <v>519</v>
      </c>
      <c r="L2206" t="s">
        <v>193</v>
      </c>
      <c r="M2206" t="s">
        <v>692</v>
      </c>
      <c r="N2206" s="166">
        <v>23.82</v>
      </c>
      <c r="O2206" t="s">
        <v>131</v>
      </c>
    </row>
    <row r="2207" spans="1:15">
      <c r="A2207" s="166" t="s">
        <v>693</v>
      </c>
      <c r="B2207" t="s">
        <v>111</v>
      </c>
      <c r="C2207" t="s">
        <v>133</v>
      </c>
      <c r="D2207" t="s">
        <v>118</v>
      </c>
      <c r="E2207" t="s">
        <v>139</v>
      </c>
      <c r="F2207" t="s">
        <v>7</v>
      </c>
      <c r="G2207" t="s">
        <v>130</v>
      </c>
      <c r="H2207" s="1">
        <v>46115</v>
      </c>
      <c r="I2207" t="s">
        <v>694</v>
      </c>
      <c r="J2207" t="s">
        <v>695</v>
      </c>
      <c r="K2207" t="s">
        <v>696</v>
      </c>
      <c r="L2207" t="s">
        <v>687</v>
      </c>
      <c r="M2207" t="s">
        <v>697</v>
      </c>
      <c r="N2207" s="166">
        <v>26.46</v>
      </c>
      <c r="O2207" t="s">
        <v>131</v>
      </c>
    </row>
    <row r="2208" spans="1:15">
      <c r="A2208" s="166" t="s">
        <v>698</v>
      </c>
      <c r="B2208" t="s">
        <v>111</v>
      </c>
      <c r="C2208" t="s">
        <v>641</v>
      </c>
      <c r="D2208" t="s">
        <v>118</v>
      </c>
      <c r="E2208" t="s">
        <v>139</v>
      </c>
      <c r="F2208" t="s">
        <v>7</v>
      </c>
      <c r="G2208" t="s">
        <v>130</v>
      </c>
      <c r="H2208" s="1">
        <v>46115</v>
      </c>
      <c r="I2208" t="s">
        <v>699</v>
      </c>
      <c r="J2208" t="s">
        <v>700</v>
      </c>
      <c r="K2208" t="s">
        <v>701</v>
      </c>
      <c r="L2208" t="s">
        <v>162</v>
      </c>
      <c r="M2208" t="s">
        <v>702</v>
      </c>
      <c r="N2208" s="166">
        <v>25</v>
      </c>
      <c r="O2208" t="s">
        <v>131</v>
      </c>
    </row>
    <row r="2209" spans="1:15">
      <c r="A2209" s="166" t="s">
        <v>703</v>
      </c>
      <c r="B2209" t="s">
        <v>111</v>
      </c>
      <c r="C2209" t="s">
        <v>135</v>
      </c>
      <c r="D2209" t="s">
        <v>118</v>
      </c>
      <c r="E2209" t="s">
        <v>139</v>
      </c>
      <c r="F2209" t="s">
        <v>7</v>
      </c>
      <c r="G2209" t="s">
        <v>130</v>
      </c>
      <c r="H2209" s="1">
        <v>46115</v>
      </c>
      <c r="I2209" t="s">
        <v>704</v>
      </c>
      <c r="J2209" t="s">
        <v>705</v>
      </c>
      <c r="K2209" t="s">
        <v>706</v>
      </c>
      <c r="L2209" t="s">
        <v>665</v>
      </c>
      <c r="M2209" t="s">
        <v>707</v>
      </c>
      <c r="N2209" s="166">
        <v>25.54</v>
      </c>
      <c r="O2209" t="s">
        <v>131</v>
      </c>
    </row>
    <row r="2210" spans="1:15">
      <c r="A2210" s="166" t="s">
        <v>708</v>
      </c>
      <c r="B2210" t="s">
        <v>111</v>
      </c>
      <c r="C2210" t="s">
        <v>133</v>
      </c>
      <c r="D2210" t="s">
        <v>118</v>
      </c>
      <c r="E2210" t="s">
        <v>139</v>
      </c>
      <c r="F2210" t="s">
        <v>7</v>
      </c>
      <c r="G2210" t="s">
        <v>130</v>
      </c>
      <c r="H2210" s="1">
        <v>46115</v>
      </c>
      <c r="I2210" t="s">
        <v>709</v>
      </c>
      <c r="J2210" t="s">
        <v>710</v>
      </c>
      <c r="K2210" t="s">
        <v>218</v>
      </c>
      <c r="L2210" t="s">
        <v>687</v>
      </c>
      <c r="M2210" t="s">
        <v>673</v>
      </c>
      <c r="N2210" s="166">
        <v>23.9</v>
      </c>
      <c r="O2210" t="s">
        <v>131</v>
      </c>
    </row>
    <row r="2211" spans="1:15">
      <c r="A2211" s="166" t="s">
        <v>711</v>
      </c>
      <c r="B2211" t="s">
        <v>111</v>
      </c>
      <c r="C2211" t="s">
        <v>641</v>
      </c>
      <c r="D2211" t="s">
        <v>118</v>
      </c>
      <c r="E2211" t="s">
        <v>139</v>
      </c>
      <c r="F2211" t="s">
        <v>7</v>
      </c>
      <c r="G2211" t="s">
        <v>130</v>
      </c>
      <c r="H2211" s="1">
        <v>46115</v>
      </c>
      <c r="I2211" t="s">
        <v>712</v>
      </c>
      <c r="J2211" t="s">
        <v>713</v>
      </c>
      <c r="K2211" t="s">
        <v>485</v>
      </c>
      <c r="L2211" t="s">
        <v>714</v>
      </c>
      <c r="M2211" t="s">
        <v>715</v>
      </c>
      <c r="N2211" s="166">
        <v>22.84</v>
      </c>
      <c r="O2211" t="s">
        <v>131</v>
      </c>
    </row>
    <row r="2212" spans="1:15">
      <c r="A2212" s="166" t="s">
        <v>716</v>
      </c>
      <c r="B2212" t="s">
        <v>111</v>
      </c>
      <c r="C2212" t="s">
        <v>135</v>
      </c>
      <c r="D2212" t="s">
        <v>118</v>
      </c>
      <c r="E2212" t="s">
        <v>139</v>
      </c>
      <c r="F2212" t="s">
        <v>7</v>
      </c>
      <c r="G2212" t="s">
        <v>130</v>
      </c>
      <c r="H2212" s="1">
        <v>46115</v>
      </c>
      <c r="I2212" t="s">
        <v>717</v>
      </c>
      <c r="J2212" t="s">
        <v>718</v>
      </c>
      <c r="K2212" t="s">
        <v>719</v>
      </c>
      <c r="L2212" t="s">
        <v>720</v>
      </c>
      <c r="M2212" t="s">
        <v>721</v>
      </c>
      <c r="N2212" s="166">
        <v>24.14</v>
      </c>
      <c r="O2212" t="s">
        <v>131</v>
      </c>
    </row>
    <row r="2213" spans="1:15">
      <c r="A2213" s="166" t="s">
        <v>722</v>
      </c>
      <c r="B2213" t="s">
        <v>111</v>
      </c>
      <c r="C2213" t="s">
        <v>133</v>
      </c>
      <c r="D2213" t="s">
        <v>118</v>
      </c>
      <c r="E2213" t="s">
        <v>139</v>
      </c>
      <c r="F2213" t="s">
        <v>7</v>
      </c>
      <c r="G2213" t="s">
        <v>130</v>
      </c>
      <c r="H2213" s="1">
        <v>46115</v>
      </c>
      <c r="I2213" t="s">
        <v>723</v>
      </c>
      <c r="J2213" t="s">
        <v>724</v>
      </c>
      <c r="K2213" t="s">
        <v>231</v>
      </c>
      <c r="L2213" t="s">
        <v>725</v>
      </c>
      <c r="M2213" t="s">
        <v>726</v>
      </c>
      <c r="N2213" s="166">
        <v>24.36</v>
      </c>
      <c r="O2213" t="s">
        <v>131</v>
      </c>
    </row>
    <row r="2214" spans="1:15">
      <c r="A2214" s="166" t="s">
        <v>727</v>
      </c>
      <c r="B2214" t="s">
        <v>111</v>
      </c>
      <c r="C2214" t="s">
        <v>133</v>
      </c>
      <c r="D2214" t="s">
        <v>118</v>
      </c>
      <c r="E2214" t="s">
        <v>139</v>
      </c>
      <c r="F2214" t="s">
        <v>7</v>
      </c>
      <c r="G2214" t="s">
        <v>130</v>
      </c>
      <c r="H2214" s="1">
        <v>46115</v>
      </c>
      <c r="I2214" t="s">
        <v>728</v>
      </c>
      <c r="J2214" t="s">
        <v>729</v>
      </c>
      <c r="K2214" t="s">
        <v>514</v>
      </c>
      <c r="L2214" t="s">
        <v>730</v>
      </c>
      <c r="M2214" t="s">
        <v>731</v>
      </c>
      <c r="N2214" s="166">
        <v>20.82</v>
      </c>
      <c r="O2214" t="s">
        <v>131</v>
      </c>
    </row>
    <row r="2215" spans="1:15">
      <c r="A2215" s="166" t="s">
        <v>732</v>
      </c>
      <c r="B2215" t="s">
        <v>111</v>
      </c>
      <c r="C2215" t="s">
        <v>641</v>
      </c>
      <c r="D2215" t="s">
        <v>118</v>
      </c>
      <c r="E2215" t="s">
        <v>139</v>
      </c>
      <c r="F2215" t="s">
        <v>7</v>
      </c>
      <c r="G2215" t="s">
        <v>130</v>
      </c>
      <c r="H2215" s="1">
        <v>46115</v>
      </c>
      <c r="I2215" t="s">
        <v>733</v>
      </c>
      <c r="J2215" t="s">
        <v>734</v>
      </c>
      <c r="K2215" t="s">
        <v>735</v>
      </c>
      <c r="L2215" t="s">
        <v>193</v>
      </c>
      <c r="M2215" t="s">
        <v>504</v>
      </c>
      <c r="N2215" s="166">
        <v>23.16</v>
      </c>
      <c r="O2215" t="s">
        <v>131</v>
      </c>
    </row>
    <row r="2216" spans="1:15">
      <c r="A2216" s="166" t="s">
        <v>736</v>
      </c>
      <c r="B2216" t="s">
        <v>111</v>
      </c>
      <c r="C2216" t="s">
        <v>133</v>
      </c>
      <c r="D2216" t="s">
        <v>118</v>
      </c>
      <c r="E2216" t="s">
        <v>139</v>
      </c>
      <c r="F2216" t="s">
        <v>7</v>
      </c>
      <c r="G2216" t="s">
        <v>130</v>
      </c>
      <c r="H2216" s="1">
        <v>46115</v>
      </c>
      <c r="I2216" t="s">
        <v>737</v>
      </c>
      <c r="J2216" t="s">
        <v>738</v>
      </c>
      <c r="K2216" t="s">
        <v>739</v>
      </c>
      <c r="L2216" t="s">
        <v>616</v>
      </c>
      <c r="M2216" t="s">
        <v>651</v>
      </c>
      <c r="N2216" s="166">
        <v>22.42</v>
      </c>
      <c r="O2216" t="s">
        <v>131</v>
      </c>
    </row>
    <row r="2217" spans="1:15">
      <c r="A2217" s="166" t="s">
        <v>740</v>
      </c>
      <c r="B2217" t="s">
        <v>111</v>
      </c>
      <c r="C2217" t="s">
        <v>641</v>
      </c>
      <c r="D2217" t="s">
        <v>118</v>
      </c>
      <c r="E2217" t="s">
        <v>139</v>
      </c>
      <c r="F2217" t="s">
        <v>7</v>
      </c>
      <c r="G2217" t="s">
        <v>130</v>
      </c>
      <c r="H2217" s="1">
        <v>46115</v>
      </c>
      <c r="I2217" t="s">
        <v>741</v>
      </c>
      <c r="J2217" t="s">
        <v>742</v>
      </c>
      <c r="K2217" t="s">
        <v>743</v>
      </c>
      <c r="L2217" t="s">
        <v>149</v>
      </c>
      <c r="M2217" t="s">
        <v>536</v>
      </c>
      <c r="N2217" s="166">
        <v>24.9</v>
      </c>
      <c r="O2217" t="s">
        <v>131</v>
      </c>
    </row>
    <row r="2218" spans="1:15">
      <c r="A2218" s="166" t="s">
        <v>744</v>
      </c>
      <c r="B2218" t="s">
        <v>111</v>
      </c>
      <c r="C2218" t="s">
        <v>135</v>
      </c>
      <c r="D2218" t="s">
        <v>118</v>
      </c>
      <c r="E2218" t="s">
        <v>139</v>
      </c>
      <c r="F2218" t="s">
        <v>7</v>
      </c>
      <c r="G2218" t="s">
        <v>130</v>
      </c>
      <c r="H2218" s="1">
        <v>46115</v>
      </c>
      <c r="I2218" t="s">
        <v>745</v>
      </c>
      <c r="J2218" t="s">
        <v>746</v>
      </c>
      <c r="K2218" t="s">
        <v>655</v>
      </c>
      <c r="L2218" t="s">
        <v>415</v>
      </c>
      <c r="M2218" t="s">
        <v>747</v>
      </c>
      <c r="N2218" s="166">
        <v>23.38</v>
      </c>
      <c r="O2218" t="s">
        <v>131</v>
      </c>
    </row>
    <row r="2219" spans="1:15">
      <c r="A2219" s="166" t="s">
        <v>748</v>
      </c>
      <c r="B2219" t="s">
        <v>111</v>
      </c>
      <c r="C2219" t="s">
        <v>133</v>
      </c>
      <c r="D2219" t="s">
        <v>118</v>
      </c>
      <c r="E2219" t="s">
        <v>139</v>
      </c>
      <c r="F2219" t="s">
        <v>7</v>
      </c>
      <c r="G2219" t="s">
        <v>130</v>
      </c>
      <c r="H2219" s="1">
        <v>46115</v>
      </c>
      <c r="I2219" t="s">
        <v>749</v>
      </c>
      <c r="J2219" t="s">
        <v>750</v>
      </c>
      <c r="K2219" t="s">
        <v>454</v>
      </c>
      <c r="L2219" t="s">
        <v>616</v>
      </c>
      <c r="M2219" t="s">
        <v>751</v>
      </c>
      <c r="N2219" s="166">
        <v>20.88</v>
      </c>
      <c r="O2219" t="s">
        <v>131</v>
      </c>
    </row>
    <row r="2220" spans="1:15">
      <c r="A2220" s="166" t="s">
        <v>752</v>
      </c>
      <c r="B2220" t="s">
        <v>111</v>
      </c>
      <c r="C2220" t="s">
        <v>133</v>
      </c>
      <c r="D2220" t="s">
        <v>118</v>
      </c>
      <c r="E2220" t="s">
        <v>668</v>
      </c>
      <c r="F2220" t="s">
        <v>6</v>
      </c>
      <c r="G2220" t="s">
        <v>130</v>
      </c>
      <c r="H2220" s="1">
        <v>46115</v>
      </c>
      <c r="I2220" t="s">
        <v>753</v>
      </c>
      <c r="J2220" t="s">
        <v>754</v>
      </c>
      <c r="K2220" t="s">
        <v>755</v>
      </c>
      <c r="L2220" t="s">
        <v>616</v>
      </c>
      <c r="M2220" t="s">
        <v>756</v>
      </c>
      <c r="N2220" s="166">
        <v>22.1</v>
      </c>
      <c r="O2220" t="s">
        <v>131</v>
      </c>
    </row>
    <row r="2221" spans="1:15">
      <c r="A2221" s="166" t="s">
        <v>757</v>
      </c>
      <c r="B2221" t="s">
        <v>111</v>
      </c>
      <c r="C2221" t="s">
        <v>641</v>
      </c>
      <c r="D2221" t="s">
        <v>118</v>
      </c>
      <c r="E2221" t="s">
        <v>668</v>
      </c>
      <c r="F2221" t="s">
        <v>6</v>
      </c>
      <c r="G2221" t="s">
        <v>130</v>
      </c>
      <c r="H2221" s="1">
        <v>46115</v>
      </c>
      <c r="I2221" t="s">
        <v>758</v>
      </c>
      <c r="J2221" t="s">
        <v>759</v>
      </c>
      <c r="K2221" t="s">
        <v>760</v>
      </c>
      <c r="L2221" t="s">
        <v>761</v>
      </c>
      <c r="M2221" t="s">
        <v>762</v>
      </c>
      <c r="N2221" s="166">
        <v>22.06</v>
      </c>
      <c r="O2221" t="s">
        <v>131</v>
      </c>
    </row>
    <row r="2222" spans="1:15">
      <c r="A2222" s="166" t="s">
        <v>763</v>
      </c>
      <c r="B2222" t="s">
        <v>111</v>
      </c>
      <c r="C2222" t="s">
        <v>135</v>
      </c>
      <c r="D2222" t="s">
        <v>118</v>
      </c>
      <c r="E2222" t="s">
        <v>668</v>
      </c>
      <c r="F2222" t="s">
        <v>6</v>
      </c>
      <c r="G2222" t="s">
        <v>130</v>
      </c>
      <c r="H2222" s="1">
        <v>46115</v>
      </c>
      <c r="I2222" t="s">
        <v>764</v>
      </c>
      <c r="J2222" t="s">
        <v>765</v>
      </c>
      <c r="K2222" t="s">
        <v>766</v>
      </c>
      <c r="L2222" t="s">
        <v>146</v>
      </c>
      <c r="M2222" t="s">
        <v>767</v>
      </c>
      <c r="N2222" s="166">
        <v>22.24</v>
      </c>
      <c r="O2222" t="s">
        <v>131</v>
      </c>
    </row>
    <row r="2223" spans="1:15">
      <c r="A2223" s="166" t="s">
        <v>768</v>
      </c>
      <c r="B2223" t="s">
        <v>111</v>
      </c>
      <c r="C2223" t="s">
        <v>133</v>
      </c>
      <c r="D2223" t="s">
        <v>118</v>
      </c>
      <c r="E2223" t="s">
        <v>668</v>
      </c>
      <c r="F2223" t="s">
        <v>6</v>
      </c>
      <c r="G2223" t="s">
        <v>130</v>
      </c>
      <c r="H2223" s="1">
        <v>46115</v>
      </c>
      <c r="I2223" t="s">
        <v>769</v>
      </c>
      <c r="J2223" t="s">
        <v>770</v>
      </c>
      <c r="K2223" t="s">
        <v>771</v>
      </c>
      <c r="L2223" t="s">
        <v>772</v>
      </c>
      <c r="M2223" t="s">
        <v>773</v>
      </c>
      <c r="N2223" s="166">
        <v>20.66</v>
      </c>
      <c r="O2223" t="s">
        <v>131</v>
      </c>
    </row>
    <row r="2224" spans="1:15">
      <c r="A2224" s="166" t="s">
        <v>774</v>
      </c>
      <c r="B2224" t="s">
        <v>111</v>
      </c>
      <c r="C2224" t="s">
        <v>641</v>
      </c>
      <c r="D2224" t="s">
        <v>118</v>
      </c>
      <c r="E2224" t="s">
        <v>668</v>
      </c>
      <c r="F2224" t="s">
        <v>6</v>
      </c>
      <c r="G2224" t="s">
        <v>130</v>
      </c>
      <c r="H2224" s="1">
        <v>46115</v>
      </c>
      <c r="I2224" t="s">
        <v>775</v>
      </c>
      <c r="J2224" t="s">
        <v>776</v>
      </c>
      <c r="K2224" t="s">
        <v>760</v>
      </c>
      <c r="L2224" t="s">
        <v>777</v>
      </c>
      <c r="M2224" t="s">
        <v>756</v>
      </c>
      <c r="N2224" s="166">
        <v>22.1</v>
      </c>
      <c r="O2224" t="s">
        <v>131</v>
      </c>
    </row>
    <row r="2225" spans="1:15">
      <c r="A2225" s="166" t="s">
        <v>778</v>
      </c>
      <c r="B2225" t="s">
        <v>111</v>
      </c>
      <c r="C2225" t="s">
        <v>135</v>
      </c>
      <c r="D2225" t="s">
        <v>118</v>
      </c>
      <c r="E2225" t="s">
        <v>668</v>
      </c>
      <c r="F2225" t="s">
        <v>6</v>
      </c>
      <c r="G2225" t="s">
        <v>130</v>
      </c>
      <c r="H2225" s="1">
        <v>46115</v>
      </c>
      <c r="I2225" t="s">
        <v>779</v>
      </c>
      <c r="J2225" t="s">
        <v>780</v>
      </c>
      <c r="K2225" t="s">
        <v>781</v>
      </c>
      <c r="L2225" t="s">
        <v>154</v>
      </c>
      <c r="M2225" t="s">
        <v>782</v>
      </c>
      <c r="N2225" s="166">
        <v>21.92</v>
      </c>
      <c r="O2225" t="s">
        <v>131</v>
      </c>
    </row>
    <row r="2226" spans="1:15">
      <c r="A2226" s="166" t="s">
        <v>783</v>
      </c>
      <c r="B2226" t="s">
        <v>111</v>
      </c>
      <c r="C2226" t="s">
        <v>133</v>
      </c>
      <c r="D2226" t="s">
        <v>118</v>
      </c>
      <c r="E2226" t="s">
        <v>668</v>
      </c>
      <c r="F2226" t="s">
        <v>6</v>
      </c>
      <c r="G2226" t="s">
        <v>130</v>
      </c>
      <c r="H2226" s="1">
        <v>46115</v>
      </c>
      <c r="I2226" t="s">
        <v>784</v>
      </c>
      <c r="J2226" t="s">
        <v>785</v>
      </c>
      <c r="K2226" t="s">
        <v>164</v>
      </c>
      <c r="L2226" t="s">
        <v>786</v>
      </c>
      <c r="M2226" t="s">
        <v>596</v>
      </c>
      <c r="N2226" s="166">
        <v>20.36</v>
      </c>
      <c r="O2226" t="s">
        <v>131</v>
      </c>
    </row>
    <row r="2227" spans="1:15">
      <c r="A2227" s="166" t="s">
        <v>787</v>
      </c>
      <c r="B2227" t="s">
        <v>111</v>
      </c>
      <c r="C2227" t="s">
        <v>641</v>
      </c>
      <c r="D2227" t="s">
        <v>118</v>
      </c>
      <c r="E2227" t="s">
        <v>668</v>
      </c>
      <c r="F2227" t="s">
        <v>6</v>
      </c>
      <c r="G2227" t="s">
        <v>130</v>
      </c>
      <c r="H2227" s="1">
        <v>46115</v>
      </c>
      <c r="I2227" t="s">
        <v>788</v>
      </c>
      <c r="J2227" t="s">
        <v>789</v>
      </c>
      <c r="K2227" t="s">
        <v>790</v>
      </c>
      <c r="L2227" t="s">
        <v>162</v>
      </c>
      <c r="M2227" t="s">
        <v>791</v>
      </c>
      <c r="N2227" s="166">
        <v>19.079999999999998</v>
      </c>
      <c r="O2227" t="s">
        <v>131</v>
      </c>
    </row>
    <row r="2228" spans="1:15">
      <c r="A2228" s="166" t="s">
        <v>792</v>
      </c>
      <c r="B2228" t="s">
        <v>111</v>
      </c>
      <c r="C2228" t="s">
        <v>135</v>
      </c>
      <c r="D2228" t="s">
        <v>118</v>
      </c>
      <c r="E2228" t="s">
        <v>668</v>
      </c>
      <c r="F2228" t="s">
        <v>6</v>
      </c>
      <c r="G2228" t="s">
        <v>130</v>
      </c>
      <c r="H2228" s="1">
        <v>46115</v>
      </c>
      <c r="I2228" t="s">
        <v>793</v>
      </c>
      <c r="J2228" t="s">
        <v>794</v>
      </c>
      <c r="K2228" t="s">
        <v>795</v>
      </c>
      <c r="L2228" t="s">
        <v>154</v>
      </c>
      <c r="M2228" t="s">
        <v>796</v>
      </c>
      <c r="N2228" s="166">
        <v>24.02</v>
      </c>
      <c r="O2228" t="s">
        <v>131</v>
      </c>
    </row>
    <row r="2229" spans="1:15">
      <c r="A2229" s="166" t="s">
        <v>797</v>
      </c>
      <c r="B2229" t="s">
        <v>111</v>
      </c>
      <c r="C2229" t="s">
        <v>133</v>
      </c>
      <c r="D2229" t="s">
        <v>118</v>
      </c>
      <c r="E2229" t="s">
        <v>668</v>
      </c>
      <c r="F2229" t="s">
        <v>6</v>
      </c>
      <c r="G2229" t="s">
        <v>130</v>
      </c>
      <c r="H2229" s="1">
        <v>46115</v>
      </c>
      <c r="I2229" t="s">
        <v>798</v>
      </c>
      <c r="J2229" t="s">
        <v>799</v>
      </c>
      <c r="K2229" t="s">
        <v>800</v>
      </c>
      <c r="L2229" t="s">
        <v>801</v>
      </c>
      <c r="M2229" t="s">
        <v>802</v>
      </c>
      <c r="N2229" s="166">
        <v>22.68</v>
      </c>
      <c r="O2229" t="s">
        <v>131</v>
      </c>
    </row>
    <row r="2230" spans="1:15">
      <c r="A2230" s="166" t="s">
        <v>803</v>
      </c>
      <c r="B2230" t="s">
        <v>111</v>
      </c>
      <c r="C2230" t="s">
        <v>641</v>
      </c>
      <c r="D2230" t="s">
        <v>118</v>
      </c>
      <c r="E2230" t="s">
        <v>668</v>
      </c>
      <c r="F2230" t="s">
        <v>6</v>
      </c>
      <c r="G2230" t="s">
        <v>130</v>
      </c>
      <c r="H2230" s="1">
        <v>46115</v>
      </c>
      <c r="I2230" t="s">
        <v>804</v>
      </c>
      <c r="J2230" t="s">
        <v>805</v>
      </c>
      <c r="K2230" t="s">
        <v>806</v>
      </c>
      <c r="L2230" t="s">
        <v>144</v>
      </c>
      <c r="M2230" t="s">
        <v>807</v>
      </c>
      <c r="N2230" s="166">
        <v>24.28</v>
      </c>
      <c r="O2230" t="s">
        <v>131</v>
      </c>
    </row>
    <row r="2231" spans="1:15">
      <c r="A2231" s="166" t="s">
        <v>808</v>
      </c>
      <c r="B2231" t="s">
        <v>111</v>
      </c>
      <c r="C2231" t="s">
        <v>135</v>
      </c>
      <c r="D2231" t="s">
        <v>118</v>
      </c>
      <c r="E2231" t="s">
        <v>668</v>
      </c>
      <c r="F2231" t="s">
        <v>6</v>
      </c>
      <c r="G2231" t="s">
        <v>130</v>
      </c>
      <c r="H2231" s="1">
        <v>46115</v>
      </c>
      <c r="I2231" t="s">
        <v>809</v>
      </c>
      <c r="J2231" t="s">
        <v>810</v>
      </c>
      <c r="K2231" t="s">
        <v>508</v>
      </c>
      <c r="L2231" t="s">
        <v>811</v>
      </c>
      <c r="M2231" t="s">
        <v>812</v>
      </c>
      <c r="N2231" s="166">
        <v>24.18</v>
      </c>
      <c r="O2231" t="s">
        <v>131</v>
      </c>
    </row>
    <row r="2232" spans="1:15">
      <c r="A2232" s="166" t="s">
        <v>813</v>
      </c>
      <c r="B2232" t="s">
        <v>111</v>
      </c>
      <c r="C2232" t="s">
        <v>133</v>
      </c>
      <c r="D2232" t="s">
        <v>118</v>
      </c>
      <c r="E2232" t="s">
        <v>668</v>
      </c>
      <c r="F2232" t="s">
        <v>6</v>
      </c>
      <c r="G2232" t="s">
        <v>130</v>
      </c>
      <c r="H2232" s="1">
        <v>46115</v>
      </c>
      <c r="I2232" t="s">
        <v>814</v>
      </c>
      <c r="J2232" t="s">
        <v>815</v>
      </c>
      <c r="K2232" t="s">
        <v>816</v>
      </c>
      <c r="L2232" t="s">
        <v>730</v>
      </c>
      <c r="M2232" t="s">
        <v>493</v>
      </c>
      <c r="N2232" s="166">
        <v>22.16</v>
      </c>
      <c r="O2232" t="s">
        <v>131</v>
      </c>
    </row>
    <row r="2233" spans="1:15">
      <c r="A2233" s="166" t="s">
        <v>817</v>
      </c>
      <c r="B2233" t="s">
        <v>111</v>
      </c>
      <c r="C2233" t="s">
        <v>641</v>
      </c>
      <c r="D2233" t="s">
        <v>118</v>
      </c>
      <c r="E2233" t="s">
        <v>668</v>
      </c>
      <c r="F2233" t="s">
        <v>6</v>
      </c>
      <c r="G2233" t="s">
        <v>130</v>
      </c>
      <c r="H2233" s="1">
        <v>46115</v>
      </c>
      <c r="I2233" t="s">
        <v>818</v>
      </c>
      <c r="J2233" t="s">
        <v>819</v>
      </c>
      <c r="K2233" t="s">
        <v>820</v>
      </c>
      <c r="L2233" t="s">
        <v>616</v>
      </c>
      <c r="M2233" t="s">
        <v>821</v>
      </c>
      <c r="N2233" s="166">
        <v>23.8</v>
      </c>
      <c r="O2233" t="s">
        <v>131</v>
      </c>
    </row>
    <row r="2234" spans="1:15">
      <c r="A2234" s="166" t="s">
        <v>822</v>
      </c>
      <c r="B2234" t="s">
        <v>111</v>
      </c>
      <c r="C2234" t="s">
        <v>135</v>
      </c>
      <c r="D2234" t="s">
        <v>118</v>
      </c>
      <c r="E2234" t="s">
        <v>668</v>
      </c>
      <c r="F2234" t="s">
        <v>6</v>
      </c>
      <c r="G2234" t="s">
        <v>130</v>
      </c>
      <c r="H2234" s="1">
        <v>46115</v>
      </c>
      <c r="I2234" t="s">
        <v>823</v>
      </c>
      <c r="J2234" t="s">
        <v>824</v>
      </c>
      <c r="K2234" t="s">
        <v>825</v>
      </c>
      <c r="L2234" t="s">
        <v>154</v>
      </c>
      <c r="M2234" t="s">
        <v>826</v>
      </c>
      <c r="N2234" s="166">
        <v>20.38</v>
      </c>
      <c r="O2234" t="s">
        <v>131</v>
      </c>
    </row>
    <row r="2235" spans="1:15">
      <c r="A2235" s="166" t="s">
        <v>827</v>
      </c>
      <c r="B2235" t="s">
        <v>111</v>
      </c>
      <c r="C2235" t="s">
        <v>133</v>
      </c>
      <c r="D2235" t="s">
        <v>118</v>
      </c>
      <c r="E2235" t="s">
        <v>668</v>
      </c>
      <c r="F2235" t="s">
        <v>6</v>
      </c>
      <c r="G2235" t="s">
        <v>130</v>
      </c>
      <c r="H2235" s="1">
        <v>46115</v>
      </c>
      <c r="I2235" t="s">
        <v>828</v>
      </c>
      <c r="J2235" t="s">
        <v>829</v>
      </c>
      <c r="K2235" t="s">
        <v>830</v>
      </c>
      <c r="L2235" t="s">
        <v>831</v>
      </c>
      <c r="M2235" t="s">
        <v>832</v>
      </c>
      <c r="N2235" s="166">
        <v>18.72</v>
      </c>
      <c r="O2235" t="s">
        <v>131</v>
      </c>
    </row>
    <row r="2236" spans="1:15">
      <c r="A2236" s="166" t="s">
        <v>833</v>
      </c>
      <c r="B2236" t="s">
        <v>111</v>
      </c>
      <c r="C2236" t="s">
        <v>135</v>
      </c>
      <c r="D2236" t="s">
        <v>118</v>
      </c>
      <c r="E2236" t="s">
        <v>668</v>
      </c>
      <c r="F2236" t="s">
        <v>7</v>
      </c>
      <c r="G2236" t="s">
        <v>130</v>
      </c>
      <c r="H2236" s="1">
        <v>46115</v>
      </c>
      <c r="I2236" t="s">
        <v>834</v>
      </c>
      <c r="J2236" t="s">
        <v>835</v>
      </c>
      <c r="K2236" t="s">
        <v>836</v>
      </c>
      <c r="L2236" t="s">
        <v>203</v>
      </c>
      <c r="M2236" t="s">
        <v>837</v>
      </c>
      <c r="N2236" s="166">
        <v>18.14</v>
      </c>
      <c r="O2236" t="s">
        <v>131</v>
      </c>
    </row>
    <row r="2237" spans="1:15">
      <c r="A2237" s="166" t="s">
        <v>838</v>
      </c>
      <c r="B2237" t="s">
        <v>111</v>
      </c>
      <c r="C2237" t="s">
        <v>133</v>
      </c>
      <c r="D2237" t="s">
        <v>118</v>
      </c>
      <c r="E2237" t="s">
        <v>668</v>
      </c>
      <c r="F2237" t="s">
        <v>7</v>
      </c>
      <c r="G2237" t="s">
        <v>130</v>
      </c>
      <c r="H2237" s="1">
        <v>46115</v>
      </c>
      <c r="I2237" t="s">
        <v>839</v>
      </c>
      <c r="J2237" t="s">
        <v>840</v>
      </c>
      <c r="K2237" t="s">
        <v>236</v>
      </c>
      <c r="L2237" t="s">
        <v>714</v>
      </c>
      <c r="M2237" t="s">
        <v>591</v>
      </c>
      <c r="N2237" s="166">
        <v>22.92</v>
      </c>
      <c r="O2237" t="s">
        <v>131</v>
      </c>
    </row>
    <row r="2238" spans="1:15">
      <c r="A2238" s="166" t="s">
        <v>841</v>
      </c>
      <c r="B2238" t="s">
        <v>111</v>
      </c>
      <c r="C2238" t="s">
        <v>136</v>
      </c>
      <c r="D2238" t="s">
        <v>118</v>
      </c>
      <c r="E2238" t="s">
        <v>668</v>
      </c>
      <c r="F2238" t="s">
        <v>7</v>
      </c>
      <c r="G2238" t="s">
        <v>130</v>
      </c>
      <c r="H2238" s="1">
        <v>46115</v>
      </c>
      <c r="I2238" t="s">
        <v>842</v>
      </c>
      <c r="J2238" t="s">
        <v>843</v>
      </c>
      <c r="K2238" t="s">
        <v>844</v>
      </c>
      <c r="L2238" t="s">
        <v>845</v>
      </c>
      <c r="M2238" t="s">
        <v>846</v>
      </c>
      <c r="N2238" s="166">
        <v>23.04</v>
      </c>
      <c r="O2238" t="s">
        <v>131</v>
      </c>
    </row>
    <row r="2239" spans="1:15">
      <c r="A2239" s="166" t="s">
        <v>847</v>
      </c>
      <c r="B2239" t="s">
        <v>111</v>
      </c>
      <c r="C2239" t="s">
        <v>134</v>
      </c>
      <c r="D2239" t="s">
        <v>118</v>
      </c>
      <c r="E2239" t="s">
        <v>668</v>
      </c>
      <c r="F2239" t="s">
        <v>7</v>
      </c>
      <c r="G2239" t="s">
        <v>130</v>
      </c>
      <c r="H2239" s="1">
        <v>46115</v>
      </c>
      <c r="I2239" t="s">
        <v>848</v>
      </c>
      <c r="J2239" t="s">
        <v>849</v>
      </c>
      <c r="K2239" t="s">
        <v>850</v>
      </c>
      <c r="L2239" t="s">
        <v>208</v>
      </c>
      <c r="M2239" t="s">
        <v>851</v>
      </c>
      <c r="N2239" s="166">
        <v>24.34</v>
      </c>
      <c r="O2239" t="s">
        <v>131</v>
      </c>
    </row>
    <row r="2240" spans="1:15">
      <c r="A2240" s="166" t="s">
        <v>852</v>
      </c>
      <c r="B2240" t="s">
        <v>111</v>
      </c>
      <c r="C2240" t="s">
        <v>406</v>
      </c>
      <c r="D2240" t="s">
        <v>118</v>
      </c>
      <c r="E2240" t="s">
        <v>668</v>
      </c>
      <c r="F2240" t="s">
        <v>7</v>
      </c>
      <c r="G2240" t="s">
        <v>130</v>
      </c>
      <c r="H2240" s="1">
        <v>46115</v>
      </c>
      <c r="I2240" t="s">
        <v>853</v>
      </c>
      <c r="J2240" t="s">
        <v>854</v>
      </c>
      <c r="K2240" t="s">
        <v>855</v>
      </c>
      <c r="L2240" t="s">
        <v>856</v>
      </c>
      <c r="M2240" t="s">
        <v>857</v>
      </c>
      <c r="N2240" s="166">
        <v>22.94</v>
      </c>
      <c r="O2240" t="s">
        <v>131</v>
      </c>
    </row>
    <row r="2241" spans="1:15">
      <c r="A2241" s="166" t="s">
        <v>858</v>
      </c>
      <c r="B2241" t="s">
        <v>111</v>
      </c>
      <c r="C2241" t="s">
        <v>135</v>
      </c>
      <c r="D2241" t="s">
        <v>118</v>
      </c>
      <c r="E2241" t="s">
        <v>668</v>
      </c>
      <c r="F2241" t="s">
        <v>7</v>
      </c>
      <c r="G2241" t="s">
        <v>130</v>
      </c>
      <c r="H2241" s="1">
        <v>46115</v>
      </c>
      <c r="I2241" t="s">
        <v>859</v>
      </c>
      <c r="J2241" t="s">
        <v>860</v>
      </c>
      <c r="K2241" t="s">
        <v>781</v>
      </c>
      <c r="L2241" t="s">
        <v>146</v>
      </c>
      <c r="M2241" t="s">
        <v>861</v>
      </c>
      <c r="N2241" s="166">
        <v>21.84</v>
      </c>
      <c r="O2241" t="s">
        <v>131</v>
      </c>
    </row>
    <row r="2242" spans="1:15">
      <c r="A2242" s="166" t="s">
        <v>862</v>
      </c>
      <c r="B2242" t="s">
        <v>111</v>
      </c>
      <c r="C2242" t="s">
        <v>133</v>
      </c>
      <c r="D2242" t="s">
        <v>118</v>
      </c>
      <c r="E2242" t="s">
        <v>668</v>
      </c>
      <c r="F2242" t="s">
        <v>7</v>
      </c>
      <c r="G2242" t="s">
        <v>130</v>
      </c>
      <c r="H2242" s="1">
        <v>46115</v>
      </c>
      <c r="I2242" t="s">
        <v>863</v>
      </c>
      <c r="J2242" t="s">
        <v>864</v>
      </c>
      <c r="K2242" t="s">
        <v>865</v>
      </c>
      <c r="L2242" t="s">
        <v>801</v>
      </c>
      <c r="M2242" t="s">
        <v>866</v>
      </c>
      <c r="N2242" s="166">
        <v>26.04</v>
      </c>
      <c r="O2242" t="s">
        <v>131</v>
      </c>
    </row>
    <row r="2243" spans="1:15">
      <c r="A2243" s="166" t="s">
        <v>867</v>
      </c>
      <c r="B2243" t="s">
        <v>111</v>
      </c>
      <c r="C2243" t="s">
        <v>136</v>
      </c>
      <c r="D2243" t="s">
        <v>118</v>
      </c>
      <c r="E2243" t="s">
        <v>668</v>
      </c>
      <c r="F2243" t="s">
        <v>7</v>
      </c>
      <c r="G2243" t="s">
        <v>130</v>
      </c>
      <c r="H2243" s="1">
        <v>46115</v>
      </c>
      <c r="I2243" t="s">
        <v>868</v>
      </c>
      <c r="J2243" t="s">
        <v>869</v>
      </c>
      <c r="K2243" t="s">
        <v>519</v>
      </c>
      <c r="L2243" t="s">
        <v>870</v>
      </c>
      <c r="M2243" t="s">
        <v>871</v>
      </c>
      <c r="N2243" s="166">
        <v>22.86</v>
      </c>
      <c r="O2243" t="s">
        <v>131</v>
      </c>
    </row>
    <row r="2244" spans="1:15">
      <c r="A2244" s="166" t="s">
        <v>872</v>
      </c>
      <c r="B2244" t="s">
        <v>111</v>
      </c>
      <c r="C2244" t="s">
        <v>406</v>
      </c>
      <c r="D2244" t="s">
        <v>118</v>
      </c>
      <c r="E2244" t="s">
        <v>668</v>
      </c>
      <c r="F2244" t="s">
        <v>7</v>
      </c>
      <c r="G2244" t="s">
        <v>130</v>
      </c>
      <c r="H2244" s="1">
        <v>46115</v>
      </c>
      <c r="I2244" t="s">
        <v>873</v>
      </c>
      <c r="J2244" t="s">
        <v>874</v>
      </c>
      <c r="K2244" t="s">
        <v>875</v>
      </c>
      <c r="L2244" t="s">
        <v>486</v>
      </c>
      <c r="M2244" t="s">
        <v>183</v>
      </c>
      <c r="N2244" s="166">
        <v>21.64</v>
      </c>
      <c r="O2244" t="s">
        <v>131</v>
      </c>
    </row>
    <row r="2245" spans="1:15">
      <c r="A2245" s="166" t="s">
        <v>876</v>
      </c>
      <c r="B2245" t="s">
        <v>111</v>
      </c>
      <c r="C2245" t="s">
        <v>134</v>
      </c>
      <c r="D2245" t="s">
        <v>118</v>
      </c>
      <c r="E2245" t="s">
        <v>668</v>
      </c>
      <c r="F2245" t="s">
        <v>7</v>
      </c>
      <c r="G2245" t="s">
        <v>130</v>
      </c>
      <c r="H2245" s="1">
        <v>46115</v>
      </c>
      <c r="I2245" t="s">
        <v>877</v>
      </c>
      <c r="J2245" t="s">
        <v>878</v>
      </c>
      <c r="K2245" t="s">
        <v>879</v>
      </c>
      <c r="L2245" t="s">
        <v>672</v>
      </c>
      <c r="M2245" t="s">
        <v>880</v>
      </c>
      <c r="N2245" s="166">
        <v>24.7</v>
      </c>
      <c r="O2245" t="s">
        <v>131</v>
      </c>
    </row>
    <row r="2246" spans="1:15">
      <c r="A2246" s="166" t="s">
        <v>389</v>
      </c>
      <c r="B2246" t="s">
        <v>111</v>
      </c>
      <c r="C2246" t="s">
        <v>134</v>
      </c>
      <c r="D2246" t="s">
        <v>118</v>
      </c>
      <c r="E2246" t="s">
        <v>139</v>
      </c>
      <c r="F2246" t="s">
        <v>7</v>
      </c>
      <c r="G2246" t="s">
        <v>130</v>
      </c>
      <c r="H2246" s="1">
        <v>46112</v>
      </c>
      <c r="I2246" t="s">
        <v>390</v>
      </c>
      <c r="J2246" t="s">
        <v>391</v>
      </c>
      <c r="K2246" t="s">
        <v>215</v>
      </c>
      <c r="L2246" t="s">
        <v>203</v>
      </c>
      <c r="M2246" t="s">
        <v>183</v>
      </c>
      <c r="N2246" s="166">
        <v>21.64</v>
      </c>
      <c r="O2246" t="s">
        <v>131</v>
      </c>
    </row>
    <row r="2247" spans="1:15">
      <c r="A2247" s="166" t="s">
        <v>392</v>
      </c>
      <c r="B2247" t="s">
        <v>111</v>
      </c>
      <c r="C2247" t="s">
        <v>133</v>
      </c>
      <c r="D2247" t="s">
        <v>118</v>
      </c>
      <c r="E2247" t="s">
        <v>139</v>
      </c>
      <c r="F2247" t="s">
        <v>7</v>
      </c>
      <c r="G2247" t="s">
        <v>130</v>
      </c>
      <c r="H2247" s="1">
        <v>46112</v>
      </c>
      <c r="I2247" t="s">
        <v>393</v>
      </c>
      <c r="J2247" t="s">
        <v>394</v>
      </c>
      <c r="K2247" t="s">
        <v>164</v>
      </c>
      <c r="L2247" t="s">
        <v>148</v>
      </c>
      <c r="M2247" t="s">
        <v>185</v>
      </c>
      <c r="N2247" s="166">
        <v>20.72</v>
      </c>
      <c r="O2247" t="s">
        <v>131</v>
      </c>
    </row>
    <row r="2248" spans="1:15">
      <c r="A2248" s="166" t="s">
        <v>395</v>
      </c>
      <c r="B2248" t="s">
        <v>111</v>
      </c>
      <c r="C2248" t="s">
        <v>134</v>
      </c>
      <c r="D2248" t="s">
        <v>118</v>
      </c>
      <c r="E2248" t="s">
        <v>139</v>
      </c>
      <c r="F2248" t="s">
        <v>7</v>
      </c>
      <c r="G2248" t="s">
        <v>130</v>
      </c>
      <c r="H2248" s="1">
        <v>46112</v>
      </c>
      <c r="I2248" t="s">
        <v>396</v>
      </c>
      <c r="J2248" t="s">
        <v>397</v>
      </c>
      <c r="K2248" t="s">
        <v>150</v>
      </c>
      <c r="L2248" t="s">
        <v>146</v>
      </c>
      <c r="M2248" t="s">
        <v>211</v>
      </c>
      <c r="N2248" s="166">
        <v>21.32</v>
      </c>
      <c r="O2248" t="s">
        <v>131</v>
      </c>
    </row>
    <row r="2249" spans="1:15">
      <c r="A2249" s="166" t="s">
        <v>886</v>
      </c>
      <c r="B2249" t="s">
        <v>111</v>
      </c>
      <c r="C2249" t="s">
        <v>406</v>
      </c>
      <c r="D2249" t="s">
        <v>118</v>
      </c>
      <c r="E2249" t="s">
        <v>668</v>
      </c>
      <c r="F2249" t="s">
        <v>6</v>
      </c>
      <c r="G2249" t="s">
        <v>130</v>
      </c>
      <c r="H2249" s="1">
        <v>46116</v>
      </c>
      <c r="I2249" t="s">
        <v>887</v>
      </c>
      <c r="J2249" t="s">
        <v>888</v>
      </c>
      <c r="K2249" t="s">
        <v>889</v>
      </c>
      <c r="L2249" t="s">
        <v>890</v>
      </c>
      <c r="M2249" t="s">
        <v>891</v>
      </c>
      <c r="N2249" s="166">
        <v>26.64</v>
      </c>
      <c r="O2249" t="s">
        <v>131</v>
      </c>
    </row>
    <row r="2250" spans="1:15">
      <c r="A2250" s="166" t="s">
        <v>892</v>
      </c>
      <c r="B2250" t="s">
        <v>111</v>
      </c>
      <c r="C2250" t="s">
        <v>133</v>
      </c>
      <c r="D2250" t="s">
        <v>118</v>
      </c>
      <c r="E2250" t="s">
        <v>668</v>
      </c>
      <c r="F2250" t="s">
        <v>6</v>
      </c>
      <c r="G2250" t="s">
        <v>130</v>
      </c>
      <c r="H2250" s="1">
        <v>46116</v>
      </c>
      <c r="I2250" t="s">
        <v>893</v>
      </c>
      <c r="J2250" t="s">
        <v>894</v>
      </c>
      <c r="K2250" t="s">
        <v>895</v>
      </c>
      <c r="L2250" t="s">
        <v>831</v>
      </c>
      <c r="M2250" t="s">
        <v>896</v>
      </c>
      <c r="N2250" s="166">
        <v>25.6</v>
      </c>
      <c r="O2250" t="s">
        <v>131</v>
      </c>
    </row>
    <row r="2251" spans="1:15">
      <c r="A2251" s="166" t="s">
        <v>897</v>
      </c>
      <c r="B2251" t="s">
        <v>111</v>
      </c>
      <c r="C2251" t="s">
        <v>136</v>
      </c>
      <c r="D2251" t="s">
        <v>118</v>
      </c>
      <c r="E2251" t="s">
        <v>668</v>
      </c>
      <c r="F2251" t="s">
        <v>6</v>
      </c>
      <c r="G2251" t="s">
        <v>130</v>
      </c>
      <c r="H2251" s="1">
        <v>46116</v>
      </c>
      <c r="I2251" t="s">
        <v>898</v>
      </c>
      <c r="J2251" t="s">
        <v>899</v>
      </c>
      <c r="K2251" t="s">
        <v>900</v>
      </c>
      <c r="L2251" t="s">
        <v>901</v>
      </c>
      <c r="M2251" t="s">
        <v>902</v>
      </c>
      <c r="N2251" s="166">
        <v>25.4</v>
      </c>
      <c r="O2251" t="s">
        <v>131</v>
      </c>
    </row>
    <row r="2252" spans="1:15">
      <c r="A2252" s="166" t="s">
        <v>903</v>
      </c>
      <c r="B2252" t="s">
        <v>111</v>
      </c>
      <c r="C2252" t="s">
        <v>134</v>
      </c>
      <c r="D2252" t="s">
        <v>118</v>
      </c>
      <c r="E2252" t="s">
        <v>668</v>
      </c>
      <c r="F2252" t="s">
        <v>6</v>
      </c>
      <c r="G2252" t="s">
        <v>130</v>
      </c>
      <c r="H2252" s="1">
        <v>46116</v>
      </c>
      <c r="I2252" t="s">
        <v>904</v>
      </c>
      <c r="J2252" t="s">
        <v>905</v>
      </c>
      <c r="K2252" t="s">
        <v>906</v>
      </c>
      <c r="L2252" t="s">
        <v>907</v>
      </c>
      <c r="M2252" t="s">
        <v>908</v>
      </c>
      <c r="N2252" s="166">
        <v>25.92</v>
      </c>
      <c r="O2252" t="s">
        <v>131</v>
      </c>
    </row>
    <row r="2253" spans="1:15">
      <c r="A2253" s="166" t="s">
        <v>909</v>
      </c>
      <c r="B2253" t="s">
        <v>111</v>
      </c>
      <c r="C2253" t="s">
        <v>406</v>
      </c>
      <c r="D2253" t="s">
        <v>118</v>
      </c>
      <c r="E2253" t="s">
        <v>668</v>
      </c>
      <c r="F2253" t="s">
        <v>6</v>
      </c>
      <c r="G2253" t="s">
        <v>130</v>
      </c>
      <c r="H2253" s="1">
        <v>46116</v>
      </c>
      <c r="I2253" t="s">
        <v>910</v>
      </c>
      <c r="J2253" t="s">
        <v>911</v>
      </c>
      <c r="K2253" t="s">
        <v>912</v>
      </c>
      <c r="L2253" t="s">
        <v>148</v>
      </c>
      <c r="M2253" t="s">
        <v>913</v>
      </c>
      <c r="N2253" s="166">
        <v>26.1</v>
      </c>
      <c r="O2253" t="s">
        <v>131</v>
      </c>
    </row>
    <row r="2254" spans="1:15">
      <c r="A2254" s="166" t="s">
        <v>914</v>
      </c>
      <c r="B2254" t="s">
        <v>111</v>
      </c>
      <c r="C2254" t="s">
        <v>133</v>
      </c>
      <c r="D2254" t="s">
        <v>118</v>
      </c>
      <c r="E2254" t="s">
        <v>668</v>
      </c>
      <c r="F2254" t="s">
        <v>6</v>
      </c>
      <c r="G2254" t="s">
        <v>130</v>
      </c>
      <c r="H2254" s="1">
        <v>46116</v>
      </c>
      <c r="I2254" t="s">
        <v>915</v>
      </c>
      <c r="J2254" t="s">
        <v>916</v>
      </c>
      <c r="K2254" t="s">
        <v>649</v>
      </c>
      <c r="L2254" t="s">
        <v>801</v>
      </c>
      <c r="M2254" t="s">
        <v>917</v>
      </c>
      <c r="N2254" s="166">
        <v>22.5</v>
      </c>
      <c r="O2254" t="s">
        <v>131</v>
      </c>
    </row>
    <row r="2255" spans="1:15">
      <c r="A2255" s="166" t="s">
        <v>918</v>
      </c>
      <c r="B2255" t="s">
        <v>111</v>
      </c>
      <c r="C2255" t="s">
        <v>136</v>
      </c>
      <c r="D2255" t="s">
        <v>118</v>
      </c>
      <c r="E2255" t="s">
        <v>668</v>
      </c>
      <c r="F2255" t="s">
        <v>6</v>
      </c>
      <c r="G2255" t="s">
        <v>130</v>
      </c>
      <c r="H2255" s="1">
        <v>46116</v>
      </c>
      <c r="I2255" t="s">
        <v>919</v>
      </c>
      <c r="J2255" t="s">
        <v>920</v>
      </c>
      <c r="K2255" t="s">
        <v>921</v>
      </c>
      <c r="L2255" t="s">
        <v>901</v>
      </c>
      <c r="M2255" t="s">
        <v>922</v>
      </c>
      <c r="N2255" s="166">
        <v>25.2</v>
      </c>
      <c r="O2255" t="s">
        <v>131</v>
      </c>
    </row>
    <row r="2256" spans="1:15">
      <c r="A2256" s="166" t="s">
        <v>923</v>
      </c>
      <c r="B2256" t="s">
        <v>111</v>
      </c>
      <c r="C2256" t="s">
        <v>134</v>
      </c>
      <c r="D2256" t="s">
        <v>118</v>
      </c>
      <c r="E2256" t="s">
        <v>668</v>
      </c>
      <c r="F2256" t="s">
        <v>6</v>
      </c>
      <c r="G2256" t="s">
        <v>130</v>
      </c>
      <c r="H2256" s="1">
        <v>46116</v>
      </c>
      <c r="I2256" t="s">
        <v>924</v>
      </c>
      <c r="J2256" t="s">
        <v>925</v>
      </c>
      <c r="K2256" t="s">
        <v>926</v>
      </c>
      <c r="L2256" t="s">
        <v>927</v>
      </c>
      <c r="M2256" t="s">
        <v>928</v>
      </c>
      <c r="N2256" s="166">
        <v>27.62</v>
      </c>
      <c r="O2256" t="s">
        <v>131</v>
      </c>
    </row>
    <row r="2257" spans="1:15">
      <c r="A2257" s="166" t="s">
        <v>929</v>
      </c>
      <c r="B2257" t="s">
        <v>111</v>
      </c>
      <c r="C2257" t="s">
        <v>406</v>
      </c>
      <c r="D2257" t="s">
        <v>118</v>
      </c>
      <c r="E2257" t="s">
        <v>668</v>
      </c>
      <c r="F2257" t="s">
        <v>6</v>
      </c>
      <c r="G2257" t="s">
        <v>130</v>
      </c>
      <c r="H2257" s="1">
        <v>46116</v>
      </c>
      <c r="I2257" t="s">
        <v>930</v>
      </c>
      <c r="J2257" t="s">
        <v>931</v>
      </c>
      <c r="K2257" t="s">
        <v>932</v>
      </c>
      <c r="L2257" t="s">
        <v>148</v>
      </c>
      <c r="M2257" t="s">
        <v>933</v>
      </c>
      <c r="N2257" s="166">
        <v>29.9</v>
      </c>
      <c r="O2257" t="s">
        <v>131</v>
      </c>
    </row>
    <row r="2258" spans="1:15">
      <c r="A2258" s="166" t="s">
        <v>934</v>
      </c>
      <c r="B2258" t="s">
        <v>111</v>
      </c>
      <c r="C2258" t="s">
        <v>133</v>
      </c>
      <c r="D2258" t="s">
        <v>118</v>
      </c>
      <c r="E2258" t="s">
        <v>668</v>
      </c>
      <c r="F2258" t="s">
        <v>6</v>
      </c>
      <c r="G2258" t="s">
        <v>130</v>
      </c>
      <c r="H2258" s="1">
        <v>46116</v>
      </c>
      <c r="I2258" t="s">
        <v>935</v>
      </c>
      <c r="J2258" t="s">
        <v>936</v>
      </c>
      <c r="K2258" t="s">
        <v>937</v>
      </c>
      <c r="L2258" t="s">
        <v>831</v>
      </c>
      <c r="M2258" t="s">
        <v>938</v>
      </c>
      <c r="N2258" s="166">
        <v>28.1</v>
      </c>
      <c r="O2258" t="s">
        <v>131</v>
      </c>
    </row>
    <row r="2259" spans="1:15">
      <c r="A2259" s="166" t="s">
        <v>939</v>
      </c>
      <c r="B2259" t="s">
        <v>111</v>
      </c>
      <c r="C2259" t="s">
        <v>136</v>
      </c>
      <c r="D2259" t="s">
        <v>118</v>
      </c>
      <c r="E2259" t="s">
        <v>668</v>
      </c>
      <c r="F2259" t="s">
        <v>6</v>
      </c>
      <c r="G2259" t="s">
        <v>130</v>
      </c>
      <c r="H2259" s="1">
        <v>46116</v>
      </c>
      <c r="I2259" t="s">
        <v>940</v>
      </c>
      <c r="J2259" t="s">
        <v>941</v>
      </c>
      <c r="K2259" t="s">
        <v>942</v>
      </c>
      <c r="L2259" t="s">
        <v>901</v>
      </c>
      <c r="M2259" t="s">
        <v>943</v>
      </c>
      <c r="N2259" s="166">
        <v>26.8</v>
      </c>
      <c r="O2259" t="s">
        <v>131</v>
      </c>
    </row>
    <row r="2260" spans="1:15">
      <c r="A2260" s="166" t="s">
        <v>944</v>
      </c>
      <c r="B2260" t="s">
        <v>111</v>
      </c>
      <c r="C2260" t="s">
        <v>134</v>
      </c>
      <c r="D2260" t="s">
        <v>118</v>
      </c>
      <c r="E2260" t="s">
        <v>668</v>
      </c>
      <c r="F2260" t="s">
        <v>6</v>
      </c>
      <c r="G2260" t="s">
        <v>130</v>
      </c>
      <c r="H2260" s="1">
        <v>46116</v>
      </c>
      <c r="I2260" t="s">
        <v>945</v>
      </c>
      <c r="J2260" t="s">
        <v>946</v>
      </c>
      <c r="K2260" t="s">
        <v>947</v>
      </c>
      <c r="L2260" t="s">
        <v>948</v>
      </c>
      <c r="M2260" t="s">
        <v>949</v>
      </c>
      <c r="N2260" s="166">
        <v>28.48</v>
      </c>
      <c r="O2260" t="s">
        <v>131</v>
      </c>
    </row>
    <row r="2261" spans="1:15">
      <c r="A2261" s="166" t="s">
        <v>950</v>
      </c>
      <c r="B2261" t="s">
        <v>111</v>
      </c>
      <c r="C2261" t="s">
        <v>406</v>
      </c>
      <c r="D2261" t="s">
        <v>118</v>
      </c>
      <c r="E2261" t="s">
        <v>668</v>
      </c>
      <c r="F2261" t="s">
        <v>6</v>
      </c>
      <c r="G2261" t="s">
        <v>130</v>
      </c>
      <c r="H2261" s="1">
        <v>46116</v>
      </c>
      <c r="I2261" t="s">
        <v>951</v>
      </c>
      <c r="J2261" t="s">
        <v>952</v>
      </c>
      <c r="K2261" t="s">
        <v>953</v>
      </c>
      <c r="L2261" t="s">
        <v>193</v>
      </c>
      <c r="M2261" t="s">
        <v>954</v>
      </c>
      <c r="N2261" s="166">
        <v>29.98</v>
      </c>
      <c r="O2261" t="s">
        <v>131</v>
      </c>
    </row>
    <row r="2262" spans="1:15">
      <c r="A2262" s="166" t="s">
        <v>955</v>
      </c>
      <c r="B2262" t="s">
        <v>111</v>
      </c>
      <c r="C2262" t="s">
        <v>133</v>
      </c>
      <c r="D2262" t="s">
        <v>118</v>
      </c>
      <c r="E2262" t="s">
        <v>668</v>
      </c>
      <c r="F2262" t="s">
        <v>6</v>
      </c>
      <c r="G2262" t="s">
        <v>130</v>
      </c>
      <c r="H2262" s="1">
        <v>46116</v>
      </c>
      <c r="I2262" t="s">
        <v>956</v>
      </c>
      <c r="J2262" t="s">
        <v>957</v>
      </c>
      <c r="K2262" t="s">
        <v>958</v>
      </c>
      <c r="L2262" t="s">
        <v>831</v>
      </c>
      <c r="M2262" t="s">
        <v>959</v>
      </c>
      <c r="N2262" s="166">
        <v>31.2</v>
      </c>
      <c r="O2262" t="s">
        <v>131</v>
      </c>
    </row>
    <row r="2263" spans="1:15">
      <c r="A2263" s="166" t="s">
        <v>960</v>
      </c>
      <c r="B2263" t="s">
        <v>111</v>
      </c>
      <c r="C2263" t="s">
        <v>136</v>
      </c>
      <c r="D2263" t="s">
        <v>118</v>
      </c>
      <c r="E2263" t="s">
        <v>668</v>
      </c>
      <c r="F2263" t="s">
        <v>6</v>
      </c>
      <c r="G2263" t="s">
        <v>130</v>
      </c>
      <c r="H2263" s="1">
        <v>46116</v>
      </c>
      <c r="I2263" t="s">
        <v>961</v>
      </c>
      <c r="J2263" t="s">
        <v>962</v>
      </c>
      <c r="K2263" t="s">
        <v>963</v>
      </c>
      <c r="L2263" t="s">
        <v>901</v>
      </c>
      <c r="M2263" t="s">
        <v>964</v>
      </c>
      <c r="N2263" s="166">
        <v>27.56</v>
      </c>
      <c r="O2263" t="s">
        <v>131</v>
      </c>
    </row>
    <row r="2264" spans="1:15">
      <c r="A2264" s="166" t="s">
        <v>965</v>
      </c>
      <c r="B2264" t="s">
        <v>111</v>
      </c>
      <c r="C2264" t="s">
        <v>134</v>
      </c>
      <c r="D2264" t="s">
        <v>118</v>
      </c>
      <c r="E2264" t="s">
        <v>668</v>
      </c>
      <c r="F2264" t="s">
        <v>6</v>
      </c>
      <c r="G2264" t="s">
        <v>130</v>
      </c>
      <c r="H2264" s="1">
        <v>46116</v>
      </c>
      <c r="I2264" t="s">
        <v>966</v>
      </c>
      <c r="J2264" t="s">
        <v>967</v>
      </c>
      <c r="K2264" t="s">
        <v>968</v>
      </c>
      <c r="L2264" t="s">
        <v>890</v>
      </c>
      <c r="M2264" t="s">
        <v>969</v>
      </c>
      <c r="N2264" s="166">
        <v>27.3</v>
      </c>
      <c r="O2264" t="s">
        <v>131</v>
      </c>
    </row>
    <row r="2265" spans="1:15">
      <c r="A2265" s="166" t="s">
        <v>970</v>
      </c>
      <c r="B2265" t="s">
        <v>111</v>
      </c>
      <c r="C2265" t="s">
        <v>406</v>
      </c>
      <c r="D2265" t="s">
        <v>118</v>
      </c>
      <c r="E2265" t="s">
        <v>668</v>
      </c>
      <c r="F2265" t="s">
        <v>6</v>
      </c>
      <c r="G2265" t="s">
        <v>130</v>
      </c>
      <c r="H2265" s="1">
        <v>46116</v>
      </c>
      <c r="I2265" t="s">
        <v>971</v>
      </c>
      <c r="J2265" t="s">
        <v>972</v>
      </c>
      <c r="K2265" t="s">
        <v>973</v>
      </c>
      <c r="L2265" t="s">
        <v>974</v>
      </c>
      <c r="M2265" t="s">
        <v>954</v>
      </c>
      <c r="N2265" s="166">
        <v>29.98</v>
      </c>
      <c r="O2265" t="s">
        <v>131</v>
      </c>
    </row>
    <row r="2266" spans="1:15">
      <c r="A2266" s="166" t="s">
        <v>975</v>
      </c>
      <c r="B2266" t="s">
        <v>111</v>
      </c>
      <c r="C2266" t="s">
        <v>133</v>
      </c>
      <c r="D2266" t="s">
        <v>118</v>
      </c>
      <c r="E2266" t="s">
        <v>668</v>
      </c>
      <c r="F2266" t="s">
        <v>6</v>
      </c>
      <c r="G2266" t="s">
        <v>130</v>
      </c>
      <c r="H2266" s="1">
        <v>46116</v>
      </c>
      <c r="I2266" t="s">
        <v>976</v>
      </c>
      <c r="J2266" t="s">
        <v>977</v>
      </c>
      <c r="K2266" t="s">
        <v>978</v>
      </c>
      <c r="L2266" t="s">
        <v>801</v>
      </c>
      <c r="M2266" t="s">
        <v>979</v>
      </c>
      <c r="N2266" s="166">
        <v>31.1</v>
      </c>
      <c r="O2266" t="s">
        <v>131</v>
      </c>
    </row>
    <row r="2267" spans="1:15">
      <c r="A2267" s="166" t="s">
        <v>980</v>
      </c>
      <c r="B2267" t="s">
        <v>111</v>
      </c>
      <c r="C2267" t="s">
        <v>136</v>
      </c>
      <c r="D2267" t="s">
        <v>118</v>
      </c>
      <c r="E2267" t="s">
        <v>668</v>
      </c>
      <c r="F2267" t="s">
        <v>6</v>
      </c>
      <c r="G2267" t="s">
        <v>130</v>
      </c>
      <c r="H2267" s="1">
        <v>46116</v>
      </c>
      <c r="I2267" t="s">
        <v>981</v>
      </c>
      <c r="J2267" t="s">
        <v>982</v>
      </c>
      <c r="K2267" t="s">
        <v>983</v>
      </c>
      <c r="L2267" t="s">
        <v>901</v>
      </c>
      <c r="M2267" t="s">
        <v>984</v>
      </c>
      <c r="N2267" s="166">
        <v>28.6</v>
      </c>
      <c r="O2267" t="s">
        <v>131</v>
      </c>
    </row>
    <row r="2268" spans="1:15">
      <c r="A2268" s="166" t="s">
        <v>985</v>
      </c>
      <c r="B2268" t="s">
        <v>111</v>
      </c>
      <c r="C2268" t="s">
        <v>134</v>
      </c>
      <c r="D2268" t="s">
        <v>118</v>
      </c>
      <c r="E2268" t="s">
        <v>668</v>
      </c>
      <c r="F2268" t="s">
        <v>6</v>
      </c>
      <c r="G2268" t="s">
        <v>130</v>
      </c>
      <c r="H2268" s="1">
        <v>46116</v>
      </c>
      <c r="I2268" t="s">
        <v>986</v>
      </c>
      <c r="J2268" t="s">
        <v>987</v>
      </c>
      <c r="K2268" t="s">
        <v>988</v>
      </c>
      <c r="L2268" t="s">
        <v>989</v>
      </c>
      <c r="M2268" t="s">
        <v>990</v>
      </c>
      <c r="N2268" s="166">
        <v>29.38</v>
      </c>
      <c r="O2268" t="s">
        <v>131</v>
      </c>
    </row>
    <row r="2269" spans="1:15">
      <c r="A2269" s="166" t="s">
        <v>991</v>
      </c>
      <c r="B2269" t="s">
        <v>111</v>
      </c>
      <c r="C2269" t="s">
        <v>406</v>
      </c>
      <c r="D2269" t="s">
        <v>118</v>
      </c>
      <c r="E2269" t="s">
        <v>668</v>
      </c>
      <c r="F2269" t="s">
        <v>6</v>
      </c>
      <c r="G2269" t="s">
        <v>130</v>
      </c>
      <c r="H2269" s="1">
        <v>46116</v>
      </c>
      <c r="I2269" t="s">
        <v>992</v>
      </c>
      <c r="J2269" t="s">
        <v>993</v>
      </c>
      <c r="K2269" t="s">
        <v>994</v>
      </c>
      <c r="L2269" t="s">
        <v>144</v>
      </c>
      <c r="M2269" t="s">
        <v>995</v>
      </c>
      <c r="N2269" s="166">
        <v>25.34</v>
      </c>
      <c r="O2269" t="s">
        <v>131</v>
      </c>
    </row>
    <row r="2270" spans="1:15">
      <c r="A2270" s="166" t="s">
        <v>996</v>
      </c>
      <c r="B2270" t="s">
        <v>111</v>
      </c>
      <c r="C2270" t="s">
        <v>133</v>
      </c>
      <c r="D2270" t="s">
        <v>118</v>
      </c>
      <c r="E2270" t="s">
        <v>668</v>
      </c>
      <c r="F2270" t="s">
        <v>6</v>
      </c>
      <c r="G2270" t="s">
        <v>130</v>
      </c>
      <c r="H2270" s="1">
        <v>46116</v>
      </c>
      <c r="I2270" t="s">
        <v>997</v>
      </c>
      <c r="J2270" t="s">
        <v>998</v>
      </c>
      <c r="K2270" t="s">
        <v>999</v>
      </c>
      <c r="L2270" t="s">
        <v>801</v>
      </c>
      <c r="M2270" t="s">
        <v>922</v>
      </c>
      <c r="N2270" s="166">
        <v>25.2</v>
      </c>
      <c r="O2270" t="s">
        <v>131</v>
      </c>
    </row>
    <row r="2271" spans="1:15">
      <c r="A2271" s="166" t="s">
        <v>1000</v>
      </c>
      <c r="B2271" t="s">
        <v>111</v>
      </c>
      <c r="C2271" t="s">
        <v>136</v>
      </c>
      <c r="D2271" t="s">
        <v>118</v>
      </c>
      <c r="E2271" t="s">
        <v>668</v>
      </c>
      <c r="F2271" t="s">
        <v>6</v>
      </c>
      <c r="G2271" t="s">
        <v>130</v>
      </c>
      <c r="H2271" s="1">
        <v>46116</v>
      </c>
      <c r="I2271" t="s">
        <v>1001</v>
      </c>
      <c r="J2271" t="s">
        <v>1002</v>
      </c>
      <c r="K2271" t="s">
        <v>1003</v>
      </c>
      <c r="L2271" t="s">
        <v>901</v>
      </c>
      <c r="M2271" t="s">
        <v>1004</v>
      </c>
      <c r="N2271" s="166">
        <v>27.98</v>
      </c>
      <c r="O2271" t="s">
        <v>131</v>
      </c>
    </row>
    <row r="2272" spans="1:15">
      <c r="A2272" s="166" t="s">
        <v>1005</v>
      </c>
      <c r="B2272" t="s">
        <v>111</v>
      </c>
      <c r="C2272" t="s">
        <v>134</v>
      </c>
      <c r="D2272" t="s">
        <v>118</v>
      </c>
      <c r="E2272" t="s">
        <v>668</v>
      </c>
      <c r="F2272" t="s">
        <v>6</v>
      </c>
      <c r="G2272" t="s">
        <v>130</v>
      </c>
      <c r="H2272" s="1">
        <v>46116</v>
      </c>
      <c r="I2272" t="s">
        <v>1006</v>
      </c>
      <c r="J2272" t="s">
        <v>1007</v>
      </c>
      <c r="K2272" t="s">
        <v>1008</v>
      </c>
      <c r="L2272" t="s">
        <v>208</v>
      </c>
      <c r="M2272" t="s">
        <v>1009</v>
      </c>
      <c r="N2272" s="166">
        <v>27.78</v>
      </c>
      <c r="O2272" t="s">
        <v>131</v>
      </c>
    </row>
    <row r="2273" spans="1:15">
      <c r="A2273" s="166" t="s">
        <v>1010</v>
      </c>
      <c r="B2273" t="s">
        <v>111</v>
      </c>
      <c r="C2273" t="s">
        <v>406</v>
      </c>
      <c r="D2273" t="s">
        <v>118</v>
      </c>
      <c r="E2273" t="s">
        <v>668</v>
      </c>
      <c r="F2273" t="s">
        <v>6</v>
      </c>
      <c r="G2273" t="s">
        <v>130</v>
      </c>
      <c r="H2273" s="1">
        <v>46116</v>
      </c>
      <c r="I2273" t="s">
        <v>1011</v>
      </c>
      <c r="J2273" t="s">
        <v>1012</v>
      </c>
      <c r="K2273" t="s">
        <v>1013</v>
      </c>
      <c r="L2273" t="s">
        <v>208</v>
      </c>
      <c r="M2273" t="s">
        <v>949</v>
      </c>
      <c r="N2273" s="166">
        <v>28.48</v>
      </c>
      <c r="O2273" t="s">
        <v>131</v>
      </c>
    </row>
    <row r="2274" spans="1:15">
      <c r="A2274" s="166" t="s">
        <v>1014</v>
      </c>
      <c r="B2274" t="s">
        <v>111</v>
      </c>
      <c r="C2274" t="s">
        <v>133</v>
      </c>
      <c r="D2274" t="s">
        <v>118</v>
      </c>
      <c r="E2274" t="s">
        <v>668</v>
      </c>
      <c r="F2274" t="s">
        <v>6</v>
      </c>
      <c r="G2274" t="s">
        <v>130</v>
      </c>
      <c r="H2274" s="1">
        <v>46116</v>
      </c>
      <c r="I2274" t="s">
        <v>1015</v>
      </c>
      <c r="J2274" t="s">
        <v>1016</v>
      </c>
      <c r="K2274" t="s">
        <v>1017</v>
      </c>
      <c r="L2274" t="s">
        <v>714</v>
      </c>
      <c r="M2274" t="s">
        <v>1018</v>
      </c>
      <c r="N2274" s="166">
        <v>28.94</v>
      </c>
      <c r="O2274" t="s">
        <v>131</v>
      </c>
    </row>
    <row r="2275" spans="1:15">
      <c r="A2275" s="166" t="s">
        <v>1019</v>
      </c>
      <c r="B2275" t="s">
        <v>111</v>
      </c>
      <c r="C2275" t="s">
        <v>136</v>
      </c>
      <c r="D2275" t="s">
        <v>118</v>
      </c>
      <c r="E2275" t="s">
        <v>668</v>
      </c>
      <c r="F2275" t="s">
        <v>6</v>
      </c>
      <c r="G2275" t="s">
        <v>130</v>
      </c>
      <c r="H2275" s="1">
        <v>46116</v>
      </c>
      <c r="I2275" t="s">
        <v>1020</v>
      </c>
      <c r="J2275" t="s">
        <v>1021</v>
      </c>
      <c r="K2275" t="s">
        <v>1022</v>
      </c>
      <c r="L2275" t="s">
        <v>901</v>
      </c>
      <c r="M2275" t="s">
        <v>1023</v>
      </c>
      <c r="N2275" s="166">
        <v>30.5</v>
      </c>
      <c r="O2275" t="s">
        <v>131</v>
      </c>
    </row>
    <row r="2276" spans="1:15">
      <c r="A2276" s="166" t="s">
        <v>1024</v>
      </c>
      <c r="B2276" t="s">
        <v>111</v>
      </c>
      <c r="C2276" t="s">
        <v>134</v>
      </c>
      <c r="D2276" t="s">
        <v>118</v>
      </c>
      <c r="E2276" t="s">
        <v>668</v>
      </c>
      <c r="F2276" t="s">
        <v>6</v>
      </c>
      <c r="G2276" t="s">
        <v>130</v>
      </c>
      <c r="H2276" s="1">
        <v>46116</v>
      </c>
      <c r="I2276" t="s">
        <v>1025</v>
      </c>
      <c r="J2276" t="s">
        <v>1026</v>
      </c>
      <c r="K2276" t="s">
        <v>1027</v>
      </c>
      <c r="L2276" t="s">
        <v>208</v>
      </c>
      <c r="M2276" t="s">
        <v>1028</v>
      </c>
      <c r="N2276" s="166">
        <v>31.86</v>
      </c>
      <c r="O2276" t="s">
        <v>131</v>
      </c>
    </row>
    <row r="2277" spans="1:15">
      <c r="A2277" s="166" t="s">
        <v>1029</v>
      </c>
      <c r="B2277" t="s">
        <v>111</v>
      </c>
      <c r="C2277" t="s">
        <v>406</v>
      </c>
      <c r="D2277" t="s">
        <v>118</v>
      </c>
      <c r="E2277" t="s">
        <v>668</v>
      </c>
      <c r="F2277" t="s">
        <v>6</v>
      </c>
      <c r="G2277" t="s">
        <v>130</v>
      </c>
      <c r="H2277" s="1">
        <v>46116</v>
      </c>
      <c r="I2277" t="s">
        <v>1030</v>
      </c>
      <c r="J2277" t="s">
        <v>1031</v>
      </c>
      <c r="K2277" t="s">
        <v>1032</v>
      </c>
      <c r="L2277" t="s">
        <v>208</v>
      </c>
      <c r="M2277" t="s">
        <v>1033</v>
      </c>
      <c r="N2277" s="166">
        <v>30.28</v>
      </c>
      <c r="O2277" t="s">
        <v>131</v>
      </c>
    </row>
    <row r="2278" spans="1:15">
      <c r="A2278" s="166" t="s">
        <v>1034</v>
      </c>
      <c r="B2278" t="s">
        <v>111</v>
      </c>
      <c r="C2278" t="s">
        <v>133</v>
      </c>
      <c r="D2278" t="s">
        <v>118</v>
      </c>
      <c r="E2278" t="s">
        <v>668</v>
      </c>
      <c r="F2278" t="s">
        <v>6</v>
      </c>
      <c r="G2278" t="s">
        <v>130</v>
      </c>
      <c r="H2278" s="1">
        <v>46116</v>
      </c>
      <c r="I2278" t="s">
        <v>1035</v>
      </c>
      <c r="J2278" t="s">
        <v>1036</v>
      </c>
      <c r="K2278" t="s">
        <v>1037</v>
      </c>
      <c r="L2278" t="s">
        <v>801</v>
      </c>
      <c r="M2278" t="s">
        <v>1038</v>
      </c>
      <c r="N2278" s="166">
        <v>27.82</v>
      </c>
      <c r="O2278" t="s">
        <v>131</v>
      </c>
    </row>
    <row r="2279" spans="1:15">
      <c r="A2279" s="166" t="s">
        <v>1039</v>
      </c>
      <c r="B2279" t="s">
        <v>111</v>
      </c>
      <c r="C2279" t="s">
        <v>136</v>
      </c>
      <c r="D2279" t="s">
        <v>118</v>
      </c>
      <c r="E2279" t="s">
        <v>668</v>
      </c>
      <c r="F2279" t="s">
        <v>6</v>
      </c>
      <c r="G2279" t="s">
        <v>130</v>
      </c>
      <c r="H2279" s="1">
        <v>46116</v>
      </c>
      <c r="I2279" t="s">
        <v>1040</v>
      </c>
      <c r="J2279" t="s">
        <v>1041</v>
      </c>
      <c r="K2279" t="s">
        <v>1042</v>
      </c>
      <c r="L2279" t="s">
        <v>901</v>
      </c>
      <c r="M2279" t="s">
        <v>1043</v>
      </c>
      <c r="N2279" s="166">
        <v>27.48</v>
      </c>
      <c r="O2279" t="s">
        <v>131</v>
      </c>
    </row>
    <row r="2280" spans="1:15">
      <c r="A2280" s="166" t="s">
        <v>1044</v>
      </c>
      <c r="B2280" t="s">
        <v>111</v>
      </c>
      <c r="C2280" t="s">
        <v>134</v>
      </c>
      <c r="D2280" t="s">
        <v>118</v>
      </c>
      <c r="E2280" t="s">
        <v>668</v>
      </c>
      <c r="F2280" t="s">
        <v>6</v>
      </c>
      <c r="G2280" t="s">
        <v>130</v>
      </c>
      <c r="H2280" s="1">
        <v>46116</v>
      </c>
      <c r="I2280" t="s">
        <v>1045</v>
      </c>
      <c r="J2280" t="s">
        <v>1046</v>
      </c>
      <c r="K2280" t="s">
        <v>1047</v>
      </c>
      <c r="L2280" t="s">
        <v>149</v>
      </c>
      <c r="M2280" t="s">
        <v>1048</v>
      </c>
      <c r="N2280" s="166">
        <v>26</v>
      </c>
      <c r="O2280" t="s">
        <v>131</v>
      </c>
    </row>
    <row r="2281" spans="1:15">
      <c r="A2281" s="166" t="s">
        <v>1049</v>
      </c>
      <c r="B2281" t="s">
        <v>111</v>
      </c>
      <c r="C2281" t="s">
        <v>406</v>
      </c>
      <c r="D2281" t="s">
        <v>118</v>
      </c>
      <c r="E2281" t="s">
        <v>668</v>
      </c>
      <c r="F2281" t="s">
        <v>6</v>
      </c>
      <c r="G2281" t="s">
        <v>130</v>
      </c>
      <c r="H2281" s="1">
        <v>46116</v>
      </c>
      <c r="I2281" t="s">
        <v>1050</v>
      </c>
      <c r="J2281" t="s">
        <v>1051</v>
      </c>
      <c r="K2281" t="s">
        <v>1052</v>
      </c>
      <c r="L2281" t="s">
        <v>208</v>
      </c>
      <c r="M2281" t="s">
        <v>211</v>
      </c>
      <c r="N2281" s="166">
        <v>21.32</v>
      </c>
      <c r="O2281" t="s">
        <v>131</v>
      </c>
    </row>
    <row r="2282" spans="1:15">
      <c r="A2282" s="166" t="s">
        <v>1053</v>
      </c>
      <c r="B2282" t="s">
        <v>111</v>
      </c>
      <c r="C2282" t="s">
        <v>133</v>
      </c>
      <c r="D2282" t="s">
        <v>118</v>
      </c>
      <c r="E2282" t="s">
        <v>668</v>
      </c>
      <c r="F2282" t="s">
        <v>6</v>
      </c>
      <c r="G2282" t="s">
        <v>130</v>
      </c>
      <c r="H2282" s="1">
        <v>46116</v>
      </c>
      <c r="I2282" t="s">
        <v>1054</v>
      </c>
      <c r="J2282" t="s">
        <v>1055</v>
      </c>
      <c r="K2282" t="s">
        <v>1056</v>
      </c>
      <c r="L2282" t="s">
        <v>831</v>
      </c>
      <c r="M2282" t="s">
        <v>1057</v>
      </c>
      <c r="N2282" s="166">
        <v>20.14</v>
      </c>
      <c r="O2282" t="s">
        <v>131</v>
      </c>
    </row>
    <row r="2283" spans="1:15">
      <c r="A2283" s="166" t="s">
        <v>1058</v>
      </c>
      <c r="B2283" t="s">
        <v>111</v>
      </c>
      <c r="C2283" t="s">
        <v>136</v>
      </c>
      <c r="D2283" t="s">
        <v>118</v>
      </c>
      <c r="E2283" t="s">
        <v>668</v>
      </c>
      <c r="F2283" t="s">
        <v>6</v>
      </c>
      <c r="G2283" t="s">
        <v>130</v>
      </c>
      <c r="H2283" s="1">
        <v>46116</v>
      </c>
      <c r="I2283" t="s">
        <v>1059</v>
      </c>
      <c r="J2283" t="s">
        <v>1060</v>
      </c>
      <c r="K2283" t="s">
        <v>1061</v>
      </c>
      <c r="L2283" t="s">
        <v>901</v>
      </c>
      <c r="M2283" t="s">
        <v>1062</v>
      </c>
      <c r="N2283" s="166">
        <v>16.600000000000001</v>
      </c>
      <c r="O2283" t="s">
        <v>131</v>
      </c>
    </row>
    <row r="2284" spans="1:15">
      <c r="A2284" s="166" t="s">
        <v>1063</v>
      </c>
      <c r="B2284" t="s">
        <v>111</v>
      </c>
      <c r="C2284" t="s">
        <v>134</v>
      </c>
      <c r="D2284" t="s">
        <v>118</v>
      </c>
      <c r="E2284" t="s">
        <v>668</v>
      </c>
      <c r="F2284" t="s">
        <v>6</v>
      </c>
      <c r="G2284" t="s">
        <v>130</v>
      </c>
      <c r="H2284" s="1">
        <v>46116</v>
      </c>
      <c r="I2284" t="s">
        <v>1064</v>
      </c>
      <c r="J2284" t="s">
        <v>1065</v>
      </c>
      <c r="K2284" t="s">
        <v>1066</v>
      </c>
      <c r="L2284" t="s">
        <v>777</v>
      </c>
      <c r="M2284" t="s">
        <v>1067</v>
      </c>
      <c r="N2284" s="166">
        <v>18.84</v>
      </c>
      <c r="O2284" t="s">
        <v>131</v>
      </c>
    </row>
    <row r="2285" spans="1:15">
      <c r="A2285" s="166" t="s">
        <v>1068</v>
      </c>
      <c r="B2285" t="s">
        <v>111</v>
      </c>
      <c r="C2285" t="s">
        <v>406</v>
      </c>
      <c r="D2285" t="s">
        <v>118</v>
      </c>
      <c r="E2285" t="s">
        <v>668</v>
      </c>
      <c r="F2285" t="s">
        <v>6</v>
      </c>
      <c r="G2285" t="s">
        <v>130</v>
      </c>
      <c r="H2285" s="1">
        <v>46116</v>
      </c>
      <c r="I2285" t="s">
        <v>1069</v>
      </c>
      <c r="J2285" t="s">
        <v>1070</v>
      </c>
      <c r="K2285" t="s">
        <v>1071</v>
      </c>
      <c r="L2285" t="s">
        <v>1072</v>
      </c>
      <c r="M2285" t="s">
        <v>207</v>
      </c>
      <c r="N2285" s="166">
        <v>20.92</v>
      </c>
      <c r="O2285" t="s">
        <v>131</v>
      </c>
    </row>
    <row r="2286" spans="1:15">
      <c r="A2286" s="166" t="s">
        <v>1073</v>
      </c>
      <c r="B2286" t="s">
        <v>111</v>
      </c>
      <c r="C2286" t="s">
        <v>133</v>
      </c>
      <c r="D2286" t="s">
        <v>118</v>
      </c>
      <c r="E2286" t="s">
        <v>668</v>
      </c>
      <c r="F2286" t="s">
        <v>6</v>
      </c>
      <c r="G2286" t="s">
        <v>130</v>
      </c>
      <c r="H2286" s="1">
        <v>46116</v>
      </c>
      <c r="I2286" t="s">
        <v>1074</v>
      </c>
      <c r="J2286" t="s">
        <v>1075</v>
      </c>
      <c r="K2286" t="s">
        <v>191</v>
      </c>
      <c r="L2286" t="s">
        <v>1076</v>
      </c>
      <c r="M2286" t="s">
        <v>767</v>
      </c>
      <c r="N2286" s="166">
        <v>22.24</v>
      </c>
      <c r="O2286" t="s">
        <v>131</v>
      </c>
    </row>
    <row r="2287" spans="1:15">
      <c r="A2287" s="166" t="s">
        <v>1077</v>
      </c>
      <c r="B2287" t="s">
        <v>111</v>
      </c>
      <c r="C2287" t="s">
        <v>136</v>
      </c>
      <c r="D2287" t="s">
        <v>118</v>
      </c>
      <c r="E2287" t="s">
        <v>668</v>
      </c>
      <c r="F2287" t="s">
        <v>6</v>
      </c>
      <c r="G2287" t="s">
        <v>130</v>
      </c>
      <c r="H2287" s="1">
        <v>46116</v>
      </c>
      <c r="I2287" t="s">
        <v>1078</v>
      </c>
      <c r="J2287" t="s">
        <v>1079</v>
      </c>
      <c r="K2287" t="s">
        <v>1080</v>
      </c>
      <c r="L2287" t="s">
        <v>1081</v>
      </c>
      <c r="M2287" t="s">
        <v>601</v>
      </c>
      <c r="N2287" s="166">
        <v>21.46</v>
      </c>
      <c r="O2287" t="s">
        <v>131</v>
      </c>
    </row>
    <row r="2288" spans="1:15">
      <c r="A2288" s="166" t="s">
        <v>1082</v>
      </c>
      <c r="B2288" t="s">
        <v>111</v>
      </c>
      <c r="C2288" t="s">
        <v>641</v>
      </c>
      <c r="D2288" t="s">
        <v>118</v>
      </c>
      <c r="E2288" t="s">
        <v>430</v>
      </c>
      <c r="F2288" t="s">
        <v>6</v>
      </c>
      <c r="G2288" t="s">
        <v>130</v>
      </c>
      <c r="H2288" s="1">
        <v>46116</v>
      </c>
      <c r="I2288" t="s">
        <v>1083</v>
      </c>
      <c r="J2288" t="s">
        <v>1084</v>
      </c>
      <c r="K2288" t="s">
        <v>1085</v>
      </c>
      <c r="L2288" t="s">
        <v>162</v>
      </c>
      <c r="M2288" t="s">
        <v>1086</v>
      </c>
      <c r="N2288" s="166">
        <v>18.82</v>
      </c>
      <c r="O2288" t="s">
        <v>131</v>
      </c>
    </row>
    <row r="2289" spans="1:15">
      <c r="A2289" s="166" t="s">
        <v>1087</v>
      </c>
      <c r="B2289" t="s">
        <v>111</v>
      </c>
      <c r="C2289" t="s">
        <v>135</v>
      </c>
      <c r="D2289" t="s">
        <v>118</v>
      </c>
      <c r="E2289" t="s">
        <v>430</v>
      </c>
      <c r="F2289" t="s">
        <v>6</v>
      </c>
      <c r="G2289" t="s">
        <v>130</v>
      </c>
      <c r="H2289" s="1">
        <v>46116</v>
      </c>
      <c r="I2289" t="s">
        <v>1088</v>
      </c>
      <c r="J2289" t="s">
        <v>1089</v>
      </c>
      <c r="K2289" t="s">
        <v>438</v>
      </c>
      <c r="L2289" t="s">
        <v>157</v>
      </c>
      <c r="M2289" t="s">
        <v>1090</v>
      </c>
      <c r="N2289" s="166">
        <v>21.66</v>
      </c>
      <c r="O2289" t="s">
        <v>131</v>
      </c>
    </row>
    <row r="2290" spans="1:15">
      <c r="A2290" s="166" t="s">
        <v>1091</v>
      </c>
      <c r="B2290" t="s">
        <v>111</v>
      </c>
      <c r="C2290" t="s">
        <v>132</v>
      </c>
      <c r="D2290" t="s">
        <v>118</v>
      </c>
      <c r="E2290" t="s">
        <v>430</v>
      </c>
      <c r="F2290" t="s">
        <v>6</v>
      </c>
      <c r="G2290" t="s">
        <v>130</v>
      </c>
      <c r="H2290" s="1">
        <v>46116</v>
      </c>
      <c r="I2290" t="s">
        <v>1092</v>
      </c>
      <c r="J2290" t="s">
        <v>1093</v>
      </c>
      <c r="K2290" t="s">
        <v>1094</v>
      </c>
      <c r="L2290" t="s">
        <v>1095</v>
      </c>
      <c r="M2290" t="s">
        <v>1096</v>
      </c>
      <c r="N2290" s="166">
        <v>14.52</v>
      </c>
      <c r="O2290" t="s">
        <v>131</v>
      </c>
    </row>
    <row r="2291" spans="1:15">
      <c r="A2291" s="166" t="s">
        <v>1097</v>
      </c>
      <c r="B2291" t="s">
        <v>111</v>
      </c>
      <c r="C2291" t="s">
        <v>136</v>
      </c>
      <c r="D2291" t="s">
        <v>118</v>
      </c>
      <c r="E2291" t="s">
        <v>430</v>
      </c>
      <c r="F2291" t="s">
        <v>6</v>
      </c>
      <c r="G2291" t="s">
        <v>130</v>
      </c>
      <c r="H2291" s="1">
        <v>46116</v>
      </c>
      <c r="I2291" t="s">
        <v>1098</v>
      </c>
      <c r="J2291" t="s">
        <v>1099</v>
      </c>
      <c r="K2291" t="s">
        <v>1100</v>
      </c>
      <c r="L2291" t="s">
        <v>1101</v>
      </c>
      <c r="M2291" t="s">
        <v>1102</v>
      </c>
      <c r="N2291" s="166">
        <v>18.88</v>
      </c>
      <c r="O2291" t="s">
        <v>131</v>
      </c>
    </row>
    <row r="2292" spans="1:15">
      <c r="A2292" s="166" t="s">
        <v>1103</v>
      </c>
      <c r="B2292" t="s">
        <v>111</v>
      </c>
      <c r="C2292" t="s">
        <v>1104</v>
      </c>
      <c r="D2292" t="s">
        <v>118</v>
      </c>
      <c r="E2292" t="s">
        <v>430</v>
      </c>
      <c r="F2292" t="s">
        <v>6</v>
      </c>
      <c r="G2292" t="s">
        <v>130</v>
      </c>
      <c r="H2292" s="1">
        <v>46116</v>
      </c>
      <c r="I2292" t="s">
        <v>1105</v>
      </c>
      <c r="J2292" t="s">
        <v>1106</v>
      </c>
      <c r="K2292" t="s">
        <v>1107</v>
      </c>
      <c r="L2292" t="s">
        <v>1108</v>
      </c>
      <c r="M2292" t="s">
        <v>1109</v>
      </c>
      <c r="N2292" s="166">
        <v>15.12</v>
      </c>
      <c r="O2292" t="s">
        <v>131</v>
      </c>
    </row>
    <row r="2293" spans="1:15">
      <c r="A2293" s="166" t="s">
        <v>1110</v>
      </c>
      <c r="B2293" t="s">
        <v>111</v>
      </c>
      <c r="C2293" t="s">
        <v>641</v>
      </c>
      <c r="D2293" t="s">
        <v>118</v>
      </c>
      <c r="E2293" t="s">
        <v>430</v>
      </c>
      <c r="F2293" t="s">
        <v>6</v>
      </c>
      <c r="G2293" t="s">
        <v>130</v>
      </c>
      <c r="H2293" s="1">
        <v>46116</v>
      </c>
      <c r="I2293" t="s">
        <v>1111</v>
      </c>
      <c r="J2293" t="s">
        <v>1112</v>
      </c>
      <c r="K2293" t="s">
        <v>1113</v>
      </c>
      <c r="L2293" t="s">
        <v>162</v>
      </c>
      <c r="M2293" t="s">
        <v>1114</v>
      </c>
      <c r="N2293" s="166">
        <v>17.8</v>
      </c>
      <c r="O2293" t="s">
        <v>131</v>
      </c>
    </row>
    <row r="2294" spans="1:15">
      <c r="A2294" s="166" t="s">
        <v>1115</v>
      </c>
      <c r="B2294" t="s">
        <v>111</v>
      </c>
      <c r="C2294" t="s">
        <v>135</v>
      </c>
      <c r="D2294" t="s">
        <v>118</v>
      </c>
      <c r="E2294" t="s">
        <v>430</v>
      </c>
      <c r="F2294" t="s">
        <v>6</v>
      </c>
      <c r="G2294" t="s">
        <v>130</v>
      </c>
      <c r="H2294" s="1">
        <v>46116</v>
      </c>
      <c r="I2294" t="s">
        <v>1116</v>
      </c>
      <c r="J2294" t="s">
        <v>1117</v>
      </c>
      <c r="K2294" t="s">
        <v>150</v>
      </c>
      <c r="L2294" t="s">
        <v>146</v>
      </c>
      <c r="M2294" t="s">
        <v>211</v>
      </c>
      <c r="N2294" s="166">
        <v>21.32</v>
      </c>
      <c r="O2294" t="s">
        <v>131</v>
      </c>
    </row>
    <row r="2295" spans="1:15">
      <c r="A2295" s="166" t="s">
        <v>1118</v>
      </c>
      <c r="B2295" t="s">
        <v>111</v>
      </c>
      <c r="C2295" t="s">
        <v>132</v>
      </c>
      <c r="D2295" t="s">
        <v>118</v>
      </c>
      <c r="E2295" t="s">
        <v>430</v>
      </c>
      <c r="F2295" t="s">
        <v>6</v>
      </c>
      <c r="G2295" t="s">
        <v>130</v>
      </c>
      <c r="H2295" s="1">
        <v>46116</v>
      </c>
      <c r="I2295" t="s">
        <v>1119</v>
      </c>
      <c r="J2295" t="s">
        <v>1120</v>
      </c>
      <c r="K2295" t="s">
        <v>1094</v>
      </c>
      <c r="L2295" t="s">
        <v>1121</v>
      </c>
      <c r="M2295" t="s">
        <v>1122</v>
      </c>
      <c r="N2295" s="166">
        <v>12.98</v>
      </c>
      <c r="O2295" t="s">
        <v>131</v>
      </c>
    </row>
    <row r="2296" spans="1:15">
      <c r="A2296" s="166" t="s">
        <v>1123</v>
      </c>
      <c r="B2296" t="s">
        <v>111</v>
      </c>
      <c r="C2296" t="s">
        <v>1104</v>
      </c>
      <c r="D2296" t="s">
        <v>118</v>
      </c>
      <c r="E2296" t="s">
        <v>430</v>
      </c>
      <c r="F2296" t="s">
        <v>6</v>
      </c>
      <c r="G2296" t="s">
        <v>130</v>
      </c>
      <c r="H2296" s="1">
        <v>46116</v>
      </c>
      <c r="I2296" t="s">
        <v>1124</v>
      </c>
      <c r="J2296" t="s">
        <v>1125</v>
      </c>
      <c r="K2296" t="s">
        <v>1126</v>
      </c>
      <c r="L2296" t="s">
        <v>146</v>
      </c>
      <c r="M2296" t="s">
        <v>1127</v>
      </c>
      <c r="N2296" s="166">
        <v>19.920000000000002</v>
      </c>
      <c r="O2296" t="s">
        <v>131</v>
      </c>
    </row>
    <row r="2297" spans="1:15">
      <c r="A2297" s="166" t="s">
        <v>1128</v>
      </c>
      <c r="B2297" t="s">
        <v>111</v>
      </c>
      <c r="C2297" t="s">
        <v>136</v>
      </c>
      <c r="D2297" t="s">
        <v>118</v>
      </c>
      <c r="E2297" t="s">
        <v>430</v>
      </c>
      <c r="F2297" t="s">
        <v>6</v>
      </c>
      <c r="G2297" t="s">
        <v>130</v>
      </c>
      <c r="H2297" s="1">
        <v>46116</v>
      </c>
      <c r="I2297" t="s">
        <v>1129</v>
      </c>
      <c r="J2297" t="s">
        <v>1130</v>
      </c>
      <c r="K2297" t="s">
        <v>1131</v>
      </c>
      <c r="L2297" t="s">
        <v>465</v>
      </c>
      <c r="M2297" t="s">
        <v>1132</v>
      </c>
      <c r="N2297" s="166">
        <v>18.34</v>
      </c>
      <c r="O2297" t="s">
        <v>131</v>
      </c>
    </row>
    <row r="2298" spans="1:15">
      <c r="A2298" s="166" t="s">
        <v>1133</v>
      </c>
      <c r="B2298" t="s">
        <v>111</v>
      </c>
      <c r="C2298" t="s">
        <v>641</v>
      </c>
      <c r="D2298" t="s">
        <v>118</v>
      </c>
      <c r="E2298" t="s">
        <v>430</v>
      </c>
      <c r="F2298" t="s">
        <v>6</v>
      </c>
      <c r="G2298" t="s">
        <v>130</v>
      </c>
      <c r="H2298" s="1">
        <v>46116</v>
      </c>
      <c r="I2298" t="s">
        <v>1134</v>
      </c>
      <c r="J2298" t="s">
        <v>1135</v>
      </c>
      <c r="K2298" t="s">
        <v>1100</v>
      </c>
      <c r="L2298" t="s">
        <v>777</v>
      </c>
      <c r="M2298" t="s">
        <v>1136</v>
      </c>
      <c r="N2298" s="166">
        <v>19.899999999999999</v>
      </c>
      <c r="O2298" t="s">
        <v>131</v>
      </c>
    </row>
    <row r="2299" spans="1:15">
      <c r="A2299" s="166" t="s">
        <v>1137</v>
      </c>
      <c r="B2299" t="s">
        <v>111</v>
      </c>
      <c r="C2299" t="s">
        <v>135</v>
      </c>
      <c r="D2299" t="s">
        <v>118</v>
      </c>
      <c r="E2299" t="s">
        <v>430</v>
      </c>
      <c r="F2299" t="s">
        <v>6</v>
      </c>
      <c r="G2299" t="s">
        <v>130</v>
      </c>
      <c r="H2299" s="1">
        <v>46116</v>
      </c>
      <c r="I2299" t="s">
        <v>1138</v>
      </c>
      <c r="J2299" t="s">
        <v>1139</v>
      </c>
      <c r="K2299" t="s">
        <v>426</v>
      </c>
      <c r="L2299" t="s">
        <v>503</v>
      </c>
      <c r="M2299" t="s">
        <v>1140</v>
      </c>
      <c r="N2299" s="166">
        <v>21.2</v>
      </c>
      <c r="O2299" t="s">
        <v>131</v>
      </c>
    </row>
    <row r="2300" spans="1:15">
      <c r="A2300" s="166" t="s">
        <v>1141</v>
      </c>
      <c r="B2300" t="s">
        <v>111</v>
      </c>
      <c r="C2300" t="s">
        <v>132</v>
      </c>
      <c r="D2300" t="s">
        <v>118</v>
      </c>
      <c r="E2300" t="s">
        <v>430</v>
      </c>
      <c r="F2300" t="s">
        <v>6</v>
      </c>
      <c r="G2300" t="s">
        <v>130</v>
      </c>
      <c r="H2300" s="1">
        <v>46116</v>
      </c>
      <c r="I2300" t="s">
        <v>1142</v>
      </c>
      <c r="J2300" t="s">
        <v>1143</v>
      </c>
      <c r="K2300" t="s">
        <v>1144</v>
      </c>
      <c r="L2300" t="s">
        <v>565</v>
      </c>
      <c r="M2300" t="s">
        <v>1145</v>
      </c>
      <c r="N2300" s="166">
        <v>19.579999999999998</v>
      </c>
      <c r="O2300" t="s">
        <v>131</v>
      </c>
    </row>
    <row r="2301" spans="1:15">
      <c r="A2301" s="166" t="s">
        <v>1146</v>
      </c>
      <c r="B2301" t="s">
        <v>111</v>
      </c>
      <c r="C2301" t="s">
        <v>1104</v>
      </c>
      <c r="D2301" t="s">
        <v>118</v>
      </c>
      <c r="E2301" t="s">
        <v>430</v>
      </c>
      <c r="F2301" t="s">
        <v>6</v>
      </c>
      <c r="G2301" t="s">
        <v>130</v>
      </c>
      <c r="H2301" s="1">
        <v>46116</v>
      </c>
      <c r="I2301" t="s">
        <v>1147</v>
      </c>
      <c r="J2301" t="s">
        <v>1148</v>
      </c>
      <c r="K2301" t="s">
        <v>1149</v>
      </c>
      <c r="L2301" t="s">
        <v>168</v>
      </c>
      <c r="M2301" t="s">
        <v>1150</v>
      </c>
      <c r="N2301" s="166">
        <v>18.86</v>
      </c>
      <c r="O2301" t="s">
        <v>131</v>
      </c>
    </row>
    <row r="2302" spans="1:15">
      <c r="A2302" s="166" t="s">
        <v>1151</v>
      </c>
      <c r="B2302" t="s">
        <v>111</v>
      </c>
      <c r="C2302" t="s">
        <v>136</v>
      </c>
      <c r="D2302" t="s">
        <v>118</v>
      </c>
      <c r="E2302" t="s">
        <v>430</v>
      </c>
      <c r="F2302" t="s">
        <v>6</v>
      </c>
      <c r="G2302" t="s">
        <v>130</v>
      </c>
      <c r="H2302" s="1">
        <v>46116</v>
      </c>
      <c r="I2302" t="s">
        <v>1152</v>
      </c>
      <c r="J2302" t="s">
        <v>1153</v>
      </c>
      <c r="K2302" t="s">
        <v>1154</v>
      </c>
      <c r="L2302" t="s">
        <v>486</v>
      </c>
      <c r="M2302" t="s">
        <v>1155</v>
      </c>
      <c r="N2302" s="166">
        <v>18.3</v>
      </c>
      <c r="O2302" t="s">
        <v>131</v>
      </c>
    </row>
    <row r="2303" spans="1:15">
      <c r="A2303" s="166" t="s">
        <v>1156</v>
      </c>
      <c r="B2303" t="s">
        <v>111</v>
      </c>
      <c r="C2303" t="s">
        <v>641</v>
      </c>
      <c r="D2303" t="s">
        <v>118</v>
      </c>
      <c r="E2303" t="s">
        <v>430</v>
      </c>
      <c r="F2303" t="s">
        <v>6</v>
      </c>
      <c r="G2303" t="s">
        <v>130</v>
      </c>
      <c r="H2303" s="1">
        <v>46116</v>
      </c>
      <c r="I2303" t="s">
        <v>1157</v>
      </c>
      <c r="J2303" t="s">
        <v>1158</v>
      </c>
      <c r="K2303" t="s">
        <v>426</v>
      </c>
      <c r="L2303" t="s">
        <v>786</v>
      </c>
      <c r="M2303" t="s">
        <v>1159</v>
      </c>
      <c r="N2303" s="166">
        <v>20.34</v>
      </c>
      <c r="O2303" t="s">
        <v>131</v>
      </c>
    </row>
    <row r="2304" spans="1:15">
      <c r="A2304" s="166" t="s">
        <v>1160</v>
      </c>
      <c r="B2304" t="s">
        <v>111</v>
      </c>
      <c r="C2304" t="s">
        <v>135</v>
      </c>
      <c r="D2304" t="s">
        <v>118</v>
      </c>
      <c r="E2304" t="s">
        <v>430</v>
      </c>
      <c r="F2304" t="s">
        <v>6</v>
      </c>
      <c r="G2304" t="s">
        <v>130</v>
      </c>
      <c r="H2304" s="1">
        <v>46116</v>
      </c>
      <c r="I2304" t="s">
        <v>1161</v>
      </c>
      <c r="J2304" t="s">
        <v>1162</v>
      </c>
      <c r="K2304" t="s">
        <v>1163</v>
      </c>
      <c r="L2304" t="s">
        <v>155</v>
      </c>
      <c r="M2304" t="s">
        <v>1164</v>
      </c>
      <c r="N2304" s="166">
        <v>22.46</v>
      </c>
      <c r="O2304" t="s">
        <v>131</v>
      </c>
    </row>
    <row r="2305" spans="1:15">
      <c r="A2305" s="166" t="s">
        <v>1165</v>
      </c>
      <c r="B2305" t="s">
        <v>111</v>
      </c>
      <c r="C2305" t="s">
        <v>132</v>
      </c>
      <c r="D2305" t="s">
        <v>118</v>
      </c>
      <c r="E2305" t="s">
        <v>430</v>
      </c>
      <c r="F2305" t="s">
        <v>6</v>
      </c>
      <c r="G2305" t="s">
        <v>130</v>
      </c>
      <c r="H2305" s="1">
        <v>46116</v>
      </c>
      <c r="I2305" t="s">
        <v>1166</v>
      </c>
      <c r="J2305" t="s">
        <v>1167</v>
      </c>
      <c r="K2305" t="s">
        <v>1113</v>
      </c>
      <c r="L2305" t="s">
        <v>1168</v>
      </c>
      <c r="M2305" t="s">
        <v>203</v>
      </c>
      <c r="N2305" s="166">
        <v>14.94</v>
      </c>
      <c r="O2305" t="s">
        <v>131</v>
      </c>
    </row>
    <row r="2306" spans="1:15">
      <c r="A2306" s="166" t="s">
        <v>1169</v>
      </c>
      <c r="B2306" t="s">
        <v>111</v>
      </c>
      <c r="C2306" t="s">
        <v>1104</v>
      </c>
      <c r="D2306" t="s">
        <v>118</v>
      </c>
      <c r="E2306" t="s">
        <v>430</v>
      </c>
      <c r="F2306" t="s">
        <v>6</v>
      </c>
      <c r="G2306" t="s">
        <v>130</v>
      </c>
      <c r="H2306" s="1">
        <v>46116</v>
      </c>
      <c r="I2306" t="s">
        <v>1170</v>
      </c>
      <c r="J2306" t="s">
        <v>1171</v>
      </c>
      <c r="K2306" t="s">
        <v>1172</v>
      </c>
      <c r="L2306" t="s">
        <v>152</v>
      </c>
      <c r="M2306" t="s">
        <v>1173</v>
      </c>
      <c r="N2306" s="166">
        <v>19.34</v>
      </c>
      <c r="O2306" t="s">
        <v>131</v>
      </c>
    </row>
    <row r="2307" spans="1:15">
      <c r="A2307" s="166" t="s">
        <v>1174</v>
      </c>
      <c r="B2307" t="s">
        <v>111</v>
      </c>
      <c r="C2307" t="s">
        <v>136</v>
      </c>
      <c r="D2307" t="s">
        <v>118</v>
      </c>
      <c r="E2307" t="s">
        <v>430</v>
      </c>
      <c r="F2307" t="s">
        <v>6</v>
      </c>
      <c r="G2307" t="s">
        <v>130</v>
      </c>
      <c r="H2307" s="1">
        <v>46116</v>
      </c>
      <c r="I2307" t="s">
        <v>1175</v>
      </c>
      <c r="J2307" t="s">
        <v>1176</v>
      </c>
      <c r="K2307" t="s">
        <v>760</v>
      </c>
      <c r="L2307" t="s">
        <v>1177</v>
      </c>
      <c r="M2307" t="s">
        <v>1178</v>
      </c>
      <c r="N2307" s="166">
        <v>21.12</v>
      </c>
      <c r="O2307" t="s">
        <v>131</v>
      </c>
    </row>
    <row r="2308" spans="1:15">
      <c r="A2308" s="166" t="s">
        <v>1179</v>
      </c>
      <c r="B2308" t="s">
        <v>111</v>
      </c>
      <c r="C2308" t="s">
        <v>641</v>
      </c>
      <c r="D2308" t="s">
        <v>118</v>
      </c>
      <c r="E2308" t="s">
        <v>430</v>
      </c>
      <c r="F2308" t="s">
        <v>6</v>
      </c>
      <c r="G2308" t="s">
        <v>130</v>
      </c>
      <c r="H2308" s="1">
        <v>46116</v>
      </c>
      <c r="I2308" t="s">
        <v>1180</v>
      </c>
      <c r="J2308" t="s">
        <v>1181</v>
      </c>
      <c r="K2308" t="s">
        <v>188</v>
      </c>
      <c r="L2308" t="s">
        <v>772</v>
      </c>
      <c r="M2308" t="s">
        <v>1182</v>
      </c>
      <c r="N2308" s="166">
        <v>23.18</v>
      </c>
      <c r="O2308" t="s">
        <v>131</v>
      </c>
    </row>
    <row r="2309" spans="1:15">
      <c r="A2309" s="166" t="s">
        <v>1183</v>
      </c>
      <c r="B2309" t="s">
        <v>111</v>
      </c>
      <c r="C2309" t="s">
        <v>135</v>
      </c>
      <c r="D2309" t="s">
        <v>118</v>
      </c>
      <c r="E2309" t="s">
        <v>430</v>
      </c>
      <c r="F2309" t="s">
        <v>6</v>
      </c>
      <c r="G2309" t="s">
        <v>130</v>
      </c>
      <c r="H2309" s="1">
        <v>46116</v>
      </c>
      <c r="I2309" t="s">
        <v>1184</v>
      </c>
      <c r="J2309" t="s">
        <v>1185</v>
      </c>
      <c r="K2309" t="s">
        <v>164</v>
      </c>
      <c r="L2309" t="s">
        <v>163</v>
      </c>
      <c r="M2309" t="s">
        <v>175</v>
      </c>
      <c r="N2309" s="166">
        <v>21.1</v>
      </c>
      <c r="O2309" t="s">
        <v>131</v>
      </c>
    </row>
    <row r="2310" spans="1:15">
      <c r="A2310" s="166" t="s">
        <v>1186</v>
      </c>
      <c r="B2310" t="s">
        <v>111</v>
      </c>
      <c r="C2310" t="s">
        <v>132</v>
      </c>
      <c r="D2310" t="s">
        <v>118</v>
      </c>
      <c r="E2310" t="s">
        <v>430</v>
      </c>
      <c r="F2310" t="s">
        <v>6</v>
      </c>
      <c r="G2310" t="s">
        <v>130</v>
      </c>
      <c r="H2310" s="1">
        <v>46116</v>
      </c>
      <c r="I2310" t="s">
        <v>1187</v>
      </c>
      <c r="J2310" t="s">
        <v>1188</v>
      </c>
      <c r="K2310" t="s">
        <v>1094</v>
      </c>
      <c r="L2310" t="s">
        <v>174</v>
      </c>
      <c r="M2310" t="s">
        <v>1189</v>
      </c>
      <c r="N2310" s="166">
        <v>23.48</v>
      </c>
      <c r="O2310" t="s">
        <v>131</v>
      </c>
    </row>
    <row r="2311" spans="1:15">
      <c r="A2311" s="166" t="s">
        <v>1190</v>
      </c>
      <c r="B2311" t="s">
        <v>111</v>
      </c>
      <c r="C2311" t="s">
        <v>1104</v>
      </c>
      <c r="D2311" t="s">
        <v>118</v>
      </c>
      <c r="E2311" t="s">
        <v>430</v>
      </c>
      <c r="F2311" t="s">
        <v>6</v>
      </c>
      <c r="G2311" t="s">
        <v>130</v>
      </c>
      <c r="H2311" s="1">
        <v>46116</v>
      </c>
      <c r="I2311" t="s">
        <v>1191</v>
      </c>
      <c r="J2311" t="s">
        <v>1192</v>
      </c>
      <c r="K2311" t="s">
        <v>1193</v>
      </c>
      <c r="L2311" t="s">
        <v>152</v>
      </c>
      <c r="M2311" t="s">
        <v>871</v>
      </c>
      <c r="N2311" s="166">
        <v>22.86</v>
      </c>
      <c r="O2311" t="s">
        <v>131</v>
      </c>
    </row>
    <row r="2312" spans="1:15">
      <c r="A2312" s="166" t="s">
        <v>1194</v>
      </c>
      <c r="B2312" t="s">
        <v>111</v>
      </c>
      <c r="C2312" t="s">
        <v>641</v>
      </c>
      <c r="D2312" t="s">
        <v>118</v>
      </c>
      <c r="E2312" t="s">
        <v>430</v>
      </c>
      <c r="F2312" t="s">
        <v>6</v>
      </c>
      <c r="G2312" t="s">
        <v>130</v>
      </c>
      <c r="H2312" s="1">
        <v>46116</v>
      </c>
      <c r="I2312" t="s">
        <v>1195</v>
      </c>
      <c r="J2312" t="s">
        <v>1196</v>
      </c>
      <c r="K2312" t="s">
        <v>1193</v>
      </c>
      <c r="L2312" t="s">
        <v>616</v>
      </c>
      <c r="M2312" t="s">
        <v>1197</v>
      </c>
      <c r="N2312" s="166">
        <v>22.22</v>
      </c>
      <c r="O2312" t="s">
        <v>131</v>
      </c>
    </row>
    <row r="2313" spans="1:15">
      <c r="A2313" s="166" t="s">
        <v>1198</v>
      </c>
      <c r="B2313" t="s">
        <v>111</v>
      </c>
      <c r="C2313" t="s">
        <v>135</v>
      </c>
      <c r="D2313" t="s">
        <v>118</v>
      </c>
      <c r="E2313" t="s">
        <v>430</v>
      </c>
      <c r="F2313" t="s">
        <v>6</v>
      </c>
      <c r="G2313" t="s">
        <v>130</v>
      </c>
      <c r="H2313" s="1">
        <v>46116</v>
      </c>
      <c r="I2313" t="s">
        <v>1199</v>
      </c>
      <c r="J2313" t="s">
        <v>1200</v>
      </c>
      <c r="K2313" t="s">
        <v>1201</v>
      </c>
      <c r="L2313" t="s">
        <v>168</v>
      </c>
      <c r="M2313" t="s">
        <v>1197</v>
      </c>
      <c r="N2313" s="166">
        <v>22.22</v>
      </c>
      <c r="O2313" t="s">
        <v>131</v>
      </c>
    </row>
    <row r="2314" spans="1:15">
      <c r="A2314" s="166" t="s">
        <v>1202</v>
      </c>
      <c r="B2314" t="s">
        <v>111</v>
      </c>
      <c r="C2314" t="s">
        <v>136</v>
      </c>
      <c r="D2314" t="s">
        <v>118</v>
      </c>
      <c r="E2314" t="s">
        <v>430</v>
      </c>
      <c r="F2314" t="s">
        <v>6</v>
      </c>
      <c r="G2314" t="s">
        <v>130</v>
      </c>
      <c r="H2314" s="1">
        <v>46116</v>
      </c>
      <c r="I2314" t="s">
        <v>1203</v>
      </c>
      <c r="J2314" t="s">
        <v>1204</v>
      </c>
      <c r="K2314" t="s">
        <v>1205</v>
      </c>
      <c r="L2314" t="s">
        <v>1101</v>
      </c>
      <c r="M2314" t="s">
        <v>1206</v>
      </c>
      <c r="N2314" s="166">
        <v>22.66</v>
      </c>
      <c r="O2314" t="s">
        <v>131</v>
      </c>
    </row>
    <row r="2315" spans="1:15">
      <c r="A2315" s="166" t="s">
        <v>1207</v>
      </c>
      <c r="B2315" t="s">
        <v>111</v>
      </c>
      <c r="C2315" t="s">
        <v>132</v>
      </c>
      <c r="D2315" t="s">
        <v>118</v>
      </c>
      <c r="E2315" t="s">
        <v>430</v>
      </c>
      <c r="F2315" t="s">
        <v>6</v>
      </c>
      <c r="G2315" t="s">
        <v>130</v>
      </c>
      <c r="H2315" s="1">
        <v>46116</v>
      </c>
      <c r="I2315" t="s">
        <v>1208</v>
      </c>
      <c r="J2315" t="s">
        <v>1209</v>
      </c>
      <c r="K2315" t="s">
        <v>1210</v>
      </c>
      <c r="L2315" t="s">
        <v>650</v>
      </c>
      <c r="M2315" t="s">
        <v>591</v>
      </c>
      <c r="N2315" s="166">
        <v>22.92</v>
      </c>
      <c r="O2315" t="s">
        <v>131</v>
      </c>
    </row>
    <row r="2316" spans="1:15">
      <c r="A2316" s="166" t="s">
        <v>1211</v>
      </c>
      <c r="B2316" t="s">
        <v>111</v>
      </c>
      <c r="C2316" t="s">
        <v>1104</v>
      </c>
      <c r="D2316" t="s">
        <v>118</v>
      </c>
      <c r="E2316" t="s">
        <v>430</v>
      </c>
      <c r="F2316" t="s">
        <v>6</v>
      </c>
      <c r="G2316" t="s">
        <v>130</v>
      </c>
      <c r="H2316" s="1">
        <v>46116</v>
      </c>
      <c r="I2316" t="s">
        <v>1212</v>
      </c>
      <c r="J2316" t="s">
        <v>1213</v>
      </c>
      <c r="K2316" t="s">
        <v>1214</v>
      </c>
      <c r="L2316" t="s">
        <v>584</v>
      </c>
      <c r="M2316" t="s">
        <v>880</v>
      </c>
      <c r="N2316" s="166">
        <v>24.7</v>
      </c>
      <c r="O2316" t="s">
        <v>131</v>
      </c>
    </row>
    <row r="2317" spans="1:15">
      <c r="A2317" s="166" t="s">
        <v>1215</v>
      </c>
      <c r="B2317" t="s">
        <v>111</v>
      </c>
      <c r="C2317" t="s">
        <v>641</v>
      </c>
      <c r="D2317" t="s">
        <v>118</v>
      </c>
      <c r="E2317" t="s">
        <v>430</v>
      </c>
      <c r="F2317" t="s">
        <v>6</v>
      </c>
      <c r="G2317" t="s">
        <v>130</v>
      </c>
      <c r="H2317" s="1">
        <v>46116</v>
      </c>
      <c r="I2317" t="s">
        <v>1216</v>
      </c>
      <c r="J2317" t="s">
        <v>1217</v>
      </c>
      <c r="K2317" t="s">
        <v>1218</v>
      </c>
      <c r="L2317" t="s">
        <v>616</v>
      </c>
      <c r="M2317" t="s">
        <v>226</v>
      </c>
      <c r="N2317" s="166">
        <v>20.2</v>
      </c>
      <c r="O2317" t="s">
        <v>131</v>
      </c>
    </row>
    <row r="2318" spans="1:15">
      <c r="A2318" s="166" t="s">
        <v>1219</v>
      </c>
      <c r="B2318" t="s">
        <v>111</v>
      </c>
      <c r="C2318" t="s">
        <v>135</v>
      </c>
      <c r="D2318" t="s">
        <v>118</v>
      </c>
      <c r="E2318" t="s">
        <v>430</v>
      </c>
      <c r="F2318" t="s">
        <v>6</v>
      </c>
      <c r="G2318" t="s">
        <v>130</v>
      </c>
      <c r="H2318" s="1">
        <v>46116</v>
      </c>
      <c r="I2318" t="s">
        <v>1220</v>
      </c>
      <c r="J2318" t="s">
        <v>1221</v>
      </c>
      <c r="K2318" t="s">
        <v>1222</v>
      </c>
      <c r="L2318" t="s">
        <v>146</v>
      </c>
      <c r="M2318" t="s">
        <v>1223</v>
      </c>
      <c r="N2318" s="166">
        <v>22.76</v>
      </c>
      <c r="O2318" t="s">
        <v>131</v>
      </c>
    </row>
    <row r="2319" spans="1:15">
      <c r="A2319" s="166" t="s">
        <v>1224</v>
      </c>
      <c r="B2319" t="s">
        <v>111</v>
      </c>
      <c r="C2319" t="s">
        <v>132</v>
      </c>
      <c r="D2319" t="s">
        <v>118</v>
      </c>
      <c r="E2319" t="s">
        <v>430</v>
      </c>
      <c r="F2319" t="s">
        <v>6</v>
      </c>
      <c r="G2319" t="s">
        <v>130</v>
      </c>
      <c r="H2319" s="1">
        <v>46116</v>
      </c>
      <c r="I2319" t="s">
        <v>1225</v>
      </c>
      <c r="J2319" t="s">
        <v>1226</v>
      </c>
      <c r="K2319" t="s">
        <v>1227</v>
      </c>
      <c r="L2319" t="s">
        <v>203</v>
      </c>
      <c r="M2319" t="s">
        <v>1228</v>
      </c>
      <c r="N2319" s="166">
        <v>25.98</v>
      </c>
      <c r="O2319" t="s">
        <v>131</v>
      </c>
    </row>
    <row r="2320" spans="1:15">
      <c r="A2320" s="166" t="s">
        <v>1229</v>
      </c>
      <c r="B2320" t="s">
        <v>111</v>
      </c>
      <c r="C2320" t="s">
        <v>136</v>
      </c>
      <c r="D2320" t="s">
        <v>118</v>
      </c>
      <c r="E2320" t="s">
        <v>430</v>
      </c>
      <c r="F2320" t="s">
        <v>6</v>
      </c>
      <c r="G2320" t="s">
        <v>130</v>
      </c>
      <c r="H2320" s="1">
        <v>46116</v>
      </c>
      <c r="I2320" t="s">
        <v>1230</v>
      </c>
      <c r="J2320" t="s">
        <v>1231</v>
      </c>
      <c r="K2320" t="s">
        <v>1232</v>
      </c>
      <c r="L2320" t="s">
        <v>1177</v>
      </c>
      <c r="M2320" t="s">
        <v>1233</v>
      </c>
      <c r="N2320" s="166">
        <v>19.86</v>
      </c>
      <c r="O2320" t="s">
        <v>131</v>
      </c>
    </row>
    <row r="2321" spans="1:15">
      <c r="A2321" s="166" t="s">
        <v>1234</v>
      </c>
      <c r="B2321" t="s">
        <v>111</v>
      </c>
      <c r="C2321" t="s">
        <v>1104</v>
      </c>
      <c r="D2321" t="s">
        <v>118</v>
      </c>
      <c r="E2321" t="s">
        <v>430</v>
      </c>
      <c r="F2321" t="s">
        <v>6</v>
      </c>
      <c r="G2321" t="s">
        <v>130</v>
      </c>
      <c r="H2321" s="1">
        <v>46116</v>
      </c>
      <c r="I2321" t="s">
        <v>1235</v>
      </c>
      <c r="J2321" t="s">
        <v>1236</v>
      </c>
      <c r="K2321" t="s">
        <v>825</v>
      </c>
      <c r="L2321" t="s">
        <v>633</v>
      </c>
      <c r="M2321" t="s">
        <v>1237</v>
      </c>
      <c r="N2321" s="166">
        <v>20.059999999999999</v>
      </c>
      <c r="O2321" t="s">
        <v>131</v>
      </c>
    </row>
    <row r="2322" spans="1:15">
      <c r="A2322" s="166" t="s">
        <v>1238</v>
      </c>
      <c r="B2322" t="s">
        <v>111</v>
      </c>
      <c r="C2322" t="s">
        <v>641</v>
      </c>
      <c r="D2322" t="s">
        <v>118</v>
      </c>
      <c r="E2322" t="s">
        <v>430</v>
      </c>
      <c r="F2322" t="s">
        <v>6</v>
      </c>
      <c r="G2322" t="s">
        <v>130</v>
      </c>
      <c r="H2322" s="1">
        <v>46116</v>
      </c>
      <c r="I2322" t="s">
        <v>1239</v>
      </c>
      <c r="J2322" t="s">
        <v>1240</v>
      </c>
      <c r="K2322" t="s">
        <v>1172</v>
      </c>
      <c r="L2322" t="s">
        <v>777</v>
      </c>
      <c r="M2322" t="s">
        <v>832</v>
      </c>
      <c r="N2322" s="166">
        <v>18.72</v>
      </c>
      <c r="O2322" t="s">
        <v>131</v>
      </c>
    </row>
    <row r="2323" spans="1:15">
      <c r="A2323" s="166" t="s">
        <v>1241</v>
      </c>
      <c r="B2323" t="s">
        <v>111</v>
      </c>
      <c r="C2323" t="s">
        <v>135</v>
      </c>
      <c r="D2323" t="s">
        <v>118</v>
      </c>
      <c r="E2323" t="s">
        <v>430</v>
      </c>
      <c r="F2323" t="s">
        <v>6</v>
      </c>
      <c r="G2323" t="s">
        <v>130</v>
      </c>
      <c r="H2323" s="1">
        <v>46116</v>
      </c>
      <c r="I2323" t="s">
        <v>1242</v>
      </c>
      <c r="J2323" t="s">
        <v>1243</v>
      </c>
      <c r="K2323" t="s">
        <v>443</v>
      </c>
      <c r="L2323" t="s">
        <v>163</v>
      </c>
      <c r="M2323" t="s">
        <v>1244</v>
      </c>
      <c r="N2323" s="166">
        <v>21.8</v>
      </c>
      <c r="O2323" t="s">
        <v>131</v>
      </c>
    </row>
    <row r="2324" spans="1:15">
      <c r="A2324" s="166" t="s">
        <v>1245</v>
      </c>
      <c r="B2324" t="s">
        <v>111</v>
      </c>
      <c r="C2324" t="s">
        <v>136</v>
      </c>
      <c r="D2324" t="s">
        <v>118</v>
      </c>
      <c r="E2324" t="s">
        <v>430</v>
      </c>
      <c r="F2324" t="s">
        <v>6</v>
      </c>
      <c r="G2324" t="s">
        <v>130</v>
      </c>
      <c r="H2324" s="1">
        <v>46116</v>
      </c>
      <c r="I2324" t="s">
        <v>1246</v>
      </c>
      <c r="J2324" t="s">
        <v>1247</v>
      </c>
      <c r="K2324" t="s">
        <v>763</v>
      </c>
      <c r="L2324" t="s">
        <v>1177</v>
      </c>
      <c r="M2324" t="s">
        <v>611</v>
      </c>
      <c r="N2324" s="166">
        <v>15.9</v>
      </c>
      <c r="O2324" t="s">
        <v>131</v>
      </c>
    </row>
    <row r="2325" spans="1:15">
      <c r="A2325" s="166" t="s">
        <v>1248</v>
      </c>
      <c r="B2325" t="s">
        <v>111</v>
      </c>
      <c r="C2325" t="s">
        <v>132</v>
      </c>
      <c r="D2325" t="s">
        <v>118</v>
      </c>
      <c r="E2325" t="s">
        <v>430</v>
      </c>
      <c r="F2325" t="s">
        <v>6</v>
      </c>
      <c r="G2325" t="s">
        <v>130</v>
      </c>
      <c r="H2325" s="1">
        <v>46116</v>
      </c>
      <c r="I2325" t="s">
        <v>1249</v>
      </c>
      <c r="J2325" t="s">
        <v>1250</v>
      </c>
      <c r="K2325" t="s">
        <v>1251</v>
      </c>
      <c r="L2325" t="s">
        <v>203</v>
      </c>
      <c r="M2325" t="s">
        <v>1252</v>
      </c>
      <c r="N2325" s="166">
        <v>18.36</v>
      </c>
      <c r="O2325" t="s">
        <v>131</v>
      </c>
    </row>
    <row r="2326" spans="1:15">
      <c r="A2326" s="166" t="s">
        <v>1253</v>
      </c>
      <c r="B2326" t="s">
        <v>111</v>
      </c>
      <c r="C2326" t="s">
        <v>1104</v>
      </c>
      <c r="D2326" t="s">
        <v>118</v>
      </c>
      <c r="E2326" t="s">
        <v>430</v>
      </c>
      <c r="F2326" t="s">
        <v>6</v>
      </c>
      <c r="G2326" t="s">
        <v>130</v>
      </c>
      <c r="H2326" s="1">
        <v>46116</v>
      </c>
      <c r="I2326" t="s">
        <v>1254</v>
      </c>
      <c r="J2326" t="s">
        <v>1255</v>
      </c>
      <c r="K2326" t="s">
        <v>1256</v>
      </c>
      <c r="L2326" t="s">
        <v>1257</v>
      </c>
      <c r="M2326" t="s">
        <v>1258</v>
      </c>
      <c r="N2326" s="166">
        <v>19.420000000000002</v>
      </c>
      <c r="O2326" t="s">
        <v>131</v>
      </c>
    </row>
    <row r="2327" spans="1:15">
      <c r="A2327" s="166" t="s">
        <v>1259</v>
      </c>
      <c r="B2327" t="s">
        <v>111</v>
      </c>
      <c r="C2327" t="s">
        <v>641</v>
      </c>
      <c r="D2327" t="s">
        <v>118</v>
      </c>
      <c r="E2327" t="s">
        <v>430</v>
      </c>
      <c r="F2327" t="s">
        <v>6</v>
      </c>
      <c r="G2327" t="s">
        <v>130</v>
      </c>
      <c r="H2327" s="1">
        <v>46116</v>
      </c>
      <c r="I2327" t="s">
        <v>1260</v>
      </c>
      <c r="J2327" t="s">
        <v>1261</v>
      </c>
      <c r="K2327" t="s">
        <v>1262</v>
      </c>
      <c r="L2327" t="s">
        <v>1076</v>
      </c>
      <c r="M2327" t="s">
        <v>1263</v>
      </c>
      <c r="N2327" s="166">
        <v>18.48</v>
      </c>
      <c r="O2327" t="s">
        <v>131</v>
      </c>
    </row>
    <row r="2328" spans="1:15">
      <c r="A2328" s="166" t="s">
        <v>1264</v>
      </c>
      <c r="B2328" t="s">
        <v>111</v>
      </c>
      <c r="C2328" t="s">
        <v>132</v>
      </c>
      <c r="D2328" t="s">
        <v>118</v>
      </c>
      <c r="E2328" t="s">
        <v>430</v>
      </c>
      <c r="F2328" t="s">
        <v>6</v>
      </c>
      <c r="G2328" t="s">
        <v>130</v>
      </c>
      <c r="H2328" s="1">
        <v>46116</v>
      </c>
      <c r="I2328" t="s">
        <v>1265</v>
      </c>
      <c r="J2328" t="s">
        <v>1266</v>
      </c>
      <c r="K2328" t="s">
        <v>830</v>
      </c>
      <c r="L2328" t="s">
        <v>154</v>
      </c>
      <c r="M2328" t="s">
        <v>1267</v>
      </c>
      <c r="N2328" s="166">
        <v>19.68</v>
      </c>
      <c r="O2328" t="s">
        <v>131</v>
      </c>
    </row>
    <row r="2329" spans="1:15">
      <c r="A2329" s="166" t="s">
        <v>1268</v>
      </c>
      <c r="B2329" t="s">
        <v>111</v>
      </c>
      <c r="C2329" t="s">
        <v>136</v>
      </c>
      <c r="D2329" t="s">
        <v>118</v>
      </c>
      <c r="E2329" t="s">
        <v>430</v>
      </c>
      <c r="F2329" t="s">
        <v>6</v>
      </c>
      <c r="G2329" t="s">
        <v>130</v>
      </c>
      <c r="H2329" s="1">
        <v>46116</v>
      </c>
      <c r="I2329" t="s">
        <v>1269</v>
      </c>
      <c r="J2329" t="s">
        <v>1270</v>
      </c>
      <c r="K2329" t="s">
        <v>600</v>
      </c>
      <c r="L2329" t="s">
        <v>155</v>
      </c>
      <c r="M2329" t="s">
        <v>569</v>
      </c>
      <c r="N2329" s="166">
        <v>21.7</v>
      </c>
      <c r="O2329" t="s">
        <v>131</v>
      </c>
    </row>
    <row r="2330" spans="1:15">
      <c r="A2330" s="166" t="s">
        <v>1271</v>
      </c>
      <c r="B2330" t="s">
        <v>111</v>
      </c>
      <c r="C2330" t="s">
        <v>135</v>
      </c>
      <c r="D2330" t="s">
        <v>118</v>
      </c>
      <c r="E2330" t="s">
        <v>430</v>
      </c>
      <c r="F2330" t="s">
        <v>6</v>
      </c>
      <c r="G2330" t="s">
        <v>130</v>
      </c>
      <c r="H2330" s="1">
        <v>46116</v>
      </c>
      <c r="I2330" t="s">
        <v>1272</v>
      </c>
      <c r="J2330" t="s">
        <v>1273</v>
      </c>
      <c r="K2330" t="s">
        <v>1274</v>
      </c>
      <c r="L2330" t="s">
        <v>163</v>
      </c>
      <c r="M2330" t="s">
        <v>1275</v>
      </c>
      <c r="N2330" s="166">
        <v>18.98</v>
      </c>
      <c r="O2330" t="s">
        <v>131</v>
      </c>
    </row>
    <row r="2331" spans="1:15">
      <c r="A2331" s="166" t="s">
        <v>1276</v>
      </c>
      <c r="B2331" t="s">
        <v>111</v>
      </c>
      <c r="C2331" t="s">
        <v>1104</v>
      </c>
      <c r="D2331" t="s">
        <v>118</v>
      </c>
      <c r="E2331" t="s">
        <v>430</v>
      </c>
      <c r="F2331" t="s">
        <v>6</v>
      </c>
      <c r="G2331" t="s">
        <v>130</v>
      </c>
      <c r="H2331" s="1">
        <v>46116</v>
      </c>
      <c r="I2331" t="s">
        <v>1277</v>
      </c>
      <c r="J2331" t="s">
        <v>1278</v>
      </c>
      <c r="K2331" t="s">
        <v>1279</v>
      </c>
      <c r="L2331" t="s">
        <v>1280</v>
      </c>
      <c r="M2331" t="s">
        <v>1281</v>
      </c>
      <c r="N2331" s="166">
        <v>17.86</v>
      </c>
      <c r="O2331" t="s">
        <v>131</v>
      </c>
    </row>
    <row r="2332" spans="1:15">
      <c r="A2332" s="166" t="s">
        <v>1282</v>
      </c>
      <c r="B2332" t="s">
        <v>111</v>
      </c>
      <c r="C2332" t="s">
        <v>641</v>
      </c>
      <c r="D2332" t="s">
        <v>118</v>
      </c>
      <c r="E2332" t="s">
        <v>430</v>
      </c>
      <c r="F2332" t="s">
        <v>6</v>
      </c>
      <c r="G2332" t="s">
        <v>130</v>
      </c>
      <c r="H2332" s="1">
        <v>46116</v>
      </c>
      <c r="I2332" t="s">
        <v>1283</v>
      </c>
      <c r="J2332" t="s">
        <v>1284</v>
      </c>
      <c r="K2332" t="s">
        <v>1285</v>
      </c>
      <c r="L2332" t="s">
        <v>725</v>
      </c>
      <c r="M2332" t="s">
        <v>1286</v>
      </c>
      <c r="N2332" s="166">
        <v>19.64</v>
      </c>
      <c r="O2332" t="s">
        <v>131</v>
      </c>
    </row>
    <row r="2333" spans="1:15">
      <c r="A2333" s="166" t="s">
        <v>1287</v>
      </c>
      <c r="B2333" t="s">
        <v>111</v>
      </c>
      <c r="C2333" t="s">
        <v>136</v>
      </c>
      <c r="D2333" t="s">
        <v>118</v>
      </c>
      <c r="E2333" t="s">
        <v>430</v>
      </c>
      <c r="F2333" t="s">
        <v>6</v>
      </c>
      <c r="G2333" t="s">
        <v>130</v>
      </c>
      <c r="H2333" s="1">
        <v>46116</v>
      </c>
      <c r="I2333" t="s">
        <v>1288</v>
      </c>
      <c r="J2333" t="s">
        <v>1289</v>
      </c>
      <c r="K2333" t="s">
        <v>1290</v>
      </c>
      <c r="L2333" t="s">
        <v>155</v>
      </c>
      <c r="M2333" t="s">
        <v>1291</v>
      </c>
      <c r="N2333" s="166">
        <v>18.399999999999999</v>
      </c>
      <c r="O2333" t="s">
        <v>131</v>
      </c>
    </row>
    <row r="2334" spans="1:15">
      <c r="A2334" s="166" t="s">
        <v>1292</v>
      </c>
      <c r="B2334" t="s">
        <v>111</v>
      </c>
      <c r="C2334" t="s">
        <v>132</v>
      </c>
      <c r="D2334" t="s">
        <v>118</v>
      </c>
      <c r="E2334" t="s">
        <v>430</v>
      </c>
      <c r="F2334" t="s">
        <v>6</v>
      </c>
      <c r="G2334" t="s">
        <v>130</v>
      </c>
      <c r="H2334" s="1">
        <v>46116</v>
      </c>
      <c r="I2334" t="s">
        <v>1293</v>
      </c>
      <c r="J2334" t="s">
        <v>1294</v>
      </c>
      <c r="K2334" t="s">
        <v>1295</v>
      </c>
      <c r="L2334" t="s">
        <v>143</v>
      </c>
      <c r="M2334" t="s">
        <v>1296</v>
      </c>
      <c r="N2334" s="166">
        <v>18.760000000000002</v>
      </c>
      <c r="O2334" t="s">
        <v>131</v>
      </c>
    </row>
    <row r="2335" spans="1:15">
      <c r="A2335" s="166" t="s">
        <v>1297</v>
      </c>
      <c r="B2335" t="s">
        <v>111</v>
      </c>
      <c r="C2335" t="s">
        <v>135</v>
      </c>
      <c r="D2335" t="s">
        <v>118</v>
      </c>
      <c r="E2335" t="s">
        <v>430</v>
      </c>
      <c r="F2335" t="s">
        <v>6</v>
      </c>
      <c r="G2335" t="s">
        <v>130</v>
      </c>
      <c r="H2335" s="1">
        <v>46116</v>
      </c>
      <c r="I2335" t="s">
        <v>1298</v>
      </c>
      <c r="J2335" t="s">
        <v>1299</v>
      </c>
      <c r="K2335" t="s">
        <v>1300</v>
      </c>
      <c r="L2335" t="s">
        <v>165</v>
      </c>
      <c r="M2335" t="s">
        <v>1301</v>
      </c>
      <c r="N2335" s="166">
        <v>19.36</v>
      </c>
      <c r="O2335" t="s">
        <v>131</v>
      </c>
    </row>
    <row r="2336" spans="1:15">
      <c r="A2336" s="166" t="s">
        <v>1302</v>
      </c>
      <c r="B2336" t="s">
        <v>111</v>
      </c>
      <c r="C2336" t="s">
        <v>1104</v>
      </c>
      <c r="D2336" t="s">
        <v>118</v>
      </c>
      <c r="E2336" t="s">
        <v>430</v>
      </c>
      <c r="F2336" t="s">
        <v>6</v>
      </c>
      <c r="G2336" t="s">
        <v>130</v>
      </c>
      <c r="H2336" s="1">
        <v>46116</v>
      </c>
      <c r="I2336" t="s">
        <v>1303</v>
      </c>
      <c r="J2336" t="s">
        <v>1304</v>
      </c>
      <c r="K2336" t="s">
        <v>1305</v>
      </c>
      <c r="L2336" t="s">
        <v>151</v>
      </c>
      <c r="M2336" t="s">
        <v>1233</v>
      </c>
      <c r="N2336" s="166">
        <v>19.86</v>
      </c>
      <c r="O2336" t="s">
        <v>131</v>
      </c>
    </row>
    <row r="2337" spans="1:15">
      <c r="A2337" s="166" t="s">
        <v>1306</v>
      </c>
      <c r="B2337" t="s">
        <v>111</v>
      </c>
      <c r="C2337" t="s">
        <v>641</v>
      </c>
      <c r="D2337" t="s">
        <v>118</v>
      </c>
      <c r="E2337" t="s">
        <v>430</v>
      </c>
      <c r="F2337" t="s">
        <v>6</v>
      </c>
      <c r="G2337" t="s">
        <v>130</v>
      </c>
      <c r="H2337" s="1">
        <v>46116</v>
      </c>
      <c r="I2337" t="s">
        <v>1307</v>
      </c>
      <c r="J2337" t="s">
        <v>1308</v>
      </c>
      <c r="K2337" t="s">
        <v>1309</v>
      </c>
      <c r="L2337" t="s">
        <v>831</v>
      </c>
      <c r="M2337" t="s">
        <v>1310</v>
      </c>
      <c r="N2337" s="166">
        <v>19.38</v>
      </c>
      <c r="O2337" t="s">
        <v>131</v>
      </c>
    </row>
    <row r="2338" spans="1:15">
      <c r="A2338" s="166" t="s">
        <v>1311</v>
      </c>
      <c r="B2338" t="s">
        <v>111</v>
      </c>
      <c r="C2338" t="s">
        <v>136</v>
      </c>
      <c r="D2338" t="s">
        <v>118</v>
      </c>
      <c r="E2338" t="s">
        <v>430</v>
      </c>
      <c r="F2338" t="s">
        <v>6</v>
      </c>
      <c r="G2338" t="s">
        <v>130</v>
      </c>
      <c r="H2338" s="1">
        <v>46116</v>
      </c>
      <c r="I2338" t="s">
        <v>1312</v>
      </c>
      <c r="J2338" t="s">
        <v>1313</v>
      </c>
      <c r="K2338" t="s">
        <v>1314</v>
      </c>
      <c r="L2338" t="s">
        <v>165</v>
      </c>
      <c r="M2338" t="s">
        <v>1315</v>
      </c>
      <c r="N2338" s="166">
        <v>19.28</v>
      </c>
      <c r="O2338" t="s">
        <v>131</v>
      </c>
    </row>
    <row r="2339" spans="1:15">
      <c r="A2339" s="166" t="s">
        <v>1316</v>
      </c>
      <c r="B2339" t="s">
        <v>111</v>
      </c>
      <c r="C2339" t="s">
        <v>132</v>
      </c>
      <c r="D2339" t="s">
        <v>118</v>
      </c>
      <c r="E2339" t="s">
        <v>430</v>
      </c>
      <c r="F2339" t="s">
        <v>6</v>
      </c>
      <c r="G2339" t="s">
        <v>130</v>
      </c>
      <c r="H2339" s="1">
        <v>46116</v>
      </c>
      <c r="I2339" t="s">
        <v>1317</v>
      </c>
      <c r="J2339" t="s">
        <v>1318</v>
      </c>
      <c r="K2339" t="s">
        <v>595</v>
      </c>
      <c r="L2339" t="s">
        <v>503</v>
      </c>
      <c r="M2339" t="s">
        <v>826</v>
      </c>
      <c r="N2339" s="166">
        <v>20.38</v>
      </c>
      <c r="O2339" t="s">
        <v>131</v>
      </c>
    </row>
    <row r="2340" spans="1:15">
      <c r="A2340" s="166" t="s">
        <v>1319</v>
      </c>
      <c r="B2340" t="s">
        <v>111</v>
      </c>
      <c r="C2340" t="s">
        <v>135</v>
      </c>
      <c r="D2340" t="s">
        <v>118</v>
      </c>
      <c r="E2340" t="s">
        <v>430</v>
      </c>
      <c r="F2340" t="s">
        <v>7</v>
      </c>
      <c r="G2340" t="s">
        <v>130</v>
      </c>
      <c r="H2340" s="1">
        <v>46116</v>
      </c>
      <c r="I2340" t="s">
        <v>1320</v>
      </c>
      <c r="J2340" t="s">
        <v>1321</v>
      </c>
      <c r="K2340" t="s">
        <v>1322</v>
      </c>
      <c r="L2340" t="s">
        <v>143</v>
      </c>
      <c r="M2340" t="s">
        <v>1323</v>
      </c>
      <c r="N2340" s="166">
        <v>20.440000000000001</v>
      </c>
      <c r="O2340" t="s">
        <v>131</v>
      </c>
    </row>
    <row r="2341" spans="1:15">
      <c r="A2341" s="166" t="s">
        <v>1324</v>
      </c>
      <c r="B2341" t="s">
        <v>111</v>
      </c>
      <c r="C2341" t="s">
        <v>1104</v>
      </c>
      <c r="D2341" t="s">
        <v>118</v>
      </c>
      <c r="E2341" t="s">
        <v>430</v>
      </c>
      <c r="F2341" t="s">
        <v>7</v>
      </c>
      <c r="G2341" t="s">
        <v>130</v>
      </c>
      <c r="H2341" s="1">
        <v>46116</v>
      </c>
      <c r="I2341" t="s">
        <v>1325</v>
      </c>
      <c r="J2341" t="s">
        <v>1326</v>
      </c>
      <c r="K2341" t="s">
        <v>1327</v>
      </c>
      <c r="L2341" t="s">
        <v>449</v>
      </c>
      <c r="M2341" t="s">
        <v>1328</v>
      </c>
      <c r="N2341" s="166">
        <v>19.54</v>
      </c>
      <c r="O2341" t="s">
        <v>131</v>
      </c>
    </row>
    <row r="2342" spans="1:15">
      <c r="A2342" s="166" t="s">
        <v>1329</v>
      </c>
      <c r="B2342" t="s">
        <v>111</v>
      </c>
      <c r="C2342" t="s">
        <v>641</v>
      </c>
      <c r="D2342" t="s">
        <v>118</v>
      </c>
      <c r="E2342" t="s">
        <v>430</v>
      </c>
      <c r="F2342" t="s">
        <v>7</v>
      </c>
      <c r="G2342" t="s">
        <v>130</v>
      </c>
      <c r="H2342" s="1">
        <v>46116</v>
      </c>
      <c r="I2342" t="s">
        <v>1330</v>
      </c>
      <c r="J2342" t="s">
        <v>1331</v>
      </c>
      <c r="K2342" t="s">
        <v>1332</v>
      </c>
      <c r="L2342" t="s">
        <v>786</v>
      </c>
      <c r="M2342" t="s">
        <v>1333</v>
      </c>
      <c r="N2342" s="166">
        <v>19.14</v>
      </c>
      <c r="O2342" t="s">
        <v>131</v>
      </c>
    </row>
    <row r="2343" spans="1:15">
      <c r="A2343" s="166" t="s">
        <v>1334</v>
      </c>
      <c r="B2343" t="s">
        <v>111</v>
      </c>
      <c r="C2343" t="s">
        <v>136</v>
      </c>
      <c r="D2343" t="s">
        <v>118</v>
      </c>
      <c r="E2343" t="s">
        <v>430</v>
      </c>
      <c r="F2343" t="s">
        <v>7</v>
      </c>
      <c r="G2343" t="s">
        <v>130</v>
      </c>
      <c r="H2343" s="1">
        <v>46116</v>
      </c>
      <c r="I2343" t="s">
        <v>1335</v>
      </c>
      <c r="J2343" t="s">
        <v>1336</v>
      </c>
      <c r="K2343" t="s">
        <v>1337</v>
      </c>
      <c r="L2343" t="s">
        <v>503</v>
      </c>
      <c r="M2343" t="s">
        <v>1338</v>
      </c>
      <c r="N2343" s="166">
        <v>19.84</v>
      </c>
      <c r="O2343" t="s">
        <v>131</v>
      </c>
    </row>
    <row r="2344" spans="1:15">
      <c r="A2344" s="166" t="s">
        <v>1339</v>
      </c>
      <c r="B2344" t="s">
        <v>111</v>
      </c>
      <c r="C2344" t="s">
        <v>132</v>
      </c>
      <c r="D2344" t="s">
        <v>118</v>
      </c>
      <c r="E2344" t="s">
        <v>430</v>
      </c>
      <c r="F2344" t="s">
        <v>7</v>
      </c>
      <c r="G2344" t="s">
        <v>130</v>
      </c>
      <c r="H2344" s="1">
        <v>46116</v>
      </c>
      <c r="I2344" t="s">
        <v>1340</v>
      </c>
      <c r="J2344" t="s">
        <v>1341</v>
      </c>
      <c r="K2344" t="s">
        <v>1342</v>
      </c>
      <c r="L2344" t="s">
        <v>143</v>
      </c>
      <c r="M2344" t="s">
        <v>1173</v>
      </c>
      <c r="N2344" s="166">
        <v>19.34</v>
      </c>
      <c r="O2344" t="s">
        <v>131</v>
      </c>
    </row>
    <row r="2345" spans="1:15">
      <c r="A2345" s="166" t="s">
        <v>1343</v>
      </c>
      <c r="B2345" t="s">
        <v>111</v>
      </c>
      <c r="C2345" t="s">
        <v>135</v>
      </c>
      <c r="D2345" t="s">
        <v>118</v>
      </c>
      <c r="E2345" t="s">
        <v>430</v>
      </c>
      <c r="F2345" t="s">
        <v>7</v>
      </c>
      <c r="G2345" t="s">
        <v>130</v>
      </c>
      <c r="H2345" s="1">
        <v>46116</v>
      </c>
      <c r="I2345" t="s">
        <v>1344</v>
      </c>
      <c r="J2345" t="s">
        <v>1345</v>
      </c>
      <c r="K2345" t="s">
        <v>1346</v>
      </c>
      <c r="L2345" t="s">
        <v>168</v>
      </c>
      <c r="M2345" t="s">
        <v>1347</v>
      </c>
      <c r="N2345" s="166">
        <v>19.2</v>
      </c>
      <c r="O2345" t="s">
        <v>131</v>
      </c>
    </row>
    <row r="2346" spans="1:15">
      <c r="A2346" s="166" t="s">
        <v>1348</v>
      </c>
      <c r="B2346" t="s">
        <v>111</v>
      </c>
      <c r="C2346" t="s">
        <v>1104</v>
      </c>
      <c r="D2346" t="s">
        <v>118</v>
      </c>
      <c r="E2346" t="s">
        <v>430</v>
      </c>
      <c r="F2346" t="s">
        <v>7</v>
      </c>
      <c r="G2346" t="s">
        <v>130</v>
      </c>
      <c r="H2346" s="1">
        <v>46116</v>
      </c>
      <c r="I2346" t="s">
        <v>1349</v>
      </c>
      <c r="J2346" t="s">
        <v>1350</v>
      </c>
      <c r="K2346" t="s">
        <v>781</v>
      </c>
      <c r="L2346" t="s">
        <v>449</v>
      </c>
      <c r="M2346" t="s">
        <v>498</v>
      </c>
      <c r="N2346" s="166">
        <v>21.62</v>
      </c>
      <c r="O2346" t="s">
        <v>131</v>
      </c>
    </row>
    <row r="2347" spans="1:15">
      <c r="A2347" s="166" t="s">
        <v>1351</v>
      </c>
      <c r="B2347" t="s">
        <v>111</v>
      </c>
      <c r="C2347" t="s">
        <v>641</v>
      </c>
      <c r="D2347" t="s">
        <v>118</v>
      </c>
      <c r="E2347" t="s">
        <v>430</v>
      </c>
      <c r="F2347" t="s">
        <v>7</v>
      </c>
      <c r="G2347" t="s">
        <v>130</v>
      </c>
      <c r="H2347" s="1">
        <v>46116</v>
      </c>
      <c r="I2347" t="s">
        <v>1352</v>
      </c>
      <c r="J2347" t="s">
        <v>1353</v>
      </c>
      <c r="K2347" t="s">
        <v>1066</v>
      </c>
      <c r="L2347" t="s">
        <v>831</v>
      </c>
      <c r="M2347" t="s">
        <v>1354</v>
      </c>
      <c r="N2347" s="166">
        <v>18.7</v>
      </c>
      <c r="O2347" t="s">
        <v>131</v>
      </c>
    </row>
    <row r="2348" spans="1:15">
      <c r="A2348" s="166" t="s">
        <v>1355</v>
      </c>
      <c r="B2348" t="s">
        <v>111</v>
      </c>
      <c r="C2348" t="s">
        <v>136</v>
      </c>
      <c r="D2348" t="s">
        <v>118</v>
      </c>
      <c r="E2348" t="s">
        <v>430</v>
      </c>
      <c r="F2348" t="s">
        <v>7</v>
      </c>
      <c r="G2348" t="s">
        <v>130</v>
      </c>
      <c r="H2348" s="1">
        <v>46116</v>
      </c>
      <c r="I2348" t="s">
        <v>1356</v>
      </c>
      <c r="J2348" t="s">
        <v>1357</v>
      </c>
      <c r="K2348" t="s">
        <v>1358</v>
      </c>
      <c r="L2348" t="s">
        <v>165</v>
      </c>
      <c r="M2348" t="s">
        <v>1359</v>
      </c>
      <c r="N2348" s="166">
        <v>18.600000000000001</v>
      </c>
      <c r="O2348" t="s">
        <v>131</v>
      </c>
    </row>
    <row r="2349" spans="1:15">
      <c r="A2349" s="166" t="s">
        <v>1360</v>
      </c>
      <c r="B2349" t="s">
        <v>111</v>
      </c>
      <c r="C2349" t="s">
        <v>135</v>
      </c>
      <c r="D2349" t="s">
        <v>118</v>
      </c>
      <c r="E2349" t="s">
        <v>430</v>
      </c>
      <c r="F2349" t="s">
        <v>7</v>
      </c>
      <c r="G2349" t="s">
        <v>130</v>
      </c>
      <c r="H2349" s="1">
        <v>46116</v>
      </c>
      <c r="I2349" t="s">
        <v>1361</v>
      </c>
      <c r="J2349" t="s">
        <v>1362</v>
      </c>
      <c r="K2349" t="s">
        <v>1363</v>
      </c>
      <c r="L2349" t="s">
        <v>157</v>
      </c>
      <c r="M2349" t="s">
        <v>1364</v>
      </c>
      <c r="N2349" s="166">
        <v>17.760000000000002</v>
      </c>
      <c r="O2349" t="s">
        <v>131</v>
      </c>
    </row>
    <row r="2350" spans="1:15">
      <c r="A2350" s="166" t="s">
        <v>1365</v>
      </c>
      <c r="B2350" t="s">
        <v>111</v>
      </c>
      <c r="C2350" t="s">
        <v>132</v>
      </c>
      <c r="D2350" t="s">
        <v>118</v>
      </c>
      <c r="E2350" t="s">
        <v>430</v>
      </c>
      <c r="F2350" t="s">
        <v>7</v>
      </c>
      <c r="G2350" t="s">
        <v>130</v>
      </c>
      <c r="H2350" s="1">
        <v>46116</v>
      </c>
      <c r="I2350" t="s">
        <v>1366</v>
      </c>
      <c r="J2350" t="s">
        <v>1367</v>
      </c>
      <c r="K2350" t="s">
        <v>1368</v>
      </c>
      <c r="L2350" t="s">
        <v>143</v>
      </c>
      <c r="M2350" t="s">
        <v>1369</v>
      </c>
      <c r="N2350" s="166">
        <v>18.78</v>
      </c>
      <c r="O2350" t="s">
        <v>131</v>
      </c>
    </row>
    <row r="2351" spans="1:15">
      <c r="A2351" s="166" t="s">
        <v>1370</v>
      </c>
      <c r="B2351" t="s">
        <v>111</v>
      </c>
      <c r="C2351" t="s">
        <v>1104</v>
      </c>
      <c r="D2351" t="s">
        <v>118</v>
      </c>
      <c r="E2351" t="s">
        <v>430</v>
      </c>
      <c r="F2351" t="s">
        <v>7</v>
      </c>
      <c r="G2351" t="s">
        <v>130</v>
      </c>
      <c r="H2351" s="1">
        <v>46116</v>
      </c>
      <c r="I2351" t="s">
        <v>1371</v>
      </c>
      <c r="J2351" t="s">
        <v>1372</v>
      </c>
      <c r="K2351" t="s">
        <v>1342</v>
      </c>
      <c r="L2351" t="s">
        <v>1109</v>
      </c>
      <c r="M2351" t="s">
        <v>1373</v>
      </c>
      <c r="N2351" s="166">
        <v>19.100000000000001</v>
      </c>
      <c r="O2351" t="s">
        <v>131</v>
      </c>
    </row>
    <row r="2352" spans="1:15">
      <c r="A2352" s="166" t="s">
        <v>1374</v>
      </c>
      <c r="B2352" t="s">
        <v>111</v>
      </c>
      <c r="C2352" t="s">
        <v>641</v>
      </c>
      <c r="D2352" t="s">
        <v>118</v>
      </c>
      <c r="E2352" t="s">
        <v>430</v>
      </c>
      <c r="F2352" t="s">
        <v>7</v>
      </c>
      <c r="G2352" t="s">
        <v>130</v>
      </c>
      <c r="H2352" s="1">
        <v>46116</v>
      </c>
      <c r="I2352" t="s">
        <v>1375</v>
      </c>
      <c r="J2352" t="s">
        <v>1376</v>
      </c>
      <c r="K2352" t="s">
        <v>1377</v>
      </c>
      <c r="L2352" t="s">
        <v>831</v>
      </c>
      <c r="M2352" t="s">
        <v>1267</v>
      </c>
      <c r="N2352" s="166">
        <v>19.68</v>
      </c>
      <c r="O2352" t="s">
        <v>131</v>
      </c>
    </row>
    <row r="2353" spans="1:15">
      <c r="A2353" s="166" t="s">
        <v>1378</v>
      </c>
      <c r="B2353" t="s">
        <v>111</v>
      </c>
      <c r="C2353" t="s">
        <v>136</v>
      </c>
      <c r="D2353" t="s">
        <v>118</v>
      </c>
      <c r="E2353" t="s">
        <v>430</v>
      </c>
      <c r="F2353" t="s">
        <v>7</v>
      </c>
      <c r="G2353" t="s">
        <v>130</v>
      </c>
      <c r="H2353" s="1">
        <v>46116</v>
      </c>
      <c r="I2353" t="s">
        <v>1379</v>
      </c>
      <c r="J2353" t="s">
        <v>1380</v>
      </c>
      <c r="K2353" t="s">
        <v>1381</v>
      </c>
      <c r="L2353" t="s">
        <v>163</v>
      </c>
      <c r="M2353" t="s">
        <v>1338</v>
      </c>
      <c r="N2353" s="166">
        <v>19.84</v>
      </c>
      <c r="O2353" t="s">
        <v>131</v>
      </c>
    </row>
    <row r="2354" spans="1:15">
      <c r="A2354" s="166" t="s">
        <v>1382</v>
      </c>
      <c r="B2354" t="s">
        <v>111</v>
      </c>
      <c r="C2354" t="s">
        <v>135</v>
      </c>
      <c r="D2354" t="s">
        <v>118</v>
      </c>
      <c r="E2354" t="s">
        <v>430</v>
      </c>
      <c r="F2354" t="s">
        <v>7</v>
      </c>
      <c r="G2354" t="s">
        <v>130</v>
      </c>
      <c r="H2354" s="1">
        <v>46116</v>
      </c>
      <c r="I2354" t="s">
        <v>1383</v>
      </c>
      <c r="J2354" t="s">
        <v>1384</v>
      </c>
      <c r="K2354" t="s">
        <v>1327</v>
      </c>
      <c r="L2354" t="s">
        <v>165</v>
      </c>
      <c r="M2354" t="s">
        <v>1385</v>
      </c>
      <c r="N2354" s="166">
        <v>19.78</v>
      </c>
      <c r="O2354" t="s">
        <v>131</v>
      </c>
    </row>
    <row r="2355" spans="1:15">
      <c r="A2355" s="166" t="s">
        <v>1386</v>
      </c>
      <c r="B2355" t="s">
        <v>111</v>
      </c>
      <c r="C2355" t="s">
        <v>1104</v>
      </c>
      <c r="D2355" t="s">
        <v>118</v>
      </c>
      <c r="E2355" t="s">
        <v>430</v>
      </c>
      <c r="F2355" t="s">
        <v>7</v>
      </c>
      <c r="G2355" t="s">
        <v>130</v>
      </c>
      <c r="H2355" s="1">
        <v>46116</v>
      </c>
      <c r="I2355" t="s">
        <v>1387</v>
      </c>
      <c r="J2355" t="s">
        <v>1388</v>
      </c>
      <c r="K2355" t="s">
        <v>1368</v>
      </c>
      <c r="L2355" t="s">
        <v>1109</v>
      </c>
      <c r="M2355" t="s">
        <v>1389</v>
      </c>
      <c r="N2355" s="166">
        <v>18.54</v>
      </c>
      <c r="O2355" t="s">
        <v>131</v>
      </c>
    </row>
    <row r="2356" spans="1:15">
      <c r="A2356" s="166" t="s">
        <v>1390</v>
      </c>
      <c r="B2356" t="s">
        <v>111</v>
      </c>
      <c r="C2356" t="s">
        <v>641</v>
      </c>
      <c r="D2356" t="s">
        <v>118</v>
      </c>
      <c r="E2356" t="s">
        <v>430</v>
      </c>
      <c r="F2356" t="s">
        <v>7</v>
      </c>
      <c r="G2356" t="s">
        <v>130</v>
      </c>
      <c r="H2356" s="1">
        <v>46116</v>
      </c>
      <c r="I2356" t="s">
        <v>1391</v>
      </c>
      <c r="J2356" t="s">
        <v>1392</v>
      </c>
      <c r="K2356" t="s">
        <v>1393</v>
      </c>
      <c r="L2356" t="s">
        <v>801</v>
      </c>
      <c r="M2356" t="s">
        <v>1394</v>
      </c>
      <c r="N2356" s="166">
        <v>18.96</v>
      </c>
      <c r="O2356" t="s">
        <v>131</v>
      </c>
    </row>
    <row r="2357" spans="1:15">
      <c r="A2357" s="166" t="s">
        <v>1395</v>
      </c>
      <c r="B2357" t="s">
        <v>111</v>
      </c>
      <c r="C2357" t="s">
        <v>136</v>
      </c>
      <c r="D2357" t="s">
        <v>118</v>
      </c>
      <c r="E2357" t="s">
        <v>430</v>
      </c>
      <c r="F2357" t="s">
        <v>7</v>
      </c>
      <c r="G2357" t="s">
        <v>130</v>
      </c>
      <c r="H2357" s="1">
        <v>46116</v>
      </c>
      <c r="I2357" t="s">
        <v>1396</v>
      </c>
      <c r="J2357" t="s">
        <v>1397</v>
      </c>
      <c r="K2357" t="s">
        <v>1398</v>
      </c>
      <c r="L2357" t="s">
        <v>772</v>
      </c>
      <c r="M2357" t="s">
        <v>1399</v>
      </c>
      <c r="N2357" s="166">
        <v>19.32</v>
      </c>
      <c r="O2357" t="s">
        <v>131</v>
      </c>
    </row>
    <row r="2358" spans="1:15">
      <c r="A2358" s="166" t="s">
        <v>1400</v>
      </c>
      <c r="B2358" t="s">
        <v>111</v>
      </c>
      <c r="C2358" t="s">
        <v>135</v>
      </c>
      <c r="D2358" t="s">
        <v>118</v>
      </c>
      <c r="E2358" t="s">
        <v>430</v>
      </c>
      <c r="F2358" t="s">
        <v>7</v>
      </c>
      <c r="G2358" t="s">
        <v>130</v>
      </c>
      <c r="H2358" s="1">
        <v>46116</v>
      </c>
      <c r="I2358" t="s">
        <v>1401</v>
      </c>
      <c r="J2358" t="s">
        <v>1402</v>
      </c>
      <c r="K2358" t="s">
        <v>1403</v>
      </c>
      <c r="L2358" t="s">
        <v>157</v>
      </c>
      <c r="M2358" t="s">
        <v>1404</v>
      </c>
      <c r="N2358" s="166">
        <v>18.579999999999998</v>
      </c>
      <c r="O2358" t="s">
        <v>131</v>
      </c>
    </row>
    <row r="2359" spans="1:15">
      <c r="A2359" s="166" t="s">
        <v>1405</v>
      </c>
      <c r="B2359" t="s">
        <v>111</v>
      </c>
      <c r="C2359" t="s">
        <v>1104</v>
      </c>
      <c r="D2359" t="s">
        <v>118</v>
      </c>
      <c r="E2359" t="s">
        <v>430</v>
      </c>
      <c r="F2359" t="s">
        <v>7</v>
      </c>
      <c r="G2359" t="s">
        <v>130</v>
      </c>
      <c r="H2359" s="1">
        <v>46116</v>
      </c>
      <c r="I2359" t="s">
        <v>1406</v>
      </c>
      <c r="J2359" t="s">
        <v>1407</v>
      </c>
      <c r="K2359" t="s">
        <v>1408</v>
      </c>
      <c r="L2359" t="s">
        <v>449</v>
      </c>
      <c r="M2359" t="s">
        <v>1359</v>
      </c>
      <c r="N2359" s="166">
        <v>18.600000000000001</v>
      </c>
      <c r="O2359" t="s">
        <v>131</v>
      </c>
    </row>
    <row r="2360" spans="1:15">
      <c r="A2360" s="166" t="s">
        <v>1409</v>
      </c>
      <c r="B2360" t="s">
        <v>111</v>
      </c>
      <c r="C2360" t="s">
        <v>641</v>
      </c>
      <c r="D2360" t="s">
        <v>118</v>
      </c>
      <c r="E2360" t="s">
        <v>430</v>
      </c>
      <c r="F2360" t="s">
        <v>7</v>
      </c>
      <c r="G2360" t="s">
        <v>130</v>
      </c>
      <c r="H2360" s="1">
        <v>46116</v>
      </c>
      <c r="I2360" t="s">
        <v>1410</v>
      </c>
      <c r="J2360" t="s">
        <v>1411</v>
      </c>
      <c r="K2360" t="s">
        <v>1085</v>
      </c>
      <c r="L2360" t="s">
        <v>1076</v>
      </c>
      <c r="M2360" t="s">
        <v>1412</v>
      </c>
      <c r="N2360" s="166">
        <v>18.62</v>
      </c>
      <c r="O2360" t="s">
        <v>131</v>
      </c>
    </row>
    <row r="2361" spans="1:15">
      <c r="A2361" s="166" t="s">
        <v>1413</v>
      </c>
      <c r="B2361" t="s">
        <v>111</v>
      </c>
      <c r="C2361" t="s">
        <v>136</v>
      </c>
      <c r="D2361" t="s">
        <v>118</v>
      </c>
      <c r="E2361" t="s">
        <v>430</v>
      </c>
      <c r="F2361" t="s">
        <v>7</v>
      </c>
      <c r="G2361" t="s">
        <v>130</v>
      </c>
      <c r="H2361" s="1">
        <v>46116</v>
      </c>
      <c r="I2361" t="s">
        <v>1414</v>
      </c>
      <c r="J2361" t="s">
        <v>1415</v>
      </c>
      <c r="K2361" t="s">
        <v>836</v>
      </c>
      <c r="L2361" t="s">
        <v>449</v>
      </c>
      <c r="M2361" t="s">
        <v>1416</v>
      </c>
      <c r="N2361" s="166">
        <v>17.940000000000001</v>
      </c>
      <c r="O2361" t="s">
        <v>131</v>
      </c>
    </row>
    <row r="2362" spans="1:15">
      <c r="A2362" s="166" t="s">
        <v>1417</v>
      </c>
      <c r="B2362" t="s">
        <v>111</v>
      </c>
      <c r="C2362" t="s">
        <v>135</v>
      </c>
      <c r="D2362" t="s">
        <v>118</v>
      </c>
      <c r="E2362" t="s">
        <v>430</v>
      </c>
      <c r="F2362" t="s">
        <v>7</v>
      </c>
      <c r="G2362" t="s">
        <v>130</v>
      </c>
      <c r="H2362" s="1">
        <v>46116</v>
      </c>
      <c r="I2362" t="s">
        <v>1418</v>
      </c>
      <c r="J2362" t="s">
        <v>1419</v>
      </c>
      <c r="K2362" t="s">
        <v>1420</v>
      </c>
      <c r="L2362" t="s">
        <v>157</v>
      </c>
      <c r="M2362" t="s">
        <v>1421</v>
      </c>
      <c r="N2362" s="166">
        <v>19.7</v>
      </c>
      <c r="O2362" t="s">
        <v>131</v>
      </c>
    </row>
    <row r="2363" spans="1:15">
      <c r="A2363" s="166" t="s">
        <v>1422</v>
      </c>
      <c r="B2363" t="s">
        <v>111</v>
      </c>
      <c r="C2363" t="s">
        <v>1104</v>
      </c>
      <c r="D2363" t="s">
        <v>118</v>
      </c>
      <c r="E2363" t="s">
        <v>430</v>
      </c>
      <c r="F2363" t="s">
        <v>7</v>
      </c>
      <c r="G2363" t="s">
        <v>130</v>
      </c>
      <c r="H2363" s="1">
        <v>46116</v>
      </c>
      <c r="I2363" t="s">
        <v>1423</v>
      </c>
      <c r="J2363" t="s">
        <v>1424</v>
      </c>
      <c r="K2363" t="s">
        <v>1337</v>
      </c>
      <c r="L2363" t="s">
        <v>492</v>
      </c>
      <c r="M2363" t="s">
        <v>1425</v>
      </c>
      <c r="N2363" s="166">
        <v>19.52</v>
      </c>
      <c r="O2363" t="s">
        <v>131</v>
      </c>
    </row>
    <row r="2364" spans="1:15">
      <c r="A2364" s="166" t="s">
        <v>1426</v>
      </c>
      <c r="B2364" t="s">
        <v>111</v>
      </c>
      <c r="C2364" t="s">
        <v>641</v>
      </c>
      <c r="D2364" t="s">
        <v>118</v>
      </c>
      <c r="E2364" t="s">
        <v>430</v>
      </c>
      <c r="F2364" t="s">
        <v>7</v>
      </c>
      <c r="G2364" t="s">
        <v>130</v>
      </c>
      <c r="H2364" s="1">
        <v>46116</v>
      </c>
      <c r="I2364" t="s">
        <v>1427</v>
      </c>
      <c r="J2364" t="s">
        <v>1428</v>
      </c>
      <c r="K2364" t="s">
        <v>1429</v>
      </c>
      <c r="L2364" t="s">
        <v>650</v>
      </c>
      <c r="M2364" t="s">
        <v>1430</v>
      </c>
      <c r="N2364" s="166">
        <v>18.899999999999999</v>
      </c>
      <c r="O2364" t="s">
        <v>131</v>
      </c>
    </row>
    <row r="2365" spans="1:15">
      <c r="A2365" s="166" t="s">
        <v>1431</v>
      </c>
      <c r="B2365" t="s">
        <v>111</v>
      </c>
      <c r="C2365" t="s">
        <v>136</v>
      </c>
      <c r="D2365" t="s">
        <v>118</v>
      </c>
      <c r="E2365" t="s">
        <v>430</v>
      </c>
      <c r="F2365" t="s">
        <v>7</v>
      </c>
      <c r="G2365" t="s">
        <v>130</v>
      </c>
      <c r="H2365" s="1">
        <v>46116</v>
      </c>
      <c r="I2365" t="s">
        <v>1432</v>
      </c>
      <c r="J2365" t="s">
        <v>1433</v>
      </c>
      <c r="K2365" t="s">
        <v>1295</v>
      </c>
      <c r="L2365" t="s">
        <v>584</v>
      </c>
      <c r="M2365" t="s">
        <v>1252</v>
      </c>
      <c r="N2365" s="166">
        <v>18.36</v>
      </c>
      <c r="O2365" t="s">
        <v>131</v>
      </c>
    </row>
    <row r="2366" spans="1:15">
      <c r="A2366" s="166" t="s">
        <v>1434</v>
      </c>
      <c r="B2366" t="s">
        <v>111</v>
      </c>
      <c r="C2366" t="s">
        <v>135</v>
      </c>
      <c r="D2366" t="s">
        <v>118</v>
      </c>
      <c r="E2366" t="s">
        <v>430</v>
      </c>
      <c r="F2366" t="s">
        <v>7</v>
      </c>
      <c r="G2366" t="s">
        <v>130</v>
      </c>
      <c r="H2366" s="1">
        <v>46116</v>
      </c>
      <c r="I2366" t="s">
        <v>1435</v>
      </c>
      <c r="J2366" t="s">
        <v>1436</v>
      </c>
      <c r="K2366" t="s">
        <v>1332</v>
      </c>
      <c r="L2366" t="s">
        <v>1437</v>
      </c>
      <c r="M2366" t="s">
        <v>1438</v>
      </c>
      <c r="N2366" s="166">
        <v>12.08</v>
      </c>
      <c r="O2366" t="s">
        <v>131</v>
      </c>
    </row>
    <row r="2367" spans="1:15">
      <c r="A2367" s="166" t="s">
        <v>1439</v>
      </c>
      <c r="B2367" t="s">
        <v>111</v>
      </c>
      <c r="C2367" t="s">
        <v>641</v>
      </c>
      <c r="D2367" t="s">
        <v>118</v>
      </c>
      <c r="E2367" t="s">
        <v>430</v>
      </c>
      <c r="F2367" t="s">
        <v>7</v>
      </c>
      <c r="G2367" t="s">
        <v>130</v>
      </c>
      <c r="H2367" s="1">
        <v>46116</v>
      </c>
      <c r="I2367" t="s">
        <v>1440</v>
      </c>
      <c r="J2367" t="s">
        <v>1441</v>
      </c>
      <c r="K2367" t="s">
        <v>1442</v>
      </c>
      <c r="L2367" t="s">
        <v>650</v>
      </c>
      <c r="M2367" t="s">
        <v>1443</v>
      </c>
      <c r="N2367" s="166">
        <v>19.940000000000001</v>
      </c>
      <c r="O2367" t="s">
        <v>131</v>
      </c>
    </row>
    <row r="2368" spans="1:15">
      <c r="A2368" s="166" t="s">
        <v>1444</v>
      </c>
      <c r="B2368" t="s">
        <v>111</v>
      </c>
      <c r="C2368" t="s">
        <v>1104</v>
      </c>
      <c r="D2368" t="s">
        <v>118</v>
      </c>
      <c r="E2368" t="s">
        <v>430</v>
      </c>
      <c r="F2368" t="s">
        <v>7</v>
      </c>
      <c r="G2368" t="s">
        <v>130</v>
      </c>
      <c r="H2368" s="1">
        <v>46116</v>
      </c>
      <c r="I2368" t="s">
        <v>1445</v>
      </c>
      <c r="J2368" t="s">
        <v>1446</v>
      </c>
      <c r="K2368" t="s">
        <v>191</v>
      </c>
      <c r="L2368" t="s">
        <v>492</v>
      </c>
      <c r="M2368" t="s">
        <v>1447</v>
      </c>
      <c r="N2368" s="166">
        <v>22.9</v>
      </c>
      <c r="O2368" t="s">
        <v>131</v>
      </c>
    </row>
    <row r="2369" spans="1:15">
      <c r="A2369" s="166" t="s">
        <v>1448</v>
      </c>
      <c r="B2369" t="s">
        <v>111</v>
      </c>
      <c r="C2369" t="s">
        <v>136</v>
      </c>
      <c r="D2369" t="s">
        <v>118</v>
      </c>
      <c r="E2369" t="s">
        <v>430</v>
      </c>
      <c r="F2369" t="s">
        <v>7</v>
      </c>
      <c r="G2369" t="s">
        <v>130</v>
      </c>
      <c r="H2369" s="1">
        <v>46116</v>
      </c>
      <c r="I2369" t="s">
        <v>1449</v>
      </c>
      <c r="J2369" t="s">
        <v>1450</v>
      </c>
      <c r="K2369" t="s">
        <v>1451</v>
      </c>
      <c r="L2369" t="s">
        <v>584</v>
      </c>
      <c r="M2369" t="s">
        <v>1452</v>
      </c>
      <c r="N2369" s="166">
        <v>22.96</v>
      </c>
      <c r="O2369" t="s">
        <v>131</v>
      </c>
    </row>
    <row r="2370" spans="1:15">
      <c r="A2370" s="166" t="s">
        <v>1453</v>
      </c>
      <c r="B2370" t="s">
        <v>111</v>
      </c>
      <c r="C2370" t="s">
        <v>135</v>
      </c>
      <c r="D2370" t="s">
        <v>118</v>
      </c>
      <c r="E2370" t="s">
        <v>430</v>
      </c>
      <c r="F2370" t="s">
        <v>7</v>
      </c>
      <c r="G2370" t="s">
        <v>130</v>
      </c>
      <c r="H2370" s="1">
        <v>46116</v>
      </c>
      <c r="I2370" t="s">
        <v>1454</v>
      </c>
      <c r="J2370" t="s">
        <v>1455</v>
      </c>
      <c r="K2370" t="s">
        <v>206</v>
      </c>
      <c r="L2370" t="s">
        <v>155</v>
      </c>
      <c r="M2370" t="s">
        <v>1456</v>
      </c>
      <c r="N2370" s="166">
        <v>21.78</v>
      </c>
      <c r="O2370" t="s">
        <v>131</v>
      </c>
    </row>
    <row r="2371" spans="1:15">
      <c r="A2371" s="166" t="s">
        <v>1457</v>
      </c>
      <c r="B2371" t="s">
        <v>111</v>
      </c>
      <c r="C2371" t="s">
        <v>641</v>
      </c>
      <c r="D2371" t="s">
        <v>118</v>
      </c>
      <c r="E2371" t="s">
        <v>430</v>
      </c>
      <c r="F2371" t="s">
        <v>7</v>
      </c>
      <c r="G2371" t="s">
        <v>130</v>
      </c>
      <c r="H2371" s="1">
        <v>46116</v>
      </c>
      <c r="I2371" t="s">
        <v>1458</v>
      </c>
      <c r="J2371" t="s">
        <v>1459</v>
      </c>
      <c r="K2371" t="s">
        <v>615</v>
      </c>
      <c r="L2371" t="s">
        <v>801</v>
      </c>
      <c r="M2371" t="s">
        <v>1127</v>
      </c>
      <c r="N2371" s="166">
        <v>19.920000000000002</v>
      </c>
      <c r="O2371" t="s">
        <v>131</v>
      </c>
    </row>
    <row r="2372" spans="1:15">
      <c r="A2372" s="166" t="s">
        <v>1460</v>
      </c>
      <c r="B2372" t="s">
        <v>111</v>
      </c>
      <c r="C2372" t="s">
        <v>1104</v>
      </c>
      <c r="D2372" t="s">
        <v>118</v>
      </c>
      <c r="E2372" t="s">
        <v>430</v>
      </c>
      <c r="F2372" t="s">
        <v>7</v>
      </c>
      <c r="G2372" t="s">
        <v>130</v>
      </c>
      <c r="H2372" s="1">
        <v>46116</v>
      </c>
      <c r="I2372" t="s">
        <v>1461</v>
      </c>
      <c r="J2372" t="s">
        <v>1462</v>
      </c>
      <c r="K2372" t="s">
        <v>1463</v>
      </c>
      <c r="L2372" t="s">
        <v>633</v>
      </c>
      <c r="M2372" t="s">
        <v>1206</v>
      </c>
      <c r="N2372" s="166">
        <v>22.66</v>
      </c>
      <c r="O2372" t="s">
        <v>131</v>
      </c>
    </row>
    <row r="2373" spans="1:15">
      <c r="A2373" s="166" t="s">
        <v>1464</v>
      </c>
      <c r="B2373" t="s">
        <v>111</v>
      </c>
      <c r="C2373" t="s">
        <v>136</v>
      </c>
      <c r="D2373" t="s">
        <v>118</v>
      </c>
      <c r="E2373" t="s">
        <v>430</v>
      </c>
      <c r="F2373" t="s">
        <v>7</v>
      </c>
      <c r="G2373" t="s">
        <v>130</v>
      </c>
      <c r="H2373" s="1">
        <v>46116</v>
      </c>
      <c r="I2373" t="s">
        <v>1465</v>
      </c>
      <c r="J2373" t="s">
        <v>1466</v>
      </c>
      <c r="K2373" t="s">
        <v>1467</v>
      </c>
      <c r="L2373" t="s">
        <v>584</v>
      </c>
      <c r="M2373" t="s">
        <v>1468</v>
      </c>
      <c r="N2373" s="166">
        <v>19</v>
      </c>
      <c r="O2373" t="s">
        <v>131</v>
      </c>
    </row>
    <row r="2374" spans="1:15">
      <c r="A2374" s="166" t="s">
        <v>1469</v>
      </c>
      <c r="B2374" t="s">
        <v>111</v>
      </c>
      <c r="C2374" t="s">
        <v>135</v>
      </c>
      <c r="D2374" t="s">
        <v>118</v>
      </c>
      <c r="E2374" t="s">
        <v>430</v>
      </c>
      <c r="F2374" t="s">
        <v>7</v>
      </c>
      <c r="G2374" t="s">
        <v>130</v>
      </c>
      <c r="H2374" s="1">
        <v>46116</v>
      </c>
      <c r="I2374" t="s">
        <v>1470</v>
      </c>
      <c r="J2374" t="s">
        <v>1471</v>
      </c>
      <c r="K2374" t="s">
        <v>1472</v>
      </c>
      <c r="L2374" t="s">
        <v>157</v>
      </c>
      <c r="M2374" t="s">
        <v>1473</v>
      </c>
      <c r="N2374" s="166">
        <v>21.34</v>
      </c>
      <c r="O2374" t="s">
        <v>131</v>
      </c>
    </row>
    <row r="2375" spans="1:15">
      <c r="A2375" s="166" t="s">
        <v>1474</v>
      </c>
      <c r="B2375" t="s">
        <v>111</v>
      </c>
      <c r="C2375" t="s">
        <v>641</v>
      </c>
      <c r="D2375" t="s">
        <v>118</v>
      </c>
      <c r="E2375" t="s">
        <v>430</v>
      </c>
      <c r="F2375" t="s">
        <v>7</v>
      </c>
      <c r="G2375" t="s">
        <v>130</v>
      </c>
      <c r="H2375" s="1">
        <v>46116</v>
      </c>
      <c r="I2375" t="s">
        <v>1475</v>
      </c>
      <c r="J2375" t="s">
        <v>1476</v>
      </c>
      <c r="K2375" t="s">
        <v>215</v>
      </c>
      <c r="L2375" t="s">
        <v>650</v>
      </c>
      <c r="M2375" t="s">
        <v>185</v>
      </c>
      <c r="N2375" s="166">
        <v>20.72</v>
      </c>
      <c r="O2375" t="s">
        <v>131</v>
      </c>
    </row>
    <row r="2376" spans="1:15">
      <c r="A2376" s="166" t="s">
        <v>1477</v>
      </c>
      <c r="B2376" t="s">
        <v>111</v>
      </c>
      <c r="C2376" t="s">
        <v>1104</v>
      </c>
      <c r="D2376" t="s">
        <v>118</v>
      </c>
      <c r="E2376" t="s">
        <v>430</v>
      </c>
      <c r="F2376" t="s">
        <v>7</v>
      </c>
      <c r="G2376" t="s">
        <v>130</v>
      </c>
      <c r="H2376" s="1">
        <v>46116</v>
      </c>
      <c r="I2376" t="s">
        <v>1478</v>
      </c>
      <c r="J2376" t="s">
        <v>1479</v>
      </c>
      <c r="K2376" t="s">
        <v>790</v>
      </c>
      <c r="L2376" t="s">
        <v>449</v>
      </c>
      <c r="M2376" t="s">
        <v>1145</v>
      </c>
      <c r="N2376" s="166">
        <v>19.579999999999998</v>
      </c>
      <c r="O2376" t="s">
        <v>131</v>
      </c>
    </row>
    <row r="2377" spans="1:15">
      <c r="A2377" s="166" t="s">
        <v>1480</v>
      </c>
      <c r="B2377" t="s">
        <v>111</v>
      </c>
      <c r="C2377" t="s">
        <v>136</v>
      </c>
      <c r="D2377" t="s">
        <v>118</v>
      </c>
      <c r="E2377" t="s">
        <v>430</v>
      </c>
      <c r="F2377" t="s">
        <v>7</v>
      </c>
      <c r="G2377" t="s">
        <v>130</v>
      </c>
      <c r="H2377" s="1">
        <v>46116</v>
      </c>
      <c r="I2377" t="s">
        <v>1481</v>
      </c>
      <c r="J2377" t="s">
        <v>1482</v>
      </c>
      <c r="K2377" t="s">
        <v>1403</v>
      </c>
      <c r="L2377" t="s">
        <v>1483</v>
      </c>
      <c r="M2377" t="s">
        <v>1484</v>
      </c>
      <c r="N2377" s="166">
        <v>18.22</v>
      </c>
      <c r="O2377" t="s">
        <v>131</v>
      </c>
    </row>
    <row r="2378" spans="1:15">
      <c r="A2378" s="166" t="s">
        <v>1485</v>
      </c>
      <c r="B2378" t="s">
        <v>111</v>
      </c>
      <c r="C2378" t="s">
        <v>135</v>
      </c>
      <c r="D2378" t="s">
        <v>118</v>
      </c>
      <c r="E2378" t="s">
        <v>430</v>
      </c>
      <c r="F2378" t="s">
        <v>7</v>
      </c>
      <c r="G2378" t="s">
        <v>130</v>
      </c>
      <c r="H2378" s="1">
        <v>46116</v>
      </c>
      <c r="I2378" t="s">
        <v>1486</v>
      </c>
      <c r="J2378" t="s">
        <v>1487</v>
      </c>
      <c r="K2378" t="s">
        <v>1488</v>
      </c>
      <c r="L2378" t="s">
        <v>157</v>
      </c>
      <c r="M2378" t="s">
        <v>1275</v>
      </c>
      <c r="N2378" s="166">
        <v>18.98</v>
      </c>
      <c r="O2378" t="s">
        <v>131</v>
      </c>
    </row>
    <row r="2379" spans="1:15">
      <c r="A2379" s="166" t="s">
        <v>1489</v>
      </c>
      <c r="B2379" t="s">
        <v>111</v>
      </c>
      <c r="C2379" t="s">
        <v>641</v>
      </c>
      <c r="D2379" t="s">
        <v>118</v>
      </c>
      <c r="E2379" t="s">
        <v>430</v>
      </c>
      <c r="F2379" t="s">
        <v>7</v>
      </c>
      <c r="G2379" t="s">
        <v>130</v>
      </c>
      <c r="H2379" s="1">
        <v>46116</v>
      </c>
      <c r="I2379" t="s">
        <v>1490</v>
      </c>
      <c r="J2379" t="s">
        <v>1491</v>
      </c>
      <c r="K2379" t="s">
        <v>1492</v>
      </c>
      <c r="L2379" t="s">
        <v>1493</v>
      </c>
      <c r="M2379" t="s">
        <v>1494</v>
      </c>
      <c r="N2379" s="166">
        <v>21.9</v>
      </c>
      <c r="O2379" t="s">
        <v>131</v>
      </c>
    </row>
    <row r="2380" spans="1:15">
      <c r="A2380" s="166" t="s">
        <v>1495</v>
      </c>
      <c r="B2380" t="s">
        <v>111</v>
      </c>
      <c r="C2380" t="s">
        <v>1104</v>
      </c>
      <c r="D2380" t="s">
        <v>118</v>
      </c>
      <c r="E2380" t="s">
        <v>430</v>
      </c>
      <c r="F2380" t="s">
        <v>7</v>
      </c>
      <c r="G2380" t="s">
        <v>130</v>
      </c>
      <c r="H2380" s="1">
        <v>46116</v>
      </c>
      <c r="I2380" t="s">
        <v>1496</v>
      </c>
      <c r="J2380" t="s">
        <v>1497</v>
      </c>
      <c r="K2380" t="s">
        <v>1498</v>
      </c>
      <c r="L2380" t="s">
        <v>1499</v>
      </c>
      <c r="M2380" t="s">
        <v>147</v>
      </c>
      <c r="N2380" s="166">
        <v>16.84</v>
      </c>
      <c r="O2380" t="s">
        <v>131</v>
      </c>
    </row>
    <row r="2381" spans="1:15">
      <c r="A2381" s="166" t="s">
        <v>1500</v>
      </c>
      <c r="B2381" t="s">
        <v>111</v>
      </c>
      <c r="C2381" t="s">
        <v>136</v>
      </c>
      <c r="D2381" t="s">
        <v>118</v>
      </c>
      <c r="E2381" t="s">
        <v>430</v>
      </c>
      <c r="F2381" t="s">
        <v>7</v>
      </c>
      <c r="G2381" t="s">
        <v>130</v>
      </c>
      <c r="H2381" s="1">
        <v>46116</v>
      </c>
      <c r="I2381" t="s">
        <v>1501</v>
      </c>
      <c r="J2381" t="s">
        <v>1502</v>
      </c>
      <c r="K2381" t="s">
        <v>632</v>
      </c>
      <c r="L2381" t="s">
        <v>1503</v>
      </c>
      <c r="M2381" t="s">
        <v>1504</v>
      </c>
      <c r="N2381" s="166">
        <v>20.84</v>
      </c>
      <c r="O2381" t="s">
        <v>131</v>
      </c>
    </row>
    <row r="2382" spans="1:15">
      <c r="A2382" s="166" t="s">
        <v>1505</v>
      </c>
      <c r="B2382" t="s">
        <v>111</v>
      </c>
      <c r="C2382" t="s">
        <v>641</v>
      </c>
      <c r="D2382" t="s">
        <v>118</v>
      </c>
      <c r="E2382" t="s">
        <v>430</v>
      </c>
      <c r="F2382" t="s">
        <v>7</v>
      </c>
      <c r="G2382" t="s">
        <v>130</v>
      </c>
      <c r="H2382" s="1">
        <v>46116</v>
      </c>
      <c r="I2382" t="s">
        <v>1506</v>
      </c>
      <c r="J2382" t="s">
        <v>1507</v>
      </c>
      <c r="K2382" t="s">
        <v>528</v>
      </c>
      <c r="L2382" t="s">
        <v>650</v>
      </c>
      <c r="M2382" t="s">
        <v>194</v>
      </c>
      <c r="N2382" s="166">
        <v>20.399999999999999</v>
      </c>
      <c r="O2382" t="s">
        <v>131</v>
      </c>
    </row>
    <row r="2383" spans="1:15">
      <c r="A2383" s="166" t="s">
        <v>1508</v>
      </c>
      <c r="B2383" t="s">
        <v>111</v>
      </c>
      <c r="C2383" t="s">
        <v>135</v>
      </c>
      <c r="D2383" t="s">
        <v>118</v>
      </c>
      <c r="E2383" t="s">
        <v>430</v>
      </c>
      <c r="F2383" t="s">
        <v>7</v>
      </c>
      <c r="G2383" t="s">
        <v>130</v>
      </c>
      <c r="H2383" s="1">
        <v>46116</v>
      </c>
      <c r="I2383" t="s">
        <v>1509</v>
      </c>
      <c r="J2383" t="s">
        <v>1510</v>
      </c>
      <c r="K2383" t="s">
        <v>167</v>
      </c>
      <c r="L2383" t="s">
        <v>165</v>
      </c>
      <c r="M2383" t="s">
        <v>226</v>
      </c>
      <c r="N2383" s="166">
        <v>20.2</v>
      </c>
      <c r="O2383" t="s">
        <v>131</v>
      </c>
    </row>
    <row r="2384" spans="1:15">
      <c r="A2384" s="166" t="s">
        <v>1511</v>
      </c>
      <c r="B2384" t="s">
        <v>111</v>
      </c>
      <c r="C2384" t="s">
        <v>1104</v>
      </c>
      <c r="D2384" t="s">
        <v>118</v>
      </c>
      <c r="E2384" t="s">
        <v>430</v>
      </c>
      <c r="F2384" t="s">
        <v>7</v>
      </c>
      <c r="G2384" t="s">
        <v>130</v>
      </c>
      <c r="H2384" s="1">
        <v>46116</v>
      </c>
      <c r="I2384" t="s">
        <v>1512</v>
      </c>
      <c r="J2384" t="s">
        <v>1513</v>
      </c>
      <c r="K2384" t="s">
        <v>1514</v>
      </c>
      <c r="L2384" t="s">
        <v>1499</v>
      </c>
      <c r="M2384" t="s">
        <v>1504</v>
      </c>
      <c r="N2384" s="166">
        <v>20.84</v>
      </c>
      <c r="O2384" t="s">
        <v>131</v>
      </c>
    </row>
    <row r="2385" spans="1:15">
      <c r="A2385" s="166" t="s">
        <v>1515</v>
      </c>
      <c r="B2385" t="s">
        <v>111</v>
      </c>
      <c r="C2385" t="s">
        <v>133</v>
      </c>
      <c r="D2385" t="s">
        <v>116</v>
      </c>
      <c r="E2385" t="s">
        <v>418</v>
      </c>
      <c r="F2385" t="s">
        <v>6</v>
      </c>
      <c r="G2385" t="s">
        <v>130</v>
      </c>
      <c r="H2385" s="1">
        <v>46116</v>
      </c>
      <c r="I2385" t="s">
        <v>1516</v>
      </c>
      <c r="J2385" t="s">
        <v>1517</v>
      </c>
      <c r="K2385" t="s">
        <v>1393</v>
      </c>
      <c r="L2385" t="s">
        <v>714</v>
      </c>
      <c r="M2385" t="s">
        <v>1275</v>
      </c>
      <c r="N2385" s="166">
        <v>18.98</v>
      </c>
      <c r="O2385" t="s">
        <v>131</v>
      </c>
    </row>
    <row r="2386" spans="1:15">
      <c r="A2386" s="166" t="s">
        <v>1518</v>
      </c>
      <c r="B2386" t="s">
        <v>111</v>
      </c>
      <c r="C2386" t="s">
        <v>134</v>
      </c>
      <c r="D2386" t="s">
        <v>116</v>
      </c>
      <c r="E2386" t="s">
        <v>418</v>
      </c>
      <c r="F2386" t="s">
        <v>6</v>
      </c>
      <c r="G2386" t="s">
        <v>130</v>
      </c>
      <c r="H2386" s="1">
        <v>46116</v>
      </c>
      <c r="I2386" t="s">
        <v>1519</v>
      </c>
      <c r="J2386" t="s">
        <v>1520</v>
      </c>
      <c r="K2386" t="s">
        <v>1521</v>
      </c>
      <c r="L2386" t="s">
        <v>665</v>
      </c>
      <c r="M2386" t="s">
        <v>762</v>
      </c>
      <c r="N2386" s="166">
        <v>22.06</v>
      </c>
      <c r="O2386" t="s">
        <v>131</v>
      </c>
    </row>
    <row r="2387" spans="1:15">
      <c r="A2387" s="166" t="s">
        <v>1522</v>
      </c>
      <c r="B2387" t="s">
        <v>111</v>
      </c>
      <c r="C2387" t="s">
        <v>133</v>
      </c>
      <c r="D2387" t="s">
        <v>116</v>
      </c>
      <c r="E2387" t="s">
        <v>418</v>
      </c>
      <c r="F2387" t="s">
        <v>6</v>
      </c>
      <c r="G2387" t="s">
        <v>130</v>
      </c>
      <c r="H2387" s="1">
        <v>46116</v>
      </c>
      <c r="I2387" t="s">
        <v>1523</v>
      </c>
      <c r="J2387" t="s">
        <v>1524</v>
      </c>
      <c r="K2387" t="s">
        <v>1525</v>
      </c>
      <c r="L2387" t="s">
        <v>162</v>
      </c>
      <c r="M2387" t="s">
        <v>617</v>
      </c>
      <c r="N2387" s="166">
        <v>20.02</v>
      </c>
      <c r="O2387" t="s">
        <v>131</v>
      </c>
    </row>
    <row r="2388" spans="1:15">
      <c r="A2388" s="166" t="s">
        <v>1526</v>
      </c>
      <c r="B2388" t="s">
        <v>111</v>
      </c>
      <c r="C2388" t="s">
        <v>135</v>
      </c>
      <c r="D2388" t="s">
        <v>116</v>
      </c>
      <c r="E2388" t="s">
        <v>418</v>
      </c>
      <c r="F2388" t="s">
        <v>6</v>
      </c>
      <c r="G2388" t="s">
        <v>130</v>
      </c>
      <c r="H2388" s="1">
        <v>46116</v>
      </c>
      <c r="I2388" t="s">
        <v>1527</v>
      </c>
      <c r="J2388" t="s">
        <v>1528</v>
      </c>
      <c r="K2388" t="s">
        <v>1381</v>
      </c>
      <c r="L2388" t="s">
        <v>203</v>
      </c>
      <c r="M2388" t="s">
        <v>1529</v>
      </c>
      <c r="N2388" s="166">
        <v>19.88</v>
      </c>
      <c r="O2388" t="s">
        <v>131</v>
      </c>
    </row>
    <row r="2389" spans="1:15">
      <c r="A2389" s="166" t="s">
        <v>1530</v>
      </c>
      <c r="B2389" t="s">
        <v>111</v>
      </c>
      <c r="C2389" t="s">
        <v>133</v>
      </c>
      <c r="D2389" t="s">
        <v>116</v>
      </c>
      <c r="E2389" t="s">
        <v>418</v>
      </c>
      <c r="F2389" t="s">
        <v>6</v>
      </c>
      <c r="G2389" t="s">
        <v>130</v>
      </c>
      <c r="H2389" s="1">
        <v>46116</v>
      </c>
      <c r="I2389" t="s">
        <v>1531</v>
      </c>
      <c r="J2389" t="s">
        <v>1532</v>
      </c>
      <c r="K2389" t="s">
        <v>1533</v>
      </c>
      <c r="L2389" t="s">
        <v>772</v>
      </c>
      <c r="M2389" t="s">
        <v>1258</v>
      </c>
      <c r="N2389" s="166">
        <v>19.420000000000002</v>
      </c>
      <c r="O2389" t="s">
        <v>131</v>
      </c>
    </row>
    <row r="2390" spans="1:15">
      <c r="A2390" s="166" t="s">
        <v>1363</v>
      </c>
      <c r="B2390" t="s">
        <v>111</v>
      </c>
      <c r="C2390" t="s">
        <v>1104</v>
      </c>
      <c r="D2390" t="s">
        <v>116</v>
      </c>
      <c r="E2390" t="s">
        <v>418</v>
      </c>
      <c r="F2390" t="s">
        <v>6</v>
      </c>
      <c r="G2390" t="s">
        <v>130</v>
      </c>
      <c r="H2390" s="1">
        <v>46116</v>
      </c>
      <c r="I2390" t="s">
        <v>1534</v>
      </c>
      <c r="J2390" t="s">
        <v>1535</v>
      </c>
      <c r="K2390" t="s">
        <v>1536</v>
      </c>
      <c r="L2390" t="s">
        <v>449</v>
      </c>
      <c r="M2390" t="s">
        <v>1537</v>
      </c>
      <c r="N2390" s="166">
        <v>22.58</v>
      </c>
      <c r="O2390" t="s">
        <v>131</v>
      </c>
    </row>
    <row r="2391" spans="1:15">
      <c r="A2391" s="166" t="s">
        <v>1538</v>
      </c>
      <c r="B2391" t="s">
        <v>111</v>
      </c>
      <c r="C2391" t="s">
        <v>135</v>
      </c>
      <c r="D2391" t="s">
        <v>116</v>
      </c>
      <c r="E2391" t="s">
        <v>418</v>
      </c>
      <c r="F2391" t="s">
        <v>6</v>
      </c>
      <c r="G2391" t="s">
        <v>130</v>
      </c>
      <c r="H2391" s="1">
        <v>46116</v>
      </c>
      <c r="I2391" t="s">
        <v>1539</v>
      </c>
      <c r="J2391" t="s">
        <v>1540</v>
      </c>
      <c r="K2391" t="s">
        <v>1541</v>
      </c>
      <c r="L2391" t="s">
        <v>203</v>
      </c>
      <c r="M2391" t="s">
        <v>226</v>
      </c>
      <c r="N2391" s="166">
        <v>20.2</v>
      </c>
      <c r="O2391" t="s">
        <v>131</v>
      </c>
    </row>
    <row r="2392" spans="1:15">
      <c r="A2392" s="166" t="s">
        <v>1542</v>
      </c>
      <c r="B2392" t="s">
        <v>111</v>
      </c>
      <c r="C2392" t="s">
        <v>133</v>
      </c>
      <c r="D2392" t="s">
        <v>116</v>
      </c>
      <c r="E2392" t="s">
        <v>418</v>
      </c>
      <c r="F2392" t="s">
        <v>6</v>
      </c>
      <c r="G2392" t="s">
        <v>130</v>
      </c>
      <c r="H2392" s="1">
        <v>46116</v>
      </c>
      <c r="I2392" t="s">
        <v>1543</v>
      </c>
      <c r="J2392" t="s">
        <v>1544</v>
      </c>
      <c r="K2392" t="s">
        <v>771</v>
      </c>
      <c r="L2392" t="s">
        <v>786</v>
      </c>
      <c r="M2392" t="s">
        <v>1545</v>
      </c>
      <c r="N2392" s="166">
        <v>20.68</v>
      </c>
      <c r="O2392" t="s">
        <v>131</v>
      </c>
    </row>
    <row r="2393" spans="1:15">
      <c r="A2393" s="166" t="s">
        <v>1546</v>
      </c>
      <c r="B2393" t="s">
        <v>111</v>
      </c>
      <c r="C2393" t="s">
        <v>1104</v>
      </c>
      <c r="D2393" t="s">
        <v>116</v>
      </c>
      <c r="E2393" t="s">
        <v>418</v>
      </c>
      <c r="F2393" t="s">
        <v>6</v>
      </c>
      <c r="G2393" t="s">
        <v>130</v>
      </c>
      <c r="H2393" s="1">
        <v>46116</v>
      </c>
      <c r="I2393" t="s">
        <v>1547</v>
      </c>
      <c r="J2393" t="s">
        <v>1548</v>
      </c>
      <c r="K2393" t="s">
        <v>1549</v>
      </c>
      <c r="L2393" t="s">
        <v>1109</v>
      </c>
      <c r="M2393" t="s">
        <v>207</v>
      </c>
      <c r="N2393" s="166">
        <v>20.92</v>
      </c>
      <c r="O2393" t="s">
        <v>131</v>
      </c>
    </row>
    <row r="2394" spans="1:15">
      <c r="A2394" s="166" t="s">
        <v>1550</v>
      </c>
      <c r="B2394" t="s">
        <v>111</v>
      </c>
      <c r="C2394" t="s">
        <v>135</v>
      </c>
      <c r="D2394" t="s">
        <v>116</v>
      </c>
      <c r="E2394" t="s">
        <v>418</v>
      </c>
      <c r="F2394" t="s">
        <v>6</v>
      </c>
      <c r="G2394" t="s">
        <v>130</v>
      </c>
      <c r="H2394" s="1">
        <v>46116</v>
      </c>
      <c r="I2394" t="s">
        <v>1551</v>
      </c>
      <c r="J2394" t="s">
        <v>1552</v>
      </c>
      <c r="K2394" t="s">
        <v>1309</v>
      </c>
      <c r="L2394" t="s">
        <v>203</v>
      </c>
      <c r="M2394" t="s">
        <v>1553</v>
      </c>
      <c r="N2394" s="166">
        <v>20.239999999999998</v>
      </c>
      <c r="O2394" t="s">
        <v>131</v>
      </c>
    </row>
    <row r="2395" spans="1:15">
      <c r="A2395" s="166" t="s">
        <v>1554</v>
      </c>
      <c r="B2395" t="s">
        <v>111</v>
      </c>
      <c r="C2395" t="s">
        <v>133</v>
      </c>
      <c r="D2395" t="s">
        <v>116</v>
      </c>
      <c r="E2395" t="s">
        <v>418</v>
      </c>
      <c r="F2395" t="s">
        <v>6</v>
      </c>
      <c r="G2395" t="s">
        <v>130</v>
      </c>
      <c r="H2395" s="1">
        <v>46116</v>
      </c>
      <c r="I2395" t="s">
        <v>1555</v>
      </c>
      <c r="J2395" t="s">
        <v>1556</v>
      </c>
      <c r="K2395" t="s">
        <v>735</v>
      </c>
      <c r="L2395" t="s">
        <v>772</v>
      </c>
      <c r="M2395" t="s">
        <v>176</v>
      </c>
      <c r="N2395" s="166">
        <v>23.02</v>
      </c>
      <c r="O2395" t="s">
        <v>131</v>
      </c>
    </row>
    <row r="2396" spans="1:15">
      <c r="A2396" s="166" t="s">
        <v>1557</v>
      </c>
      <c r="B2396" t="s">
        <v>111</v>
      </c>
      <c r="C2396" t="s">
        <v>1104</v>
      </c>
      <c r="D2396" t="s">
        <v>116</v>
      </c>
      <c r="E2396" t="s">
        <v>418</v>
      </c>
      <c r="F2396" t="s">
        <v>6</v>
      </c>
      <c r="G2396" t="s">
        <v>130</v>
      </c>
      <c r="H2396" s="1">
        <v>46116</v>
      </c>
      <c r="I2396" t="s">
        <v>1558</v>
      </c>
      <c r="J2396" t="s">
        <v>1559</v>
      </c>
      <c r="K2396" t="s">
        <v>191</v>
      </c>
      <c r="L2396" t="s">
        <v>1560</v>
      </c>
      <c r="M2396" t="s">
        <v>715</v>
      </c>
      <c r="N2396" s="166">
        <v>22.84</v>
      </c>
      <c r="O2396" t="s">
        <v>131</v>
      </c>
    </row>
    <row r="2397" spans="1:15">
      <c r="A2397" s="166" t="s">
        <v>1561</v>
      </c>
      <c r="B2397" t="s">
        <v>111</v>
      </c>
      <c r="C2397" t="s">
        <v>135</v>
      </c>
      <c r="D2397" t="s">
        <v>116</v>
      </c>
      <c r="E2397" t="s">
        <v>418</v>
      </c>
      <c r="F2397" t="s">
        <v>6</v>
      </c>
      <c r="G2397" t="s">
        <v>130</v>
      </c>
      <c r="H2397" s="1">
        <v>46117</v>
      </c>
      <c r="I2397" t="s">
        <v>1562</v>
      </c>
      <c r="J2397" t="s">
        <v>1563</v>
      </c>
      <c r="K2397" t="s">
        <v>1564</v>
      </c>
      <c r="L2397" t="s">
        <v>203</v>
      </c>
      <c r="M2397" t="s">
        <v>156</v>
      </c>
      <c r="N2397" s="166">
        <v>22.98</v>
      </c>
      <c r="O2397" t="s">
        <v>131</v>
      </c>
    </row>
    <row r="2398" spans="1:15">
      <c r="A2398" s="166" t="s">
        <v>1565</v>
      </c>
      <c r="B2398" t="s">
        <v>111</v>
      </c>
      <c r="C2398" t="s">
        <v>133</v>
      </c>
      <c r="D2398" t="s">
        <v>116</v>
      </c>
      <c r="E2398" t="s">
        <v>418</v>
      </c>
      <c r="F2398" t="s">
        <v>6</v>
      </c>
      <c r="G2398" t="s">
        <v>130</v>
      </c>
      <c r="H2398" s="1">
        <v>46117</v>
      </c>
      <c r="I2398" t="s">
        <v>1566</v>
      </c>
      <c r="J2398" t="s">
        <v>1567</v>
      </c>
      <c r="K2398" t="s">
        <v>1568</v>
      </c>
      <c r="L2398" t="s">
        <v>162</v>
      </c>
      <c r="M2398" t="s">
        <v>504</v>
      </c>
      <c r="N2398" s="166">
        <v>23.16</v>
      </c>
      <c r="O2398" t="s">
        <v>131</v>
      </c>
    </row>
    <row r="2399" spans="1:15">
      <c r="A2399" s="166" t="s">
        <v>1569</v>
      </c>
      <c r="B2399" t="s">
        <v>111</v>
      </c>
      <c r="C2399" t="s">
        <v>135</v>
      </c>
      <c r="D2399" t="s">
        <v>116</v>
      </c>
      <c r="E2399" t="s">
        <v>418</v>
      </c>
      <c r="F2399" t="s">
        <v>6</v>
      </c>
      <c r="G2399" t="s">
        <v>130</v>
      </c>
      <c r="H2399" s="1">
        <v>46117</v>
      </c>
      <c r="I2399" t="s">
        <v>1570</v>
      </c>
      <c r="J2399" t="s">
        <v>1571</v>
      </c>
      <c r="K2399" t="s">
        <v>1572</v>
      </c>
      <c r="L2399" t="s">
        <v>203</v>
      </c>
      <c r="M2399" t="s">
        <v>1573</v>
      </c>
      <c r="N2399" s="166">
        <v>18.32</v>
      </c>
      <c r="O2399" t="s">
        <v>131</v>
      </c>
    </row>
    <row r="2400" spans="1:15">
      <c r="A2400" s="166" t="s">
        <v>1574</v>
      </c>
      <c r="B2400" t="s">
        <v>111</v>
      </c>
      <c r="C2400" t="s">
        <v>133</v>
      </c>
      <c r="D2400" t="s">
        <v>116</v>
      </c>
      <c r="E2400" t="s">
        <v>418</v>
      </c>
      <c r="F2400" t="s">
        <v>6</v>
      </c>
      <c r="G2400" t="s">
        <v>130</v>
      </c>
      <c r="H2400" s="1">
        <v>46117</v>
      </c>
      <c r="I2400" t="s">
        <v>1575</v>
      </c>
      <c r="J2400" t="s">
        <v>1576</v>
      </c>
      <c r="K2400" t="s">
        <v>1332</v>
      </c>
      <c r="L2400" t="s">
        <v>162</v>
      </c>
      <c r="M2400" t="s">
        <v>1577</v>
      </c>
      <c r="N2400" s="166">
        <v>19.22</v>
      </c>
      <c r="O2400" t="s">
        <v>131</v>
      </c>
    </row>
    <row r="2401" spans="1:15">
      <c r="A2401" s="166" t="s">
        <v>1578</v>
      </c>
      <c r="B2401" t="s">
        <v>111</v>
      </c>
      <c r="C2401" t="s">
        <v>1104</v>
      </c>
      <c r="D2401" t="s">
        <v>116</v>
      </c>
      <c r="E2401" t="s">
        <v>418</v>
      </c>
      <c r="F2401" t="s">
        <v>6</v>
      </c>
      <c r="G2401" t="s">
        <v>130</v>
      </c>
      <c r="H2401" s="1">
        <v>46117</v>
      </c>
      <c r="I2401" t="s">
        <v>1579</v>
      </c>
      <c r="J2401" t="s">
        <v>1580</v>
      </c>
      <c r="K2401" t="s">
        <v>1581</v>
      </c>
      <c r="L2401" t="s">
        <v>1582</v>
      </c>
      <c r="M2401" t="s">
        <v>1583</v>
      </c>
      <c r="N2401" s="166">
        <v>20.22</v>
      </c>
      <c r="O2401" t="s">
        <v>131</v>
      </c>
    </row>
    <row r="2402" spans="1:15">
      <c r="A2402" s="166" t="s">
        <v>1584</v>
      </c>
      <c r="B2402" t="s">
        <v>111</v>
      </c>
      <c r="C2402" t="s">
        <v>135</v>
      </c>
      <c r="D2402" t="s">
        <v>116</v>
      </c>
      <c r="E2402" t="s">
        <v>418</v>
      </c>
      <c r="F2402" t="s">
        <v>6</v>
      </c>
      <c r="G2402" t="s">
        <v>130</v>
      </c>
      <c r="H2402" s="1">
        <v>46117</v>
      </c>
      <c r="I2402" t="s">
        <v>1585</v>
      </c>
      <c r="J2402" t="s">
        <v>1586</v>
      </c>
      <c r="K2402" t="s">
        <v>1581</v>
      </c>
      <c r="L2402" t="s">
        <v>203</v>
      </c>
      <c r="M2402" t="s">
        <v>1587</v>
      </c>
      <c r="N2402" s="166">
        <v>20.5</v>
      </c>
      <c r="O2402" t="s">
        <v>131</v>
      </c>
    </row>
    <row r="2403" spans="1:15">
      <c r="A2403" s="166" t="s">
        <v>1588</v>
      </c>
      <c r="B2403" t="s">
        <v>111</v>
      </c>
      <c r="C2403" t="s">
        <v>133</v>
      </c>
      <c r="D2403" t="s">
        <v>116</v>
      </c>
      <c r="E2403" t="s">
        <v>418</v>
      </c>
      <c r="F2403" t="s">
        <v>6</v>
      </c>
      <c r="G2403" t="s">
        <v>130</v>
      </c>
      <c r="H2403" s="1">
        <v>46117</v>
      </c>
      <c r="I2403" t="s">
        <v>1589</v>
      </c>
      <c r="J2403" t="s">
        <v>1590</v>
      </c>
      <c r="K2403" t="s">
        <v>1591</v>
      </c>
      <c r="L2403" t="s">
        <v>162</v>
      </c>
      <c r="M2403" t="s">
        <v>1057</v>
      </c>
      <c r="N2403" s="166">
        <v>20.14</v>
      </c>
      <c r="O2403" t="s">
        <v>131</v>
      </c>
    </row>
    <row r="2404" spans="1:15">
      <c r="A2404" s="166" t="s">
        <v>1592</v>
      </c>
      <c r="B2404" t="s">
        <v>111</v>
      </c>
      <c r="C2404" t="s">
        <v>1104</v>
      </c>
      <c r="D2404" t="s">
        <v>116</v>
      </c>
      <c r="E2404" t="s">
        <v>418</v>
      </c>
      <c r="F2404" t="s">
        <v>6</v>
      </c>
      <c r="G2404" t="s">
        <v>130</v>
      </c>
      <c r="H2404" s="1">
        <v>46117</v>
      </c>
      <c r="I2404" t="s">
        <v>1593</v>
      </c>
      <c r="J2404" t="s">
        <v>1594</v>
      </c>
      <c r="K2404" t="s">
        <v>875</v>
      </c>
      <c r="L2404" t="s">
        <v>1582</v>
      </c>
      <c r="M2404" t="s">
        <v>1595</v>
      </c>
      <c r="N2404" s="166">
        <v>23.14</v>
      </c>
      <c r="O2404" t="s">
        <v>131</v>
      </c>
    </row>
    <row r="2405" spans="1:15">
      <c r="A2405" s="166" t="s">
        <v>1596</v>
      </c>
      <c r="B2405" t="s">
        <v>111</v>
      </c>
      <c r="C2405" t="s">
        <v>135</v>
      </c>
      <c r="D2405" t="s">
        <v>116</v>
      </c>
      <c r="E2405" t="s">
        <v>418</v>
      </c>
      <c r="F2405" t="s">
        <v>6</v>
      </c>
      <c r="G2405" t="s">
        <v>130</v>
      </c>
      <c r="H2405" s="1">
        <v>46117</v>
      </c>
      <c r="I2405" t="s">
        <v>1597</v>
      </c>
      <c r="J2405" t="s">
        <v>1598</v>
      </c>
      <c r="K2405" t="s">
        <v>1300</v>
      </c>
      <c r="L2405" t="s">
        <v>203</v>
      </c>
      <c r="M2405" t="s">
        <v>1399</v>
      </c>
      <c r="N2405" s="166">
        <v>19.32</v>
      </c>
      <c r="O2405" t="s">
        <v>131</v>
      </c>
    </row>
    <row r="2406" spans="1:15">
      <c r="A2406" s="166" t="s">
        <v>1599</v>
      </c>
      <c r="B2406" t="s">
        <v>111</v>
      </c>
      <c r="C2406" t="s">
        <v>133</v>
      </c>
      <c r="D2406" t="s">
        <v>116</v>
      </c>
      <c r="E2406" t="s">
        <v>418</v>
      </c>
      <c r="F2406" t="s">
        <v>6</v>
      </c>
      <c r="G2406" t="s">
        <v>130</v>
      </c>
      <c r="H2406" s="1">
        <v>46117</v>
      </c>
      <c r="I2406" t="s">
        <v>1600</v>
      </c>
      <c r="J2406" t="s">
        <v>1601</v>
      </c>
      <c r="K2406" t="s">
        <v>1602</v>
      </c>
      <c r="L2406" t="s">
        <v>162</v>
      </c>
      <c r="M2406" t="s">
        <v>826</v>
      </c>
      <c r="N2406" s="166">
        <v>20.38</v>
      </c>
      <c r="O2406" t="s">
        <v>131</v>
      </c>
    </row>
    <row r="2407" spans="1:15">
      <c r="A2407" s="166" t="s">
        <v>1603</v>
      </c>
      <c r="B2407" t="s">
        <v>111</v>
      </c>
      <c r="C2407" t="s">
        <v>1104</v>
      </c>
      <c r="D2407" t="s">
        <v>116</v>
      </c>
      <c r="E2407" t="s">
        <v>418</v>
      </c>
      <c r="F2407" t="s">
        <v>6</v>
      </c>
      <c r="G2407" t="s">
        <v>130</v>
      </c>
      <c r="H2407" s="1">
        <v>46117</v>
      </c>
      <c r="I2407" t="s">
        <v>1604</v>
      </c>
      <c r="J2407" t="s">
        <v>1605</v>
      </c>
      <c r="K2407" t="s">
        <v>1606</v>
      </c>
      <c r="L2407" t="s">
        <v>1582</v>
      </c>
      <c r="M2407" t="s">
        <v>651</v>
      </c>
      <c r="N2407" s="166">
        <v>22.42</v>
      </c>
      <c r="O2407" t="s">
        <v>131</v>
      </c>
    </row>
    <row r="2408" spans="1:15">
      <c r="A2408" s="166" t="s">
        <v>1607</v>
      </c>
      <c r="B2408" t="s">
        <v>111</v>
      </c>
      <c r="C2408" t="s">
        <v>135</v>
      </c>
      <c r="D2408" t="s">
        <v>116</v>
      </c>
      <c r="E2408" t="s">
        <v>418</v>
      </c>
      <c r="F2408" t="s">
        <v>6</v>
      </c>
      <c r="G2408" t="s">
        <v>130</v>
      </c>
      <c r="H2408" s="1">
        <v>46117</v>
      </c>
      <c r="I2408" t="s">
        <v>1608</v>
      </c>
      <c r="J2408" t="s">
        <v>1609</v>
      </c>
      <c r="K2408" t="s">
        <v>994</v>
      </c>
      <c r="L2408" t="s">
        <v>146</v>
      </c>
      <c r="M2408" t="s">
        <v>1228</v>
      </c>
      <c r="N2408" s="166">
        <v>25.98</v>
      </c>
      <c r="O2408" t="s">
        <v>131</v>
      </c>
    </row>
    <row r="2409" spans="1:15">
      <c r="A2409" s="166" t="s">
        <v>1610</v>
      </c>
      <c r="B2409" t="s">
        <v>111</v>
      </c>
      <c r="C2409" t="s">
        <v>133</v>
      </c>
      <c r="D2409" t="s">
        <v>116</v>
      </c>
      <c r="E2409" t="s">
        <v>418</v>
      </c>
      <c r="F2409" t="s">
        <v>6</v>
      </c>
      <c r="G2409" t="s">
        <v>130</v>
      </c>
      <c r="H2409" s="1">
        <v>46117</v>
      </c>
      <c r="I2409" t="s">
        <v>1611</v>
      </c>
      <c r="J2409" t="s">
        <v>1612</v>
      </c>
      <c r="K2409" t="s">
        <v>1521</v>
      </c>
      <c r="L2409" t="s">
        <v>162</v>
      </c>
      <c r="M2409" t="s">
        <v>1494</v>
      </c>
      <c r="N2409" s="166">
        <v>21.9</v>
      </c>
      <c r="O2409" t="s">
        <v>131</v>
      </c>
    </row>
    <row r="2410" spans="1:15">
      <c r="A2410" s="166" t="s">
        <v>1613</v>
      </c>
      <c r="B2410" t="s">
        <v>111</v>
      </c>
      <c r="C2410" t="s">
        <v>1104</v>
      </c>
      <c r="D2410" t="s">
        <v>116</v>
      </c>
      <c r="E2410" t="s">
        <v>418</v>
      </c>
      <c r="F2410" t="s">
        <v>6</v>
      </c>
      <c r="G2410" t="s">
        <v>130</v>
      </c>
      <c r="H2410" s="1">
        <v>46117</v>
      </c>
      <c r="I2410" t="s">
        <v>1614</v>
      </c>
      <c r="J2410" t="s">
        <v>1615</v>
      </c>
      <c r="K2410" t="s">
        <v>659</v>
      </c>
      <c r="L2410" t="s">
        <v>1582</v>
      </c>
      <c r="M2410" t="s">
        <v>1537</v>
      </c>
      <c r="N2410" s="166">
        <v>22.58</v>
      </c>
      <c r="O2410" t="s">
        <v>131</v>
      </c>
    </row>
    <row r="2411" spans="1:15">
      <c r="A2411" s="166" t="s">
        <v>1616</v>
      </c>
      <c r="B2411" t="s">
        <v>111</v>
      </c>
      <c r="C2411" t="s">
        <v>135</v>
      </c>
      <c r="D2411" t="s">
        <v>116</v>
      </c>
      <c r="E2411" t="s">
        <v>418</v>
      </c>
      <c r="F2411" t="s">
        <v>6</v>
      </c>
      <c r="G2411" t="s">
        <v>130</v>
      </c>
      <c r="H2411" s="1">
        <v>46117</v>
      </c>
      <c r="I2411" t="s">
        <v>1617</v>
      </c>
      <c r="J2411" t="s">
        <v>1618</v>
      </c>
      <c r="K2411" t="s">
        <v>1619</v>
      </c>
      <c r="L2411" t="s">
        <v>146</v>
      </c>
      <c r="M2411" t="s">
        <v>1095</v>
      </c>
      <c r="N2411" s="166">
        <v>23.78</v>
      </c>
      <c r="O2411" t="s">
        <v>131</v>
      </c>
    </row>
    <row r="2412" spans="1:15">
      <c r="A2412" s="166" t="s">
        <v>1620</v>
      </c>
      <c r="B2412" t="s">
        <v>111</v>
      </c>
      <c r="C2412" t="s">
        <v>133</v>
      </c>
      <c r="D2412" t="s">
        <v>116</v>
      </c>
      <c r="E2412" t="s">
        <v>418</v>
      </c>
      <c r="F2412" t="s">
        <v>6</v>
      </c>
      <c r="G2412" t="s">
        <v>130</v>
      </c>
      <c r="H2412" s="1">
        <v>46117</v>
      </c>
      <c r="I2412" t="s">
        <v>1621</v>
      </c>
      <c r="J2412" t="s">
        <v>1622</v>
      </c>
      <c r="K2412" t="s">
        <v>1568</v>
      </c>
      <c r="L2412" t="s">
        <v>1499</v>
      </c>
      <c r="M2412" t="s">
        <v>1623</v>
      </c>
      <c r="N2412" s="166">
        <v>23.5</v>
      </c>
      <c r="O2412" t="s">
        <v>131</v>
      </c>
    </row>
    <row r="2413" spans="1:15">
      <c r="A2413" s="166" t="s">
        <v>1624</v>
      </c>
      <c r="B2413" t="s">
        <v>111</v>
      </c>
      <c r="C2413" t="s">
        <v>1104</v>
      </c>
      <c r="D2413" t="s">
        <v>116</v>
      </c>
      <c r="E2413" t="s">
        <v>418</v>
      </c>
      <c r="F2413" t="s">
        <v>6</v>
      </c>
      <c r="G2413" t="s">
        <v>130</v>
      </c>
      <c r="H2413" s="1">
        <v>46117</v>
      </c>
      <c r="I2413" t="s">
        <v>1625</v>
      </c>
      <c r="J2413" t="s">
        <v>1626</v>
      </c>
      <c r="K2413" t="s">
        <v>1627</v>
      </c>
      <c r="L2413" t="s">
        <v>1483</v>
      </c>
      <c r="M2413" t="s">
        <v>1628</v>
      </c>
      <c r="N2413" s="166">
        <v>23.66</v>
      </c>
      <c r="O2413" t="s">
        <v>131</v>
      </c>
    </row>
    <row r="2414" spans="1:15">
      <c r="A2414" s="166" t="s">
        <v>1629</v>
      </c>
      <c r="B2414" t="s">
        <v>111</v>
      </c>
      <c r="C2414" t="s">
        <v>135</v>
      </c>
      <c r="D2414" t="s">
        <v>116</v>
      </c>
      <c r="E2414" t="s">
        <v>418</v>
      </c>
      <c r="F2414" t="s">
        <v>6</v>
      </c>
      <c r="G2414" t="s">
        <v>130</v>
      </c>
      <c r="H2414" s="1">
        <v>46117</v>
      </c>
      <c r="I2414" t="s">
        <v>1630</v>
      </c>
      <c r="J2414" t="s">
        <v>1631</v>
      </c>
      <c r="K2414" t="s">
        <v>225</v>
      </c>
      <c r="L2414" t="s">
        <v>203</v>
      </c>
      <c r="M2414" t="s">
        <v>1223</v>
      </c>
      <c r="N2414" s="166">
        <v>22.76</v>
      </c>
      <c r="O2414" t="s">
        <v>131</v>
      </c>
    </row>
    <row r="2415" spans="1:15">
      <c r="A2415" s="166" t="s">
        <v>1632</v>
      </c>
      <c r="B2415" t="s">
        <v>111</v>
      </c>
      <c r="C2415" t="s">
        <v>133</v>
      </c>
      <c r="D2415" t="s">
        <v>116</v>
      </c>
      <c r="E2415" t="s">
        <v>418</v>
      </c>
      <c r="F2415" t="s">
        <v>6</v>
      </c>
      <c r="G2415" t="s">
        <v>130</v>
      </c>
      <c r="H2415" s="1">
        <v>46117</v>
      </c>
      <c r="I2415" t="s">
        <v>1633</v>
      </c>
      <c r="J2415" t="s">
        <v>1634</v>
      </c>
      <c r="K2415" t="s">
        <v>1635</v>
      </c>
      <c r="L2415" t="s">
        <v>714</v>
      </c>
      <c r="M2415" t="s">
        <v>185</v>
      </c>
      <c r="N2415" s="166">
        <v>20.72</v>
      </c>
      <c r="O2415" t="s">
        <v>131</v>
      </c>
    </row>
    <row r="2416" spans="1:15">
      <c r="A2416" s="166" t="s">
        <v>1636</v>
      </c>
      <c r="B2416" t="s">
        <v>111</v>
      </c>
      <c r="C2416" t="s">
        <v>1104</v>
      </c>
      <c r="D2416" t="s">
        <v>116</v>
      </c>
      <c r="E2416" t="s">
        <v>418</v>
      </c>
      <c r="F2416" t="s">
        <v>6</v>
      </c>
      <c r="G2416" t="s">
        <v>130</v>
      </c>
      <c r="H2416" s="1">
        <v>46117</v>
      </c>
      <c r="I2416" t="s">
        <v>1637</v>
      </c>
      <c r="J2416" t="s">
        <v>1638</v>
      </c>
      <c r="K2416" t="s">
        <v>1193</v>
      </c>
      <c r="L2416" t="s">
        <v>449</v>
      </c>
      <c r="M2416" t="s">
        <v>1223</v>
      </c>
      <c r="N2416" s="166">
        <v>22.76</v>
      </c>
      <c r="O2416" t="s">
        <v>131</v>
      </c>
    </row>
    <row r="2417" spans="1:15">
      <c r="A2417" s="166" t="s">
        <v>1639</v>
      </c>
      <c r="B2417" t="s">
        <v>111</v>
      </c>
      <c r="C2417" t="s">
        <v>135</v>
      </c>
      <c r="D2417" t="s">
        <v>116</v>
      </c>
      <c r="E2417" t="s">
        <v>418</v>
      </c>
      <c r="F2417" t="s">
        <v>6</v>
      </c>
      <c r="G2417" t="s">
        <v>130</v>
      </c>
      <c r="H2417" s="1">
        <v>46117</v>
      </c>
      <c r="I2417" t="s">
        <v>1640</v>
      </c>
      <c r="J2417" t="s">
        <v>1641</v>
      </c>
      <c r="K2417" t="s">
        <v>1549</v>
      </c>
      <c r="L2417" t="s">
        <v>203</v>
      </c>
      <c r="M2417" t="s">
        <v>175</v>
      </c>
      <c r="N2417" s="166">
        <v>21.1</v>
      </c>
      <c r="O2417" t="s">
        <v>131</v>
      </c>
    </row>
    <row r="2418" spans="1:15">
      <c r="A2418" s="166" t="s">
        <v>1642</v>
      </c>
      <c r="B2418" t="s">
        <v>111</v>
      </c>
      <c r="C2418" t="s">
        <v>133</v>
      </c>
      <c r="D2418" t="s">
        <v>116</v>
      </c>
      <c r="E2418" t="s">
        <v>418</v>
      </c>
      <c r="F2418" t="s">
        <v>6</v>
      </c>
      <c r="G2418" t="s">
        <v>130</v>
      </c>
      <c r="H2418" s="1">
        <v>46117</v>
      </c>
      <c r="I2418" t="s">
        <v>1643</v>
      </c>
      <c r="J2418" t="s">
        <v>1644</v>
      </c>
      <c r="K2418" t="s">
        <v>1210</v>
      </c>
      <c r="L2418" t="s">
        <v>801</v>
      </c>
      <c r="M2418" t="s">
        <v>1645</v>
      </c>
      <c r="N2418" s="166">
        <v>23</v>
      </c>
      <c r="O2418" t="s">
        <v>131</v>
      </c>
    </row>
    <row r="2419" spans="1:15">
      <c r="A2419" s="166" t="s">
        <v>1646</v>
      </c>
      <c r="B2419" t="s">
        <v>111</v>
      </c>
      <c r="C2419" t="s">
        <v>135</v>
      </c>
      <c r="D2419" t="s">
        <v>116</v>
      </c>
      <c r="E2419" t="s">
        <v>418</v>
      </c>
      <c r="F2419" t="s">
        <v>6</v>
      </c>
      <c r="G2419" t="s">
        <v>130</v>
      </c>
      <c r="H2419" s="1">
        <v>46117</v>
      </c>
      <c r="I2419" t="s">
        <v>1647</v>
      </c>
      <c r="J2419" t="s">
        <v>1648</v>
      </c>
      <c r="K2419" t="s">
        <v>200</v>
      </c>
      <c r="L2419" t="s">
        <v>203</v>
      </c>
      <c r="M2419" t="s">
        <v>1649</v>
      </c>
      <c r="N2419" s="166">
        <v>25.84</v>
      </c>
      <c r="O2419" t="s">
        <v>131</v>
      </c>
    </row>
    <row r="2420" spans="1:15">
      <c r="A2420" s="166" t="s">
        <v>1650</v>
      </c>
      <c r="B2420" t="s">
        <v>111</v>
      </c>
      <c r="C2420" t="s">
        <v>133</v>
      </c>
      <c r="D2420" t="s">
        <v>116</v>
      </c>
      <c r="E2420" t="s">
        <v>418</v>
      </c>
      <c r="F2420" t="s">
        <v>6</v>
      </c>
      <c r="G2420" t="s">
        <v>130</v>
      </c>
      <c r="H2420" s="1">
        <v>46117</v>
      </c>
      <c r="I2420" t="s">
        <v>1651</v>
      </c>
      <c r="J2420" t="s">
        <v>1652</v>
      </c>
      <c r="K2420" t="s">
        <v>470</v>
      </c>
      <c r="L2420" t="s">
        <v>714</v>
      </c>
      <c r="M2420" t="s">
        <v>1653</v>
      </c>
      <c r="N2420" s="166">
        <v>21.42</v>
      </c>
      <c r="O2420" t="s">
        <v>131</v>
      </c>
    </row>
    <row r="2421" spans="1:15">
      <c r="A2421" s="166" t="s">
        <v>1654</v>
      </c>
      <c r="B2421" t="s">
        <v>111</v>
      </c>
      <c r="C2421" t="s">
        <v>135</v>
      </c>
      <c r="D2421" t="s">
        <v>116</v>
      </c>
      <c r="E2421" t="s">
        <v>418</v>
      </c>
      <c r="F2421" t="s">
        <v>6</v>
      </c>
      <c r="G2421" t="s">
        <v>130</v>
      </c>
      <c r="H2421" s="1">
        <v>46117</v>
      </c>
      <c r="I2421" t="s">
        <v>1655</v>
      </c>
      <c r="J2421" t="s">
        <v>1656</v>
      </c>
      <c r="K2421" t="s">
        <v>1536</v>
      </c>
      <c r="L2421" t="s">
        <v>146</v>
      </c>
      <c r="M2421" t="s">
        <v>1657</v>
      </c>
      <c r="N2421" s="166">
        <v>22.8</v>
      </c>
      <c r="O2421" t="s">
        <v>131</v>
      </c>
    </row>
    <row r="2422" spans="1:15">
      <c r="A2422" s="166" t="s">
        <v>1658</v>
      </c>
      <c r="B2422" t="s">
        <v>111</v>
      </c>
      <c r="C2422" t="s">
        <v>133</v>
      </c>
      <c r="D2422" t="s">
        <v>116</v>
      </c>
      <c r="E2422" t="s">
        <v>418</v>
      </c>
      <c r="F2422" t="s">
        <v>6</v>
      </c>
      <c r="G2422" t="s">
        <v>130</v>
      </c>
      <c r="H2422" s="1">
        <v>46117</v>
      </c>
      <c r="I2422" t="s">
        <v>1659</v>
      </c>
      <c r="J2422" t="s">
        <v>1660</v>
      </c>
      <c r="K2422" t="s">
        <v>1661</v>
      </c>
      <c r="L2422" t="s">
        <v>1662</v>
      </c>
      <c r="M2422" t="s">
        <v>1663</v>
      </c>
      <c r="N2422" s="166">
        <v>19.18</v>
      </c>
      <c r="O2422" t="s">
        <v>131</v>
      </c>
    </row>
    <row r="2423" spans="1:15">
      <c r="A2423" s="166" t="s">
        <v>1664</v>
      </c>
      <c r="B2423" t="s">
        <v>111</v>
      </c>
      <c r="C2423" t="s">
        <v>135</v>
      </c>
      <c r="D2423" t="s">
        <v>116</v>
      </c>
      <c r="E2423" t="s">
        <v>418</v>
      </c>
      <c r="F2423" t="s">
        <v>6</v>
      </c>
      <c r="G2423" t="s">
        <v>130</v>
      </c>
      <c r="H2423" s="1">
        <v>46117</v>
      </c>
      <c r="I2423" t="s">
        <v>1665</v>
      </c>
      <c r="J2423" t="s">
        <v>1666</v>
      </c>
      <c r="K2423" t="s">
        <v>1332</v>
      </c>
      <c r="L2423" t="s">
        <v>146</v>
      </c>
      <c r="M2423" t="s">
        <v>1443</v>
      </c>
      <c r="N2423" s="166">
        <v>19.940000000000001</v>
      </c>
      <c r="O2423" t="s">
        <v>131</v>
      </c>
    </row>
    <row r="2424" spans="1:15">
      <c r="A2424" s="166" t="s">
        <v>1667</v>
      </c>
      <c r="B2424" t="s">
        <v>111</v>
      </c>
      <c r="C2424" t="s">
        <v>135</v>
      </c>
      <c r="D2424" t="s">
        <v>116</v>
      </c>
      <c r="E2424" t="s">
        <v>418</v>
      </c>
      <c r="F2424" t="s">
        <v>6</v>
      </c>
      <c r="G2424" t="s">
        <v>130</v>
      </c>
      <c r="H2424" s="1">
        <v>46117</v>
      </c>
      <c r="I2424" t="s">
        <v>1668</v>
      </c>
      <c r="J2424" t="s">
        <v>1669</v>
      </c>
      <c r="K2424" t="s">
        <v>146</v>
      </c>
      <c r="L2424" t="s">
        <v>163</v>
      </c>
      <c r="M2424" t="s">
        <v>1670</v>
      </c>
      <c r="N2424" s="166">
        <v>0.06</v>
      </c>
      <c r="O2424" t="s">
        <v>131</v>
      </c>
    </row>
    <row r="2425" spans="1:15">
      <c r="A2425" s="166" t="s">
        <v>1671</v>
      </c>
      <c r="B2425" t="s">
        <v>111</v>
      </c>
      <c r="C2425" t="s">
        <v>133</v>
      </c>
      <c r="D2425" t="s">
        <v>118</v>
      </c>
      <c r="E2425" t="s">
        <v>668</v>
      </c>
      <c r="F2425" t="s">
        <v>7</v>
      </c>
      <c r="G2425" t="s">
        <v>130</v>
      </c>
      <c r="H2425" s="1">
        <v>46117</v>
      </c>
      <c r="I2425" t="s">
        <v>1672</v>
      </c>
      <c r="J2425" t="s">
        <v>1673</v>
      </c>
      <c r="K2425" t="s">
        <v>1052</v>
      </c>
      <c r="L2425" t="s">
        <v>777</v>
      </c>
      <c r="M2425" t="s">
        <v>1674</v>
      </c>
      <c r="N2425" s="166">
        <v>21.24</v>
      </c>
      <c r="O2425" t="s">
        <v>131</v>
      </c>
    </row>
    <row r="2426" spans="1:15">
      <c r="A2426" s="166" t="s">
        <v>1675</v>
      </c>
      <c r="B2426" t="s">
        <v>111</v>
      </c>
      <c r="C2426" t="s">
        <v>134</v>
      </c>
      <c r="D2426" t="s">
        <v>118</v>
      </c>
      <c r="E2426" t="s">
        <v>668</v>
      </c>
      <c r="F2426" t="s">
        <v>7</v>
      </c>
      <c r="G2426" t="s">
        <v>130</v>
      </c>
      <c r="H2426" s="1">
        <v>46117</v>
      </c>
      <c r="I2426" t="s">
        <v>1676</v>
      </c>
      <c r="J2426" t="s">
        <v>1677</v>
      </c>
      <c r="K2426" t="s">
        <v>760</v>
      </c>
      <c r="L2426" t="s">
        <v>801</v>
      </c>
      <c r="M2426" t="s">
        <v>561</v>
      </c>
      <c r="N2426" s="166">
        <v>21.98</v>
      </c>
      <c r="O2426" t="s">
        <v>131</v>
      </c>
    </row>
    <row r="2427" spans="1:15">
      <c r="A2427" s="166" t="s">
        <v>1678</v>
      </c>
      <c r="B2427" t="s">
        <v>111</v>
      </c>
      <c r="C2427" t="s">
        <v>133</v>
      </c>
      <c r="D2427" t="s">
        <v>116</v>
      </c>
      <c r="E2427" t="s">
        <v>418</v>
      </c>
      <c r="F2427" t="s">
        <v>6</v>
      </c>
      <c r="G2427" t="s">
        <v>130</v>
      </c>
      <c r="H2427" s="1">
        <v>46117</v>
      </c>
      <c r="I2427" t="s">
        <v>1679</v>
      </c>
      <c r="J2427" t="s">
        <v>1680</v>
      </c>
      <c r="K2427" t="s">
        <v>1681</v>
      </c>
      <c r="L2427" t="s">
        <v>162</v>
      </c>
      <c r="M2427" t="s">
        <v>1682</v>
      </c>
      <c r="N2427" s="166">
        <v>19.82</v>
      </c>
      <c r="O2427" t="s">
        <v>131</v>
      </c>
    </row>
    <row r="2428" spans="1:15">
      <c r="A2428" s="166" t="s">
        <v>1683</v>
      </c>
      <c r="B2428" t="s">
        <v>111</v>
      </c>
      <c r="C2428" t="s">
        <v>134</v>
      </c>
      <c r="D2428" t="s">
        <v>116</v>
      </c>
      <c r="E2428" t="s">
        <v>418</v>
      </c>
      <c r="F2428" t="s">
        <v>6</v>
      </c>
      <c r="G2428" t="s">
        <v>130</v>
      </c>
      <c r="H2428" s="1">
        <v>46117</v>
      </c>
      <c r="I2428" t="s">
        <v>1684</v>
      </c>
      <c r="J2428" t="s">
        <v>1685</v>
      </c>
      <c r="K2428" t="s">
        <v>454</v>
      </c>
      <c r="L2428" t="s">
        <v>725</v>
      </c>
      <c r="M2428" t="s">
        <v>1545</v>
      </c>
      <c r="N2428" s="166">
        <v>20.68</v>
      </c>
      <c r="O2428" t="s">
        <v>131</v>
      </c>
    </row>
    <row r="2429" spans="1:15">
      <c r="A2429" s="166" t="s">
        <v>1686</v>
      </c>
      <c r="B2429" t="s">
        <v>111</v>
      </c>
      <c r="C2429" t="s">
        <v>133</v>
      </c>
      <c r="D2429" t="s">
        <v>116</v>
      </c>
      <c r="E2429" t="s">
        <v>418</v>
      </c>
      <c r="F2429" t="s">
        <v>6</v>
      </c>
      <c r="G2429" t="s">
        <v>130</v>
      </c>
      <c r="H2429" s="1">
        <v>46117</v>
      </c>
      <c r="I2429" t="s">
        <v>1687</v>
      </c>
      <c r="J2429" t="s">
        <v>1688</v>
      </c>
      <c r="K2429" t="s">
        <v>1689</v>
      </c>
      <c r="L2429" t="s">
        <v>162</v>
      </c>
      <c r="M2429" t="s">
        <v>1447</v>
      </c>
      <c r="N2429" s="166">
        <v>22.9</v>
      </c>
      <c r="O2429" t="s">
        <v>131</v>
      </c>
    </row>
    <row r="2430" spans="1:15">
      <c r="A2430" s="166" t="s">
        <v>1690</v>
      </c>
      <c r="B2430" t="s">
        <v>111</v>
      </c>
      <c r="C2430" t="s">
        <v>133</v>
      </c>
      <c r="D2430" t="s">
        <v>116</v>
      </c>
      <c r="E2430" t="s">
        <v>418</v>
      </c>
      <c r="F2430" t="s">
        <v>6</v>
      </c>
      <c r="G2430" t="s">
        <v>130</v>
      </c>
      <c r="H2430" s="1">
        <v>46117</v>
      </c>
      <c r="I2430" t="s">
        <v>1691</v>
      </c>
      <c r="J2430" t="s">
        <v>1692</v>
      </c>
      <c r="K2430" t="s">
        <v>1619</v>
      </c>
      <c r="L2430" t="s">
        <v>162</v>
      </c>
      <c r="M2430" t="s">
        <v>1693</v>
      </c>
      <c r="N2430" s="166">
        <v>23.06</v>
      </c>
      <c r="O2430" t="s">
        <v>131</v>
      </c>
    </row>
    <row r="2431" spans="1:15">
      <c r="A2431" s="166" t="s">
        <v>1694</v>
      </c>
      <c r="B2431" t="s">
        <v>111</v>
      </c>
      <c r="C2431" t="s">
        <v>135</v>
      </c>
      <c r="D2431" t="s">
        <v>116</v>
      </c>
      <c r="E2431" t="s">
        <v>418</v>
      </c>
      <c r="F2431" t="s">
        <v>6</v>
      </c>
      <c r="G2431" t="s">
        <v>130</v>
      </c>
      <c r="H2431" s="1">
        <v>46117</v>
      </c>
      <c r="I2431" t="s">
        <v>1695</v>
      </c>
      <c r="J2431" t="s">
        <v>1696</v>
      </c>
      <c r="K2431" t="s">
        <v>1697</v>
      </c>
      <c r="L2431" t="s">
        <v>168</v>
      </c>
      <c r="M2431" t="s">
        <v>185</v>
      </c>
      <c r="N2431" s="166">
        <v>20.72</v>
      </c>
      <c r="O2431" t="s">
        <v>131</v>
      </c>
    </row>
    <row r="2432" spans="1:15">
      <c r="A2432" s="166" t="s">
        <v>1698</v>
      </c>
      <c r="B2432" t="s">
        <v>111</v>
      </c>
      <c r="C2432" t="s">
        <v>135</v>
      </c>
      <c r="D2432" t="s">
        <v>118</v>
      </c>
      <c r="E2432" t="s">
        <v>668</v>
      </c>
      <c r="F2432" t="s">
        <v>7</v>
      </c>
      <c r="G2432" t="s">
        <v>130</v>
      </c>
      <c r="H2432" s="1">
        <v>46117</v>
      </c>
      <c r="I2432" t="s">
        <v>1699</v>
      </c>
      <c r="J2432" t="s">
        <v>1700</v>
      </c>
      <c r="K2432" t="s">
        <v>1549</v>
      </c>
      <c r="L2432" t="s">
        <v>165</v>
      </c>
      <c r="M2432" t="s">
        <v>1701</v>
      </c>
      <c r="N2432" s="166">
        <v>21.14</v>
      </c>
      <c r="O2432" t="s">
        <v>131</v>
      </c>
    </row>
    <row r="2433" spans="1:15">
      <c r="A2433" s="166" t="s">
        <v>1702</v>
      </c>
      <c r="B2433" t="s">
        <v>111</v>
      </c>
      <c r="C2433" t="s">
        <v>134</v>
      </c>
      <c r="D2433" t="s">
        <v>118</v>
      </c>
      <c r="E2433" t="s">
        <v>430</v>
      </c>
      <c r="F2433" t="s">
        <v>7</v>
      </c>
      <c r="G2433" t="s">
        <v>130</v>
      </c>
      <c r="H2433" s="1">
        <v>46117</v>
      </c>
      <c r="I2433" t="s">
        <v>1703</v>
      </c>
      <c r="J2433" t="s">
        <v>1704</v>
      </c>
      <c r="K2433" t="s">
        <v>1705</v>
      </c>
      <c r="L2433" t="s">
        <v>730</v>
      </c>
      <c r="M2433" t="s">
        <v>1385</v>
      </c>
      <c r="N2433" s="166">
        <v>19.78</v>
      </c>
      <c r="O2433" t="s">
        <v>131</v>
      </c>
    </row>
    <row r="2434" spans="1:15">
      <c r="A2434" s="166" t="s">
        <v>1706</v>
      </c>
      <c r="B2434" t="s">
        <v>111</v>
      </c>
      <c r="C2434" t="s">
        <v>133</v>
      </c>
      <c r="D2434" t="s">
        <v>118</v>
      </c>
      <c r="E2434" t="s">
        <v>668</v>
      </c>
      <c r="F2434" t="s">
        <v>7</v>
      </c>
      <c r="G2434" t="s">
        <v>130</v>
      </c>
      <c r="H2434" s="1">
        <v>46117</v>
      </c>
      <c r="I2434" t="s">
        <v>1707</v>
      </c>
      <c r="J2434" t="s">
        <v>1708</v>
      </c>
      <c r="K2434" t="s">
        <v>1709</v>
      </c>
      <c r="L2434" t="s">
        <v>974</v>
      </c>
      <c r="M2434" t="s">
        <v>1710</v>
      </c>
      <c r="N2434" s="166">
        <v>19.46</v>
      </c>
      <c r="O2434" t="s">
        <v>131</v>
      </c>
    </row>
    <row r="2435" spans="1:15">
      <c r="A2435" s="166" t="s">
        <v>1711</v>
      </c>
      <c r="B2435" t="s">
        <v>111</v>
      </c>
      <c r="C2435" t="s">
        <v>135</v>
      </c>
      <c r="D2435" t="s">
        <v>118</v>
      </c>
      <c r="E2435" t="s">
        <v>139</v>
      </c>
      <c r="F2435" t="s">
        <v>6</v>
      </c>
      <c r="G2435" t="s">
        <v>130</v>
      </c>
      <c r="H2435" s="1">
        <v>46117</v>
      </c>
      <c r="I2435" t="s">
        <v>1712</v>
      </c>
      <c r="J2435" t="s">
        <v>1713</v>
      </c>
      <c r="K2435" t="s">
        <v>1714</v>
      </c>
      <c r="L2435" t="s">
        <v>168</v>
      </c>
      <c r="M2435" t="s">
        <v>556</v>
      </c>
      <c r="N2435" s="166">
        <v>22.44</v>
      </c>
      <c r="O2435" t="s">
        <v>131</v>
      </c>
    </row>
    <row r="2436" spans="1:15">
      <c r="A2436" s="166" t="s">
        <v>1715</v>
      </c>
      <c r="B2436" t="s">
        <v>111</v>
      </c>
      <c r="C2436" t="s">
        <v>133</v>
      </c>
      <c r="D2436" t="s">
        <v>118</v>
      </c>
      <c r="E2436" t="s">
        <v>139</v>
      </c>
      <c r="F2436" t="s">
        <v>6</v>
      </c>
      <c r="G2436" t="s">
        <v>130</v>
      </c>
      <c r="H2436" s="1">
        <v>46117</v>
      </c>
      <c r="I2436" t="s">
        <v>1716</v>
      </c>
      <c r="J2436" t="s">
        <v>1717</v>
      </c>
      <c r="K2436" t="s">
        <v>161</v>
      </c>
      <c r="L2436" t="s">
        <v>974</v>
      </c>
      <c r="M2436" t="s">
        <v>1718</v>
      </c>
      <c r="N2436" s="166">
        <v>23.92</v>
      </c>
      <c r="O2436" t="s">
        <v>131</v>
      </c>
    </row>
    <row r="2437" spans="1:15">
      <c r="A2437" s="166" t="s">
        <v>1719</v>
      </c>
      <c r="B2437" t="s">
        <v>111</v>
      </c>
      <c r="C2437" t="s">
        <v>134</v>
      </c>
      <c r="D2437" t="s">
        <v>118</v>
      </c>
      <c r="E2437" t="s">
        <v>139</v>
      </c>
      <c r="F2437" t="s">
        <v>6</v>
      </c>
      <c r="G2437" t="s">
        <v>130</v>
      </c>
      <c r="H2437" s="1">
        <v>46117</v>
      </c>
      <c r="I2437" t="s">
        <v>1720</v>
      </c>
      <c r="J2437" t="s">
        <v>1721</v>
      </c>
      <c r="K2437" t="s">
        <v>1722</v>
      </c>
      <c r="L2437" t="s">
        <v>162</v>
      </c>
      <c r="M2437" t="s">
        <v>1723</v>
      </c>
      <c r="N2437" s="166">
        <v>25.48</v>
      </c>
      <c r="O2437" t="s">
        <v>131</v>
      </c>
    </row>
    <row r="2438" spans="1:15">
      <c r="A2438" s="166" t="s">
        <v>1724</v>
      </c>
      <c r="B2438" t="s">
        <v>111</v>
      </c>
      <c r="C2438" t="s">
        <v>135</v>
      </c>
      <c r="D2438" t="s">
        <v>118</v>
      </c>
      <c r="E2438" t="s">
        <v>139</v>
      </c>
      <c r="F2438" t="s">
        <v>6</v>
      </c>
      <c r="G2438" t="s">
        <v>130</v>
      </c>
      <c r="H2438" s="1">
        <v>46117</v>
      </c>
      <c r="I2438" t="s">
        <v>1725</v>
      </c>
      <c r="J2438" t="s">
        <v>1726</v>
      </c>
      <c r="K2438" t="s">
        <v>1727</v>
      </c>
      <c r="L2438" t="s">
        <v>163</v>
      </c>
      <c r="M2438" t="s">
        <v>536</v>
      </c>
      <c r="N2438" s="166">
        <v>24.9</v>
      </c>
      <c r="O2438" t="s">
        <v>131</v>
      </c>
    </row>
    <row r="2439" spans="1:15">
      <c r="A2439" s="166" t="s">
        <v>1728</v>
      </c>
      <c r="B2439" t="s">
        <v>111</v>
      </c>
      <c r="C2439" t="s">
        <v>133</v>
      </c>
      <c r="D2439" t="s">
        <v>118</v>
      </c>
      <c r="E2439" t="s">
        <v>139</v>
      </c>
      <c r="F2439" t="s">
        <v>6</v>
      </c>
      <c r="G2439" t="s">
        <v>130</v>
      </c>
      <c r="H2439" s="1">
        <v>46117</v>
      </c>
      <c r="I2439" t="s">
        <v>1729</v>
      </c>
      <c r="J2439" t="s">
        <v>1730</v>
      </c>
      <c r="K2439" t="s">
        <v>906</v>
      </c>
      <c r="L2439" t="s">
        <v>974</v>
      </c>
      <c r="M2439" t="s">
        <v>1731</v>
      </c>
      <c r="N2439" s="166">
        <v>26.36</v>
      </c>
      <c r="O2439" t="s">
        <v>131</v>
      </c>
    </row>
    <row r="2440" spans="1:15">
      <c r="A2440" s="166" t="s">
        <v>1732</v>
      </c>
      <c r="B2440" t="s">
        <v>111</v>
      </c>
      <c r="C2440" t="s">
        <v>134</v>
      </c>
      <c r="D2440" t="s">
        <v>118</v>
      </c>
      <c r="E2440" t="s">
        <v>139</v>
      </c>
      <c r="F2440" t="s">
        <v>6</v>
      </c>
      <c r="G2440" t="s">
        <v>130</v>
      </c>
      <c r="H2440" s="1">
        <v>46117</v>
      </c>
      <c r="I2440" t="s">
        <v>1733</v>
      </c>
      <c r="J2440" t="s">
        <v>1734</v>
      </c>
      <c r="K2440" t="s">
        <v>696</v>
      </c>
      <c r="L2440" t="s">
        <v>162</v>
      </c>
      <c r="M2440" t="s">
        <v>1735</v>
      </c>
      <c r="N2440" s="166">
        <v>26.74</v>
      </c>
      <c r="O2440" t="s">
        <v>131</v>
      </c>
    </row>
    <row r="2441" spans="1:15">
      <c r="A2441" s="166" t="s">
        <v>1736</v>
      </c>
      <c r="B2441" t="s">
        <v>111</v>
      </c>
      <c r="C2441" t="s">
        <v>135</v>
      </c>
      <c r="D2441" t="s">
        <v>118</v>
      </c>
      <c r="E2441" t="s">
        <v>139</v>
      </c>
      <c r="F2441" t="s">
        <v>6</v>
      </c>
      <c r="G2441" t="s">
        <v>130</v>
      </c>
      <c r="H2441" s="1">
        <v>46117</v>
      </c>
      <c r="I2441" t="s">
        <v>1737</v>
      </c>
      <c r="J2441" t="s">
        <v>1738</v>
      </c>
      <c r="K2441" t="s">
        <v>1739</v>
      </c>
      <c r="L2441" t="s">
        <v>168</v>
      </c>
      <c r="M2441" t="s">
        <v>1740</v>
      </c>
      <c r="N2441" s="166">
        <v>27</v>
      </c>
      <c r="O2441" t="s">
        <v>131</v>
      </c>
    </row>
    <row r="2442" spans="1:15">
      <c r="A2442" s="166" t="s">
        <v>1741</v>
      </c>
      <c r="B2442" t="s">
        <v>111</v>
      </c>
      <c r="C2442" t="s">
        <v>133</v>
      </c>
      <c r="D2442" t="s">
        <v>118</v>
      </c>
      <c r="E2442" t="s">
        <v>139</v>
      </c>
      <c r="F2442" t="s">
        <v>6</v>
      </c>
      <c r="G2442" t="s">
        <v>130</v>
      </c>
      <c r="H2442" s="1">
        <v>46117</v>
      </c>
      <c r="I2442" t="s">
        <v>1742</v>
      </c>
      <c r="J2442" t="s">
        <v>1743</v>
      </c>
      <c r="K2442" t="s">
        <v>1744</v>
      </c>
      <c r="L2442" t="s">
        <v>974</v>
      </c>
      <c r="M2442" t="s">
        <v>1745</v>
      </c>
      <c r="N2442" s="166">
        <v>25.52</v>
      </c>
      <c r="O2442" t="s">
        <v>131</v>
      </c>
    </row>
    <row r="2443" spans="1:15">
      <c r="A2443" s="166" t="s">
        <v>1746</v>
      </c>
      <c r="B2443" t="s">
        <v>111</v>
      </c>
      <c r="C2443" t="s">
        <v>406</v>
      </c>
      <c r="D2443" t="s">
        <v>118</v>
      </c>
      <c r="E2443" t="s">
        <v>558</v>
      </c>
      <c r="F2443" t="s">
        <v>7</v>
      </c>
      <c r="G2443" t="s">
        <v>130</v>
      </c>
      <c r="H2443" s="1">
        <v>46117</v>
      </c>
      <c r="I2443" t="s">
        <v>1747</v>
      </c>
      <c r="J2443" t="s">
        <v>1748</v>
      </c>
      <c r="K2443" t="s">
        <v>1749</v>
      </c>
      <c r="L2443" t="s">
        <v>492</v>
      </c>
      <c r="M2443" t="s">
        <v>416</v>
      </c>
      <c r="N2443" s="166">
        <v>19.3</v>
      </c>
      <c r="O2443" t="s">
        <v>131</v>
      </c>
    </row>
    <row r="2444" spans="1:15">
      <c r="A2444" s="166" t="s">
        <v>1750</v>
      </c>
      <c r="B2444" t="s">
        <v>111</v>
      </c>
      <c r="C2444" t="s">
        <v>135</v>
      </c>
      <c r="D2444" t="s">
        <v>118</v>
      </c>
      <c r="E2444" t="s">
        <v>558</v>
      </c>
      <c r="F2444" t="s">
        <v>7</v>
      </c>
      <c r="G2444" t="s">
        <v>130</v>
      </c>
      <c r="H2444" s="1">
        <v>46117</v>
      </c>
      <c r="I2444" t="s">
        <v>1751</v>
      </c>
      <c r="J2444" t="s">
        <v>1752</v>
      </c>
      <c r="K2444" t="s">
        <v>1753</v>
      </c>
      <c r="L2444" t="s">
        <v>165</v>
      </c>
      <c r="M2444" t="s">
        <v>1663</v>
      </c>
      <c r="N2444" s="166">
        <v>19.18</v>
      </c>
      <c r="O2444" t="s">
        <v>131</v>
      </c>
    </row>
    <row r="2445" spans="1:15">
      <c r="A2445" s="166" t="s">
        <v>1754</v>
      </c>
      <c r="B2445" t="s">
        <v>111</v>
      </c>
      <c r="C2445" t="s">
        <v>134</v>
      </c>
      <c r="D2445" t="s">
        <v>118</v>
      </c>
      <c r="E2445" t="s">
        <v>558</v>
      </c>
      <c r="F2445" t="s">
        <v>7</v>
      </c>
      <c r="G2445" t="s">
        <v>130</v>
      </c>
      <c r="H2445" s="1">
        <v>46117</v>
      </c>
      <c r="I2445" t="s">
        <v>1755</v>
      </c>
      <c r="J2445" t="s">
        <v>1756</v>
      </c>
      <c r="K2445" t="s">
        <v>1602</v>
      </c>
      <c r="L2445" t="s">
        <v>772</v>
      </c>
      <c r="M2445" t="s">
        <v>1757</v>
      </c>
      <c r="N2445" s="166">
        <v>20.28</v>
      </c>
      <c r="O2445" t="s">
        <v>131</v>
      </c>
    </row>
    <row r="2446" spans="1:15">
      <c r="A2446" s="166" t="s">
        <v>1758</v>
      </c>
      <c r="B2446" t="s">
        <v>111</v>
      </c>
      <c r="C2446" t="s">
        <v>133</v>
      </c>
      <c r="D2446" t="s">
        <v>118</v>
      </c>
      <c r="E2446" t="s">
        <v>558</v>
      </c>
      <c r="F2446" t="s">
        <v>7</v>
      </c>
      <c r="G2446" t="s">
        <v>130</v>
      </c>
      <c r="H2446" s="1">
        <v>46117</v>
      </c>
      <c r="I2446" t="s">
        <v>1759</v>
      </c>
      <c r="J2446" t="s">
        <v>1760</v>
      </c>
      <c r="K2446" t="s">
        <v>1332</v>
      </c>
      <c r="L2446" t="s">
        <v>162</v>
      </c>
      <c r="M2446" t="s">
        <v>1577</v>
      </c>
      <c r="N2446" s="166">
        <v>19.22</v>
      </c>
      <c r="O2446" t="s">
        <v>131</v>
      </c>
    </row>
    <row r="2447" spans="1:15">
      <c r="A2447" s="166" t="s">
        <v>1761</v>
      </c>
      <c r="B2447" t="s">
        <v>111</v>
      </c>
      <c r="C2447" t="s">
        <v>641</v>
      </c>
      <c r="D2447" t="s">
        <v>118</v>
      </c>
      <c r="E2447" t="s">
        <v>558</v>
      </c>
      <c r="F2447" t="s">
        <v>7</v>
      </c>
      <c r="G2447" t="s">
        <v>130</v>
      </c>
      <c r="H2447" s="1">
        <v>46117</v>
      </c>
      <c r="I2447" t="s">
        <v>1762</v>
      </c>
      <c r="J2447" t="s">
        <v>1763</v>
      </c>
      <c r="K2447" t="s">
        <v>825</v>
      </c>
      <c r="L2447" t="s">
        <v>687</v>
      </c>
      <c r="M2447" t="s">
        <v>416</v>
      </c>
      <c r="N2447" s="166">
        <v>19.3</v>
      </c>
      <c r="O2447" t="s">
        <v>131</v>
      </c>
    </row>
    <row r="2448" spans="1:15">
      <c r="A2448" s="166" t="s">
        <v>1764</v>
      </c>
      <c r="B2448" t="s">
        <v>111</v>
      </c>
      <c r="C2448" t="s">
        <v>1104</v>
      </c>
      <c r="D2448" t="s">
        <v>118</v>
      </c>
      <c r="E2448" t="s">
        <v>558</v>
      </c>
      <c r="F2448" t="s">
        <v>7</v>
      </c>
      <c r="G2448" t="s">
        <v>130</v>
      </c>
      <c r="H2448" s="1">
        <v>46117</v>
      </c>
      <c r="I2448" t="s">
        <v>1765</v>
      </c>
      <c r="J2448" t="s">
        <v>1766</v>
      </c>
      <c r="K2448" t="s">
        <v>1767</v>
      </c>
      <c r="L2448" t="s">
        <v>633</v>
      </c>
      <c r="M2448" t="s">
        <v>219</v>
      </c>
      <c r="N2448" s="166">
        <v>24.94</v>
      </c>
      <c r="O2448" t="s">
        <v>131</v>
      </c>
    </row>
    <row r="2449" spans="1:15">
      <c r="A2449" s="166" t="s">
        <v>1768</v>
      </c>
      <c r="B2449" t="s">
        <v>111</v>
      </c>
      <c r="C2449" t="s">
        <v>406</v>
      </c>
      <c r="D2449" t="s">
        <v>118</v>
      </c>
      <c r="E2449" t="s">
        <v>558</v>
      </c>
      <c r="F2449" t="s">
        <v>7</v>
      </c>
      <c r="G2449" t="s">
        <v>130</v>
      </c>
      <c r="H2449" s="1">
        <v>46117</v>
      </c>
      <c r="I2449" t="s">
        <v>1769</v>
      </c>
      <c r="J2449" t="s">
        <v>1770</v>
      </c>
      <c r="K2449" t="s">
        <v>621</v>
      </c>
      <c r="L2449" t="s">
        <v>584</v>
      </c>
      <c r="M2449" t="s">
        <v>175</v>
      </c>
      <c r="N2449" s="166">
        <v>21.1</v>
      </c>
      <c r="O2449" t="s">
        <v>131</v>
      </c>
    </row>
    <row r="2450" spans="1:15">
      <c r="A2450" s="166" t="s">
        <v>1771</v>
      </c>
      <c r="B2450" t="s">
        <v>111</v>
      </c>
      <c r="C2450" t="s">
        <v>134</v>
      </c>
      <c r="D2450" t="s">
        <v>118</v>
      </c>
      <c r="E2450" t="s">
        <v>558</v>
      </c>
      <c r="F2450" t="s">
        <v>7</v>
      </c>
      <c r="G2450" t="s">
        <v>130</v>
      </c>
      <c r="H2450" s="1">
        <v>46117</v>
      </c>
      <c r="I2450" t="s">
        <v>1772</v>
      </c>
      <c r="J2450" t="s">
        <v>1773</v>
      </c>
      <c r="K2450" t="s">
        <v>1774</v>
      </c>
      <c r="L2450" t="s">
        <v>801</v>
      </c>
      <c r="M2450" t="s">
        <v>1425</v>
      </c>
      <c r="N2450" s="166">
        <v>19.52</v>
      </c>
      <c r="O2450" t="s">
        <v>131</v>
      </c>
    </row>
    <row r="2451" spans="1:15">
      <c r="A2451" s="166" t="s">
        <v>1775</v>
      </c>
      <c r="B2451" t="s">
        <v>111</v>
      </c>
      <c r="C2451" t="s">
        <v>135</v>
      </c>
      <c r="D2451" t="s">
        <v>118</v>
      </c>
      <c r="E2451" t="s">
        <v>558</v>
      </c>
      <c r="F2451" t="s">
        <v>7</v>
      </c>
      <c r="G2451" t="s">
        <v>130</v>
      </c>
      <c r="H2451" s="1">
        <v>46117</v>
      </c>
      <c r="I2451" t="s">
        <v>1776</v>
      </c>
      <c r="J2451" t="s">
        <v>1777</v>
      </c>
      <c r="K2451" t="s">
        <v>790</v>
      </c>
      <c r="L2451" t="s">
        <v>146</v>
      </c>
      <c r="M2451" t="s">
        <v>1778</v>
      </c>
      <c r="N2451" s="166">
        <v>19.8</v>
      </c>
      <c r="O2451" t="s">
        <v>131</v>
      </c>
    </row>
    <row r="2452" spans="1:15">
      <c r="A2452" s="166" t="s">
        <v>1779</v>
      </c>
      <c r="B2452" t="s">
        <v>111</v>
      </c>
      <c r="C2452" t="s">
        <v>641</v>
      </c>
      <c r="D2452" t="s">
        <v>118</v>
      </c>
      <c r="E2452" t="s">
        <v>558</v>
      </c>
      <c r="F2452" t="s">
        <v>7</v>
      </c>
      <c r="G2452" t="s">
        <v>130</v>
      </c>
      <c r="H2452" s="1">
        <v>46117</v>
      </c>
      <c r="I2452" t="s">
        <v>1780</v>
      </c>
      <c r="J2452" t="s">
        <v>1781</v>
      </c>
      <c r="K2452" t="s">
        <v>540</v>
      </c>
      <c r="L2452" t="s">
        <v>611</v>
      </c>
      <c r="M2452" t="s">
        <v>1757</v>
      </c>
      <c r="N2452" s="166">
        <v>20.28</v>
      </c>
      <c r="O2452" t="s">
        <v>131</v>
      </c>
    </row>
    <row r="2453" spans="1:15">
      <c r="A2453" s="166" t="s">
        <v>1782</v>
      </c>
      <c r="B2453" t="s">
        <v>111</v>
      </c>
      <c r="C2453" t="s">
        <v>133</v>
      </c>
      <c r="D2453" t="s">
        <v>118</v>
      </c>
      <c r="E2453" t="s">
        <v>558</v>
      </c>
      <c r="F2453" t="s">
        <v>7</v>
      </c>
      <c r="G2453" t="s">
        <v>130</v>
      </c>
      <c r="H2453" s="1">
        <v>46117</v>
      </c>
      <c r="I2453" t="s">
        <v>1783</v>
      </c>
      <c r="J2453" t="s">
        <v>1784</v>
      </c>
      <c r="K2453" t="s">
        <v>1785</v>
      </c>
      <c r="L2453" t="s">
        <v>772</v>
      </c>
      <c r="M2453" t="s">
        <v>1354</v>
      </c>
      <c r="N2453" s="166">
        <v>18.7</v>
      </c>
      <c r="O2453" t="s">
        <v>131</v>
      </c>
    </row>
    <row r="2454" spans="1:15">
      <c r="A2454" s="166" t="s">
        <v>1786</v>
      </c>
      <c r="B2454" t="s">
        <v>111</v>
      </c>
      <c r="C2454" t="s">
        <v>1104</v>
      </c>
      <c r="D2454" t="s">
        <v>118</v>
      </c>
      <c r="E2454" t="s">
        <v>558</v>
      </c>
      <c r="F2454" t="s">
        <v>7</v>
      </c>
      <c r="G2454" t="s">
        <v>130</v>
      </c>
      <c r="H2454" s="1">
        <v>46117</v>
      </c>
      <c r="I2454" t="s">
        <v>1787</v>
      </c>
      <c r="J2454" t="s">
        <v>1788</v>
      </c>
      <c r="K2454" t="s">
        <v>1789</v>
      </c>
      <c r="L2454" t="s">
        <v>584</v>
      </c>
      <c r="M2454" t="s">
        <v>1369</v>
      </c>
      <c r="N2454" s="166">
        <v>18.78</v>
      </c>
      <c r="O2454" t="s">
        <v>131</v>
      </c>
    </row>
    <row r="2455" spans="1:15">
      <c r="A2455" s="166" t="s">
        <v>1790</v>
      </c>
      <c r="B2455" t="s">
        <v>111</v>
      </c>
      <c r="C2455" t="s">
        <v>406</v>
      </c>
      <c r="D2455" t="s">
        <v>118</v>
      </c>
      <c r="E2455" t="s">
        <v>558</v>
      </c>
      <c r="F2455" t="s">
        <v>7</v>
      </c>
      <c r="G2455" t="s">
        <v>130</v>
      </c>
      <c r="H2455" s="1">
        <v>46117</v>
      </c>
      <c r="I2455" t="s">
        <v>1791</v>
      </c>
      <c r="J2455" t="s">
        <v>1792</v>
      </c>
      <c r="K2455" t="s">
        <v>1793</v>
      </c>
      <c r="L2455" t="s">
        <v>989</v>
      </c>
      <c r="M2455" t="s">
        <v>1653</v>
      </c>
      <c r="N2455" s="166">
        <v>21.42</v>
      </c>
      <c r="O2455" t="s">
        <v>131</v>
      </c>
    </row>
    <row r="2456" spans="1:15">
      <c r="A2456" s="166" t="s">
        <v>1794</v>
      </c>
      <c r="B2456" t="s">
        <v>111</v>
      </c>
      <c r="C2456" t="s">
        <v>134</v>
      </c>
      <c r="D2456" t="s">
        <v>118</v>
      </c>
      <c r="E2456" t="s">
        <v>558</v>
      </c>
      <c r="F2456" t="s">
        <v>7</v>
      </c>
      <c r="G2456" t="s">
        <v>130</v>
      </c>
      <c r="H2456" s="1">
        <v>46117</v>
      </c>
      <c r="I2456" t="s">
        <v>1795</v>
      </c>
      <c r="J2456" t="s">
        <v>1796</v>
      </c>
      <c r="K2456" t="s">
        <v>164</v>
      </c>
      <c r="L2456" t="s">
        <v>730</v>
      </c>
      <c r="M2456" t="s">
        <v>1797</v>
      </c>
      <c r="N2456" s="166">
        <v>20.260000000000002</v>
      </c>
      <c r="O2456" t="s">
        <v>131</v>
      </c>
    </row>
    <row r="2457" spans="1:15">
      <c r="A2457" s="166" t="s">
        <v>1798</v>
      </c>
      <c r="B2457" t="s">
        <v>111</v>
      </c>
      <c r="C2457" t="s">
        <v>135</v>
      </c>
      <c r="D2457" t="s">
        <v>118</v>
      </c>
      <c r="E2457" t="s">
        <v>558</v>
      </c>
      <c r="F2457" t="s">
        <v>7</v>
      </c>
      <c r="G2457" t="s">
        <v>130</v>
      </c>
      <c r="H2457" s="1">
        <v>46117</v>
      </c>
      <c r="I2457" t="s">
        <v>1799</v>
      </c>
      <c r="J2457" t="s">
        <v>1800</v>
      </c>
      <c r="K2457" t="s">
        <v>1801</v>
      </c>
      <c r="L2457" t="s">
        <v>155</v>
      </c>
      <c r="M2457" t="s">
        <v>1802</v>
      </c>
      <c r="N2457" s="166">
        <v>19.399999999999999</v>
      </c>
      <c r="O2457" t="s">
        <v>131</v>
      </c>
    </row>
    <row r="2458" spans="1:15">
      <c r="A2458" s="166" t="s">
        <v>1803</v>
      </c>
      <c r="B2458" t="s">
        <v>111</v>
      </c>
      <c r="C2458" t="s">
        <v>133</v>
      </c>
      <c r="D2458" t="s">
        <v>118</v>
      </c>
      <c r="E2458" t="s">
        <v>558</v>
      </c>
      <c r="F2458" t="s">
        <v>7</v>
      </c>
      <c r="G2458" t="s">
        <v>130</v>
      </c>
      <c r="H2458" s="1">
        <v>46117</v>
      </c>
      <c r="I2458" t="s">
        <v>1804</v>
      </c>
      <c r="J2458" t="s">
        <v>1805</v>
      </c>
      <c r="K2458" t="s">
        <v>1806</v>
      </c>
      <c r="L2458" t="s">
        <v>725</v>
      </c>
      <c r="M2458" t="s">
        <v>628</v>
      </c>
      <c r="N2458" s="166">
        <v>20.48</v>
      </c>
      <c r="O2458" t="s">
        <v>131</v>
      </c>
    </row>
    <row r="2459" spans="1:15">
      <c r="A2459" s="166" t="s">
        <v>1807</v>
      </c>
      <c r="B2459" t="s">
        <v>111</v>
      </c>
      <c r="C2459" t="s">
        <v>641</v>
      </c>
      <c r="D2459" t="s">
        <v>118</v>
      </c>
      <c r="E2459" t="s">
        <v>558</v>
      </c>
      <c r="F2459" t="s">
        <v>7</v>
      </c>
      <c r="G2459" t="s">
        <v>130</v>
      </c>
      <c r="H2459" s="1">
        <v>46117</v>
      </c>
      <c r="I2459" t="s">
        <v>1808</v>
      </c>
      <c r="J2459" t="s">
        <v>1809</v>
      </c>
      <c r="K2459" t="s">
        <v>1810</v>
      </c>
      <c r="L2459" t="s">
        <v>611</v>
      </c>
      <c r="M2459" t="s">
        <v>1338</v>
      </c>
      <c r="N2459" s="166">
        <v>19.84</v>
      </c>
      <c r="O2459" t="s">
        <v>131</v>
      </c>
    </row>
    <row r="2460" spans="1:15">
      <c r="A2460" s="166" t="s">
        <v>1811</v>
      </c>
      <c r="B2460" t="s">
        <v>111</v>
      </c>
      <c r="C2460" t="s">
        <v>1104</v>
      </c>
      <c r="D2460" t="s">
        <v>118</v>
      </c>
      <c r="E2460" t="s">
        <v>558</v>
      </c>
      <c r="F2460" t="s">
        <v>7</v>
      </c>
      <c r="G2460" t="s">
        <v>130</v>
      </c>
      <c r="H2460" s="1">
        <v>46117</v>
      </c>
      <c r="I2460" t="s">
        <v>1812</v>
      </c>
      <c r="J2460" t="s">
        <v>1813</v>
      </c>
      <c r="K2460" t="s">
        <v>790</v>
      </c>
      <c r="L2460" t="s">
        <v>1582</v>
      </c>
      <c r="M2460" t="s">
        <v>1814</v>
      </c>
      <c r="N2460" s="166">
        <v>19.5</v>
      </c>
      <c r="O2460" t="s">
        <v>131</v>
      </c>
    </row>
    <row r="2461" spans="1:15">
      <c r="A2461" s="166" t="s">
        <v>1815</v>
      </c>
      <c r="B2461" t="s">
        <v>111</v>
      </c>
      <c r="C2461" t="s">
        <v>406</v>
      </c>
      <c r="D2461" t="s">
        <v>118</v>
      </c>
      <c r="E2461" t="s">
        <v>558</v>
      </c>
      <c r="F2461" t="s">
        <v>7</v>
      </c>
      <c r="G2461" t="s">
        <v>130</v>
      </c>
      <c r="H2461" s="1">
        <v>46117</v>
      </c>
      <c r="I2461" t="s">
        <v>1816</v>
      </c>
      <c r="J2461" t="s">
        <v>1817</v>
      </c>
      <c r="K2461" t="s">
        <v>1818</v>
      </c>
      <c r="L2461" t="s">
        <v>149</v>
      </c>
      <c r="M2461" t="s">
        <v>1819</v>
      </c>
      <c r="N2461" s="166">
        <v>20.62</v>
      </c>
      <c r="O2461" t="s">
        <v>131</v>
      </c>
    </row>
    <row r="2462" spans="1:15">
      <c r="A2462" s="166" t="s">
        <v>1820</v>
      </c>
      <c r="B2462" t="s">
        <v>111</v>
      </c>
      <c r="C2462" t="s">
        <v>135</v>
      </c>
      <c r="D2462" t="s">
        <v>118</v>
      </c>
      <c r="E2462" t="s">
        <v>558</v>
      </c>
      <c r="F2462" t="s">
        <v>7</v>
      </c>
      <c r="G2462" t="s">
        <v>130</v>
      </c>
      <c r="H2462" s="1">
        <v>46117</v>
      </c>
      <c r="I2462" t="s">
        <v>1821</v>
      </c>
      <c r="J2462" t="s">
        <v>1822</v>
      </c>
      <c r="K2462" t="s">
        <v>241</v>
      </c>
      <c r="L2462" t="s">
        <v>155</v>
      </c>
      <c r="M2462" t="s">
        <v>1823</v>
      </c>
      <c r="N2462" s="166">
        <v>17.38</v>
      </c>
      <c r="O2462" t="s">
        <v>131</v>
      </c>
    </row>
    <row r="2463" spans="1:15">
      <c r="A2463" s="166" t="s">
        <v>1824</v>
      </c>
      <c r="B2463" t="s">
        <v>111</v>
      </c>
      <c r="C2463" t="s">
        <v>134</v>
      </c>
      <c r="D2463" t="s">
        <v>118</v>
      </c>
      <c r="E2463" t="s">
        <v>558</v>
      </c>
      <c r="F2463" t="s">
        <v>7</v>
      </c>
      <c r="G2463" t="s">
        <v>130</v>
      </c>
      <c r="H2463" s="1">
        <v>46117</v>
      </c>
      <c r="I2463" t="s">
        <v>1825</v>
      </c>
      <c r="J2463" t="s">
        <v>1826</v>
      </c>
      <c r="K2463" t="s">
        <v>167</v>
      </c>
      <c r="L2463" t="s">
        <v>687</v>
      </c>
      <c r="M2463" t="s">
        <v>1663</v>
      </c>
      <c r="N2463" s="166">
        <v>19.18</v>
      </c>
      <c r="O2463" t="s">
        <v>131</v>
      </c>
    </row>
    <row r="2464" spans="1:15">
      <c r="A2464" s="166" t="s">
        <v>1827</v>
      </c>
      <c r="B2464" t="s">
        <v>111</v>
      </c>
      <c r="C2464" t="s">
        <v>133</v>
      </c>
      <c r="D2464" t="s">
        <v>118</v>
      </c>
      <c r="E2464" t="s">
        <v>558</v>
      </c>
      <c r="F2464" t="s">
        <v>7</v>
      </c>
      <c r="G2464" t="s">
        <v>130</v>
      </c>
      <c r="H2464" s="1">
        <v>46117</v>
      </c>
      <c r="I2464" t="s">
        <v>1828</v>
      </c>
      <c r="J2464" t="s">
        <v>1829</v>
      </c>
      <c r="K2464" t="s">
        <v>1801</v>
      </c>
      <c r="L2464" t="s">
        <v>611</v>
      </c>
      <c r="M2464" t="s">
        <v>1830</v>
      </c>
      <c r="N2464" s="166">
        <v>18.52</v>
      </c>
      <c r="O2464" t="s">
        <v>131</v>
      </c>
    </row>
    <row r="2465" spans="1:15">
      <c r="A2465" s="166" t="s">
        <v>1831</v>
      </c>
      <c r="B2465" t="s">
        <v>111</v>
      </c>
      <c r="C2465" t="s">
        <v>641</v>
      </c>
      <c r="D2465" t="s">
        <v>118</v>
      </c>
      <c r="E2465" t="s">
        <v>558</v>
      </c>
      <c r="F2465" t="s">
        <v>7</v>
      </c>
      <c r="G2465" t="s">
        <v>130</v>
      </c>
      <c r="H2465" s="1">
        <v>46117</v>
      </c>
      <c r="I2465" t="s">
        <v>1832</v>
      </c>
      <c r="J2465" t="s">
        <v>1833</v>
      </c>
      <c r="K2465" t="s">
        <v>1834</v>
      </c>
      <c r="L2465" t="s">
        <v>1835</v>
      </c>
      <c r="M2465" t="s">
        <v>1836</v>
      </c>
      <c r="N2465" s="166">
        <v>23.72</v>
      </c>
      <c r="O2465" t="s">
        <v>131</v>
      </c>
    </row>
    <row r="2466" spans="1:15">
      <c r="A2466" s="166" t="s">
        <v>1837</v>
      </c>
      <c r="B2466" t="s">
        <v>111</v>
      </c>
      <c r="C2466" t="s">
        <v>1104</v>
      </c>
      <c r="D2466" t="s">
        <v>118</v>
      </c>
      <c r="E2466" t="s">
        <v>558</v>
      </c>
      <c r="F2466" t="s">
        <v>7</v>
      </c>
      <c r="G2466" t="s">
        <v>130</v>
      </c>
      <c r="H2466" s="1">
        <v>46117</v>
      </c>
      <c r="I2466" t="s">
        <v>1838</v>
      </c>
      <c r="J2466" t="s">
        <v>1839</v>
      </c>
      <c r="K2466" t="s">
        <v>1840</v>
      </c>
      <c r="L2466" t="s">
        <v>529</v>
      </c>
      <c r="M2466" t="s">
        <v>1328</v>
      </c>
      <c r="N2466" s="166">
        <v>19.54</v>
      </c>
      <c r="O2466" t="s">
        <v>131</v>
      </c>
    </row>
    <row r="2467" spans="1:15">
      <c r="A2467" s="166" t="s">
        <v>1841</v>
      </c>
      <c r="B2467" t="s">
        <v>111</v>
      </c>
      <c r="C2467" t="s">
        <v>406</v>
      </c>
      <c r="D2467" t="s">
        <v>118</v>
      </c>
      <c r="E2467" t="s">
        <v>558</v>
      </c>
      <c r="F2467" t="s">
        <v>7</v>
      </c>
      <c r="G2467" t="s">
        <v>130</v>
      </c>
      <c r="H2467" s="1">
        <v>46117</v>
      </c>
      <c r="I2467" t="s">
        <v>1842</v>
      </c>
      <c r="J2467" t="s">
        <v>1843</v>
      </c>
      <c r="K2467" t="s">
        <v>1844</v>
      </c>
      <c r="L2467" t="s">
        <v>1845</v>
      </c>
      <c r="M2467" t="s">
        <v>1846</v>
      </c>
      <c r="N2467" s="166">
        <v>17.920000000000002</v>
      </c>
      <c r="O2467" t="s">
        <v>131</v>
      </c>
    </row>
    <row r="2468" spans="1:15">
      <c r="A2468" s="166" t="s">
        <v>1847</v>
      </c>
      <c r="B2468" t="s">
        <v>111</v>
      </c>
      <c r="C2468" t="s">
        <v>135</v>
      </c>
      <c r="D2468" t="s">
        <v>118</v>
      </c>
      <c r="E2468" t="s">
        <v>558</v>
      </c>
      <c r="F2468" t="s">
        <v>7</v>
      </c>
      <c r="G2468" t="s">
        <v>130</v>
      </c>
      <c r="H2468" s="1">
        <v>46117</v>
      </c>
      <c r="I2468" t="s">
        <v>1848</v>
      </c>
      <c r="J2468" t="s">
        <v>1849</v>
      </c>
      <c r="K2468" t="s">
        <v>1429</v>
      </c>
      <c r="L2468" t="s">
        <v>155</v>
      </c>
      <c r="M2468" t="s">
        <v>1850</v>
      </c>
      <c r="N2468" s="166">
        <v>19.739999999999998</v>
      </c>
      <c r="O2468" t="s">
        <v>131</v>
      </c>
    </row>
    <row r="2469" spans="1:15">
      <c r="A2469" s="166" t="s">
        <v>1851</v>
      </c>
      <c r="B2469" t="s">
        <v>111</v>
      </c>
      <c r="C2469" t="s">
        <v>134</v>
      </c>
      <c r="D2469" t="s">
        <v>118</v>
      </c>
      <c r="E2469" t="s">
        <v>558</v>
      </c>
      <c r="F2469" t="s">
        <v>7</v>
      </c>
      <c r="G2469" t="s">
        <v>130</v>
      </c>
      <c r="H2469" s="1">
        <v>46117</v>
      </c>
      <c r="I2469" t="s">
        <v>1852</v>
      </c>
      <c r="J2469" t="s">
        <v>1853</v>
      </c>
      <c r="K2469" t="s">
        <v>1854</v>
      </c>
      <c r="L2469" t="s">
        <v>730</v>
      </c>
      <c r="M2469" t="s">
        <v>1364</v>
      </c>
      <c r="N2469" s="166">
        <v>17.760000000000002</v>
      </c>
      <c r="O2469" t="s">
        <v>131</v>
      </c>
    </row>
    <row r="2470" spans="1:15">
      <c r="A2470" s="166" t="s">
        <v>1855</v>
      </c>
      <c r="B2470" t="s">
        <v>111</v>
      </c>
      <c r="C2470" t="s">
        <v>133</v>
      </c>
      <c r="D2470" t="s">
        <v>118</v>
      </c>
      <c r="E2470" t="s">
        <v>668</v>
      </c>
      <c r="F2470" t="s">
        <v>7</v>
      </c>
      <c r="G2470" t="s">
        <v>130</v>
      </c>
      <c r="H2470" s="1">
        <v>46117</v>
      </c>
      <c r="I2470" t="s">
        <v>1856</v>
      </c>
      <c r="J2470" t="s">
        <v>1857</v>
      </c>
      <c r="K2470" t="s">
        <v>1697</v>
      </c>
      <c r="L2470" t="s">
        <v>611</v>
      </c>
      <c r="M2470" t="s">
        <v>1682</v>
      </c>
      <c r="N2470" s="166">
        <v>19.82</v>
      </c>
      <c r="O2470" t="s">
        <v>131</v>
      </c>
    </row>
    <row r="2471" spans="1:15">
      <c r="A2471" s="166" t="s">
        <v>1858</v>
      </c>
      <c r="B2471" t="s">
        <v>111</v>
      </c>
      <c r="C2471" t="s">
        <v>406</v>
      </c>
      <c r="D2471" t="s">
        <v>118</v>
      </c>
      <c r="E2471" t="s">
        <v>668</v>
      </c>
      <c r="F2471" t="s">
        <v>7</v>
      </c>
      <c r="G2471" t="s">
        <v>130</v>
      </c>
      <c r="H2471" s="1">
        <v>46117</v>
      </c>
      <c r="I2471" t="s">
        <v>1859</v>
      </c>
      <c r="J2471" t="s">
        <v>1860</v>
      </c>
      <c r="K2471" t="s">
        <v>1861</v>
      </c>
      <c r="L2471" t="s">
        <v>1862</v>
      </c>
      <c r="M2471" t="s">
        <v>1258</v>
      </c>
      <c r="N2471" s="166">
        <v>19.420000000000002</v>
      </c>
      <c r="O2471" t="s">
        <v>131</v>
      </c>
    </row>
    <row r="2472" spans="1:15">
      <c r="A2472" s="166" t="s">
        <v>1863</v>
      </c>
      <c r="B2472" t="s">
        <v>111</v>
      </c>
      <c r="C2472" t="s">
        <v>1104</v>
      </c>
      <c r="D2472" t="s">
        <v>118</v>
      </c>
      <c r="E2472" t="s">
        <v>668</v>
      </c>
      <c r="F2472" t="s">
        <v>7</v>
      </c>
      <c r="G2472" t="s">
        <v>130</v>
      </c>
      <c r="H2472" s="1">
        <v>46117</v>
      </c>
      <c r="I2472" t="s">
        <v>1864</v>
      </c>
      <c r="J2472" t="s">
        <v>1865</v>
      </c>
      <c r="K2472" t="s">
        <v>1521</v>
      </c>
      <c r="L2472" t="s">
        <v>529</v>
      </c>
      <c r="M2472" t="s">
        <v>1866</v>
      </c>
      <c r="N2472" s="166">
        <v>22.28</v>
      </c>
      <c r="O2472" t="s">
        <v>131</v>
      </c>
    </row>
    <row r="2473" spans="1:15">
      <c r="A2473" s="166" t="s">
        <v>1867</v>
      </c>
      <c r="B2473" t="s">
        <v>111</v>
      </c>
      <c r="C2473" t="s">
        <v>135</v>
      </c>
      <c r="D2473" t="s">
        <v>118</v>
      </c>
      <c r="E2473" t="s">
        <v>668</v>
      </c>
      <c r="F2473" t="s">
        <v>7</v>
      </c>
      <c r="G2473" t="s">
        <v>130</v>
      </c>
      <c r="H2473" s="1">
        <v>46117</v>
      </c>
      <c r="I2473" t="s">
        <v>1868</v>
      </c>
      <c r="J2473" t="s">
        <v>1869</v>
      </c>
      <c r="K2473" t="s">
        <v>1870</v>
      </c>
      <c r="L2473" t="s">
        <v>155</v>
      </c>
      <c r="M2473" t="s">
        <v>1257</v>
      </c>
      <c r="N2473" s="166">
        <v>15.2</v>
      </c>
      <c r="O2473" t="s">
        <v>131</v>
      </c>
    </row>
    <row r="2474" spans="1:15">
      <c r="A2474" s="166" t="s">
        <v>1871</v>
      </c>
      <c r="B2474" t="s">
        <v>111</v>
      </c>
      <c r="C2474" t="s">
        <v>134</v>
      </c>
      <c r="D2474" t="s">
        <v>118</v>
      </c>
      <c r="E2474" t="s">
        <v>668</v>
      </c>
      <c r="F2474" t="s">
        <v>7</v>
      </c>
      <c r="G2474" t="s">
        <v>130</v>
      </c>
      <c r="H2474" s="1">
        <v>46117</v>
      </c>
      <c r="I2474" t="s">
        <v>1872</v>
      </c>
      <c r="J2474" t="s">
        <v>1873</v>
      </c>
      <c r="K2474" t="s">
        <v>164</v>
      </c>
      <c r="L2474" t="s">
        <v>1835</v>
      </c>
      <c r="M2474" t="s">
        <v>1057</v>
      </c>
      <c r="N2474" s="166">
        <v>20.14</v>
      </c>
      <c r="O2474" t="s">
        <v>131</v>
      </c>
    </row>
    <row r="2475" spans="1:15">
      <c r="A2475" s="166" t="s">
        <v>1874</v>
      </c>
      <c r="B2475" t="s">
        <v>111</v>
      </c>
      <c r="C2475" t="s">
        <v>133</v>
      </c>
      <c r="D2475" t="s">
        <v>118</v>
      </c>
      <c r="E2475" t="s">
        <v>668</v>
      </c>
      <c r="F2475" t="s">
        <v>7</v>
      </c>
      <c r="G2475" t="s">
        <v>130</v>
      </c>
      <c r="H2475" s="1">
        <v>46117</v>
      </c>
      <c r="I2475" t="s">
        <v>1875</v>
      </c>
      <c r="J2475" t="s">
        <v>1876</v>
      </c>
      <c r="K2475" t="s">
        <v>1793</v>
      </c>
      <c r="L2475" t="s">
        <v>1076</v>
      </c>
      <c r="M2475" t="s">
        <v>639</v>
      </c>
      <c r="N2475" s="166">
        <v>21.02</v>
      </c>
      <c r="O2475" t="s">
        <v>131</v>
      </c>
    </row>
    <row r="2476" spans="1:15">
      <c r="A2476" s="166" t="s">
        <v>1877</v>
      </c>
      <c r="B2476" t="s">
        <v>111</v>
      </c>
      <c r="C2476" t="s">
        <v>406</v>
      </c>
      <c r="D2476" t="s">
        <v>118</v>
      </c>
      <c r="E2476" t="s">
        <v>668</v>
      </c>
      <c r="F2476" t="s">
        <v>7</v>
      </c>
      <c r="G2476" t="s">
        <v>130</v>
      </c>
      <c r="H2476" s="1">
        <v>46117</v>
      </c>
      <c r="I2476" t="s">
        <v>1878</v>
      </c>
      <c r="J2476" t="s">
        <v>1879</v>
      </c>
      <c r="K2476" t="s">
        <v>1880</v>
      </c>
      <c r="L2476" t="s">
        <v>1881</v>
      </c>
      <c r="M2476" t="s">
        <v>1159</v>
      </c>
      <c r="N2476" s="166">
        <v>20.34</v>
      </c>
      <c r="O2476" t="s">
        <v>131</v>
      </c>
    </row>
    <row r="2477" spans="1:15">
      <c r="A2477" s="166" t="s">
        <v>1882</v>
      </c>
      <c r="B2477" t="s">
        <v>111</v>
      </c>
      <c r="C2477" t="s">
        <v>1104</v>
      </c>
      <c r="D2477" t="s">
        <v>118</v>
      </c>
      <c r="E2477" t="s">
        <v>668</v>
      </c>
      <c r="F2477" t="s">
        <v>7</v>
      </c>
      <c r="G2477" t="s">
        <v>130</v>
      </c>
      <c r="H2477" s="1">
        <v>46117</v>
      </c>
      <c r="I2477" t="s">
        <v>1883</v>
      </c>
      <c r="J2477" t="s">
        <v>1884</v>
      </c>
      <c r="K2477" t="s">
        <v>1885</v>
      </c>
      <c r="L2477" t="s">
        <v>1560</v>
      </c>
      <c r="M2477" t="s">
        <v>569</v>
      </c>
      <c r="N2477" s="166">
        <v>21.7</v>
      </c>
      <c r="O2477" t="s">
        <v>131</v>
      </c>
    </row>
    <row r="2478" spans="1:15">
      <c r="A2478" s="166" t="s">
        <v>1886</v>
      </c>
      <c r="B2478" t="s">
        <v>111</v>
      </c>
      <c r="C2478" t="s">
        <v>641</v>
      </c>
      <c r="D2478" t="s">
        <v>118</v>
      </c>
      <c r="E2478" t="s">
        <v>668</v>
      </c>
      <c r="F2478" t="s">
        <v>7</v>
      </c>
      <c r="G2478" t="s">
        <v>130</v>
      </c>
      <c r="H2478" s="1">
        <v>46117</v>
      </c>
      <c r="I2478" t="s">
        <v>1887</v>
      </c>
      <c r="J2478" t="s">
        <v>1888</v>
      </c>
      <c r="K2478" t="s">
        <v>1889</v>
      </c>
      <c r="L2478" t="s">
        <v>687</v>
      </c>
      <c r="M2478" t="s">
        <v>1258</v>
      </c>
      <c r="N2478" s="166">
        <v>19.420000000000002</v>
      </c>
      <c r="O2478" t="s">
        <v>131</v>
      </c>
    </row>
    <row r="2479" spans="1:15">
      <c r="A2479" s="166" t="s">
        <v>1890</v>
      </c>
      <c r="B2479" t="s">
        <v>111</v>
      </c>
      <c r="C2479" t="s">
        <v>135</v>
      </c>
      <c r="D2479" t="s">
        <v>118</v>
      </c>
      <c r="E2479" t="s">
        <v>668</v>
      </c>
      <c r="F2479" t="s">
        <v>7</v>
      </c>
      <c r="G2479" t="s">
        <v>130</v>
      </c>
      <c r="H2479" s="1">
        <v>46117</v>
      </c>
      <c r="I2479" t="s">
        <v>1891</v>
      </c>
      <c r="J2479" t="s">
        <v>1892</v>
      </c>
      <c r="K2479" t="s">
        <v>1602</v>
      </c>
      <c r="L2479" t="s">
        <v>155</v>
      </c>
      <c r="M2479" t="s">
        <v>530</v>
      </c>
      <c r="N2479" s="166">
        <v>21</v>
      </c>
      <c r="O2479" t="s">
        <v>131</v>
      </c>
    </row>
    <row r="2480" spans="1:15">
      <c r="A2480" s="166" t="s">
        <v>1893</v>
      </c>
      <c r="B2480" t="s">
        <v>111</v>
      </c>
      <c r="C2480" t="s">
        <v>134</v>
      </c>
      <c r="D2480" t="s">
        <v>118</v>
      </c>
      <c r="E2480" t="s">
        <v>668</v>
      </c>
      <c r="F2480" t="s">
        <v>7</v>
      </c>
      <c r="G2480" t="s">
        <v>130</v>
      </c>
      <c r="H2480" s="1">
        <v>46117</v>
      </c>
      <c r="I2480" t="s">
        <v>1894</v>
      </c>
      <c r="J2480" t="s">
        <v>1895</v>
      </c>
      <c r="K2480" t="s">
        <v>1896</v>
      </c>
      <c r="L2480" t="s">
        <v>730</v>
      </c>
      <c r="M2480" t="s">
        <v>1233</v>
      </c>
      <c r="N2480" s="166">
        <v>19.86</v>
      </c>
      <c r="O2480" t="s">
        <v>131</v>
      </c>
    </row>
    <row r="2481" spans="1:15">
      <c r="A2481" s="166" t="s">
        <v>1897</v>
      </c>
      <c r="B2481" t="s">
        <v>111</v>
      </c>
      <c r="C2481" t="s">
        <v>133</v>
      </c>
      <c r="D2481" t="s">
        <v>118</v>
      </c>
      <c r="E2481" t="s">
        <v>668</v>
      </c>
      <c r="F2481" t="s">
        <v>7</v>
      </c>
      <c r="G2481" t="s">
        <v>130</v>
      </c>
      <c r="H2481" s="1">
        <v>46117</v>
      </c>
      <c r="I2481" t="s">
        <v>1898</v>
      </c>
      <c r="J2481" t="s">
        <v>1899</v>
      </c>
      <c r="K2481" t="s">
        <v>421</v>
      </c>
      <c r="L2481" t="s">
        <v>1076</v>
      </c>
      <c r="M2481" t="s">
        <v>1258</v>
      </c>
      <c r="N2481" s="166">
        <v>19.420000000000002</v>
      </c>
      <c r="O2481" t="s">
        <v>131</v>
      </c>
    </row>
    <row r="2482" spans="1:15">
      <c r="A2482" s="166" t="s">
        <v>1900</v>
      </c>
      <c r="B2482" t="s">
        <v>111</v>
      </c>
      <c r="C2482" t="s">
        <v>406</v>
      </c>
      <c r="D2482" t="s">
        <v>118</v>
      </c>
      <c r="E2482" t="s">
        <v>668</v>
      </c>
      <c r="F2482" t="s">
        <v>7</v>
      </c>
      <c r="G2482" t="s">
        <v>130</v>
      </c>
      <c r="H2482" s="1">
        <v>46117</v>
      </c>
      <c r="I2482" t="s">
        <v>1901</v>
      </c>
      <c r="J2482" t="s">
        <v>1902</v>
      </c>
      <c r="K2482" t="s">
        <v>1107</v>
      </c>
      <c r="L2482" t="s">
        <v>1845</v>
      </c>
      <c r="M2482" t="s">
        <v>1310</v>
      </c>
      <c r="N2482" s="166">
        <v>19.38</v>
      </c>
      <c r="O2482" t="s">
        <v>131</v>
      </c>
    </row>
    <row r="2483" spans="1:15">
      <c r="A2483" s="166" t="s">
        <v>1903</v>
      </c>
      <c r="B2483" t="s">
        <v>111</v>
      </c>
      <c r="C2483" t="s">
        <v>1104</v>
      </c>
      <c r="D2483" t="s">
        <v>118</v>
      </c>
      <c r="E2483" t="s">
        <v>668</v>
      </c>
      <c r="F2483" t="s">
        <v>7</v>
      </c>
      <c r="G2483" t="s">
        <v>130</v>
      </c>
      <c r="H2483" s="1">
        <v>46117</v>
      </c>
      <c r="I2483" t="s">
        <v>1904</v>
      </c>
      <c r="J2483" t="s">
        <v>1905</v>
      </c>
      <c r="K2483" t="s">
        <v>1906</v>
      </c>
      <c r="L2483" t="s">
        <v>1560</v>
      </c>
      <c r="M2483" t="s">
        <v>1907</v>
      </c>
      <c r="N2483" s="166">
        <v>19.66</v>
      </c>
      <c r="O2483" t="s">
        <v>131</v>
      </c>
    </row>
    <row r="2484" spans="1:15">
      <c r="A2484" s="166" t="s">
        <v>1908</v>
      </c>
      <c r="B2484" t="s">
        <v>111</v>
      </c>
      <c r="C2484" t="s">
        <v>641</v>
      </c>
      <c r="D2484" t="s">
        <v>118</v>
      </c>
      <c r="E2484" t="s">
        <v>668</v>
      </c>
      <c r="F2484" t="s">
        <v>7</v>
      </c>
      <c r="G2484" t="s">
        <v>130</v>
      </c>
      <c r="H2484" s="1">
        <v>46117</v>
      </c>
      <c r="I2484" t="s">
        <v>1909</v>
      </c>
      <c r="J2484" t="s">
        <v>1910</v>
      </c>
      <c r="K2484" t="s">
        <v>1705</v>
      </c>
      <c r="L2484" t="s">
        <v>611</v>
      </c>
      <c r="M2484" t="s">
        <v>1421</v>
      </c>
      <c r="N2484" s="166">
        <v>19.7</v>
      </c>
      <c r="O2484" t="s">
        <v>131</v>
      </c>
    </row>
    <row r="2485" spans="1:15">
      <c r="A2485" s="166" t="s">
        <v>1911</v>
      </c>
      <c r="B2485" t="s">
        <v>111</v>
      </c>
      <c r="C2485" t="s">
        <v>135</v>
      </c>
      <c r="D2485" t="s">
        <v>118</v>
      </c>
      <c r="E2485" t="s">
        <v>668</v>
      </c>
      <c r="F2485" t="s">
        <v>7</v>
      </c>
      <c r="G2485" t="s">
        <v>130</v>
      </c>
      <c r="H2485" s="1">
        <v>46117</v>
      </c>
      <c r="I2485" t="s">
        <v>1912</v>
      </c>
      <c r="J2485" t="s">
        <v>1913</v>
      </c>
      <c r="K2485" t="s">
        <v>1914</v>
      </c>
      <c r="L2485" t="s">
        <v>155</v>
      </c>
      <c r="M2485" t="s">
        <v>1573</v>
      </c>
      <c r="N2485" s="166">
        <v>18.32</v>
      </c>
      <c r="O2485" t="s">
        <v>131</v>
      </c>
    </row>
    <row r="2486" spans="1:15">
      <c r="A2486" s="166" t="s">
        <v>1915</v>
      </c>
      <c r="B2486" t="s">
        <v>111</v>
      </c>
      <c r="C2486" t="s">
        <v>134</v>
      </c>
      <c r="D2486" t="s">
        <v>118</v>
      </c>
      <c r="E2486" t="s">
        <v>668</v>
      </c>
      <c r="F2486" t="s">
        <v>7</v>
      </c>
      <c r="G2486" t="s">
        <v>130</v>
      </c>
      <c r="H2486" s="1">
        <v>46117</v>
      </c>
      <c r="I2486" t="s">
        <v>1916</v>
      </c>
      <c r="J2486" t="s">
        <v>1917</v>
      </c>
      <c r="K2486" t="s">
        <v>1918</v>
      </c>
      <c r="L2486" t="s">
        <v>831</v>
      </c>
      <c r="M2486" t="s">
        <v>1333</v>
      </c>
      <c r="N2486" s="166">
        <v>19.14</v>
      </c>
      <c r="O2486" t="s">
        <v>131</v>
      </c>
    </row>
    <row r="2487" spans="1:15">
      <c r="A2487" s="166" t="s">
        <v>1919</v>
      </c>
      <c r="B2487" t="s">
        <v>111</v>
      </c>
      <c r="C2487" t="s">
        <v>133</v>
      </c>
      <c r="D2487" t="s">
        <v>118</v>
      </c>
      <c r="E2487" t="s">
        <v>668</v>
      </c>
      <c r="F2487" t="s">
        <v>7</v>
      </c>
      <c r="G2487" t="s">
        <v>130</v>
      </c>
      <c r="H2487" s="1">
        <v>46117</v>
      </c>
      <c r="I2487" t="s">
        <v>1920</v>
      </c>
      <c r="J2487" t="s">
        <v>1921</v>
      </c>
      <c r="K2487" t="s">
        <v>1393</v>
      </c>
      <c r="L2487" t="s">
        <v>730</v>
      </c>
      <c r="M2487" t="s">
        <v>1922</v>
      </c>
      <c r="N2487" s="166">
        <v>18.920000000000002</v>
      </c>
      <c r="O2487" t="s">
        <v>131</v>
      </c>
    </row>
    <row r="2488" spans="1:15">
      <c r="A2488" s="166" t="s">
        <v>1923</v>
      </c>
      <c r="B2488" t="s">
        <v>111</v>
      </c>
      <c r="C2488" t="s">
        <v>406</v>
      </c>
      <c r="D2488" t="s">
        <v>118</v>
      </c>
      <c r="E2488" t="s">
        <v>668</v>
      </c>
      <c r="F2488" t="s">
        <v>7</v>
      </c>
      <c r="G2488" t="s">
        <v>130</v>
      </c>
      <c r="H2488" s="1">
        <v>46117</v>
      </c>
      <c r="I2488" t="s">
        <v>1924</v>
      </c>
      <c r="J2488" t="s">
        <v>1925</v>
      </c>
      <c r="K2488" t="s">
        <v>1393</v>
      </c>
      <c r="L2488" t="s">
        <v>901</v>
      </c>
      <c r="M2488" t="s">
        <v>1926</v>
      </c>
      <c r="N2488" s="166">
        <v>18.2</v>
      </c>
      <c r="O2488" t="s">
        <v>131</v>
      </c>
    </row>
    <row r="2489" spans="1:15">
      <c r="A2489" s="166" t="s">
        <v>1927</v>
      </c>
      <c r="B2489" t="s">
        <v>111</v>
      </c>
      <c r="C2489" t="s">
        <v>1104</v>
      </c>
      <c r="D2489" t="s">
        <v>118</v>
      </c>
      <c r="E2489" t="s">
        <v>668</v>
      </c>
      <c r="F2489" t="s">
        <v>7</v>
      </c>
      <c r="G2489" t="s">
        <v>130</v>
      </c>
      <c r="H2489" s="1">
        <v>46117</v>
      </c>
      <c r="I2489" t="s">
        <v>1928</v>
      </c>
      <c r="J2489" t="s">
        <v>1929</v>
      </c>
      <c r="K2489" t="s">
        <v>1533</v>
      </c>
      <c r="L2489" t="s">
        <v>1560</v>
      </c>
      <c r="M2489" t="s">
        <v>1127</v>
      </c>
      <c r="N2489" s="166">
        <v>19.920000000000002</v>
      </c>
      <c r="O2489" t="s">
        <v>131</v>
      </c>
    </row>
    <row r="2490" spans="1:15">
      <c r="A2490" s="166" t="s">
        <v>1930</v>
      </c>
      <c r="B2490" t="s">
        <v>111</v>
      </c>
      <c r="C2490" t="s">
        <v>135</v>
      </c>
      <c r="D2490" t="s">
        <v>118</v>
      </c>
      <c r="E2490" t="s">
        <v>668</v>
      </c>
      <c r="F2490" t="s">
        <v>7</v>
      </c>
      <c r="G2490" t="s">
        <v>130</v>
      </c>
      <c r="H2490" s="1">
        <v>46117</v>
      </c>
      <c r="I2490" t="s">
        <v>1931</v>
      </c>
      <c r="J2490" t="s">
        <v>1932</v>
      </c>
      <c r="K2490" t="s">
        <v>1933</v>
      </c>
      <c r="L2490" t="s">
        <v>155</v>
      </c>
      <c r="M2490" t="s">
        <v>1934</v>
      </c>
      <c r="N2490" s="166">
        <v>19.62</v>
      </c>
      <c r="O2490" t="s">
        <v>131</v>
      </c>
    </row>
    <row r="2491" spans="1:15">
      <c r="A2491" s="166" t="s">
        <v>1935</v>
      </c>
      <c r="B2491" t="s">
        <v>111</v>
      </c>
      <c r="C2491" t="s">
        <v>406</v>
      </c>
      <c r="D2491" t="s">
        <v>118</v>
      </c>
      <c r="E2491" t="s">
        <v>430</v>
      </c>
      <c r="F2491" t="s">
        <v>7</v>
      </c>
      <c r="G2491" t="s">
        <v>130</v>
      </c>
      <c r="H2491" s="1">
        <v>46117</v>
      </c>
      <c r="I2491" t="s">
        <v>1936</v>
      </c>
      <c r="J2491" t="s">
        <v>1937</v>
      </c>
      <c r="K2491" t="s">
        <v>1514</v>
      </c>
      <c r="L2491" t="s">
        <v>948</v>
      </c>
      <c r="M2491" t="s">
        <v>1385</v>
      </c>
      <c r="N2491" s="166">
        <v>19.78</v>
      </c>
      <c r="O2491" t="s">
        <v>131</v>
      </c>
    </row>
    <row r="2492" spans="1:15">
      <c r="A2492" s="166" t="s">
        <v>1938</v>
      </c>
      <c r="B2492" t="s">
        <v>111</v>
      </c>
      <c r="C2492" t="s">
        <v>133</v>
      </c>
      <c r="D2492" t="s">
        <v>118</v>
      </c>
      <c r="E2492" t="s">
        <v>430</v>
      </c>
      <c r="F2492" t="s">
        <v>7</v>
      </c>
      <c r="G2492" t="s">
        <v>130</v>
      </c>
      <c r="H2492" s="1">
        <v>46117</v>
      </c>
      <c r="I2492" t="s">
        <v>1939</v>
      </c>
      <c r="J2492" t="s">
        <v>1940</v>
      </c>
      <c r="K2492" t="s">
        <v>1896</v>
      </c>
      <c r="L2492" t="s">
        <v>730</v>
      </c>
      <c r="M2492" t="s">
        <v>1233</v>
      </c>
      <c r="N2492" s="166">
        <v>19.86</v>
      </c>
      <c r="O2492" t="s">
        <v>131</v>
      </c>
    </row>
    <row r="2493" spans="1:15">
      <c r="A2493" s="166" t="s">
        <v>1941</v>
      </c>
      <c r="B2493" t="s">
        <v>111</v>
      </c>
      <c r="C2493" t="s">
        <v>135</v>
      </c>
      <c r="D2493" t="s">
        <v>118</v>
      </c>
      <c r="E2493" t="s">
        <v>430</v>
      </c>
      <c r="F2493" t="s">
        <v>7</v>
      </c>
      <c r="G2493" t="s">
        <v>130</v>
      </c>
      <c r="H2493" s="1">
        <v>46117</v>
      </c>
      <c r="I2493" t="s">
        <v>1942</v>
      </c>
      <c r="J2493" t="s">
        <v>1943</v>
      </c>
      <c r="K2493" t="s">
        <v>1944</v>
      </c>
      <c r="L2493" t="s">
        <v>157</v>
      </c>
      <c r="M2493" t="s">
        <v>1416</v>
      </c>
      <c r="N2493" s="166">
        <v>17.940000000000001</v>
      </c>
      <c r="O2493" t="s">
        <v>131</v>
      </c>
    </row>
    <row r="2494" spans="1:15">
      <c r="A2494" s="166" t="s">
        <v>1945</v>
      </c>
      <c r="B2494" t="s">
        <v>111</v>
      </c>
      <c r="C2494" t="s">
        <v>641</v>
      </c>
      <c r="D2494" t="s">
        <v>118</v>
      </c>
      <c r="E2494" t="s">
        <v>430</v>
      </c>
      <c r="F2494" t="s">
        <v>7</v>
      </c>
      <c r="G2494" t="s">
        <v>130</v>
      </c>
      <c r="H2494" s="1">
        <v>46117</v>
      </c>
      <c r="I2494" t="s">
        <v>1946</v>
      </c>
      <c r="J2494" t="s">
        <v>1947</v>
      </c>
      <c r="K2494" t="s">
        <v>1948</v>
      </c>
      <c r="L2494" t="s">
        <v>611</v>
      </c>
      <c r="M2494" t="s">
        <v>1850</v>
      </c>
      <c r="N2494" s="166">
        <v>19.739999999999998</v>
      </c>
      <c r="O2494" t="s">
        <v>131</v>
      </c>
    </row>
    <row r="2495" spans="1:15">
      <c r="A2495" s="166" t="s">
        <v>1949</v>
      </c>
      <c r="B2495" t="s">
        <v>111</v>
      </c>
      <c r="C2495" t="s">
        <v>136</v>
      </c>
      <c r="D2495" t="s">
        <v>118</v>
      </c>
      <c r="E2495" t="s">
        <v>430</v>
      </c>
      <c r="F2495" t="s">
        <v>7</v>
      </c>
      <c r="G2495" t="s">
        <v>130</v>
      </c>
      <c r="H2495" s="1">
        <v>46117</v>
      </c>
      <c r="I2495" t="s">
        <v>1950</v>
      </c>
      <c r="J2495" t="s">
        <v>1951</v>
      </c>
      <c r="K2495" t="s">
        <v>1906</v>
      </c>
      <c r="L2495" t="s">
        <v>529</v>
      </c>
      <c r="M2495" t="s">
        <v>1286</v>
      </c>
      <c r="N2495" s="166">
        <v>19.64</v>
      </c>
      <c r="O2495" t="s">
        <v>131</v>
      </c>
    </row>
    <row r="2496" spans="1:15">
      <c r="A2496" s="166" t="s">
        <v>1952</v>
      </c>
      <c r="B2496" t="s">
        <v>111</v>
      </c>
      <c r="C2496" t="s">
        <v>134</v>
      </c>
      <c r="D2496" t="s">
        <v>118</v>
      </c>
      <c r="E2496" t="s">
        <v>430</v>
      </c>
      <c r="F2496" t="s">
        <v>7</v>
      </c>
      <c r="G2496" t="s">
        <v>130</v>
      </c>
      <c r="H2496" s="1">
        <v>46117</v>
      </c>
      <c r="I2496" t="s">
        <v>1953</v>
      </c>
      <c r="J2496" t="s">
        <v>1954</v>
      </c>
      <c r="K2496" t="s">
        <v>1861</v>
      </c>
      <c r="L2496" t="s">
        <v>801</v>
      </c>
      <c r="M2496" t="s">
        <v>1237</v>
      </c>
      <c r="N2496" s="166">
        <v>20.059999999999999</v>
      </c>
      <c r="O2496" t="s">
        <v>131</v>
      </c>
    </row>
    <row r="2497" spans="1:15">
      <c r="A2497" s="166" t="s">
        <v>1955</v>
      </c>
      <c r="B2497" t="s">
        <v>111</v>
      </c>
      <c r="C2497" t="s">
        <v>406</v>
      </c>
      <c r="D2497" t="s">
        <v>118</v>
      </c>
      <c r="E2497" t="s">
        <v>430</v>
      </c>
      <c r="F2497" t="s">
        <v>7</v>
      </c>
      <c r="G2497" t="s">
        <v>130</v>
      </c>
      <c r="H2497" s="1">
        <v>46117</v>
      </c>
      <c r="I2497" t="s">
        <v>1956</v>
      </c>
      <c r="J2497" t="s">
        <v>1957</v>
      </c>
      <c r="K2497" t="s">
        <v>1774</v>
      </c>
      <c r="L2497" t="s">
        <v>1958</v>
      </c>
      <c r="M2497" t="s">
        <v>1086</v>
      </c>
      <c r="N2497" s="166">
        <v>18.82</v>
      </c>
      <c r="O2497" t="s">
        <v>131</v>
      </c>
    </row>
    <row r="2498" spans="1:15">
      <c r="A2498" s="166" t="s">
        <v>1959</v>
      </c>
      <c r="B2498" t="s">
        <v>111</v>
      </c>
      <c r="C2498" t="s">
        <v>133</v>
      </c>
      <c r="D2498" t="s">
        <v>118</v>
      </c>
      <c r="E2498" t="s">
        <v>430</v>
      </c>
      <c r="F2498" t="s">
        <v>7</v>
      </c>
      <c r="G2498" t="s">
        <v>130</v>
      </c>
      <c r="H2498" s="1">
        <v>46117</v>
      </c>
      <c r="I2498" t="s">
        <v>1960</v>
      </c>
      <c r="J2498" t="s">
        <v>1961</v>
      </c>
      <c r="K2498" t="s">
        <v>1840</v>
      </c>
      <c r="L2498" t="s">
        <v>730</v>
      </c>
      <c r="M2498" t="s">
        <v>1275</v>
      </c>
      <c r="N2498" s="166">
        <v>18.98</v>
      </c>
      <c r="O2498" t="s">
        <v>131</v>
      </c>
    </row>
    <row r="2499" spans="1:15">
      <c r="A2499" s="166" t="s">
        <v>1962</v>
      </c>
      <c r="B2499" t="s">
        <v>111</v>
      </c>
      <c r="C2499" t="s">
        <v>641</v>
      </c>
      <c r="D2499" t="s">
        <v>118</v>
      </c>
      <c r="E2499" t="s">
        <v>430</v>
      </c>
      <c r="F2499" t="s">
        <v>7</v>
      </c>
      <c r="G2499" t="s">
        <v>130</v>
      </c>
      <c r="H2499" s="1">
        <v>46117</v>
      </c>
      <c r="I2499" t="s">
        <v>1963</v>
      </c>
      <c r="J2499" t="s">
        <v>1964</v>
      </c>
      <c r="K2499" t="s">
        <v>1965</v>
      </c>
      <c r="L2499" t="s">
        <v>1493</v>
      </c>
      <c r="M2499" t="s">
        <v>1907</v>
      </c>
      <c r="N2499" s="166">
        <v>19.66</v>
      </c>
      <c r="O2499" t="s">
        <v>131</v>
      </c>
    </row>
    <row r="2500" spans="1:15">
      <c r="A2500" s="166" t="s">
        <v>1966</v>
      </c>
      <c r="B2500" t="s">
        <v>111</v>
      </c>
      <c r="C2500" t="s">
        <v>134</v>
      </c>
      <c r="D2500" t="s">
        <v>118</v>
      </c>
      <c r="E2500" t="s">
        <v>430</v>
      </c>
      <c r="F2500" t="s">
        <v>7</v>
      </c>
      <c r="G2500" t="s">
        <v>130</v>
      </c>
      <c r="H2500" s="1">
        <v>46117</v>
      </c>
      <c r="I2500" t="s">
        <v>1967</v>
      </c>
      <c r="J2500" t="s">
        <v>1968</v>
      </c>
      <c r="K2500" t="s">
        <v>1969</v>
      </c>
      <c r="L2500" t="s">
        <v>801</v>
      </c>
      <c r="M2500" t="s">
        <v>1814</v>
      </c>
      <c r="N2500" s="166">
        <v>19.5</v>
      </c>
      <c r="O2500" t="s">
        <v>131</v>
      </c>
    </row>
    <row r="2501" spans="1:15">
      <c r="A2501" s="166" t="s">
        <v>1970</v>
      </c>
      <c r="B2501" t="s">
        <v>111</v>
      </c>
      <c r="C2501" t="s">
        <v>136</v>
      </c>
      <c r="D2501" t="s">
        <v>118</v>
      </c>
      <c r="E2501" t="s">
        <v>430</v>
      </c>
      <c r="F2501" t="s">
        <v>7</v>
      </c>
      <c r="G2501" t="s">
        <v>130</v>
      </c>
      <c r="H2501" s="1">
        <v>46117</v>
      </c>
      <c r="I2501" t="s">
        <v>1971</v>
      </c>
      <c r="J2501" t="s">
        <v>1972</v>
      </c>
      <c r="K2501" t="s">
        <v>1337</v>
      </c>
      <c r="L2501" t="s">
        <v>1503</v>
      </c>
      <c r="M2501" t="s">
        <v>1399</v>
      </c>
      <c r="N2501" s="166">
        <v>19.32</v>
      </c>
      <c r="O2501" t="s">
        <v>131</v>
      </c>
    </row>
    <row r="2502" spans="1:15">
      <c r="A2502" s="166" t="s">
        <v>1973</v>
      </c>
      <c r="B2502" t="s">
        <v>111</v>
      </c>
      <c r="C2502" t="s">
        <v>406</v>
      </c>
      <c r="D2502" t="s">
        <v>118</v>
      </c>
      <c r="E2502" t="s">
        <v>430</v>
      </c>
      <c r="F2502" t="s">
        <v>7</v>
      </c>
      <c r="G2502" t="s">
        <v>130</v>
      </c>
      <c r="H2502" s="1">
        <v>46117</v>
      </c>
      <c r="I2502" t="s">
        <v>1974</v>
      </c>
      <c r="J2502" t="s">
        <v>1975</v>
      </c>
      <c r="K2502" t="s">
        <v>1976</v>
      </c>
      <c r="L2502" t="s">
        <v>486</v>
      </c>
      <c r="M2502" t="s">
        <v>1977</v>
      </c>
      <c r="N2502" s="166">
        <v>18.66</v>
      </c>
      <c r="O2502" t="s">
        <v>131</v>
      </c>
    </row>
    <row r="2503" spans="1:15">
      <c r="A2503" s="166" t="s">
        <v>1978</v>
      </c>
      <c r="B2503" t="s">
        <v>111</v>
      </c>
      <c r="C2503" t="s">
        <v>133</v>
      </c>
      <c r="D2503" t="s">
        <v>118</v>
      </c>
      <c r="E2503" t="s">
        <v>668</v>
      </c>
      <c r="F2503" t="s">
        <v>7</v>
      </c>
      <c r="G2503" t="s">
        <v>130</v>
      </c>
      <c r="H2503" s="1">
        <v>46117</v>
      </c>
      <c r="I2503" t="s">
        <v>1979</v>
      </c>
      <c r="J2503" t="s">
        <v>1980</v>
      </c>
      <c r="K2503" t="s">
        <v>1305</v>
      </c>
      <c r="L2503" t="s">
        <v>1076</v>
      </c>
      <c r="M2503" t="s">
        <v>791</v>
      </c>
      <c r="N2503" s="166">
        <v>19.079999999999998</v>
      </c>
      <c r="O2503" t="s">
        <v>131</v>
      </c>
    </row>
    <row r="2504" spans="1:15">
      <c r="A2504" s="166" t="s">
        <v>1981</v>
      </c>
      <c r="B2504" t="s">
        <v>111</v>
      </c>
      <c r="C2504" t="s">
        <v>641</v>
      </c>
      <c r="D2504" t="s">
        <v>118</v>
      </c>
      <c r="E2504" t="s">
        <v>668</v>
      </c>
      <c r="F2504" t="s">
        <v>7</v>
      </c>
      <c r="G2504" t="s">
        <v>130</v>
      </c>
      <c r="H2504" s="1">
        <v>46117</v>
      </c>
      <c r="I2504" t="s">
        <v>1982</v>
      </c>
      <c r="J2504" t="s">
        <v>1983</v>
      </c>
      <c r="K2504" t="s">
        <v>615</v>
      </c>
      <c r="L2504" t="s">
        <v>611</v>
      </c>
      <c r="M2504" t="s">
        <v>1778</v>
      </c>
      <c r="N2504" s="166">
        <v>19.8</v>
      </c>
      <c r="O2504" t="s">
        <v>131</v>
      </c>
    </row>
    <row r="2505" spans="1:15">
      <c r="A2505" s="166" t="s">
        <v>1984</v>
      </c>
      <c r="B2505" t="s">
        <v>111</v>
      </c>
      <c r="C2505" t="s">
        <v>135</v>
      </c>
      <c r="D2505" t="s">
        <v>118</v>
      </c>
      <c r="E2505" t="s">
        <v>668</v>
      </c>
      <c r="F2505" t="s">
        <v>7</v>
      </c>
      <c r="G2505" t="s">
        <v>130</v>
      </c>
      <c r="H2505" s="1">
        <v>46117</v>
      </c>
      <c r="I2505" t="s">
        <v>1985</v>
      </c>
      <c r="J2505" t="s">
        <v>1986</v>
      </c>
      <c r="K2505" t="s">
        <v>1987</v>
      </c>
      <c r="L2505" t="s">
        <v>157</v>
      </c>
      <c r="M2505" t="s">
        <v>1988</v>
      </c>
      <c r="N2505" s="166">
        <v>19.600000000000001</v>
      </c>
      <c r="O2505" t="s">
        <v>131</v>
      </c>
    </row>
    <row r="2506" spans="1:15">
      <c r="A2506" s="166" t="s">
        <v>1989</v>
      </c>
      <c r="B2506" t="s">
        <v>111</v>
      </c>
      <c r="C2506" t="s">
        <v>134</v>
      </c>
      <c r="D2506" t="s">
        <v>118</v>
      </c>
      <c r="E2506" t="s">
        <v>668</v>
      </c>
      <c r="F2506" t="s">
        <v>7</v>
      </c>
      <c r="G2506" t="s">
        <v>130</v>
      </c>
      <c r="H2506" s="1">
        <v>46117</v>
      </c>
      <c r="I2506" t="s">
        <v>1990</v>
      </c>
      <c r="J2506" t="s">
        <v>1991</v>
      </c>
      <c r="K2506" t="s">
        <v>1377</v>
      </c>
      <c r="L2506" t="s">
        <v>1662</v>
      </c>
      <c r="M2506" t="s">
        <v>1710</v>
      </c>
      <c r="N2506" s="166">
        <v>19.46</v>
      </c>
      <c r="O2506" t="s">
        <v>131</v>
      </c>
    </row>
    <row r="2507" spans="1:15">
      <c r="A2507" s="166" t="s">
        <v>1992</v>
      </c>
      <c r="B2507" t="s">
        <v>111</v>
      </c>
      <c r="C2507" t="s">
        <v>136</v>
      </c>
      <c r="D2507" t="s">
        <v>118</v>
      </c>
      <c r="E2507" t="s">
        <v>668</v>
      </c>
      <c r="F2507" t="s">
        <v>7</v>
      </c>
      <c r="G2507" t="s">
        <v>130</v>
      </c>
      <c r="H2507" s="1">
        <v>46117</v>
      </c>
      <c r="I2507" t="s">
        <v>1993</v>
      </c>
      <c r="J2507" t="s">
        <v>1994</v>
      </c>
      <c r="K2507" t="s">
        <v>1085</v>
      </c>
      <c r="L2507" t="s">
        <v>515</v>
      </c>
      <c r="M2507" t="s">
        <v>1995</v>
      </c>
      <c r="N2507" s="166">
        <v>19.12</v>
      </c>
      <c r="O2507" t="s">
        <v>131</v>
      </c>
    </row>
    <row r="2508" spans="1:15">
      <c r="A2508" s="166" t="s">
        <v>1996</v>
      </c>
      <c r="B2508" t="s">
        <v>111</v>
      </c>
      <c r="C2508" t="s">
        <v>406</v>
      </c>
      <c r="D2508" t="s">
        <v>118</v>
      </c>
      <c r="E2508" t="s">
        <v>668</v>
      </c>
      <c r="F2508" t="s">
        <v>7</v>
      </c>
      <c r="G2508" t="s">
        <v>130</v>
      </c>
      <c r="H2508" s="1">
        <v>46117</v>
      </c>
      <c r="I2508" t="s">
        <v>1997</v>
      </c>
      <c r="J2508" t="s">
        <v>1998</v>
      </c>
      <c r="K2508" t="s">
        <v>1999</v>
      </c>
      <c r="L2508" t="s">
        <v>1862</v>
      </c>
      <c r="M2508" t="s">
        <v>174</v>
      </c>
      <c r="N2508" s="166">
        <v>14.82</v>
      </c>
      <c r="O2508" t="s">
        <v>131</v>
      </c>
    </row>
    <row r="2509" spans="1:15">
      <c r="A2509" s="166" t="s">
        <v>2000</v>
      </c>
      <c r="B2509" t="s">
        <v>111</v>
      </c>
      <c r="C2509" t="s">
        <v>133</v>
      </c>
      <c r="D2509" t="s">
        <v>118</v>
      </c>
      <c r="E2509" t="s">
        <v>668</v>
      </c>
      <c r="F2509" t="s">
        <v>7</v>
      </c>
      <c r="G2509" t="s">
        <v>130</v>
      </c>
      <c r="H2509" s="1">
        <v>46117</v>
      </c>
      <c r="I2509" t="s">
        <v>2001</v>
      </c>
      <c r="J2509" t="s">
        <v>2002</v>
      </c>
      <c r="K2509" t="s">
        <v>2003</v>
      </c>
      <c r="L2509" t="s">
        <v>2004</v>
      </c>
      <c r="M2509" t="s">
        <v>157</v>
      </c>
      <c r="N2509" s="166">
        <v>14.96</v>
      </c>
      <c r="O2509" t="s">
        <v>131</v>
      </c>
    </row>
    <row r="2510" spans="1:15">
      <c r="A2510" s="166" t="s">
        <v>2005</v>
      </c>
      <c r="B2510" t="s">
        <v>111</v>
      </c>
      <c r="C2510" t="s">
        <v>641</v>
      </c>
      <c r="D2510" t="s">
        <v>118</v>
      </c>
      <c r="E2510" t="s">
        <v>668</v>
      </c>
      <c r="F2510" t="s">
        <v>7</v>
      </c>
      <c r="G2510" t="s">
        <v>130</v>
      </c>
      <c r="H2510" s="1">
        <v>46117</v>
      </c>
      <c r="I2510" t="s">
        <v>2006</v>
      </c>
      <c r="J2510" t="s">
        <v>2007</v>
      </c>
      <c r="K2510" t="s">
        <v>1154</v>
      </c>
      <c r="L2510" t="s">
        <v>2004</v>
      </c>
      <c r="M2510" t="s">
        <v>2008</v>
      </c>
      <c r="N2510" s="166">
        <v>19.04</v>
      </c>
      <c r="O2510" t="s">
        <v>131</v>
      </c>
    </row>
    <row r="2511" spans="1:15">
      <c r="A2511" s="166" t="s">
        <v>2009</v>
      </c>
      <c r="B2511" t="s">
        <v>111</v>
      </c>
      <c r="C2511" t="s">
        <v>135</v>
      </c>
      <c r="D2511" t="s">
        <v>118</v>
      </c>
      <c r="E2511" t="s">
        <v>668</v>
      </c>
      <c r="F2511" t="s">
        <v>7</v>
      </c>
      <c r="G2511" t="s">
        <v>130</v>
      </c>
      <c r="H2511" s="1">
        <v>46117</v>
      </c>
      <c r="I2511" t="s">
        <v>2010</v>
      </c>
      <c r="J2511" t="s">
        <v>2011</v>
      </c>
      <c r="K2511" t="s">
        <v>1300</v>
      </c>
      <c r="L2511" t="s">
        <v>152</v>
      </c>
      <c r="M2511" t="s">
        <v>1577</v>
      </c>
      <c r="N2511" s="166">
        <v>19.22</v>
      </c>
      <c r="O2511" t="s">
        <v>131</v>
      </c>
    </row>
    <row r="2512" spans="1:15">
      <c r="A2512" s="166" t="s">
        <v>2012</v>
      </c>
      <c r="B2512" t="s">
        <v>111</v>
      </c>
      <c r="C2512" t="s">
        <v>134</v>
      </c>
      <c r="D2512" t="s">
        <v>118</v>
      </c>
      <c r="E2512" t="s">
        <v>668</v>
      </c>
      <c r="F2512" t="s">
        <v>7</v>
      </c>
      <c r="G2512" t="s">
        <v>130</v>
      </c>
      <c r="H2512" s="1">
        <v>46117</v>
      </c>
      <c r="I2512" t="s">
        <v>2013</v>
      </c>
      <c r="J2512" t="s">
        <v>2014</v>
      </c>
      <c r="K2512" t="s">
        <v>1342</v>
      </c>
      <c r="L2512" t="s">
        <v>1662</v>
      </c>
      <c r="M2512" t="s">
        <v>1926</v>
      </c>
      <c r="N2512" s="166">
        <v>18.2</v>
      </c>
      <c r="O2512" t="s">
        <v>131</v>
      </c>
    </row>
    <row r="2513" spans="1:15">
      <c r="A2513" s="166" t="s">
        <v>2015</v>
      </c>
      <c r="B2513" t="s">
        <v>111</v>
      </c>
      <c r="C2513" t="s">
        <v>136</v>
      </c>
      <c r="D2513" t="s">
        <v>118</v>
      </c>
      <c r="E2513" t="s">
        <v>668</v>
      </c>
      <c r="F2513" t="s">
        <v>7</v>
      </c>
      <c r="G2513" t="s">
        <v>130</v>
      </c>
      <c r="H2513" s="1">
        <v>46117</v>
      </c>
      <c r="I2513" t="s">
        <v>2016</v>
      </c>
      <c r="J2513" t="s">
        <v>2017</v>
      </c>
      <c r="K2513" t="s">
        <v>2018</v>
      </c>
      <c r="L2513" t="s">
        <v>1835</v>
      </c>
      <c r="M2513" t="s">
        <v>2019</v>
      </c>
      <c r="N2513" s="166">
        <v>17.12</v>
      </c>
      <c r="O2513" t="s">
        <v>131</v>
      </c>
    </row>
    <row r="2514" spans="1:15">
      <c r="A2514" s="166" t="s">
        <v>2020</v>
      </c>
      <c r="B2514" t="s">
        <v>111</v>
      </c>
      <c r="C2514" t="s">
        <v>406</v>
      </c>
      <c r="D2514" t="s">
        <v>118</v>
      </c>
      <c r="E2514" t="s">
        <v>668</v>
      </c>
      <c r="F2514" t="s">
        <v>7</v>
      </c>
      <c r="G2514" t="s">
        <v>130</v>
      </c>
      <c r="H2514" s="1">
        <v>46117</v>
      </c>
      <c r="I2514" t="s">
        <v>2021</v>
      </c>
      <c r="J2514" t="s">
        <v>2022</v>
      </c>
      <c r="K2514" t="s">
        <v>2023</v>
      </c>
      <c r="L2514" t="s">
        <v>870</v>
      </c>
      <c r="M2514" t="s">
        <v>2024</v>
      </c>
      <c r="N2514" s="166">
        <v>17.78</v>
      </c>
      <c r="O2514" t="s">
        <v>131</v>
      </c>
    </row>
    <row r="2515" spans="1:15">
      <c r="A2515" s="166" t="s">
        <v>2025</v>
      </c>
      <c r="B2515" t="s">
        <v>111</v>
      </c>
      <c r="C2515" t="s">
        <v>133</v>
      </c>
      <c r="D2515" t="s">
        <v>118</v>
      </c>
      <c r="E2515" t="s">
        <v>668</v>
      </c>
      <c r="F2515" t="s">
        <v>7</v>
      </c>
      <c r="G2515" t="s">
        <v>130</v>
      </c>
      <c r="H2515" s="1">
        <v>46117</v>
      </c>
      <c r="I2515" t="s">
        <v>2026</v>
      </c>
      <c r="J2515" t="s">
        <v>2027</v>
      </c>
      <c r="K2515" t="s">
        <v>178</v>
      </c>
      <c r="L2515" t="s">
        <v>1662</v>
      </c>
      <c r="M2515" t="s">
        <v>1802</v>
      </c>
      <c r="N2515" s="166">
        <v>19.399999999999999</v>
      </c>
      <c r="O2515" t="s">
        <v>131</v>
      </c>
    </row>
    <row r="2516" spans="1:15">
      <c r="A2516" s="166" t="s">
        <v>2028</v>
      </c>
      <c r="B2516" t="s">
        <v>111</v>
      </c>
      <c r="C2516" t="s">
        <v>641</v>
      </c>
      <c r="D2516" t="s">
        <v>118</v>
      </c>
      <c r="E2516" t="s">
        <v>668</v>
      </c>
      <c r="F2516" t="s">
        <v>7</v>
      </c>
      <c r="G2516" t="s">
        <v>130</v>
      </c>
      <c r="H2516" s="1">
        <v>46117</v>
      </c>
      <c r="I2516" t="s">
        <v>2029</v>
      </c>
      <c r="J2516" t="s">
        <v>2030</v>
      </c>
      <c r="K2516" t="s">
        <v>1146</v>
      </c>
      <c r="L2516" t="s">
        <v>730</v>
      </c>
      <c r="M2516" t="s">
        <v>169</v>
      </c>
      <c r="N2516" s="166">
        <v>16.8</v>
      </c>
      <c r="O2516" t="s">
        <v>131</v>
      </c>
    </row>
    <row r="2517" spans="1:15">
      <c r="A2517" s="166" t="s">
        <v>2031</v>
      </c>
      <c r="B2517" t="s">
        <v>111</v>
      </c>
      <c r="C2517" t="s">
        <v>135</v>
      </c>
      <c r="D2517" t="s">
        <v>118</v>
      </c>
      <c r="E2517" t="s">
        <v>668</v>
      </c>
      <c r="F2517" t="s">
        <v>7</v>
      </c>
      <c r="G2517" t="s">
        <v>130</v>
      </c>
      <c r="H2517" s="1">
        <v>46117</v>
      </c>
      <c r="I2517" t="s">
        <v>2032</v>
      </c>
      <c r="J2517" t="s">
        <v>2033</v>
      </c>
      <c r="K2517" t="s">
        <v>1453</v>
      </c>
      <c r="L2517" t="s">
        <v>163</v>
      </c>
      <c r="M2517" t="s">
        <v>2034</v>
      </c>
      <c r="N2517" s="166">
        <v>17.72</v>
      </c>
      <c r="O2517" t="s">
        <v>131</v>
      </c>
    </row>
    <row r="2518" spans="1:15">
      <c r="A2518" s="166" t="s">
        <v>2035</v>
      </c>
      <c r="B2518" t="s">
        <v>111</v>
      </c>
      <c r="C2518" t="s">
        <v>136</v>
      </c>
      <c r="D2518" t="s">
        <v>118</v>
      </c>
      <c r="E2518" t="s">
        <v>668</v>
      </c>
      <c r="F2518" t="s">
        <v>7</v>
      </c>
      <c r="G2518" t="s">
        <v>130</v>
      </c>
      <c r="H2518" s="1">
        <v>46117</v>
      </c>
      <c r="I2518" t="s">
        <v>2036</v>
      </c>
      <c r="J2518" t="s">
        <v>2037</v>
      </c>
      <c r="K2518" t="s">
        <v>621</v>
      </c>
      <c r="L2518" t="s">
        <v>1499</v>
      </c>
      <c r="M2518" t="s">
        <v>2038</v>
      </c>
      <c r="N2518" s="166">
        <v>21.08</v>
      </c>
      <c r="O2518" t="s">
        <v>131</v>
      </c>
    </row>
    <row r="2519" spans="1:15">
      <c r="A2519" s="166" t="s">
        <v>2039</v>
      </c>
      <c r="B2519" t="s">
        <v>111</v>
      </c>
      <c r="C2519" t="s">
        <v>406</v>
      </c>
      <c r="D2519" t="s">
        <v>118</v>
      </c>
      <c r="E2519" t="s">
        <v>668</v>
      </c>
      <c r="F2519" t="s">
        <v>7</v>
      </c>
      <c r="G2519" t="s">
        <v>130</v>
      </c>
      <c r="H2519" s="1">
        <v>46117</v>
      </c>
      <c r="I2519" t="s">
        <v>2040</v>
      </c>
      <c r="J2519" t="s">
        <v>2041</v>
      </c>
      <c r="K2519" t="s">
        <v>2042</v>
      </c>
      <c r="L2519" t="s">
        <v>901</v>
      </c>
      <c r="M2519" t="s">
        <v>504</v>
      </c>
      <c r="N2519" s="166">
        <v>23.16</v>
      </c>
      <c r="O2519" t="s">
        <v>131</v>
      </c>
    </row>
    <row r="2520" spans="1:15">
      <c r="A2520" s="166" t="s">
        <v>2043</v>
      </c>
      <c r="B2520" t="s">
        <v>111</v>
      </c>
      <c r="C2520" t="s">
        <v>134</v>
      </c>
      <c r="D2520" t="s">
        <v>118</v>
      </c>
      <c r="E2520" t="s">
        <v>668</v>
      </c>
      <c r="F2520" t="s">
        <v>7</v>
      </c>
      <c r="G2520" t="s">
        <v>130</v>
      </c>
      <c r="H2520" s="1">
        <v>46117</v>
      </c>
      <c r="I2520" t="s">
        <v>2044</v>
      </c>
      <c r="J2520" t="s">
        <v>2045</v>
      </c>
      <c r="K2520" t="s">
        <v>1533</v>
      </c>
      <c r="L2520" t="s">
        <v>672</v>
      </c>
      <c r="M2520" t="s">
        <v>2046</v>
      </c>
      <c r="N2520" s="166">
        <v>19.16</v>
      </c>
      <c r="O2520" t="s">
        <v>131</v>
      </c>
    </row>
    <row r="2521" spans="1:15">
      <c r="A2521" s="166" t="s">
        <v>2047</v>
      </c>
      <c r="B2521" t="s">
        <v>111</v>
      </c>
      <c r="C2521" t="s">
        <v>641</v>
      </c>
      <c r="D2521" t="s">
        <v>118</v>
      </c>
      <c r="E2521" t="s">
        <v>668</v>
      </c>
      <c r="F2521" t="s">
        <v>7</v>
      </c>
      <c r="G2521" t="s">
        <v>130</v>
      </c>
      <c r="H2521" s="1">
        <v>46117</v>
      </c>
      <c r="I2521" t="s">
        <v>2048</v>
      </c>
      <c r="J2521" t="s">
        <v>2049</v>
      </c>
      <c r="K2521" t="s">
        <v>2050</v>
      </c>
      <c r="L2521" t="s">
        <v>730</v>
      </c>
      <c r="M2521" t="s">
        <v>1328</v>
      </c>
      <c r="N2521" s="166">
        <v>19.54</v>
      </c>
      <c r="O2521" t="s">
        <v>131</v>
      </c>
    </row>
    <row r="2522" spans="1:15">
      <c r="A2522" s="166" t="s">
        <v>2051</v>
      </c>
      <c r="B2522" t="s">
        <v>111</v>
      </c>
      <c r="C2522" t="s">
        <v>135</v>
      </c>
      <c r="D2522" t="s">
        <v>118</v>
      </c>
      <c r="E2522" t="s">
        <v>668</v>
      </c>
      <c r="F2522" t="s">
        <v>7</v>
      </c>
      <c r="G2522" t="s">
        <v>130</v>
      </c>
      <c r="H2522" s="1">
        <v>46117</v>
      </c>
      <c r="I2522" t="s">
        <v>2052</v>
      </c>
      <c r="J2522" t="s">
        <v>2053</v>
      </c>
      <c r="K2522" t="s">
        <v>2054</v>
      </c>
      <c r="L2522" t="s">
        <v>155</v>
      </c>
      <c r="M2522" t="s">
        <v>1252</v>
      </c>
      <c r="N2522" s="166">
        <v>18.36</v>
      </c>
      <c r="O2522" t="s">
        <v>131</v>
      </c>
    </row>
    <row r="2523" spans="1:15">
      <c r="A2523" s="166" t="s">
        <v>2055</v>
      </c>
      <c r="B2523" t="s">
        <v>111</v>
      </c>
      <c r="C2523" t="s">
        <v>133</v>
      </c>
      <c r="D2523" t="s">
        <v>118</v>
      </c>
      <c r="E2523" t="s">
        <v>668</v>
      </c>
      <c r="F2523" t="s">
        <v>7</v>
      </c>
      <c r="G2523" t="s">
        <v>130</v>
      </c>
      <c r="H2523" s="1">
        <v>46117</v>
      </c>
      <c r="I2523" t="s">
        <v>2056</v>
      </c>
      <c r="J2523" t="s">
        <v>2057</v>
      </c>
      <c r="K2523" t="s">
        <v>1987</v>
      </c>
      <c r="L2523" t="s">
        <v>2058</v>
      </c>
      <c r="M2523" t="s">
        <v>1263</v>
      </c>
      <c r="N2523" s="166">
        <v>18.48</v>
      </c>
      <c r="O2523" t="s">
        <v>131</v>
      </c>
    </row>
    <row r="2524" spans="1:15">
      <c r="A2524" s="166" t="s">
        <v>2059</v>
      </c>
      <c r="B2524" t="s">
        <v>111</v>
      </c>
      <c r="C2524" t="s">
        <v>136</v>
      </c>
      <c r="D2524" t="s">
        <v>118</v>
      </c>
      <c r="E2524" t="s">
        <v>668</v>
      </c>
      <c r="F2524" t="s">
        <v>7</v>
      </c>
      <c r="G2524" t="s">
        <v>130</v>
      </c>
      <c r="H2524" s="1">
        <v>46117</v>
      </c>
      <c r="I2524" t="s">
        <v>2060</v>
      </c>
      <c r="J2524" t="s">
        <v>2061</v>
      </c>
      <c r="K2524" t="s">
        <v>2062</v>
      </c>
      <c r="L2524" t="s">
        <v>1499</v>
      </c>
      <c r="M2524" t="s">
        <v>1389</v>
      </c>
      <c r="N2524" s="166">
        <v>18.54</v>
      </c>
      <c r="O2524" t="s">
        <v>131</v>
      </c>
    </row>
    <row r="2525" spans="1:15">
      <c r="A2525" s="166" t="s">
        <v>2063</v>
      </c>
      <c r="B2525" t="s">
        <v>111</v>
      </c>
      <c r="C2525" t="s">
        <v>406</v>
      </c>
      <c r="D2525" t="s">
        <v>118</v>
      </c>
      <c r="E2525" t="s">
        <v>668</v>
      </c>
      <c r="F2525" t="s">
        <v>7</v>
      </c>
      <c r="G2525" t="s">
        <v>130</v>
      </c>
      <c r="H2525" s="1">
        <v>46117</v>
      </c>
      <c r="I2525" t="s">
        <v>2064</v>
      </c>
      <c r="J2525" t="s">
        <v>2065</v>
      </c>
      <c r="K2525" t="s">
        <v>2066</v>
      </c>
      <c r="L2525" t="s">
        <v>870</v>
      </c>
      <c r="M2525" t="s">
        <v>2067</v>
      </c>
      <c r="N2525" s="166">
        <v>18.559999999999999</v>
      </c>
      <c r="O2525" t="s">
        <v>131</v>
      </c>
    </row>
    <row r="2526" spans="1:15">
      <c r="A2526" s="166" t="s">
        <v>2068</v>
      </c>
      <c r="B2526" t="s">
        <v>111</v>
      </c>
      <c r="C2526" t="s">
        <v>134</v>
      </c>
      <c r="D2526" t="s">
        <v>118</v>
      </c>
      <c r="E2526" t="s">
        <v>668</v>
      </c>
      <c r="F2526" t="s">
        <v>7</v>
      </c>
      <c r="G2526" t="s">
        <v>130</v>
      </c>
      <c r="H2526" s="1">
        <v>46117</v>
      </c>
      <c r="I2526" t="s">
        <v>2069</v>
      </c>
      <c r="J2526" t="s">
        <v>2070</v>
      </c>
      <c r="K2526" t="s">
        <v>1172</v>
      </c>
      <c r="L2526" t="s">
        <v>672</v>
      </c>
      <c r="M2526" t="s">
        <v>2071</v>
      </c>
      <c r="N2526" s="166">
        <v>18.38</v>
      </c>
      <c r="O2526" t="s">
        <v>131</v>
      </c>
    </row>
    <row r="2527" spans="1:15">
      <c r="A2527" s="166" t="s">
        <v>2072</v>
      </c>
      <c r="B2527" t="s">
        <v>111</v>
      </c>
      <c r="C2527" t="s">
        <v>641</v>
      </c>
      <c r="D2527" t="s">
        <v>118</v>
      </c>
      <c r="E2527" t="s">
        <v>668</v>
      </c>
      <c r="F2527" t="s">
        <v>7</v>
      </c>
      <c r="G2527" t="s">
        <v>130</v>
      </c>
      <c r="H2527" s="1">
        <v>46117</v>
      </c>
      <c r="I2527" t="s">
        <v>2073</v>
      </c>
      <c r="J2527" t="s">
        <v>2074</v>
      </c>
      <c r="K2527" t="s">
        <v>1488</v>
      </c>
      <c r="L2527" t="s">
        <v>730</v>
      </c>
      <c r="M2527" t="s">
        <v>2075</v>
      </c>
      <c r="N2527" s="166">
        <v>18.12</v>
      </c>
      <c r="O2527" t="s">
        <v>131</v>
      </c>
    </row>
    <row r="2528" spans="1:15">
      <c r="A2528" s="166" t="s">
        <v>2076</v>
      </c>
      <c r="B2528" t="s">
        <v>111</v>
      </c>
      <c r="C2528" t="s">
        <v>135</v>
      </c>
      <c r="D2528" t="s">
        <v>118</v>
      </c>
      <c r="E2528" t="s">
        <v>668</v>
      </c>
      <c r="F2528" t="s">
        <v>7</v>
      </c>
      <c r="G2528" t="s">
        <v>130</v>
      </c>
      <c r="H2528" s="1">
        <v>46117</v>
      </c>
      <c r="I2528" t="s">
        <v>2077</v>
      </c>
      <c r="J2528" t="s">
        <v>2078</v>
      </c>
      <c r="K2528" t="s">
        <v>2079</v>
      </c>
      <c r="L2528" t="s">
        <v>203</v>
      </c>
      <c r="M2528" t="s">
        <v>1657</v>
      </c>
      <c r="N2528" s="166">
        <v>22.8</v>
      </c>
      <c r="O2528" t="s">
        <v>131</v>
      </c>
    </row>
    <row r="2529" spans="1:15">
      <c r="A2529" s="166" t="s">
        <v>2080</v>
      </c>
      <c r="B2529" t="s">
        <v>111</v>
      </c>
      <c r="C2529" t="s">
        <v>133</v>
      </c>
      <c r="D2529" t="s">
        <v>118</v>
      </c>
      <c r="E2529" t="s">
        <v>668</v>
      </c>
      <c r="F2529" t="s">
        <v>7</v>
      </c>
      <c r="G2529" t="s">
        <v>130</v>
      </c>
      <c r="H2529" s="1">
        <v>46117</v>
      </c>
      <c r="I2529" t="s">
        <v>2081</v>
      </c>
      <c r="J2529" t="s">
        <v>2082</v>
      </c>
      <c r="K2529" t="s">
        <v>528</v>
      </c>
      <c r="L2529" t="s">
        <v>907</v>
      </c>
      <c r="M2529" t="s">
        <v>226</v>
      </c>
      <c r="N2529" s="166">
        <v>20.2</v>
      </c>
      <c r="O2529" t="s">
        <v>131</v>
      </c>
    </row>
    <row r="2530" spans="1:15">
      <c r="A2530" s="166" t="s">
        <v>2083</v>
      </c>
      <c r="B2530" t="s">
        <v>111</v>
      </c>
      <c r="C2530" t="s">
        <v>136</v>
      </c>
      <c r="D2530" t="s">
        <v>118</v>
      </c>
      <c r="E2530" t="s">
        <v>668</v>
      </c>
      <c r="F2530" t="s">
        <v>7</v>
      </c>
      <c r="G2530" t="s">
        <v>130</v>
      </c>
      <c r="H2530" s="1">
        <v>46117</v>
      </c>
      <c r="I2530" t="s">
        <v>2084</v>
      </c>
      <c r="J2530" t="s">
        <v>2085</v>
      </c>
      <c r="K2530" t="s">
        <v>1332</v>
      </c>
      <c r="L2530" t="s">
        <v>1499</v>
      </c>
      <c r="M2530" t="s">
        <v>2086</v>
      </c>
      <c r="N2530" s="166">
        <v>19.559999999999999</v>
      </c>
      <c r="O2530" t="s">
        <v>131</v>
      </c>
    </row>
    <row r="2531" spans="1:15">
      <c r="A2531" s="166" t="s">
        <v>2087</v>
      </c>
      <c r="B2531" t="s">
        <v>111</v>
      </c>
      <c r="C2531" t="s">
        <v>406</v>
      </c>
      <c r="D2531" t="s">
        <v>118</v>
      </c>
      <c r="E2531" t="s">
        <v>668</v>
      </c>
      <c r="F2531" t="s">
        <v>7</v>
      </c>
      <c r="G2531" t="s">
        <v>130</v>
      </c>
      <c r="H2531" s="1">
        <v>46117</v>
      </c>
      <c r="I2531" t="s">
        <v>2088</v>
      </c>
      <c r="J2531" t="s">
        <v>2089</v>
      </c>
      <c r="K2531" t="s">
        <v>1933</v>
      </c>
      <c r="L2531" t="s">
        <v>2090</v>
      </c>
      <c r="M2531" t="s">
        <v>2091</v>
      </c>
      <c r="N2531" s="166">
        <v>18.02</v>
      </c>
      <c r="O2531" t="s">
        <v>131</v>
      </c>
    </row>
    <row r="2532" spans="1:15">
      <c r="A2532" s="166" t="s">
        <v>2092</v>
      </c>
      <c r="B2532" t="s">
        <v>111</v>
      </c>
      <c r="C2532" t="s">
        <v>134</v>
      </c>
      <c r="D2532" t="s">
        <v>118</v>
      </c>
      <c r="E2532" t="s">
        <v>668</v>
      </c>
      <c r="F2532" t="s">
        <v>7</v>
      </c>
      <c r="G2532" t="s">
        <v>130</v>
      </c>
      <c r="H2532" s="1">
        <v>46117</v>
      </c>
      <c r="I2532" t="s">
        <v>2093</v>
      </c>
      <c r="J2532" t="s">
        <v>2094</v>
      </c>
      <c r="K2532" t="s">
        <v>443</v>
      </c>
      <c r="L2532" t="s">
        <v>2095</v>
      </c>
      <c r="M2532" t="s">
        <v>2096</v>
      </c>
      <c r="N2532" s="166">
        <v>20.74</v>
      </c>
      <c r="O2532" t="s">
        <v>131</v>
      </c>
    </row>
    <row r="2533" spans="1:15">
      <c r="A2533" s="166" t="s">
        <v>2097</v>
      </c>
      <c r="B2533" t="s">
        <v>111</v>
      </c>
      <c r="C2533" t="s">
        <v>641</v>
      </c>
      <c r="D2533" t="s">
        <v>118</v>
      </c>
      <c r="E2533" t="s">
        <v>668</v>
      </c>
      <c r="F2533" t="s">
        <v>7</v>
      </c>
      <c r="G2533" t="s">
        <v>130</v>
      </c>
      <c r="H2533" s="1">
        <v>46117</v>
      </c>
      <c r="I2533" t="s">
        <v>2098</v>
      </c>
      <c r="J2533" t="s">
        <v>2099</v>
      </c>
      <c r="K2533" t="s">
        <v>217</v>
      </c>
      <c r="L2533" t="s">
        <v>772</v>
      </c>
      <c r="M2533" t="s">
        <v>2100</v>
      </c>
      <c r="N2533" s="166">
        <v>20.54</v>
      </c>
      <c r="O2533" t="s">
        <v>131</v>
      </c>
    </row>
    <row r="2534" spans="1:15">
      <c r="A2534" s="166" t="s">
        <v>2101</v>
      </c>
      <c r="B2534" t="s">
        <v>111</v>
      </c>
      <c r="C2534" t="s">
        <v>135</v>
      </c>
      <c r="D2534" t="s">
        <v>118</v>
      </c>
      <c r="E2534" t="s">
        <v>668</v>
      </c>
      <c r="F2534" t="s">
        <v>7</v>
      </c>
      <c r="G2534" t="s">
        <v>130</v>
      </c>
      <c r="H2534" s="1">
        <v>46117</v>
      </c>
      <c r="I2534" t="s">
        <v>2102</v>
      </c>
      <c r="J2534" t="s">
        <v>2103</v>
      </c>
      <c r="K2534" t="s">
        <v>1429</v>
      </c>
      <c r="L2534" t="s">
        <v>203</v>
      </c>
      <c r="M2534" t="s">
        <v>1682</v>
      </c>
      <c r="N2534" s="166">
        <v>19.82</v>
      </c>
      <c r="O2534" t="s">
        <v>131</v>
      </c>
    </row>
    <row r="2535" spans="1:15">
      <c r="A2535" s="166" t="s">
        <v>2104</v>
      </c>
      <c r="B2535" t="s">
        <v>111</v>
      </c>
      <c r="C2535" t="s">
        <v>133</v>
      </c>
      <c r="D2535" t="s">
        <v>118</v>
      </c>
      <c r="E2535" t="s">
        <v>668</v>
      </c>
      <c r="F2535" t="s">
        <v>7</v>
      </c>
      <c r="G2535" t="s">
        <v>130</v>
      </c>
      <c r="H2535" s="1">
        <v>46117</v>
      </c>
      <c r="I2535" t="s">
        <v>2105</v>
      </c>
      <c r="J2535" t="s">
        <v>2106</v>
      </c>
      <c r="K2535" t="s">
        <v>1056</v>
      </c>
      <c r="L2535" t="s">
        <v>907</v>
      </c>
      <c r="M2535" t="s">
        <v>1529</v>
      </c>
      <c r="N2535" s="166">
        <v>19.88</v>
      </c>
      <c r="O2535" t="s">
        <v>131</v>
      </c>
    </row>
    <row r="2536" spans="1:15">
      <c r="A2536" s="166" t="s">
        <v>2107</v>
      </c>
      <c r="B2536" t="s">
        <v>111</v>
      </c>
      <c r="C2536" t="s">
        <v>136</v>
      </c>
      <c r="D2536" t="s">
        <v>118</v>
      </c>
      <c r="E2536" t="s">
        <v>668</v>
      </c>
      <c r="F2536" t="s">
        <v>7</v>
      </c>
      <c r="G2536" t="s">
        <v>130</v>
      </c>
      <c r="H2536" s="1">
        <v>46117</v>
      </c>
      <c r="I2536" t="s">
        <v>2108</v>
      </c>
      <c r="J2536" t="s">
        <v>2109</v>
      </c>
      <c r="K2536" t="s">
        <v>1581</v>
      </c>
      <c r="L2536" t="s">
        <v>1503</v>
      </c>
      <c r="M2536" t="s">
        <v>1237</v>
      </c>
      <c r="N2536" s="166">
        <v>20.059999999999999</v>
      </c>
      <c r="O2536" t="s">
        <v>131</v>
      </c>
    </row>
    <row r="2537" spans="1:15">
      <c r="A2537" s="166" t="s">
        <v>2110</v>
      </c>
      <c r="B2537" t="s">
        <v>111</v>
      </c>
      <c r="C2537" t="s">
        <v>406</v>
      </c>
      <c r="D2537" t="s">
        <v>118</v>
      </c>
      <c r="E2537" t="s">
        <v>668</v>
      </c>
      <c r="F2537" t="s">
        <v>7</v>
      </c>
      <c r="G2537" t="s">
        <v>130</v>
      </c>
      <c r="H2537" s="1">
        <v>46117</v>
      </c>
      <c r="I2537" t="s">
        <v>2111</v>
      </c>
      <c r="J2537" t="s">
        <v>2112</v>
      </c>
      <c r="K2537" t="s">
        <v>554</v>
      </c>
      <c r="L2537" t="s">
        <v>1177</v>
      </c>
      <c r="M2537" t="s">
        <v>1587</v>
      </c>
      <c r="N2537" s="166">
        <v>20.5</v>
      </c>
      <c r="O2537" t="s">
        <v>131</v>
      </c>
    </row>
    <row r="2538" spans="1:15">
      <c r="A2538" s="166" t="s">
        <v>2113</v>
      </c>
      <c r="B2538" t="s">
        <v>111</v>
      </c>
      <c r="C2538" t="s">
        <v>134</v>
      </c>
      <c r="D2538" t="s">
        <v>118</v>
      </c>
      <c r="E2538" t="s">
        <v>668</v>
      </c>
      <c r="F2538" t="s">
        <v>7</v>
      </c>
      <c r="G2538" t="s">
        <v>130</v>
      </c>
      <c r="H2538" s="1">
        <v>46117</v>
      </c>
      <c r="I2538" t="s">
        <v>2114</v>
      </c>
      <c r="J2538" t="s">
        <v>2115</v>
      </c>
      <c r="K2538" t="s">
        <v>638</v>
      </c>
      <c r="L2538" t="s">
        <v>2058</v>
      </c>
      <c r="M2538" t="s">
        <v>2116</v>
      </c>
      <c r="N2538" s="166">
        <v>20.46</v>
      </c>
      <c r="O2538" t="s">
        <v>131</v>
      </c>
    </row>
    <row r="2539" spans="1:15">
      <c r="A2539" s="166" t="s">
        <v>2117</v>
      </c>
      <c r="B2539" t="s">
        <v>111</v>
      </c>
      <c r="C2539" t="s">
        <v>641</v>
      </c>
      <c r="D2539" t="s">
        <v>118</v>
      </c>
      <c r="E2539" t="s">
        <v>668</v>
      </c>
      <c r="F2539" t="s">
        <v>7</v>
      </c>
      <c r="G2539" t="s">
        <v>130</v>
      </c>
      <c r="H2539" s="1">
        <v>46117</v>
      </c>
      <c r="I2539" t="s">
        <v>2118</v>
      </c>
      <c r="J2539" t="s">
        <v>2119</v>
      </c>
      <c r="K2539" t="s">
        <v>206</v>
      </c>
      <c r="L2539" t="s">
        <v>786</v>
      </c>
      <c r="M2539" t="s">
        <v>2038</v>
      </c>
      <c r="N2539" s="166">
        <v>21.08</v>
      </c>
      <c r="O2539" t="s">
        <v>131</v>
      </c>
    </row>
    <row r="2540" spans="1:15">
      <c r="A2540" s="166" t="s">
        <v>2120</v>
      </c>
      <c r="B2540" t="s">
        <v>111</v>
      </c>
      <c r="C2540" t="s">
        <v>135</v>
      </c>
      <c r="D2540" t="s">
        <v>118</v>
      </c>
      <c r="E2540" t="s">
        <v>668</v>
      </c>
      <c r="F2540" t="s">
        <v>7</v>
      </c>
      <c r="G2540" t="s">
        <v>130</v>
      </c>
      <c r="H2540" s="1">
        <v>46117</v>
      </c>
      <c r="I2540" t="s">
        <v>2121</v>
      </c>
      <c r="J2540" t="s">
        <v>2122</v>
      </c>
      <c r="K2540" t="s">
        <v>2123</v>
      </c>
      <c r="L2540" t="s">
        <v>165</v>
      </c>
      <c r="M2540" t="s">
        <v>2091</v>
      </c>
      <c r="N2540" s="166">
        <v>18.02</v>
      </c>
      <c r="O2540" t="s">
        <v>131</v>
      </c>
    </row>
    <row r="2541" spans="1:15">
      <c r="A2541" s="166" t="s">
        <v>2124</v>
      </c>
      <c r="B2541" t="s">
        <v>111</v>
      </c>
      <c r="C2541" t="s">
        <v>133</v>
      </c>
      <c r="D2541" t="s">
        <v>118</v>
      </c>
      <c r="E2541" t="s">
        <v>668</v>
      </c>
      <c r="F2541" t="s">
        <v>7</v>
      </c>
      <c r="G2541" t="s">
        <v>130</v>
      </c>
      <c r="H2541" s="1">
        <v>46117</v>
      </c>
      <c r="I2541" t="s">
        <v>2125</v>
      </c>
      <c r="J2541" t="s">
        <v>2126</v>
      </c>
      <c r="K2541" t="s">
        <v>1381</v>
      </c>
      <c r="L2541" t="s">
        <v>2127</v>
      </c>
      <c r="M2541" t="s">
        <v>2128</v>
      </c>
      <c r="N2541" s="166">
        <v>18.68</v>
      </c>
      <c r="O2541" t="s">
        <v>131</v>
      </c>
    </row>
    <row r="2542" spans="1:15">
      <c r="A2542" s="166" t="s">
        <v>2129</v>
      </c>
      <c r="B2542" t="s">
        <v>111</v>
      </c>
      <c r="C2542" t="s">
        <v>136</v>
      </c>
      <c r="D2542" t="s">
        <v>118</v>
      </c>
      <c r="E2542" t="s">
        <v>668</v>
      </c>
      <c r="F2542" t="s">
        <v>7</v>
      </c>
      <c r="G2542" t="s">
        <v>130</v>
      </c>
      <c r="H2542" s="1">
        <v>46117</v>
      </c>
      <c r="I2542" t="s">
        <v>2130</v>
      </c>
      <c r="J2542" t="s">
        <v>2131</v>
      </c>
      <c r="K2542" t="s">
        <v>1144</v>
      </c>
      <c r="L2542" t="s">
        <v>584</v>
      </c>
      <c r="M2542" t="s">
        <v>1102</v>
      </c>
      <c r="N2542" s="166">
        <v>18.88</v>
      </c>
      <c r="O2542" t="s">
        <v>131</v>
      </c>
    </row>
    <row r="2543" spans="1:15">
      <c r="A2543" s="166" t="s">
        <v>2132</v>
      </c>
      <c r="B2543" t="s">
        <v>111</v>
      </c>
      <c r="C2543" t="s">
        <v>406</v>
      </c>
      <c r="D2543" t="s">
        <v>118</v>
      </c>
      <c r="E2543" t="s">
        <v>668</v>
      </c>
      <c r="F2543" t="s">
        <v>7</v>
      </c>
      <c r="G2543" t="s">
        <v>130</v>
      </c>
      <c r="H2543" s="1">
        <v>46117</v>
      </c>
      <c r="I2543" t="s">
        <v>2133</v>
      </c>
      <c r="J2543" t="s">
        <v>2134</v>
      </c>
      <c r="K2543" t="s">
        <v>2135</v>
      </c>
      <c r="L2543" t="s">
        <v>1062</v>
      </c>
      <c r="M2543" t="s">
        <v>2071</v>
      </c>
      <c r="N2543" s="166">
        <v>18.38</v>
      </c>
      <c r="O2543" t="s">
        <v>131</v>
      </c>
    </row>
    <row r="2544" spans="1:15">
      <c r="A2544" s="166" t="s">
        <v>2136</v>
      </c>
      <c r="B2544" t="s">
        <v>111</v>
      </c>
      <c r="C2544" t="s">
        <v>134</v>
      </c>
      <c r="D2544" t="s">
        <v>118</v>
      </c>
      <c r="E2544" t="s">
        <v>668</v>
      </c>
      <c r="F2544" t="s">
        <v>7</v>
      </c>
      <c r="G2544" t="s">
        <v>130</v>
      </c>
      <c r="H2544" s="1">
        <v>46117</v>
      </c>
      <c r="I2544" t="s">
        <v>2137</v>
      </c>
      <c r="J2544" t="s">
        <v>2138</v>
      </c>
      <c r="K2544" t="s">
        <v>1801</v>
      </c>
      <c r="L2544" t="s">
        <v>907</v>
      </c>
      <c r="M2544" t="s">
        <v>1252</v>
      </c>
      <c r="N2544" s="166">
        <v>18.36</v>
      </c>
      <c r="O2544" t="s">
        <v>131</v>
      </c>
    </row>
    <row r="2545" spans="1:15">
      <c r="A2545" s="166" t="s">
        <v>2139</v>
      </c>
      <c r="B2545" t="s">
        <v>111</v>
      </c>
      <c r="C2545" t="s">
        <v>641</v>
      </c>
      <c r="D2545" t="s">
        <v>118</v>
      </c>
      <c r="E2545" t="s">
        <v>668</v>
      </c>
      <c r="F2545" t="s">
        <v>7</v>
      </c>
      <c r="G2545" t="s">
        <v>130</v>
      </c>
      <c r="H2545" s="1">
        <v>46117</v>
      </c>
      <c r="I2545" t="s">
        <v>2140</v>
      </c>
      <c r="J2545" t="s">
        <v>2141</v>
      </c>
      <c r="K2545" t="s">
        <v>2142</v>
      </c>
      <c r="L2545" t="s">
        <v>714</v>
      </c>
      <c r="M2545" t="s">
        <v>2143</v>
      </c>
      <c r="N2545" s="166">
        <v>17.600000000000001</v>
      </c>
      <c r="O2545" t="s">
        <v>131</v>
      </c>
    </row>
    <row r="2546" spans="1:15">
      <c r="A2546" s="166" t="s">
        <v>2144</v>
      </c>
      <c r="B2546" t="s">
        <v>111</v>
      </c>
      <c r="C2546" t="s">
        <v>135</v>
      </c>
      <c r="D2546" t="s">
        <v>118</v>
      </c>
      <c r="E2546" t="s">
        <v>668</v>
      </c>
      <c r="F2546" t="s">
        <v>7</v>
      </c>
      <c r="G2546" t="s">
        <v>130</v>
      </c>
      <c r="H2546" s="1">
        <v>46117</v>
      </c>
      <c r="I2546" t="s">
        <v>2145</v>
      </c>
      <c r="J2546" t="s">
        <v>2146</v>
      </c>
      <c r="K2546" t="s">
        <v>1172</v>
      </c>
      <c r="L2546" t="s">
        <v>168</v>
      </c>
      <c r="M2546" t="s">
        <v>1310</v>
      </c>
      <c r="N2546" s="166">
        <v>19.38</v>
      </c>
      <c r="O2546" t="s">
        <v>131</v>
      </c>
    </row>
    <row r="2547" spans="1:15">
      <c r="A2547" s="166" t="s">
        <v>2147</v>
      </c>
      <c r="B2547" t="s">
        <v>111</v>
      </c>
      <c r="C2547" t="s">
        <v>133</v>
      </c>
      <c r="D2547" t="s">
        <v>118</v>
      </c>
      <c r="E2547" t="s">
        <v>668</v>
      </c>
      <c r="F2547" t="s">
        <v>7</v>
      </c>
      <c r="G2547" t="s">
        <v>130</v>
      </c>
      <c r="H2547" s="1">
        <v>46117</v>
      </c>
      <c r="I2547" t="s">
        <v>2148</v>
      </c>
      <c r="J2547" t="s">
        <v>2149</v>
      </c>
      <c r="K2547" t="s">
        <v>2150</v>
      </c>
      <c r="L2547" t="s">
        <v>907</v>
      </c>
      <c r="M2547" t="s">
        <v>151</v>
      </c>
      <c r="N2547" s="166">
        <v>15.06</v>
      </c>
      <c r="O2547" t="s">
        <v>131</v>
      </c>
    </row>
    <row r="2548" spans="1:15">
      <c r="A2548" s="166" t="s">
        <v>2151</v>
      </c>
      <c r="B2548" t="s">
        <v>111</v>
      </c>
      <c r="C2548" t="s">
        <v>136</v>
      </c>
      <c r="D2548" t="s">
        <v>118</v>
      </c>
      <c r="E2548" t="s">
        <v>668</v>
      </c>
      <c r="F2548" t="s">
        <v>7</v>
      </c>
      <c r="G2548" t="s">
        <v>130</v>
      </c>
      <c r="H2548" s="1">
        <v>46117</v>
      </c>
      <c r="I2548" t="s">
        <v>2152</v>
      </c>
      <c r="J2548" t="s">
        <v>2153</v>
      </c>
      <c r="K2548" t="s">
        <v>1377</v>
      </c>
      <c r="L2548" t="s">
        <v>1499</v>
      </c>
      <c r="M2548" t="s">
        <v>2154</v>
      </c>
      <c r="N2548" s="166">
        <v>20.18</v>
      </c>
      <c r="O2548" t="s">
        <v>131</v>
      </c>
    </row>
    <row r="2549" spans="1:15">
      <c r="A2549" s="166" t="s">
        <v>2155</v>
      </c>
      <c r="B2549" t="s">
        <v>111</v>
      </c>
      <c r="C2549" t="s">
        <v>406</v>
      </c>
      <c r="D2549" t="s">
        <v>118</v>
      </c>
      <c r="E2549" t="s">
        <v>668</v>
      </c>
      <c r="F2549" t="s">
        <v>7</v>
      </c>
      <c r="G2549" t="s">
        <v>130</v>
      </c>
      <c r="H2549" s="1">
        <v>46117</v>
      </c>
      <c r="I2549" t="s">
        <v>2156</v>
      </c>
      <c r="J2549" t="s">
        <v>2157</v>
      </c>
      <c r="K2549" t="s">
        <v>1521</v>
      </c>
      <c r="L2549" t="s">
        <v>1062</v>
      </c>
      <c r="M2549" t="s">
        <v>2158</v>
      </c>
      <c r="N2549" s="166">
        <v>20.94</v>
      </c>
      <c r="O2549" t="s">
        <v>131</v>
      </c>
    </row>
    <row r="2550" spans="1:15">
      <c r="A2550" s="166" t="s">
        <v>2159</v>
      </c>
      <c r="B2550" t="s">
        <v>111</v>
      </c>
      <c r="C2550" t="s">
        <v>134</v>
      </c>
      <c r="D2550" t="s">
        <v>118</v>
      </c>
      <c r="E2550" t="s">
        <v>668</v>
      </c>
      <c r="F2550" t="s">
        <v>7</v>
      </c>
      <c r="G2550" t="s">
        <v>130</v>
      </c>
      <c r="H2550" s="1">
        <v>46117</v>
      </c>
      <c r="I2550" t="s">
        <v>2160</v>
      </c>
      <c r="J2550" t="s">
        <v>2161</v>
      </c>
      <c r="K2550" t="s">
        <v>2066</v>
      </c>
      <c r="L2550" t="s">
        <v>2095</v>
      </c>
      <c r="M2550" t="s">
        <v>791</v>
      </c>
      <c r="N2550" s="166">
        <v>19.079999999999998</v>
      </c>
      <c r="O2550" t="s">
        <v>131</v>
      </c>
    </row>
    <row r="2551" spans="1:15">
      <c r="A2551" s="166" t="s">
        <v>2162</v>
      </c>
      <c r="B2551" t="s">
        <v>111</v>
      </c>
      <c r="C2551" t="s">
        <v>641</v>
      </c>
      <c r="D2551" t="s">
        <v>118</v>
      </c>
      <c r="E2551" t="s">
        <v>668</v>
      </c>
      <c r="F2551" t="s">
        <v>7</v>
      </c>
      <c r="G2551" t="s">
        <v>130</v>
      </c>
      <c r="H2551" s="1">
        <v>46117</v>
      </c>
      <c r="I2551" t="s">
        <v>2163</v>
      </c>
      <c r="J2551" t="s">
        <v>2164</v>
      </c>
      <c r="K2551" t="s">
        <v>524</v>
      </c>
      <c r="L2551" t="s">
        <v>772</v>
      </c>
      <c r="M2551" t="s">
        <v>2165</v>
      </c>
      <c r="N2551" s="166">
        <v>21.26</v>
      </c>
      <c r="O2551" t="s">
        <v>131</v>
      </c>
    </row>
    <row r="2552" spans="1:15">
      <c r="A2552" s="166" t="s">
        <v>2166</v>
      </c>
      <c r="B2552" t="s">
        <v>111</v>
      </c>
      <c r="C2552" t="s">
        <v>133</v>
      </c>
      <c r="D2552" t="s">
        <v>118</v>
      </c>
      <c r="E2552" t="s">
        <v>668</v>
      </c>
      <c r="F2552" t="s">
        <v>7</v>
      </c>
      <c r="G2552" t="s">
        <v>130</v>
      </c>
      <c r="H2552" s="1">
        <v>46117</v>
      </c>
      <c r="I2552" t="s">
        <v>2167</v>
      </c>
      <c r="J2552" t="s">
        <v>2168</v>
      </c>
      <c r="K2552" t="s">
        <v>1697</v>
      </c>
      <c r="L2552" t="s">
        <v>2095</v>
      </c>
      <c r="M2552" t="s">
        <v>1267</v>
      </c>
      <c r="N2552" s="166">
        <v>19.68</v>
      </c>
      <c r="O2552" t="s">
        <v>131</v>
      </c>
    </row>
    <row r="2553" spans="1:15">
      <c r="A2553" s="166" t="s">
        <v>2169</v>
      </c>
      <c r="B2553" t="s">
        <v>111</v>
      </c>
      <c r="C2553" t="s">
        <v>135</v>
      </c>
      <c r="D2553" t="s">
        <v>118</v>
      </c>
      <c r="E2553" t="s">
        <v>668</v>
      </c>
      <c r="F2553" t="s">
        <v>7</v>
      </c>
      <c r="G2553" t="s">
        <v>130</v>
      </c>
      <c r="H2553" s="1">
        <v>46117</v>
      </c>
      <c r="I2553" t="s">
        <v>2170</v>
      </c>
      <c r="J2553" t="s">
        <v>2171</v>
      </c>
      <c r="K2553" t="s">
        <v>1144</v>
      </c>
      <c r="L2553" t="s">
        <v>203</v>
      </c>
      <c r="M2553" t="s">
        <v>1577</v>
      </c>
      <c r="N2553" s="166">
        <v>19.22</v>
      </c>
      <c r="O2553" t="s">
        <v>131</v>
      </c>
    </row>
    <row r="2554" spans="1:15">
      <c r="A2554" s="166" t="s">
        <v>2172</v>
      </c>
      <c r="B2554" t="s">
        <v>111</v>
      </c>
      <c r="C2554" t="s">
        <v>136</v>
      </c>
      <c r="D2554" t="s">
        <v>118</v>
      </c>
      <c r="E2554" t="s">
        <v>668</v>
      </c>
      <c r="F2554" t="s">
        <v>7</v>
      </c>
      <c r="G2554" t="s">
        <v>130</v>
      </c>
      <c r="H2554" s="1">
        <v>46117</v>
      </c>
      <c r="I2554" t="s">
        <v>2173</v>
      </c>
      <c r="J2554" t="s">
        <v>2174</v>
      </c>
      <c r="K2554" t="s">
        <v>217</v>
      </c>
      <c r="L2554" t="s">
        <v>845</v>
      </c>
      <c r="M2554" t="s">
        <v>2175</v>
      </c>
      <c r="N2554" s="166">
        <v>19.760000000000002</v>
      </c>
      <c r="O2554" t="s">
        <v>131</v>
      </c>
    </row>
    <row r="2555" spans="1:15">
      <c r="A2555" s="166" t="s">
        <v>2176</v>
      </c>
      <c r="B2555" t="s">
        <v>111</v>
      </c>
      <c r="C2555" t="s">
        <v>406</v>
      </c>
      <c r="D2555" t="s">
        <v>118</v>
      </c>
      <c r="E2555" t="s">
        <v>668</v>
      </c>
      <c r="F2555" t="s">
        <v>7</v>
      </c>
      <c r="G2555" t="s">
        <v>130</v>
      </c>
      <c r="H2555" s="1">
        <v>46117</v>
      </c>
      <c r="I2555" t="s">
        <v>2177</v>
      </c>
      <c r="J2555" t="s">
        <v>2178</v>
      </c>
      <c r="K2555" t="s">
        <v>2179</v>
      </c>
      <c r="L2555" t="s">
        <v>180</v>
      </c>
      <c r="M2555" t="s">
        <v>2180</v>
      </c>
      <c r="N2555" s="166">
        <v>20.9</v>
      </c>
      <c r="O2555" t="s">
        <v>131</v>
      </c>
    </row>
    <row r="2556" spans="1:15">
      <c r="A2556" s="166" t="s">
        <v>2181</v>
      </c>
      <c r="B2556" t="s">
        <v>111</v>
      </c>
      <c r="C2556" t="s">
        <v>134</v>
      </c>
      <c r="D2556" t="s">
        <v>118</v>
      </c>
      <c r="E2556" t="s">
        <v>668</v>
      </c>
      <c r="F2556" t="s">
        <v>7</v>
      </c>
      <c r="G2556" t="s">
        <v>130</v>
      </c>
      <c r="H2556" s="1">
        <v>46117</v>
      </c>
      <c r="I2556" t="s">
        <v>2182</v>
      </c>
      <c r="J2556" t="s">
        <v>2183</v>
      </c>
      <c r="K2556" t="s">
        <v>421</v>
      </c>
      <c r="L2556" t="s">
        <v>2184</v>
      </c>
      <c r="M2556" t="s">
        <v>2046</v>
      </c>
      <c r="N2556" s="166">
        <v>19.16</v>
      </c>
      <c r="O2556" t="s">
        <v>131</v>
      </c>
    </row>
    <row r="2557" spans="1:15">
      <c r="A2557" s="166" t="s">
        <v>2185</v>
      </c>
      <c r="B2557" t="s">
        <v>111</v>
      </c>
      <c r="C2557" t="s">
        <v>641</v>
      </c>
      <c r="D2557" t="s">
        <v>118</v>
      </c>
      <c r="E2557" t="s">
        <v>668</v>
      </c>
      <c r="F2557" t="s">
        <v>7</v>
      </c>
      <c r="G2557" t="s">
        <v>130</v>
      </c>
      <c r="H2557" s="1">
        <v>46117</v>
      </c>
      <c r="I2557" t="s">
        <v>2186</v>
      </c>
      <c r="J2557" t="s">
        <v>2187</v>
      </c>
      <c r="K2557" t="s">
        <v>409</v>
      </c>
      <c r="L2557" t="s">
        <v>772</v>
      </c>
      <c r="M2557" t="s">
        <v>2188</v>
      </c>
      <c r="N2557" s="166">
        <v>22.26</v>
      </c>
      <c r="O2557" t="s">
        <v>131</v>
      </c>
    </row>
    <row r="2558" spans="1:15">
      <c r="A2558" s="166" t="s">
        <v>2189</v>
      </c>
      <c r="B2558" t="s">
        <v>111</v>
      </c>
      <c r="C2558" t="s">
        <v>133</v>
      </c>
      <c r="D2558" t="s">
        <v>118</v>
      </c>
      <c r="E2558" t="s">
        <v>668</v>
      </c>
      <c r="F2558" t="s">
        <v>7</v>
      </c>
      <c r="G2558" t="s">
        <v>130</v>
      </c>
      <c r="H2558" s="1">
        <v>46117</v>
      </c>
      <c r="I2558" t="s">
        <v>2190</v>
      </c>
      <c r="J2558" t="s">
        <v>2191</v>
      </c>
      <c r="K2558" t="s">
        <v>632</v>
      </c>
      <c r="L2558" t="s">
        <v>1662</v>
      </c>
      <c r="M2558" t="s">
        <v>226</v>
      </c>
      <c r="N2558" s="166">
        <v>20.2</v>
      </c>
      <c r="O2558" t="s">
        <v>131</v>
      </c>
    </row>
    <row r="2559" spans="1:15">
      <c r="A2559" s="166" t="s">
        <v>2192</v>
      </c>
      <c r="B2559" t="s">
        <v>111</v>
      </c>
      <c r="C2559" t="s">
        <v>135</v>
      </c>
      <c r="D2559" t="s">
        <v>118</v>
      </c>
      <c r="E2559" t="s">
        <v>668</v>
      </c>
      <c r="F2559" t="s">
        <v>7</v>
      </c>
      <c r="G2559" t="s">
        <v>130</v>
      </c>
      <c r="H2559" s="1">
        <v>46117</v>
      </c>
      <c r="I2559" t="s">
        <v>2193</v>
      </c>
      <c r="J2559" t="s">
        <v>2194</v>
      </c>
      <c r="K2559" t="s">
        <v>242</v>
      </c>
      <c r="L2559" t="s">
        <v>203</v>
      </c>
      <c r="M2559" t="s">
        <v>796</v>
      </c>
      <c r="N2559" s="166">
        <v>24.02</v>
      </c>
      <c r="O2559" t="s">
        <v>131</v>
      </c>
    </row>
    <row r="2560" spans="1:15">
      <c r="A2560" s="166" t="s">
        <v>2195</v>
      </c>
      <c r="B2560" t="s">
        <v>111</v>
      </c>
      <c r="C2560" t="s">
        <v>135</v>
      </c>
      <c r="D2560" t="s">
        <v>118</v>
      </c>
      <c r="E2560" t="s">
        <v>139</v>
      </c>
      <c r="F2560" t="s">
        <v>6</v>
      </c>
      <c r="G2560" t="s">
        <v>130</v>
      </c>
      <c r="H2560" s="1">
        <v>46117</v>
      </c>
      <c r="I2560" t="s">
        <v>2196</v>
      </c>
      <c r="J2560" t="s">
        <v>2197</v>
      </c>
      <c r="K2560" t="s">
        <v>2198</v>
      </c>
      <c r="L2560" t="s">
        <v>146</v>
      </c>
      <c r="M2560" t="s">
        <v>2199</v>
      </c>
      <c r="N2560" s="166">
        <v>24.1</v>
      </c>
      <c r="O2560" t="s">
        <v>131</v>
      </c>
    </row>
    <row r="2561" spans="1:15">
      <c r="A2561" s="166" t="s">
        <v>2200</v>
      </c>
      <c r="B2561" t="s">
        <v>111</v>
      </c>
      <c r="C2561" t="s">
        <v>134</v>
      </c>
      <c r="D2561" t="s">
        <v>118</v>
      </c>
      <c r="E2561" t="s">
        <v>139</v>
      </c>
      <c r="F2561" t="s">
        <v>6</v>
      </c>
      <c r="G2561" t="s">
        <v>130</v>
      </c>
      <c r="H2561" s="1">
        <v>46117</v>
      </c>
      <c r="I2561" t="s">
        <v>2201</v>
      </c>
      <c r="J2561" t="s">
        <v>2202</v>
      </c>
      <c r="K2561" t="s">
        <v>2203</v>
      </c>
      <c r="L2561" t="s">
        <v>2095</v>
      </c>
      <c r="M2561" t="s">
        <v>2204</v>
      </c>
      <c r="N2561" s="166">
        <v>25.88</v>
      </c>
      <c r="O2561" t="s">
        <v>131</v>
      </c>
    </row>
    <row r="2562" spans="1:15">
      <c r="A2562" s="166" t="s">
        <v>2205</v>
      </c>
      <c r="B2562" t="s">
        <v>111</v>
      </c>
      <c r="C2562" t="s">
        <v>133</v>
      </c>
      <c r="D2562" t="s">
        <v>118</v>
      </c>
      <c r="E2562" t="s">
        <v>139</v>
      </c>
      <c r="F2562" t="s">
        <v>6</v>
      </c>
      <c r="G2562" t="s">
        <v>130</v>
      </c>
      <c r="H2562" s="1">
        <v>46117</v>
      </c>
      <c r="I2562" t="s">
        <v>2206</v>
      </c>
      <c r="J2562" t="s">
        <v>2207</v>
      </c>
      <c r="K2562" t="s">
        <v>2208</v>
      </c>
      <c r="L2562" t="s">
        <v>856</v>
      </c>
      <c r="M2562" t="s">
        <v>2209</v>
      </c>
      <c r="N2562" s="166">
        <v>28.44</v>
      </c>
      <c r="O2562" t="s">
        <v>131</v>
      </c>
    </row>
    <row r="2563" spans="1:15">
      <c r="A2563" s="166" t="s">
        <v>2210</v>
      </c>
      <c r="B2563" t="s">
        <v>111</v>
      </c>
      <c r="C2563" t="s">
        <v>135</v>
      </c>
      <c r="D2563" t="s">
        <v>118</v>
      </c>
      <c r="E2563" t="s">
        <v>139</v>
      </c>
      <c r="F2563" t="s">
        <v>6</v>
      </c>
      <c r="G2563" t="s">
        <v>130</v>
      </c>
      <c r="H2563" s="1">
        <v>46117</v>
      </c>
      <c r="I2563" t="s">
        <v>2211</v>
      </c>
      <c r="J2563" t="s">
        <v>2212</v>
      </c>
      <c r="K2563" t="s">
        <v>2213</v>
      </c>
      <c r="L2563" t="s">
        <v>146</v>
      </c>
      <c r="M2563" t="s">
        <v>1999</v>
      </c>
      <c r="N2563" s="166">
        <v>31.24</v>
      </c>
      <c r="O2563" t="s">
        <v>131</v>
      </c>
    </row>
    <row r="2564" spans="1:15">
      <c r="A2564" s="166" t="s">
        <v>2214</v>
      </c>
      <c r="B2564" t="s">
        <v>111</v>
      </c>
      <c r="C2564" t="s">
        <v>134</v>
      </c>
      <c r="D2564" t="s">
        <v>118</v>
      </c>
      <c r="E2564" t="s">
        <v>139</v>
      </c>
      <c r="F2564" t="s">
        <v>6</v>
      </c>
      <c r="G2564" t="s">
        <v>130</v>
      </c>
      <c r="H2564" s="1">
        <v>46117</v>
      </c>
      <c r="I2564" t="s">
        <v>2215</v>
      </c>
      <c r="J2564" t="s">
        <v>2216</v>
      </c>
      <c r="K2564" t="s">
        <v>2217</v>
      </c>
      <c r="L2564" t="s">
        <v>907</v>
      </c>
      <c r="M2564" t="s">
        <v>2218</v>
      </c>
      <c r="N2564" s="166">
        <v>25.66</v>
      </c>
      <c r="O2564" t="s">
        <v>131</v>
      </c>
    </row>
    <row r="2565" spans="1:15">
      <c r="A2565" s="166" t="s">
        <v>2219</v>
      </c>
      <c r="B2565" t="s">
        <v>111</v>
      </c>
      <c r="C2565" t="s">
        <v>133</v>
      </c>
      <c r="D2565" t="s">
        <v>118</v>
      </c>
      <c r="E2565" t="s">
        <v>139</v>
      </c>
      <c r="F2565" t="s">
        <v>6</v>
      </c>
      <c r="G2565" t="s">
        <v>130</v>
      </c>
      <c r="H2565" s="1">
        <v>46117</v>
      </c>
      <c r="I2565" t="s">
        <v>2220</v>
      </c>
      <c r="J2565" t="s">
        <v>2221</v>
      </c>
      <c r="K2565" t="s">
        <v>968</v>
      </c>
      <c r="L2565" t="s">
        <v>856</v>
      </c>
      <c r="M2565" t="s">
        <v>964</v>
      </c>
      <c r="N2565" s="166">
        <v>27.56</v>
      </c>
      <c r="O2565" t="s">
        <v>131</v>
      </c>
    </row>
    <row r="2566" spans="1:15">
      <c r="A2566" s="166" t="s">
        <v>2222</v>
      </c>
      <c r="B2566" t="s">
        <v>111</v>
      </c>
      <c r="C2566" t="s">
        <v>134</v>
      </c>
      <c r="D2566" t="s">
        <v>118</v>
      </c>
      <c r="E2566" t="s">
        <v>139</v>
      </c>
      <c r="F2566" t="s">
        <v>6</v>
      </c>
      <c r="G2566" t="s">
        <v>130</v>
      </c>
      <c r="H2566" s="1">
        <v>46117</v>
      </c>
      <c r="I2566" t="s">
        <v>2223</v>
      </c>
      <c r="J2566" t="s">
        <v>2224</v>
      </c>
      <c r="K2566" t="s">
        <v>2225</v>
      </c>
      <c r="L2566" t="s">
        <v>2095</v>
      </c>
      <c r="M2566" t="s">
        <v>2226</v>
      </c>
      <c r="N2566" s="166">
        <v>26.02</v>
      </c>
      <c r="O2566" t="s">
        <v>131</v>
      </c>
    </row>
    <row r="2567" spans="1:15">
      <c r="A2567" s="166" t="s">
        <v>2227</v>
      </c>
      <c r="B2567" t="s">
        <v>111</v>
      </c>
      <c r="C2567" t="s">
        <v>135</v>
      </c>
      <c r="D2567" t="s">
        <v>118</v>
      </c>
      <c r="E2567" t="s">
        <v>139</v>
      </c>
      <c r="F2567" t="s">
        <v>6</v>
      </c>
      <c r="G2567" t="s">
        <v>130</v>
      </c>
      <c r="H2567" s="1">
        <v>46117</v>
      </c>
      <c r="I2567" t="s">
        <v>2228</v>
      </c>
      <c r="J2567" t="s">
        <v>2229</v>
      </c>
      <c r="K2567" t="s">
        <v>706</v>
      </c>
      <c r="L2567" t="s">
        <v>146</v>
      </c>
      <c r="M2567" t="s">
        <v>913</v>
      </c>
      <c r="N2567" s="166">
        <v>26.1</v>
      </c>
      <c r="O2567" t="s">
        <v>131</v>
      </c>
    </row>
    <row r="2568" spans="1:15">
      <c r="A2568" s="166" t="s">
        <v>2230</v>
      </c>
      <c r="B2568" t="s">
        <v>111</v>
      </c>
      <c r="C2568" t="s">
        <v>133</v>
      </c>
      <c r="D2568" t="s">
        <v>118</v>
      </c>
      <c r="E2568" t="s">
        <v>139</v>
      </c>
      <c r="F2568" t="s">
        <v>6</v>
      </c>
      <c r="G2568" t="s">
        <v>130</v>
      </c>
      <c r="H2568" s="1">
        <v>46117</v>
      </c>
      <c r="I2568" t="s">
        <v>2231</v>
      </c>
      <c r="J2568" t="s">
        <v>2232</v>
      </c>
      <c r="K2568" t="s">
        <v>2233</v>
      </c>
      <c r="L2568" t="s">
        <v>1280</v>
      </c>
      <c r="M2568" t="s">
        <v>2234</v>
      </c>
      <c r="N2568" s="166">
        <v>28.12</v>
      </c>
      <c r="O2568" t="s">
        <v>131</v>
      </c>
    </row>
    <row r="2569" spans="1:15">
      <c r="A2569" s="166" t="s">
        <v>1944</v>
      </c>
      <c r="B2569" t="s">
        <v>111</v>
      </c>
      <c r="C2569" t="s">
        <v>134</v>
      </c>
      <c r="D2569" t="s">
        <v>118</v>
      </c>
      <c r="E2569" t="s">
        <v>139</v>
      </c>
      <c r="F2569" t="s">
        <v>6</v>
      </c>
      <c r="G2569" t="s">
        <v>130</v>
      </c>
      <c r="H2569" s="1">
        <v>46117</v>
      </c>
      <c r="I2569" t="s">
        <v>2235</v>
      </c>
      <c r="J2569" t="s">
        <v>2236</v>
      </c>
      <c r="K2569" t="s">
        <v>2237</v>
      </c>
      <c r="L2569" t="s">
        <v>1662</v>
      </c>
      <c r="M2569" t="s">
        <v>2238</v>
      </c>
      <c r="N2569" s="166">
        <v>29</v>
      </c>
      <c r="O2569" t="s">
        <v>131</v>
      </c>
    </row>
    <row r="2570" spans="1:15">
      <c r="A2570" s="166" t="s">
        <v>2239</v>
      </c>
      <c r="B2570" t="s">
        <v>111</v>
      </c>
      <c r="C2570" t="s">
        <v>135</v>
      </c>
      <c r="D2570" t="s">
        <v>118</v>
      </c>
      <c r="E2570" t="s">
        <v>139</v>
      </c>
      <c r="F2570" t="s">
        <v>6</v>
      </c>
      <c r="G2570" t="s">
        <v>130</v>
      </c>
      <c r="H2570" s="1">
        <v>46117</v>
      </c>
      <c r="I2570" t="s">
        <v>2240</v>
      </c>
      <c r="J2570" t="s">
        <v>2241</v>
      </c>
      <c r="K2570" t="s">
        <v>2242</v>
      </c>
      <c r="L2570" t="s">
        <v>146</v>
      </c>
      <c r="M2570" t="s">
        <v>2243</v>
      </c>
      <c r="N2570" s="166">
        <v>30.86</v>
      </c>
      <c r="O2570" t="s">
        <v>131</v>
      </c>
    </row>
    <row r="2571" spans="1:15">
      <c r="A2571" s="166" t="s">
        <v>2244</v>
      </c>
      <c r="B2571" t="s">
        <v>111</v>
      </c>
      <c r="C2571" t="s">
        <v>133</v>
      </c>
      <c r="D2571" t="s">
        <v>118</v>
      </c>
      <c r="E2571" t="s">
        <v>139</v>
      </c>
      <c r="F2571" t="s">
        <v>6</v>
      </c>
      <c r="G2571" t="s">
        <v>130</v>
      </c>
      <c r="H2571" s="1">
        <v>46117</v>
      </c>
      <c r="I2571" t="s">
        <v>2245</v>
      </c>
      <c r="J2571" t="s">
        <v>2246</v>
      </c>
      <c r="K2571" t="s">
        <v>514</v>
      </c>
      <c r="L2571" t="s">
        <v>1280</v>
      </c>
      <c r="M2571" t="s">
        <v>628</v>
      </c>
      <c r="N2571" s="166">
        <v>20.48</v>
      </c>
      <c r="O2571" t="s">
        <v>131</v>
      </c>
    </row>
    <row r="2572" spans="1:15">
      <c r="A2572" s="166" t="s">
        <v>2247</v>
      </c>
      <c r="B2572" t="s">
        <v>111</v>
      </c>
      <c r="C2572" t="s">
        <v>135</v>
      </c>
      <c r="D2572" t="s">
        <v>118</v>
      </c>
      <c r="E2572" t="s">
        <v>139</v>
      </c>
      <c r="F2572" t="s">
        <v>6</v>
      </c>
      <c r="G2572" t="s">
        <v>130</v>
      </c>
      <c r="H2572" s="1">
        <v>46117</v>
      </c>
      <c r="I2572" t="s">
        <v>2248</v>
      </c>
      <c r="J2572" t="s">
        <v>2249</v>
      </c>
      <c r="K2572" t="s">
        <v>240</v>
      </c>
      <c r="L2572" t="s">
        <v>203</v>
      </c>
      <c r="M2572" t="s">
        <v>2250</v>
      </c>
      <c r="N2572" s="166">
        <v>27.8</v>
      </c>
      <c r="O2572" t="s">
        <v>131</v>
      </c>
    </row>
    <row r="2573" spans="1:15">
      <c r="A2573" s="166" t="s">
        <v>2251</v>
      </c>
      <c r="B2573" t="s">
        <v>111</v>
      </c>
      <c r="C2573" t="s">
        <v>134</v>
      </c>
      <c r="D2573" t="s">
        <v>118</v>
      </c>
      <c r="E2573" t="s">
        <v>139</v>
      </c>
      <c r="F2573" t="s">
        <v>6</v>
      </c>
      <c r="G2573" t="s">
        <v>130</v>
      </c>
      <c r="H2573" s="1">
        <v>46117</v>
      </c>
      <c r="I2573" t="s">
        <v>2252</v>
      </c>
      <c r="J2573" t="s">
        <v>2253</v>
      </c>
      <c r="K2573" t="s">
        <v>213</v>
      </c>
      <c r="L2573" t="s">
        <v>2095</v>
      </c>
      <c r="M2573" t="s">
        <v>2254</v>
      </c>
      <c r="N2573" s="166">
        <v>23.68</v>
      </c>
      <c r="O2573" t="s">
        <v>131</v>
      </c>
    </row>
    <row r="2574" spans="1:15">
      <c r="A2574" s="166" t="s">
        <v>2255</v>
      </c>
      <c r="B2574" t="s">
        <v>111</v>
      </c>
      <c r="C2574" t="s">
        <v>133</v>
      </c>
      <c r="D2574" t="s">
        <v>118</v>
      </c>
      <c r="E2574" t="s">
        <v>139</v>
      </c>
      <c r="F2574" t="s">
        <v>6</v>
      </c>
      <c r="G2574" t="s">
        <v>130</v>
      </c>
      <c r="H2574" s="1">
        <v>46117</v>
      </c>
      <c r="I2574" t="s">
        <v>2256</v>
      </c>
      <c r="J2574" t="s">
        <v>2257</v>
      </c>
      <c r="K2574" t="s">
        <v>2258</v>
      </c>
      <c r="L2574" t="s">
        <v>907</v>
      </c>
      <c r="M2574" t="s">
        <v>2259</v>
      </c>
      <c r="N2574" s="166">
        <v>26.9</v>
      </c>
      <c r="O2574" t="s">
        <v>131</v>
      </c>
    </row>
    <row r="2575" spans="1:15">
      <c r="A2575" s="166" t="s">
        <v>2260</v>
      </c>
      <c r="B2575" t="s">
        <v>111</v>
      </c>
      <c r="C2575" t="s">
        <v>135</v>
      </c>
      <c r="D2575" t="s">
        <v>118</v>
      </c>
      <c r="E2575" t="s">
        <v>139</v>
      </c>
      <c r="F2575" t="s">
        <v>6</v>
      </c>
      <c r="G2575" t="s">
        <v>130</v>
      </c>
      <c r="H2575" s="1">
        <v>46117</v>
      </c>
      <c r="I2575" t="s">
        <v>2261</v>
      </c>
      <c r="J2575" t="s">
        <v>2262</v>
      </c>
      <c r="K2575" t="s">
        <v>2263</v>
      </c>
      <c r="L2575" t="s">
        <v>203</v>
      </c>
      <c r="M2575" t="s">
        <v>1018</v>
      </c>
      <c r="N2575" s="166">
        <v>28.94</v>
      </c>
      <c r="O2575" t="s">
        <v>131</v>
      </c>
    </row>
    <row r="2576" spans="1:15">
      <c r="A2576" s="166" t="s">
        <v>2264</v>
      </c>
      <c r="B2576" t="s">
        <v>111</v>
      </c>
      <c r="C2576" t="s">
        <v>134</v>
      </c>
      <c r="D2576" t="s">
        <v>118</v>
      </c>
      <c r="E2576" t="s">
        <v>139</v>
      </c>
      <c r="F2576" t="s">
        <v>6</v>
      </c>
      <c r="G2576" t="s">
        <v>130</v>
      </c>
      <c r="H2576" s="1">
        <v>46117</v>
      </c>
      <c r="I2576" t="s">
        <v>2265</v>
      </c>
      <c r="J2576" t="s">
        <v>2266</v>
      </c>
      <c r="K2576" t="s">
        <v>686</v>
      </c>
      <c r="L2576" t="s">
        <v>2267</v>
      </c>
      <c r="M2576" t="s">
        <v>2268</v>
      </c>
      <c r="N2576" s="166">
        <v>25.36</v>
      </c>
      <c r="O2576" t="s">
        <v>131</v>
      </c>
    </row>
    <row r="2577" spans="1:15">
      <c r="A2577" s="166" t="s">
        <v>2269</v>
      </c>
      <c r="B2577" t="s">
        <v>111</v>
      </c>
      <c r="C2577" t="s">
        <v>133</v>
      </c>
      <c r="D2577" t="s">
        <v>118</v>
      </c>
      <c r="E2577" t="s">
        <v>668</v>
      </c>
      <c r="F2577" t="s">
        <v>6</v>
      </c>
      <c r="G2577" t="s">
        <v>130</v>
      </c>
      <c r="H2577" s="1">
        <v>46118</v>
      </c>
      <c r="I2577" t="s">
        <v>2270</v>
      </c>
      <c r="J2577" t="s">
        <v>2271</v>
      </c>
      <c r="K2577" t="s">
        <v>438</v>
      </c>
      <c r="L2577" t="s">
        <v>2272</v>
      </c>
      <c r="M2577" t="s">
        <v>2273</v>
      </c>
      <c r="N2577" s="166">
        <v>20.3</v>
      </c>
      <c r="O2577" t="s">
        <v>131</v>
      </c>
    </row>
    <row r="2578" spans="1:15">
      <c r="A2578" s="166" t="s">
        <v>2274</v>
      </c>
      <c r="B2578" t="s">
        <v>111</v>
      </c>
      <c r="C2578" t="s">
        <v>134</v>
      </c>
      <c r="D2578" t="s">
        <v>118</v>
      </c>
      <c r="E2578" t="s">
        <v>668</v>
      </c>
      <c r="F2578" t="s">
        <v>6</v>
      </c>
      <c r="G2578" t="s">
        <v>130</v>
      </c>
      <c r="H2578" s="1">
        <v>46118</v>
      </c>
      <c r="I2578" t="s">
        <v>2275</v>
      </c>
      <c r="J2578" t="s">
        <v>2276</v>
      </c>
      <c r="K2578" t="s">
        <v>464</v>
      </c>
      <c r="L2578" t="s">
        <v>1662</v>
      </c>
      <c r="M2578" t="s">
        <v>428</v>
      </c>
      <c r="N2578" s="166">
        <v>20.96</v>
      </c>
      <c r="O2578" t="s">
        <v>131</v>
      </c>
    </row>
    <row r="2579" spans="1:15">
      <c r="A2579" s="166" t="s">
        <v>2277</v>
      </c>
      <c r="B2579" t="s">
        <v>111</v>
      </c>
      <c r="C2579" t="s">
        <v>135</v>
      </c>
      <c r="D2579" t="s">
        <v>118</v>
      </c>
      <c r="E2579" t="s">
        <v>668</v>
      </c>
      <c r="F2579" t="s">
        <v>6</v>
      </c>
      <c r="G2579" t="s">
        <v>130</v>
      </c>
      <c r="H2579" s="1">
        <v>46118</v>
      </c>
      <c r="I2579" t="s">
        <v>2278</v>
      </c>
      <c r="J2579" t="s">
        <v>2279</v>
      </c>
      <c r="K2579" t="s">
        <v>1398</v>
      </c>
      <c r="L2579" t="s">
        <v>786</v>
      </c>
      <c r="M2579" t="s">
        <v>1173</v>
      </c>
      <c r="N2579" s="166">
        <v>19.34</v>
      </c>
      <c r="O2579" t="s">
        <v>131</v>
      </c>
    </row>
    <row r="2580" spans="1:15">
      <c r="A2580" s="166" t="s">
        <v>2280</v>
      </c>
      <c r="B2580" t="s">
        <v>111</v>
      </c>
      <c r="C2580" t="s">
        <v>136</v>
      </c>
      <c r="D2580" t="s">
        <v>118</v>
      </c>
      <c r="E2580" t="s">
        <v>668</v>
      </c>
      <c r="F2580" t="s">
        <v>6</v>
      </c>
      <c r="G2580" t="s">
        <v>130</v>
      </c>
      <c r="H2580" s="1">
        <v>46118</v>
      </c>
      <c r="I2580" t="s">
        <v>2281</v>
      </c>
      <c r="J2580" t="s">
        <v>2282</v>
      </c>
      <c r="K2580" t="s">
        <v>573</v>
      </c>
      <c r="L2580" t="s">
        <v>515</v>
      </c>
      <c r="M2580" t="s">
        <v>623</v>
      </c>
      <c r="N2580" s="166">
        <v>20.86</v>
      </c>
      <c r="O2580" t="s">
        <v>131</v>
      </c>
    </row>
    <row r="2581" spans="1:15">
      <c r="A2581" s="166" t="s">
        <v>2283</v>
      </c>
      <c r="B2581" t="s">
        <v>111</v>
      </c>
      <c r="C2581" t="s">
        <v>133</v>
      </c>
      <c r="D2581" t="s">
        <v>118</v>
      </c>
      <c r="E2581" t="s">
        <v>668</v>
      </c>
      <c r="F2581" t="s">
        <v>6</v>
      </c>
      <c r="G2581" t="s">
        <v>130</v>
      </c>
      <c r="H2581" s="1">
        <v>46118</v>
      </c>
      <c r="I2581" t="s">
        <v>2284</v>
      </c>
      <c r="J2581" t="s">
        <v>2285</v>
      </c>
      <c r="K2581" t="s">
        <v>1889</v>
      </c>
      <c r="L2581" t="s">
        <v>856</v>
      </c>
      <c r="M2581" t="s">
        <v>2046</v>
      </c>
      <c r="N2581" s="166">
        <v>19.16</v>
      </c>
      <c r="O2581" t="s">
        <v>131</v>
      </c>
    </row>
    <row r="2582" spans="1:15">
      <c r="A2582" s="166" t="s">
        <v>2286</v>
      </c>
      <c r="B2582" t="s">
        <v>111</v>
      </c>
      <c r="C2582" t="s">
        <v>134</v>
      </c>
      <c r="D2582" t="s">
        <v>118</v>
      </c>
      <c r="E2582" t="s">
        <v>668</v>
      </c>
      <c r="F2582" t="s">
        <v>6</v>
      </c>
      <c r="G2582" t="s">
        <v>130</v>
      </c>
      <c r="H2582" s="1">
        <v>46118</v>
      </c>
      <c r="I2582" t="s">
        <v>2287</v>
      </c>
      <c r="J2582" t="s">
        <v>2288</v>
      </c>
      <c r="K2582" t="s">
        <v>1889</v>
      </c>
      <c r="L2582" t="s">
        <v>1662</v>
      </c>
      <c r="M2582" t="s">
        <v>1399</v>
      </c>
      <c r="N2582" s="166">
        <v>19.32</v>
      </c>
      <c r="O2582" t="s">
        <v>131</v>
      </c>
    </row>
    <row r="2583" spans="1:15">
      <c r="A2583" s="166" t="s">
        <v>2289</v>
      </c>
      <c r="B2583" t="s">
        <v>111</v>
      </c>
      <c r="C2583" t="s">
        <v>135</v>
      </c>
      <c r="D2583" t="s">
        <v>118</v>
      </c>
      <c r="E2583" t="s">
        <v>668</v>
      </c>
      <c r="F2583" t="s">
        <v>6</v>
      </c>
      <c r="G2583" t="s">
        <v>130</v>
      </c>
      <c r="H2583" s="1">
        <v>46118</v>
      </c>
      <c r="I2583" t="s">
        <v>2290</v>
      </c>
      <c r="J2583" t="s">
        <v>2291</v>
      </c>
      <c r="K2583" t="s">
        <v>2292</v>
      </c>
      <c r="L2583" t="s">
        <v>146</v>
      </c>
      <c r="M2583" t="s">
        <v>1359</v>
      </c>
      <c r="N2583" s="166">
        <v>18.600000000000001</v>
      </c>
      <c r="O2583" t="s">
        <v>131</v>
      </c>
    </row>
    <row r="2584" spans="1:15">
      <c r="A2584" s="166" t="s">
        <v>2293</v>
      </c>
      <c r="B2584" t="s">
        <v>111</v>
      </c>
      <c r="C2584" t="s">
        <v>136</v>
      </c>
      <c r="D2584" t="s">
        <v>118</v>
      </c>
      <c r="E2584" t="s">
        <v>668</v>
      </c>
      <c r="F2584" t="s">
        <v>6</v>
      </c>
      <c r="G2584" t="s">
        <v>130</v>
      </c>
      <c r="H2584" s="1">
        <v>46118</v>
      </c>
      <c r="I2584" t="s">
        <v>2294</v>
      </c>
      <c r="J2584" t="s">
        <v>2295</v>
      </c>
      <c r="K2584" t="s">
        <v>2296</v>
      </c>
      <c r="L2584" t="s">
        <v>1483</v>
      </c>
      <c r="M2584" t="s">
        <v>2297</v>
      </c>
      <c r="N2584" s="166">
        <v>22.34</v>
      </c>
      <c r="O2584" t="s">
        <v>131</v>
      </c>
    </row>
    <row r="2585" spans="1:15">
      <c r="A2585" s="166" t="s">
        <v>2298</v>
      </c>
      <c r="B2585" t="s">
        <v>111</v>
      </c>
      <c r="C2585" t="s">
        <v>133</v>
      </c>
      <c r="D2585" t="s">
        <v>118</v>
      </c>
      <c r="E2585" t="s">
        <v>668</v>
      </c>
      <c r="F2585" t="s">
        <v>6</v>
      </c>
      <c r="G2585" t="s">
        <v>130</v>
      </c>
      <c r="H2585" s="1">
        <v>46118</v>
      </c>
      <c r="I2585" t="s">
        <v>2299</v>
      </c>
      <c r="J2585" t="s">
        <v>2300</v>
      </c>
      <c r="K2585" t="s">
        <v>2301</v>
      </c>
      <c r="L2585" t="s">
        <v>2267</v>
      </c>
      <c r="M2585" t="s">
        <v>1977</v>
      </c>
      <c r="N2585" s="166">
        <v>18.66</v>
      </c>
      <c r="O2585" t="s">
        <v>131</v>
      </c>
    </row>
    <row r="2586" spans="1:15">
      <c r="A2586" s="166" t="s">
        <v>2302</v>
      </c>
      <c r="B2586" t="s">
        <v>111</v>
      </c>
      <c r="C2586" t="s">
        <v>134</v>
      </c>
      <c r="D2586" t="s">
        <v>118</v>
      </c>
      <c r="E2586" t="s">
        <v>668</v>
      </c>
      <c r="F2586" t="s">
        <v>6</v>
      </c>
      <c r="G2586" t="s">
        <v>130</v>
      </c>
      <c r="H2586" s="1">
        <v>46118</v>
      </c>
      <c r="I2586" t="s">
        <v>2303</v>
      </c>
      <c r="J2586" t="s">
        <v>2304</v>
      </c>
      <c r="K2586" t="s">
        <v>1205</v>
      </c>
      <c r="L2586" t="s">
        <v>672</v>
      </c>
      <c r="M2586" t="s">
        <v>682</v>
      </c>
      <c r="N2586" s="166">
        <v>23.34</v>
      </c>
      <c r="O2586" t="s">
        <v>131</v>
      </c>
    </row>
    <row r="2587" spans="1:15">
      <c r="A2587" s="166" t="s">
        <v>2305</v>
      </c>
      <c r="B2587" t="s">
        <v>111</v>
      </c>
      <c r="C2587" t="s">
        <v>135</v>
      </c>
      <c r="D2587" t="s">
        <v>118</v>
      </c>
      <c r="E2587" t="s">
        <v>668</v>
      </c>
      <c r="F2587" t="s">
        <v>6</v>
      </c>
      <c r="G2587" t="s">
        <v>130</v>
      </c>
      <c r="H2587" s="1">
        <v>46118</v>
      </c>
      <c r="I2587" t="s">
        <v>2306</v>
      </c>
      <c r="J2587" t="s">
        <v>2307</v>
      </c>
      <c r="K2587" t="s">
        <v>204</v>
      </c>
      <c r="L2587" t="s">
        <v>146</v>
      </c>
      <c r="M2587" t="s">
        <v>2158</v>
      </c>
      <c r="N2587" s="166">
        <v>20.94</v>
      </c>
      <c r="O2587" t="s">
        <v>131</v>
      </c>
    </row>
    <row r="2588" spans="1:15">
      <c r="A2588" s="166" t="s">
        <v>2308</v>
      </c>
      <c r="B2588" t="s">
        <v>111</v>
      </c>
      <c r="C2588" t="s">
        <v>136</v>
      </c>
      <c r="D2588" t="s">
        <v>118</v>
      </c>
      <c r="E2588" t="s">
        <v>668</v>
      </c>
      <c r="F2588" t="s">
        <v>6</v>
      </c>
      <c r="G2588" t="s">
        <v>130</v>
      </c>
      <c r="H2588" s="1">
        <v>46118</v>
      </c>
      <c r="I2588" t="s">
        <v>2309</v>
      </c>
      <c r="J2588" t="s">
        <v>2310</v>
      </c>
      <c r="K2588" t="s">
        <v>454</v>
      </c>
      <c r="L2588" t="s">
        <v>1483</v>
      </c>
      <c r="M2588" t="s">
        <v>1674</v>
      </c>
      <c r="N2588" s="166">
        <v>21.24</v>
      </c>
      <c r="O2588" t="s">
        <v>131</v>
      </c>
    </row>
    <row r="2589" spans="1:15">
      <c r="A2589" s="166" t="s">
        <v>2123</v>
      </c>
      <c r="B2589" t="s">
        <v>111</v>
      </c>
      <c r="C2589" t="s">
        <v>133</v>
      </c>
      <c r="D2589" t="s">
        <v>118</v>
      </c>
      <c r="E2589" t="s">
        <v>668</v>
      </c>
      <c r="F2589" t="s">
        <v>6</v>
      </c>
      <c r="G2589" t="s">
        <v>130</v>
      </c>
      <c r="H2589" s="1">
        <v>46118</v>
      </c>
      <c r="I2589" t="s">
        <v>2311</v>
      </c>
      <c r="J2589" t="s">
        <v>2312</v>
      </c>
      <c r="K2589" t="s">
        <v>1085</v>
      </c>
      <c r="L2589" t="s">
        <v>2184</v>
      </c>
      <c r="M2589" t="s">
        <v>1252</v>
      </c>
      <c r="N2589" s="166">
        <v>18.36</v>
      </c>
      <c r="O2589" t="s">
        <v>131</v>
      </c>
    </row>
    <row r="2590" spans="1:15">
      <c r="A2590" s="166" t="s">
        <v>2313</v>
      </c>
      <c r="B2590" t="s">
        <v>111</v>
      </c>
      <c r="C2590" t="s">
        <v>134</v>
      </c>
      <c r="D2590" t="s">
        <v>118</v>
      </c>
      <c r="E2590" t="s">
        <v>668</v>
      </c>
      <c r="F2590" t="s">
        <v>6</v>
      </c>
      <c r="G2590" t="s">
        <v>130</v>
      </c>
      <c r="H2590" s="1">
        <v>46118</v>
      </c>
      <c r="I2590" t="s">
        <v>2314</v>
      </c>
      <c r="J2590" t="s">
        <v>2315</v>
      </c>
      <c r="K2590" t="s">
        <v>2142</v>
      </c>
      <c r="L2590" t="s">
        <v>2095</v>
      </c>
      <c r="M2590" t="s">
        <v>2316</v>
      </c>
      <c r="N2590" s="166">
        <v>17.32</v>
      </c>
      <c r="O2590" t="s">
        <v>131</v>
      </c>
    </row>
    <row r="2591" spans="1:15">
      <c r="A2591" s="166" t="s">
        <v>2317</v>
      </c>
      <c r="B2591" t="s">
        <v>111</v>
      </c>
      <c r="C2591" t="s">
        <v>135</v>
      </c>
      <c r="D2591" t="s">
        <v>118</v>
      </c>
      <c r="E2591" t="s">
        <v>668</v>
      </c>
      <c r="F2591" t="s">
        <v>6</v>
      </c>
      <c r="G2591" t="s">
        <v>130</v>
      </c>
      <c r="H2591" s="1">
        <v>46118</v>
      </c>
      <c r="I2591" t="s">
        <v>2318</v>
      </c>
      <c r="J2591" t="s">
        <v>2319</v>
      </c>
      <c r="K2591" t="s">
        <v>1154</v>
      </c>
      <c r="L2591" t="s">
        <v>146</v>
      </c>
      <c r="M2591" t="s">
        <v>179</v>
      </c>
      <c r="N2591" s="166">
        <v>20.100000000000001</v>
      </c>
      <c r="O2591" t="s">
        <v>131</v>
      </c>
    </row>
    <row r="2592" spans="1:15">
      <c r="A2592" s="166" t="s">
        <v>2320</v>
      </c>
      <c r="B2592" t="s">
        <v>111</v>
      </c>
      <c r="C2592" t="s">
        <v>136</v>
      </c>
      <c r="D2592" t="s">
        <v>118</v>
      </c>
      <c r="E2592" t="s">
        <v>668</v>
      </c>
      <c r="F2592" t="s">
        <v>6</v>
      </c>
      <c r="G2592" t="s">
        <v>130</v>
      </c>
      <c r="H2592" s="1">
        <v>46118</v>
      </c>
      <c r="I2592" t="s">
        <v>2321</v>
      </c>
      <c r="J2592" t="s">
        <v>2322</v>
      </c>
      <c r="K2592" t="s">
        <v>1861</v>
      </c>
      <c r="L2592" t="s">
        <v>1582</v>
      </c>
      <c r="M2592" t="s">
        <v>1819</v>
      </c>
      <c r="N2592" s="166">
        <v>20.62</v>
      </c>
      <c r="O2592" t="s">
        <v>131</v>
      </c>
    </row>
    <row r="2593" spans="1:15">
      <c r="A2593" s="166" t="s">
        <v>2323</v>
      </c>
      <c r="B2593" t="s">
        <v>111</v>
      </c>
      <c r="C2593" t="s">
        <v>133</v>
      </c>
      <c r="D2593" t="s">
        <v>118</v>
      </c>
      <c r="E2593" t="s">
        <v>668</v>
      </c>
      <c r="F2593" t="s">
        <v>6</v>
      </c>
      <c r="G2593" t="s">
        <v>130</v>
      </c>
      <c r="H2593" s="1">
        <v>46118</v>
      </c>
      <c r="I2593" t="s">
        <v>2324</v>
      </c>
      <c r="J2593" t="s">
        <v>2325</v>
      </c>
      <c r="K2593" t="s">
        <v>2326</v>
      </c>
      <c r="L2593" t="s">
        <v>1662</v>
      </c>
      <c r="M2593" t="s">
        <v>1529</v>
      </c>
      <c r="N2593" s="166">
        <v>19.88</v>
      </c>
      <c r="O2593" t="s">
        <v>131</v>
      </c>
    </row>
    <row r="2594" spans="1:15">
      <c r="A2594" s="166" t="s">
        <v>2327</v>
      </c>
      <c r="B2594" t="s">
        <v>111</v>
      </c>
      <c r="C2594" t="s">
        <v>134</v>
      </c>
      <c r="D2594" t="s">
        <v>118</v>
      </c>
      <c r="E2594" t="s">
        <v>668</v>
      </c>
      <c r="F2594" t="s">
        <v>6</v>
      </c>
      <c r="G2594" t="s">
        <v>130</v>
      </c>
      <c r="H2594" s="1">
        <v>46118</v>
      </c>
      <c r="I2594" t="s">
        <v>2328</v>
      </c>
      <c r="J2594" t="s">
        <v>2329</v>
      </c>
      <c r="K2594" t="s">
        <v>1285</v>
      </c>
      <c r="L2594" t="s">
        <v>907</v>
      </c>
      <c r="M2594" t="s">
        <v>1710</v>
      </c>
      <c r="N2594" s="166">
        <v>19.46</v>
      </c>
      <c r="O2594" t="s">
        <v>131</v>
      </c>
    </row>
    <row r="2595" spans="1:15">
      <c r="A2595" s="166" t="s">
        <v>2330</v>
      </c>
      <c r="B2595" t="s">
        <v>111</v>
      </c>
      <c r="C2595" t="s">
        <v>135</v>
      </c>
      <c r="D2595" t="s">
        <v>118</v>
      </c>
      <c r="E2595" t="s">
        <v>668</v>
      </c>
      <c r="F2595" t="s">
        <v>6</v>
      </c>
      <c r="G2595" t="s">
        <v>130</v>
      </c>
      <c r="H2595" s="1">
        <v>46118</v>
      </c>
      <c r="I2595" t="s">
        <v>2331</v>
      </c>
      <c r="J2595" t="s">
        <v>2332</v>
      </c>
      <c r="K2595" t="s">
        <v>2296</v>
      </c>
      <c r="L2595" t="s">
        <v>143</v>
      </c>
      <c r="M2595" t="s">
        <v>1437</v>
      </c>
      <c r="N2595" s="166">
        <v>22.78</v>
      </c>
      <c r="O2595" t="s">
        <v>131</v>
      </c>
    </row>
    <row r="2596" spans="1:15">
      <c r="A2596" s="166" t="s">
        <v>2333</v>
      </c>
      <c r="B2596" t="s">
        <v>111</v>
      </c>
      <c r="C2596" t="s">
        <v>133</v>
      </c>
      <c r="D2596" t="s">
        <v>118</v>
      </c>
      <c r="E2596" t="s">
        <v>668</v>
      </c>
      <c r="F2596" t="s">
        <v>6</v>
      </c>
      <c r="G2596" t="s">
        <v>130</v>
      </c>
      <c r="H2596" s="1">
        <v>46118</v>
      </c>
      <c r="I2596" t="s">
        <v>2334</v>
      </c>
      <c r="J2596" t="s">
        <v>2335</v>
      </c>
      <c r="K2596" t="s">
        <v>1681</v>
      </c>
      <c r="L2596" t="s">
        <v>1662</v>
      </c>
      <c r="M2596" t="s">
        <v>2336</v>
      </c>
      <c r="N2596" s="166">
        <v>19.440000000000001</v>
      </c>
      <c r="O2596" t="s">
        <v>131</v>
      </c>
    </row>
    <row r="2597" spans="1:15">
      <c r="A2597" s="166" t="s">
        <v>2337</v>
      </c>
      <c r="B2597" t="s">
        <v>111</v>
      </c>
      <c r="C2597" t="s">
        <v>134</v>
      </c>
      <c r="D2597" t="s">
        <v>118</v>
      </c>
      <c r="E2597" t="s">
        <v>668</v>
      </c>
      <c r="F2597" t="s">
        <v>6</v>
      </c>
      <c r="G2597" t="s">
        <v>130</v>
      </c>
      <c r="H2597" s="1">
        <v>46118</v>
      </c>
      <c r="I2597" t="s">
        <v>2338</v>
      </c>
      <c r="J2597" t="s">
        <v>2339</v>
      </c>
      <c r="K2597" t="s">
        <v>2340</v>
      </c>
      <c r="L2597" t="s">
        <v>2095</v>
      </c>
      <c r="M2597" t="s">
        <v>1385</v>
      </c>
      <c r="N2597" s="166">
        <v>19.78</v>
      </c>
      <c r="O2597" t="s">
        <v>131</v>
      </c>
    </row>
    <row r="2598" spans="1:15">
      <c r="A2598" s="166" t="s">
        <v>2341</v>
      </c>
      <c r="B2598" t="s">
        <v>111</v>
      </c>
      <c r="C2598" t="s">
        <v>136</v>
      </c>
      <c r="D2598" t="s">
        <v>118</v>
      </c>
      <c r="E2598" t="s">
        <v>668</v>
      </c>
      <c r="F2598" t="s">
        <v>6</v>
      </c>
      <c r="G2598" t="s">
        <v>130</v>
      </c>
      <c r="H2598" s="1">
        <v>46118</v>
      </c>
      <c r="I2598" t="s">
        <v>2342</v>
      </c>
      <c r="J2598" t="s">
        <v>2343</v>
      </c>
      <c r="K2598" t="s">
        <v>1854</v>
      </c>
      <c r="L2598" t="s">
        <v>1499</v>
      </c>
      <c r="M2598" t="s">
        <v>2344</v>
      </c>
      <c r="N2598" s="166">
        <v>18.28</v>
      </c>
      <c r="O2598" t="s">
        <v>131</v>
      </c>
    </row>
    <row r="2599" spans="1:15">
      <c r="A2599" s="166" t="s">
        <v>2345</v>
      </c>
      <c r="B2599" t="s">
        <v>111</v>
      </c>
      <c r="C2599" t="s">
        <v>135</v>
      </c>
      <c r="D2599" t="s">
        <v>118</v>
      </c>
      <c r="E2599" t="s">
        <v>668</v>
      </c>
      <c r="F2599" t="s">
        <v>6</v>
      </c>
      <c r="G2599" t="s">
        <v>130</v>
      </c>
      <c r="H2599" s="1">
        <v>46118</v>
      </c>
      <c r="I2599" t="s">
        <v>2346</v>
      </c>
      <c r="J2599" t="s">
        <v>2347</v>
      </c>
      <c r="K2599" t="s">
        <v>771</v>
      </c>
      <c r="L2599" t="s">
        <v>143</v>
      </c>
      <c r="M2599" t="s">
        <v>450</v>
      </c>
      <c r="N2599" s="166">
        <v>21.52</v>
      </c>
      <c r="O2599" t="s">
        <v>131</v>
      </c>
    </row>
    <row r="2600" spans="1:15">
      <c r="A2600" s="166" t="s">
        <v>2348</v>
      </c>
      <c r="B2600" t="s">
        <v>111</v>
      </c>
      <c r="C2600" t="s">
        <v>133</v>
      </c>
      <c r="D2600" t="s">
        <v>118</v>
      </c>
      <c r="E2600" t="s">
        <v>668</v>
      </c>
      <c r="F2600" t="s">
        <v>6</v>
      </c>
      <c r="G2600" t="s">
        <v>130</v>
      </c>
      <c r="H2600" s="1">
        <v>46118</v>
      </c>
      <c r="I2600" t="s">
        <v>2349</v>
      </c>
      <c r="J2600" t="s">
        <v>2350</v>
      </c>
      <c r="K2600" t="s">
        <v>2351</v>
      </c>
      <c r="L2600" t="s">
        <v>672</v>
      </c>
      <c r="M2600" t="s">
        <v>428</v>
      </c>
      <c r="N2600" s="166">
        <v>20.96</v>
      </c>
      <c r="O2600" t="s">
        <v>131</v>
      </c>
    </row>
    <row r="2601" spans="1:15">
      <c r="A2601" s="166" t="s">
        <v>2352</v>
      </c>
      <c r="B2601" t="s">
        <v>111</v>
      </c>
      <c r="C2601" t="s">
        <v>134</v>
      </c>
      <c r="D2601" t="s">
        <v>118</v>
      </c>
      <c r="E2601" t="s">
        <v>668</v>
      </c>
      <c r="F2601" t="s">
        <v>6</v>
      </c>
      <c r="G2601" t="s">
        <v>130</v>
      </c>
      <c r="H2601" s="1">
        <v>46118</v>
      </c>
      <c r="I2601" t="s">
        <v>2353</v>
      </c>
      <c r="J2601" t="s">
        <v>2354</v>
      </c>
      <c r="K2601" t="s">
        <v>214</v>
      </c>
      <c r="L2601" t="s">
        <v>1662</v>
      </c>
      <c r="M2601" t="s">
        <v>2355</v>
      </c>
      <c r="N2601" s="166">
        <v>22.56</v>
      </c>
      <c r="O2601" t="s">
        <v>131</v>
      </c>
    </row>
    <row r="2602" spans="1:15">
      <c r="A2602" s="166" t="s">
        <v>2356</v>
      </c>
      <c r="B2602" t="s">
        <v>111</v>
      </c>
      <c r="C2602" t="s">
        <v>136</v>
      </c>
      <c r="D2602" t="s">
        <v>118</v>
      </c>
      <c r="E2602" t="s">
        <v>668</v>
      </c>
      <c r="F2602" t="s">
        <v>6</v>
      </c>
      <c r="G2602" t="s">
        <v>130</v>
      </c>
      <c r="H2602" s="1">
        <v>46118</v>
      </c>
      <c r="I2602" t="s">
        <v>2357</v>
      </c>
      <c r="J2602" t="s">
        <v>2358</v>
      </c>
      <c r="K2602" t="s">
        <v>755</v>
      </c>
      <c r="L2602" t="s">
        <v>1499</v>
      </c>
      <c r="M2602" t="s">
        <v>2359</v>
      </c>
      <c r="N2602" s="166">
        <v>22.48</v>
      </c>
      <c r="O2602" t="s">
        <v>131</v>
      </c>
    </row>
    <row r="2603" spans="1:15">
      <c r="A2603" s="166" t="s">
        <v>2360</v>
      </c>
      <c r="B2603" t="s">
        <v>111</v>
      </c>
      <c r="C2603" t="s">
        <v>135</v>
      </c>
      <c r="D2603" t="s">
        <v>118</v>
      </c>
      <c r="E2603" t="s">
        <v>668</v>
      </c>
      <c r="F2603" t="s">
        <v>6</v>
      </c>
      <c r="G2603" t="s">
        <v>130</v>
      </c>
      <c r="H2603" s="1">
        <v>46118</v>
      </c>
      <c r="I2603" t="s">
        <v>2361</v>
      </c>
      <c r="J2603" t="s">
        <v>2362</v>
      </c>
      <c r="K2603" t="s">
        <v>2363</v>
      </c>
      <c r="L2603" t="s">
        <v>143</v>
      </c>
      <c r="M2603" t="s">
        <v>908</v>
      </c>
      <c r="N2603" s="166">
        <v>25.92</v>
      </c>
      <c r="O2603" t="s">
        <v>131</v>
      </c>
    </row>
    <row r="2604" spans="1:15">
      <c r="A2604" s="166" t="s">
        <v>2364</v>
      </c>
      <c r="B2604" t="s">
        <v>111</v>
      </c>
      <c r="C2604" t="s">
        <v>133</v>
      </c>
      <c r="D2604" t="s">
        <v>118</v>
      </c>
      <c r="E2604" t="s">
        <v>668</v>
      </c>
      <c r="F2604" t="s">
        <v>6</v>
      </c>
      <c r="G2604" t="s">
        <v>130</v>
      </c>
      <c r="H2604" s="1">
        <v>46118</v>
      </c>
      <c r="I2604" t="s">
        <v>2365</v>
      </c>
      <c r="J2604" t="s">
        <v>2366</v>
      </c>
      <c r="K2604" t="s">
        <v>2367</v>
      </c>
      <c r="L2604" t="s">
        <v>1662</v>
      </c>
      <c r="M2604" t="s">
        <v>639</v>
      </c>
      <c r="N2604" s="166">
        <v>21.02</v>
      </c>
      <c r="O2604" t="s">
        <v>131</v>
      </c>
    </row>
    <row r="2605" spans="1:15">
      <c r="A2605" s="166" t="s">
        <v>2368</v>
      </c>
      <c r="B2605" t="s">
        <v>111</v>
      </c>
      <c r="C2605" t="s">
        <v>134</v>
      </c>
      <c r="D2605" t="s">
        <v>118</v>
      </c>
      <c r="E2605" t="s">
        <v>668</v>
      </c>
      <c r="F2605" t="s">
        <v>6</v>
      </c>
      <c r="G2605" t="s">
        <v>130</v>
      </c>
      <c r="H2605" s="1">
        <v>46118</v>
      </c>
      <c r="I2605" t="s">
        <v>2369</v>
      </c>
      <c r="J2605" t="s">
        <v>2370</v>
      </c>
      <c r="K2605" t="s">
        <v>1285</v>
      </c>
      <c r="L2605" t="s">
        <v>2004</v>
      </c>
      <c r="M2605" t="s">
        <v>1328</v>
      </c>
      <c r="N2605" s="166">
        <v>19.54</v>
      </c>
      <c r="O2605" t="s">
        <v>131</v>
      </c>
    </row>
    <row r="2606" spans="1:15">
      <c r="A2606" s="166" t="s">
        <v>2371</v>
      </c>
      <c r="B2606" t="s">
        <v>111</v>
      </c>
      <c r="C2606" t="s">
        <v>136</v>
      </c>
      <c r="D2606" t="s">
        <v>118</v>
      </c>
      <c r="E2606" t="s">
        <v>668</v>
      </c>
      <c r="F2606" t="s">
        <v>6</v>
      </c>
      <c r="G2606" t="s">
        <v>130</v>
      </c>
      <c r="H2606" s="1">
        <v>46118</v>
      </c>
      <c r="I2606" t="s">
        <v>2372</v>
      </c>
      <c r="J2606" t="s">
        <v>2373</v>
      </c>
      <c r="K2606" t="s">
        <v>2374</v>
      </c>
      <c r="L2606" t="s">
        <v>1499</v>
      </c>
      <c r="M2606" t="s">
        <v>2375</v>
      </c>
      <c r="N2606" s="166">
        <v>24.96</v>
      </c>
      <c r="O2606" t="s">
        <v>131</v>
      </c>
    </row>
    <row r="2607" spans="1:15">
      <c r="A2607" s="166" t="s">
        <v>2376</v>
      </c>
      <c r="B2607" t="s">
        <v>111</v>
      </c>
      <c r="C2607" t="s">
        <v>135</v>
      </c>
      <c r="D2607" t="s">
        <v>118</v>
      </c>
      <c r="E2607" t="s">
        <v>668</v>
      </c>
      <c r="F2607" t="s">
        <v>6</v>
      </c>
      <c r="G2607" t="s">
        <v>130</v>
      </c>
      <c r="H2607" s="1">
        <v>46118</v>
      </c>
      <c r="I2607" t="s">
        <v>2377</v>
      </c>
      <c r="J2607" t="s">
        <v>2378</v>
      </c>
      <c r="K2607" t="s">
        <v>2379</v>
      </c>
      <c r="L2607" t="s">
        <v>503</v>
      </c>
      <c r="M2607" t="s">
        <v>185</v>
      </c>
      <c r="N2607" s="166">
        <v>20.72</v>
      </c>
      <c r="O2607" t="s">
        <v>131</v>
      </c>
    </row>
    <row r="2608" spans="1:15">
      <c r="A2608" s="166" t="s">
        <v>2380</v>
      </c>
      <c r="B2608" t="s">
        <v>111</v>
      </c>
      <c r="C2608" t="s">
        <v>133</v>
      </c>
      <c r="D2608" t="s">
        <v>118</v>
      </c>
      <c r="E2608" t="s">
        <v>668</v>
      </c>
      <c r="F2608" t="s">
        <v>6</v>
      </c>
      <c r="G2608" t="s">
        <v>130</v>
      </c>
      <c r="H2608" s="1">
        <v>46118</v>
      </c>
      <c r="I2608" t="s">
        <v>2381</v>
      </c>
      <c r="J2608" t="s">
        <v>2382</v>
      </c>
      <c r="K2608" t="s">
        <v>554</v>
      </c>
      <c r="L2608" t="s">
        <v>672</v>
      </c>
      <c r="M2608" t="s">
        <v>1701</v>
      </c>
      <c r="N2608" s="166">
        <v>21.14</v>
      </c>
      <c r="O2608" t="s">
        <v>131</v>
      </c>
    </row>
    <row r="2609" spans="1:15">
      <c r="A2609" s="166" t="s">
        <v>2383</v>
      </c>
      <c r="B2609" t="s">
        <v>111</v>
      </c>
      <c r="C2609" t="s">
        <v>136</v>
      </c>
      <c r="D2609" t="s">
        <v>118</v>
      </c>
      <c r="E2609" t="s">
        <v>668</v>
      </c>
      <c r="F2609" t="s">
        <v>6</v>
      </c>
      <c r="G2609" t="s">
        <v>130</v>
      </c>
      <c r="H2609" s="1">
        <v>46118</v>
      </c>
      <c r="I2609" t="s">
        <v>2384</v>
      </c>
      <c r="J2609" t="s">
        <v>2385</v>
      </c>
      <c r="K2609" t="s">
        <v>2386</v>
      </c>
      <c r="L2609" t="s">
        <v>1499</v>
      </c>
      <c r="M2609" t="s">
        <v>2387</v>
      </c>
      <c r="N2609" s="166">
        <v>27.46</v>
      </c>
      <c r="O2609" t="s">
        <v>131</v>
      </c>
    </row>
    <row r="2610" spans="1:15">
      <c r="A2610" s="166" t="s">
        <v>2388</v>
      </c>
      <c r="B2610" t="s">
        <v>111</v>
      </c>
      <c r="C2610" t="s">
        <v>134</v>
      </c>
      <c r="D2610" t="s">
        <v>118</v>
      </c>
      <c r="E2610" t="s">
        <v>668</v>
      </c>
      <c r="F2610" t="s">
        <v>6</v>
      </c>
      <c r="G2610" t="s">
        <v>130</v>
      </c>
      <c r="H2610" s="1">
        <v>46118</v>
      </c>
      <c r="I2610" t="s">
        <v>2389</v>
      </c>
      <c r="J2610" t="s">
        <v>2390</v>
      </c>
      <c r="K2610" t="s">
        <v>159</v>
      </c>
      <c r="L2610" t="s">
        <v>2267</v>
      </c>
      <c r="M2610" t="s">
        <v>166</v>
      </c>
      <c r="N2610" s="166">
        <v>23.1</v>
      </c>
      <c r="O2610" t="s">
        <v>131</v>
      </c>
    </row>
    <row r="2611" spans="1:15">
      <c r="A2611" s="166" t="s">
        <v>2391</v>
      </c>
      <c r="B2611" t="s">
        <v>111</v>
      </c>
      <c r="C2611" t="s">
        <v>133</v>
      </c>
      <c r="D2611" t="s">
        <v>118</v>
      </c>
      <c r="E2611" t="s">
        <v>668</v>
      </c>
      <c r="F2611" t="s">
        <v>6</v>
      </c>
      <c r="G2611" t="s">
        <v>130</v>
      </c>
      <c r="H2611" s="1">
        <v>46118</v>
      </c>
      <c r="I2611" t="s">
        <v>2392</v>
      </c>
      <c r="J2611" t="s">
        <v>2393</v>
      </c>
      <c r="K2611" t="s">
        <v>2394</v>
      </c>
      <c r="L2611" t="s">
        <v>2184</v>
      </c>
      <c r="M2611" t="s">
        <v>2395</v>
      </c>
      <c r="N2611" s="166">
        <v>23.22</v>
      </c>
      <c r="O2611" t="s">
        <v>131</v>
      </c>
    </row>
    <row r="2612" spans="1:15">
      <c r="A2612" s="166" t="s">
        <v>2396</v>
      </c>
      <c r="B2612" t="s">
        <v>111</v>
      </c>
      <c r="C2612" t="s">
        <v>136</v>
      </c>
      <c r="D2612" t="s">
        <v>118</v>
      </c>
      <c r="E2612" t="s">
        <v>668</v>
      </c>
      <c r="F2612" t="s">
        <v>6</v>
      </c>
      <c r="G2612" t="s">
        <v>130</v>
      </c>
      <c r="H2612" s="1">
        <v>46118</v>
      </c>
      <c r="I2612" t="s">
        <v>2397</v>
      </c>
      <c r="J2612" t="s">
        <v>2398</v>
      </c>
      <c r="K2612" t="s">
        <v>1056</v>
      </c>
      <c r="L2612" t="s">
        <v>1499</v>
      </c>
      <c r="M2612" t="s">
        <v>1108</v>
      </c>
      <c r="N2612" s="166">
        <v>20.64</v>
      </c>
      <c r="O2612" t="s">
        <v>131</v>
      </c>
    </row>
    <row r="2613" spans="1:15">
      <c r="A2613" s="166" t="s">
        <v>2399</v>
      </c>
      <c r="B2613" t="s">
        <v>111</v>
      </c>
      <c r="C2613" t="s">
        <v>641</v>
      </c>
      <c r="D2613" t="s">
        <v>118</v>
      </c>
      <c r="E2613" t="s">
        <v>558</v>
      </c>
      <c r="F2613" t="s">
        <v>7</v>
      </c>
      <c r="G2613" t="s">
        <v>130</v>
      </c>
      <c r="H2613" s="1">
        <v>46118</v>
      </c>
      <c r="I2613" t="s">
        <v>2400</v>
      </c>
      <c r="J2613" t="s">
        <v>2401</v>
      </c>
      <c r="K2613" t="s">
        <v>1697</v>
      </c>
      <c r="L2613" t="s">
        <v>616</v>
      </c>
      <c r="M2613" t="s">
        <v>2402</v>
      </c>
      <c r="N2613" s="166">
        <v>20.04</v>
      </c>
      <c r="O2613" t="s">
        <v>131</v>
      </c>
    </row>
    <row r="2614" spans="1:15">
      <c r="A2614" s="166" t="s">
        <v>2403</v>
      </c>
      <c r="B2614" t="s">
        <v>111</v>
      </c>
      <c r="C2614" t="s">
        <v>134</v>
      </c>
      <c r="D2614" t="s">
        <v>118</v>
      </c>
      <c r="E2614" t="s">
        <v>558</v>
      </c>
      <c r="F2614" t="s">
        <v>7</v>
      </c>
      <c r="G2614" t="s">
        <v>130</v>
      </c>
      <c r="H2614" s="1">
        <v>46118</v>
      </c>
      <c r="I2614" t="s">
        <v>2404</v>
      </c>
      <c r="J2614" t="s">
        <v>2405</v>
      </c>
      <c r="K2614" t="s">
        <v>1818</v>
      </c>
      <c r="L2614" t="s">
        <v>672</v>
      </c>
      <c r="M2614" t="s">
        <v>2406</v>
      </c>
      <c r="N2614" s="166">
        <v>20.12</v>
      </c>
      <c r="O2614" t="s">
        <v>131</v>
      </c>
    </row>
    <row r="2615" spans="1:15">
      <c r="A2615" s="166" t="s">
        <v>2407</v>
      </c>
      <c r="B2615" t="s">
        <v>111</v>
      </c>
      <c r="C2615" t="s">
        <v>135</v>
      </c>
      <c r="D2615" t="s">
        <v>118</v>
      </c>
      <c r="E2615" t="s">
        <v>558</v>
      </c>
      <c r="F2615" t="s">
        <v>7</v>
      </c>
      <c r="G2615" t="s">
        <v>130</v>
      </c>
      <c r="H2615" s="1">
        <v>46118</v>
      </c>
      <c r="I2615" t="s">
        <v>2408</v>
      </c>
      <c r="J2615" t="s">
        <v>2409</v>
      </c>
      <c r="K2615" t="s">
        <v>2135</v>
      </c>
      <c r="L2615" t="s">
        <v>143</v>
      </c>
      <c r="M2615" t="s">
        <v>179</v>
      </c>
      <c r="N2615" s="166">
        <v>20.100000000000001</v>
      </c>
      <c r="O2615" t="s">
        <v>131</v>
      </c>
    </row>
    <row r="2616" spans="1:15">
      <c r="A2616" s="166" t="s">
        <v>2410</v>
      </c>
      <c r="B2616" t="s">
        <v>111</v>
      </c>
      <c r="C2616" t="s">
        <v>406</v>
      </c>
      <c r="D2616" t="s">
        <v>118</v>
      </c>
      <c r="E2616" t="s">
        <v>668</v>
      </c>
      <c r="F2616" t="s">
        <v>7</v>
      </c>
      <c r="G2616" t="s">
        <v>130</v>
      </c>
      <c r="H2616" s="1">
        <v>46118</v>
      </c>
      <c r="I2616" t="s">
        <v>2411</v>
      </c>
      <c r="J2616" t="s">
        <v>2412</v>
      </c>
      <c r="K2616" t="s">
        <v>2413</v>
      </c>
      <c r="L2616" t="s">
        <v>180</v>
      </c>
      <c r="M2616" t="s">
        <v>773</v>
      </c>
      <c r="N2616" s="166">
        <v>20.66</v>
      </c>
      <c r="O2616" t="s">
        <v>131</v>
      </c>
    </row>
    <row r="2617" spans="1:15">
      <c r="A2617" s="166" t="s">
        <v>2414</v>
      </c>
      <c r="B2617" t="s">
        <v>111</v>
      </c>
      <c r="C2617" t="s">
        <v>136</v>
      </c>
      <c r="D2617" t="s">
        <v>118</v>
      </c>
      <c r="E2617" t="s">
        <v>668</v>
      </c>
      <c r="F2617" t="s">
        <v>7</v>
      </c>
      <c r="G2617" t="s">
        <v>130</v>
      </c>
      <c r="H2617" s="1">
        <v>46118</v>
      </c>
      <c r="I2617" t="s">
        <v>2415</v>
      </c>
      <c r="J2617" t="s">
        <v>2416</v>
      </c>
      <c r="K2617" t="s">
        <v>1549</v>
      </c>
      <c r="L2617" t="s">
        <v>1582</v>
      </c>
      <c r="M2617" t="s">
        <v>731</v>
      </c>
      <c r="N2617" s="166">
        <v>20.82</v>
      </c>
      <c r="O2617" t="s">
        <v>131</v>
      </c>
    </row>
    <row r="2618" spans="1:15">
      <c r="A2618" s="166" t="s">
        <v>2417</v>
      </c>
      <c r="B2618" t="s">
        <v>111</v>
      </c>
      <c r="C2618" t="s">
        <v>133</v>
      </c>
      <c r="D2618" t="s">
        <v>118</v>
      </c>
      <c r="E2618" t="s">
        <v>558</v>
      </c>
      <c r="F2618" t="s">
        <v>7</v>
      </c>
      <c r="G2618" t="s">
        <v>130</v>
      </c>
      <c r="H2618" s="1">
        <v>46118</v>
      </c>
      <c r="I2618" t="s">
        <v>2418</v>
      </c>
      <c r="J2618" t="s">
        <v>2419</v>
      </c>
      <c r="K2618" t="s">
        <v>1525</v>
      </c>
      <c r="L2618" t="s">
        <v>2127</v>
      </c>
      <c r="M2618" t="s">
        <v>1425</v>
      </c>
      <c r="N2618" s="166">
        <v>19.52</v>
      </c>
      <c r="O2618" t="s">
        <v>131</v>
      </c>
    </row>
    <row r="2619" spans="1:15">
      <c r="A2619" s="166" t="s">
        <v>2420</v>
      </c>
      <c r="B2619" t="s">
        <v>111</v>
      </c>
      <c r="C2619" t="s">
        <v>641</v>
      </c>
      <c r="D2619" t="s">
        <v>118</v>
      </c>
      <c r="E2619" t="s">
        <v>558</v>
      </c>
      <c r="F2619" t="s">
        <v>7</v>
      </c>
      <c r="G2619" t="s">
        <v>130</v>
      </c>
      <c r="H2619" s="1">
        <v>46118</v>
      </c>
      <c r="I2619" t="s">
        <v>2421</v>
      </c>
      <c r="J2619" t="s">
        <v>2422</v>
      </c>
      <c r="K2619" t="s">
        <v>595</v>
      </c>
      <c r="L2619" t="s">
        <v>777</v>
      </c>
      <c r="M2619" t="s">
        <v>1145</v>
      </c>
      <c r="N2619" s="166">
        <v>19.579999999999998</v>
      </c>
      <c r="O2619" t="s">
        <v>131</v>
      </c>
    </row>
    <row r="2620" spans="1:15">
      <c r="A2620" s="166" t="s">
        <v>2423</v>
      </c>
      <c r="B2620" t="s">
        <v>111</v>
      </c>
      <c r="C2620" t="s">
        <v>2424</v>
      </c>
      <c r="D2620" t="s">
        <v>118</v>
      </c>
      <c r="E2620" t="s">
        <v>558</v>
      </c>
      <c r="F2620" t="s">
        <v>7</v>
      </c>
      <c r="G2620" t="s">
        <v>130</v>
      </c>
      <c r="H2620" s="1">
        <v>46118</v>
      </c>
      <c r="I2620" t="s">
        <v>2425</v>
      </c>
      <c r="J2620" t="s">
        <v>2426</v>
      </c>
      <c r="K2620" t="s">
        <v>448</v>
      </c>
      <c r="L2620" t="s">
        <v>2024</v>
      </c>
      <c r="M2620" t="s">
        <v>1102</v>
      </c>
      <c r="N2620" s="166">
        <v>18.88</v>
      </c>
      <c r="O2620" t="s">
        <v>131</v>
      </c>
    </row>
    <row r="2621" spans="1:15">
      <c r="A2621" s="166" t="s">
        <v>2427</v>
      </c>
      <c r="B2621" t="s">
        <v>111</v>
      </c>
      <c r="C2621" t="s">
        <v>134</v>
      </c>
      <c r="D2621" t="s">
        <v>118</v>
      </c>
      <c r="E2621" t="s">
        <v>558</v>
      </c>
      <c r="F2621" t="s">
        <v>7</v>
      </c>
      <c r="G2621" t="s">
        <v>130</v>
      </c>
      <c r="H2621" s="1">
        <v>46118</v>
      </c>
      <c r="I2621" t="s">
        <v>2428</v>
      </c>
      <c r="J2621" t="s">
        <v>2429</v>
      </c>
      <c r="K2621" t="s">
        <v>2430</v>
      </c>
      <c r="L2621" t="s">
        <v>2004</v>
      </c>
      <c r="M2621" t="s">
        <v>1258</v>
      </c>
      <c r="N2621" s="166">
        <v>19.420000000000002</v>
      </c>
      <c r="O2621" t="s">
        <v>131</v>
      </c>
    </row>
    <row r="2622" spans="1:15">
      <c r="A2622" s="166" t="s">
        <v>2431</v>
      </c>
      <c r="B2622" t="s">
        <v>111</v>
      </c>
      <c r="C2622" t="s">
        <v>135</v>
      </c>
      <c r="D2622" t="s">
        <v>118</v>
      </c>
      <c r="E2622" t="s">
        <v>558</v>
      </c>
      <c r="F2622" t="s">
        <v>7</v>
      </c>
      <c r="G2622" t="s">
        <v>130</v>
      </c>
      <c r="H2622" s="1">
        <v>46118</v>
      </c>
      <c r="I2622" t="s">
        <v>2432</v>
      </c>
      <c r="J2622" t="s">
        <v>2433</v>
      </c>
      <c r="K2622" t="s">
        <v>1591</v>
      </c>
      <c r="L2622" t="s">
        <v>146</v>
      </c>
      <c r="M2622" t="s">
        <v>623</v>
      </c>
      <c r="N2622" s="166">
        <v>20.86</v>
      </c>
      <c r="O2622" t="s">
        <v>131</v>
      </c>
    </row>
    <row r="2623" spans="1:15">
      <c r="A2623" s="166" t="s">
        <v>2434</v>
      </c>
      <c r="B2623" t="s">
        <v>111</v>
      </c>
      <c r="C2623" t="s">
        <v>406</v>
      </c>
      <c r="D2623" t="s">
        <v>118</v>
      </c>
      <c r="E2623" t="s">
        <v>558</v>
      </c>
      <c r="F2623" t="s">
        <v>7</v>
      </c>
      <c r="G2623" t="s">
        <v>130</v>
      </c>
      <c r="H2623" s="1">
        <v>46118</v>
      </c>
      <c r="I2623" t="s">
        <v>2435</v>
      </c>
      <c r="J2623" t="s">
        <v>2436</v>
      </c>
      <c r="K2623" t="s">
        <v>1201</v>
      </c>
      <c r="L2623" t="s">
        <v>180</v>
      </c>
      <c r="M2623" t="s">
        <v>2437</v>
      </c>
      <c r="N2623" s="166">
        <v>20.52</v>
      </c>
      <c r="O2623" t="s">
        <v>131</v>
      </c>
    </row>
    <row r="2624" spans="1:15">
      <c r="A2624" s="166" t="s">
        <v>2438</v>
      </c>
      <c r="B2624" t="s">
        <v>111</v>
      </c>
      <c r="C2624" t="s">
        <v>133</v>
      </c>
      <c r="D2624" t="s">
        <v>118</v>
      </c>
      <c r="E2624" t="s">
        <v>558</v>
      </c>
      <c r="F2624" t="s">
        <v>7</v>
      </c>
      <c r="G2624" t="s">
        <v>130</v>
      </c>
      <c r="H2624" s="1">
        <v>46118</v>
      </c>
      <c r="I2624" t="s">
        <v>2439</v>
      </c>
      <c r="J2624" t="s">
        <v>2440</v>
      </c>
      <c r="K2624" t="s">
        <v>1661</v>
      </c>
      <c r="L2624" t="s">
        <v>2267</v>
      </c>
      <c r="M2624" t="s">
        <v>791</v>
      </c>
      <c r="N2624" s="166">
        <v>19.079999999999998</v>
      </c>
      <c r="O2624" t="s">
        <v>131</v>
      </c>
    </row>
    <row r="2625" spans="1:15">
      <c r="A2625" s="166" t="s">
        <v>2441</v>
      </c>
      <c r="B2625" t="s">
        <v>111</v>
      </c>
      <c r="C2625" t="s">
        <v>136</v>
      </c>
      <c r="D2625" t="s">
        <v>118</v>
      </c>
      <c r="E2625" t="s">
        <v>668</v>
      </c>
      <c r="F2625" t="s">
        <v>7</v>
      </c>
      <c r="G2625" t="s">
        <v>130</v>
      </c>
      <c r="H2625" s="1">
        <v>46118</v>
      </c>
      <c r="I2625" t="s">
        <v>2442</v>
      </c>
      <c r="J2625" t="s">
        <v>2443</v>
      </c>
      <c r="K2625" t="s">
        <v>204</v>
      </c>
      <c r="L2625" t="s">
        <v>1582</v>
      </c>
      <c r="M2625" t="s">
        <v>1108</v>
      </c>
      <c r="N2625" s="166">
        <v>20.64</v>
      </c>
      <c r="O2625" t="s">
        <v>131</v>
      </c>
    </row>
    <row r="2626" spans="1:15">
      <c r="A2626" s="166" t="s">
        <v>2444</v>
      </c>
      <c r="B2626" t="s">
        <v>111</v>
      </c>
      <c r="C2626" t="s">
        <v>641</v>
      </c>
      <c r="D2626" t="s">
        <v>118</v>
      </c>
      <c r="E2626" t="s">
        <v>558</v>
      </c>
      <c r="F2626" t="s">
        <v>7</v>
      </c>
      <c r="G2626" t="s">
        <v>130</v>
      </c>
      <c r="H2626" s="1">
        <v>46118</v>
      </c>
      <c r="I2626" t="s">
        <v>2445</v>
      </c>
      <c r="J2626" t="s">
        <v>2446</v>
      </c>
      <c r="K2626" t="s">
        <v>1131</v>
      </c>
      <c r="L2626" t="s">
        <v>777</v>
      </c>
      <c r="M2626" t="s">
        <v>1173</v>
      </c>
      <c r="N2626" s="166">
        <v>19.34</v>
      </c>
      <c r="O2626" t="s">
        <v>131</v>
      </c>
    </row>
    <row r="2627" spans="1:15">
      <c r="A2627" s="166" t="s">
        <v>2447</v>
      </c>
      <c r="B2627" t="s">
        <v>111</v>
      </c>
      <c r="C2627" t="s">
        <v>2424</v>
      </c>
      <c r="D2627" t="s">
        <v>118</v>
      </c>
      <c r="E2627" t="s">
        <v>558</v>
      </c>
      <c r="F2627" t="s">
        <v>7</v>
      </c>
      <c r="G2627" t="s">
        <v>130</v>
      </c>
      <c r="H2627" s="1">
        <v>46118</v>
      </c>
      <c r="I2627" t="s">
        <v>2448</v>
      </c>
      <c r="J2627" t="s">
        <v>2449</v>
      </c>
      <c r="K2627" t="s">
        <v>514</v>
      </c>
      <c r="L2627" t="s">
        <v>2450</v>
      </c>
      <c r="M2627" t="s">
        <v>1468</v>
      </c>
      <c r="N2627" s="166">
        <v>19</v>
      </c>
      <c r="O2627" t="s">
        <v>131</v>
      </c>
    </row>
    <row r="2628" spans="1:15">
      <c r="A2628" s="166" t="s">
        <v>2451</v>
      </c>
      <c r="B2628" t="s">
        <v>111</v>
      </c>
      <c r="C2628" t="s">
        <v>134</v>
      </c>
      <c r="D2628" t="s">
        <v>118</v>
      </c>
      <c r="E2628" t="s">
        <v>558</v>
      </c>
      <c r="F2628" t="s">
        <v>7</v>
      </c>
      <c r="G2628" t="s">
        <v>130</v>
      </c>
      <c r="H2628" s="1">
        <v>46118</v>
      </c>
      <c r="I2628" t="s">
        <v>2452</v>
      </c>
      <c r="J2628" t="s">
        <v>2453</v>
      </c>
      <c r="K2628" t="s">
        <v>1337</v>
      </c>
      <c r="L2628" t="s">
        <v>2004</v>
      </c>
      <c r="M2628" t="s">
        <v>832</v>
      </c>
      <c r="N2628" s="166">
        <v>18.72</v>
      </c>
      <c r="O2628" t="s">
        <v>131</v>
      </c>
    </row>
    <row r="2629" spans="1:15">
      <c r="A2629" s="166" t="s">
        <v>2454</v>
      </c>
      <c r="B2629" t="s">
        <v>111</v>
      </c>
      <c r="C2629" t="s">
        <v>406</v>
      </c>
      <c r="D2629" t="s">
        <v>118</v>
      </c>
      <c r="E2629" t="s">
        <v>558</v>
      </c>
      <c r="F2629" t="s">
        <v>7</v>
      </c>
      <c r="G2629" t="s">
        <v>130</v>
      </c>
      <c r="H2629" s="1">
        <v>46118</v>
      </c>
      <c r="I2629" t="s">
        <v>2455</v>
      </c>
      <c r="J2629" t="s">
        <v>2456</v>
      </c>
      <c r="K2629" t="s">
        <v>2379</v>
      </c>
      <c r="L2629" t="s">
        <v>2457</v>
      </c>
      <c r="M2629" t="s">
        <v>1178</v>
      </c>
      <c r="N2629" s="166">
        <v>21.12</v>
      </c>
      <c r="O2629" t="s">
        <v>131</v>
      </c>
    </row>
    <row r="2630" spans="1:15">
      <c r="A2630" s="166" t="s">
        <v>2458</v>
      </c>
      <c r="B2630" t="s">
        <v>111</v>
      </c>
      <c r="C2630" t="s">
        <v>135</v>
      </c>
      <c r="D2630" t="s">
        <v>118</v>
      </c>
      <c r="E2630" t="s">
        <v>558</v>
      </c>
      <c r="F2630" t="s">
        <v>7</v>
      </c>
      <c r="G2630" t="s">
        <v>130</v>
      </c>
      <c r="H2630" s="1">
        <v>46118</v>
      </c>
      <c r="I2630" t="s">
        <v>2459</v>
      </c>
      <c r="J2630" t="s">
        <v>2460</v>
      </c>
      <c r="K2630" t="s">
        <v>610</v>
      </c>
      <c r="L2630" t="s">
        <v>143</v>
      </c>
      <c r="M2630" t="s">
        <v>917</v>
      </c>
      <c r="N2630" s="166">
        <v>22.5</v>
      </c>
      <c r="O2630" t="s">
        <v>131</v>
      </c>
    </row>
    <row r="2631" spans="1:15">
      <c r="A2631" s="166" t="s">
        <v>2461</v>
      </c>
      <c r="B2631" t="s">
        <v>111</v>
      </c>
      <c r="C2631" t="s">
        <v>133</v>
      </c>
      <c r="D2631" t="s">
        <v>118</v>
      </c>
      <c r="E2631" t="s">
        <v>558</v>
      </c>
      <c r="F2631" t="s">
        <v>7</v>
      </c>
      <c r="G2631" t="s">
        <v>130</v>
      </c>
      <c r="H2631" s="1">
        <v>46118</v>
      </c>
      <c r="I2631" t="s">
        <v>2462</v>
      </c>
      <c r="J2631" t="s">
        <v>2463</v>
      </c>
      <c r="K2631" t="s">
        <v>1591</v>
      </c>
      <c r="L2631" t="s">
        <v>2267</v>
      </c>
      <c r="M2631" t="s">
        <v>1907</v>
      </c>
      <c r="N2631" s="166">
        <v>19.66</v>
      </c>
      <c r="O2631" t="s">
        <v>131</v>
      </c>
    </row>
    <row r="2632" spans="1:15">
      <c r="A2632" s="166" t="s">
        <v>2464</v>
      </c>
      <c r="B2632" t="s">
        <v>111</v>
      </c>
      <c r="C2632" t="s">
        <v>641</v>
      </c>
      <c r="D2632" t="s">
        <v>118</v>
      </c>
      <c r="E2632" t="s">
        <v>558</v>
      </c>
      <c r="F2632" t="s">
        <v>7</v>
      </c>
      <c r="G2632" t="s">
        <v>130</v>
      </c>
      <c r="H2632" s="1">
        <v>46118</v>
      </c>
      <c r="I2632" t="s">
        <v>2465</v>
      </c>
      <c r="J2632" t="s">
        <v>2466</v>
      </c>
      <c r="K2632" t="s">
        <v>1056</v>
      </c>
      <c r="L2632" t="s">
        <v>777</v>
      </c>
      <c r="M2632" t="s">
        <v>1757</v>
      </c>
      <c r="N2632" s="166">
        <v>20.28</v>
      </c>
      <c r="O2632" t="s">
        <v>131</v>
      </c>
    </row>
    <row r="2633" spans="1:15">
      <c r="A2633" s="166" t="s">
        <v>2467</v>
      </c>
      <c r="B2633" t="s">
        <v>111</v>
      </c>
      <c r="C2633" t="s">
        <v>136</v>
      </c>
      <c r="D2633" t="s">
        <v>118</v>
      </c>
      <c r="E2633" t="s">
        <v>558</v>
      </c>
      <c r="F2633" t="s">
        <v>7</v>
      </c>
      <c r="G2633" t="s">
        <v>130</v>
      </c>
      <c r="H2633" s="1">
        <v>46118</v>
      </c>
      <c r="I2633" t="s">
        <v>2468</v>
      </c>
      <c r="J2633" t="s">
        <v>2469</v>
      </c>
      <c r="K2633" t="s">
        <v>1541</v>
      </c>
      <c r="L2633" t="s">
        <v>529</v>
      </c>
      <c r="M2633" t="s">
        <v>1529</v>
      </c>
      <c r="N2633" s="166">
        <v>19.88</v>
      </c>
      <c r="O2633" t="s">
        <v>131</v>
      </c>
    </row>
    <row r="2634" spans="1:15">
      <c r="A2634" s="166" t="s">
        <v>2470</v>
      </c>
      <c r="B2634" t="s">
        <v>111</v>
      </c>
      <c r="C2634" t="s">
        <v>2424</v>
      </c>
      <c r="D2634" t="s">
        <v>118</v>
      </c>
      <c r="E2634" t="s">
        <v>558</v>
      </c>
      <c r="F2634" t="s">
        <v>7</v>
      </c>
      <c r="G2634" t="s">
        <v>130</v>
      </c>
      <c r="H2634" s="1">
        <v>46118</v>
      </c>
      <c r="I2634" t="s">
        <v>2471</v>
      </c>
      <c r="J2634" t="s">
        <v>2472</v>
      </c>
      <c r="K2634" t="s">
        <v>1889</v>
      </c>
      <c r="L2634" t="s">
        <v>2473</v>
      </c>
      <c r="M2634" t="s">
        <v>2474</v>
      </c>
      <c r="N2634" s="166">
        <v>17.68</v>
      </c>
      <c r="O2634" t="s">
        <v>131</v>
      </c>
    </row>
    <row r="2635" spans="1:15">
      <c r="A2635" s="166" t="s">
        <v>2475</v>
      </c>
      <c r="B2635" t="s">
        <v>111</v>
      </c>
      <c r="C2635" t="s">
        <v>134</v>
      </c>
      <c r="D2635" t="s">
        <v>118</v>
      </c>
      <c r="E2635" t="s">
        <v>558</v>
      </c>
      <c r="F2635" t="s">
        <v>7</v>
      </c>
      <c r="G2635" t="s">
        <v>130</v>
      </c>
      <c r="H2635" s="1">
        <v>46118</v>
      </c>
      <c r="I2635" t="s">
        <v>2476</v>
      </c>
      <c r="J2635" t="s">
        <v>2477</v>
      </c>
      <c r="K2635" t="s">
        <v>2478</v>
      </c>
      <c r="L2635" t="s">
        <v>2004</v>
      </c>
      <c r="M2635" t="s">
        <v>2116</v>
      </c>
      <c r="N2635" s="166">
        <v>20.46</v>
      </c>
      <c r="O2635" t="s">
        <v>131</v>
      </c>
    </row>
    <row r="2636" spans="1:15">
      <c r="A2636" s="166" t="s">
        <v>2479</v>
      </c>
      <c r="B2636" t="s">
        <v>111</v>
      </c>
      <c r="C2636" t="s">
        <v>135</v>
      </c>
      <c r="D2636" t="s">
        <v>118</v>
      </c>
      <c r="E2636" t="s">
        <v>558</v>
      </c>
      <c r="F2636" t="s">
        <v>7</v>
      </c>
      <c r="G2636" t="s">
        <v>130</v>
      </c>
      <c r="H2636" s="1">
        <v>46118</v>
      </c>
      <c r="I2636" t="s">
        <v>2480</v>
      </c>
      <c r="J2636" t="s">
        <v>2481</v>
      </c>
      <c r="K2636" t="s">
        <v>1094</v>
      </c>
      <c r="L2636" t="s">
        <v>157</v>
      </c>
      <c r="M2636" t="s">
        <v>682</v>
      </c>
      <c r="N2636" s="166">
        <v>23.34</v>
      </c>
      <c r="O2636" t="s">
        <v>131</v>
      </c>
    </row>
    <row r="2637" spans="1:15">
      <c r="A2637" s="166" t="s">
        <v>2482</v>
      </c>
      <c r="B2637" t="s">
        <v>111</v>
      </c>
      <c r="C2637" t="s">
        <v>133</v>
      </c>
      <c r="D2637" t="s">
        <v>118</v>
      </c>
      <c r="E2637" t="s">
        <v>430</v>
      </c>
      <c r="F2637" t="s">
        <v>7</v>
      </c>
      <c r="G2637" t="s">
        <v>130</v>
      </c>
      <c r="H2637" s="1">
        <v>46119</v>
      </c>
      <c r="I2637" t="s">
        <v>2483</v>
      </c>
      <c r="J2637" t="s">
        <v>2484</v>
      </c>
      <c r="K2637" t="s">
        <v>454</v>
      </c>
      <c r="L2637" t="s">
        <v>611</v>
      </c>
      <c r="M2637" t="s">
        <v>773</v>
      </c>
      <c r="N2637" s="166">
        <v>20.66</v>
      </c>
      <c r="O2637" t="s">
        <v>131</v>
      </c>
    </row>
    <row r="2638" spans="1:15">
      <c r="A2638" s="166" t="s">
        <v>2485</v>
      </c>
      <c r="B2638" t="s">
        <v>111</v>
      </c>
      <c r="C2638" t="s">
        <v>136</v>
      </c>
      <c r="D2638" t="s">
        <v>118</v>
      </c>
      <c r="E2638" t="s">
        <v>430</v>
      </c>
      <c r="F2638" t="s">
        <v>7</v>
      </c>
      <c r="G2638" t="s">
        <v>130</v>
      </c>
      <c r="H2638" s="1">
        <v>46119</v>
      </c>
      <c r="I2638" t="s">
        <v>2486</v>
      </c>
      <c r="J2638" t="s">
        <v>2487</v>
      </c>
      <c r="K2638" t="s">
        <v>830</v>
      </c>
      <c r="L2638" t="s">
        <v>1109</v>
      </c>
      <c r="M2638" t="s">
        <v>1802</v>
      </c>
      <c r="N2638" s="166">
        <v>19.399999999999999</v>
      </c>
      <c r="O2638" t="s">
        <v>131</v>
      </c>
    </row>
    <row r="2639" spans="1:15">
      <c r="A2639" s="166" t="s">
        <v>2488</v>
      </c>
      <c r="B2639" t="s">
        <v>111</v>
      </c>
      <c r="C2639" t="s">
        <v>134</v>
      </c>
      <c r="D2639" t="s">
        <v>118</v>
      </c>
      <c r="E2639" t="s">
        <v>430</v>
      </c>
      <c r="F2639" t="s">
        <v>7</v>
      </c>
      <c r="G2639" t="s">
        <v>130</v>
      </c>
      <c r="H2639" s="1">
        <v>46119</v>
      </c>
      <c r="I2639" t="s">
        <v>2489</v>
      </c>
      <c r="J2639" t="s">
        <v>2490</v>
      </c>
      <c r="K2639" t="s">
        <v>1840</v>
      </c>
      <c r="L2639" t="s">
        <v>2491</v>
      </c>
      <c r="M2639" t="s">
        <v>226</v>
      </c>
      <c r="N2639" s="166">
        <v>20.2</v>
      </c>
      <c r="O2639" t="s">
        <v>131</v>
      </c>
    </row>
    <row r="2640" spans="1:15">
      <c r="A2640" s="166" t="s">
        <v>2492</v>
      </c>
      <c r="B2640" t="s">
        <v>111</v>
      </c>
      <c r="C2640" t="s">
        <v>135</v>
      </c>
      <c r="D2640" t="s">
        <v>118</v>
      </c>
      <c r="E2640" t="s">
        <v>430</v>
      </c>
      <c r="F2640" t="s">
        <v>7</v>
      </c>
      <c r="G2640" t="s">
        <v>130</v>
      </c>
      <c r="H2640" s="1">
        <v>46119</v>
      </c>
      <c r="I2640" t="s">
        <v>2493</v>
      </c>
      <c r="J2640" t="s">
        <v>2494</v>
      </c>
      <c r="K2640" t="s">
        <v>2495</v>
      </c>
      <c r="L2640" t="s">
        <v>143</v>
      </c>
      <c r="M2640" t="s">
        <v>1819</v>
      </c>
      <c r="N2640" s="166">
        <v>20.62</v>
      </c>
      <c r="O2640" t="s">
        <v>131</v>
      </c>
    </row>
    <row r="2641" spans="1:15">
      <c r="A2641" s="166" t="s">
        <v>2496</v>
      </c>
      <c r="B2641" t="s">
        <v>111</v>
      </c>
      <c r="C2641" t="s">
        <v>133</v>
      </c>
      <c r="D2641" t="s">
        <v>118</v>
      </c>
      <c r="E2641" t="s">
        <v>430</v>
      </c>
      <c r="F2641" t="s">
        <v>7</v>
      </c>
      <c r="G2641" t="s">
        <v>130</v>
      </c>
      <c r="H2641" s="1">
        <v>46119</v>
      </c>
      <c r="I2641" t="s">
        <v>2497</v>
      </c>
      <c r="J2641" t="s">
        <v>2498</v>
      </c>
      <c r="K2641" t="s">
        <v>1377</v>
      </c>
      <c r="L2641" t="s">
        <v>1835</v>
      </c>
      <c r="M2641" t="s">
        <v>1328</v>
      </c>
      <c r="N2641" s="166">
        <v>19.54</v>
      </c>
      <c r="O2641" t="s">
        <v>131</v>
      </c>
    </row>
    <row r="2642" spans="1:15">
      <c r="A2642" s="166" t="s">
        <v>2499</v>
      </c>
      <c r="B2642" t="s">
        <v>111</v>
      </c>
      <c r="C2642" t="s">
        <v>136</v>
      </c>
      <c r="D2642" t="s">
        <v>118</v>
      </c>
      <c r="E2642" t="s">
        <v>430</v>
      </c>
      <c r="F2642" t="s">
        <v>7</v>
      </c>
      <c r="G2642" t="s">
        <v>130</v>
      </c>
      <c r="H2642" s="1">
        <v>46119</v>
      </c>
      <c r="I2642" t="s">
        <v>2500</v>
      </c>
      <c r="J2642" t="s">
        <v>2501</v>
      </c>
      <c r="K2642" t="s">
        <v>1541</v>
      </c>
      <c r="L2642" t="s">
        <v>492</v>
      </c>
      <c r="M2642" t="s">
        <v>2502</v>
      </c>
      <c r="N2642" s="166">
        <v>19.96</v>
      </c>
      <c r="O2642" t="s">
        <v>131</v>
      </c>
    </row>
    <row r="2643" spans="1:15">
      <c r="A2643" s="166" t="s">
        <v>2503</v>
      </c>
      <c r="B2643" t="s">
        <v>111</v>
      </c>
      <c r="C2643" t="s">
        <v>134</v>
      </c>
      <c r="D2643" t="s">
        <v>118</v>
      </c>
      <c r="E2643" t="s">
        <v>430</v>
      </c>
      <c r="F2643" t="s">
        <v>7</v>
      </c>
      <c r="G2643" t="s">
        <v>130</v>
      </c>
      <c r="H2643" s="1">
        <v>46119</v>
      </c>
      <c r="I2643" t="s">
        <v>2504</v>
      </c>
      <c r="J2643" t="s">
        <v>2505</v>
      </c>
      <c r="K2643" t="s">
        <v>790</v>
      </c>
      <c r="L2643" t="s">
        <v>503</v>
      </c>
      <c r="M2643" t="s">
        <v>1233</v>
      </c>
      <c r="N2643" s="166">
        <v>19.86</v>
      </c>
      <c r="O2643" t="s">
        <v>131</v>
      </c>
    </row>
    <row r="2644" spans="1:15">
      <c r="A2644" s="166" t="s">
        <v>2506</v>
      </c>
      <c r="B2644" t="s">
        <v>111</v>
      </c>
      <c r="C2644" t="s">
        <v>135</v>
      </c>
      <c r="D2644" t="s">
        <v>118</v>
      </c>
      <c r="E2644" t="s">
        <v>430</v>
      </c>
      <c r="F2644" t="s">
        <v>7</v>
      </c>
      <c r="G2644" t="s">
        <v>130</v>
      </c>
      <c r="H2644" s="1">
        <v>46119</v>
      </c>
      <c r="I2644" t="s">
        <v>2507</v>
      </c>
      <c r="J2644" t="s">
        <v>2508</v>
      </c>
      <c r="K2644" t="s">
        <v>1514</v>
      </c>
      <c r="L2644" t="s">
        <v>165</v>
      </c>
      <c r="M2644" t="s">
        <v>1674</v>
      </c>
      <c r="N2644" s="166">
        <v>21.24</v>
      </c>
      <c r="O2644" t="s">
        <v>131</v>
      </c>
    </row>
    <row r="2645" spans="1:15">
      <c r="A2645" s="166" t="s">
        <v>2509</v>
      </c>
      <c r="B2645" t="s">
        <v>111</v>
      </c>
      <c r="C2645" t="s">
        <v>133</v>
      </c>
      <c r="D2645" t="s">
        <v>118</v>
      </c>
      <c r="E2645" t="s">
        <v>430</v>
      </c>
      <c r="F2645" t="s">
        <v>7</v>
      </c>
      <c r="G2645" t="s">
        <v>130</v>
      </c>
      <c r="H2645" s="1">
        <v>46119</v>
      </c>
      <c r="I2645" t="s">
        <v>2510</v>
      </c>
      <c r="J2645" t="s">
        <v>2511</v>
      </c>
      <c r="K2645" t="s">
        <v>632</v>
      </c>
      <c r="L2645" t="s">
        <v>1662</v>
      </c>
      <c r="M2645" t="s">
        <v>226</v>
      </c>
      <c r="N2645" s="166">
        <v>20.2</v>
      </c>
      <c r="O2645" t="s">
        <v>131</v>
      </c>
    </row>
    <row r="2646" spans="1:15">
      <c r="A2646" s="166" t="s">
        <v>2512</v>
      </c>
      <c r="B2646" t="s">
        <v>111</v>
      </c>
      <c r="C2646" t="s">
        <v>136</v>
      </c>
      <c r="D2646" t="s">
        <v>118</v>
      </c>
      <c r="E2646" t="s">
        <v>430</v>
      </c>
      <c r="F2646" t="s">
        <v>7</v>
      </c>
      <c r="G2646" t="s">
        <v>130</v>
      </c>
      <c r="H2646" s="1">
        <v>46119</v>
      </c>
      <c r="I2646" t="s">
        <v>2513</v>
      </c>
      <c r="J2646" t="s">
        <v>2514</v>
      </c>
      <c r="K2646" t="s">
        <v>1429</v>
      </c>
      <c r="L2646" t="s">
        <v>1072</v>
      </c>
      <c r="M2646" t="s">
        <v>1577</v>
      </c>
      <c r="N2646" s="166">
        <v>19.22</v>
      </c>
      <c r="O2646" t="s">
        <v>131</v>
      </c>
    </row>
    <row r="2647" spans="1:15">
      <c r="A2647" s="166" t="s">
        <v>2515</v>
      </c>
      <c r="B2647" t="s">
        <v>111</v>
      </c>
      <c r="C2647" t="s">
        <v>134</v>
      </c>
      <c r="D2647" t="s">
        <v>118</v>
      </c>
      <c r="E2647" t="s">
        <v>430</v>
      </c>
      <c r="F2647" t="s">
        <v>7</v>
      </c>
      <c r="G2647" t="s">
        <v>130</v>
      </c>
      <c r="H2647" s="1">
        <v>46119</v>
      </c>
      <c r="I2647" t="s">
        <v>2516</v>
      </c>
      <c r="J2647" t="s">
        <v>2517</v>
      </c>
      <c r="K2647" t="s">
        <v>1279</v>
      </c>
      <c r="L2647" t="s">
        <v>1503</v>
      </c>
      <c r="M2647" t="s">
        <v>2518</v>
      </c>
      <c r="N2647" s="166">
        <v>18.64</v>
      </c>
      <c r="O2647" t="s">
        <v>131</v>
      </c>
    </row>
    <row r="2648" spans="1:15">
      <c r="A2648" s="166" t="s">
        <v>2519</v>
      </c>
      <c r="B2648" t="s">
        <v>111</v>
      </c>
      <c r="C2648" t="s">
        <v>135</v>
      </c>
      <c r="D2648" t="s">
        <v>118</v>
      </c>
      <c r="E2648" t="s">
        <v>430</v>
      </c>
      <c r="F2648" t="s">
        <v>7</v>
      </c>
      <c r="G2648" t="s">
        <v>130</v>
      </c>
      <c r="H2648" s="1">
        <v>46119</v>
      </c>
      <c r="I2648" t="s">
        <v>2520</v>
      </c>
      <c r="J2648" t="s">
        <v>2521</v>
      </c>
      <c r="K2648" t="s">
        <v>2522</v>
      </c>
      <c r="L2648" t="s">
        <v>616</v>
      </c>
      <c r="M2648" t="s">
        <v>2523</v>
      </c>
      <c r="N2648" s="166">
        <v>17.5</v>
      </c>
      <c r="O2648" t="s">
        <v>131</v>
      </c>
    </row>
    <row r="2649" spans="1:15">
      <c r="A2649" s="166" t="s">
        <v>2524</v>
      </c>
      <c r="B2649" t="s">
        <v>111</v>
      </c>
      <c r="C2649" t="s">
        <v>136</v>
      </c>
      <c r="D2649" t="s">
        <v>118</v>
      </c>
      <c r="E2649" t="s">
        <v>430</v>
      </c>
      <c r="F2649" t="s">
        <v>7</v>
      </c>
      <c r="G2649" t="s">
        <v>130</v>
      </c>
      <c r="H2649" s="1">
        <v>46119</v>
      </c>
      <c r="I2649" t="s">
        <v>2525</v>
      </c>
      <c r="J2649" t="s">
        <v>2526</v>
      </c>
      <c r="K2649" t="s">
        <v>2527</v>
      </c>
      <c r="L2649" t="s">
        <v>144</v>
      </c>
      <c r="M2649" t="s">
        <v>1132</v>
      </c>
      <c r="N2649" s="166">
        <v>18.34</v>
      </c>
      <c r="O2649" t="s">
        <v>131</v>
      </c>
    </row>
    <row r="2650" spans="1:15">
      <c r="A2650" s="166" t="s">
        <v>2528</v>
      </c>
      <c r="B2650" t="s">
        <v>111</v>
      </c>
      <c r="C2650" t="s">
        <v>133</v>
      </c>
      <c r="D2650" t="s">
        <v>118</v>
      </c>
      <c r="E2650" t="s">
        <v>430</v>
      </c>
      <c r="F2650" t="s">
        <v>7</v>
      </c>
      <c r="G2650" t="s">
        <v>130</v>
      </c>
      <c r="H2650" s="1">
        <v>46119</v>
      </c>
      <c r="I2650" t="s">
        <v>2529</v>
      </c>
      <c r="J2650" t="s">
        <v>2530</v>
      </c>
      <c r="K2650" t="s">
        <v>1918</v>
      </c>
      <c r="L2650" t="s">
        <v>2531</v>
      </c>
      <c r="M2650" t="s">
        <v>2532</v>
      </c>
      <c r="N2650" s="166">
        <v>17.420000000000002</v>
      </c>
      <c r="O2650" t="s">
        <v>131</v>
      </c>
    </row>
    <row r="2651" spans="1:15">
      <c r="A2651" s="166" t="s">
        <v>2533</v>
      </c>
      <c r="B2651" t="s">
        <v>111</v>
      </c>
      <c r="C2651" t="s">
        <v>134</v>
      </c>
      <c r="D2651" t="s">
        <v>118</v>
      </c>
      <c r="E2651" t="s">
        <v>430</v>
      </c>
      <c r="F2651" t="s">
        <v>7</v>
      </c>
      <c r="G2651" t="s">
        <v>130</v>
      </c>
      <c r="H2651" s="1">
        <v>46119</v>
      </c>
      <c r="I2651" t="s">
        <v>2534</v>
      </c>
      <c r="J2651" t="s">
        <v>2535</v>
      </c>
      <c r="K2651" t="s">
        <v>1381</v>
      </c>
      <c r="L2651" t="s">
        <v>465</v>
      </c>
      <c r="M2651" t="s">
        <v>2536</v>
      </c>
      <c r="N2651" s="166">
        <v>18.16</v>
      </c>
      <c r="O2651" t="s">
        <v>131</v>
      </c>
    </row>
    <row r="2652" spans="1:15">
      <c r="A2652" s="166" t="s">
        <v>2537</v>
      </c>
      <c r="B2652" t="s">
        <v>111</v>
      </c>
      <c r="C2652" t="s">
        <v>135</v>
      </c>
      <c r="D2652" t="s">
        <v>118</v>
      </c>
      <c r="E2652" t="s">
        <v>430</v>
      </c>
      <c r="F2652" t="s">
        <v>7</v>
      </c>
      <c r="G2652" t="s">
        <v>130</v>
      </c>
      <c r="H2652" s="1">
        <v>46119</v>
      </c>
      <c r="I2652" t="s">
        <v>2538</v>
      </c>
      <c r="J2652" t="s">
        <v>2539</v>
      </c>
      <c r="K2652" t="s">
        <v>2540</v>
      </c>
      <c r="L2652" t="s">
        <v>901</v>
      </c>
      <c r="M2652" t="s">
        <v>1778</v>
      </c>
      <c r="N2652" s="166">
        <v>19.8</v>
      </c>
      <c r="O2652" t="s">
        <v>131</v>
      </c>
    </row>
    <row r="2653" spans="1:15">
      <c r="A2653" s="166" t="s">
        <v>2541</v>
      </c>
      <c r="B2653" t="s">
        <v>111</v>
      </c>
      <c r="C2653" t="s">
        <v>136</v>
      </c>
      <c r="D2653" t="s">
        <v>118</v>
      </c>
      <c r="E2653" t="s">
        <v>430</v>
      </c>
      <c r="F2653" t="s">
        <v>7</v>
      </c>
      <c r="G2653" t="s">
        <v>130</v>
      </c>
      <c r="H2653" s="1">
        <v>46119</v>
      </c>
      <c r="I2653" t="s">
        <v>2542</v>
      </c>
      <c r="J2653" t="s">
        <v>2543</v>
      </c>
      <c r="K2653" t="s">
        <v>1172</v>
      </c>
      <c r="L2653" t="s">
        <v>2544</v>
      </c>
      <c r="M2653" t="s">
        <v>2545</v>
      </c>
      <c r="N2653" s="166">
        <v>17.18</v>
      </c>
      <c r="O2653" t="s">
        <v>131</v>
      </c>
    </row>
    <row r="2654" spans="1:15">
      <c r="A2654" s="166" t="s">
        <v>2546</v>
      </c>
      <c r="B2654" t="s">
        <v>111</v>
      </c>
      <c r="C2654" t="s">
        <v>133</v>
      </c>
      <c r="D2654" t="s">
        <v>118</v>
      </c>
      <c r="E2654" t="s">
        <v>430</v>
      </c>
      <c r="F2654" t="s">
        <v>7</v>
      </c>
      <c r="G2654" t="s">
        <v>130</v>
      </c>
      <c r="H2654" s="1">
        <v>46119</v>
      </c>
      <c r="I2654" t="s">
        <v>2547</v>
      </c>
      <c r="J2654" t="s">
        <v>2548</v>
      </c>
      <c r="K2654" t="s">
        <v>1126</v>
      </c>
      <c r="L2654" t="s">
        <v>1114</v>
      </c>
      <c r="M2654" t="s">
        <v>2549</v>
      </c>
      <c r="N2654" s="166">
        <v>17.04</v>
      </c>
      <c r="O2654" t="s">
        <v>131</v>
      </c>
    </row>
    <row r="2655" spans="1:15">
      <c r="A2655" s="166" t="s">
        <v>2550</v>
      </c>
      <c r="B2655" t="s">
        <v>111</v>
      </c>
      <c r="C2655" t="s">
        <v>134</v>
      </c>
      <c r="D2655" t="s">
        <v>118</v>
      </c>
      <c r="E2655" t="s">
        <v>430</v>
      </c>
      <c r="F2655" t="s">
        <v>7</v>
      </c>
      <c r="G2655" t="s">
        <v>130</v>
      </c>
      <c r="H2655" s="1">
        <v>46119</v>
      </c>
      <c r="I2655" t="s">
        <v>2551</v>
      </c>
      <c r="J2655" t="s">
        <v>2552</v>
      </c>
      <c r="K2655" t="s">
        <v>210</v>
      </c>
      <c r="L2655" t="s">
        <v>193</v>
      </c>
      <c r="M2655" t="s">
        <v>1587</v>
      </c>
      <c r="N2655" s="166">
        <v>20.5</v>
      </c>
      <c r="O2655" t="s">
        <v>131</v>
      </c>
    </row>
    <row r="2656" spans="1:15">
      <c r="A2656" s="166" t="s">
        <v>2553</v>
      </c>
      <c r="B2656" t="s">
        <v>111</v>
      </c>
      <c r="C2656" t="s">
        <v>135</v>
      </c>
      <c r="D2656" t="s">
        <v>118</v>
      </c>
      <c r="E2656" t="s">
        <v>430</v>
      </c>
      <c r="F2656" t="s">
        <v>7</v>
      </c>
      <c r="G2656" t="s">
        <v>130</v>
      </c>
      <c r="H2656" s="1">
        <v>46119</v>
      </c>
      <c r="I2656" t="s">
        <v>2554</v>
      </c>
      <c r="J2656" t="s">
        <v>2555</v>
      </c>
      <c r="K2656" t="s">
        <v>1906</v>
      </c>
      <c r="L2656" t="s">
        <v>2019</v>
      </c>
      <c r="M2656" t="s">
        <v>2024</v>
      </c>
      <c r="N2656" s="166">
        <v>17.78</v>
      </c>
      <c r="O2656" t="s">
        <v>131</v>
      </c>
    </row>
    <row r="2657" spans="1:15">
      <c r="A2657" s="166" t="s">
        <v>2556</v>
      </c>
      <c r="B2657" t="s">
        <v>111</v>
      </c>
      <c r="C2657" t="s">
        <v>136</v>
      </c>
      <c r="D2657" t="s">
        <v>118</v>
      </c>
      <c r="E2657" t="s">
        <v>430</v>
      </c>
      <c r="F2657" t="s">
        <v>7</v>
      </c>
      <c r="G2657" t="s">
        <v>130</v>
      </c>
      <c r="H2657" s="1">
        <v>46119</v>
      </c>
      <c r="I2657" t="s">
        <v>2557</v>
      </c>
      <c r="J2657" t="s">
        <v>2558</v>
      </c>
      <c r="K2657" t="s">
        <v>2559</v>
      </c>
      <c r="L2657" t="s">
        <v>687</v>
      </c>
      <c r="M2657" t="s">
        <v>2560</v>
      </c>
      <c r="N2657" s="166">
        <v>20.6</v>
      </c>
      <c r="O2657" t="s">
        <v>131</v>
      </c>
    </row>
    <row r="2658" spans="1:15">
      <c r="A2658" s="166" t="s">
        <v>2561</v>
      </c>
      <c r="B2658" t="s">
        <v>111</v>
      </c>
      <c r="C2658" t="s">
        <v>133</v>
      </c>
      <c r="D2658" t="s">
        <v>118</v>
      </c>
      <c r="E2658" t="s">
        <v>430</v>
      </c>
      <c r="F2658" t="s">
        <v>7</v>
      </c>
      <c r="G2658" t="s">
        <v>130</v>
      </c>
      <c r="H2658" s="1">
        <v>46119</v>
      </c>
      <c r="I2658" t="s">
        <v>2562</v>
      </c>
      <c r="J2658" t="s">
        <v>2563</v>
      </c>
      <c r="K2658" t="s">
        <v>215</v>
      </c>
      <c r="L2658" t="s">
        <v>617</v>
      </c>
      <c r="M2658" t="s">
        <v>870</v>
      </c>
      <c r="N2658" s="166">
        <v>16.559999999999999</v>
      </c>
      <c r="O2658" t="s">
        <v>131</v>
      </c>
    </row>
    <row r="2659" spans="1:15">
      <c r="A2659" s="166" t="s">
        <v>2564</v>
      </c>
      <c r="B2659" t="s">
        <v>111</v>
      </c>
      <c r="C2659" t="s">
        <v>134</v>
      </c>
      <c r="D2659" t="s">
        <v>118</v>
      </c>
      <c r="E2659" t="s">
        <v>430</v>
      </c>
      <c r="F2659" t="s">
        <v>7</v>
      </c>
      <c r="G2659" t="s">
        <v>130</v>
      </c>
      <c r="H2659" s="1">
        <v>46119</v>
      </c>
      <c r="I2659" t="s">
        <v>2565</v>
      </c>
      <c r="J2659" t="s">
        <v>2566</v>
      </c>
      <c r="K2659" t="s">
        <v>2567</v>
      </c>
      <c r="L2659" t="s">
        <v>2568</v>
      </c>
      <c r="M2659" t="s">
        <v>1140</v>
      </c>
      <c r="N2659" s="166">
        <v>21.2</v>
      </c>
      <c r="O2659" t="s">
        <v>131</v>
      </c>
    </row>
    <row r="2660" spans="1:15">
      <c r="A2660" s="166" t="s">
        <v>2569</v>
      </c>
      <c r="B2660" t="s">
        <v>111</v>
      </c>
      <c r="C2660" t="s">
        <v>135</v>
      </c>
      <c r="D2660" t="s">
        <v>118</v>
      </c>
      <c r="E2660" t="s">
        <v>430</v>
      </c>
      <c r="F2660" t="s">
        <v>7</v>
      </c>
      <c r="G2660" t="s">
        <v>130</v>
      </c>
      <c r="H2660" s="1">
        <v>46119</v>
      </c>
      <c r="I2660" t="s">
        <v>2570</v>
      </c>
      <c r="J2660" t="s">
        <v>2571</v>
      </c>
      <c r="K2660" t="s">
        <v>1549</v>
      </c>
      <c r="L2660" t="s">
        <v>2572</v>
      </c>
      <c r="M2660" t="s">
        <v>1394</v>
      </c>
      <c r="N2660" s="166">
        <v>18.96</v>
      </c>
      <c r="O2660" t="s">
        <v>131</v>
      </c>
    </row>
    <row r="2661" spans="1:15">
      <c r="A2661" s="166" t="s">
        <v>2573</v>
      </c>
      <c r="B2661" t="s">
        <v>111</v>
      </c>
      <c r="C2661" t="s">
        <v>136</v>
      </c>
      <c r="D2661" t="s">
        <v>118</v>
      </c>
      <c r="E2661" t="s">
        <v>430</v>
      </c>
      <c r="F2661" t="s">
        <v>7</v>
      </c>
      <c r="G2661" t="s">
        <v>130</v>
      </c>
      <c r="H2661" s="1">
        <v>46119</v>
      </c>
      <c r="I2661" t="s">
        <v>2574</v>
      </c>
      <c r="J2661" t="s">
        <v>2575</v>
      </c>
      <c r="K2661" t="s">
        <v>2576</v>
      </c>
      <c r="L2661" t="s">
        <v>650</v>
      </c>
      <c r="M2661" t="s">
        <v>2577</v>
      </c>
      <c r="N2661" s="166">
        <v>18.18</v>
      </c>
      <c r="O2661" t="s">
        <v>131</v>
      </c>
    </row>
    <row r="2662" spans="1:15">
      <c r="A2662" s="166" t="s">
        <v>2578</v>
      </c>
      <c r="B2662" t="s">
        <v>111</v>
      </c>
      <c r="C2662" t="s">
        <v>133</v>
      </c>
      <c r="D2662" t="s">
        <v>118</v>
      </c>
      <c r="E2662" t="s">
        <v>430</v>
      </c>
      <c r="F2662" t="s">
        <v>7</v>
      </c>
      <c r="G2662" t="s">
        <v>130</v>
      </c>
      <c r="H2662" s="1">
        <v>46119</v>
      </c>
      <c r="I2662" t="s">
        <v>2579</v>
      </c>
      <c r="J2662" t="s">
        <v>2580</v>
      </c>
      <c r="K2662" t="s">
        <v>1066</v>
      </c>
      <c r="L2662" t="s">
        <v>179</v>
      </c>
      <c r="M2662" t="s">
        <v>2581</v>
      </c>
      <c r="N2662" s="166">
        <v>14.4</v>
      </c>
      <c r="O2662" t="s">
        <v>131</v>
      </c>
    </row>
    <row r="2663" spans="1:15">
      <c r="A2663" s="166" t="s">
        <v>2582</v>
      </c>
      <c r="B2663" t="s">
        <v>111</v>
      </c>
      <c r="C2663" t="s">
        <v>134</v>
      </c>
      <c r="D2663" t="s">
        <v>116</v>
      </c>
      <c r="E2663" t="s">
        <v>418</v>
      </c>
      <c r="F2663" t="s">
        <v>7</v>
      </c>
      <c r="G2663" t="s">
        <v>130</v>
      </c>
      <c r="H2663" s="1">
        <v>46119</v>
      </c>
      <c r="I2663" t="s">
        <v>2583</v>
      </c>
      <c r="J2663" t="s">
        <v>2584</v>
      </c>
      <c r="K2663" t="s">
        <v>2585</v>
      </c>
      <c r="L2663" t="s">
        <v>147</v>
      </c>
      <c r="M2663" t="s">
        <v>2586</v>
      </c>
      <c r="N2663" s="166">
        <v>21.04</v>
      </c>
      <c r="O2663" t="s">
        <v>131</v>
      </c>
    </row>
    <row r="2664" spans="1:15">
      <c r="A2664" s="166" t="s">
        <v>2587</v>
      </c>
      <c r="B2664" t="s">
        <v>111</v>
      </c>
      <c r="C2664" t="s">
        <v>135</v>
      </c>
      <c r="D2664" t="s">
        <v>116</v>
      </c>
      <c r="E2664" t="s">
        <v>418</v>
      </c>
      <c r="F2664" t="s">
        <v>7</v>
      </c>
      <c r="G2664" t="s">
        <v>130</v>
      </c>
      <c r="H2664" s="1">
        <v>46119</v>
      </c>
      <c r="I2664" t="s">
        <v>2580</v>
      </c>
      <c r="J2664" t="s">
        <v>2588</v>
      </c>
      <c r="K2664" t="s">
        <v>1714</v>
      </c>
      <c r="L2664" t="s">
        <v>2589</v>
      </c>
      <c r="M2664" t="s">
        <v>2273</v>
      </c>
      <c r="N2664" s="166">
        <v>20.3</v>
      </c>
      <c r="O2664" t="s">
        <v>131</v>
      </c>
    </row>
    <row r="2665" spans="1:15">
      <c r="A2665" s="166" t="s">
        <v>2590</v>
      </c>
      <c r="B2665" t="s">
        <v>111</v>
      </c>
      <c r="C2665" t="s">
        <v>136</v>
      </c>
      <c r="D2665" t="s">
        <v>116</v>
      </c>
      <c r="E2665" t="s">
        <v>418</v>
      </c>
      <c r="F2665" t="s">
        <v>7</v>
      </c>
      <c r="G2665" t="s">
        <v>130</v>
      </c>
      <c r="H2665" s="1">
        <v>46119</v>
      </c>
      <c r="I2665" t="s">
        <v>2591</v>
      </c>
      <c r="J2665" t="s">
        <v>2592</v>
      </c>
      <c r="K2665" t="s">
        <v>1793</v>
      </c>
      <c r="L2665" t="s">
        <v>2004</v>
      </c>
      <c r="M2665" t="s">
        <v>751</v>
      </c>
      <c r="N2665" s="166">
        <v>20.88</v>
      </c>
      <c r="O2665" t="s">
        <v>131</v>
      </c>
    </row>
    <row r="2666" spans="1:15">
      <c r="A2666" s="166" t="s">
        <v>2593</v>
      </c>
      <c r="B2666" t="s">
        <v>111</v>
      </c>
      <c r="C2666" t="s">
        <v>133</v>
      </c>
      <c r="D2666" t="s">
        <v>116</v>
      </c>
      <c r="E2666" t="s">
        <v>418</v>
      </c>
      <c r="F2666" t="s">
        <v>7</v>
      </c>
      <c r="G2666" t="s">
        <v>130</v>
      </c>
      <c r="H2666" s="1">
        <v>46119</v>
      </c>
      <c r="I2666" t="s">
        <v>2594</v>
      </c>
      <c r="J2666" t="s">
        <v>2595</v>
      </c>
      <c r="K2666" t="s">
        <v>1818</v>
      </c>
      <c r="L2666" t="s">
        <v>149</v>
      </c>
      <c r="M2666" t="s">
        <v>1819</v>
      </c>
      <c r="N2666" s="166">
        <v>20.62</v>
      </c>
      <c r="O2666" t="s">
        <v>131</v>
      </c>
    </row>
    <row r="2667" spans="1:15">
      <c r="A2667" s="166" t="s">
        <v>2596</v>
      </c>
      <c r="B2667" t="s">
        <v>111</v>
      </c>
      <c r="C2667" t="s">
        <v>133</v>
      </c>
      <c r="D2667" t="s">
        <v>118</v>
      </c>
      <c r="E2667" t="s">
        <v>430</v>
      </c>
      <c r="F2667" t="s">
        <v>6</v>
      </c>
      <c r="G2667" t="s">
        <v>130</v>
      </c>
      <c r="H2667" s="1">
        <v>46119</v>
      </c>
      <c r="I2667" t="s">
        <v>2597</v>
      </c>
      <c r="J2667" t="s">
        <v>2598</v>
      </c>
      <c r="K2667" t="s">
        <v>1690</v>
      </c>
      <c r="L2667" t="s">
        <v>622</v>
      </c>
      <c r="M2667" t="s">
        <v>2599</v>
      </c>
      <c r="N2667" s="166">
        <v>17.239999999999998</v>
      </c>
      <c r="O2667" t="s">
        <v>131</v>
      </c>
    </row>
    <row r="2668" spans="1:15">
      <c r="A2668" s="166" t="s">
        <v>2600</v>
      </c>
      <c r="B2668" t="s">
        <v>111</v>
      </c>
      <c r="C2668" t="s">
        <v>2424</v>
      </c>
      <c r="D2668" t="s">
        <v>118</v>
      </c>
      <c r="E2668" t="s">
        <v>430</v>
      </c>
      <c r="F2668" t="s">
        <v>6</v>
      </c>
      <c r="G2668" t="s">
        <v>130</v>
      </c>
      <c r="H2668" s="1">
        <v>46119</v>
      </c>
      <c r="I2668" t="s">
        <v>2601</v>
      </c>
      <c r="J2668" t="s">
        <v>2602</v>
      </c>
      <c r="K2668" t="s">
        <v>475</v>
      </c>
      <c r="L2668" t="s">
        <v>2603</v>
      </c>
      <c r="M2668" t="s">
        <v>2502</v>
      </c>
      <c r="N2668" s="166">
        <v>19.96</v>
      </c>
      <c r="O2668" t="s">
        <v>131</v>
      </c>
    </row>
    <row r="2669" spans="1:15">
      <c r="A2669" s="166" t="s">
        <v>2604</v>
      </c>
      <c r="B2669" t="s">
        <v>111</v>
      </c>
      <c r="C2669" t="s">
        <v>641</v>
      </c>
      <c r="D2669" t="s">
        <v>118</v>
      </c>
      <c r="E2669" t="s">
        <v>430</v>
      </c>
      <c r="F2669" t="s">
        <v>6</v>
      </c>
      <c r="G2669" t="s">
        <v>130</v>
      </c>
      <c r="H2669" s="1">
        <v>46119</v>
      </c>
      <c r="I2669" t="s">
        <v>2605</v>
      </c>
      <c r="J2669" t="s">
        <v>2606</v>
      </c>
      <c r="K2669" t="s">
        <v>540</v>
      </c>
      <c r="L2669" t="s">
        <v>1280</v>
      </c>
      <c r="M2669" t="s">
        <v>617</v>
      </c>
      <c r="N2669" s="166">
        <v>20.02</v>
      </c>
      <c r="O2669" t="s">
        <v>131</v>
      </c>
    </row>
    <row r="2670" spans="1:15">
      <c r="A2670" s="166" t="s">
        <v>2607</v>
      </c>
      <c r="B2670" t="s">
        <v>111</v>
      </c>
      <c r="C2670" t="s">
        <v>136</v>
      </c>
      <c r="D2670" t="s">
        <v>118</v>
      </c>
      <c r="E2670" t="s">
        <v>430</v>
      </c>
      <c r="F2670" t="s">
        <v>6</v>
      </c>
      <c r="G2670" t="s">
        <v>130</v>
      </c>
      <c r="H2670" s="1">
        <v>46119</v>
      </c>
      <c r="I2670" t="s">
        <v>2608</v>
      </c>
      <c r="J2670" t="s">
        <v>2609</v>
      </c>
      <c r="K2670" t="s">
        <v>1885</v>
      </c>
      <c r="L2670" t="s">
        <v>687</v>
      </c>
      <c r="M2670" t="s">
        <v>639</v>
      </c>
      <c r="N2670" s="166">
        <v>21.02</v>
      </c>
      <c r="O2670" t="s">
        <v>131</v>
      </c>
    </row>
    <row r="2671" spans="1:15">
      <c r="A2671" s="166" t="s">
        <v>2610</v>
      </c>
      <c r="B2671" t="s">
        <v>111</v>
      </c>
      <c r="C2671" t="s">
        <v>134</v>
      </c>
      <c r="D2671" t="s">
        <v>118</v>
      </c>
      <c r="E2671" t="s">
        <v>430</v>
      </c>
      <c r="F2671" t="s">
        <v>6</v>
      </c>
      <c r="G2671" t="s">
        <v>130</v>
      </c>
      <c r="H2671" s="1">
        <v>46119</v>
      </c>
      <c r="I2671" t="s">
        <v>2611</v>
      </c>
      <c r="J2671" t="s">
        <v>2612</v>
      </c>
      <c r="K2671" t="s">
        <v>2296</v>
      </c>
      <c r="L2671" t="s">
        <v>212</v>
      </c>
      <c r="M2671" t="s">
        <v>751</v>
      </c>
      <c r="N2671" s="166">
        <v>20.88</v>
      </c>
      <c r="O2671" t="s">
        <v>131</v>
      </c>
    </row>
    <row r="2672" spans="1:15">
      <c r="A2672" s="166" t="s">
        <v>2613</v>
      </c>
      <c r="B2672" t="s">
        <v>111</v>
      </c>
      <c r="C2672" t="s">
        <v>135</v>
      </c>
      <c r="D2672" t="s">
        <v>118</v>
      </c>
      <c r="E2672" t="s">
        <v>430</v>
      </c>
      <c r="F2672" t="s">
        <v>6</v>
      </c>
      <c r="G2672" t="s">
        <v>130</v>
      </c>
      <c r="H2672" s="1">
        <v>46119</v>
      </c>
      <c r="I2672" t="s">
        <v>2614</v>
      </c>
      <c r="J2672" t="s">
        <v>2615</v>
      </c>
      <c r="K2672" t="s">
        <v>2616</v>
      </c>
      <c r="L2672" t="s">
        <v>584</v>
      </c>
      <c r="M2672" t="s">
        <v>222</v>
      </c>
      <c r="N2672" s="166">
        <v>23.2</v>
      </c>
      <c r="O2672" t="s">
        <v>131</v>
      </c>
    </row>
    <row r="2673" spans="1:15">
      <c r="A2673" s="166" t="s">
        <v>2617</v>
      </c>
      <c r="B2673" t="s">
        <v>111</v>
      </c>
      <c r="C2673" t="s">
        <v>406</v>
      </c>
      <c r="D2673" t="s">
        <v>118</v>
      </c>
      <c r="E2673" t="s">
        <v>2618</v>
      </c>
      <c r="F2673" t="s">
        <v>6</v>
      </c>
      <c r="G2673" t="s">
        <v>130</v>
      </c>
      <c r="H2673" s="1">
        <v>46119</v>
      </c>
      <c r="I2673" t="s">
        <v>2619</v>
      </c>
      <c r="J2673" t="s">
        <v>2620</v>
      </c>
      <c r="K2673" t="s">
        <v>2179</v>
      </c>
      <c r="L2673" t="s">
        <v>535</v>
      </c>
      <c r="M2673" t="s">
        <v>871</v>
      </c>
      <c r="N2673" s="166">
        <v>22.86</v>
      </c>
      <c r="O2673" t="s">
        <v>131</v>
      </c>
    </row>
    <row r="2674" spans="1:15">
      <c r="A2674" s="166" t="s">
        <v>2621</v>
      </c>
      <c r="B2674" t="s">
        <v>111</v>
      </c>
      <c r="C2674" t="s">
        <v>2424</v>
      </c>
      <c r="D2674" t="s">
        <v>118</v>
      </c>
      <c r="E2674" t="s">
        <v>2618</v>
      </c>
      <c r="F2674" t="s">
        <v>6</v>
      </c>
      <c r="G2674" t="s">
        <v>130</v>
      </c>
      <c r="H2674" s="1">
        <v>46119</v>
      </c>
      <c r="I2674" t="s">
        <v>2622</v>
      </c>
      <c r="J2674" t="s">
        <v>2623</v>
      </c>
      <c r="K2674" t="s">
        <v>942</v>
      </c>
      <c r="L2674" t="s">
        <v>2624</v>
      </c>
      <c r="M2674" t="s">
        <v>2625</v>
      </c>
      <c r="N2674" s="166">
        <v>26.42</v>
      </c>
      <c r="O2674" t="s">
        <v>131</v>
      </c>
    </row>
    <row r="2675" spans="1:15">
      <c r="A2675" s="166" t="s">
        <v>2626</v>
      </c>
      <c r="B2675" t="s">
        <v>111</v>
      </c>
      <c r="C2675" t="s">
        <v>641</v>
      </c>
      <c r="D2675" t="s">
        <v>118</v>
      </c>
      <c r="E2675" t="s">
        <v>2618</v>
      </c>
      <c r="F2675" t="s">
        <v>6</v>
      </c>
      <c r="G2675" t="s">
        <v>130</v>
      </c>
      <c r="H2675" s="1">
        <v>46119</v>
      </c>
      <c r="I2675" t="s">
        <v>2627</v>
      </c>
      <c r="J2675" t="s">
        <v>2628</v>
      </c>
      <c r="K2675" t="s">
        <v>2629</v>
      </c>
      <c r="L2675" t="s">
        <v>2568</v>
      </c>
      <c r="M2675" t="s">
        <v>2630</v>
      </c>
      <c r="N2675" s="166">
        <v>24.84</v>
      </c>
      <c r="O2675" t="s">
        <v>131</v>
      </c>
    </row>
    <row r="2676" spans="1:15">
      <c r="A2676" s="166" t="s">
        <v>2631</v>
      </c>
      <c r="B2676" t="s">
        <v>111</v>
      </c>
      <c r="C2676" t="s">
        <v>136</v>
      </c>
      <c r="D2676" t="s">
        <v>118</v>
      </c>
      <c r="E2676" t="s">
        <v>2618</v>
      </c>
      <c r="F2676" t="s">
        <v>6</v>
      </c>
      <c r="G2676" t="s">
        <v>130</v>
      </c>
      <c r="H2676" s="1">
        <v>46119</v>
      </c>
      <c r="I2676" t="s">
        <v>2632</v>
      </c>
      <c r="J2676" t="s">
        <v>2633</v>
      </c>
      <c r="K2676" t="s">
        <v>2634</v>
      </c>
      <c r="L2676" t="s">
        <v>2004</v>
      </c>
      <c r="M2676" t="s">
        <v>2218</v>
      </c>
      <c r="N2676" s="166">
        <v>25.66</v>
      </c>
      <c r="O2676" t="s">
        <v>131</v>
      </c>
    </row>
    <row r="2677" spans="1:15">
      <c r="A2677" s="166" t="s">
        <v>2635</v>
      </c>
      <c r="B2677" t="s">
        <v>111</v>
      </c>
      <c r="C2677" t="s">
        <v>2424</v>
      </c>
      <c r="D2677" t="s">
        <v>118</v>
      </c>
      <c r="E2677" t="s">
        <v>2618</v>
      </c>
      <c r="F2677" t="s">
        <v>6</v>
      </c>
      <c r="G2677" t="s">
        <v>130</v>
      </c>
      <c r="H2677" s="1">
        <v>46119</v>
      </c>
      <c r="I2677" t="s">
        <v>2636</v>
      </c>
      <c r="J2677" t="s">
        <v>2637</v>
      </c>
      <c r="K2677" t="s">
        <v>2638</v>
      </c>
      <c r="L2677" t="s">
        <v>2639</v>
      </c>
      <c r="M2677" t="s">
        <v>207</v>
      </c>
      <c r="N2677" s="166">
        <v>20.92</v>
      </c>
      <c r="O2677" t="s">
        <v>131</v>
      </c>
    </row>
    <row r="2678" spans="1:15">
      <c r="A2678" s="166" t="s">
        <v>2640</v>
      </c>
      <c r="B2678" t="s">
        <v>111</v>
      </c>
      <c r="C2678" t="s">
        <v>641</v>
      </c>
      <c r="D2678" t="s">
        <v>118</v>
      </c>
      <c r="E2678" t="s">
        <v>2618</v>
      </c>
      <c r="F2678" t="s">
        <v>6</v>
      </c>
      <c r="G2678" t="s">
        <v>130</v>
      </c>
      <c r="H2678" s="1">
        <v>46119</v>
      </c>
      <c r="I2678" t="s">
        <v>2641</v>
      </c>
      <c r="J2678" t="s">
        <v>2642</v>
      </c>
      <c r="K2678" t="s">
        <v>2643</v>
      </c>
      <c r="L2678" t="s">
        <v>2644</v>
      </c>
      <c r="M2678" t="s">
        <v>2645</v>
      </c>
      <c r="N2678" s="166">
        <v>23.94</v>
      </c>
      <c r="O2678" t="s">
        <v>131</v>
      </c>
    </row>
    <row r="2679" spans="1:15">
      <c r="A2679" s="166" t="s">
        <v>2646</v>
      </c>
      <c r="B2679" t="s">
        <v>111</v>
      </c>
      <c r="C2679" t="s">
        <v>136</v>
      </c>
      <c r="D2679" t="s">
        <v>118</v>
      </c>
      <c r="E2679" t="s">
        <v>2618</v>
      </c>
      <c r="F2679" t="s">
        <v>6</v>
      </c>
      <c r="G2679" t="s">
        <v>130</v>
      </c>
      <c r="H2679" s="1">
        <v>46119</v>
      </c>
      <c r="I2679" t="s">
        <v>2647</v>
      </c>
      <c r="J2679" t="s">
        <v>2648</v>
      </c>
      <c r="K2679" t="s">
        <v>820</v>
      </c>
      <c r="L2679" t="s">
        <v>611</v>
      </c>
      <c r="M2679" t="s">
        <v>186</v>
      </c>
      <c r="N2679" s="166">
        <v>23.58</v>
      </c>
      <c r="O2679" t="s">
        <v>131</v>
      </c>
    </row>
    <row r="2680" spans="1:15">
      <c r="A2680" s="166" t="s">
        <v>2649</v>
      </c>
      <c r="B2680" t="s">
        <v>111</v>
      </c>
      <c r="C2680" t="s">
        <v>2424</v>
      </c>
      <c r="D2680" t="s">
        <v>118</v>
      </c>
      <c r="E2680" t="s">
        <v>2618</v>
      </c>
      <c r="F2680" t="s">
        <v>6</v>
      </c>
      <c r="G2680" t="s">
        <v>130</v>
      </c>
      <c r="H2680" s="1">
        <v>46119</v>
      </c>
      <c r="I2680" t="s">
        <v>2650</v>
      </c>
      <c r="J2680" t="s">
        <v>2651</v>
      </c>
      <c r="K2680" t="s">
        <v>1619</v>
      </c>
      <c r="L2680" t="s">
        <v>2652</v>
      </c>
      <c r="M2680" t="s">
        <v>2653</v>
      </c>
      <c r="N2680" s="166">
        <v>21.16</v>
      </c>
      <c r="O2680" t="s">
        <v>131</v>
      </c>
    </row>
    <row r="2681" spans="1:15">
      <c r="A2681" s="166" t="s">
        <v>2654</v>
      </c>
      <c r="B2681" t="s">
        <v>111</v>
      </c>
      <c r="C2681" t="s">
        <v>641</v>
      </c>
      <c r="D2681" t="s">
        <v>118</v>
      </c>
      <c r="E2681" t="s">
        <v>2618</v>
      </c>
      <c r="F2681" t="s">
        <v>6</v>
      </c>
      <c r="G2681" t="s">
        <v>130</v>
      </c>
      <c r="H2681" s="1">
        <v>46119</v>
      </c>
      <c r="I2681" t="s">
        <v>2655</v>
      </c>
      <c r="J2681" t="s">
        <v>2656</v>
      </c>
      <c r="K2681" t="s">
        <v>229</v>
      </c>
      <c r="L2681" t="s">
        <v>2657</v>
      </c>
      <c r="M2681" t="s">
        <v>504</v>
      </c>
      <c r="N2681" s="166">
        <v>23.16</v>
      </c>
      <c r="O2681" t="s">
        <v>131</v>
      </c>
    </row>
    <row r="2682" spans="1:15">
      <c r="A2682" s="166" t="s">
        <v>2658</v>
      </c>
      <c r="B2682" t="s">
        <v>111</v>
      </c>
      <c r="C2682" t="s">
        <v>136</v>
      </c>
      <c r="D2682" t="s">
        <v>118</v>
      </c>
      <c r="E2682" t="s">
        <v>2618</v>
      </c>
      <c r="F2682" t="s">
        <v>6</v>
      </c>
      <c r="G2682" t="s">
        <v>130</v>
      </c>
      <c r="H2682" s="1">
        <v>46119</v>
      </c>
      <c r="I2682" t="s">
        <v>2659</v>
      </c>
      <c r="J2682" t="s">
        <v>2660</v>
      </c>
      <c r="K2682" t="s">
        <v>2661</v>
      </c>
      <c r="L2682" t="s">
        <v>725</v>
      </c>
      <c r="M2682" t="s">
        <v>821</v>
      </c>
      <c r="N2682" s="166">
        <v>23.8</v>
      </c>
      <c r="O2682" t="s">
        <v>131</v>
      </c>
    </row>
    <row r="2683" spans="1:15">
      <c r="A2683" s="166" t="s">
        <v>2662</v>
      </c>
      <c r="B2683" t="s">
        <v>111</v>
      </c>
      <c r="C2683" t="s">
        <v>2424</v>
      </c>
      <c r="D2683" t="s">
        <v>118</v>
      </c>
      <c r="E2683" t="s">
        <v>2618</v>
      </c>
      <c r="F2683" t="s">
        <v>6</v>
      </c>
      <c r="G2683" t="s">
        <v>130</v>
      </c>
      <c r="H2683" s="1">
        <v>46119</v>
      </c>
      <c r="I2683" t="s">
        <v>2663</v>
      </c>
      <c r="J2683" t="s">
        <v>2664</v>
      </c>
      <c r="K2683" t="s">
        <v>1047</v>
      </c>
      <c r="L2683" t="s">
        <v>1364</v>
      </c>
      <c r="M2683" t="s">
        <v>182</v>
      </c>
      <c r="N2683" s="166">
        <v>23.74</v>
      </c>
      <c r="O2683" t="s">
        <v>131</v>
      </c>
    </row>
    <row r="2684" spans="1:15">
      <c r="A2684" s="166" t="s">
        <v>2665</v>
      </c>
      <c r="B2684" t="s">
        <v>111</v>
      </c>
      <c r="C2684" t="s">
        <v>641</v>
      </c>
      <c r="D2684" t="s">
        <v>118</v>
      </c>
      <c r="E2684" t="s">
        <v>2618</v>
      </c>
      <c r="F2684" t="s">
        <v>6</v>
      </c>
      <c r="G2684" t="s">
        <v>130</v>
      </c>
      <c r="H2684" s="1">
        <v>46119</v>
      </c>
      <c r="I2684" t="s">
        <v>2666</v>
      </c>
      <c r="J2684" t="s">
        <v>2667</v>
      </c>
      <c r="K2684" t="s">
        <v>2668</v>
      </c>
      <c r="L2684" t="s">
        <v>2568</v>
      </c>
      <c r="M2684" t="s">
        <v>2669</v>
      </c>
      <c r="N2684" s="166">
        <v>23.32</v>
      </c>
      <c r="O2684" t="s">
        <v>131</v>
      </c>
    </row>
    <row r="2685" spans="1:15">
      <c r="A2685" s="166" t="s">
        <v>2670</v>
      </c>
      <c r="B2685" t="s">
        <v>111</v>
      </c>
      <c r="C2685" t="s">
        <v>136</v>
      </c>
      <c r="D2685" t="s">
        <v>118</v>
      </c>
      <c r="E2685" t="s">
        <v>2618</v>
      </c>
      <c r="F2685" t="s">
        <v>6</v>
      </c>
      <c r="G2685" t="s">
        <v>130</v>
      </c>
      <c r="H2685" s="1">
        <v>46119</v>
      </c>
      <c r="I2685" t="s">
        <v>2671</v>
      </c>
      <c r="J2685" t="s">
        <v>2672</v>
      </c>
      <c r="K2685" t="s">
        <v>2673</v>
      </c>
      <c r="L2685" t="s">
        <v>611</v>
      </c>
      <c r="M2685" t="s">
        <v>195</v>
      </c>
      <c r="N2685" s="166">
        <v>24.56</v>
      </c>
      <c r="O2685" t="s">
        <v>131</v>
      </c>
    </row>
    <row r="2686" spans="1:15">
      <c r="A2686" s="166" t="s">
        <v>2674</v>
      </c>
      <c r="B2686" t="s">
        <v>111</v>
      </c>
      <c r="C2686" t="s">
        <v>2424</v>
      </c>
      <c r="D2686" t="s">
        <v>118</v>
      </c>
      <c r="E2686" t="s">
        <v>2618</v>
      </c>
      <c r="F2686" t="s">
        <v>6</v>
      </c>
      <c r="G2686" t="s">
        <v>130</v>
      </c>
      <c r="H2686" s="1">
        <v>46119</v>
      </c>
      <c r="I2686" t="s">
        <v>2675</v>
      </c>
      <c r="J2686" t="s">
        <v>2676</v>
      </c>
      <c r="K2686" t="s">
        <v>2677</v>
      </c>
      <c r="L2686" t="s">
        <v>2678</v>
      </c>
      <c r="M2686" t="s">
        <v>575</v>
      </c>
      <c r="N2686" s="166">
        <v>21.48</v>
      </c>
      <c r="O2686" t="s">
        <v>131</v>
      </c>
    </row>
    <row r="2687" spans="1:15">
      <c r="A2687" s="166" t="s">
        <v>2679</v>
      </c>
      <c r="B2687" t="s">
        <v>111</v>
      </c>
      <c r="C2687" t="s">
        <v>641</v>
      </c>
      <c r="D2687" t="s">
        <v>118</v>
      </c>
      <c r="E2687" t="s">
        <v>2618</v>
      </c>
      <c r="F2687" t="s">
        <v>6</v>
      </c>
      <c r="G2687" t="s">
        <v>130</v>
      </c>
      <c r="H2687" s="1">
        <v>46119</v>
      </c>
      <c r="I2687" t="s">
        <v>2680</v>
      </c>
      <c r="J2687" t="s">
        <v>2681</v>
      </c>
      <c r="K2687" t="s">
        <v>2682</v>
      </c>
      <c r="L2687" t="s">
        <v>2267</v>
      </c>
      <c r="M2687" t="s">
        <v>190</v>
      </c>
      <c r="N2687" s="166">
        <v>24.48</v>
      </c>
      <c r="O2687" t="s">
        <v>131</v>
      </c>
    </row>
    <row r="2688" spans="1:15">
      <c r="A2688" s="166" t="s">
        <v>2683</v>
      </c>
      <c r="B2688" t="s">
        <v>111</v>
      </c>
      <c r="C2688" t="s">
        <v>136</v>
      </c>
      <c r="D2688" t="s">
        <v>118</v>
      </c>
      <c r="E2688" t="s">
        <v>2618</v>
      </c>
      <c r="F2688" t="s">
        <v>6</v>
      </c>
      <c r="G2688" t="s">
        <v>130</v>
      </c>
      <c r="H2688" s="1">
        <v>46119</v>
      </c>
      <c r="I2688" t="s">
        <v>2684</v>
      </c>
      <c r="J2688" t="s">
        <v>2685</v>
      </c>
      <c r="K2688" t="s">
        <v>1564</v>
      </c>
      <c r="L2688" t="s">
        <v>1835</v>
      </c>
      <c r="M2688" t="s">
        <v>561</v>
      </c>
      <c r="N2688" s="166">
        <v>21.98</v>
      </c>
      <c r="O2688" t="s">
        <v>131</v>
      </c>
    </row>
    <row r="2689" spans="1:15">
      <c r="A2689" s="166" t="s">
        <v>2686</v>
      </c>
      <c r="B2689" t="s">
        <v>111</v>
      </c>
      <c r="C2689" t="s">
        <v>2424</v>
      </c>
      <c r="D2689" t="s">
        <v>118</v>
      </c>
      <c r="E2689" t="s">
        <v>2618</v>
      </c>
      <c r="F2689" t="s">
        <v>6</v>
      </c>
      <c r="G2689" t="s">
        <v>130</v>
      </c>
      <c r="H2689" s="1">
        <v>46119</v>
      </c>
      <c r="I2689" t="s">
        <v>2687</v>
      </c>
      <c r="J2689" t="s">
        <v>2688</v>
      </c>
      <c r="K2689" t="s">
        <v>2629</v>
      </c>
      <c r="L2689" t="s">
        <v>2678</v>
      </c>
      <c r="M2689" t="s">
        <v>2395</v>
      </c>
      <c r="N2689" s="166">
        <v>23.22</v>
      </c>
      <c r="O2689" t="s">
        <v>131</v>
      </c>
    </row>
    <row r="2690" spans="1:15">
      <c r="A2690" s="166" t="s">
        <v>2689</v>
      </c>
      <c r="B2690" t="s">
        <v>111</v>
      </c>
      <c r="C2690" t="s">
        <v>641</v>
      </c>
      <c r="D2690" t="s">
        <v>118</v>
      </c>
      <c r="E2690" t="s">
        <v>2618</v>
      </c>
      <c r="F2690" t="s">
        <v>6</v>
      </c>
      <c r="G2690" t="s">
        <v>130</v>
      </c>
      <c r="H2690" s="1">
        <v>46119</v>
      </c>
      <c r="I2690" t="s">
        <v>2690</v>
      </c>
      <c r="J2690" t="s">
        <v>2691</v>
      </c>
      <c r="K2690" t="s">
        <v>1722</v>
      </c>
      <c r="L2690" t="s">
        <v>2568</v>
      </c>
      <c r="M2690" t="s">
        <v>2692</v>
      </c>
      <c r="N2690" s="166">
        <v>24.92</v>
      </c>
      <c r="O2690" t="s">
        <v>131</v>
      </c>
    </row>
    <row r="2691" spans="1:15">
      <c r="A2691" s="166" t="s">
        <v>2693</v>
      </c>
      <c r="B2691" t="s">
        <v>111</v>
      </c>
      <c r="C2691" t="s">
        <v>2424</v>
      </c>
      <c r="D2691" t="s">
        <v>116</v>
      </c>
      <c r="E2691" t="s">
        <v>418</v>
      </c>
      <c r="F2691" t="s">
        <v>6</v>
      </c>
      <c r="G2691" t="s">
        <v>130</v>
      </c>
      <c r="H2691" s="1">
        <v>46119</v>
      </c>
      <c r="I2691" t="s">
        <v>2694</v>
      </c>
      <c r="J2691" t="s">
        <v>2695</v>
      </c>
      <c r="K2691" t="s">
        <v>2696</v>
      </c>
      <c r="L2691" t="s">
        <v>2678</v>
      </c>
      <c r="M2691" t="s">
        <v>2697</v>
      </c>
      <c r="N2691" s="166">
        <v>23.86</v>
      </c>
      <c r="O2691" t="s">
        <v>131</v>
      </c>
    </row>
    <row r="2692" spans="1:15">
      <c r="A2692" s="166" t="s">
        <v>2698</v>
      </c>
      <c r="B2692" t="s">
        <v>111</v>
      </c>
      <c r="C2692" t="s">
        <v>641</v>
      </c>
      <c r="D2692" t="s">
        <v>116</v>
      </c>
      <c r="E2692" t="s">
        <v>418</v>
      </c>
      <c r="F2692" t="s">
        <v>6</v>
      </c>
      <c r="G2692" t="s">
        <v>130</v>
      </c>
      <c r="H2692" s="1">
        <v>46119</v>
      </c>
      <c r="I2692" t="s">
        <v>2699</v>
      </c>
      <c r="J2692" t="s">
        <v>2700</v>
      </c>
      <c r="K2692" t="s">
        <v>659</v>
      </c>
      <c r="L2692" t="s">
        <v>565</v>
      </c>
      <c r="M2692" t="s">
        <v>2395</v>
      </c>
      <c r="N2692" s="166">
        <v>23.22</v>
      </c>
      <c r="O2692" t="s">
        <v>131</v>
      </c>
    </row>
    <row r="2693" spans="1:15">
      <c r="A2693" s="166" t="s">
        <v>2701</v>
      </c>
      <c r="B2693" t="s">
        <v>111</v>
      </c>
      <c r="C2693" t="s">
        <v>136</v>
      </c>
      <c r="D2693" t="s">
        <v>116</v>
      </c>
      <c r="E2693" t="s">
        <v>418</v>
      </c>
      <c r="F2693" t="s">
        <v>6</v>
      </c>
      <c r="G2693" t="s">
        <v>130</v>
      </c>
      <c r="H2693" s="1">
        <v>46119</v>
      </c>
      <c r="I2693" t="s">
        <v>2702</v>
      </c>
      <c r="J2693" t="s">
        <v>2703</v>
      </c>
      <c r="K2693" t="s">
        <v>2585</v>
      </c>
      <c r="L2693" t="s">
        <v>611</v>
      </c>
      <c r="M2693" t="s">
        <v>561</v>
      </c>
      <c r="N2693" s="166">
        <v>21.98</v>
      </c>
      <c r="O2693" t="s">
        <v>131</v>
      </c>
    </row>
    <row r="2694" spans="1:15">
      <c r="A2694" s="166" t="s">
        <v>2704</v>
      </c>
      <c r="B2694" t="s">
        <v>111</v>
      </c>
      <c r="C2694" t="s">
        <v>2424</v>
      </c>
      <c r="D2694" t="s">
        <v>116</v>
      </c>
      <c r="E2694" t="s">
        <v>418</v>
      </c>
      <c r="F2694" t="s">
        <v>6</v>
      </c>
      <c r="G2694" t="s">
        <v>130</v>
      </c>
      <c r="H2694" s="1">
        <v>46119</v>
      </c>
      <c r="I2694" t="s">
        <v>2705</v>
      </c>
      <c r="J2694" t="s">
        <v>2706</v>
      </c>
      <c r="K2694" t="s">
        <v>2707</v>
      </c>
      <c r="L2694" t="s">
        <v>2678</v>
      </c>
      <c r="M2694" t="s">
        <v>2708</v>
      </c>
      <c r="N2694" s="166">
        <v>23.62</v>
      </c>
      <c r="O2694" t="s">
        <v>131</v>
      </c>
    </row>
    <row r="2695" spans="1:15">
      <c r="A2695" s="166" t="s">
        <v>2709</v>
      </c>
      <c r="B2695" t="s">
        <v>111</v>
      </c>
      <c r="C2695" t="s">
        <v>641</v>
      </c>
      <c r="D2695" t="s">
        <v>116</v>
      </c>
      <c r="E2695" t="s">
        <v>418</v>
      </c>
      <c r="F2695" t="s">
        <v>6</v>
      </c>
      <c r="G2695" t="s">
        <v>130</v>
      </c>
      <c r="H2695" s="1">
        <v>46119</v>
      </c>
      <c r="I2695" t="s">
        <v>2710</v>
      </c>
      <c r="J2695" t="s">
        <v>2711</v>
      </c>
      <c r="K2695" t="s">
        <v>2712</v>
      </c>
      <c r="L2695" t="s">
        <v>565</v>
      </c>
      <c r="M2695" t="s">
        <v>2713</v>
      </c>
      <c r="N2695" s="166">
        <v>27.74</v>
      </c>
      <c r="O2695" t="s">
        <v>131</v>
      </c>
    </row>
    <row r="2696" spans="1:15">
      <c r="A2696" s="166" t="s">
        <v>2714</v>
      </c>
      <c r="B2696" t="s">
        <v>111</v>
      </c>
      <c r="C2696" t="s">
        <v>136</v>
      </c>
      <c r="D2696" t="s">
        <v>116</v>
      </c>
      <c r="E2696" t="s">
        <v>418</v>
      </c>
      <c r="F2696" t="s">
        <v>6</v>
      </c>
      <c r="G2696" t="s">
        <v>130</v>
      </c>
      <c r="H2696" s="1">
        <v>46119</v>
      </c>
      <c r="I2696" t="s">
        <v>2715</v>
      </c>
      <c r="J2696" t="s">
        <v>2716</v>
      </c>
      <c r="K2696" t="s">
        <v>2717</v>
      </c>
      <c r="L2696" t="s">
        <v>611</v>
      </c>
      <c r="M2696" t="s">
        <v>928</v>
      </c>
      <c r="N2696" s="166">
        <v>27.62</v>
      </c>
      <c r="O2696" t="s">
        <v>131</v>
      </c>
    </row>
    <row r="2697" spans="1:15">
      <c r="A2697" s="166" t="s">
        <v>2718</v>
      </c>
      <c r="B2697" t="s">
        <v>111</v>
      </c>
      <c r="C2697" t="s">
        <v>2424</v>
      </c>
      <c r="D2697" t="s">
        <v>116</v>
      </c>
      <c r="E2697" t="s">
        <v>418</v>
      </c>
      <c r="F2697" t="s">
        <v>6</v>
      </c>
      <c r="G2697" t="s">
        <v>130</v>
      </c>
      <c r="H2697" s="1">
        <v>46119</v>
      </c>
      <c r="I2697" t="s">
        <v>2719</v>
      </c>
      <c r="J2697" t="s">
        <v>2720</v>
      </c>
      <c r="K2697" t="s">
        <v>2717</v>
      </c>
      <c r="L2697" t="s">
        <v>2678</v>
      </c>
      <c r="M2697" t="s">
        <v>2721</v>
      </c>
      <c r="N2697" s="166">
        <v>25.7</v>
      </c>
      <c r="O2697" t="s">
        <v>131</v>
      </c>
    </row>
    <row r="2698" spans="1:15">
      <c r="A2698" s="166" t="s">
        <v>2722</v>
      </c>
      <c r="B2698" t="s">
        <v>111</v>
      </c>
      <c r="C2698" t="s">
        <v>641</v>
      </c>
      <c r="D2698" t="s">
        <v>116</v>
      </c>
      <c r="E2698" t="s">
        <v>418</v>
      </c>
      <c r="F2698" t="s">
        <v>6</v>
      </c>
      <c r="G2698" t="s">
        <v>130</v>
      </c>
      <c r="H2698" s="1">
        <v>46119</v>
      </c>
      <c r="I2698" t="s">
        <v>2723</v>
      </c>
      <c r="J2698" t="s">
        <v>2724</v>
      </c>
      <c r="K2698" t="s">
        <v>1834</v>
      </c>
      <c r="L2698" t="s">
        <v>565</v>
      </c>
      <c r="M2698" t="s">
        <v>2725</v>
      </c>
      <c r="N2698" s="166">
        <v>25.08</v>
      </c>
      <c r="O2698" t="s">
        <v>131</v>
      </c>
    </row>
    <row r="2699" spans="1:15">
      <c r="A2699" s="166" t="s">
        <v>2726</v>
      </c>
      <c r="B2699" t="s">
        <v>111</v>
      </c>
      <c r="C2699" t="s">
        <v>136</v>
      </c>
      <c r="D2699" t="s">
        <v>116</v>
      </c>
      <c r="E2699" t="s">
        <v>418</v>
      </c>
      <c r="F2699" t="s">
        <v>6</v>
      </c>
      <c r="G2699" t="s">
        <v>130</v>
      </c>
      <c r="H2699" s="1">
        <v>46119</v>
      </c>
      <c r="I2699" t="s">
        <v>2727</v>
      </c>
      <c r="J2699" t="s">
        <v>2728</v>
      </c>
      <c r="K2699" t="s">
        <v>237</v>
      </c>
      <c r="L2699" t="s">
        <v>725</v>
      </c>
      <c r="M2699" t="s">
        <v>585</v>
      </c>
      <c r="N2699" s="166">
        <v>24.88</v>
      </c>
      <c r="O2699" t="s">
        <v>131</v>
      </c>
    </row>
    <row r="2700" spans="1:15">
      <c r="A2700" s="166" t="s">
        <v>2729</v>
      </c>
      <c r="B2700" t="s">
        <v>111</v>
      </c>
      <c r="C2700" t="s">
        <v>2424</v>
      </c>
      <c r="D2700" t="s">
        <v>116</v>
      </c>
      <c r="E2700" t="s">
        <v>418</v>
      </c>
      <c r="F2700" t="s">
        <v>6</v>
      </c>
      <c r="G2700" t="s">
        <v>130</v>
      </c>
      <c r="H2700" s="1">
        <v>46119</v>
      </c>
      <c r="I2700" t="s">
        <v>2730</v>
      </c>
      <c r="J2700" t="s">
        <v>2731</v>
      </c>
      <c r="K2700" t="s">
        <v>2732</v>
      </c>
      <c r="L2700" t="s">
        <v>2678</v>
      </c>
      <c r="M2700" t="s">
        <v>171</v>
      </c>
      <c r="N2700" s="166">
        <v>25.04</v>
      </c>
      <c r="O2700" t="s">
        <v>131</v>
      </c>
    </row>
    <row r="2701" spans="1:15">
      <c r="A2701" s="166" t="s">
        <v>2733</v>
      </c>
      <c r="B2701" t="s">
        <v>111</v>
      </c>
      <c r="C2701" t="s">
        <v>641</v>
      </c>
      <c r="D2701" t="s">
        <v>116</v>
      </c>
      <c r="E2701" t="s">
        <v>418</v>
      </c>
      <c r="F2701" t="s">
        <v>6</v>
      </c>
      <c r="G2701" t="s">
        <v>130</v>
      </c>
      <c r="H2701" s="1">
        <v>46119</v>
      </c>
      <c r="I2701" t="s">
        <v>2734</v>
      </c>
      <c r="J2701" t="s">
        <v>2735</v>
      </c>
      <c r="K2701" t="s">
        <v>2736</v>
      </c>
      <c r="L2701" t="s">
        <v>2737</v>
      </c>
      <c r="M2701" t="s">
        <v>964</v>
      </c>
      <c r="N2701" s="166">
        <v>27.56</v>
      </c>
      <c r="O2701" t="s">
        <v>131</v>
      </c>
    </row>
    <row r="2702" spans="1:15">
      <c r="A2702" s="166" t="s">
        <v>2738</v>
      </c>
      <c r="B2702" t="s">
        <v>111</v>
      </c>
      <c r="C2702" t="s">
        <v>136</v>
      </c>
      <c r="D2702" t="s">
        <v>116</v>
      </c>
      <c r="E2702" t="s">
        <v>418</v>
      </c>
      <c r="F2702" t="s">
        <v>6</v>
      </c>
      <c r="G2702" t="s">
        <v>130</v>
      </c>
      <c r="H2702" s="1">
        <v>46119</v>
      </c>
      <c r="I2702" t="s">
        <v>2739</v>
      </c>
      <c r="J2702" t="s">
        <v>2740</v>
      </c>
      <c r="K2702" t="s">
        <v>2741</v>
      </c>
      <c r="L2702" t="s">
        <v>611</v>
      </c>
      <c r="M2702" t="s">
        <v>2697</v>
      </c>
      <c r="N2702" s="166">
        <v>23.86</v>
      </c>
      <c r="O2702" t="s">
        <v>131</v>
      </c>
    </row>
    <row r="2703" spans="1:15">
      <c r="A2703" s="166" t="s">
        <v>2742</v>
      </c>
      <c r="B2703" t="s">
        <v>111</v>
      </c>
      <c r="C2703" t="s">
        <v>2424</v>
      </c>
      <c r="D2703" t="s">
        <v>116</v>
      </c>
      <c r="E2703" t="s">
        <v>418</v>
      </c>
      <c r="F2703" t="s">
        <v>6</v>
      </c>
      <c r="G2703" t="s">
        <v>130</v>
      </c>
      <c r="H2703" s="1">
        <v>46119</v>
      </c>
      <c r="I2703" t="s">
        <v>2743</v>
      </c>
      <c r="J2703" t="s">
        <v>2744</v>
      </c>
      <c r="K2703" t="s">
        <v>1619</v>
      </c>
      <c r="L2703" t="s">
        <v>1846</v>
      </c>
      <c r="M2703" t="s">
        <v>2745</v>
      </c>
      <c r="N2703" s="166">
        <v>20.78</v>
      </c>
      <c r="O2703" t="s">
        <v>131</v>
      </c>
    </row>
    <row r="2704" spans="1:15">
      <c r="A2704" s="166" t="s">
        <v>2746</v>
      </c>
      <c r="B2704" t="s">
        <v>111</v>
      </c>
      <c r="C2704" t="s">
        <v>641</v>
      </c>
      <c r="D2704" t="s">
        <v>116</v>
      </c>
      <c r="E2704" t="s">
        <v>418</v>
      </c>
      <c r="F2704" t="s">
        <v>6</v>
      </c>
      <c r="G2704" t="s">
        <v>130</v>
      </c>
      <c r="H2704" s="1">
        <v>46119</v>
      </c>
      <c r="I2704" t="s">
        <v>2747</v>
      </c>
      <c r="J2704" t="s">
        <v>2748</v>
      </c>
      <c r="K2704" t="s">
        <v>963</v>
      </c>
      <c r="L2704" t="s">
        <v>2749</v>
      </c>
      <c r="M2704" t="s">
        <v>2750</v>
      </c>
      <c r="N2704" s="166">
        <v>29.54</v>
      </c>
      <c r="O2704" t="s">
        <v>131</v>
      </c>
    </row>
    <row r="2705" spans="1:15">
      <c r="A2705" s="166" t="s">
        <v>2751</v>
      </c>
      <c r="B2705" t="s">
        <v>111</v>
      </c>
      <c r="C2705" t="s">
        <v>641</v>
      </c>
      <c r="D2705" t="s">
        <v>116</v>
      </c>
      <c r="E2705" t="s">
        <v>418</v>
      </c>
      <c r="F2705" t="s">
        <v>6</v>
      </c>
      <c r="G2705" t="s">
        <v>130</v>
      </c>
      <c r="H2705" s="1">
        <v>46119</v>
      </c>
      <c r="I2705" t="s">
        <v>2752</v>
      </c>
      <c r="J2705" t="s">
        <v>2753</v>
      </c>
      <c r="K2705" t="s">
        <v>1071</v>
      </c>
      <c r="L2705" t="s">
        <v>2754</v>
      </c>
      <c r="M2705" t="s">
        <v>782</v>
      </c>
      <c r="N2705" s="166">
        <v>21.92</v>
      </c>
      <c r="O2705" t="s">
        <v>131</v>
      </c>
    </row>
    <row r="2706" spans="1:15">
      <c r="A2706" s="166" t="s">
        <v>2755</v>
      </c>
      <c r="B2706" t="s">
        <v>111</v>
      </c>
      <c r="C2706" t="s">
        <v>2424</v>
      </c>
      <c r="D2706" t="s">
        <v>116</v>
      </c>
      <c r="E2706" t="s">
        <v>418</v>
      </c>
      <c r="F2706" t="s">
        <v>6</v>
      </c>
      <c r="G2706" t="s">
        <v>130</v>
      </c>
      <c r="H2706" s="1">
        <v>46119</v>
      </c>
      <c r="I2706" t="s">
        <v>2756</v>
      </c>
      <c r="J2706" t="s">
        <v>2757</v>
      </c>
      <c r="K2706" t="s">
        <v>2696</v>
      </c>
      <c r="L2706" t="s">
        <v>2758</v>
      </c>
      <c r="M2706" t="s">
        <v>2759</v>
      </c>
      <c r="N2706" s="166">
        <v>23.7</v>
      </c>
      <c r="O2706" t="s">
        <v>131</v>
      </c>
    </row>
    <row r="2707" spans="1:15">
      <c r="A2707" s="166" t="s">
        <v>2760</v>
      </c>
      <c r="B2707" t="s">
        <v>111</v>
      </c>
      <c r="C2707" t="s">
        <v>136</v>
      </c>
      <c r="D2707" t="s">
        <v>116</v>
      </c>
      <c r="E2707" t="s">
        <v>418</v>
      </c>
      <c r="F2707" t="s">
        <v>6</v>
      </c>
      <c r="G2707" t="s">
        <v>130</v>
      </c>
      <c r="H2707" s="1">
        <v>46119</v>
      </c>
      <c r="I2707" t="s">
        <v>2761</v>
      </c>
      <c r="J2707" t="s">
        <v>2762</v>
      </c>
      <c r="K2707" t="s">
        <v>2763</v>
      </c>
      <c r="L2707" t="s">
        <v>650</v>
      </c>
      <c r="M2707" t="s">
        <v>2764</v>
      </c>
      <c r="N2707" s="166">
        <v>26.26</v>
      </c>
      <c r="O2707" t="s">
        <v>131</v>
      </c>
    </row>
    <row r="2708" spans="1:15">
      <c r="A2708" s="166" t="s">
        <v>2765</v>
      </c>
      <c r="B2708" t="s">
        <v>111</v>
      </c>
      <c r="C2708" t="s">
        <v>641</v>
      </c>
      <c r="D2708" t="s">
        <v>116</v>
      </c>
      <c r="E2708" t="s">
        <v>418</v>
      </c>
      <c r="F2708" t="s">
        <v>6</v>
      </c>
      <c r="G2708" t="s">
        <v>130</v>
      </c>
      <c r="H2708" s="1">
        <v>46119</v>
      </c>
      <c r="I2708" t="s">
        <v>2766</v>
      </c>
      <c r="J2708" t="s">
        <v>2767</v>
      </c>
      <c r="K2708" t="s">
        <v>1727</v>
      </c>
      <c r="L2708" t="s">
        <v>2754</v>
      </c>
      <c r="M2708" t="s">
        <v>995</v>
      </c>
      <c r="N2708" s="166">
        <v>25.34</v>
      </c>
      <c r="O2708" t="s">
        <v>131</v>
      </c>
    </row>
    <row r="2709" spans="1:15">
      <c r="A2709" s="166" t="s">
        <v>2768</v>
      </c>
      <c r="B2709" t="s">
        <v>111</v>
      </c>
      <c r="C2709" t="s">
        <v>2424</v>
      </c>
      <c r="D2709" t="s">
        <v>116</v>
      </c>
      <c r="E2709" t="s">
        <v>418</v>
      </c>
      <c r="F2709" t="s">
        <v>6</v>
      </c>
      <c r="G2709" t="s">
        <v>130</v>
      </c>
      <c r="H2709" s="1">
        <v>46119</v>
      </c>
      <c r="I2709" t="s">
        <v>2769</v>
      </c>
      <c r="J2709" t="s">
        <v>2770</v>
      </c>
      <c r="K2709" t="s">
        <v>2771</v>
      </c>
      <c r="L2709" t="s">
        <v>2758</v>
      </c>
      <c r="M2709" t="s">
        <v>190</v>
      </c>
      <c r="N2709" s="166">
        <v>24.48</v>
      </c>
      <c r="O2709" t="s">
        <v>131</v>
      </c>
    </row>
    <row r="2710" spans="1:15">
      <c r="A2710" s="166" t="s">
        <v>2772</v>
      </c>
      <c r="B2710" t="s">
        <v>111</v>
      </c>
      <c r="C2710" t="s">
        <v>136</v>
      </c>
      <c r="D2710" t="s">
        <v>116</v>
      </c>
      <c r="E2710" t="s">
        <v>418</v>
      </c>
      <c r="F2710" t="s">
        <v>6</v>
      </c>
      <c r="G2710" t="s">
        <v>130</v>
      </c>
      <c r="H2710" s="1">
        <v>46119</v>
      </c>
      <c r="I2710" t="s">
        <v>2773</v>
      </c>
      <c r="J2710" t="s">
        <v>2774</v>
      </c>
      <c r="K2710" t="s">
        <v>2775</v>
      </c>
      <c r="L2710" t="s">
        <v>2776</v>
      </c>
      <c r="M2710" t="s">
        <v>2777</v>
      </c>
      <c r="N2710" s="166">
        <v>30.3</v>
      </c>
      <c r="O2710" t="s">
        <v>131</v>
      </c>
    </row>
    <row r="2711" spans="1:15">
      <c r="A2711" s="166" t="s">
        <v>2778</v>
      </c>
      <c r="B2711" t="s">
        <v>111</v>
      </c>
      <c r="C2711" t="s">
        <v>641</v>
      </c>
      <c r="D2711" t="s">
        <v>116</v>
      </c>
      <c r="E2711" t="s">
        <v>418</v>
      </c>
      <c r="F2711" t="s">
        <v>6</v>
      </c>
      <c r="G2711" t="s">
        <v>130</v>
      </c>
      <c r="H2711" s="1">
        <v>46119</v>
      </c>
      <c r="I2711" t="s">
        <v>2779</v>
      </c>
      <c r="J2711" t="s">
        <v>2780</v>
      </c>
      <c r="K2711" t="s">
        <v>2781</v>
      </c>
      <c r="L2711" t="s">
        <v>2754</v>
      </c>
      <c r="M2711" t="s">
        <v>1735</v>
      </c>
      <c r="N2711" s="166">
        <v>26.74</v>
      </c>
      <c r="O2711" t="s">
        <v>131</v>
      </c>
    </row>
    <row r="2712" spans="1:15">
      <c r="A2712" s="166" t="s">
        <v>2782</v>
      </c>
      <c r="B2712" t="s">
        <v>111</v>
      </c>
      <c r="C2712" t="s">
        <v>2424</v>
      </c>
      <c r="D2712" t="s">
        <v>116</v>
      </c>
      <c r="E2712" t="s">
        <v>418</v>
      </c>
      <c r="F2712" t="s">
        <v>6</v>
      </c>
      <c r="G2712" t="s">
        <v>130</v>
      </c>
      <c r="H2712" s="1">
        <v>46119</v>
      </c>
      <c r="I2712" t="s">
        <v>2783</v>
      </c>
      <c r="J2712" t="s">
        <v>2784</v>
      </c>
      <c r="K2712" t="s">
        <v>2736</v>
      </c>
      <c r="L2712" t="s">
        <v>153</v>
      </c>
      <c r="M2712" t="s">
        <v>2785</v>
      </c>
      <c r="N2712" s="166">
        <v>26.96</v>
      </c>
      <c r="O2712" t="s">
        <v>131</v>
      </c>
    </row>
    <row r="2713" spans="1:15">
      <c r="A2713" s="166" t="s">
        <v>2786</v>
      </c>
      <c r="B2713" t="s">
        <v>111</v>
      </c>
      <c r="C2713" t="s">
        <v>134</v>
      </c>
      <c r="D2713" t="s">
        <v>116</v>
      </c>
      <c r="E2713" t="s">
        <v>418</v>
      </c>
      <c r="F2713" t="s">
        <v>6</v>
      </c>
      <c r="G2713" t="s">
        <v>130</v>
      </c>
      <c r="H2713" s="1">
        <v>46119</v>
      </c>
      <c r="I2713" t="s">
        <v>2787</v>
      </c>
      <c r="J2713" t="s">
        <v>2788</v>
      </c>
      <c r="K2713" t="s">
        <v>889</v>
      </c>
      <c r="L2713" t="s">
        <v>168</v>
      </c>
      <c r="M2713" t="s">
        <v>2789</v>
      </c>
      <c r="N2713" s="166">
        <v>28.08</v>
      </c>
      <c r="O2713" t="s">
        <v>131</v>
      </c>
    </row>
    <row r="2714" spans="1:15">
      <c r="A2714" s="166" t="s">
        <v>2790</v>
      </c>
      <c r="B2714" t="s">
        <v>111</v>
      </c>
      <c r="C2714" t="s">
        <v>641</v>
      </c>
      <c r="D2714" t="s">
        <v>116</v>
      </c>
      <c r="E2714" t="s">
        <v>418</v>
      </c>
      <c r="F2714" t="s">
        <v>6</v>
      </c>
      <c r="G2714" t="s">
        <v>130</v>
      </c>
      <c r="H2714" s="1">
        <v>46119</v>
      </c>
      <c r="I2714" t="s">
        <v>2784</v>
      </c>
      <c r="J2714" t="s">
        <v>2791</v>
      </c>
      <c r="K2714" t="s">
        <v>1163</v>
      </c>
      <c r="L2714" t="s">
        <v>2754</v>
      </c>
      <c r="M2714" t="s">
        <v>857</v>
      </c>
      <c r="N2714" s="166">
        <v>22.94</v>
      </c>
      <c r="O2714" t="s">
        <v>131</v>
      </c>
    </row>
    <row r="2715" spans="1:15">
      <c r="A2715" s="166" t="s">
        <v>2792</v>
      </c>
      <c r="B2715" t="s">
        <v>111</v>
      </c>
      <c r="C2715" t="s">
        <v>136</v>
      </c>
      <c r="D2715" t="s">
        <v>116</v>
      </c>
      <c r="E2715" t="s">
        <v>418</v>
      </c>
      <c r="F2715" t="s">
        <v>6</v>
      </c>
      <c r="G2715" t="s">
        <v>130</v>
      </c>
      <c r="H2715" s="1">
        <v>46119</v>
      </c>
      <c r="I2715" t="s">
        <v>2793</v>
      </c>
      <c r="J2715" t="s">
        <v>2794</v>
      </c>
      <c r="K2715" t="s">
        <v>2795</v>
      </c>
      <c r="L2715" t="s">
        <v>1076</v>
      </c>
      <c r="M2715" t="s">
        <v>2796</v>
      </c>
      <c r="N2715" s="166">
        <v>25.76</v>
      </c>
      <c r="O2715" t="s">
        <v>131</v>
      </c>
    </row>
    <row r="2716" spans="1:15">
      <c r="A2716" s="166" t="s">
        <v>2797</v>
      </c>
      <c r="B2716" t="s">
        <v>111</v>
      </c>
      <c r="C2716" t="s">
        <v>2424</v>
      </c>
      <c r="D2716" t="s">
        <v>116</v>
      </c>
      <c r="E2716" t="s">
        <v>418</v>
      </c>
      <c r="F2716" t="s">
        <v>6</v>
      </c>
      <c r="G2716" t="s">
        <v>130</v>
      </c>
      <c r="H2716" s="1">
        <v>46119</v>
      </c>
      <c r="I2716" t="s">
        <v>2798</v>
      </c>
      <c r="J2716" t="s">
        <v>2799</v>
      </c>
      <c r="K2716" t="s">
        <v>2661</v>
      </c>
      <c r="L2716" t="s">
        <v>811</v>
      </c>
      <c r="M2716" t="s">
        <v>2692</v>
      </c>
      <c r="N2716" s="166">
        <v>24.92</v>
      </c>
      <c r="O2716" t="s">
        <v>131</v>
      </c>
    </row>
    <row r="2717" spans="1:15">
      <c r="A2717" s="166" t="s">
        <v>2800</v>
      </c>
      <c r="B2717" t="s">
        <v>111</v>
      </c>
      <c r="C2717" t="s">
        <v>134</v>
      </c>
      <c r="D2717" t="s">
        <v>116</v>
      </c>
      <c r="E2717" t="s">
        <v>418</v>
      </c>
      <c r="F2717" t="s">
        <v>6</v>
      </c>
      <c r="G2717" t="s">
        <v>130</v>
      </c>
      <c r="H2717" s="1">
        <v>46119</v>
      </c>
      <c r="I2717" t="s">
        <v>2801</v>
      </c>
      <c r="J2717" t="s">
        <v>2802</v>
      </c>
      <c r="K2717" t="s">
        <v>2781</v>
      </c>
      <c r="L2717" t="s">
        <v>168</v>
      </c>
      <c r="M2717" t="s">
        <v>2803</v>
      </c>
      <c r="N2717" s="166">
        <v>26.28</v>
      </c>
      <c r="O2717" t="s">
        <v>131</v>
      </c>
    </row>
    <row r="2718" spans="1:15">
      <c r="A2718" s="166" t="s">
        <v>2804</v>
      </c>
      <c r="B2718" t="s">
        <v>111</v>
      </c>
      <c r="C2718" t="s">
        <v>641</v>
      </c>
      <c r="D2718" t="s">
        <v>116</v>
      </c>
      <c r="E2718" t="s">
        <v>418</v>
      </c>
      <c r="F2718" t="s">
        <v>6</v>
      </c>
      <c r="G2718" t="s">
        <v>130</v>
      </c>
      <c r="H2718" s="1">
        <v>46119</v>
      </c>
      <c r="I2718" t="s">
        <v>2805</v>
      </c>
      <c r="J2718" t="s">
        <v>2806</v>
      </c>
      <c r="K2718" t="s">
        <v>2807</v>
      </c>
      <c r="L2718" t="s">
        <v>1096</v>
      </c>
      <c r="M2718" t="s">
        <v>1735</v>
      </c>
      <c r="N2718" s="166">
        <v>26.74</v>
      </c>
      <c r="O2718" t="s">
        <v>131</v>
      </c>
    </row>
    <row r="2719" spans="1:15">
      <c r="A2719" s="166" t="s">
        <v>2808</v>
      </c>
      <c r="B2719" t="s">
        <v>111</v>
      </c>
      <c r="C2719" t="s">
        <v>136</v>
      </c>
      <c r="D2719" t="s">
        <v>116</v>
      </c>
      <c r="E2719" t="s">
        <v>418</v>
      </c>
      <c r="F2719" t="s">
        <v>6</v>
      </c>
      <c r="G2719" t="s">
        <v>130</v>
      </c>
      <c r="H2719" s="1">
        <v>46119</v>
      </c>
      <c r="I2719" t="s">
        <v>2809</v>
      </c>
      <c r="J2719" t="s">
        <v>2810</v>
      </c>
      <c r="K2719" t="s">
        <v>2811</v>
      </c>
      <c r="L2719" t="s">
        <v>1076</v>
      </c>
      <c r="M2719" t="s">
        <v>2812</v>
      </c>
      <c r="N2719" s="166">
        <v>29.08</v>
      </c>
      <c r="O2719" t="s">
        <v>131</v>
      </c>
    </row>
    <row r="2720" spans="1:15">
      <c r="A2720" s="166" t="s">
        <v>2813</v>
      </c>
      <c r="B2720" t="s">
        <v>111</v>
      </c>
      <c r="C2720" t="s">
        <v>2424</v>
      </c>
      <c r="D2720" t="s">
        <v>116</v>
      </c>
      <c r="E2720" t="s">
        <v>418</v>
      </c>
      <c r="F2720" t="s">
        <v>6</v>
      </c>
      <c r="G2720" t="s">
        <v>130</v>
      </c>
      <c r="H2720" s="1">
        <v>46119</v>
      </c>
      <c r="I2720" t="s">
        <v>2806</v>
      </c>
      <c r="J2720" t="s">
        <v>2814</v>
      </c>
      <c r="K2720" t="s">
        <v>1488</v>
      </c>
      <c r="L2720" t="s">
        <v>2815</v>
      </c>
      <c r="M2720" t="s">
        <v>2816</v>
      </c>
      <c r="N2720" s="166">
        <v>19.260000000000002</v>
      </c>
      <c r="O2720" t="s">
        <v>131</v>
      </c>
    </row>
    <row r="2721" spans="1:15">
      <c r="A2721" s="166" t="s">
        <v>2817</v>
      </c>
      <c r="B2721" t="s">
        <v>111</v>
      </c>
      <c r="C2721" t="s">
        <v>134</v>
      </c>
      <c r="D2721" t="s">
        <v>116</v>
      </c>
      <c r="E2721" t="s">
        <v>418</v>
      </c>
      <c r="F2721" t="s">
        <v>6</v>
      </c>
      <c r="G2721" t="s">
        <v>130</v>
      </c>
      <c r="H2721" s="1">
        <v>46119</v>
      </c>
      <c r="I2721" t="s">
        <v>2818</v>
      </c>
      <c r="J2721" t="s">
        <v>2819</v>
      </c>
      <c r="K2721" t="s">
        <v>2820</v>
      </c>
      <c r="L2721" t="s">
        <v>163</v>
      </c>
      <c r="M2721" t="s">
        <v>2821</v>
      </c>
      <c r="N2721" s="166">
        <v>27.6</v>
      </c>
      <c r="O2721" t="s">
        <v>131</v>
      </c>
    </row>
    <row r="2722" spans="1:15">
      <c r="A2722" s="166" t="s">
        <v>2822</v>
      </c>
      <c r="B2722" t="s">
        <v>111</v>
      </c>
      <c r="C2722" t="s">
        <v>641</v>
      </c>
      <c r="D2722" t="s">
        <v>116</v>
      </c>
      <c r="E2722" t="s">
        <v>418</v>
      </c>
      <c r="F2722" t="s">
        <v>6</v>
      </c>
      <c r="G2722" t="s">
        <v>130</v>
      </c>
      <c r="H2722" s="1">
        <v>46119</v>
      </c>
      <c r="I2722" t="s">
        <v>2823</v>
      </c>
      <c r="J2722" t="s">
        <v>2824</v>
      </c>
      <c r="K2722" t="s">
        <v>2825</v>
      </c>
      <c r="L2722" t="s">
        <v>1096</v>
      </c>
      <c r="M2722" t="s">
        <v>2826</v>
      </c>
      <c r="N2722" s="166">
        <v>26.78</v>
      </c>
      <c r="O2722" t="s">
        <v>131</v>
      </c>
    </row>
    <row r="2723" spans="1:15">
      <c r="A2723" s="166" t="s">
        <v>2827</v>
      </c>
      <c r="B2723" t="s">
        <v>111</v>
      </c>
      <c r="C2723" t="s">
        <v>136</v>
      </c>
      <c r="D2723" t="s">
        <v>116</v>
      </c>
      <c r="E2723" t="s">
        <v>418</v>
      </c>
      <c r="F2723" t="s">
        <v>6</v>
      </c>
      <c r="G2723" t="s">
        <v>130</v>
      </c>
      <c r="H2723" s="1">
        <v>46119</v>
      </c>
      <c r="I2723" t="s">
        <v>2828</v>
      </c>
      <c r="J2723" t="s">
        <v>2829</v>
      </c>
      <c r="K2723" t="s">
        <v>2830</v>
      </c>
      <c r="L2723" t="s">
        <v>730</v>
      </c>
      <c r="M2723" t="s">
        <v>2831</v>
      </c>
      <c r="N2723" s="166">
        <v>26.38</v>
      </c>
      <c r="O2723" t="s">
        <v>131</v>
      </c>
    </row>
    <row r="2724" spans="1:15">
      <c r="A2724" s="166" t="s">
        <v>2832</v>
      </c>
      <c r="B2724" t="s">
        <v>111</v>
      </c>
      <c r="C2724" t="s">
        <v>2424</v>
      </c>
      <c r="D2724" t="s">
        <v>116</v>
      </c>
      <c r="E2724" t="s">
        <v>418</v>
      </c>
      <c r="F2724" t="s">
        <v>6</v>
      </c>
      <c r="G2724" t="s">
        <v>130</v>
      </c>
      <c r="H2724" s="1">
        <v>46119</v>
      </c>
      <c r="I2724" t="s">
        <v>2833</v>
      </c>
      <c r="J2724" t="s">
        <v>2834</v>
      </c>
      <c r="K2724" t="s">
        <v>2394</v>
      </c>
      <c r="L2724" t="s">
        <v>2815</v>
      </c>
      <c r="M2724" t="s">
        <v>2835</v>
      </c>
      <c r="N2724" s="166">
        <v>24.64</v>
      </c>
      <c r="O2724" t="s">
        <v>131</v>
      </c>
    </row>
    <row r="2725" spans="1:15">
      <c r="A2725" s="166" t="s">
        <v>2836</v>
      </c>
      <c r="B2725" t="s">
        <v>111</v>
      </c>
      <c r="C2725" t="s">
        <v>641</v>
      </c>
      <c r="D2725" t="s">
        <v>116</v>
      </c>
      <c r="E2725" t="s">
        <v>418</v>
      </c>
      <c r="F2725" t="s">
        <v>6</v>
      </c>
      <c r="G2725" t="s">
        <v>130</v>
      </c>
      <c r="H2725" s="1">
        <v>46119</v>
      </c>
      <c r="I2725" t="s">
        <v>2837</v>
      </c>
      <c r="J2725" t="s">
        <v>2838</v>
      </c>
      <c r="K2725" t="s">
        <v>2839</v>
      </c>
      <c r="L2725" t="s">
        <v>2457</v>
      </c>
      <c r="M2725" t="s">
        <v>688</v>
      </c>
      <c r="N2725" s="166">
        <v>25.56</v>
      </c>
      <c r="O2725" t="s">
        <v>131</v>
      </c>
    </row>
    <row r="2726" spans="1:15">
      <c r="A2726" s="166" t="s">
        <v>2840</v>
      </c>
      <c r="B2726" t="s">
        <v>111</v>
      </c>
      <c r="C2726" t="s">
        <v>136</v>
      </c>
      <c r="D2726" t="s">
        <v>116</v>
      </c>
      <c r="E2726" t="s">
        <v>418</v>
      </c>
      <c r="F2726" t="s">
        <v>6</v>
      </c>
      <c r="G2726" t="s">
        <v>130</v>
      </c>
      <c r="H2726" s="1">
        <v>46119</v>
      </c>
      <c r="I2726" t="s">
        <v>2841</v>
      </c>
      <c r="J2726" t="s">
        <v>2842</v>
      </c>
      <c r="K2726" t="s">
        <v>2843</v>
      </c>
      <c r="L2726" t="s">
        <v>650</v>
      </c>
      <c r="M2726" t="s">
        <v>2199</v>
      </c>
      <c r="N2726" s="166">
        <v>24.1</v>
      </c>
      <c r="O2726" t="s">
        <v>131</v>
      </c>
    </row>
    <row r="2727" spans="1:15">
      <c r="A2727" s="166" t="s">
        <v>2844</v>
      </c>
      <c r="B2727" t="s">
        <v>111</v>
      </c>
      <c r="C2727" t="s">
        <v>2424</v>
      </c>
      <c r="D2727" t="s">
        <v>116</v>
      </c>
      <c r="E2727" t="s">
        <v>418</v>
      </c>
      <c r="F2727" t="s">
        <v>6</v>
      </c>
      <c r="G2727" t="s">
        <v>130</v>
      </c>
      <c r="H2727" s="1">
        <v>46119</v>
      </c>
      <c r="I2727" t="s">
        <v>2845</v>
      </c>
      <c r="J2727" t="s">
        <v>2846</v>
      </c>
      <c r="K2727" t="s">
        <v>2847</v>
      </c>
      <c r="L2727" t="s">
        <v>2848</v>
      </c>
      <c r="M2727" t="s">
        <v>2849</v>
      </c>
      <c r="N2727" s="166">
        <v>27.58</v>
      </c>
      <c r="O2727" t="s">
        <v>131</v>
      </c>
    </row>
    <row r="2728" spans="1:15">
      <c r="A2728" s="166" t="s">
        <v>2850</v>
      </c>
      <c r="B2728" t="s">
        <v>111</v>
      </c>
      <c r="C2728" t="s">
        <v>641</v>
      </c>
      <c r="D2728" t="s">
        <v>116</v>
      </c>
      <c r="E2728" t="s">
        <v>418</v>
      </c>
      <c r="F2728" t="s">
        <v>6</v>
      </c>
      <c r="G2728" t="s">
        <v>130</v>
      </c>
      <c r="H2728" s="1">
        <v>46119</v>
      </c>
      <c r="I2728" t="s">
        <v>2851</v>
      </c>
      <c r="J2728" t="s">
        <v>2852</v>
      </c>
      <c r="K2728" t="s">
        <v>2853</v>
      </c>
      <c r="L2728" t="s">
        <v>565</v>
      </c>
      <c r="M2728" t="s">
        <v>2854</v>
      </c>
      <c r="N2728" s="166">
        <v>27.08</v>
      </c>
      <c r="O2728" t="s">
        <v>131</v>
      </c>
    </row>
    <row r="2729" spans="1:15">
      <c r="A2729" s="166" t="s">
        <v>2018</v>
      </c>
      <c r="B2729" t="s">
        <v>111</v>
      </c>
      <c r="C2729" t="s">
        <v>136</v>
      </c>
      <c r="D2729" t="s">
        <v>116</v>
      </c>
      <c r="E2729" t="s">
        <v>418</v>
      </c>
      <c r="F2729" t="s">
        <v>6</v>
      </c>
      <c r="G2729" t="s">
        <v>130</v>
      </c>
      <c r="H2729" s="1">
        <v>46119</v>
      </c>
      <c r="I2729" t="s">
        <v>2855</v>
      </c>
      <c r="J2729" t="s">
        <v>2856</v>
      </c>
      <c r="K2729" t="s">
        <v>2857</v>
      </c>
      <c r="L2729" t="s">
        <v>1076</v>
      </c>
      <c r="M2729" t="s">
        <v>1121</v>
      </c>
      <c r="N2729" s="166">
        <v>25.32</v>
      </c>
      <c r="O2729" t="s">
        <v>131</v>
      </c>
    </row>
    <row r="2730" spans="1:15">
      <c r="A2730" s="166" t="s">
        <v>2858</v>
      </c>
      <c r="B2730" t="s">
        <v>111</v>
      </c>
      <c r="C2730" t="s">
        <v>134</v>
      </c>
      <c r="D2730" t="s">
        <v>116</v>
      </c>
      <c r="E2730" t="s">
        <v>418</v>
      </c>
      <c r="F2730" t="s">
        <v>6</v>
      </c>
      <c r="G2730" t="s">
        <v>130</v>
      </c>
      <c r="H2730" s="1">
        <v>46119</v>
      </c>
      <c r="I2730" t="s">
        <v>2859</v>
      </c>
      <c r="J2730" t="s">
        <v>2860</v>
      </c>
      <c r="K2730" t="s">
        <v>2861</v>
      </c>
      <c r="L2730" t="s">
        <v>203</v>
      </c>
      <c r="M2730" t="s">
        <v>702</v>
      </c>
      <c r="N2730" s="166">
        <v>25</v>
      </c>
      <c r="O2730" t="s">
        <v>131</v>
      </c>
    </row>
    <row r="2731" spans="1:15">
      <c r="A2731" s="166" t="s">
        <v>2862</v>
      </c>
      <c r="B2731" t="s">
        <v>111</v>
      </c>
      <c r="C2731" t="s">
        <v>2424</v>
      </c>
      <c r="D2731" t="s">
        <v>116</v>
      </c>
      <c r="E2731" t="s">
        <v>418</v>
      </c>
      <c r="F2731" t="s">
        <v>6</v>
      </c>
      <c r="G2731" t="s">
        <v>130</v>
      </c>
      <c r="H2731" s="1">
        <v>46119</v>
      </c>
      <c r="I2731" t="s">
        <v>2863</v>
      </c>
      <c r="J2731" t="s">
        <v>2864</v>
      </c>
      <c r="K2731" t="s">
        <v>2865</v>
      </c>
      <c r="L2731" t="s">
        <v>555</v>
      </c>
      <c r="M2731" t="s">
        <v>990</v>
      </c>
      <c r="N2731" s="166">
        <v>29.38</v>
      </c>
      <c r="O2731" t="s">
        <v>131</v>
      </c>
    </row>
    <row r="2732" spans="1:15">
      <c r="A2732" s="166" t="s">
        <v>2866</v>
      </c>
      <c r="B2732" t="s">
        <v>111</v>
      </c>
      <c r="C2732" t="s">
        <v>641</v>
      </c>
      <c r="D2732" t="s">
        <v>116</v>
      </c>
      <c r="E2732" t="s">
        <v>418</v>
      </c>
      <c r="F2732" t="s">
        <v>6</v>
      </c>
      <c r="G2732" t="s">
        <v>130</v>
      </c>
      <c r="H2732" s="1">
        <v>46119</v>
      </c>
      <c r="I2732" t="s">
        <v>2867</v>
      </c>
      <c r="J2732" t="s">
        <v>2868</v>
      </c>
      <c r="K2732" t="s">
        <v>2869</v>
      </c>
      <c r="L2732" t="s">
        <v>565</v>
      </c>
      <c r="M2732" t="s">
        <v>2870</v>
      </c>
      <c r="N2732" s="166">
        <v>29.18</v>
      </c>
      <c r="O2732" t="s">
        <v>131</v>
      </c>
    </row>
    <row r="2733" spans="1:15">
      <c r="A2733" s="166" t="s">
        <v>2871</v>
      </c>
      <c r="B2733" t="s">
        <v>111</v>
      </c>
      <c r="C2733" t="s">
        <v>136</v>
      </c>
      <c r="D2733" t="s">
        <v>116</v>
      </c>
      <c r="E2733" t="s">
        <v>418</v>
      </c>
      <c r="F2733" t="s">
        <v>6</v>
      </c>
      <c r="G2733" t="s">
        <v>130</v>
      </c>
      <c r="H2733" s="1">
        <v>46119</v>
      </c>
      <c r="I2733" t="s">
        <v>2872</v>
      </c>
      <c r="J2733" t="s">
        <v>2873</v>
      </c>
      <c r="K2733" t="s">
        <v>696</v>
      </c>
      <c r="L2733" t="s">
        <v>1076</v>
      </c>
      <c r="M2733" t="s">
        <v>2874</v>
      </c>
      <c r="N2733" s="166">
        <v>26.54</v>
      </c>
      <c r="O2733" t="s">
        <v>131</v>
      </c>
    </row>
    <row r="2734" spans="1:15">
      <c r="A2734" s="166" t="s">
        <v>2875</v>
      </c>
      <c r="B2734" t="s">
        <v>111</v>
      </c>
      <c r="C2734" t="s">
        <v>134</v>
      </c>
      <c r="D2734" t="s">
        <v>116</v>
      </c>
      <c r="E2734" t="s">
        <v>418</v>
      </c>
      <c r="F2734" t="s">
        <v>6</v>
      </c>
      <c r="G2734" t="s">
        <v>130</v>
      </c>
      <c r="H2734" s="1">
        <v>46119</v>
      </c>
      <c r="I2734" t="s">
        <v>2876</v>
      </c>
      <c r="J2734" t="s">
        <v>2877</v>
      </c>
      <c r="K2734" t="s">
        <v>2878</v>
      </c>
      <c r="L2734" t="s">
        <v>157</v>
      </c>
      <c r="M2734" t="s">
        <v>2879</v>
      </c>
      <c r="N2734" s="166">
        <v>29.3</v>
      </c>
      <c r="O2734" t="s">
        <v>131</v>
      </c>
    </row>
    <row r="2735" spans="1:15">
      <c r="A2735" s="166" t="s">
        <v>2880</v>
      </c>
      <c r="B2735" t="s">
        <v>111</v>
      </c>
      <c r="C2735" t="s">
        <v>2424</v>
      </c>
      <c r="D2735" t="s">
        <v>116</v>
      </c>
      <c r="E2735" t="s">
        <v>418</v>
      </c>
      <c r="F2735" t="s">
        <v>6</v>
      </c>
      <c r="G2735" t="s">
        <v>130</v>
      </c>
      <c r="H2735" s="1">
        <v>46119</v>
      </c>
      <c r="I2735" t="s">
        <v>2881</v>
      </c>
      <c r="J2735" t="s">
        <v>2882</v>
      </c>
      <c r="K2735" t="s">
        <v>2883</v>
      </c>
      <c r="L2735" t="s">
        <v>503</v>
      </c>
      <c r="M2735" t="s">
        <v>1004</v>
      </c>
      <c r="N2735" s="166">
        <v>27.98</v>
      </c>
      <c r="O2735" t="s">
        <v>131</v>
      </c>
    </row>
    <row r="2736" spans="1:15">
      <c r="A2736" s="166" t="s">
        <v>2884</v>
      </c>
      <c r="B2736" t="s">
        <v>111</v>
      </c>
      <c r="C2736" t="s">
        <v>641</v>
      </c>
      <c r="D2736" t="s">
        <v>116</v>
      </c>
      <c r="E2736" t="s">
        <v>418</v>
      </c>
      <c r="F2736" t="s">
        <v>6</v>
      </c>
      <c r="G2736" t="s">
        <v>130</v>
      </c>
      <c r="H2736" s="1">
        <v>46119</v>
      </c>
      <c r="I2736" t="s">
        <v>2885</v>
      </c>
      <c r="J2736" t="s">
        <v>2886</v>
      </c>
      <c r="K2736" t="s">
        <v>2668</v>
      </c>
      <c r="L2736" t="s">
        <v>2754</v>
      </c>
      <c r="M2736" t="s">
        <v>2887</v>
      </c>
      <c r="N2736" s="166">
        <v>24.98</v>
      </c>
      <c r="O2736" t="s">
        <v>131</v>
      </c>
    </row>
    <row r="2737" spans="1:15">
      <c r="A2737" s="166" t="s">
        <v>2888</v>
      </c>
      <c r="B2737" t="s">
        <v>111</v>
      </c>
      <c r="C2737" t="s">
        <v>134</v>
      </c>
      <c r="D2737" t="s">
        <v>116</v>
      </c>
      <c r="E2737" t="s">
        <v>418</v>
      </c>
      <c r="F2737" t="s">
        <v>6</v>
      </c>
      <c r="G2737" t="s">
        <v>130</v>
      </c>
      <c r="H2737" s="1">
        <v>46119</v>
      </c>
      <c r="I2737" t="s">
        <v>2889</v>
      </c>
      <c r="J2737" t="s">
        <v>2890</v>
      </c>
      <c r="K2737" t="s">
        <v>994</v>
      </c>
      <c r="L2737" t="s">
        <v>168</v>
      </c>
      <c r="M2737" t="s">
        <v>2891</v>
      </c>
      <c r="N2737" s="166">
        <v>25.9</v>
      </c>
      <c r="O2737" t="s">
        <v>131</v>
      </c>
    </row>
    <row r="2738" spans="1:15">
      <c r="A2738" s="166" t="s">
        <v>2892</v>
      </c>
      <c r="B2738" t="s">
        <v>111</v>
      </c>
      <c r="C2738" t="s">
        <v>136</v>
      </c>
      <c r="D2738" t="s">
        <v>116</v>
      </c>
      <c r="E2738" t="s">
        <v>418</v>
      </c>
      <c r="F2738" t="s">
        <v>6</v>
      </c>
      <c r="G2738" t="s">
        <v>130</v>
      </c>
      <c r="H2738" s="1">
        <v>46119</v>
      </c>
      <c r="I2738" t="s">
        <v>2893</v>
      </c>
      <c r="J2738" t="s">
        <v>2894</v>
      </c>
      <c r="K2738" t="s">
        <v>2895</v>
      </c>
      <c r="L2738" t="s">
        <v>1076</v>
      </c>
      <c r="M2738" t="s">
        <v>2896</v>
      </c>
      <c r="N2738" s="166">
        <v>30.16</v>
      </c>
      <c r="O2738" t="s">
        <v>131</v>
      </c>
    </row>
    <row r="2739" spans="1:15">
      <c r="A2739" s="166" t="s">
        <v>2897</v>
      </c>
      <c r="B2739" t="s">
        <v>111</v>
      </c>
      <c r="C2739" t="s">
        <v>2424</v>
      </c>
      <c r="D2739" t="s">
        <v>116</v>
      </c>
      <c r="E2739" t="s">
        <v>418</v>
      </c>
      <c r="F2739" t="s">
        <v>6</v>
      </c>
      <c r="G2739" t="s">
        <v>130</v>
      </c>
      <c r="H2739" s="1">
        <v>46119</v>
      </c>
      <c r="I2739" t="s">
        <v>2898</v>
      </c>
      <c r="J2739" t="s">
        <v>2899</v>
      </c>
      <c r="K2739" t="s">
        <v>889</v>
      </c>
      <c r="L2739" t="s">
        <v>143</v>
      </c>
      <c r="M2739" t="s">
        <v>2900</v>
      </c>
      <c r="N2739" s="166">
        <v>28.2</v>
      </c>
      <c r="O2739" t="s">
        <v>131</v>
      </c>
    </row>
    <row r="2740" spans="1:15">
      <c r="A2740" s="166" t="s">
        <v>2901</v>
      </c>
      <c r="B2740" t="s">
        <v>111</v>
      </c>
      <c r="C2740" t="s">
        <v>134</v>
      </c>
      <c r="D2740" t="s">
        <v>116</v>
      </c>
      <c r="E2740" t="s">
        <v>418</v>
      </c>
      <c r="F2740" t="s">
        <v>7</v>
      </c>
      <c r="G2740" t="s">
        <v>130</v>
      </c>
      <c r="H2740" s="1">
        <v>46119</v>
      </c>
      <c r="I2740" t="s">
        <v>2902</v>
      </c>
      <c r="J2740" t="s">
        <v>2903</v>
      </c>
      <c r="K2740" t="s">
        <v>2904</v>
      </c>
      <c r="L2740" t="s">
        <v>203</v>
      </c>
      <c r="M2740" t="s">
        <v>2905</v>
      </c>
      <c r="N2740" s="166">
        <v>24.3</v>
      </c>
      <c r="O2740" t="s">
        <v>131</v>
      </c>
    </row>
    <row r="2741" spans="1:15">
      <c r="A2741" s="166" t="s">
        <v>2906</v>
      </c>
      <c r="B2741" t="s">
        <v>111</v>
      </c>
      <c r="C2741" t="s">
        <v>136</v>
      </c>
      <c r="D2741" t="s">
        <v>116</v>
      </c>
      <c r="E2741" t="s">
        <v>418</v>
      </c>
      <c r="F2741" t="s">
        <v>7</v>
      </c>
      <c r="G2741" t="s">
        <v>130</v>
      </c>
      <c r="H2741" s="1">
        <v>46119</v>
      </c>
      <c r="I2741" t="s">
        <v>2907</v>
      </c>
      <c r="J2741" t="s">
        <v>2908</v>
      </c>
      <c r="K2741" t="s">
        <v>2909</v>
      </c>
      <c r="L2741" t="s">
        <v>730</v>
      </c>
      <c r="M2741" t="s">
        <v>2910</v>
      </c>
      <c r="N2741" s="166">
        <v>27.38</v>
      </c>
      <c r="O2741" t="s">
        <v>131</v>
      </c>
    </row>
    <row r="2742" spans="1:15">
      <c r="A2742" s="166" t="s">
        <v>2911</v>
      </c>
      <c r="B2742" t="s">
        <v>111</v>
      </c>
      <c r="C2742" t="s">
        <v>2424</v>
      </c>
      <c r="D2742" t="s">
        <v>116</v>
      </c>
      <c r="E2742" t="s">
        <v>418</v>
      </c>
      <c r="F2742" t="s">
        <v>7</v>
      </c>
      <c r="G2742" t="s">
        <v>130</v>
      </c>
      <c r="H2742" s="1">
        <v>46119</v>
      </c>
      <c r="I2742" t="s">
        <v>2912</v>
      </c>
      <c r="J2742" t="s">
        <v>2913</v>
      </c>
      <c r="K2742" t="s">
        <v>2682</v>
      </c>
      <c r="L2742" t="s">
        <v>503</v>
      </c>
      <c r="M2742" t="s">
        <v>2914</v>
      </c>
      <c r="N2742" s="166">
        <v>25.74</v>
      </c>
      <c r="O2742" t="s">
        <v>131</v>
      </c>
    </row>
    <row r="2743" spans="1:15">
      <c r="A2743" s="166" t="s">
        <v>2915</v>
      </c>
      <c r="B2743" t="s">
        <v>111</v>
      </c>
      <c r="C2743" t="s">
        <v>641</v>
      </c>
      <c r="D2743" t="s">
        <v>116</v>
      </c>
      <c r="E2743" t="s">
        <v>418</v>
      </c>
      <c r="F2743" t="s">
        <v>7</v>
      </c>
      <c r="G2743" t="s">
        <v>130</v>
      </c>
      <c r="H2743" s="1">
        <v>46119</v>
      </c>
      <c r="I2743" t="s">
        <v>2916</v>
      </c>
      <c r="J2743" t="s">
        <v>2917</v>
      </c>
      <c r="K2743" t="s">
        <v>2394</v>
      </c>
      <c r="L2743" t="s">
        <v>2749</v>
      </c>
      <c r="M2743" t="s">
        <v>197</v>
      </c>
      <c r="N2743" s="166">
        <v>24.76</v>
      </c>
      <c r="O2743" t="s">
        <v>131</v>
      </c>
    </row>
    <row r="2744" spans="1:15">
      <c r="A2744" s="166" t="s">
        <v>2918</v>
      </c>
      <c r="B2744" t="s">
        <v>111</v>
      </c>
      <c r="C2744" t="s">
        <v>134</v>
      </c>
      <c r="D2744" t="s">
        <v>116</v>
      </c>
      <c r="E2744" t="s">
        <v>418</v>
      </c>
      <c r="F2744" t="s">
        <v>7</v>
      </c>
      <c r="G2744" t="s">
        <v>130</v>
      </c>
      <c r="H2744" s="1">
        <v>46119</v>
      </c>
      <c r="I2744" t="s">
        <v>2919</v>
      </c>
      <c r="J2744" t="s">
        <v>2920</v>
      </c>
      <c r="K2744" t="s">
        <v>2732</v>
      </c>
      <c r="L2744" t="s">
        <v>157</v>
      </c>
      <c r="M2744" t="s">
        <v>2921</v>
      </c>
      <c r="N2744" s="166">
        <v>27.9</v>
      </c>
      <c r="O2744" t="s">
        <v>131</v>
      </c>
    </row>
    <row r="2745" spans="1:15">
      <c r="A2745" s="166" t="s">
        <v>2922</v>
      </c>
      <c r="B2745" t="s">
        <v>111</v>
      </c>
      <c r="C2745" t="s">
        <v>136</v>
      </c>
      <c r="D2745" t="s">
        <v>116</v>
      </c>
      <c r="E2745" t="s">
        <v>418</v>
      </c>
      <c r="F2745" t="s">
        <v>7</v>
      </c>
      <c r="G2745" t="s">
        <v>130</v>
      </c>
      <c r="H2745" s="1">
        <v>46119</v>
      </c>
      <c r="I2745" t="s">
        <v>2923</v>
      </c>
      <c r="J2745" t="s">
        <v>2924</v>
      </c>
      <c r="K2745" t="s">
        <v>1861</v>
      </c>
      <c r="L2745" t="s">
        <v>730</v>
      </c>
      <c r="M2745" t="s">
        <v>617</v>
      </c>
      <c r="N2745" s="166">
        <v>20.02</v>
      </c>
      <c r="O2745" t="s">
        <v>131</v>
      </c>
    </row>
    <row r="2746" spans="1:15">
      <c r="A2746" s="166" t="s">
        <v>2925</v>
      </c>
      <c r="B2746" t="s">
        <v>111</v>
      </c>
      <c r="C2746" t="s">
        <v>2424</v>
      </c>
      <c r="D2746" t="s">
        <v>116</v>
      </c>
      <c r="E2746" t="s">
        <v>418</v>
      </c>
      <c r="F2746" t="s">
        <v>7</v>
      </c>
      <c r="G2746" t="s">
        <v>130</v>
      </c>
      <c r="H2746" s="1">
        <v>46119</v>
      </c>
      <c r="I2746" t="s">
        <v>2926</v>
      </c>
      <c r="J2746" t="s">
        <v>2927</v>
      </c>
      <c r="K2746" t="s">
        <v>2928</v>
      </c>
      <c r="L2746" t="s">
        <v>143</v>
      </c>
      <c r="M2746" t="s">
        <v>2929</v>
      </c>
      <c r="N2746" s="166">
        <v>25.96</v>
      </c>
      <c r="O2746" t="s">
        <v>131</v>
      </c>
    </row>
    <row r="2747" spans="1:15">
      <c r="A2747" s="166" t="s">
        <v>2930</v>
      </c>
      <c r="B2747" t="s">
        <v>111</v>
      </c>
      <c r="C2747" t="s">
        <v>641</v>
      </c>
      <c r="D2747" t="s">
        <v>116</v>
      </c>
      <c r="E2747" t="s">
        <v>418</v>
      </c>
      <c r="F2747" t="s">
        <v>7</v>
      </c>
      <c r="G2747" t="s">
        <v>130</v>
      </c>
      <c r="H2747" s="1">
        <v>46119</v>
      </c>
      <c r="I2747" t="s">
        <v>2931</v>
      </c>
      <c r="J2747" t="s">
        <v>2932</v>
      </c>
      <c r="K2747" t="s">
        <v>188</v>
      </c>
      <c r="L2747" t="s">
        <v>590</v>
      </c>
      <c r="M2747" t="s">
        <v>807</v>
      </c>
      <c r="N2747" s="166">
        <v>24.28</v>
      </c>
      <c r="O2747" t="s">
        <v>131</v>
      </c>
    </row>
    <row r="2748" spans="1:15">
      <c r="A2748" s="166" t="s">
        <v>2933</v>
      </c>
      <c r="B2748" t="s">
        <v>111</v>
      </c>
      <c r="C2748" t="s">
        <v>134</v>
      </c>
      <c r="D2748" t="s">
        <v>116</v>
      </c>
      <c r="E2748" t="s">
        <v>418</v>
      </c>
      <c r="F2748" t="s">
        <v>7</v>
      </c>
      <c r="G2748" t="s">
        <v>130</v>
      </c>
      <c r="H2748" s="1">
        <v>46119</v>
      </c>
      <c r="I2748" t="s">
        <v>2934</v>
      </c>
      <c r="J2748" t="s">
        <v>2935</v>
      </c>
      <c r="K2748" t="s">
        <v>2643</v>
      </c>
      <c r="L2748" t="s">
        <v>2848</v>
      </c>
      <c r="M2748" t="s">
        <v>1745</v>
      </c>
      <c r="N2748" s="166">
        <v>25.52</v>
      </c>
      <c r="O2748" t="s">
        <v>131</v>
      </c>
    </row>
    <row r="2749" spans="1:15">
      <c r="A2749" s="166" t="s">
        <v>836</v>
      </c>
      <c r="B2749" t="s">
        <v>111</v>
      </c>
      <c r="C2749" t="s">
        <v>136</v>
      </c>
      <c r="D2749" t="s">
        <v>116</v>
      </c>
      <c r="E2749" t="s">
        <v>418</v>
      </c>
      <c r="F2749" t="s">
        <v>7</v>
      </c>
      <c r="G2749" t="s">
        <v>130</v>
      </c>
      <c r="H2749" s="1">
        <v>46119</v>
      </c>
      <c r="I2749" t="s">
        <v>2932</v>
      </c>
      <c r="J2749" t="s">
        <v>2936</v>
      </c>
      <c r="K2749" t="s">
        <v>2937</v>
      </c>
      <c r="L2749" t="s">
        <v>730</v>
      </c>
      <c r="M2749" t="s">
        <v>2938</v>
      </c>
      <c r="N2749" s="166">
        <v>25.28</v>
      </c>
      <c r="O2749" t="s">
        <v>131</v>
      </c>
    </row>
    <row r="2750" spans="1:15">
      <c r="A2750" s="166" t="s">
        <v>2939</v>
      </c>
      <c r="B2750" t="s">
        <v>111</v>
      </c>
      <c r="C2750" t="s">
        <v>2424</v>
      </c>
      <c r="D2750" t="s">
        <v>116</v>
      </c>
      <c r="E2750" t="s">
        <v>418</v>
      </c>
      <c r="F2750" t="s">
        <v>7</v>
      </c>
      <c r="G2750" t="s">
        <v>130</v>
      </c>
      <c r="H2750" s="1">
        <v>46119</v>
      </c>
      <c r="I2750" t="s">
        <v>2940</v>
      </c>
      <c r="J2750" t="s">
        <v>2941</v>
      </c>
      <c r="K2750" t="s">
        <v>2942</v>
      </c>
      <c r="L2750" t="s">
        <v>163</v>
      </c>
      <c r="M2750" t="s">
        <v>2943</v>
      </c>
      <c r="N2750" s="166">
        <v>25.16</v>
      </c>
      <c r="O2750" t="s">
        <v>131</v>
      </c>
    </row>
    <row r="2751" spans="1:15">
      <c r="A2751" s="166" t="s">
        <v>2944</v>
      </c>
      <c r="B2751" t="s">
        <v>111</v>
      </c>
      <c r="C2751" t="s">
        <v>641</v>
      </c>
      <c r="D2751" t="s">
        <v>116</v>
      </c>
      <c r="E2751" t="s">
        <v>418</v>
      </c>
      <c r="F2751" t="s">
        <v>7</v>
      </c>
      <c r="G2751" t="s">
        <v>130</v>
      </c>
      <c r="H2751" s="1">
        <v>46119</v>
      </c>
      <c r="I2751" t="s">
        <v>2945</v>
      </c>
      <c r="J2751" t="s">
        <v>2946</v>
      </c>
      <c r="K2751" t="s">
        <v>2947</v>
      </c>
      <c r="L2751" t="s">
        <v>590</v>
      </c>
      <c r="M2751" t="s">
        <v>2948</v>
      </c>
      <c r="N2751" s="166">
        <v>25.86</v>
      </c>
      <c r="O2751" t="s">
        <v>131</v>
      </c>
    </row>
    <row r="2752" spans="1:15">
      <c r="A2752" s="166" t="s">
        <v>2949</v>
      </c>
      <c r="B2752" t="s">
        <v>111</v>
      </c>
      <c r="C2752" t="s">
        <v>134</v>
      </c>
      <c r="D2752" t="s">
        <v>116</v>
      </c>
      <c r="E2752" t="s">
        <v>418</v>
      </c>
      <c r="F2752" t="s">
        <v>7</v>
      </c>
      <c r="G2752" t="s">
        <v>130</v>
      </c>
      <c r="H2752" s="1">
        <v>46119</v>
      </c>
      <c r="I2752" t="s">
        <v>2950</v>
      </c>
      <c r="J2752" t="s">
        <v>2951</v>
      </c>
      <c r="K2752" t="s">
        <v>159</v>
      </c>
      <c r="L2752" t="s">
        <v>155</v>
      </c>
      <c r="M2752" t="s">
        <v>2952</v>
      </c>
      <c r="N2752" s="166">
        <v>24.2</v>
      </c>
      <c r="O2752" t="s">
        <v>131</v>
      </c>
    </row>
    <row r="2753" spans="1:15">
      <c r="A2753" s="166" t="s">
        <v>2953</v>
      </c>
      <c r="B2753" t="s">
        <v>111</v>
      </c>
      <c r="C2753" t="s">
        <v>136</v>
      </c>
      <c r="D2753" t="s">
        <v>116</v>
      </c>
      <c r="E2753" t="s">
        <v>418</v>
      </c>
      <c r="F2753" t="s">
        <v>7</v>
      </c>
      <c r="G2753" t="s">
        <v>130</v>
      </c>
      <c r="H2753" s="1">
        <v>46119</v>
      </c>
      <c r="I2753" t="s">
        <v>2954</v>
      </c>
      <c r="J2753" t="s">
        <v>2955</v>
      </c>
      <c r="K2753" t="s">
        <v>2956</v>
      </c>
      <c r="L2753" t="s">
        <v>730</v>
      </c>
      <c r="M2753" t="s">
        <v>2957</v>
      </c>
      <c r="N2753" s="166">
        <v>25.06</v>
      </c>
      <c r="O2753" t="s">
        <v>131</v>
      </c>
    </row>
    <row r="2754" spans="1:15">
      <c r="A2754" s="166" t="s">
        <v>2958</v>
      </c>
      <c r="B2754" t="s">
        <v>111</v>
      </c>
      <c r="C2754" t="s">
        <v>2424</v>
      </c>
      <c r="D2754" t="s">
        <v>116</v>
      </c>
      <c r="E2754" t="s">
        <v>418</v>
      </c>
      <c r="F2754" t="s">
        <v>7</v>
      </c>
      <c r="G2754" t="s">
        <v>130</v>
      </c>
      <c r="H2754" s="1">
        <v>46119</v>
      </c>
      <c r="I2754" t="s">
        <v>2959</v>
      </c>
      <c r="J2754" t="s">
        <v>2951</v>
      </c>
      <c r="K2754" t="s">
        <v>2960</v>
      </c>
      <c r="L2754" t="s">
        <v>152</v>
      </c>
      <c r="M2754" t="s">
        <v>2961</v>
      </c>
      <c r="N2754" s="166">
        <v>27.5</v>
      </c>
      <c r="O2754" t="s">
        <v>131</v>
      </c>
    </row>
    <row r="2755" spans="1:15">
      <c r="A2755" s="166" t="s">
        <v>2962</v>
      </c>
      <c r="B2755" t="s">
        <v>111</v>
      </c>
      <c r="C2755" t="s">
        <v>133</v>
      </c>
      <c r="D2755" t="s">
        <v>116</v>
      </c>
      <c r="E2755" t="s">
        <v>418</v>
      </c>
      <c r="F2755" t="s">
        <v>7</v>
      </c>
      <c r="G2755" t="s">
        <v>130</v>
      </c>
      <c r="H2755" s="1">
        <v>46119</v>
      </c>
      <c r="I2755" t="s">
        <v>2963</v>
      </c>
      <c r="J2755" t="s">
        <v>2964</v>
      </c>
      <c r="K2755" t="s">
        <v>2965</v>
      </c>
      <c r="L2755" t="s">
        <v>1503</v>
      </c>
      <c r="M2755" t="s">
        <v>846</v>
      </c>
      <c r="N2755" s="166">
        <v>23.04</v>
      </c>
      <c r="O2755" t="s">
        <v>131</v>
      </c>
    </row>
    <row r="2756" spans="1:15">
      <c r="A2756" s="166" t="s">
        <v>2966</v>
      </c>
      <c r="B2756" t="s">
        <v>111</v>
      </c>
      <c r="C2756" t="s">
        <v>641</v>
      </c>
      <c r="D2756" t="s">
        <v>116</v>
      </c>
      <c r="E2756" t="s">
        <v>418</v>
      </c>
      <c r="F2756" t="s">
        <v>7</v>
      </c>
      <c r="G2756" t="s">
        <v>130</v>
      </c>
      <c r="H2756" s="1">
        <v>46119</v>
      </c>
      <c r="I2756" t="s">
        <v>2967</v>
      </c>
      <c r="J2756" t="s">
        <v>2968</v>
      </c>
      <c r="K2756" t="s">
        <v>1568</v>
      </c>
      <c r="L2756" t="s">
        <v>2491</v>
      </c>
      <c r="M2756" t="s">
        <v>2952</v>
      </c>
      <c r="N2756" s="166">
        <v>24.2</v>
      </c>
      <c r="O2756" t="s">
        <v>131</v>
      </c>
    </row>
    <row r="2757" spans="1:15">
      <c r="A2757" s="166" t="s">
        <v>2969</v>
      </c>
      <c r="B2757" t="s">
        <v>111</v>
      </c>
      <c r="C2757" t="s">
        <v>135</v>
      </c>
      <c r="D2757" t="s">
        <v>116</v>
      </c>
      <c r="E2757" t="s">
        <v>418</v>
      </c>
      <c r="F2757" t="s">
        <v>7</v>
      </c>
      <c r="G2757" t="s">
        <v>130</v>
      </c>
      <c r="H2757" s="1">
        <v>46119</v>
      </c>
      <c r="I2757" t="s">
        <v>2970</v>
      </c>
      <c r="J2757" t="s">
        <v>2971</v>
      </c>
      <c r="K2757" t="s">
        <v>158</v>
      </c>
      <c r="L2757" t="s">
        <v>1493</v>
      </c>
      <c r="M2757" t="s">
        <v>591</v>
      </c>
      <c r="N2757" s="166">
        <v>22.92</v>
      </c>
      <c r="O2757" t="s">
        <v>131</v>
      </c>
    </row>
    <row r="2758" spans="1:15">
      <c r="A2758" s="166" t="s">
        <v>2972</v>
      </c>
      <c r="B2758" t="s">
        <v>111</v>
      </c>
      <c r="C2758" t="s">
        <v>2424</v>
      </c>
      <c r="D2758" t="s">
        <v>116</v>
      </c>
      <c r="E2758" t="s">
        <v>418</v>
      </c>
      <c r="F2758" t="s">
        <v>7</v>
      </c>
      <c r="G2758" t="s">
        <v>130</v>
      </c>
      <c r="H2758" s="1">
        <v>46119</v>
      </c>
      <c r="I2758" t="s">
        <v>2973</v>
      </c>
      <c r="J2758" t="s">
        <v>2974</v>
      </c>
      <c r="K2758" t="s">
        <v>1619</v>
      </c>
      <c r="L2758" t="s">
        <v>590</v>
      </c>
      <c r="M2758" t="s">
        <v>2975</v>
      </c>
      <c r="N2758" s="166">
        <v>24.06</v>
      </c>
      <c r="O2758" t="s">
        <v>131</v>
      </c>
    </row>
    <row r="2759" spans="1:15">
      <c r="A2759" s="166" t="s">
        <v>2976</v>
      </c>
      <c r="B2759" t="s">
        <v>111</v>
      </c>
      <c r="C2759" t="s">
        <v>133</v>
      </c>
      <c r="D2759" t="s">
        <v>116</v>
      </c>
      <c r="E2759" t="s">
        <v>418</v>
      </c>
      <c r="F2759" t="s">
        <v>7</v>
      </c>
      <c r="G2759" t="s">
        <v>130</v>
      </c>
      <c r="H2759" s="1">
        <v>46119</v>
      </c>
      <c r="I2759" t="s">
        <v>2977</v>
      </c>
      <c r="J2759" t="s">
        <v>2978</v>
      </c>
      <c r="K2759" t="s">
        <v>2979</v>
      </c>
      <c r="L2759" t="s">
        <v>665</v>
      </c>
      <c r="M2759" t="s">
        <v>2204</v>
      </c>
      <c r="N2759" s="166">
        <v>25.88</v>
      </c>
      <c r="O2759" t="s">
        <v>131</v>
      </c>
    </row>
    <row r="2760" spans="1:15">
      <c r="A2760" s="166" t="s">
        <v>2980</v>
      </c>
      <c r="B2760" t="s">
        <v>111</v>
      </c>
      <c r="C2760" t="s">
        <v>134</v>
      </c>
      <c r="D2760" t="s">
        <v>116</v>
      </c>
      <c r="E2760" t="s">
        <v>418</v>
      </c>
      <c r="F2760" t="s">
        <v>7</v>
      </c>
      <c r="G2760" t="s">
        <v>130</v>
      </c>
      <c r="H2760" s="1">
        <v>46119</v>
      </c>
      <c r="I2760" t="s">
        <v>2981</v>
      </c>
      <c r="J2760" t="s">
        <v>2982</v>
      </c>
      <c r="K2760" t="s">
        <v>2983</v>
      </c>
      <c r="L2760" t="s">
        <v>151</v>
      </c>
      <c r="M2760" t="s">
        <v>1731</v>
      </c>
      <c r="N2760" s="166">
        <v>26.36</v>
      </c>
      <c r="O2760" t="s">
        <v>131</v>
      </c>
    </row>
    <row r="2761" spans="1:15">
      <c r="A2761" s="166" t="s">
        <v>2984</v>
      </c>
      <c r="B2761" t="s">
        <v>111</v>
      </c>
      <c r="C2761" t="s">
        <v>641</v>
      </c>
      <c r="D2761" t="s">
        <v>116</v>
      </c>
      <c r="E2761" t="s">
        <v>418</v>
      </c>
      <c r="F2761" t="s">
        <v>7</v>
      </c>
      <c r="G2761" t="s">
        <v>130</v>
      </c>
      <c r="H2761" s="1">
        <v>46119</v>
      </c>
      <c r="I2761" t="s">
        <v>2985</v>
      </c>
      <c r="J2761" t="s">
        <v>2986</v>
      </c>
      <c r="K2761" t="s">
        <v>191</v>
      </c>
      <c r="L2761" t="s">
        <v>415</v>
      </c>
      <c r="M2761" t="s">
        <v>2987</v>
      </c>
      <c r="N2761" s="166">
        <v>23.28</v>
      </c>
      <c r="O2761" t="s">
        <v>131</v>
      </c>
    </row>
    <row r="2762" spans="1:15">
      <c r="A2762" s="166" t="s">
        <v>2988</v>
      </c>
      <c r="B2762" t="s">
        <v>111</v>
      </c>
      <c r="C2762" t="s">
        <v>2424</v>
      </c>
      <c r="D2762" t="s">
        <v>116</v>
      </c>
      <c r="E2762" t="s">
        <v>418</v>
      </c>
      <c r="F2762" t="s">
        <v>7</v>
      </c>
      <c r="G2762" t="s">
        <v>130</v>
      </c>
      <c r="H2762" s="1">
        <v>46119</v>
      </c>
      <c r="I2762" t="s">
        <v>2989</v>
      </c>
      <c r="J2762" t="s">
        <v>2990</v>
      </c>
      <c r="K2762" t="s">
        <v>610</v>
      </c>
      <c r="L2762" t="s">
        <v>203</v>
      </c>
      <c r="M2762" t="s">
        <v>556</v>
      </c>
      <c r="N2762" s="166">
        <v>22.44</v>
      </c>
      <c r="O2762" t="s">
        <v>131</v>
      </c>
    </row>
    <row r="2763" spans="1:15">
      <c r="A2763" s="166" t="s">
        <v>2991</v>
      </c>
      <c r="B2763" t="s">
        <v>111</v>
      </c>
      <c r="C2763" t="s">
        <v>133</v>
      </c>
      <c r="D2763" t="s">
        <v>116</v>
      </c>
      <c r="E2763" t="s">
        <v>418</v>
      </c>
      <c r="F2763" t="s">
        <v>7</v>
      </c>
      <c r="G2763" t="s">
        <v>130</v>
      </c>
      <c r="H2763" s="1">
        <v>46119</v>
      </c>
      <c r="I2763" t="s">
        <v>2992</v>
      </c>
      <c r="J2763" t="s">
        <v>2993</v>
      </c>
      <c r="K2763" t="s">
        <v>2994</v>
      </c>
      <c r="L2763" t="s">
        <v>622</v>
      </c>
      <c r="M2763" t="s">
        <v>651</v>
      </c>
      <c r="N2763" s="166">
        <v>22.42</v>
      </c>
      <c r="O2763" t="s">
        <v>131</v>
      </c>
    </row>
    <row r="2764" spans="1:15">
      <c r="A2764" s="166" t="s">
        <v>2995</v>
      </c>
      <c r="B2764" t="s">
        <v>111</v>
      </c>
      <c r="C2764" t="s">
        <v>134</v>
      </c>
      <c r="D2764" t="s">
        <v>118</v>
      </c>
      <c r="E2764" t="s">
        <v>2618</v>
      </c>
      <c r="F2764" t="s">
        <v>6</v>
      </c>
      <c r="G2764" t="s">
        <v>130</v>
      </c>
      <c r="H2764" s="1">
        <v>46119</v>
      </c>
      <c r="I2764" t="s">
        <v>2996</v>
      </c>
      <c r="J2764" t="s">
        <v>2997</v>
      </c>
      <c r="K2764" t="s">
        <v>600</v>
      </c>
      <c r="L2764" t="s">
        <v>2998</v>
      </c>
      <c r="M2764" t="s">
        <v>2175</v>
      </c>
      <c r="N2764" s="166">
        <v>19.760000000000002</v>
      </c>
      <c r="O2764" t="s">
        <v>131</v>
      </c>
    </row>
    <row r="2765" spans="1:15">
      <c r="A2765" s="166" t="s">
        <v>2999</v>
      </c>
      <c r="B2765" t="s">
        <v>111</v>
      </c>
      <c r="C2765" t="s">
        <v>135</v>
      </c>
      <c r="D2765" t="s">
        <v>118</v>
      </c>
      <c r="E2765" t="s">
        <v>668</v>
      </c>
      <c r="F2765" t="s">
        <v>6</v>
      </c>
      <c r="G2765" t="s">
        <v>130</v>
      </c>
      <c r="H2765" s="1">
        <v>46119</v>
      </c>
      <c r="I2765" t="s">
        <v>3000</v>
      </c>
      <c r="J2765" t="s">
        <v>3001</v>
      </c>
      <c r="K2765" t="s">
        <v>1965</v>
      </c>
      <c r="L2765" t="s">
        <v>486</v>
      </c>
      <c r="M2765" t="s">
        <v>1430</v>
      </c>
      <c r="N2765" s="166">
        <v>18.899999999999999</v>
      </c>
      <c r="O2765" t="s">
        <v>131</v>
      </c>
    </row>
    <row r="2766" spans="1:15">
      <c r="A2766" s="166" t="s">
        <v>3002</v>
      </c>
      <c r="B2766" t="s">
        <v>111</v>
      </c>
      <c r="C2766" t="s">
        <v>641</v>
      </c>
      <c r="D2766" t="s">
        <v>118</v>
      </c>
      <c r="E2766" t="s">
        <v>668</v>
      </c>
      <c r="F2766" t="s">
        <v>6</v>
      </c>
      <c r="G2766" t="s">
        <v>130</v>
      </c>
      <c r="H2766" s="1">
        <v>46119</v>
      </c>
      <c r="I2766" t="s">
        <v>3003</v>
      </c>
      <c r="J2766" t="s">
        <v>3004</v>
      </c>
      <c r="K2766" t="s">
        <v>1514</v>
      </c>
      <c r="L2766" t="s">
        <v>155</v>
      </c>
      <c r="M2766" t="s">
        <v>1178</v>
      </c>
      <c r="N2766" s="166">
        <v>21.12</v>
      </c>
      <c r="O2766" t="s">
        <v>131</v>
      </c>
    </row>
    <row r="2767" spans="1:15">
      <c r="A2767" s="166" t="s">
        <v>3005</v>
      </c>
      <c r="B2767" t="s">
        <v>111</v>
      </c>
      <c r="C2767" t="s">
        <v>2424</v>
      </c>
      <c r="D2767" t="s">
        <v>116</v>
      </c>
      <c r="E2767" t="s">
        <v>418</v>
      </c>
      <c r="F2767" t="s">
        <v>7</v>
      </c>
      <c r="G2767" t="s">
        <v>130</v>
      </c>
      <c r="H2767" s="1">
        <v>46119</v>
      </c>
      <c r="I2767" t="s">
        <v>3006</v>
      </c>
      <c r="J2767" t="s">
        <v>3007</v>
      </c>
      <c r="K2767" t="s">
        <v>2682</v>
      </c>
      <c r="L2767" t="s">
        <v>503</v>
      </c>
      <c r="M2767" t="s">
        <v>2914</v>
      </c>
      <c r="N2767" s="166">
        <v>25.74</v>
      </c>
      <c r="O2767" t="s">
        <v>131</v>
      </c>
    </row>
    <row r="2768" spans="1:15">
      <c r="A2768" s="166" t="s">
        <v>3008</v>
      </c>
      <c r="B2768" t="s">
        <v>111</v>
      </c>
      <c r="C2768" t="s">
        <v>133</v>
      </c>
      <c r="D2768" t="s">
        <v>116</v>
      </c>
      <c r="E2768" t="s">
        <v>418</v>
      </c>
      <c r="F2768" t="s">
        <v>7</v>
      </c>
      <c r="G2768" t="s">
        <v>130</v>
      </c>
      <c r="H2768" s="1">
        <v>46119</v>
      </c>
      <c r="I2768" t="s">
        <v>3009</v>
      </c>
      <c r="J2768" t="s">
        <v>3010</v>
      </c>
      <c r="K2768" t="s">
        <v>2682</v>
      </c>
      <c r="L2768" t="s">
        <v>622</v>
      </c>
      <c r="M2768" t="s">
        <v>2725</v>
      </c>
      <c r="N2768" s="166">
        <v>25.08</v>
      </c>
      <c r="O2768" t="s">
        <v>131</v>
      </c>
    </row>
    <row r="2769" spans="1:15">
      <c r="A2769" s="166" t="s">
        <v>3011</v>
      </c>
      <c r="B2769" t="s">
        <v>111</v>
      </c>
      <c r="C2769" t="s">
        <v>2424</v>
      </c>
      <c r="D2769" t="s">
        <v>116</v>
      </c>
      <c r="E2769" t="s">
        <v>418</v>
      </c>
      <c r="F2769" t="s">
        <v>7</v>
      </c>
      <c r="G2769" t="s">
        <v>130</v>
      </c>
      <c r="H2769" s="1">
        <v>46119</v>
      </c>
      <c r="I2769" t="s">
        <v>3012</v>
      </c>
      <c r="J2769" t="s">
        <v>3013</v>
      </c>
      <c r="K2769" t="s">
        <v>3014</v>
      </c>
      <c r="L2769" t="s">
        <v>168</v>
      </c>
      <c r="M2769" t="s">
        <v>3015</v>
      </c>
      <c r="N2769" s="166">
        <v>26.76</v>
      </c>
      <c r="O2769" t="s">
        <v>131</v>
      </c>
    </row>
    <row r="2770" spans="1:15">
      <c r="A2770" s="166" t="s">
        <v>3016</v>
      </c>
      <c r="B2770" t="s">
        <v>111</v>
      </c>
      <c r="C2770" t="s">
        <v>133</v>
      </c>
      <c r="D2770" t="s">
        <v>116</v>
      </c>
      <c r="E2770" t="s">
        <v>418</v>
      </c>
      <c r="F2770" t="s">
        <v>7</v>
      </c>
      <c r="G2770" t="s">
        <v>130</v>
      </c>
      <c r="H2770" s="1">
        <v>46119</v>
      </c>
      <c r="I2770" t="s">
        <v>3017</v>
      </c>
      <c r="J2770" t="s">
        <v>3018</v>
      </c>
      <c r="K2770" t="s">
        <v>3019</v>
      </c>
      <c r="L2770" t="s">
        <v>193</v>
      </c>
      <c r="M2770" t="s">
        <v>3020</v>
      </c>
      <c r="N2770" s="166">
        <v>29.86</v>
      </c>
      <c r="O2770" t="s">
        <v>131</v>
      </c>
    </row>
    <row r="2771" spans="1:15">
      <c r="A2771" s="166" t="s">
        <v>3021</v>
      </c>
      <c r="B2771" t="s">
        <v>111</v>
      </c>
      <c r="C2771" t="s">
        <v>134</v>
      </c>
      <c r="D2771" t="s">
        <v>118</v>
      </c>
      <c r="E2771" t="s">
        <v>668</v>
      </c>
      <c r="F2771" t="s">
        <v>6</v>
      </c>
      <c r="G2771" t="s">
        <v>130</v>
      </c>
      <c r="H2771" s="1">
        <v>46119</v>
      </c>
      <c r="I2771" t="s">
        <v>3022</v>
      </c>
      <c r="J2771" t="s">
        <v>3023</v>
      </c>
      <c r="K2771" t="s">
        <v>1071</v>
      </c>
      <c r="L2771" t="s">
        <v>611</v>
      </c>
      <c r="M2771" t="s">
        <v>3024</v>
      </c>
      <c r="N2771" s="166">
        <v>20.56</v>
      </c>
      <c r="O2771" t="s">
        <v>131</v>
      </c>
    </row>
    <row r="2772" spans="1:15">
      <c r="A2772" s="166" t="s">
        <v>3025</v>
      </c>
      <c r="B2772" t="s">
        <v>111</v>
      </c>
      <c r="C2772" t="s">
        <v>135</v>
      </c>
      <c r="D2772" t="s">
        <v>118</v>
      </c>
      <c r="E2772" t="s">
        <v>668</v>
      </c>
      <c r="F2772" t="s">
        <v>6</v>
      </c>
      <c r="G2772" t="s">
        <v>130</v>
      </c>
      <c r="H2772" s="1">
        <v>46119</v>
      </c>
      <c r="I2772" t="s">
        <v>3026</v>
      </c>
      <c r="J2772" t="s">
        <v>3027</v>
      </c>
      <c r="K2772" t="s">
        <v>659</v>
      </c>
      <c r="L2772" t="s">
        <v>3028</v>
      </c>
      <c r="M2772" t="s">
        <v>2437</v>
      </c>
      <c r="N2772" s="166">
        <v>20.52</v>
      </c>
      <c r="O2772" t="s">
        <v>131</v>
      </c>
    </row>
    <row r="2773" spans="1:15">
      <c r="A2773" s="166" t="s">
        <v>3029</v>
      </c>
      <c r="B2773" t="s">
        <v>111</v>
      </c>
      <c r="C2773" t="s">
        <v>641</v>
      </c>
      <c r="D2773" t="s">
        <v>118</v>
      </c>
      <c r="E2773" t="s">
        <v>668</v>
      </c>
      <c r="F2773" t="s">
        <v>6</v>
      </c>
      <c r="G2773" t="s">
        <v>130</v>
      </c>
      <c r="H2773" s="1">
        <v>46119</v>
      </c>
      <c r="I2773" t="s">
        <v>3030</v>
      </c>
      <c r="J2773" t="s">
        <v>3031</v>
      </c>
      <c r="K2773" t="s">
        <v>771</v>
      </c>
      <c r="L2773" t="s">
        <v>3032</v>
      </c>
      <c r="M2773" t="s">
        <v>530</v>
      </c>
      <c r="N2773" s="166">
        <v>21</v>
      </c>
      <c r="O2773" t="s">
        <v>131</v>
      </c>
    </row>
    <row r="2774" spans="1:15">
      <c r="A2774" s="166" t="s">
        <v>3033</v>
      </c>
      <c r="B2774" t="s">
        <v>111</v>
      </c>
      <c r="C2774" t="s">
        <v>134</v>
      </c>
      <c r="D2774" t="s">
        <v>116</v>
      </c>
      <c r="E2774" t="s">
        <v>418</v>
      </c>
      <c r="F2774" t="s">
        <v>7</v>
      </c>
      <c r="G2774" t="s">
        <v>130</v>
      </c>
      <c r="H2774" s="1">
        <v>46119</v>
      </c>
      <c r="I2774" t="s">
        <v>3034</v>
      </c>
      <c r="J2774" t="s">
        <v>3035</v>
      </c>
      <c r="K2774" t="s">
        <v>2853</v>
      </c>
      <c r="L2774" t="s">
        <v>2004</v>
      </c>
      <c r="M2774" t="s">
        <v>3036</v>
      </c>
      <c r="N2774" s="166">
        <v>25.68</v>
      </c>
      <c r="O2774" t="s">
        <v>131</v>
      </c>
    </row>
    <row r="2775" spans="1:15">
      <c r="A2775" s="166" t="s">
        <v>3037</v>
      </c>
      <c r="B2775" t="s">
        <v>111</v>
      </c>
      <c r="C2775" t="s">
        <v>135</v>
      </c>
      <c r="D2775" t="s">
        <v>116</v>
      </c>
      <c r="E2775" t="s">
        <v>418</v>
      </c>
      <c r="F2775" t="s">
        <v>7</v>
      </c>
      <c r="G2775" t="s">
        <v>130</v>
      </c>
      <c r="H2775" s="1">
        <v>46119</v>
      </c>
      <c r="I2775" t="s">
        <v>3038</v>
      </c>
      <c r="J2775" t="s">
        <v>3039</v>
      </c>
      <c r="K2775" t="s">
        <v>1205</v>
      </c>
      <c r="L2775" t="s">
        <v>3040</v>
      </c>
      <c r="M2775" t="s">
        <v>3041</v>
      </c>
      <c r="N2775" s="166">
        <v>22.6</v>
      </c>
      <c r="O2775" t="s">
        <v>131</v>
      </c>
    </row>
    <row r="2776" spans="1:15">
      <c r="A2776" s="166" t="s">
        <v>3042</v>
      </c>
      <c r="B2776" t="s">
        <v>111</v>
      </c>
      <c r="C2776" t="s">
        <v>641</v>
      </c>
      <c r="D2776" t="s">
        <v>116</v>
      </c>
      <c r="E2776" t="s">
        <v>418</v>
      </c>
      <c r="F2776" t="s">
        <v>7</v>
      </c>
      <c r="G2776" t="s">
        <v>130</v>
      </c>
      <c r="H2776" s="1">
        <v>46119</v>
      </c>
      <c r="I2776" t="s">
        <v>3043</v>
      </c>
      <c r="J2776" t="s">
        <v>3044</v>
      </c>
      <c r="K2776" t="s">
        <v>2638</v>
      </c>
      <c r="L2776" t="s">
        <v>148</v>
      </c>
      <c r="M2776" t="s">
        <v>1595</v>
      </c>
      <c r="N2776" s="166">
        <v>23.14</v>
      </c>
      <c r="O2776" t="s">
        <v>131</v>
      </c>
    </row>
    <row r="2777" spans="1:15">
      <c r="A2777" s="166" t="s">
        <v>3045</v>
      </c>
      <c r="B2777" t="s">
        <v>111</v>
      </c>
      <c r="C2777" t="s">
        <v>2424</v>
      </c>
      <c r="D2777" t="s">
        <v>116</v>
      </c>
      <c r="E2777" t="s">
        <v>418</v>
      </c>
      <c r="F2777" t="s">
        <v>7</v>
      </c>
      <c r="G2777" t="s">
        <v>130</v>
      </c>
      <c r="H2777" s="1">
        <v>46119</v>
      </c>
      <c r="I2777" t="s">
        <v>3046</v>
      </c>
      <c r="J2777" t="s">
        <v>3047</v>
      </c>
      <c r="K2777" t="s">
        <v>2677</v>
      </c>
      <c r="L2777" t="s">
        <v>155</v>
      </c>
      <c r="M2777" t="s">
        <v>807</v>
      </c>
      <c r="N2777" s="166">
        <v>24.28</v>
      </c>
      <c r="O2777" t="s">
        <v>131</v>
      </c>
    </row>
    <row r="2778" spans="1:15">
      <c r="A2778" s="166" t="s">
        <v>3048</v>
      </c>
      <c r="B2778" t="s">
        <v>111</v>
      </c>
      <c r="C2778" t="s">
        <v>133</v>
      </c>
      <c r="D2778" t="s">
        <v>116</v>
      </c>
      <c r="E2778" t="s">
        <v>418</v>
      </c>
      <c r="F2778" t="s">
        <v>7</v>
      </c>
      <c r="G2778" t="s">
        <v>130</v>
      </c>
      <c r="H2778" s="1">
        <v>46119</v>
      </c>
      <c r="I2778" t="s">
        <v>3049</v>
      </c>
      <c r="J2778" t="s">
        <v>3050</v>
      </c>
      <c r="K2778" t="s">
        <v>3051</v>
      </c>
      <c r="L2778" t="s">
        <v>208</v>
      </c>
      <c r="M2778" t="s">
        <v>3052</v>
      </c>
      <c r="N2778" s="166">
        <v>27.54</v>
      </c>
      <c r="O2778" t="s">
        <v>131</v>
      </c>
    </row>
    <row r="2779" spans="1:15">
      <c r="A2779" s="166" t="s">
        <v>3053</v>
      </c>
      <c r="B2779" t="s">
        <v>111</v>
      </c>
      <c r="C2779" t="s">
        <v>134</v>
      </c>
      <c r="D2779" t="s">
        <v>116</v>
      </c>
      <c r="E2779" t="s">
        <v>418</v>
      </c>
      <c r="F2779" t="s">
        <v>7</v>
      </c>
      <c r="G2779" t="s">
        <v>130</v>
      </c>
      <c r="H2779" s="1">
        <v>46119</v>
      </c>
      <c r="I2779" t="s">
        <v>3054</v>
      </c>
      <c r="J2779" t="s">
        <v>3055</v>
      </c>
      <c r="K2779" t="s">
        <v>3056</v>
      </c>
      <c r="L2779" t="s">
        <v>672</v>
      </c>
      <c r="M2779" t="s">
        <v>230</v>
      </c>
      <c r="N2779" s="166">
        <v>24.52</v>
      </c>
      <c r="O2779" t="s">
        <v>131</v>
      </c>
    </row>
    <row r="2780" spans="1:15">
      <c r="A2780" s="166" t="s">
        <v>3057</v>
      </c>
      <c r="B2780" t="s">
        <v>111</v>
      </c>
      <c r="C2780" t="s">
        <v>135</v>
      </c>
      <c r="D2780" t="s">
        <v>116</v>
      </c>
      <c r="E2780" t="s">
        <v>418</v>
      </c>
      <c r="F2780" t="s">
        <v>7</v>
      </c>
      <c r="G2780" t="s">
        <v>130</v>
      </c>
      <c r="H2780" s="1">
        <v>46119</v>
      </c>
      <c r="I2780" t="s">
        <v>3058</v>
      </c>
      <c r="J2780" t="s">
        <v>3059</v>
      </c>
      <c r="K2780" t="s">
        <v>664</v>
      </c>
      <c r="L2780" t="s">
        <v>2544</v>
      </c>
      <c r="M2780" t="s">
        <v>487</v>
      </c>
      <c r="N2780" s="166">
        <v>21.88</v>
      </c>
      <c r="O2780" t="s">
        <v>131</v>
      </c>
    </row>
    <row r="2781" spans="1:15">
      <c r="A2781" s="166" t="s">
        <v>3060</v>
      </c>
      <c r="B2781" t="s">
        <v>111</v>
      </c>
      <c r="C2781" t="s">
        <v>2424</v>
      </c>
      <c r="D2781" t="s">
        <v>116</v>
      </c>
      <c r="E2781" t="s">
        <v>418</v>
      </c>
      <c r="F2781" t="s">
        <v>7</v>
      </c>
      <c r="G2781" t="s">
        <v>130</v>
      </c>
      <c r="H2781" s="1">
        <v>46120</v>
      </c>
      <c r="I2781" t="s">
        <v>3061</v>
      </c>
      <c r="J2781" t="s">
        <v>3062</v>
      </c>
      <c r="K2781" t="s">
        <v>3063</v>
      </c>
      <c r="L2781" t="s">
        <v>151</v>
      </c>
      <c r="M2781" t="s">
        <v>2938</v>
      </c>
      <c r="N2781" s="166">
        <v>25.28</v>
      </c>
      <c r="O2781" t="s">
        <v>131</v>
      </c>
    </row>
    <row r="2782" spans="1:15">
      <c r="A2782" s="166" t="s">
        <v>3064</v>
      </c>
      <c r="B2782" t="s">
        <v>111</v>
      </c>
      <c r="C2782" t="s">
        <v>133</v>
      </c>
      <c r="D2782" t="s">
        <v>118</v>
      </c>
      <c r="E2782" t="s">
        <v>668</v>
      </c>
      <c r="F2782" t="s">
        <v>6</v>
      </c>
      <c r="G2782" t="s">
        <v>130</v>
      </c>
      <c r="H2782" s="1">
        <v>46120</v>
      </c>
      <c r="I2782" t="s">
        <v>3065</v>
      </c>
      <c r="J2782" t="s">
        <v>3066</v>
      </c>
      <c r="K2782" t="s">
        <v>173</v>
      </c>
      <c r="L2782" t="s">
        <v>777</v>
      </c>
      <c r="M2782" t="s">
        <v>851</v>
      </c>
      <c r="N2782" s="166">
        <v>24.34</v>
      </c>
      <c r="O2782" t="s">
        <v>131</v>
      </c>
    </row>
    <row r="2783" spans="1:15">
      <c r="A2783" s="166" t="s">
        <v>3067</v>
      </c>
      <c r="B2783" t="s">
        <v>111</v>
      </c>
      <c r="C2783" t="s">
        <v>641</v>
      </c>
      <c r="D2783" t="s">
        <v>118</v>
      </c>
      <c r="E2783" t="s">
        <v>668</v>
      </c>
      <c r="F2783" t="s">
        <v>6</v>
      </c>
      <c r="G2783" t="s">
        <v>130</v>
      </c>
      <c r="H2783" s="1">
        <v>46120</v>
      </c>
      <c r="I2783" t="s">
        <v>3068</v>
      </c>
      <c r="J2783" t="s">
        <v>3069</v>
      </c>
      <c r="K2783" t="s">
        <v>3070</v>
      </c>
      <c r="L2783" t="s">
        <v>665</v>
      </c>
      <c r="M2783" t="s">
        <v>201</v>
      </c>
      <c r="N2783" s="166">
        <v>24.32</v>
      </c>
      <c r="O2783" t="s">
        <v>131</v>
      </c>
    </row>
    <row r="2784" spans="1:15">
      <c r="A2784" s="166" t="s">
        <v>3071</v>
      </c>
      <c r="B2784" t="s">
        <v>111</v>
      </c>
      <c r="C2784" t="s">
        <v>134</v>
      </c>
      <c r="D2784" t="s">
        <v>118</v>
      </c>
      <c r="E2784" t="s">
        <v>668</v>
      </c>
      <c r="F2784" t="s">
        <v>6</v>
      </c>
      <c r="G2784" t="s">
        <v>130</v>
      </c>
      <c r="H2784" s="1">
        <v>46120</v>
      </c>
      <c r="I2784" t="s">
        <v>3072</v>
      </c>
      <c r="J2784" t="s">
        <v>3073</v>
      </c>
      <c r="K2784" t="s">
        <v>3074</v>
      </c>
      <c r="L2784" t="s">
        <v>3075</v>
      </c>
      <c r="M2784" t="s">
        <v>3076</v>
      </c>
      <c r="N2784" s="166">
        <v>23.42</v>
      </c>
      <c r="O2784" t="s">
        <v>131</v>
      </c>
    </row>
    <row r="2785" spans="1:15">
      <c r="A2785" s="166" t="s">
        <v>3077</v>
      </c>
      <c r="B2785" t="s">
        <v>111</v>
      </c>
      <c r="C2785" t="s">
        <v>135</v>
      </c>
      <c r="D2785" t="s">
        <v>118</v>
      </c>
      <c r="E2785" t="s">
        <v>668</v>
      </c>
      <c r="F2785" t="s">
        <v>6</v>
      </c>
      <c r="G2785" t="s">
        <v>130</v>
      </c>
      <c r="H2785" s="1">
        <v>46120</v>
      </c>
      <c r="I2785" t="s">
        <v>3078</v>
      </c>
      <c r="J2785" t="s">
        <v>3079</v>
      </c>
      <c r="K2785" t="s">
        <v>545</v>
      </c>
      <c r="L2785" t="s">
        <v>3040</v>
      </c>
      <c r="M2785" t="s">
        <v>1587</v>
      </c>
      <c r="N2785" s="166">
        <v>20.5</v>
      </c>
      <c r="O2785" t="s">
        <v>131</v>
      </c>
    </row>
    <row r="2786" spans="1:15">
      <c r="A2786" s="166" t="s">
        <v>3080</v>
      </c>
      <c r="B2786" t="s">
        <v>111</v>
      </c>
      <c r="C2786" t="s">
        <v>2424</v>
      </c>
      <c r="D2786" t="s">
        <v>118</v>
      </c>
      <c r="E2786" t="s">
        <v>668</v>
      </c>
      <c r="F2786" t="s">
        <v>6</v>
      </c>
      <c r="G2786" t="s">
        <v>130</v>
      </c>
      <c r="H2786" s="1">
        <v>46120</v>
      </c>
      <c r="I2786" t="s">
        <v>3081</v>
      </c>
      <c r="J2786" t="s">
        <v>3082</v>
      </c>
      <c r="K2786" t="s">
        <v>3083</v>
      </c>
      <c r="L2786" t="s">
        <v>492</v>
      </c>
      <c r="M2786" t="s">
        <v>3084</v>
      </c>
      <c r="N2786" s="166">
        <v>21.5</v>
      </c>
      <c r="O2786" t="s">
        <v>131</v>
      </c>
    </row>
    <row r="2787" spans="1:15">
      <c r="A2787" s="166" t="s">
        <v>3085</v>
      </c>
      <c r="B2787" t="s">
        <v>111</v>
      </c>
      <c r="C2787" t="s">
        <v>133</v>
      </c>
      <c r="D2787" t="s">
        <v>118</v>
      </c>
      <c r="E2787" t="s">
        <v>668</v>
      </c>
      <c r="F2787" t="s">
        <v>6</v>
      </c>
      <c r="G2787" t="s">
        <v>130</v>
      </c>
      <c r="H2787" s="1">
        <v>46120</v>
      </c>
      <c r="I2787" t="s">
        <v>3086</v>
      </c>
      <c r="J2787" t="s">
        <v>3087</v>
      </c>
      <c r="K2787" t="s">
        <v>1619</v>
      </c>
      <c r="L2787" t="s">
        <v>162</v>
      </c>
      <c r="M2787" t="s">
        <v>1693</v>
      </c>
      <c r="N2787" s="166">
        <v>23.06</v>
      </c>
      <c r="O2787" t="s">
        <v>131</v>
      </c>
    </row>
    <row r="2788" spans="1:15">
      <c r="A2788" s="166" t="s">
        <v>3088</v>
      </c>
      <c r="B2788" t="s">
        <v>111</v>
      </c>
      <c r="C2788" t="s">
        <v>641</v>
      </c>
      <c r="D2788" t="s">
        <v>118</v>
      </c>
      <c r="E2788" t="s">
        <v>668</v>
      </c>
      <c r="F2788" t="s">
        <v>6</v>
      </c>
      <c r="G2788" t="s">
        <v>130</v>
      </c>
      <c r="H2788" s="1">
        <v>46120</v>
      </c>
      <c r="I2788" t="s">
        <v>3089</v>
      </c>
      <c r="J2788" t="s">
        <v>3090</v>
      </c>
      <c r="K2788" t="s">
        <v>3091</v>
      </c>
      <c r="L2788" t="s">
        <v>622</v>
      </c>
      <c r="M2788" t="s">
        <v>2669</v>
      </c>
      <c r="N2788" s="166">
        <v>23.32</v>
      </c>
      <c r="O2788" t="s">
        <v>131</v>
      </c>
    </row>
    <row r="2789" spans="1:15">
      <c r="A2789" s="166" t="s">
        <v>3092</v>
      </c>
      <c r="B2789" t="s">
        <v>111</v>
      </c>
      <c r="C2789" t="s">
        <v>134</v>
      </c>
      <c r="D2789" t="s">
        <v>118</v>
      </c>
      <c r="E2789" t="s">
        <v>668</v>
      </c>
      <c r="F2789" t="s">
        <v>6</v>
      </c>
      <c r="G2789" t="s">
        <v>130</v>
      </c>
      <c r="H2789" s="1">
        <v>46120</v>
      </c>
      <c r="I2789" t="s">
        <v>3093</v>
      </c>
      <c r="J2789" t="s">
        <v>3094</v>
      </c>
      <c r="K2789" t="s">
        <v>719</v>
      </c>
      <c r="L2789" t="s">
        <v>672</v>
      </c>
      <c r="M2789" t="s">
        <v>666</v>
      </c>
      <c r="N2789" s="166">
        <v>23.6</v>
      </c>
      <c r="O2789" t="s">
        <v>131</v>
      </c>
    </row>
    <row r="2790" spans="1:15">
      <c r="A2790" s="166" t="s">
        <v>3095</v>
      </c>
      <c r="B2790" t="s">
        <v>111</v>
      </c>
      <c r="C2790" t="s">
        <v>135</v>
      </c>
      <c r="D2790" t="s">
        <v>118</v>
      </c>
      <c r="E2790" t="s">
        <v>668</v>
      </c>
      <c r="F2790" t="s">
        <v>6</v>
      </c>
      <c r="G2790" t="s">
        <v>130</v>
      </c>
      <c r="H2790" s="1">
        <v>46120</v>
      </c>
      <c r="I2790" t="s">
        <v>3096</v>
      </c>
      <c r="J2790" t="s">
        <v>3097</v>
      </c>
      <c r="K2790" t="s">
        <v>242</v>
      </c>
      <c r="L2790" t="s">
        <v>509</v>
      </c>
      <c r="M2790" t="s">
        <v>3098</v>
      </c>
      <c r="N2790" s="166">
        <v>22.2</v>
      </c>
      <c r="O2790" t="s">
        <v>131</v>
      </c>
    </row>
    <row r="2791" spans="1:15">
      <c r="A2791" s="166" t="s">
        <v>3099</v>
      </c>
      <c r="B2791" t="s">
        <v>111</v>
      </c>
      <c r="C2791" t="s">
        <v>2424</v>
      </c>
      <c r="D2791" t="s">
        <v>118</v>
      </c>
      <c r="E2791" t="s">
        <v>668</v>
      </c>
      <c r="F2791" t="s">
        <v>6</v>
      </c>
      <c r="G2791" t="s">
        <v>130</v>
      </c>
      <c r="H2791" s="1">
        <v>46120</v>
      </c>
      <c r="I2791" t="s">
        <v>3100</v>
      </c>
      <c r="J2791" t="s">
        <v>3101</v>
      </c>
      <c r="K2791" t="s">
        <v>2413</v>
      </c>
      <c r="L2791" t="s">
        <v>492</v>
      </c>
      <c r="M2791" t="s">
        <v>510</v>
      </c>
      <c r="N2791" s="166">
        <v>22.18</v>
      </c>
      <c r="O2791" t="s">
        <v>131</v>
      </c>
    </row>
    <row r="2792" spans="1:15">
      <c r="A2792" s="166" t="s">
        <v>3102</v>
      </c>
      <c r="B2792" t="s">
        <v>111</v>
      </c>
      <c r="C2792" t="s">
        <v>133</v>
      </c>
      <c r="D2792" t="s">
        <v>118</v>
      </c>
      <c r="E2792" t="s">
        <v>668</v>
      </c>
      <c r="F2792" t="s">
        <v>6</v>
      </c>
      <c r="G2792" t="s">
        <v>130</v>
      </c>
      <c r="H2792" s="1">
        <v>46120</v>
      </c>
      <c r="I2792" t="s">
        <v>3103</v>
      </c>
      <c r="J2792" t="s">
        <v>3104</v>
      </c>
      <c r="K2792" t="s">
        <v>739</v>
      </c>
      <c r="L2792" t="s">
        <v>162</v>
      </c>
      <c r="M2792" t="s">
        <v>1164</v>
      </c>
      <c r="N2792" s="166">
        <v>22.46</v>
      </c>
      <c r="O2792" t="s">
        <v>131</v>
      </c>
    </row>
    <row r="2793" spans="1:15">
      <c r="A2793" s="166" t="s">
        <v>3105</v>
      </c>
      <c r="B2793" t="s">
        <v>111</v>
      </c>
      <c r="C2793" t="s">
        <v>641</v>
      </c>
      <c r="D2793" t="s">
        <v>118</v>
      </c>
      <c r="E2793" t="s">
        <v>668</v>
      </c>
      <c r="F2793" t="s">
        <v>6</v>
      </c>
      <c r="G2793" t="s">
        <v>130</v>
      </c>
      <c r="H2793" s="1">
        <v>46120</v>
      </c>
      <c r="I2793" t="s">
        <v>3106</v>
      </c>
      <c r="J2793" t="s">
        <v>3107</v>
      </c>
      <c r="K2793" t="s">
        <v>3108</v>
      </c>
      <c r="L2793" t="s">
        <v>149</v>
      </c>
      <c r="M2793" t="s">
        <v>2297</v>
      </c>
      <c r="N2793" s="166">
        <v>22.34</v>
      </c>
      <c r="O2793" t="s">
        <v>131</v>
      </c>
    </row>
    <row r="2794" spans="1:15">
      <c r="A2794" s="166" t="s">
        <v>3109</v>
      </c>
      <c r="B2794" t="s">
        <v>111</v>
      </c>
      <c r="C2794" t="s">
        <v>134</v>
      </c>
      <c r="D2794" t="s">
        <v>118</v>
      </c>
      <c r="E2794" t="s">
        <v>668</v>
      </c>
      <c r="F2794" t="s">
        <v>6</v>
      </c>
      <c r="G2794" t="s">
        <v>130</v>
      </c>
      <c r="H2794" s="1">
        <v>46120</v>
      </c>
      <c r="I2794" t="s">
        <v>3110</v>
      </c>
      <c r="J2794" t="s">
        <v>3111</v>
      </c>
      <c r="K2794" t="s">
        <v>2673</v>
      </c>
      <c r="L2794" t="s">
        <v>1493</v>
      </c>
      <c r="M2794" t="s">
        <v>3112</v>
      </c>
      <c r="N2794" s="166">
        <v>24.5</v>
      </c>
      <c r="O2794" t="s">
        <v>131</v>
      </c>
    </row>
    <row r="2795" spans="1:15">
      <c r="A2795" s="166" t="s">
        <v>3113</v>
      </c>
      <c r="B2795" t="s">
        <v>111</v>
      </c>
      <c r="C2795" t="s">
        <v>135</v>
      </c>
      <c r="D2795" t="s">
        <v>118</v>
      </c>
      <c r="E2795" t="s">
        <v>668</v>
      </c>
      <c r="F2795" t="s">
        <v>6</v>
      </c>
      <c r="G2795" t="s">
        <v>130</v>
      </c>
      <c r="H2795" s="1">
        <v>46120</v>
      </c>
      <c r="I2795" t="s">
        <v>3114</v>
      </c>
      <c r="J2795" t="s">
        <v>3115</v>
      </c>
      <c r="K2795" t="s">
        <v>600</v>
      </c>
      <c r="L2795" t="s">
        <v>180</v>
      </c>
      <c r="M2795" t="s">
        <v>617</v>
      </c>
      <c r="N2795" s="166">
        <v>20.02</v>
      </c>
      <c r="O2795" t="s">
        <v>131</v>
      </c>
    </row>
    <row r="2796" spans="1:15">
      <c r="A2796" s="166" t="s">
        <v>3116</v>
      </c>
      <c r="B2796" t="s">
        <v>111</v>
      </c>
      <c r="C2796" t="s">
        <v>2424</v>
      </c>
      <c r="D2796" t="s">
        <v>118</v>
      </c>
      <c r="E2796" t="s">
        <v>668</v>
      </c>
      <c r="F2796" t="s">
        <v>6</v>
      </c>
      <c r="G2796" t="s">
        <v>130</v>
      </c>
      <c r="H2796" s="1">
        <v>46120</v>
      </c>
      <c r="I2796" t="s">
        <v>3117</v>
      </c>
      <c r="J2796" t="s">
        <v>3118</v>
      </c>
      <c r="K2796" t="s">
        <v>2179</v>
      </c>
      <c r="L2796" t="s">
        <v>1503</v>
      </c>
      <c r="M2796" t="s">
        <v>1197</v>
      </c>
      <c r="N2796" s="166">
        <v>22.22</v>
      </c>
      <c r="O2796" t="s">
        <v>131</v>
      </c>
    </row>
    <row r="2797" spans="1:15">
      <c r="A2797" s="166" t="s">
        <v>3119</v>
      </c>
      <c r="B2797" t="s">
        <v>111</v>
      </c>
      <c r="C2797" t="s">
        <v>133</v>
      </c>
      <c r="D2797" t="s">
        <v>118</v>
      </c>
      <c r="E2797" t="s">
        <v>668</v>
      </c>
      <c r="F2797" t="s">
        <v>6</v>
      </c>
      <c r="G2797" t="s">
        <v>130</v>
      </c>
      <c r="H2797" s="1">
        <v>46120</v>
      </c>
      <c r="I2797" t="s">
        <v>3120</v>
      </c>
      <c r="J2797" t="s">
        <v>3121</v>
      </c>
      <c r="K2797" t="s">
        <v>1463</v>
      </c>
      <c r="L2797" t="s">
        <v>193</v>
      </c>
      <c r="M2797" t="s">
        <v>1197</v>
      </c>
      <c r="N2797" s="166">
        <v>22.22</v>
      </c>
      <c r="O2797" t="s">
        <v>131</v>
      </c>
    </row>
    <row r="2798" spans="1:15">
      <c r="A2798" s="166" t="s">
        <v>3122</v>
      </c>
      <c r="B2798" t="s">
        <v>111</v>
      </c>
      <c r="C2798" t="s">
        <v>641</v>
      </c>
      <c r="D2798" t="s">
        <v>118</v>
      </c>
      <c r="E2798" t="s">
        <v>668</v>
      </c>
      <c r="F2798" t="s">
        <v>6</v>
      </c>
      <c r="G2798" t="s">
        <v>130</v>
      </c>
      <c r="H2798" s="1">
        <v>46120</v>
      </c>
      <c r="I2798" t="s">
        <v>3123</v>
      </c>
      <c r="J2798" t="s">
        <v>3124</v>
      </c>
      <c r="K2798" t="s">
        <v>3125</v>
      </c>
      <c r="L2798" t="s">
        <v>622</v>
      </c>
      <c r="M2798" t="s">
        <v>1244</v>
      </c>
      <c r="N2798" s="166">
        <v>21.8</v>
      </c>
      <c r="O2798" t="s">
        <v>131</v>
      </c>
    </row>
    <row r="2799" spans="1:15">
      <c r="A2799" s="166" t="s">
        <v>3126</v>
      </c>
      <c r="B2799" t="s">
        <v>111</v>
      </c>
      <c r="C2799" t="s">
        <v>134</v>
      </c>
      <c r="D2799" t="s">
        <v>118</v>
      </c>
      <c r="E2799" t="s">
        <v>668</v>
      </c>
      <c r="F2799" t="s">
        <v>6</v>
      </c>
      <c r="G2799" t="s">
        <v>130</v>
      </c>
      <c r="H2799" s="1">
        <v>46120</v>
      </c>
      <c r="I2799" t="s">
        <v>3127</v>
      </c>
      <c r="J2799" t="s">
        <v>3128</v>
      </c>
      <c r="K2799" t="s">
        <v>659</v>
      </c>
      <c r="L2799" t="s">
        <v>3129</v>
      </c>
      <c r="M2799" t="s">
        <v>145</v>
      </c>
      <c r="N2799" s="166">
        <v>21.3</v>
      </c>
      <c r="O2799" t="s">
        <v>131</v>
      </c>
    </row>
    <row r="2800" spans="1:15">
      <c r="A2800" s="166" t="s">
        <v>3130</v>
      </c>
      <c r="B2800" t="s">
        <v>111</v>
      </c>
      <c r="C2800" t="s">
        <v>135</v>
      </c>
      <c r="D2800" t="s">
        <v>118</v>
      </c>
      <c r="E2800" t="s">
        <v>668</v>
      </c>
      <c r="F2800" t="s">
        <v>6</v>
      </c>
      <c r="G2800" t="s">
        <v>130</v>
      </c>
      <c r="H2800" s="1">
        <v>46120</v>
      </c>
      <c r="I2800" t="s">
        <v>3131</v>
      </c>
      <c r="J2800" t="s">
        <v>3132</v>
      </c>
      <c r="K2800" t="s">
        <v>3133</v>
      </c>
      <c r="L2800" t="s">
        <v>3134</v>
      </c>
      <c r="M2800" t="s">
        <v>3024</v>
      </c>
      <c r="N2800" s="166">
        <v>20.56</v>
      </c>
      <c r="O2800" t="s">
        <v>131</v>
      </c>
    </row>
    <row r="2801" spans="1:15">
      <c r="A2801" s="166" t="s">
        <v>3135</v>
      </c>
      <c r="B2801" t="s">
        <v>111</v>
      </c>
      <c r="C2801" t="s">
        <v>133</v>
      </c>
      <c r="D2801" t="s">
        <v>118</v>
      </c>
      <c r="E2801" t="s">
        <v>668</v>
      </c>
      <c r="F2801" t="s">
        <v>6</v>
      </c>
      <c r="G2801" t="s">
        <v>130</v>
      </c>
      <c r="H2801" s="1">
        <v>46120</v>
      </c>
      <c r="I2801" t="s">
        <v>3136</v>
      </c>
      <c r="J2801" t="s">
        <v>3137</v>
      </c>
      <c r="K2801" t="s">
        <v>1163</v>
      </c>
      <c r="L2801" t="s">
        <v>1072</v>
      </c>
      <c r="M2801" t="s">
        <v>3138</v>
      </c>
      <c r="N2801" s="166">
        <v>21.94</v>
      </c>
      <c r="O2801" t="s">
        <v>131</v>
      </c>
    </row>
    <row r="2802" spans="1:15">
      <c r="A2802" s="166" t="s">
        <v>3139</v>
      </c>
      <c r="B2802" t="s">
        <v>111</v>
      </c>
      <c r="C2802" t="s">
        <v>2424</v>
      </c>
      <c r="D2802" t="s">
        <v>118</v>
      </c>
      <c r="E2802" t="s">
        <v>668</v>
      </c>
      <c r="F2802" t="s">
        <v>6</v>
      </c>
      <c r="G2802" t="s">
        <v>130</v>
      </c>
      <c r="H2802" s="1">
        <v>46120</v>
      </c>
      <c r="I2802" t="s">
        <v>3140</v>
      </c>
      <c r="J2802" t="s">
        <v>3141</v>
      </c>
      <c r="K2802" t="s">
        <v>2413</v>
      </c>
      <c r="L2802" t="s">
        <v>208</v>
      </c>
      <c r="M2802" t="s">
        <v>1456</v>
      </c>
      <c r="N2802" s="166">
        <v>21.78</v>
      </c>
      <c r="O2802" t="s">
        <v>131</v>
      </c>
    </row>
    <row r="2803" spans="1:15">
      <c r="A2803" s="166" t="s">
        <v>3142</v>
      </c>
      <c r="B2803" t="s">
        <v>111</v>
      </c>
      <c r="C2803" t="s">
        <v>641</v>
      </c>
      <c r="D2803" t="s">
        <v>118</v>
      </c>
      <c r="E2803" t="s">
        <v>668</v>
      </c>
      <c r="F2803" t="s">
        <v>6</v>
      </c>
      <c r="G2803" t="s">
        <v>130</v>
      </c>
      <c r="H2803" s="1">
        <v>46120</v>
      </c>
      <c r="I2803" t="s">
        <v>3143</v>
      </c>
      <c r="J2803" t="s">
        <v>3144</v>
      </c>
      <c r="K2803" t="s">
        <v>2367</v>
      </c>
      <c r="L2803" t="s">
        <v>149</v>
      </c>
      <c r="M2803" t="s">
        <v>3145</v>
      </c>
      <c r="N2803" s="166">
        <v>21.54</v>
      </c>
      <c r="O2803" t="s">
        <v>131</v>
      </c>
    </row>
    <row r="2804" spans="1:15">
      <c r="A2804" s="166" t="s">
        <v>3146</v>
      </c>
      <c r="B2804" t="s">
        <v>111</v>
      </c>
      <c r="C2804" t="s">
        <v>134</v>
      </c>
      <c r="D2804" t="s">
        <v>118</v>
      </c>
      <c r="E2804" t="s">
        <v>668</v>
      </c>
      <c r="F2804" t="s">
        <v>6</v>
      </c>
      <c r="G2804" t="s">
        <v>130</v>
      </c>
      <c r="H2804" s="1">
        <v>46120</v>
      </c>
      <c r="I2804" t="s">
        <v>3147</v>
      </c>
      <c r="J2804" t="s">
        <v>3148</v>
      </c>
      <c r="K2804" t="s">
        <v>2567</v>
      </c>
      <c r="L2804" t="s">
        <v>147</v>
      </c>
      <c r="M2804" t="s">
        <v>3024</v>
      </c>
      <c r="N2804" s="166">
        <v>20.56</v>
      </c>
      <c r="O2804" t="s">
        <v>131</v>
      </c>
    </row>
    <row r="2805" spans="1:15">
      <c r="A2805" s="166" t="s">
        <v>3149</v>
      </c>
      <c r="B2805" t="s">
        <v>111</v>
      </c>
      <c r="C2805" t="s">
        <v>135</v>
      </c>
      <c r="D2805" t="s">
        <v>118</v>
      </c>
      <c r="E2805" t="s">
        <v>668</v>
      </c>
      <c r="F2805" t="s">
        <v>6</v>
      </c>
      <c r="G2805" t="s">
        <v>130</v>
      </c>
      <c r="H2805" s="1">
        <v>46120</v>
      </c>
      <c r="I2805" t="s">
        <v>3150</v>
      </c>
      <c r="J2805" t="s">
        <v>3151</v>
      </c>
      <c r="K2805" t="s">
        <v>443</v>
      </c>
      <c r="L2805" t="s">
        <v>3152</v>
      </c>
      <c r="M2805" t="s">
        <v>1385</v>
      </c>
      <c r="N2805" s="166">
        <v>19.78</v>
      </c>
      <c r="O2805" t="s">
        <v>131</v>
      </c>
    </row>
    <row r="2806" spans="1:15">
      <c r="A2806" s="166" t="s">
        <v>3153</v>
      </c>
      <c r="B2806" t="s">
        <v>111</v>
      </c>
      <c r="C2806" t="s">
        <v>133</v>
      </c>
      <c r="D2806" t="s">
        <v>118</v>
      </c>
      <c r="E2806" t="s">
        <v>668</v>
      </c>
      <c r="F2806" t="s">
        <v>6</v>
      </c>
      <c r="G2806" t="s">
        <v>130</v>
      </c>
      <c r="H2806" s="1">
        <v>46120</v>
      </c>
      <c r="I2806" t="s">
        <v>3154</v>
      </c>
      <c r="J2806" t="s">
        <v>3155</v>
      </c>
      <c r="K2806" t="s">
        <v>485</v>
      </c>
      <c r="L2806" t="s">
        <v>208</v>
      </c>
      <c r="M2806" t="s">
        <v>176</v>
      </c>
      <c r="N2806" s="166">
        <v>23.02</v>
      </c>
      <c r="O2806" t="s">
        <v>131</v>
      </c>
    </row>
    <row r="2807" spans="1:15">
      <c r="A2807" s="166" t="s">
        <v>3156</v>
      </c>
      <c r="B2807" t="s">
        <v>111</v>
      </c>
      <c r="C2807" t="s">
        <v>641</v>
      </c>
      <c r="D2807" t="s">
        <v>118</v>
      </c>
      <c r="E2807" t="s">
        <v>668</v>
      </c>
      <c r="F2807" t="s">
        <v>6</v>
      </c>
      <c r="G2807" t="s">
        <v>130</v>
      </c>
      <c r="H2807" s="1">
        <v>46120</v>
      </c>
      <c r="I2807" t="s">
        <v>3157</v>
      </c>
      <c r="J2807" t="s">
        <v>3158</v>
      </c>
      <c r="K2807" t="s">
        <v>2351</v>
      </c>
      <c r="L2807" t="s">
        <v>144</v>
      </c>
      <c r="M2807" t="s">
        <v>3159</v>
      </c>
      <c r="N2807" s="166">
        <v>21.4</v>
      </c>
      <c r="O2807" t="s">
        <v>131</v>
      </c>
    </row>
    <row r="2808" spans="1:15">
      <c r="A2808" s="166" t="s">
        <v>3160</v>
      </c>
      <c r="B2808" t="s">
        <v>111</v>
      </c>
      <c r="C2808" t="s">
        <v>134</v>
      </c>
      <c r="D2808" t="s">
        <v>118</v>
      </c>
      <c r="E2808" t="s">
        <v>668</v>
      </c>
      <c r="F2808" t="s">
        <v>6</v>
      </c>
      <c r="G2808" t="s">
        <v>130</v>
      </c>
      <c r="H2808" s="1">
        <v>46120</v>
      </c>
      <c r="I2808" t="s">
        <v>3161</v>
      </c>
      <c r="J2808" t="s">
        <v>3162</v>
      </c>
      <c r="K2808" t="s">
        <v>514</v>
      </c>
      <c r="L2808" t="s">
        <v>2589</v>
      </c>
      <c r="M2808" t="s">
        <v>1814</v>
      </c>
      <c r="N2808" s="166">
        <v>19.5</v>
      </c>
      <c r="O2808" t="s">
        <v>131</v>
      </c>
    </row>
    <row r="2809" spans="1:15">
      <c r="A2809" s="166" t="s">
        <v>1061</v>
      </c>
      <c r="B2809" t="s">
        <v>111</v>
      </c>
      <c r="C2809" t="s">
        <v>2424</v>
      </c>
      <c r="D2809" t="s">
        <v>118</v>
      </c>
      <c r="E2809" t="s">
        <v>668</v>
      </c>
      <c r="F2809" t="s">
        <v>6</v>
      </c>
      <c r="G2809" t="s">
        <v>130</v>
      </c>
      <c r="H2809" s="1">
        <v>46120</v>
      </c>
      <c r="I2809" t="s">
        <v>3163</v>
      </c>
      <c r="J2809" t="s">
        <v>3164</v>
      </c>
      <c r="K2809" t="s">
        <v>1709</v>
      </c>
      <c r="L2809" t="s">
        <v>1835</v>
      </c>
      <c r="M2809" t="s">
        <v>1333</v>
      </c>
      <c r="N2809" s="166">
        <v>19.14</v>
      </c>
      <c r="O2809" t="s">
        <v>131</v>
      </c>
    </row>
    <row r="2810" spans="1:15">
      <c r="A2810" s="166" t="s">
        <v>3165</v>
      </c>
      <c r="B2810" t="s">
        <v>111</v>
      </c>
      <c r="C2810" t="s">
        <v>133</v>
      </c>
      <c r="D2810" t="s">
        <v>118</v>
      </c>
      <c r="E2810" t="s">
        <v>668</v>
      </c>
      <c r="F2810" t="s">
        <v>6</v>
      </c>
      <c r="G2810" t="s">
        <v>130</v>
      </c>
      <c r="H2810" s="1">
        <v>46120</v>
      </c>
      <c r="I2810" t="s">
        <v>3166</v>
      </c>
      <c r="J2810" t="s">
        <v>3167</v>
      </c>
      <c r="K2810" t="s">
        <v>3168</v>
      </c>
      <c r="L2810" t="s">
        <v>144</v>
      </c>
      <c r="M2810" t="s">
        <v>3169</v>
      </c>
      <c r="N2810" s="166">
        <v>18.8</v>
      </c>
      <c r="O2810" t="s">
        <v>131</v>
      </c>
    </row>
    <row r="2811" spans="1:15">
      <c r="A2811" s="166" t="s">
        <v>3170</v>
      </c>
      <c r="B2811" t="s">
        <v>111</v>
      </c>
      <c r="C2811" t="s">
        <v>135</v>
      </c>
      <c r="D2811" t="s">
        <v>118</v>
      </c>
      <c r="E2811" t="s">
        <v>668</v>
      </c>
      <c r="F2811" t="s">
        <v>6</v>
      </c>
      <c r="G2811" t="s">
        <v>130</v>
      </c>
      <c r="H2811" s="1">
        <v>46120</v>
      </c>
      <c r="I2811" t="s">
        <v>3171</v>
      </c>
      <c r="J2811" t="s">
        <v>3172</v>
      </c>
      <c r="K2811" t="s">
        <v>1222</v>
      </c>
      <c r="L2811" t="s">
        <v>3173</v>
      </c>
      <c r="M2811" t="s">
        <v>3174</v>
      </c>
      <c r="N2811" s="166">
        <v>20.7</v>
      </c>
      <c r="O2811" t="s">
        <v>131</v>
      </c>
    </row>
    <row r="2812" spans="1:15">
      <c r="A2812" s="166" t="s">
        <v>3175</v>
      </c>
      <c r="B2812" t="s">
        <v>111</v>
      </c>
      <c r="C2812" t="s">
        <v>641</v>
      </c>
      <c r="D2812" t="s">
        <v>118</v>
      </c>
      <c r="E2812" t="s">
        <v>668</v>
      </c>
      <c r="F2812" t="s">
        <v>6</v>
      </c>
      <c r="G2812" t="s">
        <v>130</v>
      </c>
      <c r="H2812" s="1">
        <v>46120</v>
      </c>
      <c r="I2812" t="s">
        <v>3176</v>
      </c>
      <c r="J2812" t="s">
        <v>3177</v>
      </c>
      <c r="K2812" t="s">
        <v>3178</v>
      </c>
      <c r="L2812" t="s">
        <v>149</v>
      </c>
      <c r="M2812" t="s">
        <v>731</v>
      </c>
      <c r="N2812" s="166">
        <v>20.82</v>
      </c>
      <c r="O2812" t="s">
        <v>131</v>
      </c>
    </row>
    <row r="2813" spans="1:15">
      <c r="A2813" s="166" t="s">
        <v>3179</v>
      </c>
      <c r="B2813" t="s">
        <v>111</v>
      </c>
      <c r="C2813" t="s">
        <v>134</v>
      </c>
      <c r="D2813" t="s">
        <v>118</v>
      </c>
      <c r="E2813" t="s">
        <v>668</v>
      </c>
      <c r="F2813" t="s">
        <v>6</v>
      </c>
      <c r="G2813" t="s">
        <v>130</v>
      </c>
      <c r="H2813" s="1">
        <v>46120</v>
      </c>
      <c r="I2813" t="s">
        <v>3180</v>
      </c>
      <c r="J2813" t="s">
        <v>3181</v>
      </c>
      <c r="K2813" t="s">
        <v>1080</v>
      </c>
      <c r="L2813" t="s">
        <v>3182</v>
      </c>
      <c r="M2813" t="s">
        <v>628</v>
      </c>
      <c r="N2813" s="166">
        <v>20.48</v>
      </c>
      <c r="O2813" t="s">
        <v>131</v>
      </c>
    </row>
    <row r="2814" spans="1:15">
      <c r="A2814" s="166" t="s">
        <v>3183</v>
      </c>
      <c r="B2814" t="s">
        <v>111</v>
      </c>
      <c r="C2814" t="s">
        <v>133</v>
      </c>
      <c r="D2814" t="s">
        <v>118</v>
      </c>
      <c r="E2814" t="s">
        <v>668</v>
      </c>
      <c r="F2814" t="s">
        <v>6</v>
      </c>
      <c r="G2814" t="s">
        <v>130</v>
      </c>
      <c r="H2814" s="1">
        <v>46120</v>
      </c>
      <c r="I2814" t="s">
        <v>3184</v>
      </c>
      <c r="J2814" t="s">
        <v>3185</v>
      </c>
      <c r="K2814" t="s">
        <v>2379</v>
      </c>
      <c r="L2814" t="s">
        <v>831</v>
      </c>
      <c r="M2814" t="s">
        <v>1385</v>
      </c>
      <c r="N2814" s="166">
        <v>19.78</v>
      </c>
      <c r="O2814" t="s">
        <v>131</v>
      </c>
    </row>
    <row r="2815" spans="1:15">
      <c r="A2815" s="166" t="s">
        <v>3186</v>
      </c>
      <c r="B2815" t="s">
        <v>111</v>
      </c>
      <c r="C2815" t="s">
        <v>2424</v>
      </c>
      <c r="D2815" t="s">
        <v>118</v>
      </c>
      <c r="E2815" t="s">
        <v>668</v>
      </c>
      <c r="F2815" t="s">
        <v>6</v>
      </c>
      <c r="G2815" t="s">
        <v>130</v>
      </c>
      <c r="H2815" s="1">
        <v>46120</v>
      </c>
      <c r="I2815" t="s">
        <v>3187</v>
      </c>
      <c r="J2815" t="s">
        <v>3188</v>
      </c>
      <c r="K2815" t="s">
        <v>1602</v>
      </c>
      <c r="L2815" t="s">
        <v>777</v>
      </c>
      <c r="M2815" t="s">
        <v>596</v>
      </c>
      <c r="N2815" s="166">
        <v>20.36</v>
      </c>
      <c r="O2815" t="s">
        <v>131</v>
      </c>
    </row>
    <row r="2816" spans="1:15">
      <c r="A2816" s="166" t="s">
        <v>3189</v>
      </c>
      <c r="B2816" t="s">
        <v>111</v>
      </c>
      <c r="C2816" t="s">
        <v>135</v>
      </c>
      <c r="D2816" t="s">
        <v>118</v>
      </c>
      <c r="E2816" t="s">
        <v>668</v>
      </c>
      <c r="F2816" t="s">
        <v>6</v>
      </c>
      <c r="G2816" t="s">
        <v>130</v>
      </c>
      <c r="H2816" s="1">
        <v>46120</v>
      </c>
      <c r="I2816" t="s">
        <v>3190</v>
      </c>
      <c r="J2816" t="s">
        <v>3191</v>
      </c>
      <c r="K2816" t="s">
        <v>2351</v>
      </c>
      <c r="L2816" t="s">
        <v>3192</v>
      </c>
      <c r="M2816" t="s">
        <v>1778</v>
      </c>
      <c r="N2816" s="166">
        <v>19.8</v>
      </c>
      <c r="O2816" t="s">
        <v>131</v>
      </c>
    </row>
    <row r="2817" spans="1:15">
      <c r="A2817" s="166" t="s">
        <v>3193</v>
      </c>
      <c r="B2817" t="s">
        <v>111</v>
      </c>
      <c r="C2817" t="s">
        <v>641</v>
      </c>
      <c r="D2817" t="s">
        <v>118</v>
      </c>
      <c r="E2817" t="s">
        <v>668</v>
      </c>
      <c r="F2817" t="s">
        <v>6</v>
      </c>
      <c r="G2817" t="s">
        <v>130</v>
      </c>
      <c r="H2817" s="1">
        <v>46120</v>
      </c>
      <c r="I2817" t="s">
        <v>3194</v>
      </c>
      <c r="J2817" t="s">
        <v>3195</v>
      </c>
      <c r="K2817" t="s">
        <v>443</v>
      </c>
      <c r="L2817" t="s">
        <v>622</v>
      </c>
      <c r="M2817" t="s">
        <v>2165</v>
      </c>
      <c r="N2817" s="166">
        <v>21.26</v>
      </c>
      <c r="O2817" t="s">
        <v>131</v>
      </c>
    </row>
    <row r="2818" spans="1:15">
      <c r="A2818" s="166" t="s">
        <v>3196</v>
      </c>
      <c r="B2818" t="s">
        <v>111</v>
      </c>
      <c r="C2818" t="s">
        <v>133</v>
      </c>
      <c r="D2818" t="s">
        <v>116</v>
      </c>
      <c r="E2818" t="s">
        <v>418</v>
      </c>
      <c r="F2818" t="s">
        <v>7</v>
      </c>
      <c r="G2818" t="s">
        <v>130</v>
      </c>
      <c r="H2818" s="1">
        <v>46120</v>
      </c>
      <c r="I2818" t="s">
        <v>3197</v>
      </c>
      <c r="J2818" t="s">
        <v>3198</v>
      </c>
      <c r="K2818" t="s">
        <v>719</v>
      </c>
      <c r="L2818" t="s">
        <v>622</v>
      </c>
      <c r="M2818" t="s">
        <v>3199</v>
      </c>
      <c r="N2818" s="166">
        <v>24.08</v>
      </c>
      <c r="O2818" t="s">
        <v>131</v>
      </c>
    </row>
    <row r="2819" spans="1:15">
      <c r="A2819" s="166" t="s">
        <v>3200</v>
      </c>
      <c r="B2819" t="s">
        <v>111</v>
      </c>
      <c r="C2819" t="s">
        <v>135</v>
      </c>
      <c r="D2819" t="s">
        <v>116</v>
      </c>
      <c r="E2819" t="s">
        <v>418</v>
      </c>
      <c r="F2819" t="s">
        <v>7</v>
      </c>
      <c r="G2819" t="s">
        <v>130</v>
      </c>
      <c r="H2819" s="1">
        <v>46120</v>
      </c>
      <c r="I2819" t="s">
        <v>3201</v>
      </c>
      <c r="J2819" t="s">
        <v>3202</v>
      </c>
      <c r="K2819" t="s">
        <v>2994</v>
      </c>
      <c r="L2819" t="s">
        <v>2545</v>
      </c>
      <c r="M2819" t="s">
        <v>3203</v>
      </c>
      <c r="N2819" s="166">
        <v>20.76</v>
      </c>
      <c r="O2819" t="s">
        <v>131</v>
      </c>
    </row>
    <row r="2820" spans="1:15">
      <c r="A2820" s="166" t="s">
        <v>3204</v>
      </c>
      <c r="B2820" t="s">
        <v>111</v>
      </c>
      <c r="C2820" t="s">
        <v>641</v>
      </c>
      <c r="D2820" t="s">
        <v>116</v>
      </c>
      <c r="E2820" t="s">
        <v>418</v>
      </c>
      <c r="F2820" t="s">
        <v>7</v>
      </c>
      <c r="G2820" t="s">
        <v>130</v>
      </c>
      <c r="H2820" s="1">
        <v>46120</v>
      </c>
      <c r="I2820" t="s">
        <v>3205</v>
      </c>
      <c r="J2820" t="s">
        <v>3206</v>
      </c>
      <c r="K2820" t="s">
        <v>1521</v>
      </c>
      <c r="L2820" t="s">
        <v>1072</v>
      </c>
      <c r="M2820" t="s">
        <v>3207</v>
      </c>
      <c r="N2820" s="166">
        <v>22</v>
      </c>
      <c r="O2820" t="s">
        <v>131</v>
      </c>
    </row>
    <row r="2821" spans="1:15">
      <c r="A2821" s="166" t="s">
        <v>3208</v>
      </c>
      <c r="B2821" t="s">
        <v>111</v>
      </c>
      <c r="C2821" t="s">
        <v>133</v>
      </c>
      <c r="D2821" t="s">
        <v>116</v>
      </c>
      <c r="E2821" t="s">
        <v>418</v>
      </c>
      <c r="F2821" t="s">
        <v>7</v>
      </c>
      <c r="G2821" t="s">
        <v>130</v>
      </c>
      <c r="H2821" s="1">
        <v>46120</v>
      </c>
      <c r="I2821" t="s">
        <v>3209</v>
      </c>
      <c r="J2821" t="s">
        <v>3210</v>
      </c>
      <c r="K2821" t="s">
        <v>3211</v>
      </c>
      <c r="L2821" t="s">
        <v>193</v>
      </c>
      <c r="M2821" t="s">
        <v>3212</v>
      </c>
      <c r="N2821" s="166">
        <v>27.66</v>
      </c>
      <c r="O2821" t="s">
        <v>131</v>
      </c>
    </row>
    <row r="2822" spans="1:15">
      <c r="A2822" s="166" t="s">
        <v>3213</v>
      </c>
      <c r="B2822" t="s">
        <v>111</v>
      </c>
      <c r="C2822" t="s">
        <v>135</v>
      </c>
      <c r="D2822" t="s">
        <v>116</v>
      </c>
      <c r="E2822" t="s">
        <v>418</v>
      </c>
      <c r="F2822" t="s">
        <v>7</v>
      </c>
      <c r="G2822" t="s">
        <v>130</v>
      </c>
      <c r="H2822" s="1">
        <v>46120</v>
      </c>
      <c r="I2822" t="s">
        <v>3214</v>
      </c>
      <c r="J2822" t="s">
        <v>3215</v>
      </c>
      <c r="K2822" t="s">
        <v>181</v>
      </c>
      <c r="L2822" t="s">
        <v>1823</v>
      </c>
      <c r="M2822" t="s">
        <v>846</v>
      </c>
      <c r="N2822" s="166">
        <v>23.04</v>
      </c>
      <c r="O2822" t="s">
        <v>131</v>
      </c>
    </row>
    <row r="2823" spans="1:15">
      <c r="A2823" s="166" t="s">
        <v>3216</v>
      </c>
      <c r="B2823" t="s">
        <v>111</v>
      </c>
      <c r="C2823" t="s">
        <v>641</v>
      </c>
      <c r="D2823" t="s">
        <v>116</v>
      </c>
      <c r="E2823" t="s">
        <v>418</v>
      </c>
      <c r="F2823" t="s">
        <v>7</v>
      </c>
      <c r="G2823" t="s">
        <v>130</v>
      </c>
      <c r="H2823" s="1">
        <v>46120</v>
      </c>
      <c r="I2823" t="s">
        <v>3217</v>
      </c>
      <c r="J2823" t="s">
        <v>3218</v>
      </c>
      <c r="K2823" t="s">
        <v>181</v>
      </c>
      <c r="L2823" t="s">
        <v>144</v>
      </c>
      <c r="M2823" t="s">
        <v>3219</v>
      </c>
      <c r="N2823" s="166">
        <v>24.86</v>
      </c>
      <c r="O2823" t="s">
        <v>131</v>
      </c>
    </row>
    <row r="2824" spans="1:15">
      <c r="A2824" s="166" t="s">
        <v>3220</v>
      </c>
      <c r="B2824" t="s">
        <v>111</v>
      </c>
      <c r="C2824" t="s">
        <v>133</v>
      </c>
      <c r="D2824" t="s">
        <v>116</v>
      </c>
      <c r="E2824" t="s">
        <v>418</v>
      </c>
      <c r="F2824" t="s">
        <v>7</v>
      </c>
      <c r="G2824" t="s">
        <v>130</v>
      </c>
      <c r="H2824" s="1">
        <v>46120</v>
      </c>
      <c r="I2824" t="s">
        <v>3221</v>
      </c>
      <c r="J2824" t="s">
        <v>3222</v>
      </c>
      <c r="K2824" t="s">
        <v>3223</v>
      </c>
      <c r="L2824" t="s">
        <v>974</v>
      </c>
      <c r="M2824" t="s">
        <v>3224</v>
      </c>
      <c r="N2824" s="166">
        <v>27.96</v>
      </c>
      <c r="O2824" t="s">
        <v>131</v>
      </c>
    </row>
    <row r="2825" spans="1:15">
      <c r="A2825" s="166" t="s">
        <v>3225</v>
      </c>
      <c r="B2825" t="s">
        <v>111</v>
      </c>
      <c r="C2825" t="s">
        <v>135</v>
      </c>
      <c r="D2825" t="s">
        <v>116</v>
      </c>
      <c r="E2825" t="s">
        <v>418</v>
      </c>
      <c r="F2825" t="s">
        <v>7</v>
      </c>
      <c r="G2825" t="s">
        <v>130</v>
      </c>
      <c r="H2825" s="1">
        <v>46120</v>
      </c>
      <c r="I2825" t="s">
        <v>3226</v>
      </c>
      <c r="J2825" t="s">
        <v>3227</v>
      </c>
      <c r="K2825" t="s">
        <v>3228</v>
      </c>
      <c r="L2825" t="s">
        <v>3229</v>
      </c>
      <c r="M2825" t="s">
        <v>3076</v>
      </c>
      <c r="N2825" s="166">
        <v>23.42</v>
      </c>
      <c r="O2825" t="s">
        <v>131</v>
      </c>
    </row>
    <row r="2826" spans="1:15">
      <c r="A2826" s="166" t="s">
        <v>3230</v>
      </c>
      <c r="B2826" t="s">
        <v>111</v>
      </c>
      <c r="C2826" t="s">
        <v>641</v>
      </c>
      <c r="D2826" t="s">
        <v>116</v>
      </c>
      <c r="E2826" t="s">
        <v>418</v>
      </c>
      <c r="F2826" t="s">
        <v>7</v>
      </c>
      <c r="G2826" t="s">
        <v>130</v>
      </c>
      <c r="H2826" s="1">
        <v>46120</v>
      </c>
      <c r="I2826" t="s">
        <v>3231</v>
      </c>
      <c r="J2826" t="s">
        <v>3232</v>
      </c>
      <c r="K2826" t="s">
        <v>3233</v>
      </c>
      <c r="L2826" t="s">
        <v>208</v>
      </c>
      <c r="M2826" t="s">
        <v>2914</v>
      </c>
      <c r="N2826" s="166">
        <v>25.74</v>
      </c>
      <c r="O2826" t="s">
        <v>131</v>
      </c>
    </row>
    <row r="2827" spans="1:15">
      <c r="A2827" s="166" t="s">
        <v>3234</v>
      </c>
      <c r="B2827" t="s">
        <v>111</v>
      </c>
      <c r="C2827" t="s">
        <v>133</v>
      </c>
      <c r="D2827" t="s">
        <v>116</v>
      </c>
      <c r="E2827" t="s">
        <v>418</v>
      </c>
      <c r="F2827" t="s">
        <v>7</v>
      </c>
      <c r="G2827" t="s">
        <v>130</v>
      </c>
      <c r="H2827" s="1">
        <v>46120</v>
      </c>
      <c r="I2827" t="s">
        <v>3235</v>
      </c>
      <c r="J2827" t="s">
        <v>3236</v>
      </c>
      <c r="K2827" t="s">
        <v>3237</v>
      </c>
      <c r="L2827" t="s">
        <v>162</v>
      </c>
      <c r="M2827" t="s">
        <v>3238</v>
      </c>
      <c r="N2827" s="166">
        <v>29.58</v>
      </c>
      <c r="O2827" t="s">
        <v>131</v>
      </c>
    </row>
    <row r="2828" spans="1:15">
      <c r="A2828" s="166" t="s">
        <v>3239</v>
      </c>
      <c r="B2828" t="s">
        <v>111</v>
      </c>
      <c r="C2828" t="s">
        <v>135</v>
      </c>
      <c r="D2828" t="s">
        <v>116</v>
      </c>
      <c r="E2828" t="s">
        <v>418</v>
      </c>
      <c r="F2828" t="s">
        <v>7</v>
      </c>
      <c r="G2828" t="s">
        <v>130</v>
      </c>
      <c r="H2828" s="1">
        <v>46120</v>
      </c>
      <c r="I2828" t="s">
        <v>3240</v>
      </c>
      <c r="J2828" t="s">
        <v>3241</v>
      </c>
      <c r="K2828" t="s">
        <v>2741</v>
      </c>
      <c r="L2828" t="s">
        <v>1823</v>
      </c>
      <c r="M2828" t="s">
        <v>546</v>
      </c>
      <c r="N2828" s="166">
        <v>22.38</v>
      </c>
      <c r="O2828" t="s">
        <v>131</v>
      </c>
    </row>
    <row r="2829" spans="1:15">
      <c r="A2829" s="166" t="s">
        <v>3242</v>
      </c>
      <c r="B2829" t="s">
        <v>111</v>
      </c>
      <c r="C2829" t="s">
        <v>641</v>
      </c>
      <c r="D2829" t="s">
        <v>116</v>
      </c>
      <c r="E2829" t="s">
        <v>418</v>
      </c>
      <c r="F2829" t="s">
        <v>7</v>
      </c>
      <c r="G2829" t="s">
        <v>130</v>
      </c>
      <c r="H2829" s="1">
        <v>46120</v>
      </c>
      <c r="I2829" t="s">
        <v>3243</v>
      </c>
      <c r="J2829" t="s">
        <v>3244</v>
      </c>
      <c r="K2829" t="s">
        <v>3245</v>
      </c>
      <c r="L2829" t="s">
        <v>208</v>
      </c>
      <c r="M2829" t="s">
        <v>3246</v>
      </c>
      <c r="N2829" s="166">
        <v>26.5</v>
      </c>
      <c r="O2829" t="s">
        <v>131</v>
      </c>
    </row>
    <row r="2830" spans="1:15">
      <c r="A2830" s="166" t="s">
        <v>3247</v>
      </c>
      <c r="B2830" t="s">
        <v>111</v>
      </c>
      <c r="C2830" t="s">
        <v>133</v>
      </c>
      <c r="D2830" t="s">
        <v>116</v>
      </c>
      <c r="E2830" t="s">
        <v>418</v>
      </c>
      <c r="F2830" t="s">
        <v>7</v>
      </c>
      <c r="G2830" t="s">
        <v>130</v>
      </c>
      <c r="H2830" s="1">
        <v>46120</v>
      </c>
      <c r="I2830" t="s">
        <v>3248</v>
      </c>
      <c r="J2830" t="s">
        <v>3249</v>
      </c>
      <c r="K2830" t="s">
        <v>3250</v>
      </c>
      <c r="L2830" t="s">
        <v>777</v>
      </c>
      <c r="M2830" t="s">
        <v>3251</v>
      </c>
      <c r="N2830" s="166">
        <v>28.06</v>
      </c>
      <c r="O2830" t="s">
        <v>131</v>
      </c>
    </row>
    <row r="2831" spans="1:15">
      <c r="A2831" s="166" t="s">
        <v>3252</v>
      </c>
      <c r="B2831" t="s">
        <v>111</v>
      </c>
      <c r="C2831" t="s">
        <v>135</v>
      </c>
      <c r="D2831" t="s">
        <v>116</v>
      </c>
      <c r="E2831" t="s">
        <v>418</v>
      </c>
      <c r="F2831" t="s">
        <v>7</v>
      </c>
      <c r="G2831" t="s">
        <v>130</v>
      </c>
      <c r="H2831" s="1">
        <v>46120</v>
      </c>
      <c r="I2831" t="s">
        <v>3253</v>
      </c>
      <c r="J2831" t="s">
        <v>3254</v>
      </c>
      <c r="K2831" t="s">
        <v>3255</v>
      </c>
      <c r="L2831" t="s">
        <v>2532</v>
      </c>
      <c r="M2831" t="s">
        <v>439</v>
      </c>
      <c r="N2831" s="166">
        <v>21.72</v>
      </c>
      <c r="O2831" t="s">
        <v>131</v>
      </c>
    </row>
    <row r="2832" spans="1:15">
      <c r="A2832" s="166" t="s">
        <v>3256</v>
      </c>
      <c r="B2832" t="s">
        <v>111</v>
      </c>
      <c r="C2832" t="s">
        <v>641</v>
      </c>
      <c r="D2832" t="s">
        <v>116</v>
      </c>
      <c r="E2832" t="s">
        <v>418</v>
      </c>
      <c r="F2832" t="s">
        <v>7</v>
      </c>
      <c r="G2832" t="s">
        <v>130</v>
      </c>
      <c r="H2832" s="1">
        <v>46120</v>
      </c>
      <c r="I2832" t="s">
        <v>3257</v>
      </c>
      <c r="J2832" t="s">
        <v>3258</v>
      </c>
      <c r="K2832" t="s">
        <v>1619</v>
      </c>
      <c r="L2832" t="s">
        <v>193</v>
      </c>
      <c r="M2832" t="s">
        <v>166</v>
      </c>
      <c r="N2832" s="166">
        <v>23.1</v>
      </c>
      <c r="O2832" t="s">
        <v>131</v>
      </c>
    </row>
    <row r="2833" spans="1:15">
      <c r="A2833" s="166" t="s">
        <v>3259</v>
      </c>
      <c r="B2833" t="s">
        <v>111</v>
      </c>
      <c r="C2833" t="s">
        <v>133</v>
      </c>
      <c r="D2833" t="s">
        <v>116</v>
      </c>
      <c r="E2833" t="s">
        <v>418</v>
      </c>
      <c r="F2833" t="s">
        <v>7</v>
      </c>
      <c r="G2833" t="s">
        <v>130</v>
      </c>
      <c r="H2833" s="1">
        <v>46120</v>
      </c>
      <c r="I2833" t="s">
        <v>3260</v>
      </c>
      <c r="J2833" t="s">
        <v>3261</v>
      </c>
      <c r="K2833" t="s">
        <v>3262</v>
      </c>
      <c r="L2833" t="s">
        <v>616</v>
      </c>
      <c r="M2833" t="s">
        <v>3263</v>
      </c>
      <c r="N2833" s="166">
        <v>27.26</v>
      </c>
      <c r="O2833" t="s">
        <v>131</v>
      </c>
    </row>
    <row r="2834" spans="1:15">
      <c r="A2834" s="166" t="s">
        <v>3264</v>
      </c>
      <c r="B2834" t="s">
        <v>111</v>
      </c>
      <c r="C2834" t="s">
        <v>135</v>
      </c>
      <c r="D2834" t="s">
        <v>116</v>
      </c>
      <c r="E2834" t="s">
        <v>418</v>
      </c>
      <c r="F2834" t="s">
        <v>7</v>
      </c>
      <c r="G2834" t="s">
        <v>130</v>
      </c>
      <c r="H2834" s="1">
        <v>46120</v>
      </c>
      <c r="I2834" t="s">
        <v>3265</v>
      </c>
      <c r="J2834" t="s">
        <v>3266</v>
      </c>
      <c r="K2834" t="s">
        <v>3267</v>
      </c>
      <c r="L2834" t="s">
        <v>3268</v>
      </c>
      <c r="M2834" t="s">
        <v>1140</v>
      </c>
      <c r="N2834" s="166">
        <v>21.2</v>
      </c>
      <c r="O2834" t="s">
        <v>131</v>
      </c>
    </row>
    <row r="2835" spans="1:15">
      <c r="A2835" s="166" t="s">
        <v>3269</v>
      </c>
      <c r="B2835" t="s">
        <v>111</v>
      </c>
      <c r="C2835" t="s">
        <v>641</v>
      </c>
      <c r="D2835" t="s">
        <v>116</v>
      </c>
      <c r="E2835" t="s">
        <v>418</v>
      </c>
      <c r="F2835" t="s">
        <v>7</v>
      </c>
      <c r="G2835" t="s">
        <v>130</v>
      </c>
      <c r="H2835" s="1">
        <v>46120</v>
      </c>
      <c r="I2835" t="s">
        <v>3270</v>
      </c>
      <c r="J2835" t="s">
        <v>3271</v>
      </c>
      <c r="K2835" t="s">
        <v>2643</v>
      </c>
      <c r="L2835" t="s">
        <v>193</v>
      </c>
      <c r="M2835" t="s">
        <v>677</v>
      </c>
      <c r="N2835" s="166">
        <v>24.58</v>
      </c>
      <c r="O2835" t="s">
        <v>131</v>
      </c>
    </row>
    <row r="2836" spans="1:15">
      <c r="A2836" s="166" t="s">
        <v>3272</v>
      </c>
      <c r="B2836" t="s">
        <v>111</v>
      </c>
      <c r="C2836" t="s">
        <v>133</v>
      </c>
      <c r="D2836" t="s">
        <v>116</v>
      </c>
      <c r="E2836" t="s">
        <v>418</v>
      </c>
      <c r="F2836" t="s">
        <v>7</v>
      </c>
      <c r="G2836" t="s">
        <v>130</v>
      </c>
      <c r="H2836" s="1">
        <v>46120</v>
      </c>
      <c r="I2836" t="s">
        <v>3273</v>
      </c>
      <c r="J2836" t="s">
        <v>3274</v>
      </c>
      <c r="K2836" t="s">
        <v>2363</v>
      </c>
      <c r="L2836" t="s">
        <v>162</v>
      </c>
      <c r="M2836" t="s">
        <v>2943</v>
      </c>
      <c r="N2836" s="166">
        <v>25.16</v>
      </c>
      <c r="O2836" t="s">
        <v>131</v>
      </c>
    </row>
    <row r="2837" spans="1:15">
      <c r="A2837" s="166" t="s">
        <v>3275</v>
      </c>
      <c r="B2837" t="s">
        <v>111</v>
      </c>
      <c r="C2837" t="s">
        <v>135</v>
      </c>
      <c r="D2837" t="s">
        <v>116</v>
      </c>
      <c r="E2837" t="s">
        <v>418</v>
      </c>
      <c r="F2837" t="s">
        <v>7</v>
      </c>
      <c r="G2837" t="s">
        <v>130</v>
      </c>
      <c r="H2837" s="1">
        <v>46120</v>
      </c>
      <c r="I2837" t="s">
        <v>3276</v>
      </c>
      <c r="J2837" t="s">
        <v>3277</v>
      </c>
      <c r="K2837" t="s">
        <v>806</v>
      </c>
      <c r="L2837" t="s">
        <v>2531</v>
      </c>
      <c r="M2837" t="s">
        <v>3278</v>
      </c>
      <c r="N2837" s="166">
        <v>22.32</v>
      </c>
      <c r="O2837" t="s">
        <v>131</v>
      </c>
    </row>
    <row r="2838" spans="1:15">
      <c r="A2838" s="166" t="s">
        <v>3279</v>
      </c>
      <c r="B2838" t="s">
        <v>111</v>
      </c>
      <c r="C2838" t="s">
        <v>2424</v>
      </c>
      <c r="D2838" t="s">
        <v>116</v>
      </c>
      <c r="E2838" t="s">
        <v>418</v>
      </c>
      <c r="F2838" t="s">
        <v>7</v>
      </c>
      <c r="G2838" t="s">
        <v>130</v>
      </c>
      <c r="H2838" s="1">
        <v>46120</v>
      </c>
      <c r="I2838" t="s">
        <v>3280</v>
      </c>
      <c r="J2838" t="s">
        <v>3281</v>
      </c>
      <c r="K2838" t="s">
        <v>3282</v>
      </c>
      <c r="L2838" t="s">
        <v>162</v>
      </c>
      <c r="M2838" t="s">
        <v>3283</v>
      </c>
      <c r="N2838" s="166">
        <v>23.54</v>
      </c>
      <c r="O2838" t="s">
        <v>131</v>
      </c>
    </row>
    <row r="2839" spans="1:15">
      <c r="A2839" s="166" t="s">
        <v>3284</v>
      </c>
      <c r="B2839" t="s">
        <v>111</v>
      </c>
      <c r="C2839" t="s">
        <v>134</v>
      </c>
      <c r="D2839" t="s">
        <v>116</v>
      </c>
      <c r="E2839" t="s">
        <v>418</v>
      </c>
      <c r="F2839" t="s">
        <v>7</v>
      </c>
      <c r="G2839" t="s">
        <v>130</v>
      </c>
      <c r="H2839" s="1">
        <v>46120</v>
      </c>
      <c r="I2839" t="s">
        <v>3285</v>
      </c>
      <c r="J2839" t="s">
        <v>3286</v>
      </c>
      <c r="K2839" t="s">
        <v>1205</v>
      </c>
      <c r="L2839" t="s">
        <v>3287</v>
      </c>
      <c r="M2839" t="s">
        <v>561</v>
      </c>
      <c r="N2839" s="166">
        <v>21.98</v>
      </c>
      <c r="O2839" t="s">
        <v>131</v>
      </c>
    </row>
    <row r="2840" spans="1:15">
      <c r="A2840" s="166" t="s">
        <v>3288</v>
      </c>
      <c r="B2840" t="s">
        <v>111</v>
      </c>
      <c r="C2840" t="s">
        <v>2424</v>
      </c>
      <c r="D2840" t="s">
        <v>116</v>
      </c>
      <c r="E2840" t="s">
        <v>418</v>
      </c>
      <c r="F2840" t="s">
        <v>7</v>
      </c>
      <c r="G2840" t="s">
        <v>130</v>
      </c>
      <c r="H2840" s="1">
        <v>46120</v>
      </c>
      <c r="I2840" t="s">
        <v>3289</v>
      </c>
      <c r="J2840" t="s">
        <v>3290</v>
      </c>
      <c r="K2840" t="s">
        <v>3291</v>
      </c>
      <c r="L2840" t="s">
        <v>777</v>
      </c>
      <c r="M2840" t="s">
        <v>660</v>
      </c>
      <c r="N2840" s="166">
        <v>22.3</v>
      </c>
      <c r="O2840" t="s">
        <v>131</v>
      </c>
    </row>
    <row r="2841" spans="1:15">
      <c r="A2841" s="166" t="s">
        <v>3292</v>
      </c>
      <c r="B2841" t="s">
        <v>111</v>
      </c>
      <c r="C2841" t="s">
        <v>134</v>
      </c>
      <c r="D2841" t="s">
        <v>116</v>
      </c>
      <c r="E2841" t="s">
        <v>418</v>
      </c>
      <c r="F2841" t="s">
        <v>7</v>
      </c>
      <c r="G2841" t="s">
        <v>130</v>
      </c>
      <c r="H2841" s="1">
        <v>46120</v>
      </c>
      <c r="I2841" t="s">
        <v>3293</v>
      </c>
      <c r="J2841" t="s">
        <v>3294</v>
      </c>
      <c r="K2841" t="s">
        <v>2942</v>
      </c>
      <c r="L2841" t="s">
        <v>3295</v>
      </c>
      <c r="M2841" t="s">
        <v>2697</v>
      </c>
      <c r="N2841" s="166">
        <v>23.86</v>
      </c>
      <c r="O2841" t="s">
        <v>131</v>
      </c>
    </row>
    <row r="2842" spans="1:15">
      <c r="A2842" s="166" t="s">
        <v>3296</v>
      </c>
      <c r="B2842" t="s">
        <v>111</v>
      </c>
      <c r="C2842" t="s">
        <v>2424</v>
      </c>
      <c r="D2842" t="s">
        <v>116</v>
      </c>
      <c r="E2842" t="s">
        <v>418</v>
      </c>
      <c r="F2842" t="s">
        <v>7</v>
      </c>
      <c r="G2842" t="s">
        <v>130</v>
      </c>
      <c r="H2842" s="1">
        <v>46120</v>
      </c>
      <c r="I2842" t="s">
        <v>3297</v>
      </c>
      <c r="J2842" t="s">
        <v>3298</v>
      </c>
      <c r="K2842" t="s">
        <v>3299</v>
      </c>
      <c r="L2842" t="s">
        <v>1835</v>
      </c>
      <c r="M2842" t="s">
        <v>3112</v>
      </c>
      <c r="N2842" s="166">
        <v>24.5</v>
      </c>
      <c r="O2842" t="s">
        <v>131</v>
      </c>
    </row>
    <row r="2843" spans="1:15">
      <c r="A2843" s="166" t="s">
        <v>3300</v>
      </c>
      <c r="B2843" t="s">
        <v>111</v>
      </c>
      <c r="C2843" t="s">
        <v>134</v>
      </c>
      <c r="D2843" t="s">
        <v>116</v>
      </c>
      <c r="E2843" t="s">
        <v>418</v>
      </c>
      <c r="F2843" t="s">
        <v>7</v>
      </c>
      <c r="G2843" t="s">
        <v>130</v>
      </c>
      <c r="H2843" s="1">
        <v>46120</v>
      </c>
      <c r="I2843" t="s">
        <v>3301</v>
      </c>
      <c r="J2843" t="s">
        <v>3302</v>
      </c>
      <c r="K2843" t="s">
        <v>3303</v>
      </c>
      <c r="L2843" t="s">
        <v>870</v>
      </c>
      <c r="M2843" t="s">
        <v>812</v>
      </c>
      <c r="N2843" s="166">
        <v>24.18</v>
      </c>
      <c r="O2843" t="s">
        <v>131</v>
      </c>
    </row>
    <row r="2844" spans="1:15">
      <c r="A2844" s="166" t="s">
        <v>3304</v>
      </c>
      <c r="B2844" t="s">
        <v>111</v>
      </c>
      <c r="C2844" t="s">
        <v>2424</v>
      </c>
      <c r="D2844" t="s">
        <v>116</v>
      </c>
      <c r="E2844" t="s">
        <v>418</v>
      </c>
      <c r="F2844" t="s">
        <v>7</v>
      </c>
      <c r="G2844" t="s">
        <v>130</v>
      </c>
      <c r="H2844" s="1">
        <v>46120</v>
      </c>
      <c r="I2844" t="s">
        <v>3305</v>
      </c>
      <c r="J2844" t="s">
        <v>3306</v>
      </c>
      <c r="K2844" t="s">
        <v>2830</v>
      </c>
      <c r="L2844" t="s">
        <v>529</v>
      </c>
      <c r="M2844" t="s">
        <v>3307</v>
      </c>
      <c r="N2844" s="166">
        <v>26.94</v>
      </c>
      <c r="O2844" t="s">
        <v>131</v>
      </c>
    </row>
    <row r="2845" spans="1:15">
      <c r="A2845" s="166" t="s">
        <v>3308</v>
      </c>
      <c r="B2845" t="s">
        <v>111</v>
      </c>
      <c r="C2845" t="s">
        <v>134</v>
      </c>
      <c r="D2845" t="s">
        <v>116</v>
      </c>
      <c r="E2845" t="s">
        <v>418</v>
      </c>
      <c r="F2845" t="s">
        <v>7</v>
      </c>
      <c r="G2845" t="s">
        <v>130</v>
      </c>
      <c r="H2845" s="1">
        <v>46120</v>
      </c>
      <c r="I2845" t="s">
        <v>3309</v>
      </c>
      <c r="J2845" t="s">
        <v>3310</v>
      </c>
      <c r="K2845" t="s">
        <v>200</v>
      </c>
      <c r="L2845" t="s">
        <v>2589</v>
      </c>
      <c r="M2845" t="s">
        <v>3311</v>
      </c>
      <c r="N2845" s="166">
        <v>23.64</v>
      </c>
      <c r="O2845" t="s">
        <v>131</v>
      </c>
    </row>
    <row r="2846" spans="1:15">
      <c r="A2846" s="166" t="s">
        <v>3312</v>
      </c>
      <c r="B2846" t="s">
        <v>111</v>
      </c>
      <c r="C2846" t="s">
        <v>2424</v>
      </c>
      <c r="D2846" t="s">
        <v>116</v>
      </c>
      <c r="E2846" t="s">
        <v>418</v>
      </c>
      <c r="F2846" t="s">
        <v>7</v>
      </c>
      <c r="G2846" t="s">
        <v>130</v>
      </c>
      <c r="H2846" s="1">
        <v>46120</v>
      </c>
      <c r="I2846" t="s">
        <v>3313</v>
      </c>
      <c r="J2846" t="s">
        <v>3314</v>
      </c>
      <c r="K2846" t="s">
        <v>2585</v>
      </c>
      <c r="L2846" t="s">
        <v>611</v>
      </c>
      <c r="M2846" t="s">
        <v>561</v>
      </c>
      <c r="N2846" s="166">
        <v>21.98</v>
      </c>
      <c r="O2846" t="s">
        <v>131</v>
      </c>
    </row>
    <row r="2847" spans="1:15">
      <c r="A2847" s="166" t="s">
        <v>3315</v>
      </c>
      <c r="B2847" t="s">
        <v>111</v>
      </c>
      <c r="C2847" t="s">
        <v>134</v>
      </c>
      <c r="D2847" t="s">
        <v>116</v>
      </c>
      <c r="E2847" t="s">
        <v>418</v>
      </c>
      <c r="F2847" t="s">
        <v>7</v>
      </c>
      <c r="G2847" t="s">
        <v>130</v>
      </c>
      <c r="H2847" s="1">
        <v>46120</v>
      </c>
      <c r="I2847" t="s">
        <v>3316</v>
      </c>
      <c r="J2847" t="s">
        <v>3317</v>
      </c>
      <c r="K2847" t="s">
        <v>519</v>
      </c>
      <c r="L2847" t="s">
        <v>3318</v>
      </c>
      <c r="M2847" t="s">
        <v>1244</v>
      </c>
      <c r="N2847" s="166">
        <v>21.8</v>
      </c>
      <c r="O2847" t="s">
        <v>131</v>
      </c>
    </row>
    <row r="2848" spans="1:15">
      <c r="A2848" s="166" t="s">
        <v>3319</v>
      </c>
      <c r="B2848" t="s">
        <v>111</v>
      </c>
      <c r="C2848" t="s">
        <v>2424</v>
      </c>
      <c r="D2848" t="s">
        <v>116</v>
      </c>
      <c r="E2848" t="s">
        <v>418</v>
      </c>
      <c r="F2848" t="s">
        <v>7</v>
      </c>
      <c r="G2848" t="s">
        <v>130</v>
      </c>
      <c r="H2848" s="1">
        <v>46120</v>
      </c>
      <c r="I2848" t="s">
        <v>3320</v>
      </c>
      <c r="J2848" t="s">
        <v>3321</v>
      </c>
      <c r="K2848" t="s">
        <v>237</v>
      </c>
      <c r="L2848" t="s">
        <v>856</v>
      </c>
      <c r="M2848" t="s">
        <v>677</v>
      </c>
      <c r="N2848" s="166">
        <v>24.58</v>
      </c>
      <c r="O2848" t="s">
        <v>131</v>
      </c>
    </row>
    <row r="2849" spans="1:15">
      <c r="A2849" s="166" t="s">
        <v>2522</v>
      </c>
      <c r="B2849" t="s">
        <v>111</v>
      </c>
      <c r="C2849" t="s">
        <v>134</v>
      </c>
      <c r="D2849" t="s">
        <v>116</v>
      </c>
      <c r="E2849" t="s">
        <v>418</v>
      </c>
      <c r="F2849" t="s">
        <v>7</v>
      </c>
      <c r="G2849" t="s">
        <v>130</v>
      </c>
      <c r="H2849" s="1">
        <v>46120</v>
      </c>
      <c r="I2849" t="s">
        <v>3322</v>
      </c>
      <c r="J2849" t="s">
        <v>3323</v>
      </c>
      <c r="K2849" t="s">
        <v>3324</v>
      </c>
      <c r="L2849" t="s">
        <v>2091</v>
      </c>
      <c r="M2849" t="s">
        <v>3325</v>
      </c>
      <c r="N2849" s="166">
        <v>24.46</v>
      </c>
      <c r="O2849" t="s">
        <v>131</v>
      </c>
    </row>
    <row r="2850" spans="1:15">
      <c r="A2850" s="166" t="s">
        <v>3326</v>
      </c>
      <c r="B2850" t="s">
        <v>111</v>
      </c>
      <c r="C2850" t="s">
        <v>136</v>
      </c>
      <c r="D2850" t="s">
        <v>116</v>
      </c>
      <c r="E2850" t="s">
        <v>418</v>
      </c>
      <c r="F2850" t="s">
        <v>7</v>
      </c>
      <c r="G2850" t="s">
        <v>130</v>
      </c>
      <c r="H2850" s="1">
        <v>46120</v>
      </c>
      <c r="I2850" t="s">
        <v>3327</v>
      </c>
      <c r="J2850" t="s">
        <v>3328</v>
      </c>
      <c r="K2850" t="s">
        <v>2454</v>
      </c>
      <c r="L2850" t="s">
        <v>147</v>
      </c>
      <c r="M2850" t="s">
        <v>2267</v>
      </c>
      <c r="N2850" s="166">
        <v>16.12</v>
      </c>
      <c r="O2850" t="s">
        <v>131</v>
      </c>
    </row>
    <row r="2851" spans="1:15">
      <c r="A2851" s="166" t="s">
        <v>3329</v>
      </c>
      <c r="B2851" t="s">
        <v>111</v>
      </c>
      <c r="C2851" t="s">
        <v>406</v>
      </c>
      <c r="D2851" t="s">
        <v>116</v>
      </c>
      <c r="E2851" t="s">
        <v>418</v>
      </c>
      <c r="F2851" t="s">
        <v>7</v>
      </c>
      <c r="G2851" t="s">
        <v>130</v>
      </c>
      <c r="H2851" s="1">
        <v>46120</v>
      </c>
      <c r="I2851" t="s">
        <v>3330</v>
      </c>
      <c r="J2851" t="s">
        <v>3331</v>
      </c>
      <c r="K2851" t="s">
        <v>2142</v>
      </c>
      <c r="L2851" t="s">
        <v>1560</v>
      </c>
      <c r="M2851" t="s">
        <v>2075</v>
      </c>
      <c r="N2851" s="166">
        <v>18.12</v>
      </c>
      <c r="O2851" t="s">
        <v>131</v>
      </c>
    </row>
    <row r="2852" spans="1:15">
      <c r="A2852" s="166" t="s">
        <v>3332</v>
      </c>
      <c r="B2852" t="s">
        <v>111</v>
      </c>
      <c r="C2852" t="s">
        <v>134</v>
      </c>
      <c r="D2852" t="s">
        <v>116</v>
      </c>
      <c r="E2852" t="s">
        <v>418</v>
      </c>
      <c r="F2852" t="s">
        <v>7</v>
      </c>
      <c r="G2852" t="s">
        <v>130</v>
      </c>
      <c r="H2852" s="1">
        <v>46120</v>
      </c>
      <c r="I2852" t="s">
        <v>3333</v>
      </c>
      <c r="J2852" t="s">
        <v>3334</v>
      </c>
      <c r="K2852" t="s">
        <v>1377</v>
      </c>
      <c r="L2852" t="s">
        <v>1062</v>
      </c>
      <c r="M2852" t="s">
        <v>1102</v>
      </c>
      <c r="N2852" s="166">
        <v>18.88</v>
      </c>
      <c r="O2852" t="s">
        <v>131</v>
      </c>
    </row>
    <row r="2853" spans="1:15">
      <c r="A2853" s="166" t="s">
        <v>3335</v>
      </c>
      <c r="B2853" t="s">
        <v>111</v>
      </c>
      <c r="C2853" t="s">
        <v>406</v>
      </c>
      <c r="D2853" t="s">
        <v>116</v>
      </c>
      <c r="E2853" t="s">
        <v>418</v>
      </c>
      <c r="F2853" t="s">
        <v>7</v>
      </c>
      <c r="G2853" t="s">
        <v>130</v>
      </c>
      <c r="H2853" s="1">
        <v>46120</v>
      </c>
      <c r="I2853" t="s">
        <v>3336</v>
      </c>
      <c r="J2853" t="s">
        <v>3337</v>
      </c>
      <c r="K2853" t="s">
        <v>1906</v>
      </c>
      <c r="L2853" t="s">
        <v>2008</v>
      </c>
      <c r="M2853" t="s">
        <v>650</v>
      </c>
      <c r="N2853" s="166">
        <v>15.86</v>
      </c>
      <c r="O2853" t="s">
        <v>131</v>
      </c>
    </row>
    <row r="2854" spans="1:15">
      <c r="A2854" s="166" t="s">
        <v>3338</v>
      </c>
      <c r="B2854" t="s">
        <v>111</v>
      </c>
      <c r="C2854" t="s">
        <v>136</v>
      </c>
      <c r="D2854" t="s">
        <v>116</v>
      </c>
      <c r="E2854" t="s">
        <v>418</v>
      </c>
      <c r="F2854" t="s">
        <v>7</v>
      </c>
      <c r="G2854" t="s">
        <v>130</v>
      </c>
      <c r="H2854" s="1">
        <v>46120</v>
      </c>
      <c r="I2854" t="s">
        <v>3339</v>
      </c>
      <c r="J2854" t="s">
        <v>3340</v>
      </c>
      <c r="K2854" t="s">
        <v>2495</v>
      </c>
      <c r="L2854" t="s">
        <v>180</v>
      </c>
      <c r="M2854" t="s">
        <v>3169</v>
      </c>
      <c r="N2854" s="166">
        <v>18.8</v>
      </c>
      <c r="O2854" t="s">
        <v>131</v>
      </c>
    </row>
    <row r="2855" spans="1:15">
      <c r="A2855" s="166" t="s">
        <v>3341</v>
      </c>
      <c r="B2855" t="s">
        <v>111</v>
      </c>
      <c r="C2855" t="s">
        <v>134</v>
      </c>
      <c r="D2855" t="s">
        <v>116</v>
      </c>
      <c r="E2855" t="s">
        <v>418</v>
      </c>
      <c r="F2855" t="s">
        <v>7</v>
      </c>
      <c r="G2855" t="s">
        <v>130</v>
      </c>
      <c r="H2855" s="1">
        <v>46120</v>
      </c>
      <c r="I2855" t="s">
        <v>3342</v>
      </c>
      <c r="J2855" t="s">
        <v>3343</v>
      </c>
      <c r="K2855" t="s">
        <v>1602</v>
      </c>
      <c r="L2855" t="s">
        <v>180</v>
      </c>
      <c r="M2855" t="s">
        <v>1399</v>
      </c>
      <c r="N2855" s="166">
        <v>19.32</v>
      </c>
      <c r="O2855" t="s">
        <v>131</v>
      </c>
    </row>
    <row r="2856" spans="1:15">
      <c r="A2856" s="166" t="s">
        <v>3344</v>
      </c>
      <c r="B2856" t="s">
        <v>111</v>
      </c>
      <c r="C2856" t="s">
        <v>406</v>
      </c>
      <c r="D2856" t="s">
        <v>116</v>
      </c>
      <c r="E2856" t="s">
        <v>418</v>
      </c>
      <c r="F2856" t="s">
        <v>7</v>
      </c>
      <c r="G2856" t="s">
        <v>130</v>
      </c>
      <c r="H2856" s="1">
        <v>46120</v>
      </c>
      <c r="I2856" t="s">
        <v>3345</v>
      </c>
      <c r="J2856" t="s">
        <v>3346</v>
      </c>
      <c r="K2856" t="s">
        <v>1305</v>
      </c>
      <c r="L2856" t="s">
        <v>1136</v>
      </c>
      <c r="M2856" t="s">
        <v>155</v>
      </c>
      <c r="N2856" s="166">
        <v>15.02</v>
      </c>
      <c r="O2856" t="s">
        <v>131</v>
      </c>
    </row>
    <row r="2857" spans="1:15">
      <c r="A2857" s="166" t="s">
        <v>3347</v>
      </c>
      <c r="B2857" t="s">
        <v>111</v>
      </c>
      <c r="C2857" t="s">
        <v>136</v>
      </c>
      <c r="D2857" t="s">
        <v>116</v>
      </c>
      <c r="E2857" t="s">
        <v>418</v>
      </c>
      <c r="F2857" t="s">
        <v>7</v>
      </c>
      <c r="G2857" t="s">
        <v>130</v>
      </c>
      <c r="H2857" s="1">
        <v>46120</v>
      </c>
      <c r="I2857" t="s">
        <v>3348</v>
      </c>
      <c r="J2857" t="s">
        <v>3349</v>
      </c>
      <c r="K2857" t="s">
        <v>1398</v>
      </c>
      <c r="L2857" t="s">
        <v>3350</v>
      </c>
      <c r="M2857" t="s">
        <v>2639</v>
      </c>
      <c r="N2857" s="166">
        <v>17.579999999999998</v>
      </c>
      <c r="O2857" t="s">
        <v>131</v>
      </c>
    </row>
    <row r="2858" spans="1:15">
      <c r="A2858" s="166" t="s">
        <v>3351</v>
      </c>
      <c r="B2858" t="s">
        <v>111</v>
      </c>
      <c r="C2858" t="s">
        <v>134</v>
      </c>
      <c r="D2858" t="s">
        <v>116</v>
      </c>
      <c r="E2858" t="s">
        <v>418</v>
      </c>
      <c r="F2858" t="s">
        <v>7</v>
      </c>
      <c r="G2858" t="s">
        <v>130</v>
      </c>
      <c r="H2858" s="1">
        <v>46120</v>
      </c>
      <c r="I2858" t="s">
        <v>3352</v>
      </c>
      <c r="J2858" t="s">
        <v>3353</v>
      </c>
      <c r="K2858" t="s">
        <v>1861</v>
      </c>
      <c r="L2858" t="s">
        <v>3192</v>
      </c>
      <c r="M2858" t="s">
        <v>2128</v>
      </c>
      <c r="N2858" s="166">
        <v>18.68</v>
      </c>
      <c r="O2858" t="s">
        <v>131</v>
      </c>
    </row>
    <row r="2859" spans="1:15">
      <c r="A2859" s="166" t="s">
        <v>3354</v>
      </c>
      <c r="B2859" t="s">
        <v>111</v>
      </c>
      <c r="C2859" t="s">
        <v>406</v>
      </c>
      <c r="D2859" t="s">
        <v>116</v>
      </c>
      <c r="E2859" t="s">
        <v>418</v>
      </c>
      <c r="F2859" t="s">
        <v>7</v>
      </c>
      <c r="G2859" t="s">
        <v>130</v>
      </c>
      <c r="H2859" s="1">
        <v>46120</v>
      </c>
      <c r="I2859" t="s">
        <v>3355</v>
      </c>
      <c r="J2859" t="s">
        <v>3356</v>
      </c>
      <c r="K2859" t="s">
        <v>3357</v>
      </c>
      <c r="L2859" t="s">
        <v>410</v>
      </c>
      <c r="M2859" t="s">
        <v>2457</v>
      </c>
      <c r="N2859" s="166">
        <v>14.46</v>
      </c>
      <c r="O2859" t="s">
        <v>131</v>
      </c>
    </row>
    <row r="2860" spans="1:15">
      <c r="A2860" s="166" t="s">
        <v>3358</v>
      </c>
      <c r="B2860" t="s">
        <v>111</v>
      </c>
      <c r="C2860" t="s">
        <v>136</v>
      </c>
      <c r="D2860" t="s">
        <v>116</v>
      </c>
      <c r="E2860" t="s">
        <v>418</v>
      </c>
      <c r="F2860" t="s">
        <v>7</v>
      </c>
      <c r="G2860" t="s">
        <v>130</v>
      </c>
      <c r="H2860" s="1">
        <v>46120</v>
      </c>
      <c r="I2860" t="s">
        <v>3359</v>
      </c>
      <c r="J2860" t="s">
        <v>3360</v>
      </c>
      <c r="K2860" t="s">
        <v>1052</v>
      </c>
      <c r="L2860" t="s">
        <v>203</v>
      </c>
      <c r="M2860" t="s">
        <v>3361</v>
      </c>
      <c r="N2860" s="166">
        <v>21.96</v>
      </c>
      <c r="O2860" t="s">
        <v>131</v>
      </c>
    </row>
    <row r="2861" spans="1:15">
      <c r="A2861" s="166" t="s">
        <v>3362</v>
      </c>
      <c r="B2861" t="s">
        <v>111</v>
      </c>
      <c r="C2861" t="s">
        <v>134</v>
      </c>
      <c r="D2861" t="s">
        <v>116</v>
      </c>
      <c r="E2861" t="s">
        <v>418</v>
      </c>
      <c r="F2861" t="s">
        <v>7</v>
      </c>
      <c r="G2861" t="s">
        <v>130</v>
      </c>
      <c r="H2861" s="1">
        <v>46120</v>
      </c>
      <c r="I2861" t="s">
        <v>3363</v>
      </c>
      <c r="J2861" t="s">
        <v>3364</v>
      </c>
      <c r="K2861" t="s">
        <v>2495</v>
      </c>
      <c r="L2861" t="s">
        <v>2067</v>
      </c>
      <c r="M2861" t="s">
        <v>3075</v>
      </c>
      <c r="N2861" s="166">
        <v>16.940000000000001</v>
      </c>
      <c r="O2861" t="s">
        <v>131</v>
      </c>
    </row>
    <row r="2862" spans="1:15">
      <c r="A2862" s="166" t="s">
        <v>3365</v>
      </c>
      <c r="B2862" t="s">
        <v>111</v>
      </c>
      <c r="C2862" t="s">
        <v>406</v>
      </c>
      <c r="D2862" t="s">
        <v>116</v>
      </c>
      <c r="E2862" t="s">
        <v>418</v>
      </c>
      <c r="F2862" t="s">
        <v>7</v>
      </c>
      <c r="G2862" t="s">
        <v>130</v>
      </c>
      <c r="H2862" s="1">
        <v>46120</v>
      </c>
      <c r="I2862" t="s">
        <v>3366</v>
      </c>
      <c r="J2862" t="s">
        <v>3367</v>
      </c>
      <c r="K2862" t="s">
        <v>2351</v>
      </c>
      <c r="L2862" t="s">
        <v>2848</v>
      </c>
      <c r="M2862" t="s">
        <v>660</v>
      </c>
      <c r="N2862" s="166">
        <v>22.3</v>
      </c>
      <c r="O2862" t="s">
        <v>131</v>
      </c>
    </row>
    <row r="2863" spans="1:15">
      <c r="A2863" s="166" t="s">
        <v>3368</v>
      </c>
      <c r="B2863" t="s">
        <v>111</v>
      </c>
      <c r="C2863" t="s">
        <v>136</v>
      </c>
      <c r="D2863" t="s">
        <v>116</v>
      </c>
      <c r="E2863" t="s">
        <v>418</v>
      </c>
      <c r="F2863" t="s">
        <v>7</v>
      </c>
      <c r="G2863" t="s">
        <v>130</v>
      </c>
      <c r="H2863" s="1">
        <v>46120</v>
      </c>
      <c r="I2863" t="s">
        <v>3369</v>
      </c>
      <c r="J2863" t="s">
        <v>3370</v>
      </c>
      <c r="K2863" t="s">
        <v>3371</v>
      </c>
      <c r="L2863" t="s">
        <v>1483</v>
      </c>
      <c r="M2863" t="s">
        <v>3372</v>
      </c>
      <c r="N2863" s="166">
        <v>17.96</v>
      </c>
      <c r="O2863" t="s">
        <v>131</v>
      </c>
    </row>
    <row r="2864" spans="1:15">
      <c r="A2864" s="166" t="s">
        <v>3373</v>
      </c>
      <c r="B2864" t="s">
        <v>111</v>
      </c>
      <c r="C2864" t="s">
        <v>134</v>
      </c>
      <c r="D2864" t="s">
        <v>116</v>
      </c>
      <c r="E2864" t="s">
        <v>418</v>
      </c>
      <c r="F2864" t="s">
        <v>7</v>
      </c>
      <c r="G2864" t="s">
        <v>130</v>
      </c>
      <c r="H2864" s="1">
        <v>46120</v>
      </c>
      <c r="I2864" t="s">
        <v>3374</v>
      </c>
      <c r="J2864" t="s">
        <v>3375</v>
      </c>
      <c r="K2864" t="s">
        <v>1408</v>
      </c>
      <c r="L2864" t="s">
        <v>486</v>
      </c>
      <c r="M2864" t="s">
        <v>3376</v>
      </c>
      <c r="N2864" s="166">
        <v>17.02</v>
      </c>
      <c r="O2864" t="s">
        <v>131</v>
      </c>
    </row>
    <row r="2865" spans="1:15">
      <c r="A2865" s="166" t="s">
        <v>3377</v>
      </c>
      <c r="B2865" t="s">
        <v>111</v>
      </c>
      <c r="C2865" t="s">
        <v>136</v>
      </c>
      <c r="D2865" t="s">
        <v>116</v>
      </c>
      <c r="E2865" t="s">
        <v>418</v>
      </c>
      <c r="F2865" t="s">
        <v>7</v>
      </c>
      <c r="G2865" t="s">
        <v>130</v>
      </c>
      <c r="H2865" s="1">
        <v>46120</v>
      </c>
      <c r="I2865" t="s">
        <v>3378</v>
      </c>
      <c r="J2865" t="s">
        <v>3379</v>
      </c>
      <c r="K2865" t="s">
        <v>1918</v>
      </c>
      <c r="L2865" t="s">
        <v>622</v>
      </c>
      <c r="M2865" t="s">
        <v>1258</v>
      </c>
      <c r="N2865" s="166">
        <v>19.420000000000002</v>
      </c>
      <c r="O2865" t="s">
        <v>131</v>
      </c>
    </row>
    <row r="2866" spans="1:15">
      <c r="A2866" s="166" t="s">
        <v>3380</v>
      </c>
      <c r="B2866" t="s">
        <v>111</v>
      </c>
      <c r="C2866" t="s">
        <v>134</v>
      </c>
      <c r="D2866" t="s">
        <v>116</v>
      </c>
      <c r="E2866" t="s">
        <v>418</v>
      </c>
      <c r="F2866" t="s">
        <v>7</v>
      </c>
      <c r="G2866" t="s">
        <v>130</v>
      </c>
      <c r="H2866" s="1">
        <v>46120</v>
      </c>
      <c r="I2866" t="s">
        <v>3381</v>
      </c>
      <c r="J2866" t="s">
        <v>3382</v>
      </c>
      <c r="K2866" t="s">
        <v>1442</v>
      </c>
      <c r="L2866" t="s">
        <v>3152</v>
      </c>
      <c r="M2866" t="s">
        <v>3169</v>
      </c>
      <c r="N2866" s="166">
        <v>18.8</v>
      </c>
      <c r="O2866" t="s">
        <v>131</v>
      </c>
    </row>
    <row r="2867" spans="1:15">
      <c r="A2867" s="166" t="s">
        <v>3383</v>
      </c>
      <c r="B2867" t="s">
        <v>111</v>
      </c>
      <c r="C2867" t="s">
        <v>136</v>
      </c>
      <c r="D2867" t="s">
        <v>116</v>
      </c>
      <c r="E2867" t="s">
        <v>418</v>
      </c>
      <c r="F2867" t="s">
        <v>7</v>
      </c>
      <c r="G2867" t="s">
        <v>130</v>
      </c>
      <c r="H2867" s="1">
        <v>46120</v>
      </c>
      <c r="I2867" t="s">
        <v>3384</v>
      </c>
      <c r="J2867" t="s">
        <v>3385</v>
      </c>
      <c r="K2867" t="s">
        <v>1602</v>
      </c>
      <c r="L2867" t="s">
        <v>786</v>
      </c>
      <c r="M2867" t="s">
        <v>2273</v>
      </c>
      <c r="N2867" s="166">
        <v>20.3</v>
      </c>
      <c r="O2867" t="s">
        <v>131</v>
      </c>
    </row>
    <row r="2868" spans="1:15">
      <c r="A2868" s="166" t="s">
        <v>3386</v>
      </c>
      <c r="B2868" t="s">
        <v>111</v>
      </c>
      <c r="C2868" t="s">
        <v>134</v>
      </c>
      <c r="D2868" t="s">
        <v>116</v>
      </c>
      <c r="E2868" t="s">
        <v>418</v>
      </c>
      <c r="F2868" t="s">
        <v>7</v>
      </c>
      <c r="G2868" t="s">
        <v>130</v>
      </c>
      <c r="H2868" s="1">
        <v>46120</v>
      </c>
      <c r="I2868" t="s">
        <v>3387</v>
      </c>
      <c r="J2868" t="s">
        <v>3388</v>
      </c>
      <c r="K2868" t="s">
        <v>3083</v>
      </c>
      <c r="L2868" t="s">
        <v>2024</v>
      </c>
      <c r="M2868" t="s">
        <v>1430</v>
      </c>
      <c r="N2868" s="166">
        <v>18.899999999999999</v>
      </c>
      <c r="O2868" t="s">
        <v>131</v>
      </c>
    </row>
    <row r="2869" spans="1:15">
      <c r="A2869" s="166" t="s">
        <v>3389</v>
      </c>
      <c r="B2869" t="s">
        <v>111</v>
      </c>
      <c r="C2869" t="s">
        <v>133</v>
      </c>
      <c r="D2869" t="s">
        <v>116</v>
      </c>
      <c r="E2869" t="s">
        <v>418</v>
      </c>
      <c r="F2869" t="s">
        <v>7</v>
      </c>
      <c r="G2869" t="s">
        <v>130</v>
      </c>
      <c r="H2869" s="1">
        <v>46120</v>
      </c>
      <c r="I2869" t="s">
        <v>3390</v>
      </c>
      <c r="J2869" t="s">
        <v>3391</v>
      </c>
      <c r="K2869" t="s">
        <v>1309</v>
      </c>
      <c r="L2869" t="s">
        <v>465</v>
      </c>
      <c r="M2869" t="s">
        <v>1830</v>
      </c>
      <c r="N2869" s="166">
        <v>18.52</v>
      </c>
      <c r="O2869" t="s">
        <v>131</v>
      </c>
    </row>
    <row r="2870" spans="1:15">
      <c r="A2870" s="166" t="s">
        <v>3392</v>
      </c>
      <c r="B2870" t="s">
        <v>111</v>
      </c>
      <c r="C2870" t="s">
        <v>134</v>
      </c>
      <c r="D2870" t="s">
        <v>116</v>
      </c>
      <c r="E2870" t="s">
        <v>418</v>
      </c>
      <c r="F2870" t="s">
        <v>7</v>
      </c>
      <c r="G2870" t="s">
        <v>130</v>
      </c>
      <c r="H2870" s="1">
        <v>46120</v>
      </c>
      <c r="I2870" t="s">
        <v>3393</v>
      </c>
      <c r="J2870" t="s">
        <v>3394</v>
      </c>
      <c r="K2870" t="s">
        <v>1210</v>
      </c>
      <c r="L2870" t="s">
        <v>3395</v>
      </c>
      <c r="M2870" t="s">
        <v>596</v>
      </c>
      <c r="N2870" s="166">
        <v>20.36</v>
      </c>
      <c r="O2870" t="s">
        <v>131</v>
      </c>
    </row>
    <row r="2871" spans="1:15">
      <c r="A2871" s="166" t="s">
        <v>3396</v>
      </c>
      <c r="B2871" t="s">
        <v>111</v>
      </c>
      <c r="C2871" t="s">
        <v>133</v>
      </c>
      <c r="D2871" t="s">
        <v>116</v>
      </c>
      <c r="E2871" t="s">
        <v>418</v>
      </c>
      <c r="F2871" t="s">
        <v>7</v>
      </c>
      <c r="G2871" t="s">
        <v>130</v>
      </c>
      <c r="H2871" s="1">
        <v>46120</v>
      </c>
      <c r="I2871" t="s">
        <v>3397</v>
      </c>
      <c r="J2871" t="s">
        <v>3398</v>
      </c>
      <c r="K2871" t="s">
        <v>1810</v>
      </c>
      <c r="L2871" t="s">
        <v>3229</v>
      </c>
      <c r="M2871" t="s">
        <v>1132</v>
      </c>
      <c r="N2871" s="166">
        <v>18.34</v>
      </c>
      <c r="O2871" t="s">
        <v>131</v>
      </c>
    </row>
    <row r="2872" spans="1:15">
      <c r="A2872" s="166" t="s">
        <v>3399</v>
      </c>
      <c r="B2872" t="s">
        <v>111</v>
      </c>
      <c r="C2872" t="s">
        <v>134</v>
      </c>
      <c r="D2872" t="s">
        <v>116</v>
      </c>
      <c r="E2872" t="s">
        <v>418</v>
      </c>
      <c r="F2872" t="s">
        <v>7</v>
      </c>
      <c r="G2872" t="s">
        <v>130</v>
      </c>
      <c r="H2872" s="1">
        <v>46120</v>
      </c>
      <c r="I2872" t="s">
        <v>3400</v>
      </c>
      <c r="J2872" t="s">
        <v>3401</v>
      </c>
      <c r="K2872" t="s">
        <v>214</v>
      </c>
      <c r="L2872" t="s">
        <v>832</v>
      </c>
      <c r="M2872" t="s">
        <v>1233</v>
      </c>
      <c r="N2872" s="166">
        <v>19.86</v>
      </c>
      <c r="O2872" t="s">
        <v>131</v>
      </c>
    </row>
    <row r="2873" spans="1:15">
      <c r="A2873" s="166" t="s">
        <v>3402</v>
      </c>
      <c r="B2873" t="s">
        <v>111</v>
      </c>
      <c r="C2873" t="s">
        <v>133</v>
      </c>
      <c r="D2873" t="s">
        <v>116</v>
      </c>
      <c r="E2873" t="s">
        <v>418</v>
      </c>
      <c r="F2873" t="s">
        <v>7</v>
      </c>
      <c r="G2873" t="s">
        <v>130</v>
      </c>
      <c r="H2873" s="1">
        <v>46120</v>
      </c>
      <c r="I2873" t="s">
        <v>3403</v>
      </c>
      <c r="J2873" t="s">
        <v>3404</v>
      </c>
      <c r="K2873" t="s">
        <v>550</v>
      </c>
      <c r="L2873" t="s">
        <v>1067</v>
      </c>
      <c r="M2873" t="s">
        <v>1404</v>
      </c>
      <c r="N2873" s="166">
        <v>18.579999999999998</v>
      </c>
      <c r="O2873" t="s">
        <v>131</v>
      </c>
    </row>
    <row r="2874" spans="1:15">
      <c r="A2874" s="166" t="s">
        <v>3405</v>
      </c>
      <c r="B2874" t="s">
        <v>111</v>
      </c>
      <c r="C2874" t="s">
        <v>136</v>
      </c>
      <c r="D2874" t="s">
        <v>116</v>
      </c>
      <c r="E2874" t="s">
        <v>418</v>
      </c>
      <c r="F2874" t="s">
        <v>7</v>
      </c>
      <c r="G2874" t="s">
        <v>130</v>
      </c>
      <c r="H2874" s="1">
        <v>46120</v>
      </c>
      <c r="I2874" t="s">
        <v>3406</v>
      </c>
      <c r="J2874" t="s">
        <v>3407</v>
      </c>
      <c r="K2874" t="s">
        <v>1442</v>
      </c>
      <c r="L2874" t="s">
        <v>1101</v>
      </c>
      <c r="M2874" t="s">
        <v>1995</v>
      </c>
      <c r="N2874" s="166">
        <v>19.12</v>
      </c>
      <c r="O2874" t="s">
        <v>131</v>
      </c>
    </row>
    <row r="2875" spans="1:15">
      <c r="A2875" s="166" t="s">
        <v>3408</v>
      </c>
      <c r="B2875" t="s">
        <v>111</v>
      </c>
      <c r="C2875" t="s">
        <v>134</v>
      </c>
      <c r="D2875" t="s">
        <v>116</v>
      </c>
      <c r="E2875" t="s">
        <v>418</v>
      </c>
      <c r="F2875" t="s">
        <v>7</v>
      </c>
      <c r="G2875" t="s">
        <v>130</v>
      </c>
      <c r="H2875" s="1">
        <v>46120</v>
      </c>
      <c r="I2875" t="s">
        <v>3409</v>
      </c>
      <c r="J2875" t="s">
        <v>3410</v>
      </c>
      <c r="K2875" t="s">
        <v>508</v>
      </c>
      <c r="L2875" t="s">
        <v>2816</v>
      </c>
      <c r="M2875" t="s">
        <v>1267</v>
      </c>
      <c r="N2875" s="166">
        <v>19.68</v>
      </c>
      <c r="O2875" t="s">
        <v>131</v>
      </c>
    </row>
    <row r="2876" spans="1:15">
      <c r="A2876" s="166" t="s">
        <v>3411</v>
      </c>
      <c r="B2876" t="s">
        <v>111</v>
      </c>
      <c r="C2876" t="s">
        <v>133</v>
      </c>
      <c r="D2876" t="s">
        <v>116</v>
      </c>
      <c r="E2876" t="s">
        <v>418</v>
      </c>
      <c r="F2876" t="s">
        <v>7</v>
      </c>
      <c r="G2876" t="s">
        <v>130</v>
      </c>
      <c r="H2876" s="1">
        <v>46120</v>
      </c>
      <c r="I2876" t="s">
        <v>3412</v>
      </c>
      <c r="J2876" t="s">
        <v>3413</v>
      </c>
      <c r="K2876" t="s">
        <v>3083</v>
      </c>
      <c r="L2876" t="s">
        <v>1301</v>
      </c>
      <c r="M2876" t="s">
        <v>2316</v>
      </c>
      <c r="N2876" s="166">
        <v>17.32</v>
      </c>
      <c r="O2876" t="s">
        <v>131</v>
      </c>
    </row>
    <row r="2877" spans="1:15">
      <c r="A2877" s="166" t="s">
        <v>3414</v>
      </c>
      <c r="B2877" t="s">
        <v>111</v>
      </c>
      <c r="C2877" t="s">
        <v>136</v>
      </c>
      <c r="D2877" t="s">
        <v>116</v>
      </c>
      <c r="E2877" t="s">
        <v>418</v>
      </c>
      <c r="F2877" t="s">
        <v>7</v>
      </c>
      <c r="G2877" t="s">
        <v>130</v>
      </c>
      <c r="H2877" s="1">
        <v>46120</v>
      </c>
      <c r="I2877" t="s">
        <v>3415</v>
      </c>
      <c r="J2877" t="s">
        <v>3416</v>
      </c>
      <c r="K2877" t="s">
        <v>1549</v>
      </c>
      <c r="L2877" t="s">
        <v>2998</v>
      </c>
      <c r="M2877" t="s">
        <v>791</v>
      </c>
      <c r="N2877" s="166">
        <v>19.079999999999998</v>
      </c>
      <c r="O2877" t="s">
        <v>131</v>
      </c>
    </row>
    <row r="2878" spans="1:15">
      <c r="A2878" s="166" t="s">
        <v>3417</v>
      </c>
      <c r="B2878" t="s">
        <v>111</v>
      </c>
      <c r="C2878" t="s">
        <v>134</v>
      </c>
      <c r="D2878" t="s">
        <v>116</v>
      </c>
      <c r="E2878" t="s">
        <v>418</v>
      </c>
      <c r="F2878" t="s">
        <v>7</v>
      </c>
      <c r="G2878" t="s">
        <v>130</v>
      </c>
      <c r="H2878" s="1">
        <v>46120</v>
      </c>
      <c r="I2878" t="s">
        <v>3418</v>
      </c>
      <c r="J2878" t="s">
        <v>3419</v>
      </c>
      <c r="K2878" t="s">
        <v>638</v>
      </c>
      <c r="L2878" t="s">
        <v>163</v>
      </c>
      <c r="M2878" t="s">
        <v>3420</v>
      </c>
      <c r="N2878" s="166">
        <v>21.56</v>
      </c>
      <c r="O2878" t="s">
        <v>131</v>
      </c>
    </row>
    <row r="2879" spans="1:15">
      <c r="A2879" s="166" t="s">
        <v>3421</v>
      </c>
      <c r="B2879" t="s">
        <v>111</v>
      </c>
      <c r="C2879" t="s">
        <v>133</v>
      </c>
      <c r="D2879" t="s">
        <v>116</v>
      </c>
      <c r="E2879" t="s">
        <v>418</v>
      </c>
      <c r="F2879" t="s">
        <v>7</v>
      </c>
      <c r="G2879" t="s">
        <v>130</v>
      </c>
      <c r="H2879" s="1">
        <v>46120</v>
      </c>
      <c r="I2879" t="s">
        <v>3422</v>
      </c>
      <c r="J2879" t="s">
        <v>3423</v>
      </c>
      <c r="K2879" t="s">
        <v>454</v>
      </c>
      <c r="L2879" t="s">
        <v>1443</v>
      </c>
      <c r="M2879" t="s">
        <v>2090</v>
      </c>
      <c r="N2879" s="166">
        <v>16.62</v>
      </c>
      <c r="O2879" t="s">
        <v>131</v>
      </c>
    </row>
    <row r="2880" spans="1:15">
      <c r="A2880" s="166" t="s">
        <v>3424</v>
      </c>
      <c r="B2880" t="s">
        <v>111</v>
      </c>
      <c r="C2880" t="s">
        <v>136</v>
      </c>
      <c r="D2880" t="s">
        <v>116</v>
      </c>
      <c r="E2880" t="s">
        <v>418</v>
      </c>
      <c r="F2880" t="s">
        <v>7</v>
      </c>
      <c r="G2880" t="s">
        <v>130</v>
      </c>
      <c r="H2880" s="1">
        <v>46120</v>
      </c>
      <c r="I2880" t="s">
        <v>3425</v>
      </c>
      <c r="J2880" t="s">
        <v>3426</v>
      </c>
      <c r="K2880" t="s">
        <v>1420</v>
      </c>
      <c r="L2880" t="s">
        <v>147</v>
      </c>
      <c r="M2880" t="s">
        <v>2678</v>
      </c>
      <c r="N2880" s="166">
        <v>17.82</v>
      </c>
      <c r="O2880" t="s">
        <v>131</v>
      </c>
    </row>
    <row r="2881" spans="1:15">
      <c r="A2881" s="166" t="s">
        <v>3427</v>
      </c>
      <c r="B2881" t="s">
        <v>111</v>
      </c>
      <c r="C2881" t="s">
        <v>134</v>
      </c>
      <c r="D2881" t="s">
        <v>116</v>
      </c>
      <c r="E2881" t="s">
        <v>418</v>
      </c>
      <c r="F2881" t="s">
        <v>7</v>
      </c>
      <c r="G2881" t="s">
        <v>130</v>
      </c>
      <c r="H2881" s="1">
        <v>46120</v>
      </c>
      <c r="I2881" t="s">
        <v>3428</v>
      </c>
      <c r="J2881" t="s">
        <v>3429</v>
      </c>
      <c r="K2881" t="s">
        <v>1818</v>
      </c>
      <c r="L2881" t="s">
        <v>665</v>
      </c>
      <c r="M2881" t="s">
        <v>1108</v>
      </c>
      <c r="N2881" s="166">
        <v>20.64</v>
      </c>
      <c r="O2881" t="s">
        <v>131</v>
      </c>
    </row>
    <row r="2882" spans="1:15">
      <c r="A2882" s="166" t="s">
        <v>3430</v>
      </c>
      <c r="B2882" t="s">
        <v>111</v>
      </c>
      <c r="C2882" t="s">
        <v>133</v>
      </c>
      <c r="D2882" t="s">
        <v>116</v>
      </c>
      <c r="E2882" t="s">
        <v>418</v>
      </c>
      <c r="F2882" t="s">
        <v>7</v>
      </c>
      <c r="G2882" t="s">
        <v>130</v>
      </c>
      <c r="H2882" s="1">
        <v>46120</v>
      </c>
      <c r="I2882" t="s">
        <v>3431</v>
      </c>
      <c r="J2882" t="s">
        <v>3432</v>
      </c>
      <c r="K2882" t="s">
        <v>3433</v>
      </c>
      <c r="L2882" t="s">
        <v>773</v>
      </c>
      <c r="M2882" t="s">
        <v>1062</v>
      </c>
      <c r="N2882" s="166">
        <v>16.600000000000001</v>
      </c>
      <c r="O2882" t="s">
        <v>131</v>
      </c>
    </row>
    <row r="2883" spans="1:15">
      <c r="A2883" s="166" t="s">
        <v>3434</v>
      </c>
      <c r="B2883" t="s">
        <v>111</v>
      </c>
      <c r="C2883" t="s">
        <v>136</v>
      </c>
      <c r="D2883" t="s">
        <v>116</v>
      </c>
      <c r="E2883" t="s">
        <v>418</v>
      </c>
      <c r="F2883" t="s">
        <v>7</v>
      </c>
      <c r="G2883" t="s">
        <v>130</v>
      </c>
      <c r="H2883" s="1">
        <v>46120</v>
      </c>
      <c r="I2883" t="s">
        <v>3435</v>
      </c>
      <c r="J2883" t="s">
        <v>3436</v>
      </c>
      <c r="K2883" t="s">
        <v>2062</v>
      </c>
      <c r="L2883" t="s">
        <v>3437</v>
      </c>
      <c r="M2883" t="s">
        <v>1845</v>
      </c>
      <c r="N2883" s="166">
        <v>16.38</v>
      </c>
      <c r="O2883" t="s">
        <v>131</v>
      </c>
    </row>
    <row r="2884" spans="1:15">
      <c r="A2884" s="166" t="s">
        <v>3438</v>
      </c>
      <c r="B2884" t="s">
        <v>111</v>
      </c>
      <c r="C2884" t="s">
        <v>134</v>
      </c>
      <c r="D2884" t="s">
        <v>116</v>
      </c>
      <c r="E2884" t="s">
        <v>418</v>
      </c>
      <c r="F2884" t="s">
        <v>7</v>
      </c>
      <c r="G2884" t="s">
        <v>130</v>
      </c>
      <c r="H2884" s="1">
        <v>46120</v>
      </c>
      <c r="I2884" t="s">
        <v>3439</v>
      </c>
      <c r="J2884" t="s">
        <v>3440</v>
      </c>
      <c r="K2884" t="s">
        <v>1100</v>
      </c>
      <c r="L2884" t="s">
        <v>3441</v>
      </c>
      <c r="M2884" t="s">
        <v>1577</v>
      </c>
      <c r="N2884" s="166">
        <v>19.22</v>
      </c>
      <c r="O2884" t="s">
        <v>131</v>
      </c>
    </row>
    <row r="2885" spans="1:15">
      <c r="A2885" s="166" t="s">
        <v>3442</v>
      </c>
      <c r="B2885" t="s">
        <v>111</v>
      </c>
      <c r="C2885" t="s">
        <v>133</v>
      </c>
      <c r="D2885" t="s">
        <v>116</v>
      </c>
      <c r="E2885" t="s">
        <v>418</v>
      </c>
      <c r="F2885" t="s">
        <v>7</v>
      </c>
      <c r="G2885" t="s">
        <v>130</v>
      </c>
      <c r="H2885" s="1">
        <v>46120</v>
      </c>
      <c r="I2885" t="s">
        <v>3443</v>
      </c>
      <c r="J2885" t="s">
        <v>3444</v>
      </c>
      <c r="K2885" t="s">
        <v>215</v>
      </c>
      <c r="L2885" t="s">
        <v>634</v>
      </c>
      <c r="M2885" t="s">
        <v>622</v>
      </c>
      <c r="N2885" s="166">
        <v>15.52</v>
      </c>
      <c r="O2885" t="s">
        <v>131</v>
      </c>
    </row>
    <row r="2886" spans="1:15">
      <c r="A2886" s="166" t="s">
        <v>3445</v>
      </c>
      <c r="B2886" t="s">
        <v>111</v>
      </c>
      <c r="C2886" t="s">
        <v>136</v>
      </c>
      <c r="D2886" t="s">
        <v>116</v>
      </c>
      <c r="E2886" t="s">
        <v>418</v>
      </c>
      <c r="F2886" t="s">
        <v>7</v>
      </c>
      <c r="G2886" t="s">
        <v>130</v>
      </c>
      <c r="H2886" s="1">
        <v>46120</v>
      </c>
      <c r="I2886" t="s">
        <v>3446</v>
      </c>
      <c r="J2886" t="s">
        <v>3447</v>
      </c>
      <c r="K2886" t="s">
        <v>644</v>
      </c>
      <c r="L2886" t="s">
        <v>3350</v>
      </c>
      <c r="M2886" t="s">
        <v>623</v>
      </c>
      <c r="N2886" s="166">
        <v>20.86</v>
      </c>
      <c r="O2886" t="s">
        <v>131</v>
      </c>
    </row>
    <row r="2887" spans="1:15">
      <c r="A2887" s="166" t="s">
        <v>3448</v>
      </c>
      <c r="B2887" t="s">
        <v>111</v>
      </c>
      <c r="C2887" t="s">
        <v>134</v>
      </c>
      <c r="D2887" t="s">
        <v>116</v>
      </c>
      <c r="E2887" t="s">
        <v>418</v>
      </c>
      <c r="F2887" t="s">
        <v>7</v>
      </c>
      <c r="G2887" t="s">
        <v>130</v>
      </c>
      <c r="H2887" s="1">
        <v>46120</v>
      </c>
      <c r="I2887" t="s">
        <v>3449</v>
      </c>
      <c r="J2887" t="s">
        <v>3450</v>
      </c>
      <c r="K2887" t="s">
        <v>1606</v>
      </c>
      <c r="L2887" t="s">
        <v>1862</v>
      </c>
      <c r="M2887" t="s">
        <v>579</v>
      </c>
      <c r="N2887" s="166">
        <v>21.22</v>
      </c>
      <c r="O2887" t="s">
        <v>131</v>
      </c>
    </row>
    <row r="2888" spans="1:15">
      <c r="A2888" s="166" t="s">
        <v>3451</v>
      </c>
      <c r="B2888" t="s">
        <v>111</v>
      </c>
      <c r="C2888" t="s">
        <v>133</v>
      </c>
      <c r="D2888" t="s">
        <v>116</v>
      </c>
      <c r="E2888" t="s">
        <v>418</v>
      </c>
      <c r="F2888" t="s">
        <v>7</v>
      </c>
      <c r="G2888" t="s">
        <v>130</v>
      </c>
      <c r="H2888" s="1">
        <v>46120</v>
      </c>
      <c r="I2888" t="s">
        <v>3452</v>
      </c>
      <c r="J2888" t="s">
        <v>3453</v>
      </c>
      <c r="K2888" t="s">
        <v>1472</v>
      </c>
      <c r="L2888" t="s">
        <v>175</v>
      </c>
      <c r="M2888" t="s">
        <v>1257</v>
      </c>
      <c r="N2888" s="166">
        <v>15.2</v>
      </c>
      <c r="O2888" t="s">
        <v>131</v>
      </c>
    </row>
    <row r="2889" spans="1:15">
      <c r="A2889" s="166" t="s">
        <v>3454</v>
      </c>
      <c r="B2889" t="s">
        <v>111</v>
      </c>
      <c r="C2889" t="s">
        <v>136</v>
      </c>
      <c r="D2889" t="s">
        <v>116</v>
      </c>
      <c r="E2889" t="s">
        <v>418</v>
      </c>
      <c r="F2889" t="s">
        <v>7</v>
      </c>
      <c r="G2889" t="s">
        <v>130</v>
      </c>
      <c r="H2889" s="1">
        <v>46120</v>
      </c>
      <c r="I2889" t="s">
        <v>3455</v>
      </c>
      <c r="J2889" t="s">
        <v>3456</v>
      </c>
      <c r="K2889" t="s">
        <v>1144</v>
      </c>
      <c r="L2889" t="s">
        <v>3350</v>
      </c>
      <c r="M2889" t="s">
        <v>1101</v>
      </c>
      <c r="N2889" s="166">
        <v>16.68</v>
      </c>
      <c r="O2889" t="s">
        <v>131</v>
      </c>
    </row>
    <row r="2890" spans="1:15">
      <c r="A2890" s="166" t="s">
        <v>3457</v>
      </c>
      <c r="B2890" t="s">
        <v>111</v>
      </c>
      <c r="C2890" t="s">
        <v>134</v>
      </c>
      <c r="D2890" t="s">
        <v>116</v>
      </c>
      <c r="E2890" t="s">
        <v>418</v>
      </c>
      <c r="F2890" t="s">
        <v>7</v>
      </c>
      <c r="G2890" t="s">
        <v>130</v>
      </c>
      <c r="H2890" s="1">
        <v>46120</v>
      </c>
      <c r="I2890" t="s">
        <v>3458</v>
      </c>
      <c r="J2890" t="s">
        <v>3459</v>
      </c>
      <c r="K2890" t="s">
        <v>1536</v>
      </c>
      <c r="L2890" t="s">
        <v>509</v>
      </c>
      <c r="M2890" t="s">
        <v>428</v>
      </c>
      <c r="N2890" s="166">
        <v>20.96</v>
      </c>
      <c r="O2890" t="s">
        <v>131</v>
      </c>
    </row>
    <row r="2891" spans="1:15">
      <c r="A2891" s="166" t="s">
        <v>3460</v>
      </c>
      <c r="B2891" t="s">
        <v>111</v>
      </c>
      <c r="C2891" t="s">
        <v>133</v>
      </c>
      <c r="D2891" t="s">
        <v>116</v>
      </c>
      <c r="E2891" t="s">
        <v>418</v>
      </c>
      <c r="F2891" t="s">
        <v>7</v>
      </c>
      <c r="G2891" t="s">
        <v>130</v>
      </c>
      <c r="H2891" s="1">
        <v>46120</v>
      </c>
      <c r="I2891" t="s">
        <v>3461</v>
      </c>
      <c r="J2891" t="s">
        <v>3462</v>
      </c>
      <c r="K2891" t="s">
        <v>766</v>
      </c>
      <c r="L2891" t="s">
        <v>575</v>
      </c>
      <c r="M2891" t="s">
        <v>616</v>
      </c>
      <c r="N2891" s="166">
        <v>15.68</v>
      </c>
      <c r="O2891" t="s">
        <v>131</v>
      </c>
    </row>
    <row r="2892" spans="1:15">
      <c r="A2892" s="166" t="s">
        <v>3463</v>
      </c>
      <c r="B2892" t="s">
        <v>111</v>
      </c>
      <c r="C2892" t="s">
        <v>136</v>
      </c>
      <c r="D2892" t="s">
        <v>116</v>
      </c>
      <c r="E2892" t="s">
        <v>418</v>
      </c>
      <c r="F2892" t="s">
        <v>7</v>
      </c>
      <c r="G2892" t="s">
        <v>130</v>
      </c>
      <c r="H2892" s="1">
        <v>46120</v>
      </c>
      <c r="I2892" t="s">
        <v>3464</v>
      </c>
      <c r="J2892" t="s">
        <v>3465</v>
      </c>
      <c r="K2892" t="s">
        <v>206</v>
      </c>
      <c r="L2892" t="s">
        <v>2531</v>
      </c>
      <c r="M2892" t="s">
        <v>1315</v>
      </c>
      <c r="N2892" s="166">
        <v>19.28</v>
      </c>
      <c r="O2892" t="s">
        <v>131</v>
      </c>
    </row>
    <row r="2893" spans="1:15">
      <c r="A2893" s="166" t="s">
        <v>3466</v>
      </c>
      <c r="B2893" t="s">
        <v>111</v>
      </c>
      <c r="C2893" t="s">
        <v>134</v>
      </c>
      <c r="D2893" t="s">
        <v>116</v>
      </c>
      <c r="E2893" t="s">
        <v>418</v>
      </c>
      <c r="F2893" t="s">
        <v>7</v>
      </c>
      <c r="G2893" t="s">
        <v>130</v>
      </c>
      <c r="H2893" s="1">
        <v>46120</v>
      </c>
      <c r="I2893" t="s">
        <v>3467</v>
      </c>
      <c r="J2893" t="s">
        <v>3468</v>
      </c>
      <c r="K2893" t="s">
        <v>589</v>
      </c>
      <c r="L2893" t="s">
        <v>3075</v>
      </c>
      <c r="M2893" t="s">
        <v>1819</v>
      </c>
      <c r="N2893" s="166">
        <v>20.62</v>
      </c>
      <c r="O2893" t="s">
        <v>131</v>
      </c>
    </row>
    <row r="2894" spans="1:15">
      <c r="A2894" s="166" t="s">
        <v>3469</v>
      </c>
      <c r="B2894" t="s">
        <v>111</v>
      </c>
      <c r="C2894" t="s">
        <v>133</v>
      </c>
      <c r="D2894" t="s">
        <v>116</v>
      </c>
      <c r="E2894" t="s">
        <v>418</v>
      </c>
      <c r="F2894" t="s">
        <v>7</v>
      </c>
      <c r="G2894" t="s">
        <v>130</v>
      </c>
      <c r="H2894" s="1">
        <v>46120</v>
      </c>
      <c r="I2894" t="s">
        <v>3470</v>
      </c>
      <c r="J2894" t="s">
        <v>3471</v>
      </c>
      <c r="K2894" t="s">
        <v>755</v>
      </c>
      <c r="L2894" t="s">
        <v>1090</v>
      </c>
      <c r="M2894" t="s">
        <v>2267</v>
      </c>
      <c r="N2894" s="166">
        <v>16.12</v>
      </c>
      <c r="O2894" t="s">
        <v>131</v>
      </c>
    </row>
    <row r="2895" spans="1:15">
      <c r="A2895" s="166" t="s">
        <v>3472</v>
      </c>
      <c r="B2895" t="s">
        <v>111</v>
      </c>
      <c r="C2895" t="s">
        <v>136</v>
      </c>
      <c r="D2895" t="s">
        <v>116</v>
      </c>
      <c r="E2895" t="s">
        <v>418</v>
      </c>
      <c r="F2895" t="s">
        <v>6</v>
      </c>
      <c r="G2895" t="s">
        <v>130</v>
      </c>
      <c r="H2895" s="1">
        <v>46120</v>
      </c>
      <c r="I2895" t="s">
        <v>3473</v>
      </c>
      <c r="J2895" t="s">
        <v>3474</v>
      </c>
      <c r="K2895" t="s">
        <v>3475</v>
      </c>
      <c r="L2895" t="s">
        <v>2652</v>
      </c>
      <c r="M2895" t="s">
        <v>2127</v>
      </c>
      <c r="N2895" s="166">
        <v>16.14</v>
      </c>
      <c r="O2895" t="s">
        <v>131</v>
      </c>
    </row>
    <row r="2896" spans="1:15">
      <c r="A2896" s="166" t="s">
        <v>3476</v>
      </c>
      <c r="B2896" t="s">
        <v>111</v>
      </c>
      <c r="C2896" t="s">
        <v>133</v>
      </c>
      <c r="D2896" t="s">
        <v>116</v>
      </c>
      <c r="E2896" t="s">
        <v>418</v>
      </c>
      <c r="F2896" t="s">
        <v>6</v>
      </c>
      <c r="G2896" t="s">
        <v>130</v>
      </c>
      <c r="H2896" s="1">
        <v>46120</v>
      </c>
      <c r="I2896" t="s">
        <v>3477</v>
      </c>
      <c r="J2896" t="s">
        <v>3478</v>
      </c>
      <c r="K2896" t="s">
        <v>3479</v>
      </c>
      <c r="L2896" t="s">
        <v>434</v>
      </c>
      <c r="M2896" t="s">
        <v>1662</v>
      </c>
      <c r="N2896" s="166">
        <v>16.02</v>
      </c>
      <c r="O2896" t="s">
        <v>131</v>
      </c>
    </row>
    <row r="2897" spans="1:15">
      <c r="A2897" s="166" t="s">
        <v>3480</v>
      </c>
      <c r="B2897" t="s">
        <v>111</v>
      </c>
      <c r="C2897" t="s">
        <v>134</v>
      </c>
      <c r="D2897" t="s">
        <v>116</v>
      </c>
      <c r="E2897" t="s">
        <v>418</v>
      </c>
      <c r="F2897" t="s">
        <v>6</v>
      </c>
      <c r="G2897" t="s">
        <v>130</v>
      </c>
      <c r="H2897" s="1">
        <v>46120</v>
      </c>
      <c r="I2897" t="s">
        <v>3481</v>
      </c>
      <c r="J2897" t="s">
        <v>3482</v>
      </c>
      <c r="K2897" t="s">
        <v>545</v>
      </c>
      <c r="L2897" t="s">
        <v>3483</v>
      </c>
      <c r="M2897" t="s">
        <v>3484</v>
      </c>
      <c r="N2897" s="166">
        <v>19.98</v>
      </c>
      <c r="O2897" t="s">
        <v>131</v>
      </c>
    </row>
    <row r="2898" spans="1:15">
      <c r="A2898" s="166" t="s">
        <v>3485</v>
      </c>
      <c r="B2898" t="s">
        <v>111</v>
      </c>
      <c r="C2898" t="s">
        <v>136</v>
      </c>
      <c r="D2898" t="s">
        <v>116</v>
      </c>
      <c r="E2898" t="s">
        <v>418</v>
      </c>
      <c r="F2898" t="s">
        <v>6</v>
      </c>
      <c r="G2898" t="s">
        <v>130</v>
      </c>
      <c r="H2898" s="1">
        <v>46120</v>
      </c>
      <c r="I2898" t="s">
        <v>3486</v>
      </c>
      <c r="J2898" t="s">
        <v>3487</v>
      </c>
      <c r="K2898" t="s">
        <v>2326</v>
      </c>
      <c r="L2898" t="s">
        <v>2652</v>
      </c>
      <c r="M2898" t="s">
        <v>1252</v>
      </c>
      <c r="N2898" s="166">
        <v>18.36</v>
      </c>
      <c r="O2898" t="s">
        <v>131</v>
      </c>
    </row>
    <row r="2899" spans="1:15">
      <c r="A2899" s="166" t="s">
        <v>3488</v>
      </c>
      <c r="B2899" t="s">
        <v>111</v>
      </c>
      <c r="C2899" t="s">
        <v>133</v>
      </c>
      <c r="D2899" t="s">
        <v>116</v>
      </c>
      <c r="E2899" t="s">
        <v>418</v>
      </c>
      <c r="F2899" t="s">
        <v>6</v>
      </c>
      <c r="G2899" t="s">
        <v>130</v>
      </c>
      <c r="H2899" s="1">
        <v>46120</v>
      </c>
      <c r="I2899" t="s">
        <v>3489</v>
      </c>
      <c r="J2899" t="s">
        <v>3490</v>
      </c>
      <c r="K2899" t="s">
        <v>540</v>
      </c>
      <c r="L2899" t="s">
        <v>2599</v>
      </c>
      <c r="M2899" t="s">
        <v>3491</v>
      </c>
      <c r="N2899" s="166">
        <v>18.940000000000001</v>
      </c>
      <c r="O2899" t="s">
        <v>131</v>
      </c>
    </row>
    <row r="2900" spans="1:15">
      <c r="A2900" s="166" t="s">
        <v>3492</v>
      </c>
      <c r="B2900" t="s">
        <v>111</v>
      </c>
      <c r="C2900" t="s">
        <v>134</v>
      </c>
      <c r="D2900" t="s">
        <v>116</v>
      </c>
      <c r="E2900" t="s">
        <v>418</v>
      </c>
      <c r="F2900" t="s">
        <v>6</v>
      </c>
      <c r="G2900" t="s">
        <v>130</v>
      </c>
      <c r="H2900" s="1">
        <v>46120</v>
      </c>
      <c r="I2900" t="s">
        <v>3493</v>
      </c>
      <c r="J2900" t="s">
        <v>3494</v>
      </c>
      <c r="K2900" t="s">
        <v>545</v>
      </c>
      <c r="L2900" t="s">
        <v>3483</v>
      </c>
      <c r="M2900" t="s">
        <v>3484</v>
      </c>
      <c r="N2900" s="166">
        <v>19.98</v>
      </c>
      <c r="O2900" t="s">
        <v>131</v>
      </c>
    </row>
    <row r="2901" spans="1:15">
      <c r="A2901" s="166" t="s">
        <v>3495</v>
      </c>
      <c r="B2901" t="s">
        <v>111</v>
      </c>
      <c r="C2901" t="s">
        <v>136</v>
      </c>
      <c r="D2901" t="s">
        <v>116</v>
      </c>
      <c r="E2901" t="s">
        <v>418</v>
      </c>
      <c r="F2901" t="s">
        <v>6</v>
      </c>
      <c r="G2901" t="s">
        <v>130</v>
      </c>
      <c r="H2901" s="1">
        <v>46120</v>
      </c>
      <c r="I2901" t="s">
        <v>3496</v>
      </c>
      <c r="J2901" t="s">
        <v>3497</v>
      </c>
      <c r="K2901" t="s">
        <v>1933</v>
      </c>
      <c r="L2901" t="s">
        <v>3350</v>
      </c>
      <c r="M2901" t="s">
        <v>3192</v>
      </c>
      <c r="N2901" s="166">
        <v>17.16</v>
      </c>
      <c r="O2901" t="s">
        <v>131</v>
      </c>
    </row>
    <row r="2902" spans="1:15">
      <c r="A2902" s="166" t="s">
        <v>3498</v>
      </c>
      <c r="B2902" t="s">
        <v>111</v>
      </c>
      <c r="C2902" t="s">
        <v>133</v>
      </c>
      <c r="D2902" t="s">
        <v>116</v>
      </c>
      <c r="E2902" t="s">
        <v>418</v>
      </c>
      <c r="F2902" t="s">
        <v>6</v>
      </c>
      <c r="G2902" t="s">
        <v>130</v>
      </c>
      <c r="H2902" s="1">
        <v>46120</v>
      </c>
      <c r="I2902" t="s">
        <v>3499</v>
      </c>
      <c r="J2902" t="s">
        <v>3500</v>
      </c>
      <c r="K2902" t="s">
        <v>1906</v>
      </c>
      <c r="L2902" t="s">
        <v>1114</v>
      </c>
      <c r="M2902" t="s">
        <v>3501</v>
      </c>
      <c r="N2902" s="166">
        <v>17.100000000000001</v>
      </c>
      <c r="O2902" t="s">
        <v>131</v>
      </c>
    </row>
    <row r="2903" spans="1:15">
      <c r="A2903" s="166" t="s">
        <v>3502</v>
      </c>
      <c r="B2903" t="s">
        <v>111</v>
      </c>
      <c r="C2903" t="s">
        <v>134</v>
      </c>
      <c r="D2903" t="s">
        <v>116</v>
      </c>
      <c r="E2903" t="s">
        <v>418</v>
      </c>
      <c r="F2903" t="s">
        <v>6</v>
      </c>
      <c r="G2903" t="s">
        <v>130</v>
      </c>
      <c r="H2903" s="1">
        <v>46120</v>
      </c>
      <c r="I2903" t="s">
        <v>3503</v>
      </c>
      <c r="J2903" t="s">
        <v>3504</v>
      </c>
      <c r="K2903" t="s">
        <v>760</v>
      </c>
      <c r="L2903" t="s">
        <v>3483</v>
      </c>
      <c r="M2903" t="s">
        <v>1587</v>
      </c>
      <c r="N2903" s="166">
        <v>20.5</v>
      </c>
      <c r="O2903" t="s">
        <v>131</v>
      </c>
    </row>
    <row r="2904" spans="1:15">
      <c r="A2904" s="166" t="s">
        <v>3505</v>
      </c>
      <c r="B2904" t="s">
        <v>111</v>
      </c>
      <c r="C2904" t="s">
        <v>136</v>
      </c>
      <c r="D2904" t="s">
        <v>116</v>
      </c>
      <c r="E2904" t="s">
        <v>418</v>
      </c>
      <c r="F2904" t="s">
        <v>6</v>
      </c>
      <c r="G2904" t="s">
        <v>130</v>
      </c>
      <c r="H2904" s="1">
        <v>46120</v>
      </c>
      <c r="I2904" t="s">
        <v>3506</v>
      </c>
      <c r="J2904" t="s">
        <v>3507</v>
      </c>
      <c r="K2904" t="s">
        <v>2585</v>
      </c>
      <c r="L2904" t="s">
        <v>2532</v>
      </c>
      <c r="M2904" t="s">
        <v>2116</v>
      </c>
      <c r="N2904" s="166">
        <v>20.46</v>
      </c>
      <c r="O2904" t="s">
        <v>131</v>
      </c>
    </row>
    <row r="2905" spans="1:15">
      <c r="A2905" s="166" t="s">
        <v>3508</v>
      </c>
      <c r="B2905" t="s">
        <v>111</v>
      </c>
      <c r="C2905" t="s">
        <v>133</v>
      </c>
      <c r="D2905" t="s">
        <v>116</v>
      </c>
      <c r="E2905" t="s">
        <v>418</v>
      </c>
      <c r="F2905" t="s">
        <v>6</v>
      </c>
      <c r="G2905" t="s">
        <v>130</v>
      </c>
      <c r="H2905" s="1">
        <v>46120</v>
      </c>
      <c r="I2905" t="s">
        <v>3509</v>
      </c>
      <c r="J2905" t="s">
        <v>3510</v>
      </c>
      <c r="K2905" t="s">
        <v>3083</v>
      </c>
      <c r="L2905" t="s">
        <v>2024</v>
      </c>
      <c r="M2905" t="s">
        <v>1430</v>
      </c>
      <c r="N2905" s="166">
        <v>18.899999999999999</v>
      </c>
      <c r="O2905" t="s">
        <v>131</v>
      </c>
    </row>
    <row r="2906" spans="1:15">
      <c r="A2906" s="166" t="s">
        <v>3511</v>
      </c>
      <c r="B2906" t="s">
        <v>111</v>
      </c>
      <c r="C2906" t="s">
        <v>134</v>
      </c>
      <c r="D2906" t="s">
        <v>116</v>
      </c>
      <c r="E2906" t="s">
        <v>418</v>
      </c>
      <c r="F2906" t="s">
        <v>6</v>
      </c>
      <c r="G2906" t="s">
        <v>130</v>
      </c>
      <c r="H2906" s="1">
        <v>46120</v>
      </c>
      <c r="I2906" t="s">
        <v>3512</v>
      </c>
      <c r="J2906" t="s">
        <v>3513</v>
      </c>
      <c r="K2906" t="s">
        <v>470</v>
      </c>
      <c r="L2906" t="s">
        <v>1823</v>
      </c>
      <c r="M2906" t="s">
        <v>1778</v>
      </c>
      <c r="N2906" s="166">
        <v>19.8</v>
      </c>
      <c r="O2906" t="s">
        <v>131</v>
      </c>
    </row>
    <row r="2907" spans="1:15">
      <c r="A2907" s="166" t="s">
        <v>3514</v>
      </c>
      <c r="B2907" t="s">
        <v>111</v>
      </c>
      <c r="C2907" t="s">
        <v>136</v>
      </c>
      <c r="D2907" t="s">
        <v>116</v>
      </c>
      <c r="E2907" t="s">
        <v>418</v>
      </c>
      <c r="F2907" t="s">
        <v>6</v>
      </c>
      <c r="G2907" t="s">
        <v>130</v>
      </c>
      <c r="H2907" s="1">
        <v>46120</v>
      </c>
      <c r="I2907" t="s">
        <v>3515</v>
      </c>
      <c r="J2907" t="s">
        <v>3516</v>
      </c>
      <c r="K2907" t="s">
        <v>1749</v>
      </c>
      <c r="L2907" t="s">
        <v>2532</v>
      </c>
      <c r="M2907" t="s">
        <v>3517</v>
      </c>
      <c r="N2907" s="166">
        <v>17.059999999999999</v>
      </c>
      <c r="O2907" t="s">
        <v>131</v>
      </c>
    </row>
    <row r="2908" spans="1:15">
      <c r="A2908" s="166" t="s">
        <v>3518</v>
      </c>
      <c r="B2908" t="s">
        <v>111</v>
      </c>
      <c r="C2908" t="s">
        <v>133</v>
      </c>
      <c r="D2908" t="s">
        <v>116</v>
      </c>
      <c r="E2908" t="s">
        <v>418</v>
      </c>
      <c r="F2908" t="s">
        <v>6</v>
      </c>
      <c r="G2908" t="s">
        <v>130</v>
      </c>
      <c r="H2908" s="1">
        <v>46120</v>
      </c>
      <c r="I2908" t="s">
        <v>3519</v>
      </c>
      <c r="J2908" t="s">
        <v>3520</v>
      </c>
      <c r="K2908" t="s">
        <v>1429</v>
      </c>
      <c r="L2908" t="s">
        <v>2091</v>
      </c>
      <c r="M2908" t="s">
        <v>3040</v>
      </c>
      <c r="N2908" s="166">
        <v>16.739999999999998</v>
      </c>
      <c r="O2908" t="s">
        <v>131</v>
      </c>
    </row>
    <row r="2909" spans="1:15">
      <c r="A2909" s="166" t="s">
        <v>3521</v>
      </c>
      <c r="B2909" t="s">
        <v>111</v>
      </c>
      <c r="C2909" t="s">
        <v>134</v>
      </c>
      <c r="D2909" t="s">
        <v>116</v>
      </c>
      <c r="E2909" t="s">
        <v>418</v>
      </c>
      <c r="F2909" t="s">
        <v>6</v>
      </c>
      <c r="G2909" t="s">
        <v>130</v>
      </c>
      <c r="H2909" s="1">
        <v>46120</v>
      </c>
      <c r="I2909" t="s">
        <v>3522</v>
      </c>
      <c r="J2909" t="s">
        <v>3523</v>
      </c>
      <c r="K2909" t="s">
        <v>3524</v>
      </c>
      <c r="L2909" t="s">
        <v>2523</v>
      </c>
      <c r="M2909" t="s">
        <v>1778</v>
      </c>
      <c r="N2909" s="166">
        <v>19.8</v>
      </c>
      <c r="O2909" t="s">
        <v>131</v>
      </c>
    </row>
    <row r="2910" spans="1:15">
      <c r="A2910" s="166" t="s">
        <v>3525</v>
      </c>
      <c r="B2910" t="s">
        <v>111</v>
      </c>
      <c r="C2910" t="s">
        <v>136</v>
      </c>
      <c r="D2910" t="s">
        <v>116</v>
      </c>
      <c r="E2910" t="s">
        <v>418</v>
      </c>
      <c r="F2910" t="s">
        <v>6</v>
      </c>
      <c r="G2910" t="s">
        <v>130</v>
      </c>
      <c r="H2910" s="1">
        <v>46120</v>
      </c>
      <c r="I2910" t="s">
        <v>3526</v>
      </c>
      <c r="J2910" t="s">
        <v>3527</v>
      </c>
      <c r="K2910" t="s">
        <v>1363</v>
      </c>
      <c r="L2910" t="s">
        <v>2004</v>
      </c>
      <c r="M2910" t="s">
        <v>3040</v>
      </c>
      <c r="N2910" s="166">
        <v>16.739999999999998</v>
      </c>
      <c r="O2910" t="s">
        <v>131</v>
      </c>
    </row>
    <row r="2911" spans="1:15">
      <c r="A2911" s="166" t="s">
        <v>3528</v>
      </c>
      <c r="B2911" t="s">
        <v>111</v>
      </c>
      <c r="C2911" t="s">
        <v>133</v>
      </c>
      <c r="D2911" t="s">
        <v>116</v>
      </c>
      <c r="E2911" t="s">
        <v>418</v>
      </c>
      <c r="F2911" t="s">
        <v>6</v>
      </c>
      <c r="G2911" t="s">
        <v>130</v>
      </c>
      <c r="H2911" s="1">
        <v>46120</v>
      </c>
      <c r="I2911" t="s">
        <v>3529</v>
      </c>
      <c r="J2911" t="s">
        <v>3530</v>
      </c>
      <c r="K2911" t="s">
        <v>1774</v>
      </c>
      <c r="L2911" t="s">
        <v>2075</v>
      </c>
      <c r="M2911" t="s">
        <v>2545</v>
      </c>
      <c r="N2911" s="166">
        <v>17.18</v>
      </c>
      <c r="O2911" t="s">
        <v>131</v>
      </c>
    </row>
    <row r="2912" spans="1:15">
      <c r="A2912" s="166" t="s">
        <v>3531</v>
      </c>
      <c r="B2912" t="s">
        <v>111</v>
      </c>
      <c r="C2912" t="s">
        <v>134</v>
      </c>
      <c r="D2912" t="s">
        <v>116</v>
      </c>
      <c r="E2912" t="s">
        <v>418</v>
      </c>
      <c r="F2912" t="s">
        <v>6</v>
      </c>
      <c r="G2912" t="s">
        <v>130</v>
      </c>
      <c r="H2912" s="1">
        <v>46120</v>
      </c>
      <c r="I2912" t="s">
        <v>3532</v>
      </c>
      <c r="J2912" t="s">
        <v>3533</v>
      </c>
      <c r="K2912" t="s">
        <v>540</v>
      </c>
      <c r="L2912" t="s">
        <v>3268</v>
      </c>
      <c r="M2912" t="s">
        <v>3534</v>
      </c>
      <c r="N2912" s="166">
        <v>18.739999999999998</v>
      </c>
      <c r="O2912" t="s">
        <v>131</v>
      </c>
    </row>
    <row r="2913" spans="1:15">
      <c r="A2913" s="166" t="s">
        <v>3535</v>
      </c>
      <c r="B2913" t="s">
        <v>111</v>
      </c>
      <c r="C2913" t="s">
        <v>136</v>
      </c>
      <c r="D2913" t="s">
        <v>116</v>
      </c>
      <c r="E2913" t="s">
        <v>418</v>
      </c>
      <c r="F2913" t="s">
        <v>6</v>
      </c>
      <c r="G2913" t="s">
        <v>130</v>
      </c>
      <c r="H2913" s="1">
        <v>46120</v>
      </c>
      <c r="I2913" t="s">
        <v>3536</v>
      </c>
      <c r="J2913" t="s">
        <v>3537</v>
      </c>
      <c r="K2913" t="s">
        <v>3538</v>
      </c>
      <c r="L2913" t="s">
        <v>3295</v>
      </c>
      <c r="M2913" t="s">
        <v>1573</v>
      </c>
      <c r="N2913" s="166">
        <v>18.32</v>
      </c>
      <c r="O2913" t="s">
        <v>131</v>
      </c>
    </row>
    <row r="2914" spans="1:15">
      <c r="A2914" s="166" t="s">
        <v>3539</v>
      </c>
      <c r="B2914" t="s">
        <v>111</v>
      </c>
      <c r="C2914" t="s">
        <v>133</v>
      </c>
      <c r="D2914" t="s">
        <v>116</v>
      </c>
      <c r="E2914" t="s">
        <v>418</v>
      </c>
      <c r="F2914" t="s">
        <v>6</v>
      </c>
      <c r="G2914" t="s">
        <v>130</v>
      </c>
      <c r="H2914" s="1">
        <v>46120</v>
      </c>
      <c r="I2914" t="s">
        <v>3540</v>
      </c>
      <c r="J2914" t="s">
        <v>3541</v>
      </c>
      <c r="K2914" t="s">
        <v>1337</v>
      </c>
      <c r="L2914" t="s">
        <v>3542</v>
      </c>
      <c r="M2914" t="s">
        <v>1177</v>
      </c>
      <c r="N2914" s="166">
        <v>16.64</v>
      </c>
      <c r="O2914" t="s">
        <v>131</v>
      </c>
    </row>
    <row r="2915" spans="1:15">
      <c r="A2915" s="166" t="s">
        <v>3543</v>
      </c>
      <c r="B2915" t="s">
        <v>111</v>
      </c>
      <c r="C2915" t="s">
        <v>134</v>
      </c>
      <c r="D2915" t="s">
        <v>116</v>
      </c>
      <c r="E2915" t="s">
        <v>418</v>
      </c>
      <c r="F2915" t="s">
        <v>6</v>
      </c>
      <c r="G2915" t="s">
        <v>130</v>
      </c>
      <c r="H2915" s="1">
        <v>46120</v>
      </c>
      <c r="I2915" t="s">
        <v>3544</v>
      </c>
      <c r="J2915" t="s">
        <v>3545</v>
      </c>
      <c r="K2915" t="s">
        <v>3546</v>
      </c>
      <c r="L2915" t="s">
        <v>149</v>
      </c>
      <c r="M2915" t="s">
        <v>791</v>
      </c>
      <c r="N2915" s="166">
        <v>19.079999999999998</v>
      </c>
      <c r="O2915" t="s">
        <v>131</v>
      </c>
    </row>
    <row r="2916" spans="1:15">
      <c r="A2916" s="166" t="s">
        <v>3547</v>
      </c>
      <c r="B2916" t="s">
        <v>111</v>
      </c>
      <c r="C2916" t="s">
        <v>136</v>
      </c>
      <c r="D2916" t="s">
        <v>116</v>
      </c>
      <c r="E2916" t="s">
        <v>418</v>
      </c>
      <c r="F2916" t="s">
        <v>6</v>
      </c>
      <c r="G2916" t="s">
        <v>130</v>
      </c>
      <c r="H2916" s="1">
        <v>46120</v>
      </c>
      <c r="I2916" t="s">
        <v>3548</v>
      </c>
      <c r="J2916" t="s">
        <v>3549</v>
      </c>
      <c r="K2916" t="s">
        <v>1100</v>
      </c>
      <c r="L2916" t="s">
        <v>1862</v>
      </c>
      <c r="M2916" t="s">
        <v>1333</v>
      </c>
      <c r="N2916" s="166">
        <v>19.14</v>
      </c>
      <c r="O2916" t="s">
        <v>131</v>
      </c>
    </row>
    <row r="2917" spans="1:15">
      <c r="A2917" s="166" t="s">
        <v>3550</v>
      </c>
      <c r="B2917" t="s">
        <v>111</v>
      </c>
      <c r="C2917" t="s">
        <v>133</v>
      </c>
      <c r="D2917" t="s">
        <v>116</v>
      </c>
      <c r="E2917" t="s">
        <v>418</v>
      </c>
      <c r="F2917" t="s">
        <v>6</v>
      </c>
      <c r="G2917" t="s">
        <v>130</v>
      </c>
      <c r="H2917" s="1">
        <v>46120</v>
      </c>
      <c r="I2917" t="s">
        <v>3551</v>
      </c>
      <c r="J2917" t="s">
        <v>3552</v>
      </c>
      <c r="K2917" t="s">
        <v>3553</v>
      </c>
      <c r="L2917" t="s">
        <v>1484</v>
      </c>
      <c r="M2917" t="s">
        <v>1150</v>
      </c>
      <c r="N2917" s="166">
        <v>18.86</v>
      </c>
      <c r="O2917" t="s">
        <v>131</v>
      </c>
    </row>
    <row r="2918" spans="1:15">
      <c r="A2918" s="166" t="s">
        <v>3554</v>
      </c>
      <c r="B2918" t="s">
        <v>111</v>
      </c>
      <c r="C2918" t="s">
        <v>134</v>
      </c>
      <c r="D2918" t="s">
        <v>116</v>
      </c>
      <c r="E2918" t="s">
        <v>418</v>
      </c>
      <c r="F2918" t="s">
        <v>6</v>
      </c>
      <c r="G2918" t="s">
        <v>130</v>
      </c>
      <c r="H2918" s="1">
        <v>46120</v>
      </c>
      <c r="I2918" t="s">
        <v>3555</v>
      </c>
      <c r="J2918" t="s">
        <v>3556</v>
      </c>
      <c r="K2918" t="s">
        <v>1918</v>
      </c>
      <c r="L2918" t="s">
        <v>2004</v>
      </c>
      <c r="M2918" t="s">
        <v>1394</v>
      </c>
      <c r="N2918" s="166">
        <v>18.96</v>
      </c>
      <c r="O2918" t="s">
        <v>131</v>
      </c>
    </row>
    <row r="2919" spans="1:15">
      <c r="A2919" s="166" t="s">
        <v>3557</v>
      </c>
      <c r="B2919" t="s">
        <v>111</v>
      </c>
      <c r="C2919" t="s">
        <v>136</v>
      </c>
      <c r="D2919" t="s">
        <v>116</v>
      </c>
      <c r="E2919" t="s">
        <v>418</v>
      </c>
      <c r="F2919" t="s">
        <v>6</v>
      </c>
      <c r="G2919" t="s">
        <v>130</v>
      </c>
      <c r="H2919" s="1">
        <v>46120</v>
      </c>
      <c r="I2919" t="s">
        <v>3558</v>
      </c>
      <c r="J2919" t="s">
        <v>3559</v>
      </c>
      <c r="K2919" t="s">
        <v>2576</v>
      </c>
      <c r="L2919" t="s">
        <v>2603</v>
      </c>
      <c r="M2919" t="s">
        <v>3192</v>
      </c>
      <c r="N2919" s="166">
        <v>17.16</v>
      </c>
      <c r="O2919" t="s">
        <v>131</v>
      </c>
    </row>
    <row r="2920" spans="1:15">
      <c r="A2920" s="166" t="s">
        <v>3560</v>
      </c>
      <c r="B2920" t="s">
        <v>111</v>
      </c>
      <c r="C2920" t="s">
        <v>133</v>
      </c>
      <c r="D2920" t="s">
        <v>116</v>
      </c>
      <c r="E2920" t="s">
        <v>418</v>
      </c>
      <c r="F2920" t="s">
        <v>6</v>
      </c>
      <c r="G2920" t="s">
        <v>130</v>
      </c>
      <c r="H2920" s="1">
        <v>46120</v>
      </c>
      <c r="I2920" t="s">
        <v>3561</v>
      </c>
      <c r="J2920" t="s">
        <v>3562</v>
      </c>
      <c r="K2920" t="s">
        <v>3524</v>
      </c>
      <c r="L2920" t="s">
        <v>601</v>
      </c>
      <c r="M2920" t="s">
        <v>1076</v>
      </c>
      <c r="N2920" s="166">
        <v>15.84</v>
      </c>
      <c r="O2920" t="s">
        <v>131</v>
      </c>
    </row>
    <row r="2921" spans="1:15">
      <c r="A2921" s="166" t="s">
        <v>3563</v>
      </c>
      <c r="B2921" t="s">
        <v>111</v>
      </c>
      <c r="C2921" t="s">
        <v>134</v>
      </c>
      <c r="D2921" t="s">
        <v>116</v>
      </c>
      <c r="E2921" t="s">
        <v>418</v>
      </c>
      <c r="F2921" t="s">
        <v>6</v>
      </c>
      <c r="G2921" t="s">
        <v>130</v>
      </c>
      <c r="H2921" s="1">
        <v>46120</v>
      </c>
      <c r="I2921" t="s">
        <v>3564</v>
      </c>
      <c r="J2921" t="s">
        <v>3565</v>
      </c>
      <c r="K2921" t="s">
        <v>480</v>
      </c>
      <c r="L2921" t="s">
        <v>2127</v>
      </c>
      <c r="M2921" t="s">
        <v>1701</v>
      </c>
      <c r="N2921" s="166">
        <v>21.14</v>
      </c>
      <c r="O2921" t="s">
        <v>131</v>
      </c>
    </row>
    <row r="2922" spans="1:15">
      <c r="A2922" s="166" t="s">
        <v>3566</v>
      </c>
      <c r="B2922" t="s">
        <v>111</v>
      </c>
      <c r="C2922" t="s">
        <v>136</v>
      </c>
      <c r="D2922" t="s">
        <v>116</v>
      </c>
      <c r="E2922" t="s">
        <v>418</v>
      </c>
      <c r="F2922" t="s">
        <v>6</v>
      </c>
      <c r="G2922" t="s">
        <v>130</v>
      </c>
      <c r="H2922" s="1">
        <v>46120</v>
      </c>
      <c r="I2922" t="s">
        <v>3567</v>
      </c>
      <c r="J2922" t="s">
        <v>3568</v>
      </c>
      <c r="K2922" t="s">
        <v>448</v>
      </c>
      <c r="L2922" t="s">
        <v>3173</v>
      </c>
      <c r="M2922" t="s">
        <v>1267</v>
      </c>
      <c r="N2922" s="166">
        <v>19.68</v>
      </c>
      <c r="O2922" t="s">
        <v>131</v>
      </c>
    </row>
    <row r="2923" spans="1:15">
      <c r="A2923" s="166" t="s">
        <v>3569</v>
      </c>
      <c r="B2923" t="s">
        <v>111</v>
      </c>
      <c r="C2923" t="s">
        <v>133</v>
      </c>
      <c r="D2923" t="s">
        <v>116</v>
      </c>
      <c r="E2923" t="s">
        <v>418</v>
      </c>
      <c r="F2923" t="s">
        <v>6</v>
      </c>
      <c r="G2923" t="s">
        <v>130</v>
      </c>
      <c r="H2923" s="1">
        <v>46120</v>
      </c>
      <c r="I2923" t="s">
        <v>3570</v>
      </c>
      <c r="J2923" t="s">
        <v>3571</v>
      </c>
      <c r="K2923" t="s">
        <v>627</v>
      </c>
      <c r="L2923" t="s">
        <v>3084</v>
      </c>
      <c r="M2923" t="s">
        <v>2848</v>
      </c>
      <c r="N2923" s="166">
        <v>14.66</v>
      </c>
      <c r="O2923" t="s">
        <v>131</v>
      </c>
    </row>
    <row r="2924" spans="1:15">
      <c r="A2924" s="166" t="s">
        <v>3572</v>
      </c>
      <c r="B2924" t="s">
        <v>111</v>
      </c>
      <c r="C2924" t="s">
        <v>134</v>
      </c>
      <c r="D2924" t="s">
        <v>116</v>
      </c>
      <c r="E2924" t="s">
        <v>418</v>
      </c>
      <c r="F2924" t="s">
        <v>6</v>
      </c>
      <c r="G2924" t="s">
        <v>130</v>
      </c>
      <c r="H2924" s="1">
        <v>46120</v>
      </c>
      <c r="I2924" t="s">
        <v>3573</v>
      </c>
      <c r="J2924" t="s">
        <v>3574</v>
      </c>
      <c r="K2924" t="s">
        <v>1052</v>
      </c>
      <c r="L2924" t="s">
        <v>3575</v>
      </c>
      <c r="M2924" t="s">
        <v>1108</v>
      </c>
      <c r="N2924" s="166">
        <v>20.64</v>
      </c>
      <c r="O2924" t="s">
        <v>131</v>
      </c>
    </row>
    <row r="2925" spans="1:15">
      <c r="A2925" s="166" t="s">
        <v>3576</v>
      </c>
      <c r="B2925" t="s">
        <v>111</v>
      </c>
      <c r="C2925" t="s">
        <v>136</v>
      </c>
      <c r="D2925" t="s">
        <v>116</v>
      </c>
      <c r="E2925" t="s">
        <v>418</v>
      </c>
      <c r="F2925" t="s">
        <v>6</v>
      </c>
      <c r="G2925" t="s">
        <v>130</v>
      </c>
      <c r="H2925" s="1">
        <v>46120</v>
      </c>
      <c r="I2925" t="s">
        <v>3577</v>
      </c>
      <c r="J2925" t="s">
        <v>3578</v>
      </c>
      <c r="K2925" t="s">
        <v>2540</v>
      </c>
      <c r="L2925" t="s">
        <v>2544</v>
      </c>
      <c r="M2925" t="s">
        <v>1333</v>
      </c>
      <c r="N2925" s="166">
        <v>19.14</v>
      </c>
      <c r="O2925" t="s">
        <v>131</v>
      </c>
    </row>
    <row r="2926" spans="1:15">
      <c r="A2926" s="166" t="s">
        <v>3579</v>
      </c>
      <c r="B2926" t="s">
        <v>111</v>
      </c>
      <c r="C2926" t="s">
        <v>133</v>
      </c>
      <c r="D2926" t="s">
        <v>116</v>
      </c>
      <c r="E2926" t="s">
        <v>418</v>
      </c>
      <c r="F2926" t="s">
        <v>6</v>
      </c>
      <c r="G2926" t="s">
        <v>130</v>
      </c>
      <c r="H2926" s="1">
        <v>46120</v>
      </c>
      <c r="I2926" t="s">
        <v>3580</v>
      </c>
      <c r="J2926" t="s">
        <v>3581</v>
      </c>
      <c r="K2926" t="s">
        <v>1080</v>
      </c>
      <c r="L2926" t="s">
        <v>1573</v>
      </c>
      <c r="M2926" t="s">
        <v>3582</v>
      </c>
      <c r="N2926" s="166">
        <v>19.72</v>
      </c>
      <c r="O2926" t="s">
        <v>131</v>
      </c>
    </row>
    <row r="2927" spans="1:15">
      <c r="A2927" s="166" t="s">
        <v>3583</v>
      </c>
      <c r="B2927" t="s">
        <v>111</v>
      </c>
      <c r="C2927" t="s">
        <v>2424</v>
      </c>
      <c r="D2927" t="s">
        <v>116</v>
      </c>
      <c r="E2927" t="s">
        <v>418</v>
      </c>
      <c r="F2927" t="s">
        <v>7</v>
      </c>
      <c r="G2927" t="s">
        <v>130</v>
      </c>
      <c r="H2927" s="1">
        <v>46120</v>
      </c>
      <c r="I2927" t="s">
        <v>3584</v>
      </c>
      <c r="J2927" t="s">
        <v>3585</v>
      </c>
      <c r="K2927" t="s">
        <v>2741</v>
      </c>
      <c r="L2927" t="s">
        <v>3376</v>
      </c>
      <c r="M2927" t="s">
        <v>187</v>
      </c>
      <c r="N2927" s="166">
        <v>22.74</v>
      </c>
      <c r="O2927" t="s">
        <v>131</v>
      </c>
    </row>
    <row r="2928" spans="1:15">
      <c r="A2928" s="166" t="s">
        <v>3586</v>
      </c>
      <c r="B2928" t="s">
        <v>111</v>
      </c>
      <c r="C2928" t="s">
        <v>134</v>
      </c>
      <c r="D2928" t="s">
        <v>116</v>
      </c>
      <c r="E2928" t="s">
        <v>418</v>
      </c>
      <c r="F2928" t="s">
        <v>7</v>
      </c>
      <c r="G2928" t="s">
        <v>130</v>
      </c>
      <c r="H2928" s="1">
        <v>46120</v>
      </c>
      <c r="I2928" t="s">
        <v>3587</v>
      </c>
      <c r="J2928" t="s">
        <v>3588</v>
      </c>
      <c r="K2928" t="s">
        <v>3589</v>
      </c>
      <c r="L2928" t="s">
        <v>3501</v>
      </c>
      <c r="M2928" t="s">
        <v>3325</v>
      </c>
      <c r="N2928" s="166">
        <v>24.46</v>
      </c>
      <c r="O2928" t="s">
        <v>131</v>
      </c>
    </row>
    <row r="2929" spans="1:15">
      <c r="A2929" s="166" t="s">
        <v>1572</v>
      </c>
      <c r="B2929" t="s">
        <v>111</v>
      </c>
      <c r="C2929" t="s">
        <v>133</v>
      </c>
      <c r="D2929" t="s">
        <v>116</v>
      </c>
      <c r="E2929" t="s">
        <v>418</v>
      </c>
      <c r="F2929" t="s">
        <v>7</v>
      </c>
      <c r="G2929" t="s">
        <v>130</v>
      </c>
      <c r="H2929" s="1">
        <v>46120</v>
      </c>
      <c r="I2929" t="s">
        <v>3590</v>
      </c>
      <c r="J2929" t="s">
        <v>3591</v>
      </c>
      <c r="K2929" t="s">
        <v>3592</v>
      </c>
      <c r="L2929" t="s">
        <v>2545</v>
      </c>
      <c r="M2929" t="s">
        <v>3420</v>
      </c>
      <c r="N2929" s="166">
        <v>21.56</v>
      </c>
      <c r="O2929" t="s">
        <v>131</v>
      </c>
    </row>
    <row r="2930" spans="1:15">
      <c r="A2930" s="166" t="s">
        <v>3593</v>
      </c>
      <c r="B2930" t="s">
        <v>111</v>
      </c>
      <c r="C2930" t="s">
        <v>641</v>
      </c>
      <c r="D2930" t="s">
        <v>116</v>
      </c>
      <c r="E2930" t="s">
        <v>418</v>
      </c>
      <c r="F2930" t="s">
        <v>7</v>
      </c>
      <c r="G2930" t="s">
        <v>130</v>
      </c>
      <c r="H2930" s="1">
        <v>46120</v>
      </c>
      <c r="I2930" t="s">
        <v>3594</v>
      </c>
      <c r="J2930" t="s">
        <v>3595</v>
      </c>
      <c r="K2930" t="s">
        <v>3596</v>
      </c>
      <c r="L2930" t="s">
        <v>1416</v>
      </c>
      <c r="M2930" t="s">
        <v>233</v>
      </c>
      <c r="N2930" s="166">
        <v>23.12</v>
      </c>
      <c r="O2930" t="s">
        <v>131</v>
      </c>
    </row>
    <row r="2931" spans="1:15">
      <c r="A2931" s="166" t="s">
        <v>3597</v>
      </c>
      <c r="B2931" t="s">
        <v>111</v>
      </c>
      <c r="C2931" t="s">
        <v>2424</v>
      </c>
      <c r="D2931" t="s">
        <v>116</v>
      </c>
      <c r="E2931" t="s">
        <v>418</v>
      </c>
      <c r="F2931" t="s">
        <v>7</v>
      </c>
      <c r="G2931" t="s">
        <v>130</v>
      </c>
      <c r="H2931" s="1">
        <v>46120</v>
      </c>
      <c r="I2931" t="s">
        <v>3598</v>
      </c>
      <c r="J2931" t="s">
        <v>3599</v>
      </c>
      <c r="K2931" t="s">
        <v>3014</v>
      </c>
      <c r="L2931" t="s">
        <v>2544</v>
      </c>
      <c r="M2931" t="s">
        <v>195</v>
      </c>
      <c r="N2931" s="166">
        <v>24.56</v>
      </c>
      <c r="O2931" t="s">
        <v>131</v>
      </c>
    </row>
    <row r="2932" spans="1:15">
      <c r="A2932" s="166" t="s">
        <v>3600</v>
      </c>
      <c r="B2932" t="s">
        <v>111</v>
      </c>
      <c r="C2932" t="s">
        <v>134</v>
      </c>
      <c r="D2932" t="s">
        <v>116</v>
      </c>
      <c r="E2932" t="s">
        <v>418</v>
      </c>
      <c r="F2932" t="s">
        <v>7</v>
      </c>
      <c r="G2932" t="s">
        <v>130</v>
      </c>
      <c r="H2932" s="1">
        <v>46120</v>
      </c>
      <c r="I2932" t="s">
        <v>3601</v>
      </c>
      <c r="J2932" t="s">
        <v>3602</v>
      </c>
      <c r="K2932" t="s">
        <v>3603</v>
      </c>
      <c r="L2932" t="s">
        <v>714</v>
      </c>
      <c r="M2932" t="s">
        <v>866</v>
      </c>
      <c r="N2932" s="166">
        <v>26.04</v>
      </c>
      <c r="O2932" t="s">
        <v>131</v>
      </c>
    </row>
    <row r="2933" spans="1:15">
      <c r="A2933" s="166" t="s">
        <v>3604</v>
      </c>
      <c r="B2933" t="s">
        <v>111</v>
      </c>
      <c r="C2933" t="s">
        <v>133</v>
      </c>
      <c r="D2933" t="s">
        <v>116</v>
      </c>
      <c r="E2933" t="s">
        <v>418</v>
      </c>
      <c r="F2933" t="s">
        <v>7</v>
      </c>
      <c r="G2933" t="s">
        <v>130</v>
      </c>
      <c r="H2933" s="1">
        <v>46120</v>
      </c>
      <c r="I2933" t="s">
        <v>3605</v>
      </c>
      <c r="J2933" t="s">
        <v>3606</v>
      </c>
      <c r="K2933" t="s">
        <v>3607</v>
      </c>
      <c r="L2933" t="s">
        <v>1443</v>
      </c>
      <c r="M2933" t="s">
        <v>639</v>
      </c>
      <c r="N2933" s="166">
        <v>21.02</v>
      </c>
      <c r="O2933" t="s">
        <v>131</v>
      </c>
    </row>
    <row r="2934" spans="1:15">
      <c r="A2934" s="166" t="s">
        <v>3608</v>
      </c>
      <c r="B2934" t="s">
        <v>111</v>
      </c>
      <c r="C2934" t="s">
        <v>2424</v>
      </c>
      <c r="D2934" t="s">
        <v>116</v>
      </c>
      <c r="E2934" t="s">
        <v>418</v>
      </c>
      <c r="F2934" t="s">
        <v>7</v>
      </c>
      <c r="G2934" t="s">
        <v>130</v>
      </c>
      <c r="H2934" s="1">
        <v>46120</v>
      </c>
      <c r="I2934" t="s">
        <v>3609</v>
      </c>
      <c r="J2934" t="s">
        <v>3610</v>
      </c>
      <c r="K2934" t="s">
        <v>1227</v>
      </c>
      <c r="L2934" t="s">
        <v>3028</v>
      </c>
      <c r="M2934" t="s">
        <v>3311</v>
      </c>
      <c r="N2934" s="166">
        <v>23.64</v>
      </c>
      <c r="O2934" t="s">
        <v>131</v>
      </c>
    </row>
    <row r="2935" spans="1:15">
      <c r="A2935" s="166" t="s">
        <v>3611</v>
      </c>
      <c r="B2935" t="s">
        <v>111</v>
      </c>
      <c r="C2935" t="s">
        <v>134</v>
      </c>
      <c r="D2935" t="s">
        <v>116</v>
      </c>
      <c r="E2935" t="s">
        <v>418</v>
      </c>
      <c r="F2935" t="s">
        <v>7</v>
      </c>
      <c r="G2935" t="s">
        <v>130</v>
      </c>
      <c r="H2935" s="1">
        <v>46120</v>
      </c>
      <c r="I2935" t="s">
        <v>3612</v>
      </c>
      <c r="J2935" t="s">
        <v>3613</v>
      </c>
      <c r="K2935" t="s">
        <v>3614</v>
      </c>
      <c r="L2935" t="s">
        <v>2184</v>
      </c>
      <c r="M2935" t="s">
        <v>1745</v>
      </c>
      <c r="N2935" s="166">
        <v>25.52</v>
      </c>
      <c r="O2935" t="s">
        <v>131</v>
      </c>
    </row>
    <row r="2936" spans="1:15">
      <c r="A2936" s="166" t="s">
        <v>3615</v>
      </c>
      <c r="B2936" t="s">
        <v>111</v>
      </c>
      <c r="C2936" t="s">
        <v>133</v>
      </c>
      <c r="D2936" t="s">
        <v>116</v>
      </c>
      <c r="E2936" t="s">
        <v>418</v>
      </c>
      <c r="F2936" t="s">
        <v>7</v>
      </c>
      <c r="G2936" t="s">
        <v>130</v>
      </c>
      <c r="H2936" s="1">
        <v>46120</v>
      </c>
      <c r="I2936" t="s">
        <v>3616</v>
      </c>
      <c r="J2936" t="s">
        <v>3617</v>
      </c>
      <c r="K2936" t="s">
        <v>3618</v>
      </c>
      <c r="L2936" t="s">
        <v>3483</v>
      </c>
      <c r="M2936" t="s">
        <v>176</v>
      </c>
      <c r="N2936" s="166">
        <v>23.02</v>
      </c>
      <c r="O2936" t="s">
        <v>131</v>
      </c>
    </row>
    <row r="2937" spans="1:15">
      <c r="A2937" s="166" t="s">
        <v>3619</v>
      </c>
      <c r="B2937" t="s">
        <v>111</v>
      </c>
      <c r="C2937" t="s">
        <v>2424</v>
      </c>
      <c r="D2937" t="s">
        <v>116</v>
      </c>
      <c r="E2937" t="s">
        <v>418</v>
      </c>
      <c r="F2937" t="s">
        <v>7</v>
      </c>
      <c r="G2937" t="s">
        <v>130</v>
      </c>
      <c r="H2937" s="1">
        <v>46120</v>
      </c>
      <c r="I2937" t="s">
        <v>3620</v>
      </c>
      <c r="J2937" t="s">
        <v>3621</v>
      </c>
      <c r="K2937" t="s">
        <v>3622</v>
      </c>
      <c r="L2937" t="s">
        <v>3028</v>
      </c>
      <c r="M2937" t="s">
        <v>3623</v>
      </c>
      <c r="N2937" s="166">
        <v>23.3</v>
      </c>
      <c r="O2937" t="s">
        <v>131</v>
      </c>
    </row>
    <row r="2938" spans="1:15">
      <c r="A2938" s="166" t="s">
        <v>3624</v>
      </c>
      <c r="B2938" t="s">
        <v>111</v>
      </c>
      <c r="C2938" t="s">
        <v>134</v>
      </c>
      <c r="D2938" t="s">
        <v>116</v>
      </c>
      <c r="E2938" t="s">
        <v>418</v>
      </c>
      <c r="F2938" t="s">
        <v>7</v>
      </c>
      <c r="G2938" t="s">
        <v>130</v>
      </c>
      <c r="H2938" s="1">
        <v>46120</v>
      </c>
      <c r="I2938" t="s">
        <v>3625</v>
      </c>
      <c r="J2938" t="s">
        <v>3626</v>
      </c>
      <c r="K2938" t="s">
        <v>3627</v>
      </c>
      <c r="L2938" t="s">
        <v>2644</v>
      </c>
      <c r="M2938" t="s">
        <v>3199</v>
      </c>
      <c r="N2938" s="166">
        <v>24.08</v>
      </c>
      <c r="O2938" t="s">
        <v>131</v>
      </c>
    </row>
    <row r="2939" spans="1:15">
      <c r="A2939" s="166" t="s">
        <v>3628</v>
      </c>
      <c r="B2939" t="s">
        <v>111</v>
      </c>
      <c r="C2939" t="s">
        <v>133</v>
      </c>
      <c r="D2939" t="s">
        <v>116</v>
      </c>
      <c r="E2939" t="s">
        <v>418</v>
      </c>
      <c r="F2939" t="s">
        <v>7</v>
      </c>
      <c r="G2939" t="s">
        <v>130</v>
      </c>
      <c r="H2939" s="1">
        <v>46120</v>
      </c>
      <c r="I2939" t="s">
        <v>3629</v>
      </c>
      <c r="J2939" t="s">
        <v>3630</v>
      </c>
      <c r="K2939" t="s">
        <v>2947</v>
      </c>
      <c r="L2939" t="s">
        <v>2758</v>
      </c>
      <c r="M2939" t="s">
        <v>3631</v>
      </c>
      <c r="N2939" s="166">
        <v>22.52</v>
      </c>
      <c r="O2939" t="s">
        <v>131</v>
      </c>
    </row>
    <row r="2940" spans="1:15">
      <c r="A2940" s="166" t="s">
        <v>3632</v>
      </c>
      <c r="B2940" t="s">
        <v>111</v>
      </c>
      <c r="C2940" t="s">
        <v>2424</v>
      </c>
      <c r="D2940" t="s">
        <v>116</v>
      </c>
      <c r="E2940" t="s">
        <v>418</v>
      </c>
      <c r="F2940" t="s">
        <v>7</v>
      </c>
      <c r="G2940" t="s">
        <v>130</v>
      </c>
      <c r="H2940" s="1">
        <v>46120</v>
      </c>
      <c r="I2940" t="s">
        <v>3633</v>
      </c>
      <c r="J2940" t="s">
        <v>3634</v>
      </c>
      <c r="K2940" t="s">
        <v>3627</v>
      </c>
      <c r="L2940" t="s">
        <v>3635</v>
      </c>
      <c r="M2940" t="s">
        <v>156</v>
      </c>
      <c r="N2940" s="166">
        <v>22.98</v>
      </c>
      <c r="O2940" t="s">
        <v>131</v>
      </c>
    </row>
    <row r="2941" spans="1:15">
      <c r="A2941" s="166" t="s">
        <v>3636</v>
      </c>
      <c r="B2941" t="s">
        <v>111</v>
      </c>
      <c r="C2941" t="s">
        <v>134</v>
      </c>
      <c r="D2941" t="s">
        <v>116</v>
      </c>
      <c r="E2941" t="s">
        <v>418</v>
      </c>
      <c r="F2941" t="s">
        <v>7</v>
      </c>
      <c r="G2941" t="s">
        <v>130</v>
      </c>
      <c r="H2941" s="1">
        <v>46120</v>
      </c>
      <c r="I2941" t="s">
        <v>3637</v>
      </c>
      <c r="J2941" t="s">
        <v>3638</v>
      </c>
      <c r="K2941" t="s">
        <v>158</v>
      </c>
      <c r="L2941" t="s">
        <v>870</v>
      </c>
      <c r="M2941" t="s">
        <v>3278</v>
      </c>
      <c r="N2941" s="166">
        <v>22.32</v>
      </c>
      <c r="O2941" t="s">
        <v>131</v>
      </c>
    </row>
    <row r="2942" spans="1:15">
      <c r="A2942" s="166" t="s">
        <v>3639</v>
      </c>
      <c r="B2942" t="s">
        <v>111</v>
      </c>
      <c r="C2942" t="s">
        <v>133</v>
      </c>
      <c r="D2942" t="s">
        <v>116</v>
      </c>
      <c r="E2942" t="s">
        <v>418</v>
      </c>
      <c r="F2942" t="s">
        <v>7</v>
      </c>
      <c r="G2942" t="s">
        <v>130</v>
      </c>
      <c r="H2942" s="1">
        <v>46120</v>
      </c>
      <c r="I2942" t="s">
        <v>3640</v>
      </c>
      <c r="J2942" t="s">
        <v>3641</v>
      </c>
      <c r="K2942" t="s">
        <v>188</v>
      </c>
      <c r="L2942" t="s">
        <v>3642</v>
      </c>
      <c r="M2942" t="s">
        <v>1504</v>
      </c>
      <c r="N2942" s="166">
        <v>20.84</v>
      </c>
      <c r="O2942" t="s">
        <v>131</v>
      </c>
    </row>
    <row r="2943" spans="1:15">
      <c r="A2943" s="166" t="s">
        <v>3643</v>
      </c>
      <c r="B2943" t="s">
        <v>111</v>
      </c>
      <c r="C2943" t="s">
        <v>2424</v>
      </c>
      <c r="D2943" t="s">
        <v>116</v>
      </c>
      <c r="E2943" t="s">
        <v>418</v>
      </c>
      <c r="F2943" t="s">
        <v>7</v>
      </c>
      <c r="G2943" t="s">
        <v>130</v>
      </c>
      <c r="H2943" s="1">
        <v>46120</v>
      </c>
      <c r="I2943" t="s">
        <v>3644</v>
      </c>
      <c r="J2943" t="s">
        <v>3645</v>
      </c>
      <c r="K2943" t="s">
        <v>610</v>
      </c>
      <c r="L2943" t="s">
        <v>1823</v>
      </c>
      <c r="M2943" t="s">
        <v>3646</v>
      </c>
      <c r="N2943" s="166">
        <v>20</v>
      </c>
      <c r="O2943" t="s">
        <v>131</v>
      </c>
    </row>
    <row r="2944" spans="1:15">
      <c r="A2944" s="166" t="s">
        <v>3647</v>
      </c>
      <c r="B2944" t="s">
        <v>111</v>
      </c>
      <c r="C2944" t="s">
        <v>134</v>
      </c>
      <c r="D2944" t="s">
        <v>116</v>
      </c>
      <c r="E2944" t="s">
        <v>418</v>
      </c>
      <c r="F2944" t="s">
        <v>7</v>
      </c>
      <c r="G2944" t="s">
        <v>130</v>
      </c>
      <c r="H2944" s="1">
        <v>46120</v>
      </c>
      <c r="I2944" t="s">
        <v>3648</v>
      </c>
      <c r="J2944" t="s">
        <v>3649</v>
      </c>
      <c r="K2944" t="s">
        <v>2942</v>
      </c>
      <c r="L2944" t="s">
        <v>465</v>
      </c>
      <c r="M2944" t="s">
        <v>1189</v>
      </c>
      <c r="N2944" s="166">
        <v>23.48</v>
      </c>
      <c r="O2944" t="s">
        <v>131</v>
      </c>
    </row>
    <row r="2945" spans="1:15">
      <c r="A2945" s="166" t="s">
        <v>3650</v>
      </c>
      <c r="B2945" t="s">
        <v>111</v>
      </c>
      <c r="C2945" t="s">
        <v>133</v>
      </c>
      <c r="D2945" t="s">
        <v>116</v>
      </c>
      <c r="E2945" t="s">
        <v>418</v>
      </c>
      <c r="F2945" t="s">
        <v>7</v>
      </c>
      <c r="G2945" t="s">
        <v>130</v>
      </c>
      <c r="H2945" s="1">
        <v>46120</v>
      </c>
      <c r="I2945" t="s">
        <v>3651</v>
      </c>
      <c r="J2945" t="s">
        <v>3652</v>
      </c>
      <c r="K2945" t="s">
        <v>519</v>
      </c>
      <c r="L2945" t="s">
        <v>3653</v>
      </c>
      <c r="M2945" t="s">
        <v>184</v>
      </c>
      <c r="N2945" s="166">
        <v>20.98</v>
      </c>
      <c r="O2945" t="s">
        <v>131</v>
      </c>
    </row>
    <row r="2946" spans="1:15">
      <c r="A2946" s="166" t="s">
        <v>3654</v>
      </c>
      <c r="B2946" t="s">
        <v>111</v>
      </c>
      <c r="C2946" t="s">
        <v>641</v>
      </c>
      <c r="D2946" t="s">
        <v>116</v>
      </c>
      <c r="E2946" t="s">
        <v>418</v>
      </c>
      <c r="F2946" t="s">
        <v>7</v>
      </c>
      <c r="G2946" t="s">
        <v>130</v>
      </c>
      <c r="H2946" s="1">
        <v>46120</v>
      </c>
      <c r="I2946" t="s">
        <v>3655</v>
      </c>
      <c r="J2946" t="s">
        <v>3656</v>
      </c>
      <c r="K2946" t="s">
        <v>2979</v>
      </c>
      <c r="L2946" t="s">
        <v>725</v>
      </c>
      <c r="M2946" t="s">
        <v>1723</v>
      </c>
      <c r="N2946" s="166">
        <v>25.48</v>
      </c>
      <c r="O2946" t="s">
        <v>131</v>
      </c>
    </row>
    <row r="2947" spans="1:15">
      <c r="A2947" s="166" t="s">
        <v>3657</v>
      </c>
      <c r="B2947" t="s">
        <v>111</v>
      </c>
      <c r="C2947" t="s">
        <v>133</v>
      </c>
      <c r="D2947" t="s">
        <v>116</v>
      </c>
      <c r="E2947" t="s">
        <v>418</v>
      </c>
      <c r="F2947" t="s">
        <v>7</v>
      </c>
      <c r="G2947" t="s">
        <v>130</v>
      </c>
      <c r="H2947" s="1">
        <v>46120</v>
      </c>
      <c r="I2947" t="s">
        <v>3658</v>
      </c>
      <c r="J2947" t="s">
        <v>3659</v>
      </c>
      <c r="K2947" t="s">
        <v>806</v>
      </c>
      <c r="L2947" t="s">
        <v>1468</v>
      </c>
      <c r="M2947" t="s">
        <v>1504</v>
      </c>
      <c r="N2947" s="166">
        <v>20.84</v>
      </c>
      <c r="O2947" t="s">
        <v>131</v>
      </c>
    </row>
    <row r="2948" spans="1:15">
      <c r="A2948" s="166" t="s">
        <v>3660</v>
      </c>
      <c r="B2948" t="s">
        <v>111</v>
      </c>
      <c r="C2948" t="s">
        <v>134</v>
      </c>
      <c r="D2948" t="s">
        <v>116</v>
      </c>
      <c r="E2948" t="s">
        <v>418</v>
      </c>
      <c r="F2948" t="s">
        <v>7</v>
      </c>
      <c r="G2948" t="s">
        <v>130</v>
      </c>
      <c r="H2948" s="1">
        <v>46120</v>
      </c>
      <c r="I2948" t="s">
        <v>3661</v>
      </c>
      <c r="J2948" t="s">
        <v>3662</v>
      </c>
      <c r="K2948" t="s">
        <v>1047</v>
      </c>
      <c r="L2948" t="s">
        <v>2603</v>
      </c>
      <c r="M2948" t="s">
        <v>3663</v>
      </c>
      <c r="N2948" s="166">
        <v>24.62</v>
      </c>
      <c r="O2948" t="s">
        <v>131</v>
      </c>
    </row>
    <row r="2949" spans="1:15">
      <c r="A2949" s="166" t="s">
        <v>3371</v>
      </c>
      <c r="B2949" t="s">
        <v>111</v>
      </c>
      <c r="C2949" t="s">
        <v>641</v>
      </c>
      <c r="D2949" t="s">
        <v>116</v>
      </c>
      <c r="E2949" t="s">
        <v>418</v>
      </c>
      <c r="F2949" t="s">
        <v>7</v>
      </c>
      <c r="G2949" t="s">
        <v>130</v>
      </c>
      <c r="H2949" s="1">
        <v>46120</v>
      </c>
      <c r="I2949" t="s">
        <v>3664</v>
      </c>
      <c r="J2949" t="s">
        <v>3665</v>
      </c>
      <c r="K2949" t="s">
        <v>1047</v>
      </c>
      <c r="L2949" t="s">
        <v>1823</v>
      </c>
      <c r="M2949" t="s">
        <v>3666</v>
      </c>
      <c r="N2949" s="166">
        <v>24.12</v>
      </c>
      <c r="O2949" t="s">
        <v>131</v>
      </c>
    </row>
    <row r="2950" spans="1:15">
      <c r="A2950" s="166" t="s">
        <v>3667</v>
      </c>
      <c r="B2950" t="s">
        <v>111</v>
      </c>
      <c r="C2950" t="s">
        <v>133</v>
      </c>
      <c r="D2950" t="s">
        <v>116</v>
      </c>
      <c r="E2950" t="s">
        <v>418</v>
      </c>
      <c r="F2950" t="s">
        <v>7</v>
      </c>
      <c r="G2950" t="s">
        <v>130</v>
      </c>
      <c r="H2950" s="1">
        <v>46120</v>
      </c>
      <c r="I2950" t="s">
        <v>3668</v>
      </c>
      <c r="J2950" t="s">
        <v>3669</v>
      </c>
      <c r="K2950" t="s">
        <v>3670</v>
      </c>
      <c r="L2950" t="s">
        <v>2267</v>
      </c>
      <c r="M2950" t="s">
        <v>209</v>
      </c>
      <c r="N2950" s="166">
        <v>23.96</v>
      </c>
      <c r="O2950" t="s">
        <v>131</v>
      </c>
    </row>
    <row r="2951" spans="1:15">
      <c r="A2951" s="166" t="s">
        <v>3671</v>
      </c>
      <c r="B2951" t="s">
        <v>111</v>
      </c>
      <c r="C2951" t="s">
        <v>134</v>
      </c>
      <c r="D2951" t="s">
        <v>116</v>
      </c>
      <c r="E2951" t="s">
        <v>418</v>
      </c>
      <c r="F2951" t="s">
        <v>7</v>
      </c>
      <c r="G2951" t="s">
        <v>130</v>
      </c>
      <c r="H2951" s="1">
        <v>46120</v>
      </c>
      <c r="I2951" t="s">
        <v>3672</v>
      </c>
      <c r="J2951" t="s">
        <v>3673</v>
      </c>
      <c r="K2951" t="s">
        <v>2677</v>
      </c>
      <c r="L2951" t="s">
        <v>3517</v>
      </c>
      <c r="M2951" t="s">
        <v>767</v>
      </c>
      <c r="N2951" s="166">
        <v>22.24</v>
      </c>
      <c r="O2951" t="s">
        <v>131</v>
      </c>
    </row>
    <row r="2952" spans="1:15">
      <c r="A2952" s="166" t="s">
        <v>3674</v>
      </c>
      <c r="B2952" t="s">
        <v>111</v>
      </c>
      <c r="C2952" t="s">
        <v>641</v>
      </c>
      <c r="D2952" t="s">
        <v>116</v>
      </c>
      <c r="E2952" t="s">
        <v>418</v>
      </c>
      <c r="F2952" t="s">
        <v>7</v>
      </c>
      <c r="G2952" t="s">
        <v>130</v>
      </c>
      <c r="H2952" s="1">
        <v>46120</v>
      </c>
      <c r="I2952" t="s">
        <v>3675</v>
      </c>
      <c r="J2952" t="s">
        <v>3676</v>
      </c>
      <c r="K2952" t="s">
        <v>2839</v>
      </c>
      <c r="L2952" t="s">
        <v>2091</v>
      </c>
      <c r="M2952" t="s">
        <v>3207</v>
      </c>
      <c r="N2952" s="166">
        <v>22</v>
      </c>
      <c r="O2952" t="s">
        <v>131</v>
      </c>
    </row>
    <row r="2953" spans="1:15">
      <c r="A2953" s="166" t="s">
        <v>3677</v>
      </c>
      <c r="B2953" t="s">
        <v>111</v>
      </c>
      <c r="C2953" t="s">
        <v>133</v>
      </c>
      <c r="D2953" t="s">
        <v>116</v>
      </c>
      <c r="E2953" t="s">
        <v>418</v>
      </c>
      <c r="F2953" t="s">
        <v>7</v>
      </c>
      <c r="G2953" t="s">
        <v>130</v>
      </c>
      <c r="H2953" s="1">
        <v>46120</v>
      </c>
      <c r="I2953" t="s">
        <v>3678</v>
      </c>
      <c r="J2953" t="s">
        <v>3679</v>
      </c>
      <c r="K2953" t="s">
        <v>2861</v>
      </c>
      <c r="L2953" t="s">
        <v>890</v>
      </c>
      <c r="M2953" t="s">
        <v>1623</v>
      </c>
      <c r="N2953" s="166">
        <v>23.5</v>
      </c>
      <c r="O2953" t="s">
        <v>131</v>
      </c>
    </row>
    <row r="2954" spans="1:15">
      <c r="A2954" s="166" t="s">
        <v>3680</v>
      </c>
      <c r="B2954" t="s">
        <v>111</v>
      </c>
      <c r="C2954" t="s">
        <v>134</v>
      </c>
      <c r="D2954" t="s">
        <v>116</v>
      </c>
      <c r="E2954" t="s">
        <v>418</v>
      </c>
      <c r="F2954" t="s">
        <v>7</v>
      </c>
      <c r="G2954" t="s">
        <v>130</v>
      </c>
      <c r="H2954" s="1">
        <v>46120</v>
      </c>
      <c r="I2954" t="s">
        <v>3681</v>
      </c>
      <c r="J2954" t="s">
        <v>3682</v>
      </c>
      <c r="K2954" t="s">
        <v>583</v>
      </c>
      <c r="L2954" t="s">
        <v>3501</v>
      </c>
      <c r="M2954" t="s">
        <v>1693</v>
      </c>
      <c r="N2954" s="166">
        <v>23.06</v>
      </c>
      <c r="O2954" t="s">
        <v>131</v>
      </c>
    </row>
    <row r="2955" spans="1:15">
      <c r="A2955" s="166" t="s">
        <v>3683</v>
      </c>
      <c r="B2955" t="s">
        <v>111</v>
      </c>
      <c r="C2955" t="s">
        <v>641</v>
      </c>
      <c r="D2955" t="s">
        <v>116</v>
      </c>
      <c r="E2955" t="s">
        <v>418</v>
      </c>
      <c r="F2955" t="s">
        <v>7</v>
      </c>
      <c r="G2955" t="s">
        <v>130</v>
      </c>
      <c r="H2955" s="1">
        <v>46120</v>
      </c>
      <c r="I2955" t="s">
        <v>3684</v>
      </c>
      <c r="J2955" t="s">
        <v>3685</v>
      </c>
      <c r="K2955" t="s">
        <v>3303</v>
      </c>
      <c r="L2955" t="s">
        <v>2577</v>
      </c>
      <c r="M2955" t="s">
        <v>2355</v>
      </c>
      <c r="N2955" s="166">
        <v>22.56</v>
      </c>
      <c r="O2955" t="s">
        <v>131</v>
      </c>
    </row>
    <row r="2956" spans="1:15">
      <c r="A2956" s="166" t="s">
        <v>3686</v>
      </c>
      <c r="B2956" t="s">
        <v>111</v>
      </c>
      <c r="C2956" t="s">
        <v>133</v>
      </c>
      <c r="D2956" t="s">
        <v>116</v>
      </c>
      <c r="E2956" t="s">
        <v>418</v>
      </c>
      <c r="F2956" t="s">
        <v>7</v>
      </c>
      <c r="G2956" t="s">
        <v>130</v>
      </c>
      <c r="H2956" s="1">
        <v>46120</v>
      </c>
      <c r="I2956" t="s">
        <v>3687</v>
      </c>
      <c r="J2956" t="s">
        <v>3688</v>
      </c>
      <c r="K2956" t="s">
        <v>906</v>
      </c>
      <c r="L2956" t="s">
        <v>901</v>
      </c>
      <c r="M2956" t="s">
        <v>3689</v>
      </c>
      <c r="N2956" s="166">
        <v>25.44</v>
      </c>
      <c r="O2956" t="s">
        <v>131</v>
      </c>
    </row>
    <row r="2957" spans="1:15">
      <c r="A2957" s="166" t="s">
        <v>3690</v>
      </c>
      <c r="B2957" t="s">
        <v>111</v>
      </c>
      <c r="C2957" t="s">
        <v>134</v>
      </c>
      <c r="D2957" t="s">
        <v>116</v>
      </c>
      <c r="E2957" t="s">
        <v>418</v>
      </c>
      <c r="F2957" t="s">
        <v>7</v>
      </c>
      <c r="G2957" t="s">
        <v>130</v>
      </c>
      <c r="H2957" s="1">
        <v>46120</v>
      </c>
      <c r="I2957" t="s">
        <v>3691</v>
      </c>
      <c r="J2957" t="s">
        <v>3692</v>
      </c>
      <c r="K2957" t="s">
        <v>3693</v>
      </c>
      <c r="L2957" t="s">
        <v>786</v>
      </c>
      <c r="M2957" t="s">
        <v>1645</v>
      </c>
      <c r="N2957" s="166">
        <v>23</v>
      </c>
      <c r="O2957" t="s">
        <v>131</v>
      </c>
    </row>
    <row r="2958" spans="1:15">
      <c r="A2958" s="166" t="s">
        <v>3694</v>
      </c>
      <c r="B2958" t="s">
        <v>111</v>
      </c>
      <c r="C2958" t="s">
        <v>641</v>
      </c>
      <c r="D2958" t="s">
        <v>116</v>
      </c>
      <c r="E2958" t="s">
        <v>418</v>
      </c>
      <c r="F2958" t="s">
        <v>7</v>
      </c>
      <c r="G2958" t="s">
        <v>130</v>
      </c>
      <c r="H2958" s="1">
        <v>46120</v>
      </c>
      <c r="I2958" t="s">
        <v>3695</v>
      </c>
      <c r="J2958" t="s">
        <v>3696</v>
      </c>
      <c r="K2958" t="s">
        <v>213</v>
      </c>
      <c r="L2958" t="s">
        <v>1437</v>
      </c>
      <c r="M2958" t="s">
        <v>3075</v>
      </c>
      <c r="N2958" s="166">
        <v>16.940000000000001</v>
      </c>
      <c r="O2958" t="s">
        <v>131</v>
      </c>
    </row>
    <row r="2959" spans="1:15">
      <c r="A2959" s="166" t="s">
        <v>3697</v>
      </c>
      <c r="B2959" t="s">
        <v>111</v>
      </c>
      <c r="C2959" t="s">
        <v>133</v>
      </c>
      <c r="D2959" t="s">
        <v>116</v>
      </c>
      <c r="E2959" t="s">
        <v>418</v>
      </c>
      <c r="F2959" t="s">
        <v>7</v>
      </c>
      <c r="G2959" t="s">
        <v>130</v>
      </c>
      <c r="H2959" s="1">
        <v>46120</v>
      </c>
      <c r="I2959" t="s">
        <v>3698</v>
      </c>
      <c r="J2959" t="s">
        <v>3699</v>
      </c>
      <c r="K2959" t="s">
        <v>3700</v>
      </c>
      <c r="L2959" t="s">
        <v>2998</v>
      </c>
      <c r="M2959" t="s">
        <v>673</v>
      </c>
      <c r="N2959" s="166">
        <v>23.9</v>
      </c>
      <c r="O2959" t="s">
        <v>131</v>
      </c>
    </row>
    <row r="2960" spans="1:15">
      <c r="A2960" s="166" t="s">
        <v>3701</v>
      </c>
      <c r="B2960" t="s">
        <v>111</v>
      </c>
      <c r="C2960" t="s">
        <v>134</v>
      </c>
      <c r="D2960" t="s">
        <v>116</v>
      </c>
      <c r="E2960" t="s">
        <v>418</v>
      </c>
      <c r="F2960" t="s">
        <v>7</v>
      </c>
      <c r="G2960" t="s">
        <v>130</v>
      </c>
      <c r="H2960" s="1">
        <v>46120</v>
      </c>
      <c r="I2960" t="s">
        <v>3702</v>
      </c>
      <c r="J2960" t="s">
        <v>3703</v>
      </c>
      <c r="K2960" t="s">
        <v>2374</v>
      </c>
      <c r="L2960" t="s">
        <v>208</v>
      </c>
      <c r="M2960" t="s">
        <v>3704</v>
      </c>
      <c r="N2960" s="166">
        <v>24.68</v>
      </c>
      <c r="O2960" t="s">
        <v>131</v>
      </c>
    </row>
    <row r="2961" spans="1:15">
      <c r="A2961" s="166" t="s">
        <v>3718</v>
      </c>
      <c r="B2961" t="s">
        <v>111</v>
      </c>
      <c r="C2961" t="s">
        <v>641</v>
      </c>
      <c r="D2961" t="s">
        <v>116</v>
      </c>
      <c r="E2961" t="s">
        <v>418</v>
      </c>
      <c r="F2961" t="s">
        <v>7</v>
      </c>
      <c r="G2961" t="s">
        <v>130</v>
      </c>
      <c r="H2961" s="1">
        <v>46121</v>
      </c>
      <c r="I2961" t="s">
        <v>3719</v>
      </c>
      <c r="J2961" t="s">
        <v>3720</v>
      </c>
      <c r="K2961" t="s">
        <v>3721</v>
      </c>
      <c r="L2961" t="s">
        <v>3722</v>
      </c>
      <c r="M2961" t="s">
        <v>3723</v>
      </c>
      <c r="N2961" s="166">
        <v>24.16</v>
      </c>
      <c r="O2961" t="s">
        <v>131</v>
      </c>
    </row>
    <row r="2962" spans="1:15">
      <c r="A2962" s="166" t="s">
        <v>3724</v>
      </c>
      <c r="B2962" t="s">
        <v>111</v>
      </c>
      <c r="C2962" t="s">
        <v>133</v>
      </c>
      <c r="D2962" t="s">
        <v>116</v>
      </c>
      <c r="E2962" t="s">
        <v>418</v>
      </c>
      <c r="F2962" t="s">
        <v>7</v>
      </c>
      <c r="G2962" t="s">
        <v>130</v>
      </c>
      <c r="H2962" s="1">
        <v>46121</v>
      </c>
      <c r="I2962" t="s">
        <v>3725</v>
      </c>
      <c r="J2962" t="s">
        <v>3726</v>
      </c>
      <c r="K2962" t="s">
        <v>2585</v>
      </c>
      <c r="L2962" t="s">
        <v>2344</v>
      </c>
      <c r="M2962" t="s">
        <v>1988</v>
      </c>
      <c r="N2962" s="166">
        <v>19.600000000000001</v>
      </c>
      <c r="O2962" t="s">
        <v>131</v>
      </c>
    </row>
    <row r="2963" spans="1:15">
      <c r="A2963" s="166" t="s">
        <v>3727</v>
      </c>
      <c r="B2963" t="s">
        <v>111</v>
      </c>
      <c r="C2963" t="s">
        <v>134</v>
      </c>
      <c r="D2963" t="s">
        <v>116</v>
      </c>
      <c r="E2963" t="s">
        <v>418</v>
      </c>
      <c r="F2963" t="s">
        <v>7</v>
      </c>
      <c r="G2963" t="s">
        <v>130</v>
      </c>
      <c r="H2963" s="1">
        <v>46121</v>
      </c>
      <c r="I2963" t="s">
        <v>3728</v>
      </c>
      <c r="J2963" t="s">
        <v>3729</v>
      </c>
      <c r="K2963" t="s">
        <v>3730</v>
      </c>
      <c r="L2963" t="s">
        <v>672</v>
      </c>
      <c r="M2963" t="s">
        <v>2721</v>
      </c>
      <c r="N2963" s="166">
        <v>25.7</v>
      </c>
      <c r="O2963" t="s">
        <v>131</v>
      </c>
    </row>
    <row r="2964" spans="1:15">
      <c r="A2964" s="166" t="s">
        <v>3731</v>
      </c>
      <c r="B2964" t="s">
        <v>111</v>
      </c>
      <c r="C2964" t="s">
        <v>641</v>
      </c>
      <c r="D2964" t="s">
        <v>116</v>
      </c>
      <c r="E2964" t="s">
        <v>418</v>
      </c>
      <c r="F2964" t="s">
        <v>7</v>
      </c>
      <c r="G2964" t="s">
        <v>130</v>
      </c>
      <c r="H2964" s="1">
        <v>46121</v>
      </c>
      <c r="I2964" t="s">
        <v>3732</v>
      </c>
      <c r="J2964" t="s">
        <v>3733</v>
      </c>
      <c r="K2964" t="s">
        <v>181</v>
      </c>
      <c r="L2964" t="s">
        <v>1291</v>
      </c>
      <c r="M2964" t="s">
        <v>3734</v>
      </c>
      <c r="N2964" s="166">
        <v>22.02</v>
      </c>
      <c r="O2964" t="s">
        <v>131</v>
      </c>
    </row>
    <row r="2965" spans="1:15">
      <c r="A2965" s="166" t="s">
        <v>3735</v>
      </c>
      <c r="B2965" t="s">
        <v>111</v>
      </c>
      <c r="C2965" t="s">
        <v>133</v>
      </c>
      <c r="D2965" t="s">
        <v>116</v>
      </c>
      <c r="E2965" t="s">
        <v>418</v>
      </c>
      <c r="F2965" t="s">
        <v>7</v>
      </c>
      <c r="G2965" t="s">
        <v>130</v>
      </c>
      <c r="H2965" s="1">
        <v>46121</v>
      </c>
      <c r="I2965" t="s">
        <v>3736</v>
      </c>
      <c r="J2965" t="s">
        <v>3737</v>
      </c>
      <c r="K2965" t="s">
        <v>224</v>
      </c>
      <c r="L2965" t="s">
        <v>1291</v>
      </c>
      <c r="M2965" t="s">
        <v>673</v>
      </c>
      <c r="N2965" s="166">
        <v>23.9</v>
      </c>
      <c r="O2965" t="s">
        <v>131</v>
      </c>
    </row>
    <row r="2966" spans="1:15">
      <c r="A2966" s="166" t="s">
        <v>3738</v>
      </c>
      <c r="B2966" t="s">
        <v>111</v>
      </c>
      <c r="C2966" t="s">
        <v>134</v>
      </c>
      <c r="D2966" t="s">
        <v>116</v>
      </c>
      <c r="E2966" t="s">
        <v>418</v>
      </c>
      <c r="F2966" t="s">
        <v>7</v>
      </c>
      <c r="G2966" t="s">
        <v>130</v>
      </c>
      <c r="H2966" s="1">
        <v>46121</v>
      </c>
      <c r="I2966" t="s">
        <v>3739</v>
      </c>
      <c r="J2966" t="s">
        <v>3740</v>
      </c>
      <c r="K2966" t="s">
        <v>719</v>
      </c>
      <c r="L2966" t="s">
        <v>3501</v>
      </c>
      <c r="M2966" t="s">
        <v>917</v>
      </c>
      <c r="N2966" s="166">
        <v>22.5</v>
      </c>
      <c r="O2966" t="s">
        <v>131</v>
      </c>
    </row>
    <row r="2967" spans="1:15">
      <c r="A2967" s="166" t="s">
        <v>3741</v>
      </c>
      <c r="B2967" t="s">
        <v>111</v>
      </c>
      <c r="C2967" t="s">
        <v>641</v>
      </c>
      <c r="D2967" t="s">
        <v>116</v>
      </c>
      <c r="E2967" t="s">
        <v>418</v>
      </c>
      <c r="F2967" t="s">
        <v>7</v>
      </c>
      <c r="G2967" t="s">
        <v>130</v>
      </c>
      <c r="H2967" s="1">
        <v>46121</v>
      </c>
      <c r="I2967" t="s">
        <v>3742</v>
      </c>
      <c r="J2967" t="s">
        <v>3743</v>
      </c>
      <c r="K2967" t="s">
        <v>3744</v>
      </c>
      <c r="L2967" t="s">
        <v>1067</v>
      </c>
      <c r="M2967" t="s">
        <v>579</v>
      </c>
      <c r="N2967" s="166">
        <v>21.22</v>
      </c>
      <c r="O2967" t="s">
        <v>131</v>
      </c>
    </row>
    <row r="2968" spans="1:15">
      <c r="A2968" s="166" t="s">
        <v>3745</v>
      </c>
      <c r="B2968" t="s">
        <v>111</v>
      </c>
      <c r="C2968" t="s">
        <v>133</v>
      </c>
      <c r="D2968" t="s">
        <v>116</v>
      </c>
      <c r="E2968" t="s">
        <v>418</v>
      </c>
      <c r="F2968" t="s">
        <v>7</v>
      </c>
      <c r="G2968" t="s">
        <v>130</v>
      </c>
      <c r="H2968" s="1">
        <v>46121</v>
      </c>
      <c r="I2968" t="s">
        <v>3746</v>
      </c>
      <c r="J2968" t="s">
        <v>3747</v>
      </c>
      <c r="K2968" t="s">
        <v>2668</v>
      </c>
      <c r="L2968" t="s">
        <v>714</v>
      </c>
      <c r="M2968" t="s">
        <v>3748</v>
      </c>
      <c r="N2968" s="166">
        <v>23.76</v>
      </c>
      <c r="O2968" t="s">
        <v>131</v>
      </c>
    </row>
    <row r="2969" spans="1:15">
      <c r="A2969" s="166" t="s">
        <v>1251</v>
      </c>
      <c r="B2969" t="s">
        <v>111</v>
      </c>
      <c r="C2969" t="s">
        <v>134</v>
      </c>
      <c r="D2969" t="s">
        <v>116</v>
      </c>
      <c r="E2969" t="s">
        <v>418</v>
      </c>
      <c r="F2969" t="s">
        <v>7</v>
      </c>
      <c r="G2969" t="s">
        <v>130</v>
      </c>
      <c r="H2969" s="1">
        <v>46121</v>
      </c>
      <c r="I2969" t="s">
        <v>3749</v>
      </c>
      <c r="J2969" t="s">
        <v>3750</v>
      </c>
      <c r="K2969" t="s">
        <v>999</v>
      </c>
      <c r="L2969" t="s">
        <v>3751</v>
      </c>
      <c r="M2969" t="s">
        <v>2254</v>
      </c>
      <c r="N2969" s="166">
        <v>23.68</v>
      </c>
      <c r="O2969" t="s">
        <v>131</v>
      </c>
    </row>
    <row r="2970" spans="1:15">
      <c r="A2970" s="166" t="s">
        <v>3752</v>
      </c>
      <c r="B2970" t="s">
        <v>111</v>
      </c>
      <c r="C2970" t="s">
        <v>641</v>
      </c>
      <c r="D2970" t="s">
        <v>116</v>
      </c>
      <c r="E2970" t="s">
        <v>418</v>
      </c>
      <c r="F2970" t="s">
        <v>7</v>
      </c>
      <c r="G2970" t="s">
        <v>130</v>
      </c>
      <c r="H2970" s="1">
        <v>46121</v>
      </c>
      <c r="I2970" t="s">
        <v>3753</v>
      </c>
      <c r="J2970" t="s">
        <v>3754</v>
      </c>
      <c r="K2970" t="s">
        <v>519</v>
      </c>
      <c r="L2970" t="s">
        <v>1301</v>
      </c>
      <c r="M2970" t="s">
        <v>1237</v>
      </c>
      <c r="N2970" s="166">
        <v>20.059999999999999</v>
      </c>
      <c r="O2970" t="s">
        <v>131</v>
      </c>
    </row>
    <row r="2971" spans="1:15">
      <c r="A2971" s="166" t="s">
        <v>3755</v>
      </c>
      <c r="B2971" t="s">
        <v>111</v>
      </c>
      <c r="C2971" t="s">
        <v>133</v>
      </c>
      <c r="D2971" t="s">
        <v>116</v>
      </c>
      <c r="E2971" t="s">
        <v>418</v>
      </c>
      <c r="F2971" t="s">
        <v>7</v>
      </c>
      <c r="G2971" t="s">
        <v>130</v>
      </c>
      <c r="H2971" s="1">
        <v>46121</v>
      </c>
      <c r="I2971" t="s">
        <v>3756</v>
      </c>
      <c r="J2971" t="s">
        <v>3757</v>
      </c>
      <c r="K2971" t="s">
        <v>1727</v>
      </c>
      <c r="L2971" t="s">
        <v>831</v>
      </c>
      <c r="M2971" t="s">
        <v>3199</v>
      </c>
      <c r="N2971" s="166">
        <v>24.08</v>
      </c>
      <c r="O2971" t="s">
        <v>131</v>
      </c>
    </row>
    <row r="2972" spans="1:15">
      <c r="A2972" s="166" t="s">
        <v>3758</v>
      </c>
      <c r="B2972" t="s">
        <v>111</v>
      </c>
      <c r="C2972" t="s">
        <v>641</v>
      </c>
      <c r="D2972" t="s">
        <v>116</v>
      </c>
      <c r="E2972" t="s">
        <v>418</v>
      </c>
      <c r="F2972" t="s">
        <v>7</v>
      </c>
      <c r="G2972" t="s">
        <v>130</v>
      </c>
      <c r="H2972" s="1">
        <v>46121</v>
      </c>
      <c r="I2972" t="s">
        <v>3759</v>
      </c>
      <c r="J2972" t="s">
        <v>3760</v>
      </c>
      <c r="K2972" t="s">
        <v>214</v>
      </c>
      <c r="L2972" t="s">
        <v>3646</v>
      </c>
      <c r="M2972" t="s">
        <v>1404</v>
      </c>
      <c r="N2972" s="166">
        <v>18.579999999999998</v>
      </c>
      <c r="O2972" t="s">
        <v>131</v>
      </c>
    </row>
    <row r="2973" spans="1:15">
      <c r="A2973" s="166" t="s">
        <v>3761</v>
      </c>
      <c r="B2973" t="s">
        <v>111</v>
      </c>
      <c r="C2973" t="s">
        <v>134</v>
      </c>
      <c r="D2973" t="s">
        <v>116</v>
      </c>
      <c r="E2973" t="s">
        <v>418</v>
      </c>
      <c r="F2973" t="s">
        <v>7</v>
      </c>
      <c r="G2973" t="s">
        <v>130</v>
      </c>
      <c r="H2973" s="1">
        <v>46121</v>
      </c>
      <c r="I2973" t="s">
        <v>3762</v>
      </c>
      <c r="J2973" t="s">
        <v>3763</v>
      </c>
      <c r="K2973" t="s">
        <v>3764</v>
      </c>
      <c r="L2973" t="s">
        <v>3372</v>
      </c>
      <c r="M2973" t="s">
        <v>3765</v>
      </c>
      <c r="N2973" s="166">
        <v>22.7</v>
      </c>
      <c r="O2973" t="s">
        <v>131</v>
      </c>
    </row>
    <row r="2974" spans="1:15">
      <c r="A2974" s="166" t="s">
        <v>3766</v>
      </c>
      <c r="B2974" t="s">
        <v>111</v>
      </c>
      <c r="C2974" t="s">
        <v>133</v>
      </c>
      <c r="D2974" t="s">
        <v>116</v>
      </c>
      <c r="E2974" t="s">
        <v>418</v>
      </c>
      <c r="F2974" t="s">
        <v>7</v>
      </c>
      <c r="G2974" t="s">
        <v>130</v>
      </c>
      <c r="H2974" s="1">
        <v>46121</v>
      </c>
      <c r="I2974" t="s">
        <v>3767</v>
      </c>
      <c r="J2974" t="s">
        <v>3768</v>
      </c>
      <c r="K2974" t="s">
        <v>221</v>
      </c>
      <c r="L2974" t="s">
        <v>672</v>
      </c>
      <c r="M2974" t="s">
        <v>1623</v>
      </c>
      <c r="N2974" s="166">
        <v>23.5</v>
      </c>
      <c r="O2974" t="s">
        <v>131</v>
      </c>
    </row>
    <row r="2975" spans="1:15">
      <c r="A2975" s="166" t="s">
        <v>3769</v>
      </c>
      <c r="B2975" t="s">
        <v>111</v>
      </c>
      <c r="C2975" t="s">
        <v>133</v>
      </c>
      <c r="D2975" t="s">
        <v>116</v>
      </c>
      <c r="E2975" t="s">
        <v>418</v>
      </c>
      <c r="F2975" t="s">
        <v>7</v>
      </c>
      <c r="G2975" t="s">
        <v>130</v>
      </c>
      <c r="H2975" s="1">
        <v>46121</v>
      </c>
      <c r="I2975" t="s">
        <v>3770</v>
      </c>
      <c r="J2975" t="s">
        <v>3771</v>
      </c>
      <c r="K2975" t="s">
        <v>806</v>
      </c>
      <c r="L2975" t="s">
        <v>2184</v>
      </c>
      <c r="M2975" t="s">
        <v>182</v>
      </c>
      <c r="N2975" s="166">
        <v>23.74</v>
      </c>
      <c r="O2975" t="s">
        <v>131</v>
      </c>
    </row>
    <row r="2976" spans="1:15">
      <c r="A2976" s="166" t="s">
        <v>3772</v>
      </c>
      <c r="B2976" t="s">
        <v>111</v>
      </c>
      <c r="C2976" t="s">
        <v>134</v>
      </c>
      <c r="D2976" t="s">
        <v>116</v>
      </c>
      <c r="E2976" t="s">
        <v>418</v>
      </c>
      <c r="F2976" t="s">
        <v>7</v>
      </c>
      <c r="G2976" t="s">
        <v>130</v>
      </c>
      <c r="H2976" s="1">
        <v>46121</v>
      </c>
      <c r="I2976" t="s">
        <v>3773</v>
      </c>
      <c r="J2976" t="s">
        <v>3774</v>
      </c>
      <c r="K2976" t="s">
        <v>2825</v>
      </c>
      <c r="L2976" t="s">
        <v>3775</v>
      </c>
      <c r="M2976" t="s">
        <v>846</v>
      </c>
      <c r="N2976" s="166">
        <v>23.04</v>
      </c>
      <c r="O2976" t="s">
        <v>131</v>
      </c>
    </row>
    <row r="2977" spans="1:15">
      <c r="A2977" s="166" t="s">
        <v>3776</v>
      </c>
      <c r="B2977" t="s">
        <v>111</v>
      </c>
      <c r="C2977" t="s">
        <v>641</v>
      </c>
      <c r="D2977" t="s">
        <v>116</v>
      </c>
      <c r="E2977" t="s">
        <v>418</v>
      </c>
      <c r="F2977" t="s">
        <v>7</v>
      </c>
      <c r="G2977" t="s">
        <v>130</v>
      </c>
      <c r="H2977" s="1">
        <v>46121</v>
      </c>
      <c r="I2977" t="s">
        <v>3777</v>
      </c>
      <c r="J2977" t="s">
        <v>3778</v>
      </c>
      <c r="K2977" t="s">
        <v>1834</v>
      </c>
      <c r="L2977" t="s">
        <v>2116</v>
      </c>
      <c r="M2977" t="s">
        <v>1347</v>
      </c>
      <c r="N2977" s="166">
        <v>19.2</v>
      </c>
      <c r="O2977" t="s">
        <v>131</v>
      </c>
    </row>
    <row r="2978" spans="1:15">
      <c r="A2978" s="166" t="s">
        <v>3779</v>
      </c>
      <c r="B2978" t="s">
        <v>111</v>
      </c>
      <c r="C2978" t="s">
        <v>133</v>
      </c>
      <c r="D2978" t="s">
        <v>116</v>
      </c>
      <c r="E2978" t="s">
        <v>418</v>
      </c>
      <c r="F2978" t="s">
        <v>7</v>
      </c>
      <c r="G2978" t="s">
        <v>130</v>
      </c>
      <c r="H2978" s="1">
        <v>46121</v>
      </c>
      <c r="I2978" t="s">
        <v>3780</v>
      </c>
      <c r="J2978" t="s">
        <v>3781</v>
      </c>
      <c r="K2978" t="s">
        <v>2643</v>
      </c>
      <c r="L2978" t="s">
        <v>2127</v>
      </c>
      <c r="M2978" t="s">
        <v>3782</v>
      </c>
      <c r="N2978" s="166">
        <v>24.04</v>
      </c>
      <c r="O2978" t="s">
        <v>131</v>
      </c>
    </row>
    <row r="2979" spans="1:15">
      <c r="A2979" s="166" t="s">
        <v>3783</v>
      </c>
      <c r="B2979" t="s">
        <v>111</v>
      </c>
      <c r="C2979" t="s">
        <v>134</v>
      </c>
      <c r="D2979" t="s">
        <v>116</v>
      </c>
      <c r="E2979" t="s">
        <v>418</v>
      </c>
      <c r="F2979" t="s">
        <v>7</v>
      </c>
      <c r="G2979" t="s">
        <v>130</v>
      </c>
      <c r="H2979" s="1">
        <v>46121</v>
      </c>
      <c r="I2979" t="s">
        <v>3784</v>
      </c>
      <c r="J2979" t="s">
        <v>3785</v>
      </c>
      <c r="K2979" t="s">
        <v>2217</v>
      </c>
      <c r="L2979" t="s">
        <v>2024</v>
      </c>
      <c r="M2979" t="s">
        <v>2645</v>
      </c>
      <c r="N2979" s="166">
        <v>23.94</v>
      </c>
      <c r="O2979" t="s">
        <v>131</v>
      </c>
    </row>
    <row r="2980" spans="1:15">
      <c r="A2980" s="166" t="s">
        <v>3786</v>
      </c>
      <c r="B2980" t="s">
        <v>111</v>
      </c>
      <c r="C2980" t="s">
        <v>641</v>
      </c>
      <c r="D2980" t="s">
        <v>116</v>
      </c>
      <c r="E2980" t="s">
        <v>418</v>
      </c>
      <c r="F2980" t="s">
        <v>7</v>
      </c>
      <c r="G2980" t="s">
        <v>130</v>
      </c>
      <c r="H2980" s="1">
        <v>46121</v>
      </c>
      <c r="I2980" t="s">
        <v>3787</v>
      </c>
      <c r="J2980" t="s">
        <v>3788</v>
      </c>
      <c r="K2980" t="s">
        <v>2830</v>
      </c>
      <c r="L2980" t="s">
        <v>1499</v>
      </c>
      <c r="M2980" t="s">
        <v>2259</v>
      </c>
      <c r="N2980" s="166">
        <v>26.9</v>
      </c>
      <c r="O2980" t="s">
        <v>131</v>
      </c>
    </row>
    <row r="2981" spans="1:15">
      <c r="A2981" s="166" t="s">
        <v>3789</v>
      </c>
      <c r="B2981" t="s">
        <v>111</v>
      </c>
      <c r="C2981" t="s">
        <v>133</v>
      </c>
      <c r="D2981" t="s">
        <v>116</v>
      </c>
      <c r="E2981" t="s">
        <v>418</v>
      </c>
      <c r="F2981" t="s">
        <v>7</v>
      </c>
      <c r="G2981" t="s">
        <v>130</v>
      </c>
      <c r="H2981" s="1">
        <v>46121</v>
      </c>
      <c r="I2981" t="s">
        <v>3790</v>
      </c>
      <c r="J2981" t="s">
        <v>3791</v>
      </c>
      <c r="K2981" t="s">
        <v>3730</v>
      </c>
      <c r="L2981" t="s">
        <v>3575</v>
      </c>
      <c r="M2981" t="s">
        <v>3689</v>
      </c>
      <c r="N2981" s="166">
        <v>25.44</v>
      </c>
      <c r="O2981" t="s">
        <v>131</v>
      </c>
    </row>
    <row r="2982" spans="1:15">
      <c r="A2982" s="166" t="s">
        <v>3792</v>
      </c>
      <c r="B2982" t="s">
        <v>111</v>
      </c>
      <c r="C2982" t="s">
        <v>134</v>
      </c>
      <c r="D2982" t="s">
        <v>116</v>
      </c>
      <c r="E2982" t="s">
        <v>418</v>
      </c>
      <c r="F2982" t="s">
        <v>7</v>
      </c>
      <c r="G2982" t="s">
        <v>130</v>
      </c>
      <c r="H2982" s="1">
        <v>46121</v>
      </c>
      <c r="I2982" t="s">
        <v>3793</v>
      </c>
      <c r="J2982" t="s">
        <v>3794</v>
      </c>
      <c r="K2982" t="s">
        <v>3795</v>
      </c>
      <c r="L2982" t="s">
        <v>3775</v>
      </c>
      <c r="M2982" t="s">
        <v>851</v>
      </c>
      <c r="N2982" s="166">
        <v>24.34</v>
      </c>
      <c r="O2982" t="s">
        <v>131</v>
      </c>
    </row>
    <row r="2983" spans="1:15">
      <c r="A2983" s="166" t="s">
        <v>3796</v>
      </c>
      <c r="B2983" t="s">
        <v>111</v>
      </c>
      <c r="C2983" t="s">
        <v>641</v>
      </c>
      <c r="D2983" t="s">
        <v>116</v>
      </c>
      <c r="E2983" t="s">
        <v>418</v>
      </c>
      <c r="F2983" t="s">
        <v>7</v>
      </c>
      <c r="G2983" t="s">
        <v>130</v>
      </c>
      <c r="H2983" s="1">
        <v>46121</v>
      </c>
      <c r="I2983" t="s">
        <v>3797</v>
      </c>
      <c r="J2983" t="s">
        <v>3798</v>
      </c>
      <c r="K2983" t="s">
        <v>3070</v>
      </c>
      <c r="L2983" t="s">
        <v>144</v>
      </c>
      <c r="M2983" t="s">
        <v>3799</v>
      </c>
      <c r="N2983" s="166">
        <v>24.24</v>
      </c>
      <c r="O2983" t="s">
        <v>131</v>
      </c>
    </row>
    <row r="2984" spans="1:15">
      <c r="A2984" s="166" t="s">
        <v>3800</v>
      </c>
      <c r="B2984" t="s">
        <v>111</v>
      </c>
      <c r="C2984" t="s">
        <v>133</v>
      </c>
      <c r="D2984" t="s">
        <v>116</v>
      </c>
      <c r="E2984" t="s">
        <v>418</v>
      </c>
      <c r="F2984" t="s">
        <v>7</v>
      </c>
      <c r="G2984" t="s">
        <v>130</v>
      </c>
      <c r="H2984" s="1">
        <v>46121</v>
      </c>
      <c r="I2984" t="s">
        <v>3801</v>
      </c>
      <c r="J2984" t="s">
        <v>3802</v>
      </c>
      <c r="K2984" t="s">
        <v>900</v>
      </c>
      <c r="L2984" t="s">
        <v>948</v>
      </c>
      <c r="M2984" t="s">
        <v>170</v>
      </c>
      <c r="N2984" s="166">
        <v>25.58</v>
      </c>
      <c r="O2984" t="s">
        <v>131</v>
      </c>
    </row>
    <row r="2985" spans="1:15">
      <c r="A2985" s="166" t="s">
        <v>3803</v>
      </c>
      <c r="B2985" t="s">
        <v>111</v>
      </c>
      <c r="C2985" t="s">
        <v>134</v>
      </c>
      <c r="D2985" t="s">
        <v>116</v>
      </c>
      <c r="E2985" t="s">
        <v>418</v>
      </c>
      <c r="F2985" t="s">
        <v>7</v>
      </c>
      <c r="G2985" t="s">
        <v>130</v>
      </c>
      <c r="H2985" s="1">
        <v>46121</v>
      </c>
      <c r="I2985" t="s">
        <v>3804</v>
      </c>
      <c r="J2985" t="s">
        <v>3805</v>
      </c>
      <c r="K2985" t="s">
        <v>2732</v>
      </c>
      <c r="L2985" t="s">
        <v>1168</v>
      </c>
      <c r="M2985" t="s">
        <v>726</v>
      </c>
      <c r="N2985" s="166">
        <v>24.36</v>
      </c>
      <c r="O2985" t="s">
        <v>131</v>
      </c>
    </row>
    <row r="2986" spans="1:15">
      <c r="A2986" s="166" t="s">
        <v>3806</v>
      </c>
      <c r="B2986" t="s">
        <v>111</v>
      </c>
      <c r="C2986" t="s">
        <v>641</v>
      </c>
      <c r="D2986" t="s">
        <v>116</v>
      </c>
      <c r="E2986" t="s">
        <v>418</v>
      </c>
      <c r="F2986" t="s">
        <v>7</v>
      </c>
      <c r="G2986" t="s">
        <v>130</v>
      </c>
      <c r="H2986" s="1">
        <v>46121</v>
      </c>
      <c r="I2986" t="s">
        <v>3807</v>
      </c>
      <c r="J2986" t="s">
        <v>3808</v>
      </c>
      <c r="K2986" t="s">
        <v>3809</v>
      </c>
      <c r="L2986" t="s">
        <v>193</v>
      </c>
      <c r="M2986" t="s">
        <v>585</v>
      </c>
      <c r="N2986" s="166">
        <v>24.88</v>
      </c>
      <c r="O2986" t="s">
        <v>131</v>
      </c>
    </row>
    <row r="2987" spans="1:15">
      <c r="A2987" s="166" t="s">
        <v>3810</v>
      </c>
      <c r="B2987" t="s">
        <v>111</v>
      </c>
      <c r="C2987" t="s">
        <v>133</v>
      </c>
      <c r="D2987" t="s">
        <v>116</v>
      </c>
      <c r="E2987" t="s">
        <v>418</v>
      </c>
      <c r="F2987" t="s">
        <v>7</v>
      </c>
      <c r="G2987" t="s">
        <v>130</v>
      </c>
      <c r="H2987" s="1">
        <v>46121</v>
      </c>
      <c r="I2987" t="s">
        <v>3811</v>
      </c>
      <c r="J2987" t="s">
        <v>3812</v>
      </c>
      <c r="K2987" t="s">
        <v>1689</v>
      </c>
      <c r="L2987" t="s">
        <v>3813</v>
      </c>
      <c r="M2987" t="s">
        <v>3814</v>
      </c>
      <c r="N2987" s="166">
        <v>22.08</v>
      </c>
      <c r="O2987" t="s">
        <v>131</v>
      </c>
    </row>
    <row r="2988" spans="1:15">
      <c r="A2988" s="166" t="s">
        <v>3815</v>
      </c>
      <c r="B2988" t="s">
        <v>111</v>
      </c>
      <c r="C2988" t="s">
        <v>134</v>
      </c>
      <c r="D2988" t="s">
        <v>116</v>
      </c>
      <c r="E2988" t="s">
        <v>418</v>
      </c>
      <c r="F2988" t="s">
        <v>7</v>
      </c>
      <c r="G2988" t="s">
        <v>130</v>
      </c>
      <c r="H2988" s="1">
        <v>46121</v>
      </c>
      <c r="I2988" t="s">
        <v>3816</v>
      </c>
      <c r="J2988" t="s">
        <v>3817</v>
      </c>
      <c r="K2988" t="s">
        <v>3070</v>
      </c>
      <c r="L2988" t="s">
        <v>1369</v>
      </c>
      <c r="M2988" t="s">
        <v>639</v>
      </c>
      <c r="N2988" s="166">
        <v>21.02</v>
      </c>
      <c r="O2988" t="s">
        <v>131</v>
      </c>
    </row>
    <row r="2989" spans="1:15">
      <c r="A2989" s="166" t="s">
        <v>3818</v>
      </c>
      <c r="B2989" t="s">
        <v>111</v>
      </c>
      <c r="C2989" t="s">
        <v>641</v>
      </c>
      <c r="D2989" t="s">
        <v>116</v>
      </c>
      <c r="E2989" t="s">
        <v>418</v>
      </c>
      <c r="F2989" t="s">
        <v>7</v>
      </c>
      <c r="G2989" t="s">
        <v>130</v>
      </c>
      <c r="H2989" s="1">
        <v>46121</v>
      </c>
      <c r="I2989" t="s">
        <v>3819</v>
      </c>
      <c r="J2989" t="s">
        <v>3820</v>
      </c>
      <c r="K2989" t="s">
        <v>649</v>
      </c>
      <c r="L2989" t="s">
        <v>611</v>
      </c>
      <c r="M2989" t="s">
        <v>546</v>
      </c>
      <c r="N2989" s="166">
        <v>22.38</v>
      </c>
      <c r="O2989" t="s">
        <v>131</v>
      </c>
    </row>
    <row r="2990" spans="1:15">
      <c r="A2990" s="166" t="s">
        <v>3821</v>
      </c>
      <c r="B2990" t="s">
        <v>111</v>
      </c>
      <c r="C2990" t="s">
        <v>134</v>
      </c>
      <c r="D2990" t="s">
        <v>116</v>
      </c>
      <c r="E2990" t="s">
        <v>418</v>
      </c>
      <c r="F2990" t="s">
        <v>7</v>
      </c>
      <c r="G2990" t="s">
        <v>130</v>
      </c>
      <c r="H2990" s="1">
        <v>46121</v>
      </c>
      <c r="I2990" t="s">
        <v>3822</v>
      </c>
      <c r="J2990" t="s">
        <v>3823</v>
      </c>
      <c r="K2990" t="s">
        <v>1767</v>
      </c>
      <c r="L2990" t="s">
        <v>1173</v>
      </c>
      <c r="M2990" t="s">
        <v>3203</v>
      </c>
      <c r="N2990" s="166">
        <v>20.76</v>
      </c>
      <c r="O2990" t="s">
        <v>131</v>
      </c>
    </row>
    <row r="2991" spans="1:15">
      <c r="A2991" s="166" t="s">
        <v>3824</v>
      </c>
      <c r="B2991" t="s">
        <v>111</v>
      </c>
      <c r="C2991" t="s">
        <v>133</v>
      </c>
      <c r="D2991" t="s">
        <v>116</v>
      </c>
      <c r="E2991" t="s">
        <v>418</v>
      </c>
      <c r="F2991" t="s">
        <v>7</v>
      </c>
      <c r="G2991" t="s">
        <v>130</v>
      </c>
      <c r="H2991" s="1">
        <v>46121</v>
      </c>
      <c r="I2991" t="s">
        <v>3825</v>
      </c>
      <c r="J2991" t="s">
        <v>3826</v>
      </c>
      <c r="K2991" t="s">
        <v>2781</v>
      </c>
      <c r="L2991" t="s">
        <v>3040</v>
      </c>
      <c r="M2991" t="s">
        <v>198</v>
      </c>
      <c r="N2991" s="166">
        <v>24.54</v>
      </c>
      <c r="O2991" t="s">
        <v>131</v>
      </c>
    </row>
    <row r="2992" spans="1:15">
      <c r="A2992" s="166" t="s">
        <v>3827</v>
      </c>
      <c r="B2992" t="s">
        <v>111</v>
      </c>
      <c r="C2992" t="s">
        <v>641</v>
      </c>
      <c r="D2992" t="s">
        <v>116</v>
      </c>
      <c r="E2992" t="s">
        <v>418</v>
      </c>
      <c r="F2992" t="s">
        <v>7</v>
      </c>
      <c r="G2992" t="s">
        <v>130</v>
      </c>
      <c r="H2992" s="1">
        <v>46121</v>
      </c>
      <c r="I2992" t="s">
        <v>3828</v>
      </c>
      <c r="J2992" t="s">
        <v>3829</v>
      </c>
      <c r="K2992" t="s">
        <v>3133</v>
      </c>
      <c r="L2992" t="s">
        <v>730</v>
      </c>
      <c r="M2992" t="s">
        <v>183</v>
      </c>
      <c r="N2992" s="166">
        <v>21.64</v>
      </c>
      <c r="O2992" t="s">
        <v>131</v>
      </c>
    </row>
    <row r="2993" spans="1:15">
      <c r="A2993" s="166" t="s">
        <v>3830</v>
      </c>
      <c r="B2993" t="s">
        <v>111</v>
      </c>
      <c r="C2993" t="s">
        <v>134</v>
      </c>
      <c r="D2993" t="s">
        <v>116</v>
      </c>
      <c r="E2993" t="s">
        <v>418</v>
      </c>
      <c r="F2993" t="s">
        <v>7</v>
      </c>
      <c r="G2993" t="s">
        <v>130</v>
      </c>
      <c r="H2993" s="1">
        <v>46121</v>
      </c>
      <c r="I2993" t="s">
        <v>3831</v>
      </c>
      <c r="J2993" t="s">
        <v>3832</v>
      </c>
      <c r="K2993" t="s">
        <v>3833</v>
      </c>
      <c r="L2993" t="s">
        <v>1425</v>
      </c>
      <c r="M2993" t="s">
        <v>639</v>
      </c>
      <c r="N2993" s="166">
        <v>21.02</v>
      </c>
      <c r="O2993" t="s">
        <v>131</v>
      </c>
    </row>
    <row r="2994" spans="1:15">
      <c r="A2994" s="166" t="s">
        <v>3834</v>
      </c>
      <c r="B2994" t="s">
        <v>111</v>
      </c>
      <c r="C2994" t="s">
        <v>133</v>
      </c>
      <c r="D2994" t="s">
        <v>116</v>
      </c>
      <c r="E2994" t="s">
        <v>418</v>
      </c>
      <c r="F2994" t="s">
        <v>7</v>
      </c>
      <c r="G2994" t="s">
        <v>130</v>
      </c>
      <c r="H2994" s="1">
        <v>46121</v>
      </c>
      <c r="I2994" t="s">
        <v>3835</v>
      </c>
      <c r="J2994" t="s">
        <v>3836</v>
      </c>
      <c r="K2994" t="s">
        <v>2843</v>
      </c>
      <c r="L2994" t="s">
        <v>3751</v>
      </c>
      <c r="M2994" t="s">
        <v>1206</v>
      </c>
      <c r="N2994" s="166">
        <v>22.66</v>
      </c>
      <c r="O2994" t="s">
        <v>131</v>
      </c>
    </row>
    <row r="2995" spans="1:15">
      <c r="A2995" s="166" t="s">
        <v>3837</v>
      </c>
      <c r="B2995" t="s">
        <v>111</v>
      </c>
      <c r="C2995" t="s">
        <v>641</v>
      </c>
      <c r="D2995" t="s">
        <v>116</v>
      </c>
      <c r="E2995" t="s">
        <v>418</v>
      </c>
      <c r="F2995" t="s">
        <v>7</v>
      </c>
      <c r="G2995" t="s">
        <v>130</v>
      </c>
      <c r="H2995" s="1">
        <v>46121</v>
      </c>
      <c r="I2995" t="s">
        <v>3838</v>
      </c>
      <c r="J2995" t="s">
        <v>3839</v>
      </c>
      <c r="K2995" t="s">
        <v>497</v>
      </c>
      <c r="L2995" t="s">
        <v>714</v>
      </c>
      <c r="M2995" t="s">
        <v>2158</v>
      </c>
      <c r="N2995" s="166">
        <v>20.94</v>
      </c>
      <c r="O2995" t="s">
        <v>131</v>
      </c>
    </row>
    <row r="2996" spans="1:15">
      <c r="A2996" s="166" t="s">
        <v>3840</v>
      </c>
      <c r="B2996" t="s">
        <v>111</v>
      </c>
      <c r="C2996" t="s">
        <v>134</v>
      </c>
      <c r="D2996" t="s">
        <v>116</v>
      </c>
      <c r="E2996" t="s">
        <v>418</v>
      </c>
      <c r="F2996" t="s">
        <v>7</v>
      </c>
      <c r="G2996" t="s">
        <v>130</v>
      </c>
      <c r="H2996" s="1">
        <v>46121</v>
      </c>
      <c r="I2996" t="s">
        <v>3841</v>
      </c>
      <c r="J2996" t="s">
        <v>3842</v>
      </c>
      <c r="K2996" t="s">
        <v>237</v>
      </c>
      <c r="L2996" t="s">
        <v>2502</v>
      </c>
      <c r="M2996" t="s">
        <v>3843</v>
      </c>
      <c r="N2996" s="166">
        <v>20.8</v>
      </c>
      <c r="O2996" t="s">
        <v>131</v>
      </c>
    </row>
    <row r="2997" spans="1:15">
      <c r="A2997" s="166" t="s">
        <v>3844</v>
      </c>
      <c r="B2997" t="s">
        <v>111</v>
      </c>
      <c r="C2997" t="s">
        <v>133</v>
      </c>
      <c r="D2997" t="s">
        <v>116</v>
      </c>
      <c r="E2997" t="s">
        <v>418</v>
      </c>
      <c r="F2997" t="s">
        <v>7</v>
      </c>
      <c r="G2997" t="s">
        <v>130</v>
      </c>
      <c r="H2997" s="1">
        <v>46121</v>
      </c>
      <c r="I2997" t="s">
        <v>3845</v>
      </c>
      <c r="J2997" t="s">
        <v>3846</v>
      </c>
      <c r="K2997" t="s">
        <v>160</v>
      </c>
      <c r="L2997" t="s">
        <v>1296</v>
      </c>
      <c r="M2997" t="s">
        <v>2086</v>
      </c>
      <c r="N2997" s="166">
        <v>19.559999999999999</v>
      </c>
      <c r="O2997" t="s">
        <v>131</v>
      </c>
    </row>
    <row r="2998" spans="1:15">
      <c r="A2998" s="166" t="s">
        <v>3847</v>
      </c>
      <c r="B2998" t="s">
        <v>111</v>
      </c>
      <c r="C2998" t="s">
        <v>641</v>
      </c>
      <c r="D2998" t="s">
        <v>116</v>
      </c>
      <c r="E2998" t="s">
        <v>418</v>
      </c>
      <c r="F2998" t="s">
        <v>7</v>
      </c>
      <c r="G2998" t="s">
        <v>130</v>
      </c>
      <c r="H2998" s="1">
        <v>46121</v>
      </c>
      <c r="I2998" t="s">
        <v>3848</v>
      </c>
      <c r="J2998" t="s">
        <v>3849</v>
      </c>
      <c r="K2998" t="s">
        <v>2661</v>
      </c>
      <c r="L2998" t="s">
        <v>730</v>
      </c>
      <c r="M2998" t="s">
        <v>2697</v>
      </c>
      <c r="N2998" s="166">
        <v>23.86</v>
      </c>
      <c r="O2998" t="s">
        <v>131</v>
      </c>
    </row>
    <row r="2999" spans="1:15">
      <c r="A2999" s="166" t="s">
        <v>3850</v>
      </c>
      <c r="B2999" t="s">
        <v>111</v>
      </c>
      <c r="C2999" t="s">
        <v>134</v>
      </c>
      <c r="D2999" t="s">
        <v>116</v>
      </c>
      <c r="E2999" t="s">
        <v>418</v>
      </c>
      <c r="F2999" t="s">
        <v>7</v>
      </c>
      <c r="G2999" t="s">
        <v>130</v>
      </c>
      <c r="H2999" s="1">
        <v>46121</v>
      </c>
      <c r="I2999" t="s">
        <v>3851</v>
      </c>
      <c r="J2999" t="s">
        <v>3852</v>
      </c>
      <c r="K2999" t="s">
        <v>3853</v>
      </c>
      <c r="L2999" t="s">
        <v>1757</v>
      </c>
      <c r="M2999" t="s">
        <v>1145</v>
      </c>
      <c r="N2999" s="166">
        <v>19.579999999999998</v>
      </c>
      <c r="O2999" t="s">
        <v>131</v>
      </c>
    </row>
    <row r="3000" spans="1:15">
      <c r="A3000" s="166" t="s">
        <v>3854</v>
      </c>
      <c r="B3000" t="s">
        <v>111</v>
      </c>
      <c r="C3000" t="s">
        <v>133</v>
      </c>
      <c r="D3000" t="s">
        <v>116</v>
      </c>
      <c r="E3000" t="s">
        <v>418</v>
      </c>
      <c r="F3000" t="s">
        <v>7</v>
      </c>
      <c r="G3000" t="s">
        <v>130</v>
      </c>
      <c r="H3000" s="1">
        <v>46121</v>
      </c>
      <c r="I3000" t="s">
        <v>3855</v>
      </c>
      <c r="J3000" t="s">
        <v>3856</v>
      </c>
      <c r="K3000" t="s">
        <v>3255</v>
      </c>
      <c r="L3000" t="s">
        <v>3857</v>
      </c>
      <c r="M3000" t="s">
        <v>145</v>
      </c>
      <c r="N3000" s="166">
        <v>21.3</v>
      </c>
      <c r="O3000" t="s">
        <v>131</v>
      </c>
    </row>
    <row r="3001" spans="1:15">
      <c r="A3001" s="166" t="s">
        <v>3858</v>
      </c>
      <c r="B3001" t="s">
        <v>111</v>
      </c>
      <c r="C3001" t="s">
        <v>641</v>
      </c>
      <c r="D3001" t="s">
        <v>116</v>
      </c>
      <c r="E3001" t="s">
        <v>418</v>
      </c>
      <c r="F3001" t="s">
        <v>7</v>
      </c>
      <c r="G3001" t="s">
        <v>130</v>
      </c>
      <c r="H3001" s="1">
        <v>46121</v>
      </c>
      <c r="I3001" t="s">
        <v>3859</v>
      </c>
      <c r="J3001" t="s">
        <v>3860</v>
      </c>
      <c r="K3001" t="s">
        <v>218</v>
      </c>
      <c r="L3001" t="s">
        <v>650</v>
      </c>
      <c r="M3001" t="s">
        <v>209</v>
      </c>
      <c r="N3001" s="166">
        <v>23.96</v>
      </c>
      <c r="O3001" t="s">
        <v>131</v>
      </c>
    </row>
    <row r="3002" spans="1:15">
      <c r="A3002" s="166" t="s">
        <v>3861</v>
      </c>
      <c r="B3002" t="s">
        <v>111</v>
      </c>
      <c r="C3002" t="s">
        <v>134</v>
      </c>
      <c r="D3002" t="s">
        <v>116</v>
      </c>
      <c r="E3002" t="s">
        <v>418</v>
      </c>
      <c r="F3002" t="s">
        <v>7</v>
      </c>
      <c r="G3002" t="s">
        <v>130</v>
      </c>
      <c r="H3002" s="1">
        <v>46121</v>
      </c>
      <c r="I3002" t="s">
        <v>3862</v>
      </c>
      <c r="J3002" t="s">
        <v>3863</v>
      </c>
      <c r="K3002" t="s">
        <v>3108</v>
      </c>
      <c r="L3002" t="s">
        <v>2474</v>
      </c>
      <c r="M3002" t="s">
        <v>3864</v>
      </c>
      <c r="N3002" s="166">
        <v>20.16</v>
      </c>
      <c r="O3002" t="s">
        <v>131</v>
      </c>
    </row>
    <row r="3003" spans="1:15">
      <c r="A3003" s="166" t="s">
        <v>3865</v>
      </c>
      <c r="B3003" t="s">
        <v>111</v>
      </c>
      <c r="C3003" t="s">
        <v>133</v>
      </c>
      <c r="D3003" t="s">
        <v>116</v>
      </c>
      <c r="E3003" t="s">
        <v>418</v>
      </c>
      <c r="F3003" t="s">
        <v>7</v>
      </c>
      <c r="G3003" t="s">
        <v>130</v>
      </c>
      <c r="H3003" s="1">
        <v>46121</v>
      </c>
      <c r="I3003" t="s">
        <v>3866</v>
      </c>
      <c r="J3003" t="s">
        <v>3867</v>
      </c>
      <c r="K3003" t="s">
        <v>2904</v>
      </c>
      <c r="L3003" t="s">
        <v>1132</v>
      </c>
      <c r="M3003" t="s">
        <v>2180</v>
      </c>
      <c r="N3003" s="166">
        <v>20.9</v>
      </c>
      <c r="O3003" t="s">
        <v>131</v>
      </c>
    </row>
    <row r="3004" spans="1:15">
      <c r="A3004" s="166" t="s">
        <v>3868</v>
      </c>
      <c r="B3004" t="s">
        <v>111</v>
      </c>
      <c r="C3004" t="s">
        <v>641</v>
      </c>
      <c r="D3004" t="s">
        <v>116</v>
      </c>
      <c r="E3004" t="s">
        <v>418</v>
      </c>
      <c r="F3004" t="s">
        <v>7</v>
      </c>
      <c r="G3004" t="s">
        <v>130</v>
      </c>
      <c r="H3004" s="1">
        <v>46121</v>
      </c>
      <c r="I3004" t="s">
        <v>3869</v>
      </c>
      <c r="J3004" t="s">
        <v>3870</v>
      </c>
      <c r="K3004" t="s">
        <v>3871</v>
      </c>
      <c r="L3004" t="s">
        <v>611</v>
      </c>
      <c r="M3004" t="s">
        <v>3623</v>
      </c>
      <c r="N3004" s="166">
        <v>23.3</v>
      </c>
      <c r="O3004" t="s">
        <v>131</v>
      </c>
    </row>
    <row r="3005" spans="1:15">
      <c r="A3005" s="166" t="s">
        <v>3872</v>
      </c>
      <c r="B3005" t="s">
        <v>111</v>
      </c>
      <c r="C3005" t="s">
        <v>134</v>
      </c>
      <c r="D3005" t="s">
        <v>116</v>
      </c>
      <c r="E3005" t="s">
        <v>418</v>
      </c>
      <c r="F3005" t="s">
        <v>7</v>
      </c>
      <c r="G3005" t="s">
        <v>130</v>
      </c>
      <c r="H3005" s="1">
        <v>46121</v>
      </c>
      <c r="I3005" t="s">
        <v>3873</v>
      </c>
      <c r="J3005" t="s">
        <v>3874</v>
      </c>
      <c r="K3005" t="s">
        <v>600</v>
      </c>
      <c r="L3005" t="s">
        <v>974</v>
      </c>
      <c r="M3005" t="s">
        <v>175</v>
      </c>
      <c r="N3005" s="166">
        <v>21.1</v>
      </c>
      <c r="O3005" t="s">
        <v>131</v>
      </c>
    </row>
    <row r="3006" spans="1:15">
      <c r="A3006" s="166" t="s">
        <v>3875</v>
      </c>
      <c r="B3006" t="s">
        <v>111</v>
      </c>
      <c r="C3006" t="s">
        <v>641</v>
      </c>
      <c r="D3006" t="s">
        <v>116</v>
      </c>
      <c r="E3006" t="s">
        <v>418</v>
      </c>
      <c r="F3006" t="s">
        <v>7</v>
      </c>
      <c r="G3006" t="s">
        <v>130</v>
      </c>
      <c r="H3006" s="1">
        <v>46121</v>
      </c>
      <c r="I3006" t="s">
        <v>3876</v>
      </c>
      <c r="J3006" t="s">
        <v>3877</v>
      </c>
      <c r="K3006" t="s">
        <v>1818</v>
      </c>
      <c r="L3006" t="s">
        <v>650</v>
      </c>
      <c r="M3006" t="s">
        <v>1797</v>
      </c>
      <c r="N3006" s="166">
        <v>20.260000000000002</v>
      </c>
      <c r="O3006" t="s">
        <v>131</v>
      </c>
    </row>
    <row r="3007" spans="1:15">
      <c r="A3007" s="166" t="s">
        <v>3878</v>
      </c>
      <c r="B3007" t="s">
        <v>111</v>
      </c>
      <c r="C3007" t="s">
        <v>133</v>
      </c>
      <c r="D3007" t="s">
        <v>116</v>
      </c>
      <c r="E3007" t="s">
        <v>418</v>
      </c>
      <c r="F3007" t="s">
        <v>7</v>
      </c>
      <c r="G3007" t="s">
        <v>130</v>
      </c>
      <c r="H3007" s="1">
        <v>46121</v>
      </c>
      <c r="I3007" t="s">
        <v>3879</v>
      </c>
      <c r="J3007" t="s">
        <v>3880</v>
      </c>
      <c r="K3007" t="s">
        <v>771</v>
      </c>
      <c r="L3007" t="s">
        <v>2067</v>
      </c>
      <c r="M3007" t="s">
        <v>3857</v>
      </c>
      <c r="N3007" s="166">
        <v>17.84</v>
      </c>
      <c r="O3007" t="s">
        <v>131</v>
      </c>
    </row>
    <row r="3008" spans="1:15">
      <c r="A3008" s="166" t="s">
        <v>3881</v>
      </c>
      <c r="B3008" t="s">
        <v>111</v>
      </c>
      <c r="C3008" t="s">
        <v>134</v>
      </c>
      <c r="D3008" t="s">
        <v>116</v>
      </c>
      <c r="E3008" t="s">
        <v>418</v>
      </c>
      <c r="F3008" t="s">
        <v>7</v>
      </c>
      <c r="G3008" t="s">
        <v>130</v>
      </c>
      <c r="H3008" s="1">
        <v>46121</v>
      </c>
      <c r="I3008" t="s">
        <v>3882</v>
      </c>
      <c r="J3008" t="s">
        <v>3883</v>
      </c>
      <c r="K3008" t="s">
        <v>1377</v>
      </c>
      <c r="L3008" t="s">
        <v>1662</v>
      </c>
      <c r="M3008" t="s">
        <v>1710</v>
      </c>
      <c r="N3008" s="166">
        <v>19.46</v>
      </c>
      <c r="O3008" t="s">
        <v>131</v>
      </c>
    </row>
    <row r="3009" spans="1:15">
      <c r="A3009" s="166" t="s">
        <v>1914</v>
      </c>
      <c r="B3009" t="s">
        <v>111</v>
      </c>
      <c r="C3009" t="s">
        <v>641</v>
      </c>
      <c r="D3009" t="s">
        <v>116</v>
      </c>
      <c r="E3009" t="s">
        <v>418</v>
      </c>
      <c r="F3009" t="s">
        <v>7</v>
      </c>
      <c r="G3009" t="s">
        <v>130</v>
      </c>
      <c r="H3009" s="1">
        <v>46121</v>
      </c>
      <c r="I3009" t="s">
        <v>3884</v>
      </c>
      <c r="J3009" t="s">
        <v>3885</v>
      </c>
      <c r="K3009" t="s">
        <v>421</v>
      </c>
      <c r="L3009" t="s">
        <v>725</v>
      </c>
      <c r="M3009" t="s">
        <v>1310</v>
      </c>
      <c r="N3009" s="166">
        <v>19.38</v>
      </c>
      <c r="O3009" t="s">
        <v>131</v>
      </c>
    </row>
    <row r="3010" spans="1:15">
      <c r="A3010" s="166" t="s">
        <v>3886</v>
      </c>
      <c r="B3010" t="s">
        <v>111</v>
      </c>
      <c r="C3010" t="s">
        <v>133</v>
      </c>
      <c r="D3010" t="s">
        <v>116</v>
      </c>
      <c r="E3010" t="s">
        <v>418</v>
      </c>
      <c r="F3010" t="s">
        <v>7</v>
      </c>
      <c r="G3010" t="s">
        <v>130</v>
      </c>
      <c r="H3010" s="1">
        <v>46121</v>
      </c>
      <c r="I3010" t="s">
        <v>3887</v>
      </c>
      <c r="J3010" t="s">
        <v>3888</v>
      </c>
      <c r="K3010" t="s">
        <v>1774</v>
      </c>
      <c r="L3010" t="s">
        <v>622</v>
      </c>
      <c r="M3010" t="s">
        <v>1385</v>
      </c>
      <c r="N3010" s="166">
        <v>19.78</v>
      </c>
      <c r="O3010" t="s">
        <v>131</v>
      </c>
    </row>
    <row r="3011" spans="1:15">
      <c r="A3011" s="166" t="s">
        <v>3889</v>
      </c>
      <c r="B3011" t="s">
        <v>111</v>
      </c>
      <c r="C3011" t="s">
        <v>134</v>
      </c>
      <c r="D3011" t="s">
        <v>116</v>
      </c>
      <c r="E3011" t="s">
        <v>418</v>
      </c>
      <c r="F3011" t="s">
        <v>7</v>
      </c>
      <c r="G3011" t="s">
        <v>130</v>
      </c>
      <c r="H3011" s="1">
        <v>46121</v>
      </c>
      <c r="I3011" t="s">
        <v>3890</v>
      </c>
      <c r="J3011" t="s">
        <v>3891</v>
      </c>
      <c r="K3011" t="s">
        <v>825</v>
      </c>
      <c r="L3011" t="s">
        <v>162</v>
      </c>
      <c r="M3011" t="s">
        <v>1145</v>
      </c>
      <c r="N3011" s="166">
        <v>19.579999999999998</v>
      </c>
      <c r="O3011" t="s">
        <v>131</v>
      </c>
    </row>
    <row r="3012" spans="1:15">
      <c r="A3012" s="166" t="s">
        <v>3892</v>
      </c>
      <c r="B3012" t="s">
        <v>111</v>
      </c>
      <c r="C3012" t="s">
        <v>641</v>
      </c>
      <c r="D3012" t="s">
        <v>116</v>
      </c>
      <c r="E3012" t="s">
        <v>418</v>
      </c>
      <c r="F3012" t="s">
        <v>7</v>
      </c>
      <c r="G3012" t="s">
        <v>130</v>
      </c>
      <c r="H3012" s="1">
        <v>46121</v>
      </c>
      <c r="I3012" t="s">
        <v>3893</v>
      </c>
      <c r="J3012" t="s">
        <v>3894</v>
      </c>
      <c r="K3012" t="s">
        <v>790</v>
      </c>
      <c r="L3012" t="s">
        <v>611</v>
      </c>
      <c r="M3012" t="s">
        <v>1086</v>
      </c>
      <c r="N3012" s="166">
        <v>18.82</v>
      </c>
      <c r="O3012" t="s">
        <v>131</v>
      </c>
    </row>
    <row r="3013" spans="1:15">
      <c r="A3013" s="166" t="s">
        <v>3895</v>
      </c>
      <c r="B3013" t="s">
        <v>111</v>
      </c>
      <c r="C3013" t="s">
        <v>133</v>
      </c>
      <c r="D3013" t="s">
        <v>116</v>
      </c>
      <c r="E3013" t="s">
        <v>418</v>
      </c>
      <c r="F3013" t="s">
        <v>7</v>
      </c>
      <c r="G3013" t="s">
        <v>130</v>
      </c>
      <c r="H3013" s="1">
        <v>46121</v>
      </c>
      <c r="I3013" t="s">
        <v>3896</v>
      </c>
      <c r="J3013" t="s">
        <v>3897</v>
      </c>
      <c r="K3013" t="s">
        <v>1420</v>
      </c>
      <c r="L3013" t="s">
        <v>193</v>
      </c>
      <c r="M3013" t="s">
        <v>3898</v>
      </c>
      <c r="N3013" s="166">
        <v>19.059999999999999</v>
      </c>
      <c r="O3013" t="s">
        <v>131</v>
      </c>
    </row>
    <row r="3014" spans="1:15">
      <c r="A3014" s="166" t="s">
        <v>3899</v>
      </c>
      <c r="B3014" t="s">
        <v>111</v>
      </c>
      <c r="C3014" t="s">
        <v>134</v>
      </c>
      <c r="D3014" t="s">
        <v>116</v>
      </c>
      <c r="E3014" t="s">
        <v>418</v>
      </c>
      <c r="F3014" t="s">
        <v>7</v>
      </c>
      <c r="G3014" t="s">
        <v>130</v>
      </c>
      <c r="H3014" s="1">
        <v>46121</v>
      </c>
      <c r="I3014" t="s">
        <v>3900</v>
      </c>
      <c r="J3014" t="s">
        <v>3901</v>
      </c>
      <c r="K3014" t="s">
        <v>1785</v>
      </c>
      <c r="L3014" t="s">
        <v>777</v>
      </c>
      <c r="M3014" t="s">
        <v>1369</v>
      </c>
      <c r="N3014" s="166">
        <v>18.78</v>
      </c>
      <c r="O3014" t="s">
        <v>131</v>
      </c>
    </row>
    <row r="3015" spans="1:15">
      <c r="A3015" s="166" t="s">
        <v>3902</v>
      </c>
      <c r="B3015" t="s">
        <v>111</v>
      </c>
      <c r="C3015" t="s">
        <v>641</v>
      </c>
      <c r="D3015" t="s">
        <v>116</v>
      </c>
      <c r="E3015" t="s">
        <v>418</v>
      </c>
      <c r="F3015" t="s">
        <v>7</v>
      </c>
      <c r="G3015" t="s">
        <v>130</v>
      </c>
      <c r="H3015" s="1">
        <v>46121</v>
      </c>
      <c r="I3015" t="s">
        <v>3903</v>
      </c>
      <c r="J3015" t="s">
        <v>3904</v>
      </c>
      <c r="K3015" t="s">
        <v>3905</v>
      </c>
      <c r="L3015" t="s">
        <v>611</v>
      </c>
      <c r="M3015" t="s">
        <v>3906</v>
      </c>
      <c r="N3015" s="166">
        <v>17.7</v>
      </c>
      <c r="O3015" t="s">
        <v>131</v>
      </c>
    </row>
    <row r="3016" spans="1:15">
      <c r="A3016" s="166" t="s">
        <v>3907</v>
      </c>
      <c r="B3016" t="s">
        <v>111</v>
      </c>
      <c r="C3016" t="s">
        <v>133</v>
      </c>
      <c r="D3016" t="s">
        <v>116</v>
      </c>
      <c r="E3016" t="s">
        <v>418</v>
      </c>
      <c r="F3016" t="s">
        <v>7</v>
      </c>
      <c r="G3016" t="s">
        <v>130</v>
      </c>
      <c r="H3016" s="1">
        <v>46121</v>
      </c>
      <c r="I3016" t="s">
        <v>3908</v>
      </c>
      <c r="J3016" t="s">
        <v>3909</v>
      </c>
      <c r="K3016" t="s">
        <v>1429</v>
      </c>
      <c r="L3016" t="s">
        <v>193</v>
      </c>
      <c r="M3016" t="s">
        <v>2046</v>
      </c>
      <c r="N3016" s="166">
        <v>19.16</v>
      </c>
      <c r="O3016" t="s">
        <v>131</v>
      </c>
    </row>
    <row r="3017" spans="1:15">
      <c r="A3017" s="166" t="s">
        <v>3910</v>
      </c>
      <c r="B3017" t="s">
        <v>111</v>
      </c>
      <c r="C3017" t="s">
        <v>134</v>
      </c>
      <c r="D3017" t="s">
        <v>116</v>
      </c>
      <c r="E3017" t="s">
        <v>418</v>
      </c>
      <c r="F3017" t="s">
        <v>7</v>
      </c>
      <c r="G3017" t="s">
        <v>130</v>
      </c>
      <c r="H3017" s="1">
        <v>46121</v>
      </c>
      <c r="I3017" t="s">
        <v>3911</v>
      </c>
      <c r="J3017" t="s">
        <v>3912</v>
      </c>
      <c r="K3017" t="s">
        <v>3538</v>
      </c>
      <c r="L3017" t="s">
        <v>786</v>
      </c>
      <c r="M3017" t="s">
        <v>1102</v>
      </c>
      <c r="N3017" s="166">
        <v>18.88</v>
      </c>
      <c r="O3017" t="s">
        <v>131</v>
      </c>
    </row>
    <row r="3018" spans="1:15">
      <c r="A3018" s="166" t="s">
        <v>3913</v>
      </c>
      <c r="B3018" t="s">
        <v>111</v>
      </c>
      <c r="C3018" t="s">
        <v>641</v>
      </c>
      <c r="D3018" t="s">
        <v>116</v>
      </c>
      <c r="E3018" t="s">
        <v>418</v>
      </c>
      <c r="F3018" t="s">
        <v>7</v>
      </c>
      <c r="G3018" t="s">
        <v>130</v>
      </c>
      <c r="H3018" s="1">
        <v>46121</v>
      </c>
      <c r="I3018" t="s">
        <v>3914</v>
      </c>
      <c r="J3018" t="s">
        <v>3915</v>
      </c>
      <c r="K3018" t="s">
        <v>2527</v>
      </c>
      <c r="L3018" t="s">
        <v>687</v>
      </c>
      <c r="M3018" t="s">
        <v>2758</v>
      </c>
      <c r="N3018" s="166">
        <v>17.98</v>
      </c>
      <c r="O3018" t="s">
        <v>131</v>
      </c>
    </row>
    <row r="3019" spans="1:15">
      <c r="A3019" s="166" t="s">
        <v>3916</v>
      </c>
      <c r="B3019" t="s">
        <v>111</v>
      </c>
      <c r="C3019" t="s">
        <v>133</v>
      </c>
      <c r="D3019" t="s">
        <v>116</v>
      </c>
      <c r="E3019" t="s">
        <v>418</v>
      </c>
      <c r="F3019" t="s">
        <v>7</v>
      </c>
      <c r="G3019" t="s">
        <v>130</v>
      </c>
      <c r="H3019" s="1">
        <v>46121</v>
      </c>
      <c r="I3019" t="s">
        <v>3917</v>
      </c>
      <c r="J3019" t="s">
        <v>3918</v>
      </c>
      <c r="K3019" t="s">
        <v>1368</v>
      </c>
      <c r="L3019" t="s">
        <v>772</v>
      </c>
      <c r="M3019" t="s">
        <v>1846</v>
      </c>
      <c r="N3019" s="166">
        <v>17.920000000000002</v>
      </c>
      <c r="O3019" t="s">
        <v>131</v>
      </c>
    </row>
    <row r="3020" spans="1:15">
      <c r="A3020" s="166" t="s">
        <v>3919</v>
      </c>
      <c r="B3020" t="s">
        <v>111</v>
      </c>
      <c r="C3020" t="s">
        <v>134</v>
      </c>
      <c r="D3020" t="s">
        <v>116</v>
      </c>
      <c r="E3020" t="s">
        <v>418</v>
      </c>
      <c r="F3020" t="s">
        <v>7</v>
      </c>
      <c r="G3020" t="s">
        <v>130</v>
      </c>
      <c r="H3020" s="1">
        <v>46121</v>
      </c>
      <c r="I3020" t="s">
        <v>3920</v>
      </c>
      <c r="J3020" t="s">
        <v>3921</v>
      </c>
      <c r="K3020" t="s">
        <v>3922</v>
      </c>
      <c r="L3020" t="s">
        <v>831</v>
      </c>
      <c r="M3020" t="s">
        <v>2657</v>
      </c>
      <c r="N3020" s="166">
        <v>16.22</v>
      </c>
      <c r="O3020" t="s">
        <v>131</v>
      </c>
    </row>
    <row r="3021" spans="1:15">
      <c r="A3021" s="166" t="s">
        <v>3923</v>
      </c>
      <c r="B3021" t="s">
        <v>111</v>
      </c>
      <c r="C3021" t="s">
        <v>641</v>
      </c>
      <c r="D3021" t="s">
        <v>116</v>
      </c>
      <c r="E3021" t="s">
        <v>418</v>
      </c>
      <c r="F3021" t="s">
        <v>7</v>
      </c>
      <c r="G3021" t="s">
        <v>130</v>
      </c>
      <c r="H3021" s="1">
        <v>46121</v>
      </c>
      <c r="I3021" t="s">
        <v>3924</v>
      </c>
      <c r="J3021" t="s">
        <v>3925</v>
      </c>
      <c r="K3021" t="s">
        <v>3926</v>
      </c>
      <c r="L3021" t="s">
        <v>687</v>
      </c>
      <c r="M3021" t="s">
        <v>434</v>
      </c>
      <c r="N3021" s="166">
        <v>21.6</v>
      </c>
      <c r="O3021" t="s">
        <v>131</v>
      </c>
    </row>
    <row r="3022" spans="1:15">
      <c r="A3022" s="166" t="s">
        <v>3927</v>
      </c>
      <c r="B3022" t="s">
        <v>111</v>
      </c>
      <c r="C3022" t="s">
        <v>133</v>
      </c>
      <c r="D3022" t="s">
        <v>116</v>
      </c>
      <c r="E3022" t="s">
        <v>418</v>
      </c>
      <c r="F3022" t="s">
        <v>7</v>
      </c>
      <c r="G3022" t="s">
        <v>130</v>
      </c>
      <c r="H3022" s="1">
        <v>46121</v>
      </c>
      <c r="I3022" t="s">
        <v>3928</v>
      </c>
      <c r="J3022" t="s">
        <v>3929</v>
      </c>
      <c r="K3022" t="s">
        <v>1126</v>
      </c>
      <c r="L3022" t="s">
        <v>616</v>
      </c>
      <c r="M3022" t="s">
        <v>2046</v>
      </c>
      <c r="N3022" s="166">
        <v>19.16</v>
      </c>
      <c r="O3022" t="s">
        <v>131</v>
      </c>
    </row>
    <row r="3023" spans="1:15">
      <c r="A3023" s="166" t="s">
        <v>3930</v>
      </c>
      <c r="B3023" t="s">
        <v>111</v>
      </c>
      <c r="C3023" t="s">
        <v>134</v>
      </c>
      <c r="D3023" t="s">
        <v>116</v>
      </c>
      <c r="E3023" t="s">
        <v>418</v>
      </c>
      <c r="F3023" t="s">
        <v>7</v>
      </c>
      <c r="G3023" t="s">
        <v>130</v>
      </c>
      <c r="H3023" s="1">
        <v>46121</v>
      </c>
      <c r="I3023" t="s">
        <v>3931</v>
      </c>
      <c r="J3023" t="s">
        <v>3932</v>
      </c>
      <c r="K3023" t="s">
        <v>215</v>
      </c>
      <c r="L3023" t="s">
        <v>730</v>
      </c>
      <c r="M3023" t="s">
        <v>3203</v>
      </c>
      <c r="N3023" s="166">
        <v>20.76</v>
      </c>
      <c r="O3023" t="s">
        <v>131</v>
      </c>
    </row>
    <row r="3024" spans="1:15">
      <c r="A3024" s="166" t="s">
        <v>3933</v>
      </c>
      <c r="B3024" t="s">
        <v>111</v>
      </c>
      <c r="C3024" t="s">
        <v>641</v>
      </c>
      <c r="D3024" t="s">
        <v>116</v>
      </c>
      <c r="E3024" t="s">
        <v>418</v>
      </c>
      <c r="F3024" t="s">
        <v>7</v>
      </c>
      <c r="G3024" t="s">
        <v>130</v>
      </c>
      <c r="H3024" s="1">
        <v>46121</v>
      </c>
      <c r="I3024" t="s">
        <v>3934</v>
      </c>
      <c r="J3024" t="s">
        <v>3935</v>
      </c>
      <c r="K3024" t="s">
        <v>540</v>
      </c>
      <c r="L3024" t="s">
        <v>687</v>
      </c>
      <c r="M3024" t="s">
        <v>1797</v>
      </c>
      <c r="N3024" s="166">
        <v>20.260000000000002</v>
      </c>
      <c r="O3024" t="s">
        <v>131</v>
      </c>
    </row>
    <row r="3025" spans="1:15">
      <c r="A3025" s="166" t="s">
        <v>3936</v>
      </c>
      <c r="B3025" t="s">
        <v>111</v>
      </c>
      <c r="C3025" t="s">
        <v>134</v>
      </c>
      <c r="D3025" t="s">
        <v>116</v>
      </c>
      <c r="E3025" t="s">
        <v>418</v>
      </c>
      <c r="F3025" t="s">
        <v>7</v>
      </c>
      <c r="G3025" t="s">
        <v>130</v>
      </c>
      <c r="H3025" s="1">
        <v>46121</v>
      </c>
      <c r="I3025" t="s">
        <v>3937</v>
      </c>
      <c r="J3025" t="s">
        <v>3938</v>
      </c>
      <c r="K3025" t="s">
        <v>426</v>
      </c>
      <c r="L3025" t="s">
        <v>831</v>
      </c>
      <c r="M3025" t="s">
        <v>1797</v>
      </c>
      <c r="N3025" s="166">
        <v>20.260000000000002</v>
      </c>
      <c r="O3025" t="s">
        <v>131</v>
      </c>
    </row>
    <row r="3026" spans="1:15">
      <c r="A3026" s="166" t="s">
        <v>3939</v>
      </c>
      <c r="B3026" t="s">
        <v>111</v>
      </c>
      <c r="C3026" t="s">
        <v>641</v>
      </c>
      <c r="D3026" t="s">
        <v>116</v>
      </c>
      <c r="E3026" t="s">
        <v>418</v>
      </c>
      <c r="F3026" t="s">
        <v>7</v>
      </c>
      <c r="G3026" t="s">
        <v>130</v>
      </c>
      <c r="H3026" s="1">
        <v>46121</v>
      </c>
      <c r="I3026" t="s">
        <v>3940</v>
      </c>
      <c r="J3026" t="s">
        <v>3941</v>
      </c>
      <c r="K3026" t="s">
        <v>3942</v>
      </c>
      <c r="L3026" t="s">
        <v>1662</v>
      </c>
      <c r="M3026" t="s">
        <v>530</v>
      </c>
      <c r="N3026" s="166">
        <v>21</v>
      </c>
      <c r="O3026" t="s">
        <v>131</v>
      </c>
    </row>
    <row r="3027" spans="1:15">
      <c r="A3027" s="166" t="s">
        <v>3943</v>
      </c>
      <c r="B3027" t="s">
        <v>111</v>
      </c>
      <c r="C3027" t="s">
        <v>134</v>
      </c>
      <c r="D3027" t="s">
        <v>116</v>
      </c>
      <c r="E3027" t="s">
        <v>418</v>
      </c>
      <c r="F3027" t="s">
        <v>7</v>
      </c>
      <c r="G3027" t="s">
        <v>130</v>
      </c>
      <c r="H3027" s="1">
        <v>46121</v>
      </c>
      <c r="I3027" t="s">
        <v>3944</v>
      </c>
      <c r="J3027" t="s">
        <v>3945</v>
      </c>
      <c r="K3027" t="s">
        <v>1969</v>
      </c>
      <c r="L3027" t="s">
        <v>730</v>
      </c>
      <c r="M3027" t="s">
        <v>1710</v>
      </c>
      <c r="N3027" s="166">
        <v>19.46</v>
      </c>
      <c r="O3027" t="s">
        <v>131</v>
      </c>
    </row>
    <row r="3028" spans="1:15">
      <c r="A3028" s="166" t="s">
        <v>3946</v>
      </c>
      <c r="B3028" t="s">
        <v>111</v>
      </c>
      <c r="C3028" t="s">
        <v>406</v>
      </c>
      <c r="D3028" t="s">
        <v>116</v>
      </c>
      <c r="E3028" t="s">
        <v>418</v>
      </c>
      <c r="F3028" t="s">
        <v>7</v>
      </c>
      <c r="G3028" t="s">
        <v>130</v>
      </c>
      <c r="H3028" s="1">
        <v>46121</v>
      </c>
      <c r="I3028" t="s">
        <v>3947</v>
      </c>
      <c r="J3028" t="s">
        <v>3948</v>
      </c>
      <c r="K3028" t="s">
        <v>1403</v>
      </c>
      <c r="L3028" t="s">
        <v>174</v>
      </c>
      <c r="M3028" t="s">
        <v>832</v>
      </c>
      <c r="N3028" s="166">
        <v>18.72</v>
      </c>
      <c r="O3028" t="s">
        <v>131</v>
      </c>
    </row>
    <row r="3029" spans="1:15">
      <c r="A3029" s="166" t="s">
        <v>2142</v>
      </c>
      <c r="B3029" t="s">
        <v>111</v>
      </c>
      <c r="C3029" t="s">
        <v>641</v>
      </c>
      <c r="D3029" t="s">
        <v>116</v>
      </c>
      <c r="E3029" t="s">
        <v>418</v>
      </c>
      <c r="F3029" t="s">
        <v>7</v>
      </c>
      <c r="G3029" t="s">
        <v>130</v>
      </c>
      <c r="H3029" s="1">
        <v>46121</v>
      </c>
      <c r="I3029" t="s">
        <v>3949</v>
      </c>
      <c r="J3029" t="s">
        <v>3950</v>
      </c>
      <c r="K3029" t="s">
        <v>1256</v>
      </c>
      <c r="L3029" t="s">
        <v>672</v>
      </c>
      <c r="M3029" t="s">
        <v>1412</v>
      </c>
      <c r="N3029" s="166">
        <v>18.62</v>
      </c>
      <c r="O3029" t="s">
        <v>131</v>
      </c>
    </row>
    <row r="3030" spans="1:15">
      <c r="A3030" s="166" t="s">
        <v>3951</v>
      </c>
      <c r="B3030" t="s">
        <v>111</v>
      </c>
      <c r="C3030" t="s">
        <v>134</v>
      </c>
      <c r="D3030" t="s">
        <v>116</v>
      </c>
      <c r="E3030" t="s">
        <v>418</v>
      </c>
      <c r="F3030" t="s">
        <v>7</v>
      </c>
      <c r="G3030" t="s">
        <v>130</v>
      </c>
      <c r="H3030" s="1">
        <v>46121</v>
      </c>
      <c r="I3030" t="s">
        <v>3952</v>
      </c>
      <c r="J3030" t="s">
        <v>3953</v>
      </c>
      <c r="K3030" t="s">
        <v>1661</v>
      </c>
      <c r="L3030" t="s">
        <v>730</v>
      </c>
      <c r="M3030" t="s">
        <v>1310</v>
      </c>
      <c r="N3030" s="166">
        <v>19.38</v>
      </c>
      <c r="O3030" t="s">
        <v>131</v>
      </c>
    </row>
    <row r="3031" spans="1:15">
      <c r="A3031" s="166" t="s">
        <v>3954</v>
      </c>
      <c r="B3031" t="s">
        <v>111</v>
      </c>
      <c r="C3031" t="s">
        <v>406</v>
      </c>
      <c r="D3031" t="s">
        <v>116</v>
      </c>
      <c r="E3031" t="s">
        <v>418</v>
      </c>
      <c r="F3031" t="s">
        <v>7</v>
      </c>
      <c r="G3031" t="s">
        <v>130</v>
      </c>
      <c r="H3031" s="1">
        <v>46121</v>
      </c>
      <c r="I3031" t="s">
        <v>3955</v>
      </c>
      <c r="J3031" t="s">
        <v>3956</v>
      </c>
      <c r="K3031" t="s">
        <v>1149</v>
      </c>
      <c r="L3031" t="s">
        <v>163</v>
      </c>
      <c r="M3031" t="s">
        <v>1102</v>
      </c>
      <c r="N3031" s="166">
        <v>18.88</v>
      </c>
      <c r="O3031" t="s">
        <v>131</v>
      </c>
    </row>
    <row r="3032" spans="1:15">
      <c r="A3032" s="166" t="s">
        <v>3957</v>
      </c>
      <c r="B3032" t="s">
        <v>111</v>
      </c>
      <c r="C3032" t="s">
        <v>641</v>
      </c>
      <c r="D3032" t="s">
        <v>116</v>
      </c>
      <c r="E3032" t="s">
        <v>418</v>
      </c>
      <c r="F3032" t="s">
        <v>7</v>
      </c>
      <c r="G3032" t="s">
        <v>130</v>
      </c>
      <c r="H3032" s="1">
        <v>46121</v>
      </c>
      <c r="I3032" t="s">
        <v>3958</v>
      </c>
      <c r="J3032" t="s">
        <v>3959</v>
      </c>
      <c r="K3032" t="s">
        <v>3960</v>
      </c>
      <c r="L3032" t="s">
        <v>2004</v>
      </c>
      <c r="M3032" t="s">
        <v>3857</v>
      </c>
      <c r="N3032" s="166">
        <v>17.84</v>
      </c>
      <c r="O3032" t="s">
        <v>131</v>
      </c>
    </row>
    <row r="3033" spans="1:15">
      <c r="A3033" s="166" t="s">
        <v>3961</v>
      </c>
      <c r="B3033" t="s">
        <v>111</v>
      </c>
      <c r="C3033" t="s">
        <v>134</v>
      </c>
      <c r="D3033" t="s">
        <v>116</v>
      </c>
      <c r="E3033" t="s">
        <v>418</v>
      </c>
      <c r="F3033" t="s">
        <v>7</v>
      </c>
      <c r="G3033" t="s">
        <v>130</v>
      </c>
      <c r="H3033" s="1">
        <v>46121</v>
      </c>
      <c r="I3033" t="s">
        <v>3962</v>
      </c>
      <c r="J3033" t="s">
        <v>3963</v>
      </c>
      <c r="K3033" t="s">
        <v>1061</v>
      </c>
      <c r="L3033" t="s">
        <v>772</v>
      </c>
      <c r="M3033" t="s">
        <v>3229</v>
      </c>
      <c r="N3033" s="166">
        <v>17.399999999999999</v>
      </c>
      <c r="O3033" t="s">
        <v>131</v>
      </c>
    </row>
    <row r="3034" spans="1:15">
      <c r="A3034" s="166" t="s">
        <v>3964</v>
      </c>
      <c r="B3034" t="s">
        <v>111</v>
      </c>
      <c r="C3034" t="s">
        <v>406</v>
      </c>
      <c r="D3034" t="s">
        <v>116</v>
      </c>
      <c r="E3034" t="s">
        <v>418</v>
      </c>
      <c r="F3034" t="s">
        <v>7</v>
      </c>
      <c r="G3034" t="s">
        <v>130</v>
      </c>
      <c r="H3034" s="1">
        <v>46121</v>
      </c>
      <c r="I3034" t="s">
        <v>3965</v>
      </c>
      <c r="J3034" t="s">
        <v>3966</v>
      </c>
      <c r="K3034" t="s">
        <v>2524</v>
      </c>
      <c r="L3034" t="s">
        <v>427</v>
      </c>
      <c r="M3034" t="s">
        <v>3967</v>
      </c>
      <c r="N3034" s="166">
        <v>17.88</v>
      </c>
      <c r="O3034" t="s">
        <v>131</v>
      </c>
    </row>
    <row r="3035" spans="1:15">
      <c r="A3035" s="166" t="s">
        <v>3968</v>
      </c>
      <c r="B3035" t="s">
        <v>111</v>
      </c>
      <c r="C3035" t="s">
        <v>641</v>
      </c>
      <c r="D3035" t="s">
        <v>116</v>
      </c>
      <c r="E3035" t="s">
        <v>418</v>
      </c>
      <c r="F3035" t="s">
        <v>7</v>
      </c>
      <c r="G3035" t="s">
        <v>130</v>
      </c>
      <c r="H3035" s="1">
        <v>46121</v>
      </c>
      <c r="I3035" t="s">
        <v>3969</v>
      </c>
      <c r="J3035" t="s">
        <v>3970</v>
      </c>
      <c r="K3035" t="s">
        <v>1453</v>
      </c>
      <c r="L3035" t="s">
        <v>2090</v>
      </c>
      <c r="M3035" t="s">
        <v>2058</v>
      </c>
      <c r="N3035" s="166">
        <v>16.079999999999998</v>
      </c>
      <c r="O3035" t="s">
        <v>131</v>
      </c>
    </row>
    <row r="3036" spans="1:15">
      <c r="A3036" s="166" t="s">
        <v>3971</v>
      </c>
      <c r="B3036" t="s">
        <v>111</v>
      </c>
      <c r="C3036" t="s">
        <v>134</v>
      </c>
      <c r="D3036" t="s">
        <v>116</v>
      </c>
      <c r="E3036" t="s">
        <v>418</v>
      </c>
      <c r="F3036" t="s">
        <v>7</v>
      </c>
      <c r="G3036" t="s">
        <v>130</v>
      </c>
      <c r="H3036" s="1">
        <v>46121</v>
      </c>
      <c r="I3036" t="s">
        <v>3972</v>
      </c>
      <c r="J3036" t="s">
        <v>3973</v>
      </c>
      <c r="K3036" t="s">
        <v>1789</v>
      </c>
      <c r="L3036" t="s">
        <v>1252</v>
      </c>
      <c r="M3036" t="s">
        <v>761</v>
      </c>
      <c r="N3036" s="166">
        <v>15.7</v>
      </c>
      <c r="O3036" t="s">
        <v>131</v>
      </c>
    </row>
    <row r="3037" spans="1:15">
      <c r="A3037" s="166" t="s">
        <v>3974</v>
      </c>
      <c r="B3037" t="s">
        <v>111</v>
      </c>
      <c r="C3037" t="s">
        <v>641</v>
      </c>
      <c r="D3037" t="s">
        <v>116</v>
      </c>
      <c r="E3037" t="s">
        <v>418</v>
      </c>
      <c r="F3037" t="s">
        <v>7</v>
      </c>
      <c r="G3037" t="s">
        <v>130</v>
      </c>
      <c r="H3037" s="1">
        <v>46121</v>
      </c>
      <c r="I3037" t="s">
        <v>3975</v>
      </c>
      <c r="J3037" t="s">
        <v>3976</v>
      </c>
      <c r="K3037" t="s">
        <v>1172</v>
      </c>
      <c r="L3037" t="s">
        <v>1101</v>
      </c>
      <c r="M3037" t="s">
        <v>3906</v>
      </c>
      <c r="N3037" s="166">
        <v>17.7</v>
      </c>
      <c r="O3037" t="s">
        <v>131</v>
      </c>
    </row>
    <row r="3038" spans="1:15">
      <c r="A3038" s="166" t="s">
        <v>3977</v>
      </c>
      <c r="B3038" t="s">
        <v>111</v>
      </c>
      <c r="C3038" t="s">
        <v>134</v>
      </c>
      <c r="D3038" t="s">
        <v>116</v>
      </c>
      <c r="E3038" t="s">
        <v>418</v>
      </c>
      <c r="F3038" t="s">
        <v>7</v>
      </c>
      <c r="G3038" t="s">
        <v>130</v>
      </c>
      <c r="H3038" s="1">
        <v>46121</v>
      </c>
      <c r="I3038" t="s">
        <v>3978</v>
      </c>
      <c r="J3038" t="s">
        <v>3979</v>
      </c>
      <c r="K3038" t="s">
        <v>1810</v>
      </c>
      <c r="L3038" t="s">
        <v>1150</v>
      </c>
      <c r="M3038" t="s">
        <v>2603</v>
      </c>
      <c r="N3038" s="166">
        <v>16.88</v>
      </c>
      <c r="O3038" t="s">
        <v>131</v>
      </c>
    </row>
    <row r="3039" spans="1:15">
      <c r="A3039" s="166" t="s">
        <v>3980</v>
      </c>
      <c r="B3039" t="s">
        <v>111</v>
      </c>
      <c r="C3039" t="s">
        <v>641</v>
      </c>
      <c r="D3039" t="s">
        <v>116</v>
      </c>
      <c r="E3039" t="s">
        <v>418</v>
      </c>
      <c r="F3039" t="s">
        <v>7</v>
      </c>
      <c r="G3039" t="s">
        <v>130</v>
      </c>
      <c r="H3039" s="1">
        <v>46121</v>
      </c>
      <c r="I3039" t="s">
        <v>3981</v>
      </c>
      <c r="J3039" t="s">
        <v>3982</v>
      </c>
      <c r="K3039" t="s">
        <v>1346</v>
      </c>
      <c r="L3039" t="s">
        <v>1101</v>
      </c>
      <c r="M3039" t="s">
        <v>2531</v>
      </c>
      <c r="N3039" s="166">
        <v>17.52</v>
      </c>
      <c r="O3039" t="s">
        <v>131</v>
      </c>
    </row>
    <row r="3040" spans="1:15">
      <c r="A3040" s="166" t="s">
        <v>3983</v>
      </c>
      <c r="B3040" t="s">
        <v>111</v>
      </c>
      <c r="C3040" t="s">
        <v>134</v>
      </c>
      <c r="D3040" t="s">
        <v>116</v>
      </c>
      <c r="E3040" t="s">
        <v>418</v>
      </c>
      <c r="F3040" t="s">
        <v>7</v>
      </c>
      <c r="G3040" t="s">
        <v>130</v>
      </c>
      <c r="H3040" s="1">
        <v>46121</v>
      </c>
      <c r="I3040" t="s">
        <v>3984</v>
      </c>
      <c r="J3040" t="s">
        <v>3985</v>
      </c>
      <c r="K3040" t="s">
        <v>632</v>
      </c>
      <c r="L3040" t="s">
        <v>2184</v>
      </c>
      <c r="M3040" t="s">
        <v>2406</v>
      </c>
      <c r="N3040" s="166">
        <v>20.12</v>
      </c>
      <c r="O3040" t="s">
        <v>131</v>
      </c>
    </row>
    <row r="3041" spans="1:15">
      <c r="A3041" s="166" t="s">
        <v>3986</v>
      </c>
      <c r="B3041" t="s">
        <v>111</v>
      </c>
      <c r="C3041" t="s">
        <v>641</v>
      </c>
      <c r="D3041" t="s">
        <v>116</v>
      </c>
      <c r="E3041" t="s">
        <v>418</v>
      </c>
      <c r="F3041" t="s">
        <v>7</v>
      </c>
      <c r="G3041" t="s">
        <v>130</v>
      </c>
      <c r="H3041" s="1">
        <v>46121</v>
      </c>
      <c r="I3041" t="s">
        <v>3987</v>
      </c>
      <c r="J3041" t="s">
        <v>3988</v>
      </c>
      <c r="K3041" t="s">
        <v>1801</v>
      </c>
      <c r="L3041" t="s">
        <v>509</v>
      </c>
      <c r="M3041" t="s">
        <v>2473</v>
      </c>
      <c r="N3041" s="166">
        <v>17.66</v>
      </c>
      <c r="O3041" t="s">
        <v>131</v>
      </c>
    </row>
    <row r="3042" spans="1:15">
      <c r="A3042" s="166" t="s">
        <v>3989</v>
      </c>
      <c r="B3042" t="s">
        <v>111</v>
      </c>
      <c r="C3042" t="s">
        <v>134</v>
      </c>
      <c r="D3042" t="s">
        <v>116</v>
      </c>
      <c r="E3042" t="s">
        <v>418</v>
      </c>
      <c r="F3042" t="s">
        <v>7</v>
      </c>
      <c r="G3042" t="s">
        <v>130</v>
      </c>
      <c r="H3042" s="1">
        <v>46121</v>
      </c>
      <c r="I3042" t="s">
        <v>3990</v>
      </c>
      <c r="J3042" t="s">
        <v>3991</v>
      </c>
      <c r="K3042" t="s">
        <v>3992</v>
      </c>
      <c r="L3042" t="s">
        <v>1072</v>
      </c>
      <c r="M3042" t="s">
        <v>3993</v>
      </c>
      <c r="N3042" s="166">
        <v>18.239999999999998</v>
      </c>
      <c r="O3042" t="s">
        <v>131</v>
      </c>
    </row>
    <row r="3043" spans="1:15">
      <c r="A3043" s="166" t="s">
        <v>3994</v>
      </c>
      <c r="B3043" t="s">
        <v>111</v>
      </c>
      <c r="C3043" t="s">
        <v>641</v>
      </c>
      <c r="D3043" t="s">
        <v>116</v>
      </c>
      <c r="E3043" t="s">
        <v>418</v>
      </c>
      <c r="F3043" t="s">
        <v>7</v>
      </c>
      <c r="G3043" t="s">
        <v>130</v>
      </c>
      <c r="H3043" s="1">
        <v>46121</v>
      </c>
      <c r="I3043" t="s">
        <v>3995</v>
      </c>
      <c r="J3043" t="s">
        <v>3996</v>
      </c>
      <c r="K3043" t="s">
        <v>2062</v>
      </c>
      <c r="L3043" t="s">
        <v>2998</v>
      </c>
      <c r="M3043" t="s">
        <v>2603</v>
      </c>
      <c r="N3043" s="166">
        <v>16.88</v>
      </c>
      <c r="O3043" t="s">
        <v>131</v>
      </c>
    </row>
    <row r="3044" spans="1:15">
      <c r="A3044" s="166" t="s">
        <v>3997</v>
      </c>
      <c r="B3044" t="s">
        <v>111</v>
      </c>
      <c r="C3044" t="s">
        <v>134</v>
      </c>
      <c r="D3044" t="s">
        <v>116</v>
      </c>
      <c r="E3044" t="s">
        <v>418</v>
      </c>
      <c r="F3044" t="s">
        <v>7</v>
      </c>
      <c r="G3044" t="s">
        <v>130</v>
      </c>
      <c r="H3044" s="1">
        <v>46121</v>
      </c>
      <c r="I3044" t="s">
        <v>3998</v>
      </c>
      <c r="J3044" t="s">
        <v>3999</v>
      </c>
      <c r="K3044" t="s">
        <v>1533</v>
      </c>
      <c r="L3044" t="s">
        <v>1072</v>
      </c>
      <c r="M3044" t="s">
        <v>1934</v>
      </c>
      <c r="N3044" s="166">
        <v>19.62</v>
      </c>
      <c r="O3044" t="s">
        <v>131</v>
      </c>
    </row>
    <row r="3045" spans="1:15">
      <c r="A3045" s="166" t="s">
        <v>4000</v>
      </c>
      <c r="B3045" t="s">
        <v>111</v>
      </c>
      <c r="C3045" t="s">
        <v>641</v>
      </c>
      <c r="D3045" t="s">
        <v>116</v>
      </c>
      <c r="E3045" t="s">
        <v>418</v>
      </c>
      <c r="F3045" t="s">
        <v>7</v>
      </c>
      <c r="G3045" t="s">
        <v>130</v>
      </c>
      <c r="H3045" s="1">
        <v>46121</v>
      </c>
      <c r="I3045" t="s">
        <v>4001</v>
      </c>
      <c r="J3045" t="s">
        <v>4002</v>
      </c>
      <c r="K3045" t="s">
        <v>1541</v>
      </c>
      <c r="L3045" t="s">
        <v>1072</v>
      </c>
      <c r="M3045" t="s">
        <v>1988</v>
      </c>
      <c r="N3045" s="166">
        <v>19.600000000000001</v>
      </c>
      <c r="O3045" t="s">
        <v>131</v>
      </c>
    </row>
    <row r="3046" spans="1:15">
      <c r="A3046" s="166" t="s">
        <v>4003</v>
      </c>
      <c r="B3046" t="s">
        <v>111</v>
      </c>
      <c r="C3046" t="s">
        <v>134</v>
      </c>
      <c r="D3046" t="s">
        <v>118</v>
      </c>
      <c r="E3046" t="s">
        <v>2618</v>
      </c>
      <c r="F3046" t="s">
        <v>7</v>
      </c>
      <c r="G3046" t="s">
        <v>130</v>
      </c>
      <c r="H3046" s="1">
        <v>46121</v>
      </c>
      <c r="I3046" t="s">
        <v>4004</v>
      </c>
      <c r="J3046" t="s">
        <v>4005</v>
      </c>
      <c r="K3046" t="s">
        <v>1533</v>
      </c>
      <c r="L3046" t="s">
        <v>650</v>
      </c>
      <c r="M3046" t="s">
        <v>416</v>
      </c>
      <c r="N3046" s="166">
        <v>19.3</v>
      </c>
      <c r="O3046" t="s">
        <v>131</v>
      </c>
    </row>
    <row r="3047" spans="1:15">
      <c r="A3047" s="166" t="s">
        <v>4006</v>
      </c>
      <c r="B3047" t="s">
        <v>111</v>
      </c>
      <c r="C3047" t="s">
        <v>641</v>
      </c>
      <c r="D3047" t="s">
        <v>118</v>
      </c>
      <c r="E3047" t="s">
        <v>2618</v>
      </c>
      <c r="F3047" t="s">
        <v>7</v>
      </c>
      <c r="G3047" t="s">
        <v>130</v>
      </c>
      <c r="H3047" s="1">
        <v>46121</v>
      </c>
      <c r="I3047" t="s">
        <v>4007</v>
      </c>
      <c r="J3047" t="s">
        <v>4008</v>
      </c>
      <c r="K3047" t="s">
        <v>1727</v>
      </c>
      <c r="L3047" t="s">
        <v>772</v>
      </c>
      <c r="M3047" t="s">
        <v>721</v>
      </c>
      <c r="N3047" s="166">
        <v>24.14</v>
      </c>
      <c r="O3047" t="s">
        <v>131</v>
      </c>
    </row>
    <row r="3048" spans="1:15">
      <c r="A3048" s="166" t="s">
        <v>4009</v>
      </c>
      <c r="B3048" t="s">
        <v>111</v>
      </c>
      <c r="C3048" t="s">
        <v>133</v>
      </c>
      <c r="D3048" t="s">
        <v>118</v>
      </c>
      <c r="E3048" t="s">
        <v>2618</v>
      </c>
      <c r="F3048" t="s">
        <v>7</v>
      </c>
      <c r="G3048" t="s">
        <v>130</v>
      </c>
      <c r="H3048" s="1">
        <v>46121</v>
      </c>
      <c r="I3048" t="s">
        <v>4010</v>
      </c>
      <c r="J3048" t="s">
        <v>4011</v>
      </c>
      <c r="K3048" t="s">
        <v>4012</v>
      </c>
      <c r="L3048" t="s">
        <v>714</v>
      </c>
      <c r="M3048" t="s">
        <v>1657</v>
      </c>
      <c r="N3048" s="166">
        <v>22.8</v>
      </c>
      <c r="O3048" t="s">
        <v>131</v>
      </c>
    </row>
    <row r="3049" spans="1:15">
      <c r="A3049" s="166" t="s">
        <v>2054</v>
      </c>
      <c r="B3049" t="s">
        <v>111</v>
      </c>
      <c r="C3049" t="s">
        <v>134</v>
      </c>
      <c r="D3049" t="s">
        <v>118</v>
      </c>
      <c r="E3049" t="s">
        <v>2618</v>
      </c>
      <c r="F3049" t="s">
        <v>7</v>
      </c>
      <c r="G3049" t="s">
        <v>130</v>
      </c>
      <c r="H3049" s="1">
        <v>46121</v>
      </c>
      <c r="I3049" t="s">
        <v>4013</v>
      </c>
      <c r="J3049" t="s">
        <v>4014</v>
      </c>
      <c r="K3049" t="s">
        <v>2351</v>
      </c>
      <c r="L3049" t="s">
        <v>1493</v>
      </c>
      <c r="M3049" t="s">
        <v>530</v>
      </c>
      <c r="N3049" s="166">
        <v>21</v>
      </c>
      <c r="O3049" t="s">
        <v>131</v>
      </c>
    </row>
    <row r="3050" spans="1:15">
      <c r="A3050" s="166" t="s">
        <v>4015</v>
      </c>
      <c r="B3050" t="s">
        <v>111</v>
      </c>
      <c r="C3050" t="s">
        <v>641</v>
      </c>
      <c r="D3050" t="s">
        <v>118</v>
      </c>
      <c r="E3050" t="s">
        <v>2618</v>
      </c>
      <c r="F3050" t="s">
        <v>7</v>
      </c>
      <c r="G3050" t="s">
        <v>130</v>
      </c>
      <c r="H3050" s="1">
        <v>46121</v>
      </c>
      <c r="I3050" t="s">
        <v>4016</v>
      </c>
      <c r="J3050" t="s">
        <v>4017</v>
      </c>
      <c r="K3050" t="s">
        <v>1525</v>
      </c>
      <c r="L3050" t="s">
        <v>1076</v>
      </c>
      <c r="M3050" t="s">
        <v>1682</v>
      </c>
      <c r="N3050" s="166">
        <v>19.82</v>
      </c>
      <c r="O3050" t="s">
        <v>131</v>
      </c>
    </row>
    <row r="3051" spans="1:15">
      <c r="A3051" s="166" t="s">
        <v>4018</v>
      </c>
      <c r="B3051" t="s">
        <v>111</v>
      </c>
      <c r="C3051" t="s">
        <v>133</v>
      </c>
      <c r="D3051" t="s">
        <v>118</v>
      </c>
      <c r="E3051" t="s">
        <v>2618</v>
      </c>
      <c r="F3051" t="s">
        <v>7</v>
      </c>
      <c r="G3051" t="s">
        <v>130</v>
      </c>
      <c r="H3051" s="1">
        <v>46121</v>
      </c>
      <c r="I3051" t="s">
        <v>4019</v>
      </c>
      <c r="J3051" t="s">
        <v>4020</v>
      </c>
      <c r="K3051" t="s">
        <v>448</v>
      </c>
      <c r="L3051" t="s">
        <v>730</v>
      </c>
      <c r="M3051" t="s">
        <v>1504</v>
      </c>
      <c r="N3051" s="166">
        <v>20.84</v>
      </c>
      <c r="O3051" t="s">
        <v>131</v>
      </c>
    </row>
    <row r="3052" spans="1:15">
      <c r="A3052" s="166" t="s">
        <v>4021</v>
      </c>
      <c r="B3052" t="s">
        <v>111</v>
      </c>
      <c r="C3052" t="s">
        <v>134</v>
      </c>
      <c r="D3052" t="s">
        <v>118</v>
      </c>
      <c r="E3052" t="s">
        <v>2618</v>
      </c>
      <c r="F3052" t="s">
        <v>7</v>
      </c>
      <c r="G3052" t="s">
        <v>130</v>
      </c>
      <c r="H3052" s="1">
        <v>46121</v>
      </c>
      <c r="I3052" t="s">
        <v>4022</v>
      </c>
      <c r="J3052" t="s">
        <v>4023</v>
      </c>
      <c r="K3052" t="s">
        <v>1549</v>
      </c>
      <c r="L3052" t="s">
        <v>3129</v>
      </c>
      <c r="M3052" t="s">
        <v>1328</v>
      </c>
      <c r="N3052" s="166">
        <v>19.54</v>
      </c>
      <c r="O3052" t="s">
        <v>131</v>
      </c>
    </row>
    <row r="3053" spans="1:15">
      <c r="A3053" s="166" t="s">
        <v>4024</v>
      </c>
      <c r="B3053" t="s">
        <v>111</v>
      </c>
      <c r="C3053" t="s">
        <v>641</v>
      </c>
      <c r="D3053" t="s">
        <v>118</v>
      </c>
      <c r="E3053" t="s">
        <v>2618</v>
      </c>
      <c r="F3053" t="s">
        <v>7</v>
      </c>
      <c r="G3053" t="s">
        <v>130</v>
      </c>
      <c r="H3053" s="1">
        <v>46121</v>
      </c>
      <c r="I3053" t="s">
        <v>4025</v>
      </c>
      <c r="J3053" t="s">
        <v>4026</v>
      </c>
      <c r="K3053" t="s">
        <v>2682</v>
      </c>
      <c r="L3053" t="s">
        <v>2644</v>
      </c>
      <c r="M3053" t="s">
        <v>726</v>
      </c>
      <c r="N3053" s="166">
        <v>24.36</v>
      </c>
      <c r="O3053" t="s">
        <v>131</v>
      </c>
    </row>
    <row r="3054" spans="1:15">
      <c r="A3054" s="166" t="s">
        <v>4027</v>
      </c>
      <c r="B3054" t="s">
        <v>111</v>
      </c>
      <c r="C3054" t="s">
        <v>133</v>
      </c>
      <c r="D3054" t="s">
        <v>118</v>
      </c>
      <c r="E3054" t="s">
        <v>2618</v>
      </c>
      <c r="F3054" t="s">
        <v>7</v>
      </c>
      <c r="G3054" t="s">
        <v>130</v>
      </c>
      <c r="H3054" s="1">
        <v>46121</v>
      </c>
      <c r="I3054" t="s">
        <v>4028</v>
      </c>
      <c r="J3054" t="s">
        <v>4029</v>
      </c>
      <c r="K3054" t="s">
        <v>2351</v>
      </c>
      <c r="L3054" t="s">
        <v>2127</v>
      </c>
      <c r="M3054" t="s">
        <v>731</v>
      </c>
      <c r="N3054" s="166">
        <v>20.82</v>
      </c>
      <c r="O3054" t="s">
        <v>131</v>
      </c>
    </row>
    <row r="3055" spans="1:15">
      <c r="A3055" s="166" t="s">
        <v>4030</v>
      </c>
      <c r="B3055" t="s">
        <v>111</v>
      </c>
      <c r="C3055" t="s">
        <v>641</v>
      </c>
      <c r="D3055" t="s">
        <v>116</v>
      </c>
      <c r="E3055" t="s">
        <v>418</v>
      </c>
      <c r="F3055" t="s">
        <v>7</v>
      </c>
      <c r="G3055" t="s">
        <v>130</v>
      </c>
      <c r="H3055" s="1">
        <v>46121</v>
      </c>
      <c r="I3055" t="s">
        <v>4028</v>
      </c>
      <c r="J3055" t="s">
        <v>4028</v>
      </c>
      <c r="K3055" t="s">
        <v>1514</v>
      </c>
      <c r="L3055" t="s">
        <v>2127</v>
      </c>
      <c r="M3055" t="s">
        <v>3646</v>
      </c>
      <c r="N3055" s="166">
        <v>20</v>
      </c>
      <c r="O3055" t="s">
        <v>232</v>
      </c>
    </row>
    <row r="3056" spans="1:15">
      <c r="A3056" s="166" t="s">
        <v>4031</v>
      </c>
      <c r="B3056" t="s">
        <v>111</v>
      </c>
      <c r="C3056" t="s">
        <v>134</v>
      </c>
      <c r="D3056" t="s">
        <v>116</v>
      </c>
      <c r="E3056" t="s">
        <v>418</v>
      </c>
      <c r="F3056" t="s">
        <v>7</v>
      </c>
      <c r="G3056" t="s">
        <v>130</v>
      </c>
      <c r="H3056" s="1">
        <v>46121</v>
      </c>
      <c r="I3056" t="s">
        <v>4028</v>
      </c>
      <c r="J3056" t="s">
        <v>4028</v>
      </c>
      <c r="K3056" t="s">
        <v>1514</v>
      </c>
      <c r="L3056" t="s">
        <v>2127</v>
      </c>
      <c r="M3056" t="s">
        <v>3646</v>
      </c>
      <c r="N3056" s="166">
        <v>20</v>
      </c>
      <c r="O3056" t="s">
        <v>232</v>
      </c>
    </row>
    <row r="3057" spans="1:15">
      <c r="A3057" s="166" t="s">
        <v>4032</v>
      </c>
      <c r="B3057" t="s">
        <v>111</v>
      </c>
      <c r="C3057" t="s">
        <v>406</v>
      </c>
      <c r="D3057" t="s">
        <v>116</v>
      </c>
      <c r="E3057" t="s">
        <v>418</v>
      </c>
      <c r="F3057" t="s">
        <v>7</v>
      </c>
      <c r="G3057" t="s">
        <v>130</v>
      </c>
      <c r="H3057" s="1">
        <v>46121</v>
      </c>
      <c r="I3057" t="s">
        <v>4028</v>
      </c>
      <c r="J3057" t="s">
        <v>4028</v>
      </c>
      <c r="K3057" t="s">
        <v>1514</v>
      </c>
      <c r="L3057" t="s">
        <v>2127</v>
      </c>
      <c r="M3057" t="s">
        <v>3646</v>
      </c>
      <c r="N3057" s="166">
        <v>20</v>
      </c>
      <c r="O3057" t="s">
        <v>232</v>
      </c>
    </row>
    <row r="3058" spans="1:15">
      <c r="A3058" s="166" t="s">
        <v>4033</v>
      </c>
      <c r="B3058" t="s">
        <v>111</v>
      </c>
      <c r="C3058" t="s">
        <v>641</v>
      </c>
      <c r="D3058" t="s">
        <v>116</v>
      </c>
      <c r="E3058" t="s">
        <v>418</v>
      </c>
      <c r="F3058" t="s">
        <v>7</v>
      </c>
      <c r="G3058" t="s">
        <v>130</v>
      </c>
      <c r="H3058" s="1">
        <v>46121</v>
      </c>
      <c r="I3058" t="s">
        <v>4028</v>
      </c>
      <c r="J3058" t="s">
        <v>4028</v>
      </c>
      <c r="K3058" t="s">
        <v>1514</v>
      </c>
      <c r="L3058" t="s">
        <v>2127</v>
      </c>
      <c r="M3058" t="s">
        <v>3646</v>
      </c>
      <c r="N3058" s="166">
        <v>20</v>
      </c>
      <c r="O3058" t="s">
        <v>232</v>
      </c>
    </row>
    <row r="3059" spans="1:15">
      <c r="A3059" s="166" t="s">
        <v>4034</v>
      </c>
      <c r="B3059" t="s">
        <v>111</v>
      </c>
      <c r="C3059" t="s">
        <v>134</v>
      </c>
      <c r="D3059" t="s">
        <v>116</v>
      </c>
      <c r="E3059" t="s">
        <v>418</v>
      </c>
      <c r="F3059" t="s">
        <v>7</v>
      </c>
      <c r="G3059" t="s">
        <v>130</v>
      </c>
      <c r="H3059" s="1">
        <v>46121</v>
      </c>
      <c r="I3059" t="s">
        <v>4028</v>
      </c>
      <c r="J3059" t="s">
        <v>4028</v>
      </c>
      <c r="K3059" t="s">
        <v>1514</v>
      </c>
      <c r="L3059" t="s">
        <v>2127</v>
      </c>
      <c r="M3059" t="s">
        <v>3646</v>
      </c>
      <c r="N3059" s="166">
        <v>20</v>
      </c>
      <c r="O3059" t="s">
        <v>232</v>
      </c>
    </row>
    <row r="3060" spans="1:15">
      <c r="A3060" s="166" t="s">
        <v>4035</v>
      </c>
      <c r="B3060" t="s">
        <v>111</v>
      </c>
      <c r="C3060" t="s">
        <v>406</v>
      </c>
      <c r="D3060" t="s">
        <v>116</v>
      </c>
      <c r="E3060" t="s">
        <v>418</v>
      </c>
      <c r="F3060" t="s">
        <v>7</v>
      </c>
      <c r="G3060" t="s">
        <v>130</v>
      </c>
      <c r="H3060" s="1">
        <v>46121</v>
      </c>
      <c r="I3060" t="s">
        <v>4028</v>
      </c>
      <c r="J3060" t="s">
        <v>4028</v>
      </c>
      <c r="K3060" t="s">
        <v>1514</v>
      </c>
      <c r="L3060" t="s">
        <v>2127</v>
      </c>
      <c r="M3060" t="s">
        <v>3646</v>
      </c>
      <c r="N3060" s="166">
        <v>20</v>
      </c>
      <c r="O3060" t="s">
        <v>232</v>
      </c>
    </row>
    <row r="3061" spans="1:15">
      <c r="A3061" s="166" t="s">
        <v>4036</v>
      </c>
      <c r="B3061" t="s">
        <v>111</v>
      </c>
      <c r="C3061" t="s">
        <v>641</v>
      </c>
      <c r="D3061" t="s">
        <v>116</v>
      </c>
      <c r="E3061" t="s">
        <v>418</v>
      </c>
      <c r="F3061" t="s">
        <v>7</v>
      </c>
      <c r="G3061" t="s">
        <v>130</v>
      </c>
      <c r="H3061" s="1">
        <v>46121</v>
      </c>
      <c r="I3061" t="s">
        <v>4028</v>
      </c>
      <c r="J3061" t="s">
        <v>4028</v>
      </c>
      <c r="K3061" t="s">
        <v>1514</v>
      </c>
      <c r="L3061" t="s">
        <v>2127</v>
      </c>
      <c r="M3061" t="s">
        <v>3646</v>
      </c>
      <c r="N3061" s="166">
        <v>20</v>
      </c>
      <c r="O3061" t="s">
        <v>232</v>
      </c>
    </row>
    <row r="3062" spans="1:15">
      <c r="A3062" s="166" t="s">
        <v>4037</v>
      </c>
      <c r="B3062" t="s">
        <v>111</v>
      </c>
      <c r="C3062" t="s">
        <v>134</v>
      </c>
      <c r="D3062" t="s">
        <v>116</v>
      </c>
      <c r="E3062" t="s">
        <v>418</v>
      </c>
      <c r="F3062" t="s">
        <v>7</v>
      </c>
      <c r="G3062" t="s">
        <v>130</v>
      </c>
      <c r="H3062" s="1">
        <v>46121</v>
      </c>
      <c r="I3062" t="s">
        <v>4028</v>
      </c>
      <c r="J3062" t="s">
        <v>4028</v>
      </c>
      <c r="K3062" t="s">
        <v>1514</v>
      </c>
      <c r="L3062" t="s">
        <v>2127</v>
      </c>
      <c r="M3062" t="s">
        <v>3646</v>
      </c>
      <c r="N3062" s="166">
        <v>20</v>
      </c>
      <c r="O3062" t="s">
        <v>232</v>
      </c>
    </row>
    <row r="3063" spans="1:15">
      <c r="A3063" s="166" t="s">
        <v>4038</v>
      </c>
      <c r="B3063" t="s">
        <v>111</v>
      </c>
      <c r="C3063" t="s">
        <v>641</v>
      </c>
      <c r="D3063" t="s">
        <v>116</v>
      </c>
      <c r="E3063" t="s">
        <v>418</v>
      </c>
      <c r="F3063" t="s">
        <v>7</v>
      </c>
      <c r="G3063" t="s">
        <v>130</v>
      </c>
      <c r="H3063" s="1">
        <v>46121</v>
      </c>
      <c r="I3063" t="s">
        <v>4028</v>
      </c>
      <c r="J3063" t="s">
        <v>4028</v>
      </c>
      <c r="K3063" t="s">
        <v>1514</v>
      </c>
      <c r="L3063" t="s">
        <v>2127</v>
      </c>
      <c r="M3063" t="s">
        <v>3646</v>
      </c>
      <c r="N3063" s="166">
        <v>20</v>
      </c>
      <c r="O3063" t="s">
        <v>232</v>
      </c>
    </row>
    <row r="3064" spans="1:15">
      <c r="A3064" s="166" t="s">
        <v>4039</v>
      </c>
      <c r="B3064" t="s">
        <v>111</v>
      </c>
      <c r="C3064" t="s">
        <v>134</v>
      </c>
      <c r="D3064" t="s">
        <v>116</v>
      </c>
      <c r="E3064" t="s">
        <v>418</v>
      </c>
      <c r="F3064" t="s">
        <v>7</v>
      </c>
      <c r="G3064" t="s">
        <v>130</v>
      </c>
      <c r="H3064" s="1">
        <v>46121</v>
      </c>
      <c r="I3064" t="s">
        <v>4028</v>
      </c>
      <c r="J3064" t="s">
        <v>4028</v>
      </c>
      <c r="K3064" t="s">
        <v>1514</v>
      </c>
      <c r="L3064" t="s">
        <v>2127</v>
      </c>
      <c r="M3064" t="s">
        <v>3646</v>
      </c>
      <c r="N3064" s="166">
        <v>20</v>
      </c>
      <c r="O3064" t="s">
        <v>232</v>
      </c>
    </row>
    <row r="3065" spans="1:15">
      <c r="A3065" s="166" t="s">
        <v>4040</v>
      </c>
      <c r="B3065" t="s">
        <v>111</v>
      </c>
      <c r="C3065" t="s">
        <v>641</v>
      </c>
      <c r="D3065" t="s">
        <v>116</v>
      </c>
      <c r="E3065" t="s">
        <v>418</v>
      </c>
      <c r="F3065" t="s">
        <v>7</v>
      </c>
      <c r="G3065" t="s">
        <v>130</v>
      </c>
      <c r="H3065" s="1">
        <v>46121</v>
      </c>
      <c r="I3065" t="s">
        <v>4028</v>
      </c>
      <c r="J3065" t="s">
        <v>4028</v>
      </c>
      <c r="K3065" t="s">
        <v>1514</v>
      </c>
      <c r="L3065" t="s">
        <v>2127</v>
      </c>
      <c r="M3065" t="s">
        <v>3646</v>
      </c>
      <c r="N3065" s="166">
        <v>20</v>
      </c>
      <c r="O3065" t="s">
        <v>232</v>
      </c>
    </row>
    <row r="3066" spans="1:15">
      <c r="A3066" s="166" t="s">
        <v>4041</v>
      </c>
      <c r="B3066" t="s">
        <v>111</v>
      </c>
      <c r="C3066" t="s">
        <v>134</v>
      </c>
      <c r="D3066" t="s">
        <v>116</v>
      </c>
      <c r="E3066" t="s">
        <v>418</v>
      </c>
      <c r="F3066" t="s">
        <v>7</v>
      </c>
      <c r="G3066" t="s">
        <v>130</v>
      </c>
      <c r="H3066" s="1">
        <v>46121</v>
      </c>
      <c r="I3066" t="s">
        <v>4028</v>
      </c>
      <c r="J3066" t="s">
        <v>4028</v>
      </c>
      <c r="K3066" t="s">
        <v>1514</v>
      </c>
      <c r="L3066" t="s">
        <v>2127</v>
      </c>
      <c r="M3066" t="s">
        <v>3646</v>
      </c>
      <c r="N3066" s="166">
        <v>20</v>
      </c>
      <c r="O3066" t="s">
        <v>232</v>
      </c>
    </row>
    <row r="3067" spans="1:15">
      <c r="A3067" s="166" t="s">
        <v>4042</v>
      </c>
      <c r="B3067" t="s">
        <v>111</v>
      </c>
      <c r="C3067" t="s">
        <v>641</v>
      </c>
      <c r="D3067" t="s">
        <v>116</v>
      </c>
      <c r="E3067" t="s">
        <v>418</v>
      </c>
      <c r="F3067" t="s">
        <v>7</v>
      </c>
      <c r="G3067" t="s">
        <v>130</v>
      </c>
      <c r="H3067" s="1">
        <v>46121</v>
      </c>
      <c r="I3067" t="s">
        <v>4028</v>
      </c>
      <c r="J3067" t="s">
        <v>4028</v>
      </c>
      <c r="K3067" t="s">
        <v>1514</v>
      </c>
      <c r="L3067" t="s">
        <v>2127</v>
      </c>
      <c r="M3067" t="s">
        <v>3646</v>
      </c>
      <c r="N3067" s="166">
        <v>20</v>
      </c>
      <c r="O3067" t="s">
        <v>232</v>
      </c>
    </row>
    <row r="3068" spans="1:15">
      <c r="A3068" s="166" t="s">
        <v>4043</v>
      </c>
      <c r="B3068" t="s">
        <v>111</v>
      </c>
      <c r="C3068" t="s">
        <v>134</v>
      </c>
      <c r="D3068" t="s">
        <v>116</v>
      </c>
      <c r="E3068" t="s">
        <v>418</v>
      </c>
      <c r="F3068" t="s">
        <v>7</v>
      </c>
      <c r="G3068" t="s">
        <v>130</v>
      </c>
      <c r="H3068" s="1">
        <v>46121</v>
      </c>
      <c r="I3068" t="s">
        <v>4028</v>
      </c>
      <c r="J3068" t="s">
        <v>4028</v>
      </c>
      <c r="K3068" t="s">
        <v>1514</v>
      </c>
      <c r="L3068" t="s">
        <v>2127</v>
      </c>
      <c r="M3068" t="s">
        <v>3646</v>
      </c>
      <c r="N3068" s="166">
        <v>20</v>
      </c>
      <c r="O3068" t="s">
        <v>232</v>
      </c>
    </row>
    <row r="3069" spans="1:15">
      <c r="A3069" s="166" t="s">
        <v>4044</v>
      </c>
      <c r="B3069" t="s">
        <v>111</v>
      </c>
      <c r="C3069" t="s">
        <v>641</v>
      </c>
      <c r="D3069" t="s">
        <v>116</v>
      </c>
      <c r="E3069" t="s">
        <v>418</v>
      </c>
      <c r="F3069" t="s">
        <v>7</v>
      </c>
      <c r="G3069" t="s">
        <v>130</v>
      </c>
      <c r="H3069" s="1">
        <v>46121</v>
      </c>
      <c r="I3069" t="s">
        <v>4028</v>
      </c>
      <c r="J3069" t="s">
        <v>4028</v>
      </c>
      <c r="K3069" t="s">
        <v>1514</v>
      </c>
      <c r="L3069" t="s">
        <v>2127</v>
      </c>
      <c r="M3069" t="s">
        <v>3646</v>
      </c>
      <c r="N3069" s="166">
        <v>20</v>
      </c>
      <c r="O3069" t="s">
        <v>232</v>
      </c>
    </row>
    <row r="3070" spans="1:15">
      <c r="A3070" s="166" t="s">
        <v>4045</v>
      </c>
      <c r="B3070" t="s">
        <v>111</v>
      </c>
      <c r="C3070" t="s">
        <v>134</v>
      </c>
      <c r="D3070" t="s">
        <v>116</v>
      </c>
      <c r="E3070" t="s">
        <v>418</v>
      </c>
      <c r="F3070" t="s">
        <v>7</v>
      </c>
      <c r="G3070" t="s">
        <v>130</v>
      </c>
      <c r="H3070" s="1">
        <v>46121</v>
      </c>
      <c r="I3070" t="s">
        <v>4028</v>
      </c>
      <c r="J3070" t="s">
        <v>4028</v>
      </c>
      <c r="K3070" t="s">
        <v>1514</v>
      </c>
      <c r="L3070" t="s">
        <v>2127</v>
      </c>
      <c r="M3070" t="s">
        <v>3646</v>
      </c>
      <c r="N3070" s="166">
        <v>20</v>
      </c>
      <c r="O3070" t="s">
        <v>232</v>
      </c>
    </row>
    <row r="3071" spans="1:15">
      <c r="A3071" s="166" t="s">
        <v>4046</v>
      </c>
      <c r="B3071" t="s">
        <v>111</v>
      </c>
      <c r="C3071" t="s">
        <v>641</v>
      </c>
      <c r="D3071" t="s">
        <v>116</v>
      </c>
      <c r="E3071" t="s">
        <v>418</v>
      </c>
      <c r="F3071" t="s">
        <v>7</v>
      </c>
      <c r="G3071" t="s">
        <v>130</v>
      </c>
      <c r="H3071" s="1">
        <v>46121</v>
      </c>
      <c r="I3071" t="s">
        <v>4028</v>
      </c>
      <c r="J3071" t="s">
        <v>4028</v>
      </c>
      <c r="K3071" t="s">
        <v>1514</v>
      </c>
      <c r="L3071" t="s">
        <v>2127</v>
      </c>
      <c r="M3071" t="s">
        <v>3646</v>
      </c>
      <c r="N3071" s="166">
        <v>20</v>
      </c>
      <c r="O3071" t="s">
        <v>232</v>
      </c>
    </row>
    <row r="3072" spans="1:15">
      <c r="A3072" s="166" t="s">
        <v>4047</v>
      </c>
      <c r="B3072" t="s">
        <v>111</v>
      </c>
      <c r="C3072" t="s">
        <v>134</v>
      </c>
      <c r="D3072" t="s">
        <v>116</v>
      </c>
      <c r="E3072" t="s">
        <v>418</v>
      </c>
      <c r="F3072" t="s">
        <v>7</v>
      </c>
      <c r="G3072" t="s">
        <v>130</v>
      </c>
      <c r="H3072" s="1">
        <v>46121</v>
      </c>
      <c r="I3072" t="s">
        <v>4028</v>
      </c>
      <c r="J3072" t="s">
        <v>4028</v>
      </c>
      <c r="K3072" t="s">
        <v>1514</v>
      </c>
      <c r="L3072" t="s">
        <v>2127</v>
      </c>
      <c r="M3072" t="s">
        <v>3646</v>
      </c>
      <c r="N3072" s="166">
        <v>20</v>
      </c>
      <c r="O3072" t="s">
        <v>232</v>
      </c>
    </row>
    <row r="3073" spans="1:15">
      <c r="A3073" s="166" t="s">
        <v>4048</v>
      </c>
      <c r="B3073" t="s">
        <v>111</v>
      </c>
      <c r="C3073" t="s">
        <v>641</v>
      </c>
      <c r="D3073" t="s">
        <v>116</v>
      </c>
      <c r="E3073" t="s">
        <v>418</v>
      </c>
      <c r="F3073" t="s">
        <v>7</v>
      </c>
      <c r="G3073" t="s">
        <v>130</v>
      </c>
      <c r="H3073" s="1">
        <v>46121</v>
      </c>
      <c r="I3073" t="s">
        <v>4028</v>
      </c>
      <c r="J3073" t="s">
        <v>4028</v>
      </c>
      <c r="K3073" t="s">
        <v>1514</v>
      </c>
      <c r="L3073" t="s">
        <v>2127</v>
      </c>
      <c r="M3073" t="s">
        <v>3646</v>
      </c>
      <c r="N3073" s="166">
        <v>20</v>
      </c>
      <c r="O3073" t="s">
        <v>232</v>
      </c>
    </row>
    <row r="3074" spans="1:15">
      <c r="A3074" s="166" t="s">
        <v>4049</v>
      </c>
      <c r="B3074" t="s">
        <v>111</v>
      </c>
      <c r="C3074" t="s">
        <v>133</v>
      </c>
      <c r="D3074" t="s">
        <v>116</v>
      </c>
      <c r="E3074" t="s">
        <v>418</v>
      </c>
      <c r="F3074" t="s">
        <v>7</v>
      </c>
      <c r="G3074" t="s">
        <v>130</v>
      </c>
      <c r="H3074" s="1">
        <v>46121</v>
      </c>
      <c r="I3074" t="s">
        <v>4028</v>
      </c>
      <c r="J3074" t="s">
        <v>4028</v>
      </c>
      <c r="K3074" t="s">
        <v>1514</v>
      </c>
      <c r="L3074" t="s">
        <v>2127</v>
      </c>
      <c r="M3074" t="s">
        <v>3646</v>
      </c>
      <c r="N3074" s="166">
        <v>20</v>
      </c>
      <c r="O3074" t="s">
        <v>232</v>
      </c>
    </row>
    <row r="3075" spans="1:15">
      <c r="A3075" s="166" t="s">
        <v>4050</v>
      </c>
      <c r="B3075" t="s">
        <v>111</v>
      </c>
      <c r="C3075" t="s">
        <v>134</v>
      </c>
      <c r="D3075" t="s">
        <v>116</v>
      </c>
      <c r="E3075" t="s">
        <v>418</v>
      </c>
      <c r="F3075" t="s">
        <v>7</v>
      </c>
      <c r="G3075" t="s">
        <v>130</v>
      </c>
      <c r="H3075" s="1">
        <v>46121</v>
      </c>
      <c r="I3075" t="s">
        <v>4028</v>
      </c>
      <c r="J3075" t="s">
        <v>4028</v>
      </c>
      <c r="K3075" t="s">
        <v>1514</v>
      </c>
      <c r="L3075" t="s">
        <v>2127</v>
      </c>
      <c r="M3075" t="s">
        <v>3646</v>
      </c>
      <c r="N3075" s="166">
        <v>20</v>
      </c>
      <c r="O3075" t="s">
        <v>232</v>
      </c>
    </row>
    <row r="3076" spans="1:15">
      <c r="A3076" s="166" t="s">
        <v>4051</v>
      </c>
      <c r="B3076" t="s">
        <v>111</v>
      </c>
      <c r="C3076" t="s">
        <v>641</v>
      </c>
      <c r="D3076" t="s">
        <v>116</v>
      </c>
      <c r="E3076" t="s">
        <v>418</v>
      </c>
      <c r="F3076" t="s">
        <v>7</v>
      </c>
      <c r="G3076" t="s">
        <v>130</v>
      </c>
      <c r="H3076" s="1">
        <v>46121</v>
      </c>
      <c r="I3076" t="s">
        <v>4028</v>
      </c>
      <c r="J3076" t="s">
        <v>4028</v>
      </c>
      <c r="K3076" t="s">
        <v>1514</v>
      </c>
      <c r="L3076" t="s">
        <v>2127</v>
      </c>
      <c r="M3076" t="s">
        <v>3646</v>
      </c>
      <c r="N3076" s="166">
        <v>20</v>
      </c>
      <c r="O3076" t="s">
        <v>232</v>
      </c>
    </row>
    <row r="3077" spans="1:15">
      <c r="A3077" s="166" t="s">
        <v>4052</v>
      </c>
      <c r="B3077" t="s">
        <v>111</v>
      </c>
      <c r="C3077" t="s">
        <v>133</v>
      </c>
      <c r="D3077" t="s">
        <v>116</v>
      </c>
      <c r="E3077" t="s">
        <v>418</v>
      </c>
      <c r="F3077" t="s">
        <v>7</v>
      </c>
      <c r="G3077" t="s">
        <v>130</v>
      </c>
      <c r="H3077" s="1">
        <v>46121</v>
      </c>
      <c r="I3077" t="s">
        <v>4028</v>
      </c>
      <c r="J3077" t="s">
        <v>4028</v>
      </c>
      <c r="K3077" t="s">
        <v>1514</v>
      </c>
      <c r="L3077" t="s">
        <v>2127</v>
      </c>
      <c r="M3077" t="s">
        <v>3646</v>
      </c>
      <c r="N3077" s="166">
        <v>20</v>
      </c>
      <c r="O3077" t="s">
        <v>232</v>
      </c>
    </row>
    <row r="3078" spans="1:15">
      <c r="A3078" s="166" t="s">
        <v>4053</v>
      </c>
      <c r="B3078" t="s">
        <v>111</v>
      </c>
      <c r="C3078" t="s">
        <v>134</v>
      </c>
      <c r="D3078" t="s">
        <v>116</v>
      </c>
      <c r="E3078" t="s">
        <v>418</v>
      </c>
      <c r="F3078" t="s">
        <v>7</v>
      </c>
      <c r="G3078" t="s">
        <v>130</v>
      </c>
      <c r="H3078" s="1">
        <v>46121</v>
      </c>
      <c r="I3078" t="s">
        <v>4028</v>
      </c>
      <c r="J3078" t="s">
        <v>4028</v>
      </c>
      <c r="K3078" t="s">
        <v>1514</v>
      </c>
      <c r="L3078" t="s">
        <v>2127</v>
      </c>
      <c r="M3078" t="s">
        <v>3646</v>
      </c>
      <c r="N3078" s="166">
        <v>20</v>
      </c>
      <c r="O3078" t="s">
        <v>232</v>
      </c>
    </row>
    <row r="3079" spans="1:15">
      <c r="A3079" s="166" t="s">
        <v>4054</v>
      </c>
      <c r="B3079" t="s">
        <v>111</v>
      </c>
      <c r="C3079" t="s">
        <v>641</v>
      </c>
      <c r="D3079" t="s">
        <v>116</v>
      </c>
      <c r="E3079" t="s">
        <v>418</v>
      </c>
      <c r="F3079" t="s">
        <v>7</v>
      </c>
      <c r="G3079" t="s">
        <v>130</v>
      </c>
      <c r="H3079" s="1">
        <v>46121</v>
      </c>
      <c r="I3079" t="s">
        <v>4028</v>
      </c>
      <c r="J3079" t="s">
        <v>4028</v>
      </c>
      <c r="K3079" t="s">
        <v>1514</v>
      </c>
      <c r="L3079" t="s">
        <v>2127</v>
      </c>
      <c r="M3079" t="s">
        <v>3646</v>
      </c>
      <c r="N3079" s="166">
        <v>20</v>
      </c>
      <c r="O3079" t="s">
        <v>232</v>
      </c>
    </row>
    <row r="3080" spans="1:15">
      <c r="A3080" s="166" t="s">
        <v>4055</v>
      </c>
      <c r="B3080" t="s">
        <v>111</v>
      </c>
      <c r="C3080" t="s">
        <v>133</v>
      </c>
      <c r="D3080" t="s">
        <v>116</v>
      </c>
      <c r="E3080" t="s">
        <v>418</v>
      </c>
      <c r="F3080" t="s">
        <v>7</v>
      </c>
      <c r="G3080" t="s">
        <v>130</v>
      </c>
      <c r="H3080" s="1">
        <v>46121</v>
      </c>
      <c r="I3080" t="s">
        <v>4028</v>
      </c>
      <c r="J3080" t="s">
        <v>4028</v>
      </c>
      <c r="K3080" t="s">
        <v>1514</v>
      </c>
      <c r="L3080" t="s">
        <v>2127</v>
      </c>
      <c r="M3080" t="s">
        <v>3646</v>
      </c>
      <c r="N3080" s="166">
        <v>20</v>
      </c>
      <c r="O3080" t="s">
        <v>232</v>
      </c>
    </row>
    <row r="3081" spans="1:15">
      <c r="A3081" s="166" t="s">
        <v>4056</v>
      </c>
      <c r="B3081" t="s">
        <v>111</v>
      </c>
      <c r="C3081" t="s">
        <v>641</v>
      </c>
      <c r="D3081" t="s">
        <v>116</v>
      </c>
      <c r="E3081" t="s">
        <v>418</v>
      </c>
      <c r="F3081" t="s">
        <v>7</v>
      </c>
      <c r="G3081" t="s">
        <v>130</v>
      </c>
      <c r="H3081" s="1">
        <v>46121</v>
      </c>
      <c r="I3081" t="s">
        <v>4028</v>
      </c>
      <c r="J3081" t="s">
        <v>4028</v>
      </c>
      <c r="K3081" t="s">
        <v>1514</v>
      </c>
      <c r="L3081" t="s">
        <v>2127</v>
      </c>
      <c r="M3081" t="s">
        <v>3646</v>
      </c>
      <c r="N3081" s="166">
        <v>20</v>
      </c>
      <c r="O3081" t="s">
        <v>232</v>
      </c>
    </row>
    <row r="3082" spans="1:15">
      <c r="A3082" s="166" t="s">
        <v>4057</v>
      </c>
      <c r="B3082" t="s">
        <v>111</v>
      </c>
      <c r="C3082" t="s">
        <v>134</v>
      </c>
      <c r="D3082" t="s">
        <v>116</v>
      </c>
      <c r="E3082" t="s">
        <v>418</v>
      </c>
      <c r="F3082" t="s">
        <v>7</v>
      </c>
      <c r="G3082" t="s">
        <v>130</v>
      </c>
      <c r="H3082" s="1">
        <v>46121</v>
      </c>
      <c r="I3082" t="s">
        <v>4028</v>
      </c>
      <c r="J3082" t="s">
        <v>4028</v>
      </c>
      <c r="K3082" t="s">
        <v>1514</v>
      </c>
      <c r="L3082" t="s">
        <v>2127</v>
      </c>
      <c r="M3082" t="s">
        <v>3646</v>
      </c>
      <c r="N3082" s="166">
        <v>20</v>
      </c>
      <c r="O3082" t="s">
        <v>232</v>
      </c>
    </row>
    <row r="3083" spans="1:15">
      <c r="A3083" s="166" t="s">
        <v>4058</v>
      </c>
      <c r="B3083" t="s">
        <v>111</v>
      </c>
      <c r="C3083" t="s">
        <v>406</v>
      </c>
      <c r="D3083" t="s">
        <v>116</v>
      </c>
      <c r="E3083" t="s">
        <v>418</v>
      </c>
      <c r="F3083" t="s">
        <v>7</v>
      </c>
      <c r="G3083" t="s">
        <v>130</v>
      </c>
      <c r="H3083" s="1">
        <v>46121</v>
      </c>
      <c r="I3083" t="s">
        <v>4028</v>
      </c>
      <c r="J3083" t="s">
        <v>4028</v>
      </c>
      <c r="K3083" t="s">
        <v>1514</v>
      </c>
      <c r="L3083" t="s">
        <v>2127</v>
      </c>
      <c r="M3083" t="s">
        <v>3646</v>
      </c>
      <c r="N3083" s="166">
        <v>20</v>
      </c>
      <c r="O3083" t="s">
        <v>232</v>
      </c>
    </row>
    <row r="3084" spans="1:15">
      <c r="A3084" s="166" t="s">
        <v>4059</v>
      </c>
      <c r="B3084" t="s">
        <v>111</v>
      </c>
      <c r="C3084" t="s">
        <v>641</v>
      </c>
      <c r="D3084" t="s">
        <v>116</v>
      </c>
      <c r="E3084" t="s">
        <v>418</v>
      </c>
      <c r="F3084" t="s">
        <v>7</v>
      </c>
      <c r="G3084" t="s">
        <v>130</v>
      </c>
      <c r="H3084" s="1">
        <v>46121</v>
      </c>
      <c r="I3084" t="s">
        <v>4028</v>
      </c>
      <c r="J3084" t="s">
        <v>4028</v>
      </c>
      <c r="K3084" t="s">
        <v>1514</v>
      </c>
      <c r="L3084" t="s">
        <v>2127</v>
      </c>
      <c r="M3084" t="s">
        <v>3646</v>
      </c>
      <c r="N3084" s="166">
        <v>20</v>
      </c>
      <c r="O3084" t="s">
        <v>232</v>
      </c>
    </row>
    <row r="3085" spans="1:15">
      <c r="A3085" s="166" t="s">
        <v>4060</v>
      </c>
      <c r="B3085" t="s">
        <v>111</v>
      </c>
      <c r="C3085" t="s">
        <v>134</v>
      </c>
      <c r="D3085" t="s">
        <v>116</v>
      </c>
      <c r="E3085" t="s">
        <v>418</v>
      </c>
      <c r="F3085" t="s">
        <v>7</v>
      </c>
      <c r="G3085" t="s">
        <v>130</v>
      </c>
      <c r="H3085" s="1">
        <v>46121</v>
      </c>
      <c r="I3085" t="s">
        <v>4028</v>
      </c>
      <c r="J3085" t="s">
        <v>4028</v>
      </c>
      <c r="K3085" t="s">
        <v>1514</v>
      </c>
      <c r="L3085" t="s">
        <v>2127</v>
      </c>
      <c r="M3085" t="s">
        <v>3646</v>
      </c>
      <c r="N3085" s="166">
        <v>20</v>
      </c>
      <c r="O3085" t="s">
        <v>232</v>
      </c>
    </row>
    <row r="3086" spans="1:15">
      <c r="A3086" s="166" t="s">
        <v>4061</v>
      </c>
      <c r="B3086" t="s">
        <v>111</v>
      </c>
      <c r="C3086" t="s">
        <v>406</v>
      </c>
      <c r="D3086" t="s">
        <v>116</v>
      </c>
      <c r="E3086" t="s">
        <v>418</v>
      </c>
      <c r="F3086" t="s">
        <v>7</v>
      </c>
      <c r="G3086" t="s">
        <v>130</v>
      </c>
      <c r="H3086" s="1">
        <v>46121</v>
      </c>
      <c r="I3086" t="s">
        <v>4028</v>
      </c>
      <c r="J3086" t="s">
        <v>4028</v>
      </c>
      <c r="K3086" t="s">
        <v>1514</v>
      </c>
      <c r="L3086" t="s">
        <v>2127</v>
      </c>
      <c r="M3086" t="s">
        <v>3646</v>
      </c>
      <c r="N3086" s="166">
        <v>20</v>
      </c>
      <c r="O3086" t="s">
        <v>232</v>
      </c>
    </row>
    <row r="3087" spans="1:15">
      <c r="A3087" s="166" t="s">
        <v>4062</v>
      </c>
      <c r="B3087" t="s">
        <v>111</v>
      </c>
      <c r="C3087" t="s">
        <v>641</v>
      </c>
      <c r="D3087" t="s">
        <v>116</v>
      </c>
      <c r="E3087" t="s">
        <v>418</v>
      </c>
      <c r="F3087" t="s">
        <v>7</v>
      </c>
      <c r="G3087" t="s">
        <v>130</v>
      </c>
      <c r="H3087" s="1">
        <v>46121</v>
      </c>
      <c r="I3087" t="s">
        <v>4028</v>
      </c>
      <c r="J3087" t="s">
        <v>4028</v>
      </c>
      <c r="K3087" t="s">
        <v>1514</v>
      </c>
      <c r="L3087" t="s">
        <v>2127</v>
      </c>
      <c r="M3087" t="s">
        <v>3646</v>
      </c>
      <c r="N3087" s="166">
        <v>20</v>
      </c>
      <c r="O3087" t="s">
        <v>232</v>
      </c>
    </row>
    <row r="3088" spans="1:15">
      <c r="A3088" s="166" t="s">
        <v>4063</v>
      </c>
      <c r="B3088" t="s">
        <v>111</v>
      </c>
      <c r="C3088" t="s">
        <v>134</v>
      </c>
      <c r="D3088" t="s">
        <v>116</v>
      </c>
      <c r="E3088" t="s">
        <v>418</v>
      </c>
      <c r="F3088" t="s">
        <v>7</v>
      </c>
      <c r="G3088" t="s">
        <v>130</v>
      </c>
      <c r="H3088" s="1">
        <v>46121</v>
      </c>
      <c r="I3088" t="s">
        <v>4028</v>
      </c>
      <c r="J3088" t="s">
        <v>4028</v>
      </c>
      <c r="K3088" t="s">
        <v>1514</v>
      </c>
      <c r="L3088" t="s">
        <v>2127</v>
      </c>
      <c r="M3088" t="s">
        <v>3646</v>
      </c>
      <c r="N3088" s="166">
        <v>20</v>
      </c>
      <c r="O3088" t="s">
        <v>232</v>
      </c>
    </row>
    <row r="3089" spans="1:15">
      <c r="A3089" s="166" t="s">
        <v>4064</v>
      </c>
      <c r="B3089" t="s">
        <v>111</v>
      </c>
      <c r="C3089" t="s">
        <v>641</v>
      </c>
      <c r="D3089" t="s">
        <v>116</v>
      </c>
      <c r="E3089" t="s">
        <v>418</v>
      </c>
      <c r="F3089" t="s">
        <v>7</v>
      </c>
      <c r="G3089" t="s">
        <v>130</v>
      </c>
      <c r="H3089" s="1">
        <v>46121</v>
      </c>
      <c r="I3089" t="s">
        <v>4028</v>
      </c>
      <c r="J3089" t="s">
        <v>4028</v>
      </c>
      <c r="K3089" t="s">
        <v>1514</v>
      </c>
      <c r="L3089" t="s">
        <v>2127</v>
      </c>
      <c r="M3089" t="s">
        <v>3646</v>
      </c>
      <c r="N3089" s="166">
        <v>20</v>
      </c>
      <c r="O3089" t="s">
        <v>232</v>
      </c>
    </row>
    <row r="3090" spans="1:15">
      <c r="A3090" s="166" t="s">
        <v>4065</v>
      </c>
      <c r="B3090" t="s">
        <v>111</v>
      </c>
      <c r="C3090" t="s">
        <v>134</v>
      </c>
      <c r="D3090" t="s">
        <v>116</v>
      </c>
      <c r="E3090" t="s">
        <v>418</v>
      </c>
      <c r="F3090" t="s">
        <v>7</v>
      </c>
      <c r="G3090" t="s">
        <v>130</v>
      </c>
      <c r="H3090" s="1">
        <v>46121</v>
      </c>
      <c r="I3090" t="s">
        <v>4028</v>
      </c>
      <c r="J3090" t="s">
        <v>4028</v>
      </c>
      <c r="K3090" t="s">
        <v>1514</v>
      </c>
      <c r="L3090" t="s">
        <v>2127</v>
      </c>
      <c r="M3090" t="s">
        <v>3646</v>
      </c>
      <c r="N3090" s="166">
        <v>20</v>
      </c>
      <c r="O3090" t="s">
        <v>232</v>
      </c>
    </row>
    <row r="3091" spans="1:15">
      <c r="A3091" s="166" t="s">
        <v>4066</v>
      </c>
      <c r="B3091" t="s">
        <v>111</v>
      </c>
      <c r="C3091" t="s">
        <v>641</v>
      </c>
      <c r="D3091" t="s">
        <v>116</v>
      </c>
      <c r="E3091" t="s">
        <v>418</v>
      </c>
      <c r="F3091" t="s">
        <v>7</v>
      </c>
      <c r="G3091" t="s">
        <v>130</v>
      </c>
      <c r="H3091" s="1">
        <v>46121</v>
      </c>
      <c r="I3091" t="s">
        <v>4028</v>
      </c>
      <c r="J3091" t="s">
        <v>4028</v>
      </c>
      <c r="K3091" t="s">
        <v>1514</v>
      </c>
      <c r="L3091" t="s">
        <v>2127</v>
      </c>
      <c r="M3091" t="s">
        <v>3646</v>
      </c>
      <c r="N3091" s="166">
        <v>20</v>
      </c>
      <c r="O3091" t="s">
        <v>232</v>
      </c>
    </row>
    <row r="3092" spans="1:15">
      <c r="A3092" s="166" t="s">
        <v>4067</v>
      </c>
      <c r="B3092" t="s">
        <v>111</v>
      </c>
      <c r="C3092" t="s">
        <v>134</v>
      </c>
      <c r="D3092" t="s">
        <v>116</v>
      </c>
      <c r="E3092" t="s">
        <v>418</v>
      </c>
      <c r="F3092" t="s">
        <v>7</v>
      </c>
      <c r="G3092" t="s">
        <v>130</v>
      </c>
      <c r="H3092" s="1">
        <v>46121</v>
      </c>
      <c r="I3092" t="s">
        <v>4028</v>
      </c>
      <c r="J3092" t="s">
        <v>4028</v>
      </c>
      <c r="K3092" t="s">
        <v>1514</v>
      </c>
      <c r="L3092" t="s">
        <v>2127</v>
      </c>
      <c r="M3092" t="s">
        <v>3646</v>
      </c>
      <c r="N3092" s="166">
        <v>20</v>
      </c>
      <c r="O3092" t="s">
        <v>232</v>
      </c>
    </row>
    <row r="3093" spans="1:15">
      <c r="A3093" s="166" t="s">
        <v>4068</v>
      </c>
      <c r="B3093" t="s">
        <v>111</v>
      </c>
      <c r="C3093" t="s">
        <v>641</v>
      </c>
      <c r="D3093" t="s">
        <v>116</v>
      </c>
      <c r="E3093" t="s">
        <v>418</v>
      </c>
      <c r="F3093" t="s">
        <v>7</v>
      </c>
      <c r="G3093" t="s">
        <v>130</v>
      </c>
      <c r="H3093" s="1">
        <v>46121</v>
      </c>
      <c r="I3093" t="s">
        <v>4028</v>
      </c>
      <c r="J3093" t="s">
        <v>4028</v>
      </c>
      <c r="K3093" t="s">
        <v>1514</v>
      </c>
      <c r="L3093" t="s">
        <v>2127</v>
      </c>
      <c r="M3093" t="s">
        <v>3646</v>
      </c>
      <c r="N3093" s="166">
        <v>20</v>
      </c>
      <c r="O3093" t="s">
        <v>232</v>
      </c>
    </row>
    <row r="3094" spans="1:15">
      <c r="A3094" s="166" t="s">
        <v>4069</v>
      </c>
      <c r="B3094" t="s">
        <v>111</v>
      </c>
      <c r="C3094" t="s">
        <v>134</v>
      </c>
      <c r="D3094" t="s">
        <v>116</v>
      </c>
      <c r="E3094" t="s">
        <v>418</v>
      </c>
      <c r="F3094" t="s">
        <v>7</v>
      </c>
      <c r="G3094" t="s">
        <v>130</v>
      </c>
      <c r="H3094" s="1">
        <v>46121</v>
      </c>
      <c r="I3094" t="s">
        <v>4028</v>
      </c>
      <c r="J3094" t="s">
        <v>4028</v>
      </c>
      <c r="K3094" t="s">
        <v>1514</v>
      </c>
      <c r="L3094" t="s">
        <v>2127</v>
      </c>
      <c r="M3094" t="s">
        <v>3646</v>
      </c>
      <c r="N3094" s="166">
        <v>20</v>
      </c>
      <c r="O3094" t="s">
        <v>232</v>
      </c>
    </row>
    <row r="3095" spans="1:15">
      <c r="A3095" s="166" t="s">
        <v>4070</v>
      </c>
      <c r="B3095" t="s">
        <v>111</v>
      </c>
      <c r="C3095" t="s">
        <v>641</v>
      </c>
      <c r="D3095" t="s">
        <v>116</v>
      </c>
      <c r="E3095" t="s">
        <v>418</v>
      </c>
      <c r="F3095" t="s">
        <v>7</v>
      </c>
      <c r="G3095" t="s">
        <v>130</v>
      </c>
      <c r="H3095" s="1">
        <v>46121</v>
      </c>
      <c r="I3095" t="s">
        <v>4028</v>
      </c>
      <c r="J3095" t="s">
        <v>4028</v>
      </c>
      <c r="K3095" t="s">
        <v>1514</v>
      </c>
      <c r="L3095" t="s">
        <v>2127</v>
      </c>
      <c r="M3095" t="s">
        <v>3646</v>
      </c>
      <c r="N3095" s="166">
        <v>20</v>
      </c>
      <c r="O3095" t="s">
        <v>232</v>
      </c>
    </row>
    <row r="3096" spans="1:15">
      <c r="A3096" s="166" t="s">
        <v>4071</v>
      </c>
      <c r="B3096" t="s">
        <v>111</v>
      </c>
      <c r="C3096" t="s">
        <v>134</v>
      </c>
      <c r="D3096" t="s">
        <v>116</v>
      </c>
      <c r="E3096" t="s">
        <v>418</v>
      </c>
      <c r="F3096" t="s">
        <v>7</v>
      </c>
      <c r="G3096" t="s">
        <v>130</v>
      </c>
      <c r="H3096" s="1">
        <v>46121</v>
      </c>
      <c r="I3096" t="s">
        <v>4028</v>
      </c>
      <c r="J3096" t="s">
        <v>4028</v>
      </c>
      <c r="K3096" t="s">
        <v>1514</v>
      </c>
      <c r="L3096" t="s">
        <v>2127</v>
      </c>
      <c r="M3096" t="s">
        <v>3646</v>
      </c>
      <c r="N3096" s="166">
        <v>20</v>
      </c>
      <c r="O3096" t="s">
        <v>232</v>
      </c>
    </row>
    <row r="3097" spans="1:15">
      <c r="A3097" s="166" t="s">
        <v>4072</v>
      </c>
      <c r="B3097" t="s">
        <v>111</v>
      </c>
      <c r="C3097" t="s">
        <v>641</v>
      </c>
      <c r="D3097" t="s">
        <v>116</v>
      </c>
      <c r="E3097" t="s">
        <v>418</v>
      </c>
      <c r="F3097" t="s">
        <v>7</v>
      </c>
      <c r="G3097" t="s">
        <v>130</v>
      </c>
      <c r="H3097" s="1">
        <v>46121</v>
      </c>
      <c r="I3097" t="s">
        <v>4028</v>
      </c>
      <c r="J3097" t="s">
        <v>4028</v>
      </c>
      <c r="K3097" t="s">
        <v>1514</v>
      </c>
      <c r="L3097" t="s">
        <v>2127</v>
      </c>
      <c r="M3097" t="s">
        <v>3646</v>
      </c>
      <c r="N3097" s="166">
        <v>20</v>
      </c>
      <c r="O3097" t="s">
        <v>232</v>
      </c>
    </row>
    <row r="3098" spans="1:15">
      <c r="A3098" s="166" t="s">
        <v>4073</v>
      </c>
      <c r="B3098" t="s">
        <v>111</v>
      </c>
      <c r="C3098" t="s">
        <v>134</v>
      </c>
      <c r="D3098" t="s">
        <v>116</v>
      </c>
      <c r="E3098" t="s">
        <v>418</v>
      </c>
      <c r="F3098" t="s">
        <v>7</v>
      </c>
      <c r="G3098" t="s">
        <v>130</v>
      </c>
      <c r="H3098" s="1">
        <v>46121</v>
      </c>
      <c r="I3098" t="s">
        <v>4028</v>
      </c>
      <c r="J3098" t="s">
        <v>4028</v>
      </c>
      <c r="K3098" t="s">
        <v>1514</v>
      </c>
      <c r="L3098" t="s">
        <v>2127</v>
      </c>
      <c r="M3098" t="s">
        <v>3646</v>
      </c>
      <c r="N3098" s="166">
        <v>20</v>
      </c>
      <c r="O3098" t="s">
        <v>232</v>
      </c>
    </row>
    <row r="3099" spans="1:15">
      <c r="A3099" s="166" t="s">
        <v>4074</v>
      </c>
      <c r="B3099" t="s">
        <v>111</v>
      </c>
      <c r="C3099" t="s">
        <v>641</v>
      </c>
      <c r="D3099" t="s">
        <v>116</v>
      </c>
      <c r="E3099" t="s">
        <v>418</v>
      </c>
      <c r="F3099" t="s">
        <v>7</v>
      </c>
      <c r="G3099" t="s">
        <v>130</v>
      </c>
      <c r="H3099" s="1">
        <v>46121</v>
      </c>
      <c r="I3099" t="s">
        <v>4028</v>
      </c>
      <c r="J3099" t="s">
        <v>4028</v>
      </c>
      <c r="K3099" t="s">
        <v>1514</v>
      </c>
      <c r="L3099" t="s">
        <v>2127</v>
      </c>
      <c r="M3099" t="s">
        <v>3646</v>
      </c>
      <c r="N3099" s="166">
        <v>20</v>
      </c>
      <c r="O3099" t="s">
        <v>232</v>
      </c>
    </row>
    <row r="3100" spans="1:15">
      <c r="A3100" s="166" t="s">
        <v>4075</v>
      </c>
      <c r="B3100" t="s">
        <v>111</v>
      </c>
      <c r="C3100" t="s">
        <v>133</v>
      </c>
      <c r="D3100" t="s">
        <v>116</v>
      </c>
      <c r="E3100" t="s">
        <v>418</v>
      </c>
      <c r="F3100" t="s">
        <v>7</v>
      </c>
      <c r="G3100" t="s">
        <v>130</v>
      </c>
      <c r="H3100" s="1">
        <v>46121</v>
      </c>
      <c r="I3100" t="s">
        <v>4028</v>
      </c>
      <c r="J3100" t="s">
        <v>4028</v>
      </c>
      <c r="K3100" t="s">
        <v>1514</v>
      </c>
      <c r="L3100" t="s">
        <v>2127</v>
      </c>
      <c r="M3100" t="s">
        <v>3646</v>
      </c>
      <c r="N3100" s="166">
        <v>20</v>
      </c>
      <c r="O3100" t="s">
        <v>232</v>
      </c>
    </row>
    <row r="3101" spans="1:15">
      <c r="A3101" s="166" t="s">
        <v>4076</v>
      </c>
      <c r="B3101" t="s">
        <v>111</v>
      </c>
      <c r="C3101" t="s">
        <v>134</v>
      </c>
      <c r="D3101" t="s">
        <v>116</v>
      </c>
      <c r="E3101" t="s">
        <v>418</v>
      </c>
      <c r="F3101" t="s">
        <v>7</v>
      </c>
      <c r="G3101" t="s">
        <v>130</v>
      </c>
      <c r="H3101" s="1">
        <v>46121</v>
      </c>
      <c r="I3101" t="s">
        <v>4028</v>
      </c>
      <c r="J3101" t="s">
        <v>4028</v>
      </c>
      <c r="K3101" t="s">
        <v>1514</v>
      </c>
      <c r="L3101" t="s">
        <v>2127</v>
      </c>
      <c r="M3101" t="s">
        <v>3646</v>
      </c>
      <c r="N3101" s="166">
        <v>20</v>
      </c>
      <c r="O3101" t="s">
        <v>232</v>
      </c>
    </row>
    <row r="3102" spans="1:15">
      <c r="A3102" s="166" t="s">
        <v>4077</v>
      </c>
      <c r="B3102" t="s">
        <v>111</v>
      </c>
      <c r="C3102" t="s">
        <v>641</v>
      </c>
      <c r="D3102" t="s">
        <v>116</v>
      </c>
      <c r="E3102" t="s">
        <v>418</v>
      </c>
      <c r="F3102" t="s">
        <v>7</v>
      </c>
      <c r="G3102" t="s">
        <v>130</v>
      </c>
      <c r="H3102" s="1">
        <v>46121</v>
      </c>
      <c r="I3102" t="s">
        <v>4028</v>
      </c>
      <c r="J3102" t="s">
        <v>4028</v>
      </c>
      <c r="K3102" t="s">
        <v>1514</v>
      </c>
      <c r="L3102" t="s">
        <v>2127</v>
      </c>
      <c r="M3102" t="s">
        <v>3646</v>
      </c>
      <c r="N3102" s="166">
        <v>20</v>
      </c>
      <c r="O3102" t="s">
        <v>232</v>
      </c>
    </row>
    <row r="3103" spans="1:15">
      <c r="A3103" s="166" t="s">
        <v>4078</v>
      </c>
      <c r="B3103" t="s">
        <v>111</v>
      </c>
      <c r="C3103" t="s">
        <v>133</v>
      </c>
      <c r="D3103" t="s">
        <v>116</v>
      </c>
      <c r="E3103" t="s">
        <v>418</v>
      </c>
      <c r="F3103" t="s">
        <v>7</v>
      </c>
      <c r="G3103" t="s">
        <v>130</v>
      </c>
      <c r="H3103" s="1">
        <v>46121</v>
      </c>
      <c r="I3103" t="s">
        <v>4028</v>
      </c>
      <c r="J3103" t="s">
        <v>4028</v>
      </c>
      <c r="K3103" t="s">
        <v>1514</v>
      </c>
      <c r="L3103" t="s">
        <v>2127</v>
      </c>
      <c r="M3103" t="s">
        <v>3646</v>
      </c>
      <c r="N3103" s="166">
        <v>20</v>
      </c>
      <c r="O3103" t="s">
        <v>232</v>
      </c>
    </row>
    <row r="3104" spans="1:15">
      <c r="A3104" s="166" t="s">
        <v>4079</v>
      </c>
      <c r="B3104" t="s">
        <v>111</v>
      </c>
      <c r="C3104" t="s">
        <v>134</v>
      </c>
      <c r="D3104" t="s">
        <v>116</v>
      </c>
      <c r="E3104" t="s">
        <v>418</v>
      </c>
      <c r="F3104" t="s">
        <v>7</v>
      </c>
      <c r="G3104" t="s">
        <v>130</v>
      </c>
      <c r="H3104" s="1">
        <v>46121</v>
      </c>
      <c r="I3104" t="s">
        <v>4028</v>
      </c>
      <c r="J3104" t="s">
        <v>4028</v>
      </c>
      <c r="K3104" t="s">
        <v>1514</v>
      </c>
      <c r="L3104" t="s">
        <v>2127</v>
      </c>
      <c r="M3104" t="s">
        <v>3646</v>
      </c>
      <c r="N3104" s="166">
        <v>20</v>
      </c>
      <c r="O3104" t="s">
        <v>232</v>
      </c>
    </row>
    <row r="3105" spans="1:15">
      <c r="A3105" s="166" t="s">
        <v>4080</v>
      </c>
      <c r="B3105" t="s">
        <v>111</v>
      </c>
      <c r="C3105" t="s">
        <v>641</v>
      </c>
      <c r="D3105" t="s">
        <v>116</v>
      </c>
      <c r="E3105" t="s">
        <v>418</v>
      </c>
      <c r="F3105" t="s">
        <v>7</v>
      </c>
      <c r="G3105" t="s">
        <v>130</v>
      </c>
      <c r="H3105" s="1">
        <v>46121</v>
      </c>
      <c r="I3105" t="s">
        <v>4028</v>
      </c>
      <c r="J3105" t="s">
        <v>4028</v>
      </c>
      <c r="K3105" t="s">
        <v>1514</v>
      </c>
      <c r="L3105" t="s">
        <v>2127</v>
      </c>
      <c r="M3105" t="s">
        <v>3646</v>
      </c>
      <c r="N3105" s="166">
        <v>20</v>
      </c>
      <c r="O3105" t="s">
        <v>232</v>
      </c>
    </row>
    <row r="3106" spans="1:15">
      <c r="A3106" s="166" t="s">
        <v>4081</v>
      </c>
      <c r="B3106" t="s">
        <v>111</v>
      </c>
      <c r="C3106" t="s">
        <v>133</v>
      </c>
      <c r="D3106" t="s">
        <v>116</v>
      </c>
      <c r="E3106" t="s">
        <v>418</v>
      </c>
      <c r="F3106" t="s">
        <v>7</v>
      </c>
      <c r="G3106" t="s">
        <v>130</v>
      </c>
      <c r="H3106" s="1">
        <v>46121</v>
      </c>
      <c r="I3106" t="s">
        <v>4028</v>
      </c>
      <c r="J3106" t="s">
        <v>4028</v>
      </c>
      <c r="K3106" t="s">
        <v>1514</v>
      </c>
      <c r="L3106" t="s">
        <v>2127</v>
      </c>
      <c r="M3106" t="s">
        <v>3646</v>
      </c>
      <c r="N3106" s="166">
        <v>20</v>
      </c>
      <c r="O3106" t="s">
        <v>232</v>
      </c>
    </row>
    <row r="3107" spans="1:15">
      <c r="A3107" s="166" t="s">
        <v>4082</v>
      </c>
      <c r="B3107" t="s">
        <v>111</v>
      </c>
      <c r="C3107" t="s">
        <v>641</v>
      </c>
      <c r="D3107" t="s">
        <v>116</v>
      </c>
      <c r="E3107" t="s">
        <v>418</v>
      </c>
      <c r="F3107" t="s">
        <v>7</v>
      </c>
      <c r="G3107" t="s">
        <v>130</v>
      </c>
      <c r="H3107" s="1">
        <v>46121</v>
      </c>
      <c r="I3107" t="s">
        <v>4028</v>
      </c>
      <c r="J3107" t="s">
        <v>4028</v>
      </c>
      <c r="K3107" t="s">
        <v>1514</v>
      </c>
      <c r="L3107" t="s">
        <v>2127</v>
      </c>
      <c r="M3107" t="s">
        <v>3646</v>
      </c>
      <c r="N3107" s="166">
        <v>20</v>
      </c>
      <c r="O3107" t="s">
        <v>232</v>
      </c>
    </row>
    <row r="3108" spans="1:15">
      <c r="A3108" s="166" t="s">
        <v>4083</v>
      </c>
      <c r="B3108" t="s">
        <v>111</v>
      </c>
      <c r="C3108" t="s">
        <v>134</v>
      </c>
      <c r="D3108" t="s">
        <v>116</v>
      </c>
      <c r="E3108" t="s">
        <v>418</v>
      </c>
      <c r="F3108" t="s">
        <v>7</v>
      </c>
      <c r="G3108" t="s">
        <v>130</v>
      </c>
      <c r="H3108" s="1">
        <v>46121</v>
      </c>
      <c r="I3108" t="s">
        <v>4028</v>
      </c>
      <c r="J3108" t="s">
        <v>4028</v>
      </c>
      <c r="K3108" t="s">
        <v>1514</v>
      </c>
      <c r="L3108" t="s">
        <v>2127</v>
      </c>
      <c r="M3108" t="s">
        <v>3646</v>
      </c>
      <c r="N3108" s="166">
        <v>20</v>
      </c>
      <c r="O3108" t="s">
        <v>232</v>
      </c>
    </row>
    <row r="3109" spans="1:15">
      <c r="A3109" s="166" t="s">
        <v>4084</v>
      </c>
      <c r="B3109" t="s">
        <v>111</v>
      </c>
      <c r="C3109" t="s">
        <v>406</v>
      </c>
      <c r="D3109" t="s">
        <v>116</v>
      </c>
      <c r="E3109" t="s">
        <v>138</v>
      </c>
      <c r="F3109" t="s">
        <v>7</v>
      </c>
      <c r="G3109" t="s">
        <v>130</v>
      </c>
      <c r="H3109" s="1">
        <v>46121</v>
      </c>
      <c r="I3109" t="s">
        <v>4028</v>
      </c>
      <c r="J3109" t="s">
        <v>4028</v>
      </c>
      <c r="K3109" t="s">
        <v>1514</v>
      </c>
      <c r="L3109" t="s">
        <v>2127</v>
      </c>
      <c r="M3109" t="s">
        <v>3646</v>
      </c>
      <c r="N3109" s="166">
        <v>20</v>
      </c>
      <c r="O3109" t="s">
        <v>232</v>
      </c>
    </row>
    <row r="3110" spans="1:15">
      <c r="A3110" s="166" t="s">
        <v>4085</v>
      </c>
      <c r="B3110" t="s">
        <v>111</v>
      </c>
      <c r="C3110" t="s">
        <v>641</v>
      </c>
      <c r="D3110" t="s">
        <v>116</v>
      </c>
      <c r="E3110" t="s">
        <v>138</v>
      </c>
      <c r="F3110" t="s">
        <v>7</v>
      </c>
      <c r="G3110" t="s">
        <v>130</v>
      </c>
      <c r="H3110" s="1">
        <v>46121</v>
      </c>
      <c r="I3110" t="s">
        <v>4028</v>
      </c>
      <c r="J3110" t="s">
        <v>4028</v>
      </c>
      <c r="K3110" t="s">
        <v>1514</v>
      </c>
      <c r="L3110" t="s">
        <v>2127</v>
      </c>
      <c r="M3110" t="s">
        <v>3646</v>
      </c>
      <c r="N3110" s="166">
        <v>20</v>
      </c>
      <c r="O3110" t="s">
        <v>232</v>
      </c>
    </row>
    <row r="3111" spans="1:15">
      <c r="A3111" s="166" t="s">
        <v>4086</v>
      </c>
      <c r="B3111" t="s">
        <v>111</v>
      </c>
      <c r="C3111" t="s">
        <v>134</v>
      </c>
      <c r="D3111" t="s">
        <v>116</v>
      </c>
      <c r="E3111" t="s">
        <v>138</v>
      </c>
      <c r="F3111" t="s">
        <v>7</v>
      </c>
      <c r="G3111" t="s">
        <v>130</v>
      </c>
      <c r="H3111" s="1">
        <v>46121</v>
      </c>
      <c r="I3111" t="s">
        <v>4028</v>
      </c>
      <c r="J3111" t="s">
        <v>4028</v>
      </c>
      <c r="K3111" t="s">
        <v>1514</v>
      </c>
      <c r="L3111" t="s">
        <v>2127</v>
      </c>
      <c r="M3111" t="s">
        <v>3646</v>
      </c>
      <c r="N3111" s="166">
        <v>20</v>
      </c>
      <c r="O3111" t="s">
        <v>232</v>
      </c>
    </row>
    <row r="3112" spans="1:15">
      <c r="A3112" s="166" t="s">
        <v>4087</v>
      </c>
      <c r="B3112" t="s">
        <v>111</v>
      </c>
      <c r="C3112" t="s">
        <v>406</v>
      </c>
      <c r="D3112" t="s">
        <v>116</v>
      </c>
      <c r="E3112" t="s">
        <v>138</v>
      </c>
      <c r="F3112" t="s">
        <v>7</v>
      </c>
      <c r="G3112" t="s">
        <v>130</v>
      </c>
      <c r="H3112" s="1">
        <v>46121</v>
      </c>
      <c r="I3112" t="s">
        <v>4028</v>
      </c>
      <c r="J3112" t="s">
        <v>4028</v>
      </c>
      <c r="K3112" t="s">
        <v>1514</v>
      </c>
      <c r="L3112" t="s">
        <v>2127</v>
      </c>
      <c r="M3112" t="s">
        <v>3646</v>
      </c>
      <c r="N3112" s="166">
        <v>20</v>
      </c>
      <c r="O3112" t="s">
        <v>232</v>
      </c>
    </row>
    <row r="3113" spans="1:15">
      <c r="A3113" s="166" t="s">
        <v>4088</v>
      </c>
      <c r="B3113" t="s">
        <v>111</v>
      </c>
      <c r="C3113" t="s">
        <v>641</v>
      </c>
      <c r="D3113" t="s">
        <v>116</v>
      </c>
      <c r="E3113" t="s">
        <v>138</v>
      </c>
      <c r="F3113" t="s">
        <v>7</v>
      </c>
      <c r="G3113" t="s">
        <v>130</v>
      </c>
      <c r="H3113" s="1">
        <v>46121</v>
      </c>
      <c r="I3113" t="s">
        <v>4028</v>
      </c>
      <c r="J3113" t="s">
        <v>4028</v>
      </c>
      <c r="K3113" t="s">
        <v>1514</v>
      </c>
      <c r="L3113" t="s">
        <v>2127</v>
      </c>
      <c r="M3113" t="s">
        <v>3646</v>
      </c>
      <c r="N3113" s="166">
        <v>20</v>
      </c>
      <c r="O3113" t="s">
        <v>232</v>
      </c>
    </row>
    <row r="3114" spans="1:15">
      <c r="A3114" s="166" t="s">
        <v>4089</v>
      </c>
      <c r="B3114" t="s">
        <v>111</v>
      </c>
      <c r="C3114" t="s">
        <v>134</v>
      </c>
      <c r="D3114" t="s">
        <v>116</v>
      </c>
      <c r="E3114" t="s">
        <v>138</v>
      </c>
      <c r="F3114" t="s">
        <v>7</v>
      </c>
      <c r="G3114" t="s">
        <v>130</v>
      </c>
      <c r="H3114" s="1">
        <v>46121</v>
      </c>
      <c r="I3114" t="s">
        <v>4028</v>
      </c>
      <c r="J3114" t="s">
        <v>4028</v>
      </c>
      <c r="K3114" t="s">
        <v>1514</v>
      </c>
      <c r="L3114" t="s">
        <v>2127</v>
      </c>
      <c r="M3114" t="s">
        <v>3646</v>
      </c>
      <c r="N3114" s="166">
        <v>20</v>
      </c>
      <c r="O3114" t="s">
        <v>232</v>
      </c>
    </row>
    <row r="3115" spans="1:15">
      <c r="A3115" s="166" t="s">
        <v>252</v>
      </c>
      <c r="B3115" t="s">
        <v>111</v>
      </c>
      <c r="C3115" t="s">
        <v>246</v>
      </c>
      <c r="D3115" t="s">
        <v>118</v>
      </c>
      <c r="E3115" t="s">
        <v>247</v>
      </c>
      <c r="F3115" t="s">
        <v>248</v>
      </c>
      <c r="G3115" t="s">
        <v>130</v>
      </c>
      <c r="H3115" s="1">
        <v>46110</v>
      </c>
      <c r="I3115" t="s">
        <v>398</v>
      </c>
      <c r="J3115" t="s">
        <v>399</v>
      </c>
      <c r="K3115" t="s">
        <v>253</v>
      </c>
      <c r="L3115" t="s">
        <v>249</v>
      </c>
      <c r="M3115" t="s">
        <v>254</v>
      </c>
      <c r="N3115" s="166">
        <v>1340</v>
      </c>
      <c r="O3115" t="s">
        <v>232</v>
      </c>
    </row>
    <row r="3116" spans="1:15">
      <c r="A3116" s="166" t="s">
        <v>400</v>
      </c>
      <c r="B3116" t="s">
        <v>111</v>
      </c>
      <c r="C3116" t="s">
        <v>246</v>
      </c>
      <c r="D3116" t="s">
        <v>118</v>
      </c>
      <c r="E3116" t="s">
        <v>247</v>
      </c>
      <c r="F3116" t="s">
        <v>248</v>
      </c>
      <c r="G3116" t="s">
        <v>130</v>
      </c>
      <c r="H3116" s="1">
        <v>46113</v>
      </c>
      <c r="I3116" t="s">
        <v>401</v>
      </c>
      <c r="J3116" t="s">
        <v>402</v>
      </c>
      <c r="K3116" t="s">
        <v>403</v>
      </c>
      <c r="L3116" t="s">
        <v>249</v>
      </c>
      <c r="M3116" t="s">
        <v>404</v>
      </c>
      <c r="N3116" s="166">
        <v>1500</v>
      </c>
      <c r="O3116" t="s">
        <v>232</v>
      </c>
    </row>
    <row r="3117" spans="1:15">
      <c r="A3117" s="166" t="s">
        <v>602</v>
      </c>
      <c r="B3117" t="s">
        <v>111</v>
      </c>
      <c r="C3117" t="s">
        <v>246</v>
      </c>
      <c r="D3117" t="s">
        <v>118</v>
      </c>
      <c r="E3117" t="s">
        <v>247</v>
      </c>
      <c r="F3117" t="s">
        <v>248</v>
      </c>
      <c r="G3117" t="s">
        <v>130</v>
      </c>
      <c r="H3117" s="1">
        <v>46114</v>
      </c>
      <c r="I3117" t="s">
        <v>603</v>
      </c>
      <c r="J3117" t="s">
        <v>604</v>
      </c>
      <c r="K3117" t="s">
        <v>605</v>
      </c>
      <c r="L3117" t="s">
        <v>249</v>
      </c>
      <c r="M3117" t="s">
        <v>606</v>
      </c>
      <c r="N3117" s="166">
        <v>2300</v>
      </c>
      <c r="O3117" t="s">
        <v>232</v>
      </c>
    </row>
    <row r="3118" spans="1:15">
      <c r="A3118" s="166" t="s">
        <v>881</v>
      </c>
      <c r="B3118" t="s">
        <v>111</v>
      </c>
      <c r="C3118" t="s">
        <v>246</v>
      </c>
      <c r="D3118" t="s">
        <v>118</v>
      </c>
      <c r="E3118" t="s">
        <v>247</v>
      </c>
      <c r="F3118" t="s">
        <v>248</v>
      </c>
      <c r="G3118" t="s">
        <v>130</v>
      </c>
      <c r="H3118" s="1">
        <v>46115</v>
      </c>
      <c r="I3118" t="s">
        <v>882</v>
      </c>
      <c r="J3118" t="s">
        <v>883</v>
      </c>
      <c r="K3118" t="s">
        <v>884</v>
      </c>
      <c r="L3118" t="s">
        <v>249</v>
      </c>
      <c r="M3118" t="s">
        <v>885</v>
      </c>
      <c r="N3118" s="166">
        <v>2140</v>
      </c>
      <c r="O3118" t="s">
        <v>232</v>
      </c>
    </row>
    <row r="3119" spans="1:15">
      <c r="A3119" s="166" t="s">
        <v>3705</v>
      </c>
      <c r="B3119" t="s">
        <v>111</v>
      </c>
      <c r="C3119" t="s">
        <v>246</v>
      </c>
      <c r="D3119" t="s">
        <v>118</v>
      </c>
      <c r="E3119" t="s">
        <v>247</v>
      </c>
      <c r="F3119" t="s">
        <v>248</v>
      </c>
      <c r="G3119" t="s">
        <v>130</v>
      </c>
      <c r="H3119" s="1">
        <v>46116</v>
      </c>
      <c r="I3119" t="s">
        <v>3706</v>
      </c>
      <c r="J3119" t="s">
        <v>3707</v>
      </c>
      <c r="K3119" t="s">
        <v>885</v>
      </c>
      <c r="L3119" t="s">
        <v>249</v>
      </c>
      <c r="M3119" t="s">
        <v>3708</v>
      </c>
      <c r="N3119" s="166">
        <v>1140</v>
      </c>
      <c r="O3119" t="s">
        <v>232</v>
      </c>
    </row>
    <row r="3120" spans="1:15">
      <c r="A3120" s="166" t="s">
        <v>3709</v>
      </c>
      <c r="B3120" t="s">
        <v>111</v>
      </c>
      <c r="C3120" t="s">
        <v>246</v>
      </c>
      <c r="D3120" t="s">
        <v>118</v>
      </c>
      <c r="E3120" t="s">
        <v>247</v>
      </c>
      <c r="F3120" t="s">
        <v>248</v>
      </c>
      <c r="G3120" t="s">
        <v>130</v>
      </c>
      <c r="H3120" s="1">
        <v>46118</v>
      </c>
      <c r="I3120" t="s">
        <v>3710</v>
      </c>
      <c r="J3120" t="s">
        <v>3711</v>
      </c>
      <c r="K3120" t="s">
        <v>3712</v>
      </c>
      <c r="L3120" t="s">
        <v>249</v>
      </c>
      <c r="M3120" t="s">
        <v>3713</v>
      </c>
      <c r="N3120" s="166">
        <v>2220</v>
      </c>
      <c r="O3120" t="s">
        <v>232</v>
      </c>
    </row>
    <row r="3121" spans="1:15">
      <c r="A3121" s="166" t="s">
        <v>3714</v>
      </c>
      <c r="B3121" t="s">
        <v>111</v>
      </c>
      <c r="C3121" t="s">
        <v>246</v>
      </c>
      <c r="D3121" t="s">
        <v>118</v>
      </c>
      <c r="E3121" t="s">
        <v>247</v>
      </c>
      <c r="F3121" t="s">
        <v>248</v>
      </c>
      <c r="G3121" t="s">
        <v>130</v>
      </c>
      <c r="H3121" s="1">
        <v>46119</v>
      </c>
      <c r="I3121" t="s">
        <v>2539</v>
      </c>
      <c r="J3121" t="s">
        <v>3715</v>
      </c>
      <c r="K3121" t="s">
        <v>3716</v>
      </c>
      <c r="L3121" t="s">
        <v>249</v>
      </c>
      <c r="M3121" t="s">
        <v>3717</v>
      </c>
      <c r="N3121" s="166">
        <v>1420</v>
      </c>
      <c r="O3121" t="s">
        <v>232</v>
      </c>
    </row>
    <row r="3122" spans="1:15">
      <c r="A3122" s="166"/>
      <c r="H3122" s="1"/>
      <c r="N3122" s="166"/>
    </row>
    <row r="3123" spans="1:15">
      <c r="A3123" s="166"/>
      <c r="H3123" s="1"/>
      <c r="N3123" s="166"/>
    </row>
    <row r="3124" spans="1:15">
      <c r="A3124" s="166"/>
      <c r="H3124" s="1"/>
      <c r="N3124" s="166"/>
    </row>
    <row r="3125" spans="1:15">
      <c r="A3125" s="166"/>
      <c r="H3125" s="1"/>
      <c r="N3125" s="166"/>
    </row>
    <row r="3126" spans="1:15">
      <c r="A3126" s="166"/>
      <c r="H3126" s="1"/>
      <c r="N3126" s="166"/>
    </row>
    <row r="3127" spans="1:15">
      <c r="A3127" s="166"/>
      <c r="H3127" s="1"/>
      <c r="N3127" s="166"/>
    </row>
    <row r="3128" spans="1:15">
      <c r="A3128" s="166"/>
      <c r="H3128" s="1"/>
      <c r="N3128" s="166"/>
    </row>
    <row r="3129" spans="1:15">
      <c r="A3129" s="166"/>
      <c r="H3129" s="1"/>
      <c r="N3129" s="166"/>
    </row>
    <row r="3130" spans="1:15">
      <c r="A3130" s="166"/>
      <c r="H3130" s="1"/>
      <c r="N3130" s="166"/>
    </row>
    <row r="3131" spans="1:15">
      <c r="A3131" s="166"/>
      <c r="H3131" s="1"/>
      <c r="N3131" s="166"/>
    </row>
    <row r="3132" spans="1:15">
      <c r="A3132" s="166"/>
      <c r="H3132" s="1"/>
      <c r="N3132" s="166"/>
    </row>
    <row r="3133" spans="1:15">
      <c r="A3133" s="166"/>
      <c r="H3133" s="1"/>
      <c r="N3133" s="166"/>
    </row>
    <row r="3134" spans="1:15">
      <c r="A3134" s="166"/>
      <c r="H3134" s="1"/>
      <c r="N3134" s="166"/>
    </row>
    <row r="3135" spans="1:15">
      <c r="A3135" s="166"/>
      <c r="H3135" s="1"/>
      <c r="N3135" s="166"/>
    </row>
    <row r="3136" spans="1:15">
      <c r="A3136" s="166"/>
      <c r="H3136" s="1"/>
      <c r="N3136" s="166"/>
    </row>
    <row r="3137" spans="1:14">
      <c r="A3137" s="166"/>
      <c r="H3137" s="1"/>
      <c r="N3137" s="166"/>
    </row>
    <row r="3138" spans="1:14">
      <c r="A3138" s="166"/>
      <c r="H3138" s="1"/>
      <c r="N3138" s="166"/>
    </row>
    <row r="3139" spans="1:14">
      <c r="A3139" s="166"/>
      <c r="H3139" s="1"/>
      <c r="N3139" s="166"/>
    </row>
    <row r="3140" spans="1:14">
      <c r="A3140" s="166"/>
      <c r="H3140" s="1"/>
      <c r="N3140" s="166"/>
    </row>
    <row r="3141" spans="1:14">
      <c r="A3141" s="166"/>
      <c r="H3141" s="1"/>
      <c r="N3141" s="166"/>
    </row>
    <row r="3142" spans="1:14">
      <c r="A3142" s="166"/>
      <c r="H3142" s="1"/>
      <c r="N3142" s="166"/>
    </row>
    <row r="3143" spans="1:14">
      <c r="A3143" s="166"/>
      <c r="H3143" s="1"/>
      <c r="N3143" s="166"/>
    </row>
    <row r="3144" spans="1:14">
      <c r="A3144" s="166"/>
      <c r="H3144" s="1"/>
      <c r="N3144" s="166"/>
    </row>
    <row r="3145" spans="1:14">
      <c r="A3145" s="166"/>
      <c r="H3145" s="1"/>
      <c r="N3145" s="166"/>
    </row>
    <row r="3146" spans="1:14">
      <c r="A3146" s="166"/>
      <c r="H3146" s="1"/>
      <c r="N3146" s="166"/>
    </row>
    <row r="3147" spans="1:14">
      <c r="A3147" s="166"/>
      <c r="H3147" s="1"/>
      <c r="N3147" s="166"/>
    </row>
    <row r="3148" spans="1:14">
      <c r="A3148" s="166"/>
      <c r="H3148" s="1"/>
      <c r="N3148" s="166"/>
    </row>
    <row r="3149" spans="1:14">
      <c r="A3149" s="166"/>
      <c r="H3149" s="1"/>
      <c r="N3149" s="166"/>
    </row>
    <row r="3150" spans="1:14">
      <c r="A3150" s="166"/>
      <c r="H3150" s="1"/>
      <c r="N3150" s="166"/>
    </row>
    <row r="3151" spans="1:14">
      <c r="A3151" s="166"/>
      <c r="H3151" s="1"/>
      <c r="N3151" s="166"/>
    </row>
    <row r="3152" spans="1:14">
      <c r="A3152" s="166"/>
      <c r="H3152" s="1"/>
      <c r="N3152" s="166"/>
    </row>
    <row r="3153" spans="1:14">
      <c r="A3153" s="166"/>
      <c r="H3153" s="1"/>
      <c r="N3153" s="166"/>
    </row>
    <row r="3154" spans="1:14">
      <c r="A3154" s="166"/>
      <c r="H3154" s="1"/>
      <c r="N3154" s="166"/>
    </row>
    <row r="3155" spans="1:14">
      <c r="A3155" s="166"/>
      <c r="H3155" s="1"/>
      <c r="N3155" s="166"/>
    </row>
    <row r="3156" spans="1:14">
      <c r="A3156" s="166"/>
      <c r="H3156" s="1"/>
      <c r="N3156" s="166"/>
    </row>
    <row r="3157" spans="1:14">
      <c r="A3157" s="166"/>
      <c r="H3157" s="1"/>
      <c r="N3157" s="166"/>
    </row>
    <row r="3158" spans="1:14">
      <c r="A3158" s="166"/>
      <c r="H3158" s="1"/>
      <c r="N3158" s="166"/>
    </row>
    <row r="3159" spans="1:14">
      <c r="A3159" s="166"/>
      <c r="H3159" s="1"/>
      <c r="N3159" s="166"/>
    </row>
    <row r="3160" spans="1:14">
      <c r="A3160" s="166"/>
      <c r="H3160" s="1"/>
      <c r="N3160" s="166"/>
    </row>
    <row r="3161" spans="1:14">
      <c r="A3161" s="166"/>
      <c r="H3161" s="1"/>
      <c r="N3161" s="166"/>
    </row>
    <row r="3162" spans="1:14">
      <c r="A3162" s="166"/>
      <c r="H3162" s="1"/>
      <c r="N3162" s="166"/>
    </row>
    <row r="3163" spans="1:14">
      <c r="A3163" s="166"/>
      <c r="H3163" s="1"/>
      <c r="N3163" s="166"/>
    </row>
    <row r="3164" spans="1:14">
      <c r="A3164" s="166"/>
      <c r="H3164" s="1"/>
      <c r="N3164" s="166"/>
    </row>
    <row r="3165" spans="1:14">
      <c r="A3165" s="166"/>
      <c r="H3165" s="1"/>
      <c r="N3165" s="166"/>
    </row>
    <row r="3166" spans="1:14">
      <c r="A3166" s="166"/>
      <c r="H3166" s="1"/>
      <c r="N3166" s="166"/>
    </row>
    <row r="3167" spans="1:14">
      <c r="A3167" s="166"/>
      <c r="H3167" s="1"/>
      <c r="N3167" s="166"/>
    </row>
    <row r="3168" spans="1:14">
      <c r="A3168" s="166"/>
      <c r="H3168" s="1"/>
      <c r="N3168" s="166"/>
    </row>
    <row r="3169" spans="1:14">
      <c r="A3169" s="166"/>
      <c r="H3169" s="1"/>
      <c r="N3169" s="166"/>
    </row>
    <row r="3170" spans="1:14">
      <c r="A3170" s="166"/>
      <c r="H3170" s="1"/>
      <c r="N3170" s="166"/>
    </row>
    <row r="3171" spans="1:14">
      <c r="A3171" s="166"/>
      <c r="H3171" s="1"/>
      <c r="N3171" s="166"/>
    </row>
    <row r="3172" spans="1:14">
      <c r="A3172" s="166"/>
      <c r="H3172" s="1"/>
      <c r="N3172" s="166"/>
    </row>
    <row r="3173" spans="1:14">
      <c r="A3173" s="166"/>
      <c r="H3173" s="1"/>
      <c r="N3173" s="166"/>
    </row>
    <row r="3174" spans="1:14">
      <c r="A3174" s="166"/>
      <c r="H3174" s="1"/>
      <c r="N3174" s="166"/>
    </row>
    <row r="3175" spans="1:14">
      <c r="A3175" s="166"/>
      <c r="H3175" s="1"/>
      <c r="N3175" s="166"/>
    </row>
    <row r="3176" spans="1:14">
      <c r="A3176" s="166"/>
      <c r="H3176" s="1"/>
      <c r="N3176" s="166"/>
    </row>
    <row r="3177" spans="1:14">
      <c r="A3177" s="166"/>
      <c r="H3177" s="1"/>
      <c r="N3177" s="166"/>
    </row>
    <row r="3178" spans="1:14">
      <c r="A3178" s="166"/>
      <c r="H3178" s="1"/>
      <c r="N3178" s="166"/>
    </row>
    <row r="3179" spans="1:14">
      <c r="A3179" s="166"/>
      <c r="H3179" s="1"/>
      <c r="N3179" s="166"/>
    </row>
    <row r="3180" spans="1:14">
      <c r="A3180" s="166"/>
      <c r="H3180" s="1"/>
      <c r="N3180" s="166"/>
    </row>
    <row r="3181" spans="1:14">
      <c r="A3181" s="166"/>
      <c r="H3181" s="1"/>
      <c r="N3181" s="166"/>
    </row>
    <row r="3182" spans="1:14">
      <c r="A3182" s="166"/>
      <c r="H3182" s="1"/>
      <c r="N3182" s="166"/>
    </row>
    <row r="3183" spans="1:14">
      <c r="A3183" s="166"/>
      <c r="H3183" s="1"/>
      <c r="N3183" s="166"/>
    </row>
    <row r="3184" spans="1:14">
      <c r="A3184" s="166"/>
      <c r="H3184" s="1"/>
      <c r="N3184" s="166"/>
    </row>
    <row r="3185" spans="1:14">
      <c r="A3185" s="166"/>
      <c r="H3185" s="1"/>
      <c r="N3185" s="166"/>
    </row>
    <row r="3186" spans="1:14">
      <c r="A3186" s="166"/>
      <c r="H3186" s="1"/>
      <c r="N3186" s="166"/>
    </row>
    <row r="3187" spans="1:14">
      <c r="A3187" s="166"/>
      <c r="H3187" s="1"/>
      <c r="N3187" s="166"/>
    </row>
    <row r="3188" spans="1:14">
      <c r="A3188" s="166"/>
      <c r="H3188" s="1"/>
      <c r="N3188" s="166"/>
    </row>
    <row r="3189" spans="1:14">
      <c r="A3189" s="166"/>
      <c r="H3189" s="1"/>
      <c r="N3189" s="166"/>
    </row>
    <row r="3190" spans="1:14">
      <c r="A3190" s="166"/>
      <c r="H3190" s="1"/>
      <c r="N3190" s="166"/>
    </row>
    <row r="3191" spans="1:14">
      <c r="A3191" s="166"/>
      <c r="H3191" s="1"/>
      <c r="N3191" s="166"/>
    </row>
    <row r="3192" spans="1:14">
      <c r="A3192" s="166"/>
      <c r="H3192" s="1"/>
      <c r="N3192" s="166"/>
    </row>
    <row r="3193" spans="1:14">
      <c r="A3193" s="166"/>
      <c r="H3193" s="1"/>
      <c r="N3193" s="166"/>
    </row>
    <row r="3194" spans="1:14">
      <c r="A3194" s="166"/>
      <c r="H3194" s="1"/>
      <c r="N3194" s="166"/>
    </row>
    <row r="3195" spans="1:14">
      <c r="A3195" s="166"/>
      <c r="H3195" s="1"/>
      <c r="N3195" s="166"/>
    </row>
    <row r="3196" spans="1:14">
      <c r="A3196" s="166"/>
      <c r="H3196" s="1"/>
      <c r="N3196" s="166"/>
    </row>
    <row r="3197" spans="1:14">
      <c r="A3197" s="166"/>
      <c r="H3197" s="1"/>
      <c r="N3197" s="166"/>
    </row>
    <row r="3198" spans="1:14">
      <c r="A3198" s="166"/>
      <c r="H3198" s="1"/>
      <c r="N3198" s="166"/>
    </row>
    <row r="3199" spans="1:14">
      <c r="A3199" s="166"/>
      <c r="H3199" s="1"/>
      <c r="N3199" s="166"/>
    </row>
    <row r="3200" spans="1:14">
      <c r="A3200" s="166"/>
      <c r="H3200" s="1"/>
      <c r="N3200" s="166"/>
    </row>
    <row r="3201" spans="1:14">
      <c r="A3201" s="166"/>
      <c r="H3201" s="1"/>
      <c r="N3201" s="166"/>
    </row>
    <row r="3202" spans="1:14">
      <c r="A3202" s="166"/>
      <c r="H3202" s="1"/>
      <c r="N3202" s="166"/>
    </row>
    <row r="3203" spans="1:14">
      <c r="A3203" s="166"/>
      <c r="H3203" s="1"/>
      <c r="N3203" s="166"/>
    </row>
    <row r="3204" spans="1:14">
      <c r="A3204" s="166"/>
      <c r="H3204" s="1"/>
      <c r="N3204" s="166"/>
    </row>
    <row r="3205" spans="1:14">
      <c r="A3205" s="166"/>
      <c r="H3205" s="1"/>
      <c r="N3205" s="166"/>
    </row>
    <row r="3206" spans="1:14">
      <c r="A3206" s="166"/>
      <c r="H3206" s="1"/>
      <c r="N3206" s="166"/>
    </row>
    <row r="3207" spans="1:14">
      <c r="A3207" s="166"/>
      <c r="H3207" s="1"/>
      <c r="N3207" s="166"/>
    </row>
    <row r="3208" spans="1:14">
      <c r="A3208" s="166"/>
      <c r="H3208" s="1"/>
      <c r="N3208" s="166"/>
    </row>
    <row r="3209" spans="1:14">
      <c r="A3209" s="166"/>
      <c r="H3209" s="1"/>
      <c r="N3209" s="166"/>
    </row>
    <row r="3210" spans="1:14">
      <c r="A3210" s="166"/>
      <c r="H3210" s="1"/>
      <c r="N3210" s="166"/>
    </row>
    <row r="3211" spans="1:14">
      <c r="A3211" s="166"/>
      <c r="H3211" s="1"/>
      <c r="N3211" s="166"/>
    </row>
    <row r="3212" spans="1:14">
      <c r="A3212" s="166"/>
      <c r="H3212" s="1"/>
      <c r="N3212" s="166"/>
    </row>
    <row r="3213" spans="1:14">
      <c r="A3213" s="166"/>
      <c r="H3213" s="1"/>
      <c r="N3213" s="166"/>
    </row>
    <row r="3214" spans="1:14">
      <c r="A3214" s="166"/>
      <c r="H3214" s="1"/>
      <c r="N3214" s="166"/>
    </row>
    <row r="3215" spans="1:14">
      <c r="A3215" s="166"/>
      <c r="H3215" s="1"/>
      <c r="N3215" s="166"/>
    </row>
    <row r="3216" spans="1:14">
      <c r="A3216" s="166"/>
      <c r="H3216" s="1"/>
      <c r="N3216" s="166"/>
    </row>
    <row r="3217" spans="1:14">
      <c r="A3217" s="166"/>
      <c r="H3217" s="1"/>
      <c r="N3217" s="166"/>
    </row>
    <row r="3218" spans="1:14">
      <c r="A3218" s="166"/>
      <c r="H3218" s="1"/>
      <c r="N3218" s="166"/>
    </row>
    <row r="3219" spans="1:14">
      <c r="A3219" s="166"/>
      <c r="H3219" s="1"/>
      <c r="N3219" s="166"/>
    </row>
    <row r="3220" spans="1:14">
      <c r="A3220" s="166"/>
      <c r="H3220" s="1"/>
      <c r="N3220" s="166"/>
    </row>
    <row r="3221" spans="1:14">
      <c r="A3221" s="166"/>
      <c r="H3221" s="1"/>
      <c r="N3221" s="166"/>
    </row>
    <row r="3222" spans="1:14">
      <c r="A3222" s="166"/>
      <c r="H3222" s="1"/>
      <c r="N3222" s="166"/>
    </row>
    <row r="3223" spans="1:14">
      <c r="A3223" s="166"/>
      <c r="H3223" s="1"/>
      <c r="N3223" s="166"/>
    </row>
    <row r="3224" spans="1:14">
      <c r="A3224" s="166"/>
      <c r="H3224" s="1"/>
      <c r="N3224" s="166"/>
    </row>
    <row r="3225" spans="1:14">
      <c r="A3225" s="166"/>
      <c r="H3225" s="1"/>
      <c r="N3225" s="166"/>
    </row>
    <row r="3226" spans="1:14">
      <c r="A3226" s="166"/>
      <c r="H3226" s="1"/>
      <c r="N3226" s="166"/>
    </row>
    <row r="3227" spans="1:14">
      <c r="A3227" s="166"/>
      <c r="H3227" s="1"/>
      <c r="N3227" s="166"/>
    </row>
    <row r="3228" spans="1:14">
      <c r="A3228" s="166"/>
      <c r="H3228" s="1"/>
      <c r="N3228" s="166"/>
    </row>
    <row r="3229" spans="1:14">
      <c r="A3229" s="166"/>
      <c r="H3229" s="1"/>
      <c r="N3229" s="166"/>
    </row>
    <row r="3230" spans="1:14">
      <c r="A3230" s="166"/>
      <c r="H3230" s="1"/>
      <c r="N3230" s="166"/>
    </row>
    <row r="3231" spans="1:14">
      <c r="A3231" s="166"/>
      <c r="H3231" s="1"/>
      <c r="N3231" s="166"/>
    </row>
    <row r="3232" spans="1:14">
      <c r="A3232" s="166"/>
      <c r="H3232" s="1"/>
      <c r="N3232" s="166"/>
    </row>
    <row r="3233" spans="1:14">
      <c r="A3233" s="166"/>
      <c r="H3233" s="1"/>
      <c r="N3233" s="166"/>
    </row>
    <row r="3234" spans="1:14">
      <c r="A3234" s="166"/>
      <c r="H3234" s="1"/>
      <c r="N3234" s="166"/>
    </row>
    <row r="3235" spans="1:14">
      <c r="A3235" s="166"/>
      <c r="H3235" s="1"/>
      <c r="N3235" s="166"/>
    </row>
    <row r="3236" spans="1:14">
      <c r="A3236" s="166"/>
      <c r="H3236" s="1"/>
      <c r="N3236" s="166"/>
    </row>
    <row r="3237" spans="1:14">
      <c r="A3237" s="166"/>
      <c r="H3237" s="1"/>
      <c r="N3237" s="166"/>
    </row>
    <row r="3238" spans="1:14">
      <c r="A3238" s="166"/>
      <c r="H3238" s="1"/>
      <c r="N3238" s="166"/>
    </row>
    <row r="3239" spans="1:14">
      <c r="A3239" s="166"/>
      <c r="H3239" s="1"/>
      <c r="N3239" s="166"/>
    </row>
    <row r="3240" spans="1:14">
      <c r="A3240" s="166"/>
      <c r="H3240" s="1"/>
      <c r="N3240" s="166"/>
    </row>
    <row r="3241" spans="1:14">
      <c r="A3241" s="166"/>
      <c r="H3241" s="1"/>
      <c r="N3241" s="166"/>
    </row>
    <row r="3242" spans="1:14">
      <c r="A3242" s="166"/>
      <c r="H3242" s="1"/>
      <c r="N3242" s="166"/>
    </row>
    <row r="3243" spans="1:14">
      <c r="A3243" s="166"/>
      <c r="H3243" s="1"/>
      <c r="N3243" s="166"/>
    </row>
    <row r="3244" spans="1:14">
      <c r="A3244" s="166"/>
      <c r="H3244" s="1"/>
      <c r="N3244" s="166"/>
    </row>
    <row r="3245" spans="1:14">
      <c r="A3245" s="166"/>
      <c r="H3245" s="1"/>
      <c r="N3245" s="166"/>
    </row>
    <row r="3246" spans="1:14">
      <c r="A3246" s="166"/>
      <c r="H3246" s="1"/>
      <c r="N3246" s="166"/>
    </row>
    <row r="3247" spans="1:14">
      <c r="A3247" s="166"/>
      <c r="H3247" s="1"/>
      <c r="N3247" s="166"/>
    </row>
    <row r="3248" spans="1:14">
      <c r="A3248" s="166"/>
      <c r="H3248" s="1"/>
      <c r="N3248" s="166"/>
    </row>
    <row r="3249" spans="1:14">
      <c r="A3249" s="166"/>
      <c r="H3249" s="1"/>
      <c r="N3249" s="166"/>
    </row>
    <row r="3250" spans="1:14">
      <c r="A3250" s="166"/>
      <c r="H3250" s="1"/>
      <c r="N3250" s="166"/>
    </row>
    <row r="3251" spans="1:14">
      <c r="A3251" s="166"/>
      <c r="H3251" s="1"/>
      <c r="N3251" s="166"/>
    </row>
    <row r="3252" spans="1:14">
      <c r="A3252" s="166"/>
      <c r="H3252" s="1"/>
      <c r="N3252" s="166"/>
    </row>
    <row r="3253" spans="1:14">
      <c r="A3253" s="166"/>
      <c r="H3253" s="1"/>
      <c r="N3253" s="166"/>
    </row>
    <row r="3254" spans="1:14">
      <c r="A3254" s="166"/>
      <c r="H3254" s="1"/>
      <c r="N3254" s="166"/>
    </row>
    <row r="3255" spans="1:14">
      <c r="A3255" s="166"/>
      <c r="H3255" s="1"/>
      <c r="N3255" s="166"/>
    </row>
    <row r="3256" spans="1:14">
      <c r="A3256" s="166"/>
      <c r="H3256" s="1"/>
      <c r="N3256" s="166"/>
    </row>
    <row r="3257" spans="1:14">
      <c r="A3257" s="166"/>
      <c r="H3257" s="1"/>
      <c r="N3257" s="166"/>
    </row>
    <row r="3258" spans="1:14">
      <c r="A3258" s="166"/>
      <c r="H3258" s="1"/>
      <c r="N3258" s="166"/>
    </row>
    <row r="3259" spans="1:14">
      <c r="A3259" s="166"/>
      <c r="H3259" s="1"/>
      <c r="N3259" s="166"/>
    </row>
    <row r="3260" spans="1:14">
      <c r="A3260" s="166"/>
      <c r="H3260" s="1"/>
      <c r="N3260" s="166"/>
    </row>
    <row r="3261" spans="1:14">
      <c r="A3261" s="166"/>
      <c r="H3261" s="1"/>
      <c r="N3261" s="166"/>
    </row>
    <row r="3262" spans="1:14">
      <c r="A3262" s="166"/>
      <c r="H3262" s="1"/>
      <c r="N3262" s="166"/>
    </row>
    <row r="3263" spans="1:14">
      <c r="A3263" s="166"/>
      <c r="H3263" s="1"/>
      <c r="N3263" s="166"/>
    </row>
    <row r="3264" spans="1:14">
      <c r="A3264" s="166"/>
      <c r="H3264" s="1"/>
      <c r="N3264" s="166"/>
    </row>
    <row r="3265" spans="1:14">
      <c r="A3265" s="166"/>
      <c r="H3265" s="1"/>
      <c r="N3265" s="166"/>
    </row>
    <row r="3266" spans="1:14">
      <c r="A3266" s="166"/>
      <c r="H3266" s="1"/>
      <c r="N3266" s="166"/>
    </row>
    <row r="3267" spans="1:14">
      <c r="A3267" s="166"/>
      <c r="H3267" s="1"/>
      <c r="N3267" s="166"/>
    </row>
    <row r="3268" spans="1:14">
      <c r="A3268" s="166"/>
      <c r="H3268" s="1"/>
      <c r="N3268" s="166"/>
    </row>
    <row r="3269" spans="1:14">
      <c r="A3269" s="166"/>
      <c r="H3269" s="1"/>
      <c r="N3269" s="166"/>
    </row>
    <row r="3270" spans="1:14">
      <c r="A3270" s="166"/>
      <c r="H3270" s="1"/>
      <c r="N3270" s="166"/>
    </row>
    <row r="3271" spans="1:14">
      <c r="A3271" s="166"/>
      <c r="H3271" s="1"/>
      <c r="N3271" s="166"/>
    </row>
    <row r="3272" spans="1:14">
      <c r="A3272" s="166"/>
      <c r="H3272" s="1"/>
      <c r="N3272" s="166"/>
    </row>
    <row r="3273" spans="1:14">
      <c r="A3273" s="166"/>
      <c r="H3273" s="1"/>
      <c r="N3273" s="166"/>
    </row>
    <row r="3274" spans="1:14">
      <c r="A3274" s="166"/>
      <c r="H3274" s="1"/>
      <c r="N3274" s="166"/>
    </row>
    <row r="3275" spans="1:14">
      <c r="A3275" s="166"/>
      <c r="H3275" s="1"/>
      <c r="N3275" s="166"/>
    </row>
    <row r="3276" spans="1:14">
      <c r="A3276" s="166"/>
      <c r="H3276" s="1"/>
      <c r="N3276" s="166"/>
    </row>
    <row r="3277" spans="1:14">
      <c r="A3277" s="166"/>
      <c r="H3277" s="1"/>
      <c r="N3277" s="166"/>
    </row>
    <row r="3278" spans="1:14">
      <c r="A3278" s="166"/>
      <c r="H3278" s="1"/>
      <c r="N3278" s="166"/>
    </row>
    <row r="3279" spans="1:14">
      <c r="A3279" s="166"/>
      <c r="H3279" s="1"/>
      <c r="N3279" s="166"/>
    </row>
    <row r="3280" spans="1:14">
      <c r="A3280" s="166"/>
      <c r="H3280" s="1"/>
      <c r="N3280" s="166"/>
    </row>
    <row r="3281" spans="1:14">
      <c r="A3281" s="166"/>
      <c r="H3281" s="1"/>
      <c r="N3281" s="166"/>
    </row>
    <row r="3282" spans="1:14">
      <c r="A3282" s="166"/>
      <c r="H3282" s="1"/>
      <c r="N3282" s="166"/>
    </row>
    <row r="3283" spans="1:14">
      <c r="A3283" s="166"/>
      <c r="H3283" s="1"/>
      <c r="N3283" s="166"/>
    </row>
    <row r="3284" spans="1:14">
      <c r="A3284" s="166"/>
      <c r="H3284" s="1"/>
      <c r="N3284" s="166"/>
    </row>
    <row r="3285" spans="1:14">
      <c r="A3285" s="166"/>
      <c r="H3285" s="1"/>
      <c r="N3285" s="166"/>
    </row>
    <row r="3286" spans="1:14">
      <c r="A3286" s="166"/>
      <c r="H3286" s="1"/>
      <c r="N3286" s="166"/>
    </row>
    <row r="3287" spans="1:14">
      <c r="A3287" s="166"/>
      <c r="H3287" s="1"/>
      <c r="N3287" s="166"/>
    </row>
    <row r="3288" spans="1:14">
      <c r="A3288" s="166"/>
      <c r="H3288" s="1"/>
      <c r="N3288" s="166"/>
    </row>
    <row r="3289" spans="1:14">
      <c r="A3289" s="166"/>
      <c r="H3289" s="1"/>
      <c r="N3289" s="166"/>
    </row>
    <row r="3290" spans="1:14">
      <c r="A3290" s="166"/>
      <c r="H3290" s="1"/>
      <c r="N3290" s="166"/>
    </row>
    <row r="3291" spans="1:14">
      <c r="A3291" s="166"/>
      <c r="H3291" s="1"/>
      <c r="N3291" s="166"/>
    </row>
    <row r="3292" spans="1:14">
      <c r="A3292" s="166"/>
      <c r="H3292" s="1"/>
      <c r="N3292" s="166"/>
    </row>
    <row r="3293" spans="1:14">
      <c r="A3293" s="166"/>
      <c r="H3293" s="1"/>
      <c r="N3293" s="166"/>
    </row>
    <row r="3294" spans="1:14">
      <c r="A3294" s="166"/>
      <c r="H3294" s="1"/>
      <c r="N3294" s="166"/>
    </row>
    <row r="3295" spans="1:14">
      <c r="A3295" s="166"/>
      <c r="H3295" s="1"/>
      <c r="N3295" s="166"/>
    </row>
    <row r="3296" spans="1:14">
      <c r="A3296" s="166"/>
      <c r="H3296" s="1"/>
      <c r="N3296" s="166"/>
    </row>
    <row r="3297" spans="1:14">
      <c r="A3297" s="166"/>
      <c r="H3297" s="1"/>
      <c r="N3297" s="166"/>
    </row>
    <row r="3298" spans="1:14">
      <c r="A3298" s="166"/>
      <c r="H3298" s="1"/>
      <c r="N3298" s="166"/>
    </row>
    <row r="3299" spans="1:14">
      <c r="A3299" s="166"/>
      <c r="H3299" s="1"/>
      <c r="N3299" s="166"/>
    </row>
    <row r="3300" spans="1:14">
      <c r="A3300" s="166"/>
      <c r="H3300" s="1"/>
      <c r="N3300" s="166"/>
    </row>
    <row r="3301" spans="1:14">
      <c r="A3301" s="166"/>
      <c r="H3301" s="1"/>
      <c r="N3301" s="166"/>
    </row>
    <row r="3302" spans="1:14">
      <c r="A3302" s="166"/>
      <c r="H3302" s="1"/>
      <c r="N3302" s="166"/>
    </row>
    <row r="3303" spans="1:14">
      <c r="A3303" s="166"/>
      <c r="H3303" s="1"/>
      <c r="N3303" s="166"/>
    </row>
    <row r="3304" spans="1:14">
      <c r="A3304" s="166"/>
      <c r="H3304" s="1"/>
      <c r="N3304" s="166"/>
    </row>
    <row r="3305" spans="1:14">
      <c r="A3305" s="166"/>
      <c r="H3305" s="1"/>
      <c r="N3305" s="166"/>
    </row>
    <row r="3306" spans="1:14">
      <c r="A3306" s="166"/>
      <c r="H3306" s="1"/>
      <c r="N3306" s="166"/>
    </row>
    <row r="3307" spans="1:14">
      <c r="A3307" s="166"/>
      <c r="H3307" s="1"/>
      <c r="N3307" s="166"/>
    </row>
    <row r="3308" spans="1:14">
      <c r="A3308" s="166"/>
      <c r="H3308" s="1"/>
      <c r="N3308" s="166"/>
    </row>
    <row r="3309" spans="1:14">
      <c r="A3309" s="166"/>
      <c r="H3309" s="1"/>
      <c r="N3309" s="166"/>
    </row>
    <row r="3310" spans="1:14">
      <c r="A3310" s="166"/>
      <c r="H3310" s="1"/>
      <c r="N3310" s="166"/>
    </row>
    <row r="3311" spans="1:14">
      <c r="A3311" s="166"/>
      <c r="H3311" s="1"/>
      <c r="N3311" s="166"/>
    </row>
    <row r="3312" spans="1:14">
      <c r="A3312" s="166"/>
      <c r="H3312" s="1"/>
      <c r="N3312" s="166"/>
    </row>
    <row r="3313" spans="1:14">
      <c r="A3313" s="166"/>
      <c r="H3313" s="1"/>
      <c r="N3313" s="166"/>
    </row>
    <row r="3314" spans="1:14">
      <c r="A3314" s="166"/>
      <c r="H3314" s="1"/>
      <c r="N3314" s="166"/>
    </row>
    <row r="3315" spans="1:14">
      <c r="A3315" s="166"/>
      <c r="H3315" s="1"/>
      <c r="N3315" s="166"/>
    </row>
    <row r="3316" spans="1:14">
      <c r="A3316" s="166"/>
      <c r="H3316" s="1"/>
      <c r="N3316" s="166"/>
    </row>
    <row r="3317" spans="1:14">
      <c r="A3317" s="166"/>
      <c r="H3317" s="1"/>
      <c r="N3317" s="166"/>
    </row>
    <row r="3318" spans="1:14">
      <c r="A3318" s="166"/>
      <c r="H3318" s="1"/>
      <c r="N3318" s="166"/>
    </row>
    <row r="3319" spans="1:14">
      <c r="A3319" s="166"/>
      <c r="H3319" s="1"/>
      <c r="N3319" s="166"/>
    </row>
    <row r="3320" spans="1:14">
      <c r="A3320" s="166"/>
      <c r="H3320" s="1"/>
      <c r="N3320" s="166"/>
    </row>
    <row r="3321" spans="1:14">
      <c r="A3321" s="166"/>
      <c r="H3321" s="1"/>
      <c r="N3321" s="166"/>
    </row>
    <row r="3322" spans="1:14">
      <c r="A3322" s="166"/>
      <c r="H3322" s="1"/>
      <c r="N3322" s="166"/>
    </row>
    <row r="3323" spans="1:14">
      <c r="A3323" s="166"/>
      <c r="H3323" s="1"/>
      <c r="N3323" s="166"/>
    </row>
    <row r="3324" spans="1:14">
      <c r="A3324" s="166"/>
      <c r="H3324" s="1"/>
      <c r="N3324" s="166"/>
    </row>
    <row r="3325" spans="1:14">
      <c r="A3325" s="166"/>
      <c r="H3325" s="1"/>
      <c r="N3325" s="166"/>
    </row>
    <row r="3326" spans="1:14">
      <c r="A3326" s="166"/>
      <c r="H3326" s="1"/>
      <c r="N3326" s="166"/>
    </row>
    <row r="3327" spans="1:14">
      <c r="A3327" s="166"/>
      <c r="H3327" s="1"/>
      <c r="N3327" s="166"/>
    </row>
    <row r="3328" spans="1:14">
      <c r="A3328" s="166"/>
      <c r="H3328" s="1"/>
      <c r="N3328" s="166"/>
    </row>
    <row r="3329" spans="1:14">
      <c r="A3329" s="166"/>
      <c r="H3329" s="1"/>
      <c r="N3329" s="166"/>
    </row>
    <row r="3330" spans="1:14">
      <c r="A3330" s="166"/>
      <c r="H3330" s="1"/>
      <c r="N3330" s="166"/>
    </row>
    <row r="3331" spans="1:14">
      <c r="A3331" s="166"/>
      <c r="H3331" s="1"/>
      <c r="N3331" s="166"/>
    </row>
    <row r="3332" spans="1:14">
      <c r="A3332" s="166"/>
      <c r="H3332" s="1"/>
      <c r="N3332" s="166"/>
    </row>
    <row r="3333" spans="1:14">
      <c r="A3333" s="166"/>
      <c r="H3333" s="1"/>
      <c r="N3333" s="166"/>
    </row>
    <row r="3334" spans="1:14">
      <c r="A3334" s="166"/>
      <c r="H3334" s="1"/>
      <c r="N3334" s="166"/>
    </row>
    <row r="3335" spans="1:14">
      <c r="A3335" s="166"/>
      <c r="H3335" s="1"/>
      <c r="N3335" s="166"/>
    </row>
    <row r="3336" spans="1:14">
      <c r="A3336" s="166"/>
      <c r="H3336" s="1"/>
      <c r="N3336" s="166"/>
    </row>
    <row r="3337" spans="1:14">
      <c r="A3337" s="166"/>
      <c r="H3337" s="1"/>
      <c r="N3337" s="166"/>
    </row>
    <row r="3338" spans="1:14">
      <c r="A3338" s="166"/>
      <c r="H3338" s="1"/>
      <c r="N3338" s="166"/>
    </row>
    <row r="3339" spans="1:14">
      <c r="A3339" s="166"/>
      <c r="H3339" s="1"/>
      <c r="N3339" s="166"/>
    </row>
    <row r="3340" spans="1:14">
      <c r="A3340" s="166"/>
      <c r="H3340" s="1"/>
      <c r="N3340" s="166"/>
    </row>
    <row r="3341" spans="1:14">
      <c r="A3341" s="166"/>
      <c r="H3341" s="1"/>
      <c r="N3341" s="166"/>
    </row>
    <row r="3342" spans="1:14">
      <c r="A3342" s="166"/>
      <c r="H3342" s="1"/>
      <c r="N3342" s="166"/>
    </row>
    <row r="3343" spans="1:14">
      <c r="A3343" s="166"/>
      <c r="H3343" s="1"/>
      <c r="N3343" s="166"/>
    </row>
    <row r="3344" spans="1:14">
      <c r="A3344" s="166"/>
      <c r="H3344" s="1"/>
      <c r="N3344" s="166"/>
    </row>
    <row r="3345" spans="1:14">
      <c r="A3345" s="166"/>
      <c r="H3345" s="1"/>
      <c r="N3345" s="166"/>
    </row>
    <row r="3346" spans="1:14">
      <c r="A3346" s="166"/>
      <c r="H3346" s="1"/>
      <c r="N3346" s="166"/>
    </row>
    <row r="3347" spans="1:14">
      <c r="A3347" s="166"/>
      <c r="H3347" s="1"/>
      <c r="N3347" s="166"/>
    </row>
    <row r="3348" spans="1:14">
      <c r="A3348" s="166"/>
      <c r="H3348" s="1"/>
      <c r="N3348" s="166"/>
    </row>
    <row r="3349" spans="1:14">
      <c r="A3349" s="166"/>
      <c r="H3349" s="1"/>
      <c r="N3349" s="166"/>
    </row>
    <row r="3350" spans="1:14">
      <c r="A3350" s="166"/>
      <c r="H3350" s="1"/>
      <c r="N3350" s="166"/>
    </row>
    <row r="3351" spans="1:14">
      <c r="A3351" s="166"/>
      <c r="H3351" s="1"/>
      <c r="N3351" s="166"/>
    </row>
    <row r="3352" spans="1:14">
      <c r="A3352" s="166"/>
      <c r="H3352" s="1"/>
      <c r="N3352" s="166"/>
    </row>
    <row r="3353" spans="1:14">
      <c r="A3353" s="166"/>
      <c r="H3353" s="1"/>
      <c r="N3353" s="166"/>
    </row>
    <row r="3354" spans="1:14">
      <c r="A3354" s="166"/>
      <c r="H3354" s="1"/>
      <c r="N3354" s="166"/>
    </row>
    <row r="3355" spans="1:14">
      <c r="A3355" s="166"/>
      <c r="H3355" s="1"/>
      <c r="N3355" s="166"/>
    </row>
    <row r="3356" spans="1:14">
      <c r="A3356" s="166"/>
      <c r="H3356" s="1"/>
      <c r="N3356" s="166"/>
    </row>
    <row r="3357" spans="1:14">
      <c r="A3357" s="166"/>
      <c r="H3357" s="1"/>
      <c r="N3357" s="166"/>
    </row>
    <row r="3358" spans="1:14">
      <c r="A3358" s="166"/>
      <c r="H3358" s="1"/>
      <c r="N3358" s="166"/>
    </row>
    <row r="3359" spans="1:14">
      <c r="A3359" s="166"/>
      <c r="H3359" s="1"/>
      <c r="N3359" s="166"/>
    </row>
    <row r="3360" spans="1:14">
      <c r="A3360" s="166"/>
      <c r="H3360" s="1"/>
      <c r="N3360" s="166"/>
    </row>
    <row r="3361" spans="1:14">
      <c r="A3361" s="166"/>
      <c r="H3361" s="1"/>
      <c r="N3361" s="166"/>
    </row>
    <row r="3362" spans="1:14">
      <c r="A3362" s="166"/>
      <c r="H3362" s="1"/>
      <c r="N3362" s="166"/>
    </row>
    <row r="3363" spans="1:14">
      <c r="A3363" s="166"/>
      <c r="H3363" s="1"/>
      <c r="N3363" s="166"/>
    </row>
    <row r="3364" spans="1:14">
      <c r="A3364" s="166"/>
      <c r="H3364" s="1"/>
      <c r="N3364" s="166"/>
    </row>
    <row r="3365" spans="1:14">
      <c r="A3365" s="166"/>
      <c r="H3365" s="1"/>
      <c r="N3365" s="166"/>
    </row>
    <row r="3366" spans="1:14">
      <c r="A3366" s="166"/>
      <c r="H3366" s="1"/>
      <c r="N3366" s="166"/>
    </row>
    <row r="3367" spans="1:14">
      <c r="A3367" s="166"/>
      <c r="H3367" s="1"/>
      <c r="N3367" s="166"/>
    </row>
    <row r="3368" spans="1:14">
      <c r="A3368" s="166"/>
      <c r="H3368" s="1"/>
      <c r="N3368" s="166"/>
    </row>
    <row r="3369" spans="1:14">
      <c r="A3369" s="166"/>
      <c r="H3369" s="1"/>
      <c r="N3369" s="166"/>
    </row>
    <row r="3370" spans="1:14">
      <c r="A3370" s="166"/>
      <c r="H3370" s="1"/>
      <c r="N3370" s="166"/>
    </row>
    <row r="3371" spans="1:14">
      <c r="A3371" s="166"/>
      <c r="H3371" s="1"/>
      <c r="N3371" s="166"/>
    </row>
    <row r="3372" spans="1:14">
      <c r="A3372" s="166"/>
      <c r="H3372" s="1"/>
      <c r="N3372" s="166"/>
    </row>
    <row r="3373" spans="1:14">
      <c r="A3373" s="166"/>
      <c r="H3373" s="1"/>
      <c r="N3373" s="166"/>
    </row>
    <row r="3374" spans="1:14">
      <c r="A3374" s="166"/>
      <c r="H3374" s="1"/>
      <c r="N3374" s="166"/>
    </row>
    <row r="3375" spans="1:14">
      <c r="A3375" s="166"/>
      <c r="H3375" s="1"/>
      <c r="N3375" s="166"/>
    </row>
    <row r="3376" spans="1:14">
      <c r="A3376" s="166"/>
      <c r="H3376" s="1"/>
      <c r="N3376" s="166"/>
    </row>
    <row r="3377" spans="1:14">
      <c r="A3377" s="166"/>
      <c r="H3377" s="1"/>
      <c r="N3377" s="166"/>
    </row>
    <row r="3378" spans="1:14">
      <c r="A3378" s="166"/>
      <c r="H3378" s="1"/>
      <c r="N3378" s="166"/>
    </row>
    <row r="3379" spans="1:14">
      <c r="A3379" s="166"/>
      <c r="H3379" s="1"/>
      <c r="N3379" s="166"/>
    </row>
    <row r="3380" spans="1:14">
      <c r="A3380" s="166"/>
      <c r="H3380" s="1"/>
      <c r="N3380" s="166"/>
    </row>
    <row r="3381" spans="1:14">
      <c r="A3381" s="166"/>
      <c r="H3381" s="1"/>
      <c r="N3381" s="166"/>
    </row>
    <row r="3382" spans="1:14">
      <c r="A3382" s="166"/>
      <c r="H3382" s="1"/>
      <c r="N3382" s="166"/>
    </row>
    <row r="3383" spans="1:14">
      <c r="A3383" s="166"/>
      <c r="H3383" s="1"/>
      <c r="N3383" s="166"/>
    </row>
    <row r="3384" spans="1:14">
      <c r="A3384" s="166"/>
      <c r="H3384" s="1"/>
      <c r="N3384" s="166"/>
    </row>
    <row r="3385" spans="1:14">
      <c r="A3385" s="166"/>
      <c r="H3385" s="1"/>
      <c r="N3385" s="166"/>
    </row>
    <row r="3386" spans="1:14">
      <c r="A3386" s="166"/>
      <c r="H3386" s="1"/>
      <c r="N3386" s="166"/>
    </row>
    <row r="3387" spans="1:14">
      <c r="A3387" s="166"/>
      <c r="H3387" s="1"/>
      <c r="N3387" s="166"/>
    </row>
    <row r="3388" spans="1:14">
      <c r="A3388" s="166"/>
      <c r="H3388" s="1"/>
      <c r="N3388" s="166"/>
    </row>
    <row r="3389" spans="1:14">
      <c r="A3389" s="166"/>
      <c r="H3389" s="1"/>
      <c r="N3389" s="166"/>
    </row>
    <row r="3390" spans="1:14">
      <c r="A3390" s="166"/>
      <c r="H3390" s="1"/>
      <c r="N3390" s="166"/>
    </row>
    <row r="3391" spans="1:14">
      <c r="A3391" s="166"/>
      <c r="H3391" s="1"/>
      <c r="N3391" s="166"/>
    </row>
    <row r="3392" spans="1:14">
      <c r="A3392" s="166"/>
      <c r="H3392" s="1"/>
      <c r="N3392" s="166"/>
    </row>
    <row r="3393" spans="1:14">
      <c r="A3393" s="166"/>
      <c r="H3393" s="1"/>
      <c r="N3393" s="166"/>
    </row>
    <row r="3394" spans="1:14">
      <c r="A3394" s="166"/>
      <c r="H3394" s="1"/>
      <c r="N3394" s="166"/>
    </row>
    <row r="3395" spans="1:14">
      <c r="A3395" s="166"/>
      <c r="H3395" s="1"/>
      <c r="N3395" s="166"/>
    </row>
    <row r="3396" spans="1:14">
      <c r="A3396" s="166"/>
      <c r="H3396" s="1"/>
      <c r="N3396" s="166"/>
    </row>
    <row r="3397" spans="1:14">
      <c r="A3397" s="166"/>
      <c r="H3397" s="1"/>
      <c r="N3397" s="166"/>
    </row>
    <row r="3398" spans="1:14">
      <c r="A3398" s="166"/>
      <c r="H3398" s="1"/>
      <c r="N3398" s="166"/>
    </row>
    <row r="3399" spans="1:14">
      <c r="A3399" s="166"/>
      <c r="H3399" s="1"/>
      <c r="N3399" s="166"/>
    </row>
    <row r="3400" spans="1:14">
      <c r="A3400" s="166"/>
      <c r="H3400" s="1"/>
      <c r="N3400" s="166"/>
    </row>
    <row r="3401" spans="1:14">
      <c r="A3401" s="166"/>
      <c r="H3401" s="1"/>
      <c r="N3401" s="166"/>
    </row>
    <row r="3402" spans="1:14">
      <c r="A3402" s="166"/>
      <c r="H3402" s="1"/>
      <c r="N3402" s="166"/>
    </row>
    <row r="3403" spans="1:14">
      <c r="A3403" s="166"/>
      <c r="H3403" s="1"/>
      <c r="N3403" s="166"/>
    </row>
    <row r="3404" spans="1:14">
      <c r="A3404" s="166"/>
      <c r="H3404" s="1"/>
      <c r="N3404" s="166"/>
    </row>
    <row r="3405" spans="1:14">
      <c r="A3405" s="166"/>
      <c r="H3405" s="1"/>
      <c r="N3405" s="166"/>
    </row>
    <row r="3406" spans="1:14">
      <c r="A3406" s="166"/>
      <c r="H3406" s="1"/>
      <c r="N3406" s="166"/>
    </row>
    <row r="3407" spans="1:14">
      <c r="A3407" s="166"/>
      <c r="H3407" s="1"/>
      <c r="N3407" s="166"/>
    </row>
    <row r="3408" spans="1:14">
      <c r="A3408" s="166"/>
      <c r="H3408" s="1"/>
      <c r="N3408" s="166"/>
    </row>
    <row r="3409" spans="1:14">
      <c r="A3409" s="166"/>
      <c r="H3409" s="1"/>
      <c r="N3409" s="166"/>
    </row>
    <row r="3410" spans="1:14">
      <c r="A3410" s="166"/>
      <c r="H3410" s="1"/>
      <c r="N3410" s="166"/>
    </row>
    <row r="3411" spans="1:14">
      <c r="A3411" s="166"/>
      <c r="H3411" s="1"/>
      <c r="N3411" s="166"/>
    </row>
    <row r="3412" spans="1:14">
      <c r="A3412" s="166"/>
      <c r="H3412" s="1"/>
      <c r="N3412" s="166"/>
    </row>
    <row r="3413" spans="1:14">
      <c r="A3413" s="166"/>
      <c r="H3413" s="1"/>
      <c r="N3413" s="166"/>
    </row>
    <row r="3414" spans="1:14">
      <c r="A3414" s="166"/>
      <c r="H3414" s="1"/>
      <c r="N3414" s="166"/>
    </row>
    <row r="3415" spans="1:14">
      <c r="A3415" s="166"/>
      <c r="H3415" s="1"/>
      <c r="N3415" s="166"/>
    </row>
    <row r="3416" spans="1:14">
      <c r="A3416" s="166"/>
      <c r="H3416" s="1"/>
      <c r="N3416" s="166"/>
    </row>
    <row r="3417" spans="1:14">
      <c r="A3417" s="166"/>
      <c r="H3417" s="1"/>
      <c r="N3417" s="166"/>
    </row>
    <row r="3418" spans="1:14">
      <c r="A3418" s="166"/>
      <c r="H3418" s="1"/>
      <c r="N3418" s="166"/>
    </row>
    <row r="3419" spans="1:14">
      <c r="A3419" s="166"/>
      <c r="H3419" s="1"/>
      <c r="N3419" s="166"/>
    </row>
    <row r="3420" spans="1:14">
      <c r="A3420" s="166"/>
      <c r="H3420" s="1"/>
      <c r="N3420" s="166"/>
    </row>
    <row r="3421" spans="1:14">
      <c r="A3421" s="166"/>
      <c r="H3421" s="1"/>
      <c r="N3421" s="166"/>
    </row>
    <row r="3422" spans="1:14">
      <c r="A3422" s="166"/>
      <c r="H3422" s="1"/>
      <c r="N3422" s="166"/>
    </row>
    <row r="3423" spans="1:14">
      <c r="A3423" s="166"/>
      <c r="H3423" s="1"/>
      <c r="N3423" s="166"/>
    </row>
    <row r="3424" spans="1:14">
      <c r="A3424" s="166"/>
      <c r="H3424" s="1"/>
      <c r="N3424" s="166"/>
    </row>
    <row r="3425" spans="1:14">
      <c r="A3425" s="166"/>
      <c r="H3425" s="1"/>
      <c r="N3425" s="166"/>
    </row>
    <row r="3426" spans="1:14">
      <c r="A3426" s="166"/>
      <c r="H3426" s="1"/>
      <c r="N3426" s="166"/>
    </row>
    <row r="3427" spans="1:14">
      <c r="A3427" s="166"/>
      <c r="H3427" s="1"/>
      <c r="N3427" s="166"/>
    </row>
    <row r="3428" spans="1:14">
      <c r="A3428" s="166"/>
      <c r="H3428" s="1"/>
      <c r="N3428" s="166"/>
    </row>
    <row r="3429" spans="1:14">
      <c r="A3429" s="166"/>
      <c r="H3429" s="1"/>
      <c r="N3429" s="166"/>
    </row>
    <row r="3430" spans="1:14">
      <c r="A3430" s="166"/>
      <c r="H3430" s="1"/>
      <c r="N3430" s="166"/>
    </row>
    <row r="3431" spans="1:14">
      <c r="A3431" s="166"/>
      <c r="H3431" s="1"/>
      <c r="N3431" s="166"/>
    </row>
    <row r="3432" spans="1:14">
      <c r="A3432" s="166"/>
      <c r="H3432" s="1"/>
      <c r="N3432" s="166"/>
    </row>
    <row r="3433" spans="1:14">
      <c r="A3433" s="166"/>
      <c r="H3433" s="1"/>
      <c r="N3433" s="166"/>
    </row>
    <row r="3434" spans="1:14">
      <c r="A3434" s="166"/>
      <c r="H3434" s="1"/>
      <c r="N3434" s="166"/>
    </row>
    <row r="3435" spans="1:14">
      <c r="A3435" s="166"/>
      <c r="H3435" s="1"/>
      <c r="N3435" s="166"/>
    </row>
    <row r="3436" spans="1:14">
      <c r="A3436" s="166"/>
      <c r="H3436" s="1"/>
      <c r="N3436" s="166"/>
    </row>
    <row r="3437" spans="1:14">
      <c r="A3437" s="166"/>
      <c r="H3437" s="1"/>
      <c r="N3437" s="166"/>
    </row>
    <row r="3438" spans="1:14">
      <c r="A3438" s="166"/>
      <c r="H3438" s="1"/>
      <c r="N3438" s="166"/>
    </row>
    <row r="3439" spans="1:14">
      <c r="A3439" s="166"/>
      <c r="H3439" s="1"/>
      <c r="N3439" s="166"/>
    </row>
    <row r="3440" spans="1:14">
      <c r="A3440" s="166"/>
      <c r="H3440" s="1"/>
      <c r="N3440" s="166"/>
    </row>
    <row r="3441" spans="1:14">
      <c r="A3441" s="166"/>
      <c r="H3441" s="1"/>
      <c r="N3441" s="166"/>
    </row>
    <row r="3442" spans="1:14">
      <c r="A3442" s="166"/>
      <c r="H3442" s="1"/>
      <c r="N3442" s="166"/>
    </row>
    <row r="3443" spans="1:14">
      <c r="A3443" s="166"/>
      <c r="H3443" s="1"/>
      <c r="N3443" s="166"/>
    </row>
    <row r="3444" spans="1:14">
      <c r="A3444" s="166"/>
      <c r="H3444" s="1"/>
      <c r="N3444" s="166"/>
    </row>
    <row r="3445" spans="1:14">
      <c r="A3445" s="166"/>
      <c r="H3445" s="1"/>
      <c r="N3445" s="166"/>
    </row>
    <row r="3446" spans="1:14">
      <c r="A3446" s="166"/>
      <c r="H3446" s="1"/>
      <c r="N3446" s="166"/>
    </row>
    <row r="3447" spans="1:14">
      <c r="A3447" s="166"/>
      <c r="H3447" s="1"/>
      <c r="N3447" s="166"/>
    </row>
    <row r="3448" spans="1:14">
      <c r="A3448" s="166"/>
      <c r="H3448" s="1"/>
      <c r="N3448" s="166"/>
    </row>
    <row r="3449" spans="1:14">
      <c r="A3449" s="166"/>
      <c r="H3449" s="1"/>
      <c r="N3449" s="166"/>
    </row>
    <row r="3450" spans="1:14">
      <c r="A3450" s="166"/>
      <c r="H3450" s="1"/>
      <c r="N3450" s="166"/>
    </row>
    <row r="3451" spans="1:14">
      <c r="A3451" s="166"/>
      <c r="H3451" s="1"/>
      <c r="N3451" s="166"/>
    </row>
    <row r="3452" spans="1:14">
      <c r="A3452" s="166"/>
      <c r="H3452" s="1"/>
      <c r="N3452" s="166"/>
    </row>
    <row r="3453" spans="1:14">
      <c r="A3453" s="166"/>
      <c r="H3453" s="1"/>
      <c r="N3453" s="166"/>
    </row>
    <row r="3454" spans="1:14">
      <c r="A3454" s="166"/>
      <c r="H3454" s="1"/>
      <c r="N3454" s="166"/>
    </row>
    <row r="3455" spans="1:14">
      <c r="A3455" s="166"/>
      <c r="H3455" s="1"/>
      <c r="N3455" s="166"/>
    </row>
    <row r="3456" spans="1:14">
      <c r="A3456" s="166"/>
      <c r="H3456" s="1"/>
      <c r="N3456" s="166"/>
    </row>
    <row r="3457" spans="1:14">
      <c r="A3457" s="166"/>
      <c r="H3457" s="1"/>
      <c r="N3457" s="166"/>
    </row>
    <row r="3458" spans="1:14">
      <c r="A3458" s="166"/>
      <c r="H3458" s="1"/>
      <c r="N3458" s="166"/>
    </row>
    <row r="3459" spans="1:14">
      <c r="A3459" s="166"/>
      <c r="H3459" s="1"/>
      <c r="N3459" s="166"/>
    </row>
    <row r="3460" spans="1:14">
      <c r="A3460" s="166"/>
      <c r="H3460" s="1"/>
      <c r="N3460" s="166"/>
    </row>
    <row r="3461" spans="1:14">
      <c r="A3461" s="166"/>
      <c r="H3461" s="1"/>
      <c r="N3461" s="166"/>
    </row>
    <row r="3462" spans="1:14">
      <c r="A3462" s="166"/>
      <c r="H3462" s="1"/>
      <c r="N3462" s="166"/>
    </row>
    <row r="3463" spans="1:14">
      <c r="A3463" s="166"/>
      <c r="H3463" s="1"/>
      <c r="N3463" s="166"/>
    </row>
    <row r="3464" spans="1:14">
      <c r="A3464" s="166"/>
      <c r="H3464" s="1"/>
      <c r="N3464" s="166"/>
    </row>
    <row r="3465" spans="1:14">
      <c r="A3465" s="166"/>
      <c r="H3465" s="1"/>
      <c r="N3465" s="166"/>
    </row>
    <row r="3466" spans="1:14">
      <c r="A3466" s="166"/>
      <c r="H3466" s="1"/>
      <c r="N3466" s="166"/>
    </row>
    <row r="3467" spans="1:14">
      <c r="A3467" s="166"/>
      <c r="H3467" s="1"/>
      <c r="N3467" s="166"/>
    </row>
    <row r="3468" spans="1:14">
      <c r="A3468" s="166"/>
      <c r="H3468" s="1"/>
      <c r="N3468" s="166"/>
    </row>
    <row r="3469" spans="1:14">
      <c r="A3469" s="166"/>
      <c r="H3469" s="1"/>
      <c r="N3469" s="166"/>
    </row>
    <row r="3470" spans="1:14">
      <c r="A3470" s="166"/>
      <c r="H3470" s="1"/>
      <c r="N3470" s="166"/>
    </row>
    <row r="3471" spans="1:14">
      <c r="A3471" s="166"/>
      <c r="H3471" s="1"/>
      <c r="N3471" s="166"/>
    </row>
    <row r="3472" spans="1:14">
      <c r="A3472" s="166"/>
      <c r="H3472" s="1"/>
      <c r="N3472" s="166"/>
    </row>
    <row r="3473" spans="1:14">
      <c r="A3473" s="166"/>
      <c r="H3473" s="1"/>
      <c r="N3473" s="166"/>
    </row>
    <row r="3474" spans="1:14">
      <c r="A3474" s="166"/>
      <c r="H3474" s="1"/>
      <c r="N3474" s="166"/>
    </row>
    <row r="3475" spans="1:14">
      <c r="A3475" s="166"/>
      <c r="H3475" s="1"/>
      <c r="N3475" s="166"/>
    </row>
    <row r="3476" spans="1:14">
      <c r="A3476" s="166"/>
      <c r="H3476" s="1"/>
      <c r="N3476" s="166"/>
    </row>
    <row r="3477" spans="1:14">
      <c r="A3477" s="166"/>
      <c r="H3477" s="1"/>
      <c r="N3477" s="166"/>
    </row>
    <row r="3478" spans="1:14">
      <c r="A3478" s="166"/>
      <c r="H3478" s="1"/>
      <c r="N3478" s="166"/>
    </row>
    <row r="3479" spans="1:14">
      <c r="A3479" s="166"/>
      <c r="H3479" s="1"/>
      <c r="N3479" s="166"/>
    </row>
    <row r="3480" spans="1:14">
      <c r="A3480" s="166"/>
      <c r="H3480" s="1"/>
      <c r="N3480" s="166"/>
    </row>
    <row r="3481" spans="1:14">
      <c r="A3481" s="166"/>
      <c r="H3481" s="1"/>
      <c r="N3481" s="166"/>
    </row>
    <row r="3482" spans="1:14">
      <c r="A3482" s="166"/>
      <c r="H3482" s="1"/>
      <c r="N3482" s="166"/>
    </row>
    <row r="3483" spans="1:14">
      <c r="A3483" s="166"/>
      <c r="H3483" s="1"/>
      <c r="N3483" s="166"/>
    </row>
    <row r="3484" spans="1:14">
      <c r="A3484" s="166"/>
      <c r="H3484" s="1"/>
      <c r="N3484" s="166"/>
    </row>
    <row r="3485" spans="1:14">
      <c r="A3485" s="166"/>
      <c r="H3485" s="1"/>
      <c r="N3485" s="166"/>
    </row>
    <row r="3486" spans="1:14">
      <c r="A3486" s="166"/>
      <c r="H3486" s="1"/>
      <c r="N3486" s="166"/>
    </row>
    <row r="3487" spans="1:14">
      <c r="A3487" s="166"/>
      <c r="H3487" s="1"/>
      <c r="N3487" s="166"/>
    </row>
    <row r="3488" spans="1:14">
      <c r="A3488" s="166"/>
      <c r="H3488" s="1"/>
      <c r="N3488" s="166"/>
    </row>
    <row r="3489" spans="1:14">
      <c r="A3489" s="166"/>
      <c r="H3489" s="1"/>
      <c r="N3489" s="166"/>
    </row>
    <row r="3490" spans="1:14">
      <c r="A3490" s="166"/>
      <c r="H3490" s="1"/>
      <c r="N3490" s="166"/>
    </row>
    <row r="3491" spans="1:14">
      <c r="A3491" s="166"/>
      <c r="H3491" s="1"/>
      <c r="N3491" s="166"/>
    </row>
    <row r="3492" spans="1:14">
      <c r="A3492" s="166"/>
      <c r="H3492" s="1"/>
      <c r="N3492" s="166"/>
    </row>
    <row r="3493" spans="1:14">
      <c r="A3493" s="166"/>
      <c r="H3493" s="1"/>
      <c r="N3493" s="166"/>
    </row>
    <row r="3494" spans="1:14">
      <c r="A3494" s="166"/>
      <c r="H3494" s="1"/>
      <c r="N3494" s="166"/>
    </row>
    <row r="3495" spans="1:14">
      <c r="A3495" s="166"/>
      <c r="H3495" s="1"/>
      <c r="N3495" s="166"/>
    </row>
    <row r="3496" spans="1:14">
      <c r="A3496" s="166"/>
      <c r="H3496" s="1"/>
      <c r="N3496" s="166"/>
    </row>
    <row r="3497" spans="1:14">
      <c r="A3497" s="166"/>
      <c r="H3497" s="1"/>
      <c r="N3497" s="166"/>
    </row>
    <row r="3498" spans="1:14">
      <c r="A3498" s="166"/>
      <c r="H3498" s="1"/>
      <c r="N3498" s="166"/>
    </row>
    <row r="3499" spans="1:14">
      <c r="A3499" s="166"/>
      <c r="H3499" s="1"/>
      <c r="N3499" s="166"/>
    </row>
    <row r="3500" spans="1:14">
      <c r="A3500" s="166"/>
      <c r="H3500" s="1"/>
      <c r="N3500" s="166"/>
    </row>
    <row r="3501" spans="1:14">
      <c r="A3501" s="166"/>
      <c r="H3501" s="1"/>
      <c r="N3501" s="166"/>
    </row>
    <row r="3502" spans="1:14">
      <c r="A3502" s="166"/>
      <c r="H3502" s="1"/>
      <c r="N3502" s="166"/>
    </row>
    <row r="3503" spans="1:14">
      <c r="A3503" s="166"/>
      <c r="H3503" s="1"/>
      <c r="N3503" s="166"/>
    </row>
    <row r="3504" spans="1:14">
      <c r="A3504" s="166"/>
      <c r="H3504" s="1"/>
      <c r="N3504" s="166"/>
    </row>
    <row r="3505" spans="1:14">
      <c r="A3505" s="166"/>
      <c r="H3505" s="1"/>
      <c r="N3505" s="166"/>
    </row>
    <row r="3506" spans="1:14">
      <c r="A3506" s="166"/>
      <c r="H3506" s="1"/>
      <c r="N3506" s="166"/>
    </row>
    <row r="3507" spans="1:14">
      <c r="A3507" s="166"/>
      <c r="H3507" s="1"/>
      <c r="N3507" s="166"/>
    </row>
    <row r="3508" spans="1:14">
      <c r="A3508" s="166"/>
      <c r="H3508" s="1"/>
      <c r="N3508" s="166"/>
    </row>
    <row r="3509" spans="1:14">
      <c r="A3509" s="166"/>
      <c r="H3509" s="1"/>
      <c r="N3509" s="166"/>
    </row>
    <row r="3510" spans="1:14">
      <c r="A3510" s="166"/>
      <c r="H3510" s="1"/>
      <c r="N3510" s="166"/>
    </row>
    <row r="3511" spans="1:14">
      <c r="A3511" s="166"/>
      <c r="H3511" s="1"/>
      <c r="N3511" s="166"/>
    </row>
    <row r="3512" spans="1:14">
      <c r="A3512" s="166"/>
      <c r="H3512" s="1"/>
      <c r="N3512" s="166"/>
    </row>
    <row r="3513" spans="1:14">
      <c r="A3513" s="166"/>
      <c r="H3513" s="1"/>
      <c r="N3513" s="166"/>
    </row>
    <row r="3514" spans="1:14">
      <c r="A3514" s="166"/>
      <c r="H3514" s="1"/>
      <c r="N3514" s="166"/>
    </row>
    <row r="3515" spans="1:14">
      <c r="A3515" s="166"/>
      <c r="H3515" s="1"/>
      <c r="N3515" s="166"/>
    </row>
    <row r="3516" spans="1:14">
      <c r="A3516" s="166"/>
      <c r="H3516" s="1"/>
      <c r="N3516" s="166"/>
    </row>
    <row r="3517" spans="1:14">
      <c r="A3517" s="166"/>
      <c r="H3517" s="1"/>
      <c r="N3517" s="166"/>
    </row>
    <row r="3518" spans="1:14">
      <c r="A3518" s="166"/>
      <c r="H3518" s="1"/>
      <c r="N3518" s="166"/>
    </row>
    <row r="3519" spans="1:14">
      <c r="A3519" s="166"/>
      <c r="H3519" s="1"/>
      <c r="N3519" s="166"/>
    </row>
    <row r="3520" spans="1:14">
      <c r="A3520" s="166"/>
      <c r="H3520" s="1"/>
      <c r="N3520" s="166"/>
    </row>
    <row r="3521" spans="1:14">
      <c r="A3521" s="166"/>
      <c r="H3521" s="1"/>
      <c r="N3521" s="166"/>
    </row>
    <row r="3522" spans="1:14">
      <c r="A3522" s="166"/>
      <c r="H3522" s="1"/>
      <c r="N3522" s="166"/>
    </row>
    <row r="3523" spans="1:14">
      <c r="A3523" s="166"/>
      <c r="H3523" s="1"/>
      <c r="N3523" s="166"/>
    </row>
    <row r="3524" spans="1:14">
      <c r="A3524" s="166"/>
      <c r="H3524" s="1"/>
      <c r="N3524" s="166"/>
    </row>
    <row r="3525" spans="1:14">
      <c r="A3525" s="166"/>
      <c r="H3525" s="1"/>
      <c r="N3525" s="166"/>
    </row>
    <row r="3526" spans="1:14">
      <c r="A3526" s="166"/>
      <c r="H3526" s="1"/>
      <c r="N3526" s="166"/>
    </row>
    <row r="3527" spans="1:14">
      <c r="A3527" s="166"/>
      <c r="H3527" s="1"/>
      <c r="N3527" s="166"/>
    </row>
    <row r="3528" spans="1:14">
      <c r="A3528" s="166"/>
      <c r="H3528" s="1"/>
      <c r="N3528" s="166"/>
    </row>
    <row r="3529" spans="1:14">
      <c r="A3529" s="166"/>
      <c r="H3529" s="1"/>
      <c r="N3529" s="166"/>
    </row>
    <row r="3530" spans="1:14">
      <c r="A3530" s="166"/>
      <c r="H3530" s="1"/>
      <c r="N3530" s="166"/>
    </row>
    <row r="3531" spans="1:14">
      <c r="A3531" s="166"/>
      <c r="H3531" s="1"/>
      <c r="N3531" s="166"/>
    </row>
    <row r="3532" spans="1:14">
      <c r="A3532" s="166"/>
      <c r="H3532" s="1"/>
      <c r="N3532" s="166"/>
    </row>
    <row r="3533" spans="1:14">
      <c r="A3533" s="166"/>
      <c r="H3533" s="1"/>
      <c r="N3533" s="166"/>
    </row>
    <row r="3534" spans="1:14">
      <c r="A3534" s="166"/>
      <c r="H3534" s="1"/>
      <c r="N3534" s="166"/>
    </row>
    <row r="3535" spans="1:14">
      <c r="A3535" s="166"/>
      <c r="H3535" s="1"/>
      <c r="N3535" s="166"/>
    </row>
    <row r="3536" spans="1:14">
      <c r="A3536" s="166"/>
      <c r="H3536" s="1"/>
      <c r="N3536" s="166"/>
    </row>
    <row r="3537" spans="1:14">
      <c r="A3537" s="166"/>
      <c r="H3537" s="1"/>
      <c r="N3537" s="166"/>
    </row>
    <row r="3538" spans="1:14">
      <c r="A3538" s="166"/>
      <c r="H3538" s="1"/>
      <c r="N3538" s="166"/>
    </row>
    <row r="3539" spans="1:14">
      <c r="A3539" s="166"/>
      <c r="H3539" s="1"/>
      <c r="N3539" s="166"/>
    </row>
    <row r="3540" spans="1:14">
      <c r="A3540" s="166"/>
      <c r="H3540" s="1"/>
      <c r="N3540" s="166"/>
    </row>
    <row r="3541" spans="1:14">
      <c r="A3541" s="166"/>
      <c r="H3541" s="1"/>
      <c r="N3541" s="166"/>
    </row>
    <row r="3542" spans="1:14">
      <c r="A3542" s="166"/>
      <c r="H3542" s="1"/>
      <c r="N3542" s="166"/>
    </row>
    <row r="3543" spans="1:14">
      <c r="A3543" s="166"/>
      <c r="H3543" s="1"/>
      <c r="N3543" s="166"/>
    </row>
    <row r="3544" spans="1:14">
      <c r="A3544" s="166"/>
      <c r="H3544" s="1"/>
      <c r="N3544" s="166"/>
    </row>
    <row r="3545" spans="1:14">
      <c r="A3545" s="166"/>
      <c r="H3545" s="1"/>
      <c r="N3545" s="166"/>
    </row>
    <row r="3546" spans="1:14">
      <c r="A3546" s="166"/>
      <c r="H3546" s="1"/>
      <c r="N3546" s="166"/>
    </row>
    <row r="3547" spans="1:14">
      <c r="A3547" s="166"/>
      <c r="H3547" s="1"/>
      <c r="N3547" s="166"/>
    </row>
    <row r="3548" spans="1:14">
      <c r="A3548" s="166"/>
      <c r="H3548" s="1"/>
      <c r="N3548" s="166"/>
    </row>
    <row r="3549" spans="1:14">
      <c r="A3549" s="166"/>
      <c r="H3549" s="1"/>
      <c r="N3549" s="166"/>
    </row>
    <row r="3550" spans="1:14">
      <c r="A3550" s="166"/>
      <c r="H3550" s="1"/>
      <c r="N3550" s="166"/>
    </row>
    <row r="3551" spans="1:14">
      <c r="A3551" s="166"/>
      <c r="H3551" s="1"/>
      <c r="N3551" s="166"/>
    </row>
    <row r="3552" spans="1:14">
      <c r="A3552" s="166"/>
      <c r="H3552" s="1"/>
      <c r="N3552" s="166"/>
    </row>
    <row r="3553" spans="1:14">
      <c r="A3553" s="166"/>
      <c r="H3553" s="1"/>
      <c r="N3553" s="166"/>
    </row>
    <row r="3554" spans="1:14">
      <c r="A3554" s="166"/>
      <c r="H3554" s="1"/>
      <c r="N3554" s="166"/>
    </row>
    <row r="3555" spans="1:14">
      <c r="A3555" s="166"/>
      <c r="H3555" s="1"/>
      <c r="N3555" s="166"/>
    </row>
    <row r="3556" spans="1:14">
      <c r="A3556" s="166"/>
      <c r="H3556" s="1"/>
      <c r="N3556" s="166"/>
    </row>
    <row r="3557" spans="1:14">
      <c r="A3557" s="166"/>
      <c r="H3557" s="1"/>
      <c r="N3557" s="166"/>
    </row>
    <row r="3558" spans="1:14">
      <c r="A3558" s="166"/>
      <c r="H3558" s="1"/>
      <c r="N3558" s="166"/>
    </row>
    <row r="3559" spans="1:14">
      <c r="A3559" s="166"/>
      <c r="H3559" s="1"/>
      <c r="N3559" s="166"/>
    </row>
    <row r="3560" spans="1:14">
      <c r="A3560" s="166"/>
      <c r="H3560" s="1"/>
      <c r="N3560" s="166"/>
    </row>
    <row r="3561" spans="1:14">
      <c r="A3561" s="166"/>
      <c r="H3561" s="1"/>
      <c r="N3561" s="166"/>
    </row>
    <row r="3562" spans="1:14">
      <c r="A3562" s="166"/>
      <c r="H3562" s="1"/>
      <c r="N3562" s="166"/>
    </row>
    <row r="3563" spans="1:14">
      <c r="A3563" s="166"/>
      <c r="H3563" s="1"/>
      <c r="N3563" s="166"/>
    </row>
    <row r="3564" spans="1:14">
      <c r="A3564" s="166"/>
      <c r="H3564" s="1"/>
      <c r="N3564" s="166"/>
    </row>
    <row r="3565" spans="1:14">
      <c r="A3565" s="166"/>
      <c r="H3565" s="1"/>
      <c r="N3565" s="166"/>
    </row>
    <row r="3566" spans="1:14">
      <c r="A3566" s="166"/>
      <c r="H3566" s="1"/>
      <c r="N3566" s="166"/>
    </row>
    <row r="3567" spans="1:14">
      <c r="A3567" s="166"/>
      <c r="H3567" s="1"/>
      <c r="N3567" s="166"/>
    </row>
    <row r="3568" spans="1:14">
      <c r="A3568" s="166"/>
      <c r="H3568" s="1"/>
      <c r="N3568" s="166"/>
    </row>
    <row r="3569" spans="1:14">
      <c r="A3569" s="166"/>
      <c r="H3569" s="1"/>
      <c r="N3569" s="166"/>
    </row>
    <row r="3570" spans="1:14">
      <c r="A3570" s="166"/>
      <c r="H3570" s="1"/>
      <c r="N3570" s="166"/>
    </row>
    <row r="3571" spans="1:14">
      <c r="A3571" s="166"/>
      <c r="H3571" s="1"/>
      <c r="N3571" s="166"/>
    </row>
    <row r="3572" spans="1:14">
      <c r="A3572" s="166"/>
      <c r="H3572" s="1"/>
      <c r="N3572" s="166"/>
    </row>
    <row r="3573" spans="1:14">
      <c r="A3573" s="166"/>
      <c r="H3573" s="1"/>
      <c r="N3573" s="166"/>
    </row>
    <row r="3574" spans="1:14">
      <c r="A3574" s="166"/>
      <c r="H3574" s="1"/>
      <c r="N3574" s="166"/>
    </row>
    <row r="3575" spans="1:14">
      <c r="A3575" s="166"/>
      <c r="H3575" s="1"/>
      <c r="N3575" s="166"/>
    </row>
    <row r="3576" spans="1:14">
      <c r="A3576" s="166"/>
      <c r="H3576" s="1"/>
      <c r="N3576" s="166"/>
    </row>
    <row r="3577" spans="1:14">
      <c r="A3577" s="166"/>
      <c r="H3577" s="1"/>
      <c r="N3577" s="166"/>
    </row>
    <row r="3578" spans="1:14">
      <c r="A3578" s="166"/>
      <c r="H3578" s="1"/>
      <c r="N3578" s="166"/>
    </row>
    <row r="3579" spans="1:14">
      <c r="A3579" s="166"/>
      <c r="H3579" s="1"/>
      <c r="N3579" s="166"/>
    </row>
    <row r="3580" spans="1:14">
      <c r="A3580" s="166"/>
      <c r="H3580" s="1"/>
      <c r="N3580" s="166"/>
    </row>
    <row r="3581" spans="1:14">
      <c r="A3581" s="166"/>
      <c r="H3581" s="1"/>
      <c r="N3581" s="166"/>
    </row>
    <row r="3582" spans="1:14">
      <c r="A3582" s="166"/>
      <c r="H3582" s="1"/>
      <c r="N3582" s="166"/>
    </row>
    <row r="3583" spans="1:14">
      <c r="A3583" s="166"/>
      <c r="H3583" s="1"/>
      <c r="N3583" s="166"/>
    </row>
    <row r="3584" spans="1:14">
      <c r="A3584" s="166"/>
      <c r="H3584" s="1"/>
      <c r="N3584" s="166"/>
    </row>
    <row r="3585" spans="1:14">
      <c r="A3585" s="166"/>
      <c r="H3585" s="1"/>
      <c r="N3585" s="166"/>
    </row>
    <row r="3586" spans="1:14">
      <c r="A3586" s="166"/>
      <c r="H3586" s="1"/>
      <c r="N3586" s="166"/>
    </row>
    <row r="3587" spans="1:14">
      <c r="A3587" s="166"/>
      <c r="H3587" s="1"/>
      <c r="N3587" s="166"/>
    </row>
    <row r="3588" spans="1:14">
      <c r="A3588" s="166"/>
      <c r="H3588" s="1"/>
      <c r="N3588" s="166"/>
    </row>
    <row r="3589" spans="1:14">
      <c r="A3589" s="166"/>
      <c r="H3589" s="1"/>
      <c r="N3589" s="166"/>
    </row>
    <row r="3590" spans="1:14">
      <c r="A3590" s="166"/>
      <c r="H3590" s="1"/>
      <c r="N3590" s="166"/>
    </row>
    <row r="3591" spans="1:14">
      <c r="A3591" s="166"/>
      <c r="H3591" s="1"/>
      <c r="N3591" s="166"/>
    </row>
    <row r="3592" spans="1:14">
      <c r="A3592" s="166"/>
      <c r="H3592" s="1"/>
      <c r="N3592" s="166"/>
    </row>
    <row r="3593" spans="1:14">
      <c r="A3593" s="166"/>
      <c r="H3593" s="1"/>
      <c r="N3593" s="166"/>
    </row>
    <row r="3594" spans="1:14">
      <c r="A3594" s="166"/>
      <c r="H3594" s="1"/>
      <c r="N3594" s="166"/>
    </row>
    <row r="3595" spans="1:14">
      <c r="A3595" s="166"/>
      <c r="H3595" s="1"/>
      <c r="N3595" s="166"/>
    </row>
    <row r="3596" spans="1:14">
      <c r="A3596" s="166"/>
      <c r="H3596" s="1"/>
      <c r="N3596" s="166"/>
    </row>
    <row r="3597" spans="1:14">
      <c r="A3597" s="166"/>
      <c r="H3597" s="1"/>
      <c r="N3597" s="166"/>
    </row>
    <row r="3598" spans="1:14">
      <c r="A3598" s="166"/>
      <c r="H3598" s="1"/>
      <c r="N3598" s="166"/>
    </row>
    <row r="3599" spans="1:14">
      <c r="A3599" s="166"/>
      <c r="H3599" s="1"/>
      <c r="N3599" s="166"/>
    </row>
    <row r="3600" spans="1:14">
      <c r="A3600" s="166"/>
      <c r="H3600" s="1"/>
      <c r="N3600" s="166"/>
    </row>
    <row r="3601" spans="1:14">
      <c r="A3601" s="166"/>
      <c r="H3601" s="1"/>
      <c r="N3601" s="166"/>
    </row>
    <row r="3602" spans="1:14">
      <c r="A3602" s="166"/>
      <c r="H3602" s="1"/>
      <c r="N3602" s="166"/>
    </row>
    <row r="3603" spans="1:14">
      <c r="A3603" s="166"/>
      <c r="H3603" s="1"/>
      <c r="N3603" s="166"/>
    </row>
    <row r="3604" spans="1:14">
      <c r="A3604" s="166"/>
      <c r="H3604" s="1"/>
      <c r="N3604" s="166"/>
    </row>
    <row r="3605" spans="1:14">
      <c r="A3605" s="166"/>
      <c r="H3605" s="1"/>
      <c r="N3605" s="166"/>
    </row>
    <row r="3606" spans="1:14">
      <c r="A3606" s="166"/>
      <c r="H3606" s="1"/>
      <c r="N3606" s="166"/>
    </row>
    <row r="3607" spans="1:14">
      <c r="A3607" s="166"/>
      <c r="H3607" s="1"/>
      <c r="N3607" s="166"/>
    </row>
    <row r="3608" spans="1:14">
      <c r="A3608" s="166"/>
      <c r="H3608" s="1"/>
      <c r="N3608" s="166"/>
    </row>
    <row r="3609" spans="1:14">
      <c r="A3609" s="166"/>
      <c r="H3609" s="1"/>
      <c r="N3609" s="166"/>
    </row>
    <row r="3610" spans="1:14">
      <c r="A3610" s="166"/>
      <c r="H3610" s="1"/>
      <c r="N3610" s="166"/>
    </row>
    <row r="3611" spans="1:14">
      <c r="A3611" s="166"/>
      <c r="H3611" s="1"/>
      <c r="N3611" s="166"/>
    </row>
    <row r="3612" spans="1:14">
      <c r="A3612" s="166"/>
      <c r="H3612" s="1"/>
      <c r="N3612" s="166"/>
    </row>
    <row r="3613" spans="1:14">
      <c r="A3613" s="166"/>
      <c r="H3613" s="1"/>
      <c r="N3613" s="166"/>
    </row>
    <row r="3614" spans="1:14">
      <c r="A3614" s="166"/>
      <c r="H3614" s="1"/>
      <c r="N3614" s="166"/>
    </row>
    <row r="3615" spans="1:14">
      <c r="A3615" s="166"/>
      <c r="H3615" s="1"/>
      <c r="N3615" s="166"/>
    </row>
    <row r="3616" spans="1:14">
      <c r="A3616" s="166"/>
      <c r="H3616" s="1"/>
      <c r="N3616" s="166"/>
    </row>
    <row r="3617" spans="1:14">
      <c r="A3617" s="166"/>
      <c r="H3617" s="1"/>
      <c r="N3617" s="166"/>
    </row>
    <row r="3618" spans="1:14">
      <c r="A3618" s="166"/>
      <c r="H3618" s="1"/>
      <c r="N3618" s="166"/>
    </row>
    <row r="3619" spans="1:14">
      <c r="A3619" s="166"/>
      <c r="H3619" s="1"/>
      <c r="N3619" s="166"/>
    </row>
    <row r="3620" spans="1:14">
      <c r="A3620" s="166"/>
      <c r="H3620" s="1"/>
      <c r="N3620" s="166"/>
    </row>
    <row r="3621" spans="1:14">
      <c r="A3621" s="166"/>
      <c r="H3621" s="1"/>
      <c r="N3621" s="166"/>
    </row>
    <row r="3622" spans="1:14">
      <c r="A3622" s="166"/>
      <c r="H3622" s="1"/>
      <c r="N3622" s="166"/>
    </row>
    <row r="3623" spans="1:14">
      <c r="A3623" s="166"/>
      <c r="H3623" s="1"/>
      <c r="N3623" s="166"/>
    </row>
    <row r="3624" spans="1:14">
      <c r="A3624" s="166"/>
      <c r="H3624" s="1"/>
      <c r="N3624" s="166"/>
    </row>
    <row r="3625" spans="1:14">
      <c r="A3625" s="166"/>
      <c r="H3625" s="1"/>
      <c r="N3625" s="166"/>
    </row>
    <row r="3626" spans="1:14">
      <c r="A3626" s="166"/>
      <c r="H3626" s="1"/>
      <c r="N3626" s="166"/>
    </row>
    <row r="3627" spans="1:14">
      <c r="A3627" s="166"/>
      <c r="H3627" s="1"/>
      <c r="N3627" s="166"/>
    </row>
    <row r="3628" spans="1:14">
      <c r="A3628" s="166"/>
      <c r="H3628" s="1"/>
      <c r="N3628" s="166"/>
    </row>
    <row r="3629" spans="1:14">
      <c r="A3629" s="166"/>
      <c r="H3629" s="1"/>
      <c r="N3629" s="166"/>
    </row>
    <row r="3630" spans="1:14">
      <c r="A3630" s="166"/>
      <c r="H3630" s="1"/>
      <c r="N3630" s="166"/>
    </row>
    <row r="3631" spans="1:14">
      <c r="A3631" s="166"/>
      <c r="H3631" s="1"/>
      <c r="N3631" s="166"/>
    </row>
    <row r="3632" spans="1:14">
      <c r="A3632" s="166"/>
      <c r="H3632" s="1"/>
      <c r="N3632" s="166"/>
    </row>
    <row r="3633" spans="1:14">
      <c r="A3633" s="166"/>
      <c r="H3633" s="1"/>
      <c r="N3633" s="166"/>
    </row>
    <row r="3634" spans="1:14">
      <c r="A3634" s="166"/>
      <c r="H3634" s="1"/>
      <c r="N3634" s="166"/>
    </row>
    <row r="3635" spans="1:14">
      <c r="A3635" s="166"/>
      <c r="H3635" s="1"/>
      <c r="N3635" s="166"/>
    </row>
    <row r="3636" spans="1:14">
      <c r="A3636" s="166"/>
      <c r="H3636" s="1"/>
      <c r="N3636" s="166"/>
    </row>
    <row r="3637" spans="1:14">
      <c r="A3637" s="166"/>
      <c r="H3637" s="1"/>
      <c r="N3637" s="166"/>
    </row>
    <row r="3638" spans="1:14">
      <c r="A3638" s="166"/>
      <c r="H3638" s="1"/>
      <c r="N3638" s="166"/>
    </row>
    <row r="3639" spans="1:14">
      <c r="A3639" s="166"/>
      <c r="H3639" s="1"/>
      <c r="N3639" s="166"/>
    </row>
    <row r="3640" spans="1:14">
      <c r="A3640" s="166"/>
      <c r="H3640" s="1"/>
      <c r="N3640" s="166"/>
    </row>
    <row r="3641" spans="1:14">
      <c r="A3641" s="166"/>
      <c r="H3641" s="1"/>
      <c r="N3641" s="166"/>
    </row>
    <row r="3642" spans="1:14">
      <c r="A3642" s="166"/>
      <c r="H3642" s="1"/>
      <c r="N3642" s="166"/>
    </row>
    <row r="3643" spans="1:14">
      <c r="A3643" s="166"/>
      <c r="H3643" s="1"/>
      <c r="N3643" s="166"/>
    </row>
    <row r="3644" spans="1:14">
      <c r="A3644" s="166"/>
      <c r="H3644" s="1"/>
      <c r="N3644" s="166"/>
    </row>
    <row r="3645" spans="1:14">
      <c r="A3645" s="166"/>
      <c r="H3645" s="1"/>
      <c r="N3645" s="166"/>
    </row>
    <row r="3646" spans="1:14">
      <c r="A3646" s="166"/>
      <c r="H3646" s="1"/>
      <c r="N3646" s="166"/>
    </row>
    <row r="3647" spans="1:14">
      <c r="A3647" s="166"/>
      <c r="H3647" s="1"/>
      <c r="N3647" s="166"/>
    </row>
    <row r="3648" spans="1:14">
      <c r="A3648" s="166"/>
      <c r="H3648" s="1"/>
      <c r="N3648" s="166"/>
    </row>
    <row r="3649" spans="1:14">
      <c r="A3649" s="166"/>
      <c r="H3649" s="1"/>
      <c r="N3649" s="166"/>
    </row>
    <row r="3650" spans="1:14">
      <c r="A3650" s="166"/>
      <c r="H3650" s="1"/>
      <c r="N3650" s="166"/>
    </row>
    <row r="3651" spans="1:14">
      <c r="A3651" s="166"/>
      <c r="H3651" s="1"/>
      <c r="N3651" s="166"/>
    </row>
    <row r="3652" spans="1:14">
      <c r="A3652" s="166"/>
      <c r="H3652" s="1"/>
      <c r="N3652" s="166"/>
    </row>
    <row r="3653" spans="1:14">
      <c r="A3653" s="166"/>
      <c r="H3653" s="1"/>
      <c r="N3653" s="166"/>
    </row>
    <row r="3654" spans="1:14">
      <c r="A3654" s="166"/>
      <c r="H3654" s="1"/>
      <c r="N3654" s="166"/>
    </row>
    <row r="3655" spans="1:14">
      <c r="A3655" s="166"/>
      <c r="H3655" s="1"/>
      <c r="N3655" s="166"/>
    </row>
    <row r="3656" spans="1:14">
      <c r="A3656" s="166"/>
      <c r="H3656" s="1"/>
      <c r="N3656" s="166"/>
    </row>
    <row r="3657" spans="1:14">
      <c r="A3657" s="166"/>
      <c r="H3657" s="1"/>
      <c r="N3657" s="166"/>
    </row>
    <row r="3658" spans="1:14">
      <c r="A3658" s="166"/>
      <c r="H3658" s="1"/>
      <c r="N3658" s="166"/>
    </row>
    <row r="3659" spans="1:14">
      <c r="A3659" s="166"/>
      <c r="H3659" s="1"/>
      <c r="N3659" s="166"/>
    </row>
    <row r="3660" spans="1:14">
      <c r="A3660" s="166"/>
      <c r="H3660" s="1"/>
      <c r="N3660" s="166"/>
    </row>
    <row r="3661" spans="1:14">
      <c r="A3661" s="166"/>
      <c r="H3661" s="1"/>
      <c r="N3661" s="166"/>
    </row>
    <row r="3662" spans="1:14">
      <c r="A3662" s="166"/>
      <c r="H3662" s="1"/>
      <c r="N3662" s="166"/>
    </row>
    <row r="3663" spans="1:14">
      <c r="A3663" s="166"/>
      <c r="H3663" s="1"/>
      <c r="N3663" s="166"/>
    </row>
    <row r="3664" spans="1:14">
      <c r="A3664" s="166"/>
      <c r="H3664" s="1"/>
      <c r="N3664" s="166"/>
    </row>
    <row r="3665" spans="1:14">
      <c r="A3665" s="166"/>
      <c r="H3665" s="1"/>
      <c r="N3665" s="166"/>
    </row>
    <row r="3666" spans="1:14">
      <c r="A3666" s="166"/>
      <c r="H3666" s="1"/>
      <c r="N3666" s="166"/>
    </row>
    <row r="3667" spans="1:14">
      <c r="A3667" s="166"/>
      <c r="H3667" s="1"/>
      <c r="N3667" s="166"/>
    </row>
    <row r="3668" spans="1:14">
      <c r="A3668" s="166"/>
      <c r="H3668" s="1"/>
      <c r="N3668" s="166"/>
    </row>
    <row r="3669" spans="1:14">
      <c r="A3669" s="166"/>
      <c r="H3669" s="1"/>
      <c r="N3669" s="166"/>
    </row>
    <row r="3670" spans="1:14">
      <c r="A3670" s="166"/>
      <c r="H3670" s="1"/>
      <c r="N3670" s="166"/>
    </row>
    <row r="3671" spans="1:14">
      <c r="A3671" s="166"/>
      <c r="H3671" s="1"/>
      <c r="N3671" s="166"/>
    </row>
    <row r="3672" spans="1:14">
      <c r="A3672" s="166"/>
      <c r="H3672" s="1"/>
      <c r="N3672" s="166"/>
    </row>
    <row r="3673" spans="1:14">
      <c r="A3673" s="166"/>
      <c r="H3673" s="1"/>
      <c r="N3673" s="166"/>
    </row>
    <row r="3674" spans="1:14">
      <c r="A3674" s="166"/>
      <c r="H3674" s="1"/>
      <c r="N3674" s="166"/>
    </row>
    <row r="3675" spans="1:14">
      <c r="A3675" s="166"/>
      <c r="H3675" s="1"/>
      <c r="N3675" s="166"/>
    </row>
    <row r="3676" spans="1:14">
      <c r="A3676" s="166"/>
      <c r="H3676" s="1"/>
      <c r="N3676" s="166"/>
    </row>
    <row r="3677" spans="1:14">
      <c r="A3677" s="166"/>
      <c r="H3677" s="1"/>
      <c r="N3677" s="166"/>
    </row>
    <row r="3678" spans="1:14">
      <c r="A3678" s="166"/>
      <c r="H3678" s="1"/>
      <c r="N3678" s="166"/>
    </row>
    <row r="3679" spans="1:14">
      <c r="A3679" s="166"/>
      <c r="H3679" s="1"/>
      <c r="N3679" s="166"/>
    </row>
    <row r="3680" spans="1:14">
      <c r="A3680" s="166"/>
      <c r="H3680" s="1"/>
      <c r="N3680" s="166"/>
    </row>
    <row r="3681" spans="1:14">
      <c r="A3681" s="166"/>
      <c r="H3681" s="1"/>
      <c r="N3681" s="166"/>
    </row>
    <row r="3682" spans="1:14">
      <c r="A3682" s="166"/>
      <c r="H3682" s="1"/>
      <c r="N3682" s="166"/>
    </row>
    <row r="3683" spans="1:14">
      <c r="A3683" s="166"/>
      <c r="H3683" s="1"/>
      <c r="N3683" s="166"/>
    </row>
    <row r="3684" spans="1:14">
      <c r="A3684" s="166"/>
      <c r="H3684" s="1"/>
      <c r="N3684" s="166"/>
    </row>
    <row r="3685" spans="1:14">
      <c r="A3685" s="166"/>
      <c r="H3685" s="1"/>
      <c r="N3685" s="166"/>
    </row>
    <row r="3686" spans="1:14">
      <c r="A3686" s="166"/>
      <c r="H3686" s="1"/>
      <c r="N3686" s="166"/>
    </row>
    <row r="3687" spans="1:14">
      <c r="A3687" s="166"/>
      <c r="H3687" s="1"/>
      <c r="N3687" s="166"/>
    </row>
    <row r="3688" spans="1:14">
      <c r="A3688" s="166"/>
      <c r="H3688" s="1"/>
      <c r="N3688" s="166"/>
    </row>
    <row r="3689" spans="1:14">
      <c r="A3689" s="166"/>
      <c r="H3689" s="1"/>
      <c r="N3689" s="166"/>
    </row>
    <row r="3690" spans="1:14">
      <c r="A3690" s="166"/>
      <c r="H3690" s="1"/>
      <c r="N3690" s="166"/>
    </row>
    <row r="3691" spans="1:14">
      <c r="A3691" s="166"/>
      <c r="H3691" s="1"/>
      <c r="N3691" s="166"/>
    </row>
    <row r="3692" spans="1:14">
      <c r="A3692" s="166"/>
      <c r="H3692" s="1"/>
      <c r="N3692" s="166"/>
    </row>
    <row r="3693" spans="1:14">
      <c r="A3693" s="166"/>
      <c r="H3693" s="1"/>
      <c r="N3693" s="166"/>
    </row>
    <row r="3694" spans="1:14">
      <c r="A3694" s="166"/>
      <c r="H3694" s="1"/>
      <c r="N3694" s="166"/>
    </row>
    <row r="3695" spans="1:14">
      <c r="A3695" s="166"/>
      <c r="H3695" s="1"/>
      <c r="N3695" s="166"/>
    </row>
    <row r="3696" spans="1:14">
      <c r="A3696" s="166"/>
      <c r="H3696" s="1"/>
      <c r="N3696" s="166"/>
    </row>
    <row r="3697" spans="1:14">
      <c r="A3697" s="166"/>
      <c r="H3697" s="1"/>
      <c r="N3697" s="166"/>
    </row>
    <row r="3698" spans="1:14">
      <c r="A3698" s="166"/>
      <c r="H3698" s="1"/>
      <c r="N3698" s="166"/>
    </row>
    <row r="3699" spans="1:14">
      <c r="A3699" s="166"/>
      <c r="H3699" s="1"/>
      <c r="N3699" s="166"/>
    </row>
    <row r="3700" spans="1:14">
      <c r="A3700" s="166"/>
      <c r="H3700" s="1"/>
      <c r="N3700" s="166"/>
    </row>
    <row r="3701" spans="1:14">
      <c r="A3701" s="166"/>
      <c r="H3701" s="1"/>
      <c r="N3701" s="166"/>
    </row>
    <row r="3702" spans="1:14">
      <c r="A3702" s="166"/>
      <c r="H3702" s="1"/>
      <c r="N3702" s="166"/>
    </row>
    <row r="3703" spans="1:14">
      <c r="A3703" s="166"/>
      <c r="H3703" s="1"/>
      <c r="N3703" s="166"/>
    </row>
    <row r="3704" spans="1:14">
      <c r="A3704" s="166"/>
      <c r="H3704" s="1"/>
      <c r="N3704" s="166"/>
    </row>
    <row r="3705" spans="1:14">
      <c r="A3705" s="166"/>
      <c r="H3705" s="1"/>
      <c r="N3705" s="166"/>
    </row>
    <row r="3706" spans="1:14">
      <c r="A3706" s="166"/>
      <c r="H3706" s="1"/>
      <c r="N3706" s="166"/>
    </row>
    <row r="3707" spans="1:14">
      <c r="A3707" s="166"/>
      <c r="H3707" s="1"/>
      <c r="N3707" s="166"/>
    </row>
    <row r="3708" spans="1:14">
      <c r="A3708" s="166"/>
      <c r="H3708" s="1"/>
      <c r="N3708" s="166"/>
    </row>
    <row r="3709" spans="1:14">
      <c r="A3709" s="166"/>
      <c r="H3709" s="1"/>
      <c r="N3709" s="166"/>
    </row>
    <row r="3710" spans="1:14">
      <c r="A3710" s="166"/>
      <c r="H3710" s="1"/>
      <c r="N3710" s="166"/>
    </row>
    <row r="3711" spans="1:14">
      <c r="A3711" s="166"/>
      <c r="H3711" s="1"/>
      <c r="N3711" s="166"/>
    </row>
    <row r="3712" spans="1:14">
      <c r="A3712" s="166"/>
      <c r="H3712" s="1"/>
      <c r="N3712" s="166"/>
    </row>
    <row r="3713" spans="1:14">
      <c r="A3713" s="166"/>
      <c r="H3713" s="1"/>
      <c r="N3713" s="166"/>
    </row>
    <row r="3714" spans="1:14">
      <c r="A3714" s="166"/>
      <c r="H3714" s="1"/>
      <c r="N3714" s="166"/>
    </row>
    <row r="3715" spans="1:14">
      <c r="A3715" s="166"/>
      <c r="H3715" s="1"/>
      <c r="N3715" s="166"/>
    </row>
    <row r="3716" spans="1:14">
      <c r="A3716" s="166"/>
      <c r="H3716" s="1"/>
      <c r="N3716" s="166"/>
    </row>
    <row r="3717" spans="1:14">
      <c r="A3717" s="166"/>
      <c r="H3717" s="1"/>
      <c r="N3717" s="166"/>
    </row>
    <row r="3718" spans="1:14">
      <c r="A3718" s="166"/>
      <c r="H3718" s="1"/>
      <c r="N3718" s="166"/>
    </row>
    <row r="3719" spans="1:14">
      <c r="A3719" s="166"/>
      <c r="H3719" s="1"/>
      <c r="N3719" s="166"/>
    </row>
    <row r="3720" spans="1:14">
      <c r="A3720" s="166"/>
      <c r="H3720" s="1"/>
      <c r="N3720" s="166"/>
    </row>
    <row r="3721" spans="1:14">
      <c r="A3721" s="166"/>
      <c r="H3721" s="1"/>
      <c r="N3721" s="166"/>
    </row>
    <row r="3722" spans="1:14">
      <c r="A3722" s="166"/>
      <c r="H3722" s="1"/>
      <c r="N3722" s="166"/>
    </row>
    <row r="3723" spans="1:14">
      <c r="A3723" s="166"/>
      <c r="H3723" s="1"/>
      <c r="N3723" s="166"/>
    </row>
    <row r="3724" spans="1:14">
      <c r="A3724" s="166"/>
      <c r="H3724" s="1"/>
      <c r="N3724" s="166"/>
    </row>
    <row r="3725" spans="1:14">
      <c r="A3725" s="166"/>
      <c r="H3725" s="1"/>
      <c r="N3725" s="166"/>
    </row>
    <row r="3726" spans="1:14">
      <c r="A3726" s="166"/>
      <c r="H3726" s="1"/>
      <c r="N3726" s="166"/>
    </row>
    <row r="3727" spans="1:14">
      <c r="A3727" s="166"/>
      <c r="H3727" s="1"/>
      <c r="N3727" s="166"/>
    </row>
    <row r="3728" spans="1:14">
      <c r="A3728" s="166"/>
      <c r="H3728" s="1"/>
      <c r="N3728" s="166"/>
    </row>
    <row r="3729" spans="1:14">
      <c r="A3729" s="166"/>
      <c r="H3729" s="1"/>
      <c r="N3729" s="166"/>
    </row>
    <row r="3730" spans="1:14">
      <c r="A3730" s="166"/>
      <c r="H3730" s="1"/>
      <c r="N3730" s="166"/>
    </row>
    <row r="3731" spans="1:14">
      <c r="A3731" s="166"/>
      <c r="H3731" s="1"/>
      <c r="N3731" s="166"/>
    </row>
    <row r="3732" spans="1:14">
      <c r="A3732" s="166"/>
      <c r="H3732" s="1"/>
      <c r="N3732" s="166"/>
    </row>
    <row r="3733" spans="1:14">
      <c r="A3733" s="166"/>
      <c r="H3733" s="1"/>
      <c r="N3733" s="166"/>
    </row>
    <row r="3734" spans="1:14">
      <c r="A3734" s="166"/>
      <c r="H3734" s="1"/>
      <c r="N3734" s="166"/>
    </row>
    <row r="3735" spans="1:14">
      <c r="A3735" s="166"/>
      <c r="H3735" s="1"/>
      <c r="N3735" s="166"/>
    </row>
    <row r="3736" spans="1:14">
      <c r="A3736" s="166"/>
      <c r="H3736" s="1"/>
      <c r="N3736" s="166"/>
    </row>
    <row r="3737" spans="1:14">
      <c r="A3737" s="166"/>
      <c r="H3737" s="1"/>
      <c r="N3737" s="166"/>
    </row>
    <row r="3738" spans="1:14">
      <c r="A3738" s="166"/>
      <c r="H3738" s="1"/>
      <c r="N3738" s="166"/>
    </row>
    <row r="3739" spans="1:14">
      <c r="A3739" s="166"/>
      <c r="H3739" s="1"/>
      <c r="N3739" s="166"/>
    </row>
    <row r="3740" spans="1:14">
      <c r="A3740" s="166"/>
      <c r="H3740" s="1"/>
      <c r="N3740" s="166"/>
    </row>
    <row r="3741" spans="1:14">
      <c r="A3741" s="166"/>
      <c r="H3741" s="1"/>
      <c r="N3741" s="166"/>
    </row>
    <row r="3742" spans="1:14">
      <c r="A3742" s="166"/>
      <c r="H3742" s="1"/>
      <c r="N3742" s="166"/>
    </row>
    <row r="3743" spans="1:14">
      <c r="A3743" s="166"/>
      <c r="H3743" s="1"/>
      <c r="N3743" s="166"/>
    </row>
    <row r="3744" spans="1:14">
      <c r="A3744" s="166"/>
      <c r="H3744" s="1"/>
      <c r="N3744" s="166"/>
    </row>
    <row r="3745" spans="1:14">
      <c r="A3745" s="166"/>
      <c r="H3745" s="1"/>
      <c r="N3745" s="166"/>
    </row>
    <row r="3746" spans="1:14">
      <c r="A3746" s="166"/>
      <c r="H3746" s="1"/>
      <c r="N3746" s="166"/>
    </row>
    <row r="3747" spans="1:14">
      <c r="A3747" s="166"/>
      <c r="H3747" s="1"/>
      <c r="N3747" s="166"/>
    </row>
    <row r="3748" spans="1:14">
      <c r="A3748" s="166"/>
      <c r="H3748" s="1"/>
      <c r="N3748" s="166"/>
    </row>
    <row r="3749" spans="1:14">
      <c r="A3749" s="166"/>
      <c r="H3749" s="1"/>
      <c r="N3749" s="166"/>
    </row>
    <row r="3750" spans="1:14">
      <c r="A3750" s="166"/>
      <c r="H3750" s="1"/>
      <c r="N3750" s="166"/>
    </row>
    <row r="3751" spans="1:14">
      <c r="A3751" s="166"/>
      <c r="H3751" s="1"/>
      <c r="N3751" s="166"/>
    </row>
    <row r="3752" spans="1:14">
      <c r="A3752" s="166"/>
      <c r="H3752" s="1"/>
      <c r="N3752" s="166"/>
    </row>
    <row r="3753" spans="1:14">
      <c r="A3753" s="166"/>
      <c r="H3753" s="1"/>
      <c r="N3753" s="166"/>
    </row>
    <row r="3754" spans="1:14">
      <c r="A3754" s="166"/>
      <c r="H3754" s="1"/>
      <c r="N3754" s="166"/>
    </row>
    <row r="3755" spans="1:14">
      <c r="A3755" s="166"/>
      <c r="H3755" s="1"/>
      <c r="N3755" s="166"/>
    </row>
    <row r="3756" spans="1:14">
      <c r="A3756" s="166"/>
      <c r="H3756" s="1"/>
      <c r="N3756" s="166"/>
    </row>
    <row r="3757" spans="1:14">
      <c r="A3757" s="166"/>
      <c r="H3757" s="1"/>
      <c r="N3757" s="166"/>
    </row>
    <row r="3758" spans="1:14">
      <c r="A3758" s="166"/>
      <c r="H3758" s="1"/>
      <c r="N3758" s="166"/>
    </row>
    <row r="3759" spans="1:14">
      <c r="A3759" s="166"/>
      <c r="H3759" s="1"/>
      <c r="N3759" s="166"/>
    </row>
    <row r="3760" spans="1:14">
      <c r="A3760" s="166"/>
      <c r="H3760" s="1"/>
      <c r="N3760" s="166"/>
    </row>
    <row r="3761" spans="1:14">
      <c r="A3761" s="166"/>
      <c r="H3761" s="1"/>
      <c r="N3761" s="166"/>
    </row>
    <row r="3762" spans="1:14">
      <c r="A3762" s="166"/>
      <c r="H3762" s="1"/>
      <c r="N3762" s="166"/>
    </row>
    <row r="3763" spans="1:14">
      <c r="A3763" s="166"/>
      <c r="H3763" s="1"/>
      <c r="N3763" s="166"/>
    </row>
    <row r="3764" spans="1:14">
      <c r="A3764" s="166"/>
      <c r="H3764" s="1"/>
      <c r="N3764" s="166"/>
    </row>
    <row r="3765" spans="1:14">
      <c r="A3765" s="166"/>
      <c r="H3765" s="1"/>
      <c r="N3765" s="166"/>
    </row>
    <row r="3766" spans="1:14">
      <c r="A3766" s="166"/>
      <c r="H3766" s="1"/>
      <c r="N3766" s="166"/>
    </row>
    <row r="3767" spans="1:14">
      <c r="A3767" s="166"/>
      <c r="H3767" s="1"/>
      <c r="N3767" s="166"/>
    </row>
    <row r="3768" spans="1:14">
      <c r="A3768" s="166"/>
      <c r="H3768" s="1"/>
      <c r="N3768" s="166"/>
    </row>
    <row r="3769" spans="1:14">
      <c r="A3769" s="166"/>
      <c r="H3769" s="1"/>
      <c r="N3769" s="166"/>
    </row>
    <row r="3770" spans="1:14">
      <c r="A3770" s="166"/>
      <c r="H3770" s="1"/>
      <c r="N3770" s="166"/>
    </row>
    <row r="3771" spans="1:14">
      <c r="A3771" s="166"/>
      <c r="H3771" s="1"/>
      <c r="N3771" s="166"/>
    </row>
    <row r="3772" spans="1:14">
      <c r="A3772" s="166"/>
      <c r="H3772" s="1"/>
      <c r="N3772" s="166"/>
    </row>
    <row r="3773" spans="1:14">
      <c r="A3773" s="166"/>
      <c r="H3773" s="1"/>
      <c r="N3773" s="166"/>
    </row>
    <row r="3774" spans="1:14">
      <c r="A3774" s="166"/>
      <c r="H3774" s="1"/>
      <c r="N3774" s="166"/>
    </row>
    <row r="3775" spans="1:14">
      <c r="A3775" s="166"/>
      <c r="H3775" s="1"/>
      <c r="N3775" s="166"/>
    </row>
    <row r="3776" spans="1:14">
      <c r="A3776" s="166"/>
      <c r="H3776" s="1"/>
      <c r="N3776" s="166"/>
    </row>
    <row r="3777" spans="1:14">
      <c r="A3777" s="166"/>
      <c r="H3777" s="1"/>
      <c r="N3777" s="166"/>
    </row>
    <row r="3778" spans="1:14">
      <c r="A3778" s="166"/>
      <c r="H3778" s="1"/>
      <c r="N3778" s="166"/>
    </row>
    <row r="3779" spans="1:14">
      <c r="A3779" s="166"/>
      <c r="H3779" s="1"/>
      <c r="N3779" s="166"/>
    </row>
    <row r="3780" spans="1:14">
      <c r="A3780" s="166"/>
      <c r="H3780" s="1"/>
      <c r="N3780" s="166"/>
    </row>
    <row r="3781" spans="1:14">
      <c r="A3781" s="166"/>
      <c r="H3781" s="1"/>
      <c r="N3781" s="166"/>
    </row>
    <row r="3782" spans="1:14">
      <c r="A3782" s="166"/>
      <c r="H3782" s="1"/>
      <c r="N3782" s="166"/>
    </row>
    <row r="3783" spans="1:14">
      <c r="A3783" s="166"/>
      <c r="H3783" s="1"/>
      <c r="N3783" s="166"/>
    </row>
    <row r="3784" spans="1:14">
      <c r="A3784" s="166"/>
      <c r="H3784" s="1"/>
      <c r="N3784" s="166"/>
    </row>
    <row r="3785" spans="1:14">
      <c r="A3785" s="166"/>
      <c r="H3785" s="1"/>
      <c r="N3785" s="166"/>
    </row>
    <row r="3786" spans="1:14">
      <c r="A3786" s="166"/>
      <c r="H3786" s="1"/>
      <c r="N3786" s="166"/>
    </row>
    <row r="3787" spans="1:14">
      <c r="A3787" s="166"/>
      <c r="H3787" s="1"/>
      <c r="N3787" s="166"/>
    </row>
    <row r="3788" spans="1:14">
      <c r="A3788" s="166"/>
      <c r="H3788" s="1"/>
      <c r="N3788" s="166"/>
    </row>
    <row r="3789" spans="1:14">
      <c r="A3789" s="166"/>
      <c r="H3789" s="1"/>
      <c r="N3789" s="166"/>
    </row>
    <row r="3790" spans="1:14">
      <c r="A3790" s="166"/>
      <c r="H3790" s="1"/>
      <c r="N3790" s="166"/>
    </row>
    <row r="3791" spans="1:14">
      <c r="A3791" s="166"/>
      <c r="H3791" s="1"/>
      <c r="N3791" s="166"/>
    </row>
    <row r="3792" spans="1:14">
      <c r="A3792" s="166"/>
      <c r="H3792" s="1"/>
      <c r="N3792" s="166"/>
    </row>
    <row r="3793" spans="1:14">
      <c r="A3793" s="166"/>
      <c r="H3793" s="1"/>
      <c r="N3793" s="166"/>
    </row>
    <row r="3794" spans="1:14">
      <c r="A3794" s="166"/>
      <c r="H3794" s="1"/>
      <c r="N3794" s="166"/>
    </row>
    <row r="3795" spans="1:14">
      <c r="A3795" s="166"/>
      <c r="H3795" s="1"/>
      <c r="N3795" s="166"/>
    </row>
    <row r="3796" spans="1:14">
      <c r="A3796" s="166"/>
      <c r="H3796" s="1"/>
      <c r="N3796" s="166"/>
    </row>
    <row r="3797" spans="1:14">
      <c r="A3797" s="166"/>
      <c r="H3797" s="1"/>
      <c r="N3797" s="166"/>
    </row>
    <row r="3798" spans="1:14">
      <c r="A3798" s="166"/>
      <c r="H3798" s="1"/>
      <c r="N3798" s="166"/>
    </row>
    <row r="3799" spans="1:14">
      <c r="A3799" s="166"/>
      <c r="H3799" s="1"/>
      <c r="N3799" s="166"/>
    </row>
    <row r="3800" spans="1:14">
      <c r="A3800" s="166"/>
      <c r="H3800" s="1"/>
      <c r="N3800" s="166"/>
    </row>
    <row r="3801" spans="1:14">
      <c r="A3801" s="166"/>
      <c r="H3801" s="1"/>
      <c r="N3801" s="166"/>
    </row>
    <row r="3802" spans="1:14">
      <c r="A3802" s="166"/>
      <c r="H3802" s="1"/>
      <c r="N3802" s="166"/>
    </row>
    <row r="3803" spans="1:14">
      <c r="A3803" s="166"/>
      <c r="H3803" s="1"/>
      <c r="N3803" s="166"/>
    </row>
    <row r="3804" spans="1:14">
      <c r="A3804" s="166"/>
      <c r="H3804" s="1"/>
      <c r="N3804" s="166"/>
    </row>
    <row r="3805" spans="1:14">
      <c r="A3805" s="166"/>
      <c r="H3805" s="1"/>
      <c r="N3805" s="166"/>
    </row>
    <row r="3806" spans="1:14">
      <c r="A3806" s="166"/>
      <c r="H3806" s="1"/>
      <c r="N3806" s="166"/>
    </row>
    <row r="3807" spans="1:14">
      <c r="A3807" s="166"/>
      <c r="H3807" s="1"/>
      <c r="N3807" s="166"/>
    </row>
    <row r="3808" spans="1:14">
      <c r="A3808" s="166"/>
      <c r="H3808" s="1"/>
      <c r="N3808" s="166"/>
    </row>
    <row r="3809" spans="1:14">
      <c r="A3809" s="166"/>
      <c r="H3809" s="1"/>
      <c r="N3809" s="166"/>
    </row>
    <row r="3810" spans="1:14">
      <c r="A3810" s="166"/>
      <c r="H3810" s="1"/>
      <c r="N3810" s="166"/>
    </row>
    <row r="3811" spans="1:14">
      <c r="A3811" s="166"/>
      <c r="H3811" s="1"/>
      <c r="N3811" s="166"/>
    </row>
    <row r="3812" spans="1:14">
      <c r="A3812" s="166"/>
      <c r="H3812" s="1"/>
      <c r="N3812" s="166"/>
    </row>
    <row r="3813" spans="1:14">
      <c r="A3813" s="166"/>
      <c r="H3813" s="1"/>
      <c r="N3813" s="166"/>
    </row>
    <row r="3814" spans="1:14">
      <c r="A3814" s="166"/>
      <c r="H3814" s="1"/>
      <c r="N3814" s="166"/>
    </row>
    <row r="3815" spans="1:14">
      <c r="A3815" s="166"/>
      <c r="H3815" s="1"/>
      <c r="N3815" s="166"/>
    </row>
    <row r="3816" spans="1:14">
      <c r="A3816" s="166"/>
      <c r="H3816" s="1"/>
      <c r="N3816" s="166"/>
    </row>
    <row r="3817" spans="1:14">
      <c r="A3817" s="166"/>
      <c r="H3817" s="1"/>
      <c r="N3817" s="166"/>
    </row>
    <row r="3818" spans="1:14">
      <c r="A3818" s="166"/>
      <c r="H3818" s="1"/>
      <c r="N3818" s="166"/>
    </row>
    <row r="3819" spans="1:14">
      <c r="A3819" s="166"/>
      <c r="H3819" s="1"/>
      <c r="N3819" s="166"/>
    </row>
    <row r="3820" spans="1:14">
      <c r="A3820" s="166"/>
      <c r="H3820" s="1"/>
      <c r="N3820" s="166"/>
    </row>
    <row r="3821" spans="1:14">
      <c r="A3821" s="166"/>
      <c r="H3821" s="1"/>
      <c r="N3821" s="166"/>
    </row>
    <row r="3822" spans="1:14">
      <c r="A3822" s="166"/>
      <c r="H3822" s="1"/>
      <c r="N3822" s="166"/>
    </row>
    <row r="3823" spans="1:14">
      <c r="A3823" s="166"/>
      <c r="H3823" s="1"/>
      <c r="N3823" s="166"/>
    </row>
    <row r="3824" spans="1:14">
      <c r="A3824" s="166"/>
      <c r="H3824" s="1"/>
      <c r="N3824" s="166"/>
    </row>
    <row r="3825" spans="1:14">
      <c r="A3825" s="166"/>
      <c r="H3825" s="1"/>
      <c r="N3825" s="166"/>
    </row>
    <row r="3826" spans="1:14">
      <c r="A3826" s="166"/>
      <c r="H3826" s="1"/>
      <c r="N3826" s="166"/>
    </row>
    <row r="3827" spans="1:14">
      <c r="A3827" s="166"/>
      <c r="H3827" s="1"/>
      <c r="N3827" s="166"/>
    </row>
    <row r="3828" spans="1:14">
      <c r="A3828" s="166"/>
      <c r="H3828" s="1"/>
      <c r="N3828" s="166"/>
    </row>
    <row r="3829" spans="1:14">
      <c r="A3829" s="166"/>
      <c r="H3829" s="1"/>
      <c r="N3829" s="166"/>
    </row>
    <row r="3830" spans="1:14">
      <c r="A3830" s="166"/>
      <c r="H3830" s="1"/>
      <c r="N3830" s="166"/>
    </row>
    <row r="3831" spans="1:14">
      <c r="A3831" s="166"/>
      <c r="H3831" s="1"/>
      <c r="N3831" s="166"/>
    </row>
    <row r="3832" spans="1:14">
      <c r="A3832" s="166"/>
      <c r="H3832" s="1"/>
      <c r="N3832" s="166"/>
    </row>
    <row r="3833" spans="1:14">
      <c r="A3833" s="166"/>
      <c r="H3833" s="1"/>
      <c r="N3833" s="166"/>
    </row>
    <row r="3834" spans="1:14">
      <c r="A3834" s="166"/>
      <c r="H3834" s="1"/>
      <c r="N3834" s="166"/>
    </row>
    <row r="3835" spans="1:14">
      <c r="A3835" s="166"/>
      <c r="H3835" s="1"/>
      <c r="N3835" s="166"/>
    </row>
    <row r="3836" spans="1:14">
      <c r="A3836" s="166"/>
      <c r="H3836" s="1"/>
      <c r="N3836" s="166"/>
    </row>
    <row r="3837" spans="1:14">
      <c r="A3837" s="166"/>
      <c r="H3837" s="1"/>
      <c r="N3837" s="166"/>
    </row>
    <row r="3838" spans="1:14">
      <c r="A3838" s="166"/>
      <c r="H3838" s="1"/>
      <c r="N3838" s="166"/>
    </row>
    <row r="3839" spans="1:14">
      <c r="A3839" s="166"/>
      <c r="H3839" s="1"/>
      <c r="N3839" s="166"/>
    </row>
    <row r="3840" spans="1:14">
      <c r="A3840" s="166"/>
      <c r="H3840" s="1"/>
      <c r="N3840" s="166"/>
    </row>
    <row r="3841" spans="1:14">
      <c r="A3841" s="166"/>
      <c r="H3841" s="1"/>
      <c r="N3841" s="166"/>
    </row>
    <row r="3842" spans="1:14">
      <c r="A3842" s="166"/>
      <c r="H3842" s="1"/>
      <c r="N3842" s="166"/>
    </row>
    <row r="3843" spans="1:14">
      <c r="A3843" s="166"/>
      <c r="H3843" s="1"/>
      <c r="N3843" s="166"/>
    </row>
    <row r="3844" spans="1:14">
      <c r="A3844" s="166"/>
      <c r="H3844" s="1"/>
      <c r="N3844" s="166"/>
    </row>
    <row r="3845" spans="1:14">
      <c r="A3845" s="166"/>
      <c r="H3845" s="1"/>
      <c r="N3845" s="166"/>
    </row>
    <row r="3846" spans="1:14">
      <c r="A3846" s="166"/>
      <c r="H3846" s="1"/>
      <c r="N3846" s="166"/>
    </row>
    <row r="3847" spans="1:14">
      <c r="A3847" s="166"/>
      <c r="H3847" s="1"/>
      <c r="N3847" s="166"/>
    </row>
    <row r="3848" spans="1:14">
      <c r="A3848" s="166"/>
      <c r="H3848" s="1"/>
      <c r="N3848" s="166"/>
    </row>
    <row r="3849" spans="1:14">
      <c r="A3849" s="166"/>
      <c r="H3849" s="1"/>
      <c r="N3849" s="166"/>
    </row>
    <row r="3850" spans="1:14">
      <c r="A3850" s="166"/>
      <c r="H3850" s="1"/>
      <c r="N3850" s="166"/>
    </row>
    <row r="3851" spans="1:14">
      <c r="A3851" s="166"/>
      <c r="H3851" s="1"/>
      <c r="N3851" s="166"/>
    </row>
    <row r="3852" spans="1:14">
      <c r="A3852" s="166"/>
      <c r="H3852" s="1"/>
      <c r="N3852" s="166"/>
    </row>
    <row r="3853" spans="1:14">
      <c r="A3853" s="166"/>
      <c r="H3853" s="1"/>
      <c r="N3853" s="166"/>
    </row>
    <row r="3854" spans="1:14">
      <c r="A3854" s="166"/>
      <c r="H3854" s="1"/>
      <c r="N3854" s="166"/>
    </row>
    <row r="3855" spans="1:14">
      <c r="A3855" s="166"/>
      <c r="H3855" s="1"/>
      <c r="N3855" s="166"/>
    </row>
    <row r="3856" spans="1:14">
      <c r="A3856" s="166"/>
      <c r="H3856" s="1"/>
      <c r="N3856" s="166"/>
    </row>
    <row r="3857" spans="1:14">
      <c r="A3857" s="166"/>
      <c r="H3857" s="1"/>
      <c r="N3857" s="166"/>
    </row>
    <row r="3858" spans="1:14">
      <c r="A3858" s="166"/>
      <c r="H3858" s="1"/>
      <c r="N3858" s="166"/>
    </row>
    <row r="3859" spans="1:14">
      <c r="A3859" s="166"/>
      <c r="H3859" s="1"/>
      <c r="N3859" s="166"/>
    </row>
    <row r="3860" spans="1:14">
      <c r="A3860" s="166"/>
      <c r="H3860" s="1"/>
      <c r="N3860" s="166"/>
    </row>
    <row r="3861" spans="1:14">
      <c r="A3861" s="166"/>
      <c r="H3861" s="1"/>
      <c r="N3861" s="166"/>
    </row>
    <row r="3862" spans="1:14">
      <c r="A3862" s="166"/>
      <c r="H3862" s="1"/>
      <c r="N3862" s="166"/>
    </row>
    <row r="3863" spans="1:14">
      <c r="A3863" s="166"/>
      <c r="H3863" s="1"/>
      <c r="N3863" s="166"/>
    </row>
    <row r="3864" spans="1:14">
      <c r="A3864" s="166"/>
      <c r="H3864" s="1"/>
      <c r="N3864" s="166"/>
    </row>
    <row r="3865" spans="1:14">
      <c r="A3865" s="166"/>
      <c r="H3865" s="1"/>
      <c r="N3865" s="166"/>
    </row>
    <row r="3866" spans="1:14">
      <c r="A3866" s="166"/>
      <c r="H3866" s="1"/>
      <c r="N3866" s="166"/>
    </row>
    <row r="3867" spans="1:14">
      <c r="A3867" s="166"/>
      <c r="H3867" s="1"/>
      <c r="N3867" s="166"/>
    </row>
    <row r="3868" spans="1:14">
      <c r="A3868" s="166"/>
      <c r="H3868" s="1"/>
      <c r="N3868" s="166"/>
    </row>
    <row r="3869" spans="1:14">
      <c r="A3869" s="166"/>
      <c r="H3869" s="1"/>
      <c r="N3869" s="166"/>
    </row>
    <row r="3870" spans="1:14">
      <c r="A3870" s="166"/>
      <c r="H3870" s="1"/>
      <c r="N3870" s="166"/>
    </row>
    <row r="3871" spans="1:14">
      <c r="A3871" s="166"/>
      <c r="H3871" s="1"/>
      <c r="N3871" s="166"/>
    </row>
    <row r="3872" spans="1:14">
      <c r="A3872" s="166"/>
      <c r="H3872" s="1"/>
      <c r="N3872" s="166"/>
    </row>
    <row r="3873" spans="1:14">
      <c r="A3873" s="166"/>
      <c r="H3873" s="1"/>
      <c r="N3873" s="166"/>
    </row>
    <row r="3874" spans="1:14">
      <c r="A3874" s="166"/>
      <c r="H3874" s="1"/>
      <c r="N3874" s="166"/>
    </row>
    <row r="3875" spans="1:14">
      <c r="A3875" s="166"/>
      <c r="H3875" s="1"/>
      <c r="N3875" s="166"/>
    </row>
    <row r="3876" spans="1:14">
      <c r="A3876" s="166"/>
      <c r="H3876" s="1"/>
      <c r="N3876" s="166"/>
    </row>
    <row r="3877" spans="1:14">
      <c r="A3877" s="166"/>
      <c r="H3877" s="1"/>
      <c r="N3877" s="166"/>
    </row>
    <row r="3878" spans="1:14">
      <c r="A3878" s="166"/>
      <c r="H3878" s="1"/>
      <c r="N3878" s="166"/>
    </row>
    <row r="3879" spans="1:14">
      <c r="A3879" s="166"/>
      <c r="H3879" s="1"/>
      <c r="N3879" s="166"/>
    </row>
    <row r="3880" spans="1:14">
      <c r="A3880" s="166"/>
      <c r="H3880" s="1"/>
      <c r="N3880" s="166"/>
    </row>
    <row r="3881" spans="1:14">
      <c r="A3881" s="166"/>
      <c r="H3881" s="1"/>
      <c r="N3881" s="166"/>
    </row>
    <row r="3882" spans="1:14">
      <c r="A3882" s="166"/>
      <c r="H3882" s="1"/>
      <c r="N3882" s="166"/>
    </row>
    <row r="3883" spans="1:14">
      <c r="A3883" s="166"/>
      <c r="H3883" s="1"/>
      <c r="N3883" s="166"/>
    </row>
    <row r="3884" spans="1:14">
      <c r="A3884" s="166"/>
      <c r="H3884" s="1"/>
      <c r="N3884" s="166"/>
    </row>
    <row r="3885" spans="1:14">
      <c r="A3885" s="166"/>
      <c r="H3885" s="1"/>
      <c r="N3885" s="166"/>
    </row>
    <row r="3886" spans="1:14">
      <c r="A3886" s="166"/>
      <c r="H3886" s="1"/>
      <c r="N3886" s="166"/>
    </row>
    <row r="3887" spans="1:14">
      <c r="A3887" s="166"/>
      <c r="H3887" s="1"/>
      <c r="N3887" s="166"/>
    </row>
    <row r="3888" spans="1:14">
      <c r="A3888" s="166"/>
      <c r="H3888" s="1"/>
      <c r="N3888" s="166"/>
    </row>
    <row r="3889" spans="1:14">
      <c r="A3889" s="166"/>
      <c r="H3889" s="1"/>
      <c r="N3889" s="166"/>
    </row>
    <row r="3890" spans="1:14">
      <c r="A3890" s="166"/>
      <c r="H3890" s="1"/>
      <c r="N3890" s="166"/>
    </row>
    <row r="3891" spans="1:14">
      <c r="A3891" s="166"/>
      <c r="H3891" s="1"/>
      <c r="N3891" s="166"/>
    </row>
    <row r="3892" spans="1:14">
      <c r="A3892" s="166"/>
      <c r="H3892" s="1"/>
      <c r="N3892" s="166"/>
    </row>
    <row r="3893" spans="1:14">
      <c r="A3893" s="166"/>
      <c r="H3893" s="1"/>
      <c r="N3893" s="166"/>
    </row>
    <row r="3894" spans="1:14">
      <c r="A3894" s="166"/>
      <c r="H3894" s="1"/>
      <c r="N3894" s="166"/>
    </row>
    <row r="3895" spans="1:14">
      <c r="A3895" s="166"/>
      <c r="H3895" s="1"/>
      <c r="N3895" s="166"/>
    </row>
    <row r="3896" spans="1:14">
      <c r="A3896" s="166"/>
      <c r="H3896" s="1"/>
      <c r="N3896" s="166"/>
    </row>
    <row r="3897" spans="1:14">
      <c r="A3897" s="166"/>
      <c r="H3897" s="1"/>
      <c r="N3897" s="166"/>
    </row>
    <row r="3898" spans="1:14">
      <c r="A3898" s="166"/>
      <c r="H3898" s="1"/>
      <c r="N3898" s="166"/>
    </row>
    <row r="3899" spans="1:14">
      <c r="A3899" s="166"/>
      <c r="H3899" s="1"/>
      <c r="N3899" s="166"/>
    </row>
    <row r="3900" spans="1:14">
      <c r="A3900" s="166"/>
      <c r="H3900" s="1"/>
      <c r="N3900" s="166"/>
    </row>
    <row r="3901" spans="1:14">
      <c r="A3901" s="166"/>
      <c r="H3901" s="1"/>
      <c r="N3901" s="166"/>
    </row>
    <row r="3902" spans="1:14">
      <c r="A3902" s="166"/>
      <c r="H3902" s="1"/>
      <c r="N3902" s="166"/>
    </row>
    <row r="3903" spans="1:14">
      <c r="A3903" s="166"/>
      <c r="H3903" s="1"/>
      <c r="N3903" s="166"/>
    </row>
    <row r="3904" spans="1:14">
      <c r="A3904" s="166"/>
      <c r="H3904" s="1"/>
      <c r="N3904" s="166"/>
    </row>
    <row r="3905" spans="1:14">
      <c r="A3905" s="166"/>
      <c r="H3905" s="1"/>
      <c r="N3905" s="166"/>
    </row>
    <row r="3906" spans="1:14">
      <c r="A3906" s="166"/>
      <c r="H3906" s="1"/>
      <c r="N3906" s="166"/>
    </row>
    <row r="3907" spans="1:14">
      <c r="A3907" s="166"/>
      <c r="H3907" s="1"/>
      <c r="N3907" s="166"/>
    </row>
    <row r="3908" spans="1:14">
      <c r="A3908" s="166"/>
      <c r="H3908" s="1"/>
      <c r="N3908" s="166"/>
    </row>
    <row r="3909" spans="1:14">
      <c r="A3909" s="166"/>
      <c r="H3909" s="1"/>
      <c r="N3909" s="166"/>
    </row>
    <row r="3910" spans="1:14">
      <c r="A3910" s="166"/>
      <c r="H3910" s="1"/>
      <c r="N3910" s="166"/>
    </row>
    <row r="3911" spans="1:14">
      <c r="A3911" s="166"/>
      <c r="H3911" s="1"/>
      <c r="N3911" s="166"/>
    </row>
    <row r="3912" spans="1:14">
      <c r="A3912" s="166"/>
      <c r="H3912" s="1"/>
      <c r="N3912" s="166"/>
    </row>
    <row r="3913" spans="1:14">
      <c r="A3913" s="166"/>
      <c r="H3913" s="1"/>
      <c r="N3913" s="166"/>
    </row>
    <row r="3914" spans="1:14">
      <c r="A3914" s="166"/>
      <c r="H3914" s="1"/>
      <c r="N3914" s="166"/>
    </row>
    <row r="3915" spans="1:14">
      <c r="A3915" s="166"/>
      <c r="H3915" s="1"/>
      <c r="N3915" s="166"/>
    </row>
    <row r="3916" spans="1:14">
      <c r="A3916" s="166"/>
      <c r="H3916" s="1"/>
      <c r="N3916" s="166"/>
    </row>
    <row r="3917" spans="1:14">
      <c r="A3917" s="166"/>
      <c r="H3917" s="1"/>
      <c r="N3917" s="166"/>
    </row>
    <row r="3918" spans="1:14">
      <c r="A3918" s="166"/>
      <c r="H3918" s="1"/>
      <c r="N3918" s="166"/>
    </row>
    <row r="3919" spans="1:14">
      <c r="A3919" s="166"/>
      <c r="H3919" s="1"/>
      <c r="N3919" s="166"/>
    </row>
    <row r="3920" spans="1:14">
      <c r="A3920" s="166"/>
      <c r="H3920" s="1"/>
      <c r="N3920" s="166"/>
    </row>
    <row r="3921" spans="1:14">
      <c r="A3921" s="166"/>
      <c r="H3921" s="1"/>
      <c r="N3921" s="166"/>
    </row>
    <row r="3922" spans="1:14">
      <c r="A3922" s="166"/>
      <c r="H3922" s="1"/>
      <c r="N3922" s="166"/>
    </row>
    <row r="3923" spans="1:14">
      <c r="A3923" s="166"/>
      <c r="H3923" s="1"/>
      <c r="N3923" s="166"/>
    </row>
    <row r="3924" spans="1:14">
      <c r="A3924" s="166"/>
      <c r="H3924" s="1"/>
      <c r="N3924" s="166"/>
    </row>
    <row r="3925" spans="1:14">
      <c r="A3925" s="166"/>
      <c r="H3925" s="1"/>
      <c r="N3925" s="166"/>
    </row>
    <row r="3926" spans="1:14">
      <c r="A3926" s="166"/>
      <c r="H3926" s="1"/>
      <c r="N3926" s="166"/>
    </row>
    <row r="3927" spans="1:14">
      <c r="A3927" s="166"/>
      <c r="H3927" s="1"/>
      <c r="N3927" s="166"/>
    </row>
    <row r="3928" spans="1:14">
      <c r="A3928" s="166"/>
      <c r="H3928" s="1"/>
      <c r="N3928" s="166"/>
    </row>
    <row r="3929" spans="1:14">
      <c r="A3929" s="166"/>
      <c r="H3929" s="1"/>
      <c r="N3929" s="166"/>
    </row>
    <row r="3930" spans="1:14">
      <c r="A3930" s="166"/>
      <c r="H3930" s="1"/>
      <c r="N3930" s="166"/>
    </row>
    <row r="3931" spans="1:14">
      <c r="A3931" s="166"/>
      <c r="H3931" s="1"/>
      <c r="N3931" s="166"/>
    </row>
    <row r="3932" spans="1:14">
      <c r="A3932" s="166"/>
      <c r="H3932" s="1"/>
      <c r="N3932" s="166"/>
    </row>
    <row r="3933" spans="1:14">
      <c r="A3933" s="166"/>
      <c r="H3933" s="1"/>
      <c r="N3933" s="166"/>
    </row>
    <row r="3934" spans="1:14">
      <c r="A3934" s="166"/>
      <c r="H3934" s="1"/>
      <c r="N3934" s="166"/>
    </row>
    <row r="3935" spans="1:14">
      <c r="A3935" s="166"/>
      <c r="H3935" s="1"/>
      <c r="N3935" s="166"/>
    </row>
    <row r="3936" spans="1:14">
      <c r="A3936" s="166"/>
      <c r="H3936" s="1"/>
      <c r="N3936" s="166"/>
    </row>
    <row r="3937" spans="1:14">
      <c r="A3937" s="166"/>
      <c r="H3937" s="1"/>
      <c r="N3937" s="166"/>
    </row>
    <row r="3938" spans="1:14">
      <c r="A3938" s="166"/>
      <c r="H3938" s="1"/>
      <c r="N3938" s="166"/>
    </row>
    <row r="3939" spans="1:14">
      <c r="A3939" s="166"/>
      <c r="H3939" s="1"/>
      <c r="N3939" s="166"/>
    </row>
    <row r="3940" spans="1:14">
      <c r="A3940" s="166"/>
      <c r="H3940" s="1"/>
      <c r="N3940" s="166"/>
    </row>
    <row r="3941" spans="1:14">
      <c r="A3941" s="166"/>
      <c r="H3941" s="1"/>
      <c r="N3941" s="166"/>
    </row>
    <row r="3942" spans="1:14">
      <c r="A3942" s="166"/>
      <c r="H3942" s="1"/>
      <c r="N3942" s="166"/>
    </row>
    <row r="3943" spans="1:14">
      <c r="A3943" s="166"/>
      <c r="H3943" s="1"/>
      <c r="N3943" s="166"/>
    </row>
    <row r="3944" spans="1:14">
      <c r="A3944" s="166"/>
      <c r="H3944" s="1"/>
      <c r="N3944" s="166"/>
    </row>
    <row r="3945" spans="1:14">
      <c r="A3945" s="166"/>
      <c r="H3945" s="1"/>
      <c r="N3945" s="166"/>
    </row>
    <row r="3946" spans="1:14">
      <c r="A3946" s="166"/>
      <c r="H3946" s="1"/>
      <c r="N3946" s="166"/>
    </row>
    <row r="3947" spans="1:14">
      <c r="A3947" s="166"/>
      <c r="H3947" s="1"/>
      <c r="N3947" s="166"/>
    </row>
    <row r="3948" spans="1:14">
      <c r="A3948" s="166"/>
      <c r="H3948" s="1"/>
      <c r="N3948" s="166"/>
    </row>
    <row r="3949" spans="1:14">
      <c r="A3949" s="166"/>
      <c r="H3949" s="1"/>
      <c r="N3949" s="166"/>
    </row>
    <row r="3950" spans="1:14">
      <c r="A3950" s="166"/>
      <c r="H3950" s="1"/>
      <c r="N3950" s="166"/>
    </row>
    <row r="3951" spans="1:14">
      <c r="A3951" s="166"/>
      <c r="H3951" s="1"/>
      <c r="N3951" s="166"/>
    </row>
    <row r="3952" spans="1:14">
      <c r="A3952" s="166"/>
      <c r="H3952" s="1"/>
      <c r="N3952" s="166"/>
    </row>
    <row r="3953" spans="1:14">
      <c r="A3953" s="166"/>
      <c r="H3953" s="1"/>
      <c r="N3953" s="166"/>
    </row>
    <row r="3954" spans="1:14">
      <c r="A3954" s="166"/>
      <c r="H3954" s="1"/>
      <c r="N3954" s="166"/>
    </row>
    <row r="3955" spans="1:14">
      <c r="A3955" s="166"/>
      <c r="H3955" s="1"/>
      <c r="N3955" s="166"/>
    </row>
    <row r="3956" spans="1:14">
      <c r="A3956" s="166"/>
      <c r="H3956" s="1"/>
      <c r="N3956" s="166"/>
    </row>
    <row r="3957" spans="1:14">
      <c r="A3957" s="166"/>
      <c r="H3957" s="1"/>
      <c r="N3957" s="166"/>
    </row>
    <row r="3958" spans="1:14">
      <c r="A3958" s="166"/>
      <c r="H3958" s="1"/>
      <c r="N3958" s="166"/>
    </row>
    <row r="3959" spans="1:14">
      <c r="A3959" s="166"/>
      <c r="H3959" s="1"/>
      <c r="N3959" s="166"/>
    </row>
    <row r="3960" spans="1:14">
      <c r="A3960" s="166"/>
      <c r="H3960" s="1"/>
      <c r="N3960" s="166"/>
    </row>
    <row r="3961" spans="1:14">
      <c r="A3961" s="166"/>
      <c r="H3961" s="1"/>
      <c r="N3961" s="166"/>
    </row>
    <row r="3962" spans="1:14">
      <c r="A3962" s="166"/>
      <c r="H3962" s="1"/>
      <c r="N3962" s="166"/>
    </row>
    <row r="3963" spans="1:14">
      <c r="A3963" s="166"/>
      <c r="H3963" s="1"/>
      <c r="N3963" s="166"/>
    </row>
    <row r="3964" spans="1:14">
      <c r="A3964" s="166"/>
      <c r="H3964" s="1"/>
      <c r="N3964" s="166"/>
    </row>
    <row r="3965" spans="1:14">
      <c r="A3965" s="166"/>
      <c r="H3965" s="1"/>
      <c r="N3965" s="166"/>
    </row>
    <row r="3966" spans="1:14">
      <c r="A3966" s="166"/>
      <c r="H3966" s="1"/>
      <c r="N3966" s="166"/>
    </row>
    <row r="3967" spans="1:14">
      <c r="A3967" s="166"/>
      <c r="H3967" s="1"/>
      <c r="N3967" s="166"/>
    </row>
    <row r="3968" spans="1:14">
      <c r="A3968" s="166"/>
      <c r="H3968" s="1"/>
      <c r="N3968" s="166"/>
    </row>
    <row r="3969" spans="1:14">
      <c r="A3969" s="166"/>
      <c r="H3969" s="1"/>
      <c r="N3969" s="166"/>
    </row>
    <row r="3970" spans="1:14">
      <c r="A3970" s="166"/>
      <c r="H3970" s="1"/>
      <c r="N3970" s="166"/>
    </row>
    <row r="3971" spans="1:14">
      <c r="A3971" s="166"/>
      <c r="H3971" s="1"/>
      <c r="N3971" s="166"/>
    </row>
    <row r="3972" spans="1:14">
      <c r="A3972" s="166"/>
      <c r="H3972" s="1"/>
      <c r="N3972" s="166"/>
    </row>
    <row r="3973" spans="1:14">
      <c r="A3973" s="166"/>
      <c r="H3973" s="1"/>
      <c r="N3973" s="166"/>
    </row>
    <row r="3974" spans="1:14">
      <c r="A3974" s="166"/>
      <c r="H3974" s="1"/>
      <c r="N3974" s="166"/>
    </row>
    <row r="3975" spans="1:14">
      <c r="A3975" s="166"/>
      <c r="H3975" s="1"/>
      <c r="N3975" s="166"/>
    </row>
    <row r="3976" spans="1:14">
      <c r="A3976" s="166"/>
      <c r="H3976" s="1"/>
      <c r="N3976" s="166"/>
    </row>
    <row r="3977" spans="1:14">
      <c r="A3977" s="166"/>
      <c r="H3977" s="1"/>
      <c r="N3977" s="166"/>
    </row>
    <row r="3978" spans="1:14">
      <c r="A3978" s="166"/>
      <c r="H3978" s="1"/>
      <c r="N3978" s="166"/>
    </row>
    <row r="3979" spans="1:14">
      <c r="A3979" s="166"/>
      <c r="H3979" s="1"/>
      <c r="N3979" s="166"/>
    </row>
    <row r="3980" spans="1:14">
      <c r="A3980" s="166"/>
      <c r="H3980" s="1"/>
      <c r="N3980" s="166"/>
    </row>
    <row r="3981" spans="1:14">
      <c r="A3981" s="166"/>
      <c r="H3981" s="1"/>
      <c r="N3981" s="166"/>
    </row>
    <row r="3982" spans="1:14">
      <c r="A3982" s="166"/>
      <c r="H3982" s="1"/>
      <c r="N3982" s="166"/>
    </row>
    <row r="3983" spans="1:14">
      <c r="A3983" s="166"/>
      <c r="H3983" s="1"/>
      <c r="N3983" s="166"/>
    </row>
    <row r="3984" spans="1:14">
      <c r="A3984" s="166"/>
      <c r="H3984" s="1"/>
      <c r="N3984" s="166"/>
    </row>
    <row r="3985" spans="1:14">
      <c r="A3985" s="166"/>
      <c r="H3985" s="1"/>
      <c r="N3985" s="166"/>
    </row>
    <row r="3986" spans="1:14">
      <c r="A3986" s="166"/>
      <c r="H3986" s="1"/>
      <c r="N3986" s="166"/>
    </row>
    <row r="3987" spans="1:14">
      <c r="A3987" s="166"/>
      <c r="H3987" s="1"/>
      <c r="N3987" s="166"/>
    </row>
    <row r="3988" spans="1:14">
      <c r="A3988" s="166"/>
      <c r="H3988" s="1"/>
      <c r="N3988" s="166"/>
    </row>
    <row r="3989" spans="1:14">
      <c r="A3989" s="166"/>
      <c r="H3989" s="1"/>
      <c r="N3989" s="166"/>
    </row>
    <row r="3990" spans="1:14">
      <c r="A3990" s="166"/>
      <c r="H3990" s="1"/>
      <c r="N3990" s="166"/>
    </row>
    <row r="3991" spans="1:14">
      <c r="A3991" s="166"/>
      <c r="H3991" s="1"/>
      <c r="N3991" s="166"/>
    </row>
    <row r="3992" spans="1:14">
      <c r="A3992" s="166"/>
      <c r="H3992" s="1"/>
      <c r="N3992" s="166"/>
    </row>
    <row r="3993" spans="1:14">
      <c r="A3993" s="166"/>
      <c r="H3993" s="1"/>
      <c r="N3993" s="166"/>
    </row>
    <row r="3994" spans="1:14">
      <c r="A3994" s="166"/>
      <c r="H3994" s="1"/>
      <c r="N3994" s="166"/>
    </row>
    <row r="3995" spans="1:14">
      <c r="A3995" s="166"/>
      <c r="H3995" s="1"/>
      <c r="N3995" s="166"/>
    </row>
    <row r="3996" spans="1:14">
      <c r="A3996" s="166"/>
      <c r="H3996" s="1"/>
      <c r="N3996" s="166"/>
    </row>
    <row r="3997" spans="1:14">
      <c r="A3997" s="166"/>
      <c r="H3997" s="1"/>
      <c r="N3997" s="166"/>
    </row>
    <row r="3998" spans="1:14">
      <c r="A3998" s="166"/>
      <c r="H3998" s="1"/>
      <c r="N3998" s="166"/>
    </row>
    <row r="3999" spans="1:14">
      <c r="A3999" s="166"/>
      <c r="H3999" s="1"/>
      <c r="N3999" s="166"/>
    </row>
    <row r="4000" spans="1:14">
      <c r="A4000" s="166"/>
      <c r="H4000" s="1"/>
      <c r="N4000" s="166"/>
    </row>
    <row r="4001" spans="1:14">
      <c r="A4001" s="166"/>
      <c r="H4001" s="1"/>
      <c r="N4001" s="166"/>
    </row>
    <row r="4002" spans="1:14">
      <c r="A4002" s="166"/>
      <c r="H4002" s="1"/>
      <c r="N4002" s="166"/>
    </row>
    <row r="4003" spans="1:14">
      <c r="A4003" s="166"/>
      <c r="H4003" s="1"/>
      <c r="N4003" s="166"/>
    </row>
    <row r="4004" spans="1:14">
      <c r="A4004" s="166"/>
      <c r="H4004" s="1"/>
      <c r="N4004" s="166"/>
    </row>
    <row r="4005" spans="1:14">
      <c r="A4005" s="166"/>
      <c r="H4005" s="1"/>
      <c r="N4005" s="166"/>
    </row>
    <row r="4006" spans="1:14">
      <c r="A4006" s="166"/>
      <c r="H4006" s="1"/>
      <c r="N4006" s="166"/>
    </row>
    <row r="4007" spans="1:14">
      <c r="A4007" s="166"/>
      <c r="H4007" s="1"/>
      <c r="N4007" s="166"/>
    </row>
    <row r="4008" spans="1:14">
      <c r="A4008" s="166"/>
      <c r="H4008" s="1"/>
      <c r="N4008" s="166"/>
    </row>
    <row r="4009" spans="1:14">
      <c r="A4009" s="166"/>
      <c r="H4009" s="1"/>
      <c r="N4009" s="166"/>
    </row>
    <row r="4010" spans="1:14">
      <c r="A4010" s="166"/>
      <c r="H4010" s="1"/>
      <c r="N4010" s="166"/>
    </row>
    <row r="4011" spans="1:14">
      <c r="A4011" s="166"/>
      <c r="H4011" s="1"/>
      <c r="N4011" s="166"/>
    </row>
    <row r="4012" spans="1:14">
      <c r="A4012" s="166"/>
      <c r="H4012" s="1"/>
      <c r="N4012" s="166"/>
    </row>
    <row r="4013" spans="1:14">
      <c r="A4013" s="166"/>
      <c r="H4013" s="1"/>
      <c r="N4013" s="166"/>
    </row>
    <row r="4014" spans="1:14">
      <c r="A4014" s="166"/>
      <c r="H4014" s="1"/>
      <c r="N4014" s="166"/>
    </row>
    <row r="4015" spans="1:14">
      <c r="A4015" s="166"/>
      <c r="H4015" s="1"/>
      <c r="N4015" s="166"/>
    </row>
    <row r="4016" spans="1:14">
      <c r="A4016" s="166"/>
      <c r="H4016" s="1"/>
      <c r="N4016" s="166"/>
    </row>
    <row r="4017" spans="1:14">
      <c r="A4017" s="166"/>
      <c r="H4017" s="1"/>
      <c r="N4017" s="166"/>
    </row>
    <row r="4018" spans="1:14">
      <c r="A4018" s="166"/>
      <c r="H4018" s="1"/>
      <c r="N4018" s="166"/>
    </row>
    <row r="4019" spans="1:14">
      <c r="A4019" s="166"/>
      <c r="H4019" s="1"/>
      <c r="N4019" s="166"/>
    </row>
    <row r="4020" spans="1:14">
      <c r="A4020" s="166"/>
      <c r="H4020" s="1"/>
      <c r="N4020" s="166"/>
    </row>
    <row r="4021" spans="1:14">
      <c r="A4021" s="166"/>
      <c r="H4021" s="1"/>
      <c r="N4021" s="166"/>
    </row>
    <row r="4022" spans="1:14">
      <c r="A4022" s="166"/>
      <c r="H4022" s="1"/>
      <c r="N4022" s="166"/>
    </row>
    <row r="4023" spans="1:14">
      <c r="A4023" s="166"/>
      <c r="H4023" s="1"/>
      <c r="N4023" s="166"/>
    </row>
    <row r="4024" spans="1:14">
      <c r="A4024" s="166"/>
      <c r="H4024" s="1"/>
      <c r="N4024" s="166"/>
    </row>
    <row r="4025" spans="1:14">
      <c r="A4025" s="166"/>
      <c r="H4025" s="1"/>
      <c r="N4025" s="166"/>
    </row>
    <row r="4026" spans="1:14">
      <c r="A4026" s="166"/>
      <c r="H4026" s="1"/>
      <c r="N4026" s="166"/>
    </row>
    <row r="4027" spans="1:14">
      <c r="A4027" s="166"/>
      <c r="H4027" s="1"/>
      <c r="N4027" s="166"/>
    </row>
    <row r="4028" spans="1:14">
      <c r="A4028" s="166"/>
      <c r="H4028" s="1"/>
      <c r="N4028" s="166"/>
    </row>
    <row r="4029" spans="1:14">
      <c r="A4029" s="166"/>
      <c r="H4029" s="1"/>
      <c r="N4029" s="166"/>
    </row>
    <row r="4030" spans="1:14">
      <c r="A4030" s="166"/>
      <c r="H4030" s="1"/>
      <c r="N4030" s="166"/>
    </row>
    <row r="4031" spans="1:14">
      <c r="A4031" s="166"/>
      <c r="H4031" s="1"/>
      <c r="N4031" s="166"/>
    </row>
    <row r="4032" spans="1:14">
      <c r="A4032" s="166"/>
      <c r="H4032" s="1"/>
      <c r="N4032" s="166"/>
    </row>
    <row r="4033" spans="1:14">
      <c r="A4033" s="166"/>
      <c r="H4033" s="1"/>
      <c r="N4033" s="166"/>
    </row>
    <row r="4034" spans="1:14">
      <c r="A4034" s="166"/>
      <c r="H4034" s="1"/>
      <c r="N4034" s="166"/>
    </row>
    <row r="4035" spans="1:14">
      <c r="A4035" s="166"/>
      <c r="H4035" s="1"/>
      <c r="N4035" s="166"/>
    </row>
    <row r="4036" spans="1:14">
      <c r="A4036" s="166"/>
      <c r="H4036" s="1"/>
      <c r="N4036" s="166"/>
    </row>
    <row r="4037" spans="1:14">
      <c r="A4037" s="166"/>
      <c r="H4037" s="1"/>
      <c r="N4037" s="166"/>
    </row>
    <row r="4038" spans="1:14">
      <c r="A4038" s="166"/>
      <c r="H4038" s="1"/>
      <c r="N4038" s="166"/>
    </row>
    <row r="4039" spans="1:14">
      <c r="A4039" s="166"/>
      <c r="H4039" s="1"/>
      <c r="N4039" s="166"/>
    </row>
    <row r="4040" spans="1:14">
      <c r="A4040" s="166"/>
      <c r="H4040" s="1"/>
      <c r="N4040" s="166"/>
    </row>
    <row r="4041" spans="1:14">
      <c r="A4041" s="166"/>
      <c r="H4041" s="1"/>
      <c r="N4041" s="166"/>
    </row>
    <row r="4042" spans="1:14">
      <c r="A4042" s="166"/>
      <c r="H4042" s="1"/>
      <c r="N4042" s="166"/>
    </row>
    <row r="4043" spans="1:14">
      <c r="A4043" s="166"/>
      <c r="H4043" s="1"/>
      <c r="N4043" s="166"/>
    </row>
    <row r="4044" spans="1:14">
      <c r="A4044" s="166"/>
      <c r="H4044" s="1"/>
      <c r="N4044" s="166"/>
    </row>
    <row r="4045" spans="1:14">
      <c r="A4045" s="166"/>
      <c r="H4045" s="1"/>
      <c r="N4045" s="166"/>
    </row>
    <row r="4046" spans="1:14">
      <c r="A4046" s="166"/>
      <c r="H4046" s="1"/>
      <c r="N4046" s="166"/>
    </row>
    <row r="4047" spans="1:14">
      <c r="A4047" s="166"/>
      <c r="H4047" s="1"/>
      <c r="N4047" s="166"/>
    </row>
    <row r="4048" spans="1:14">
      <c r="A4048" s="166"/>
      <c r="H4048" s="1"/>
      <c r="N4048" s="166"/>
    </row>
    <row r="4049" spans="1:14">
      <c r="A4049" s="166"/>
      <c r="H4049" s="1"/>
      <c r="N4049" s="166"/>
    </row>
    <row r="4050" spans="1:14">
      <c r="A4050" s="166"/>
      <c r="H4050" s="1"/>
      <c r="N4050" s="166"/>
    </row>
    <row r="4051" spans="1:14">
      <c r="A4051" s="166"/>
      <c r="H4051" s="1"/>
      <c r="N4051" s="166"/>
    </row>
    <row r="4052" spans="1:14">
      <c r="A4052" s="166"/>
      <c r="H4052" s="1"/>
      <c r="N4052" s="166"/>
    </row>
    <row r="4053" spans="1:14">
      <c r="A4053" s="166"/>
      <c r="H4053" s="1"/>
      <c r="N4053" s="166"/>
    </row>
    <row r="4054" spans="1:14">
      <c r="A4054" s="166"/>
      <c r="H4054" s="1"/>
      <c r="N4054" s="166"/>
    </row>
    <row r="4055" spans="1:14">
      <c r="A4055" s="166"/>
      <c r="H4055" s="1"/>
      <c r="N4055" s="166"/>
    </row>
    <row r="4056" spans="1:14">
      <c r="A4056" s="166"/>
      <c r="H4056" s="1"/>
      <c r="N4056" s="166"/>
    </row>
    <row r="4057" spans="1:14">
      <c r="A4057" s="166"/>
      <c r="H4057" s="1"/>
      <c r="N4057" s="166"/>
    </row>
    <row r="4058" spans="1:14">
      <c r="A4058" s="166"/>
      <c r="H4058" s="1"/>
      <c r="N4058" s="166"/>
    </row>
    <row r="4059" spans="1:14">
      <c r="A4059" s="166"/>
      <c r="H4059" s="1"/>
      <c r="N4059" s="166"/>
    </row>
    <row r="4060" spans="1:14">
      <c r="A4060" s="166"/>
      <c r="H4060" s="1"/>
      <c r="N4060" s="166"/>
    </row>
    <row r="4061" spans="1:14">
      <c r="A4061" s="166"/>
      <c r="H4061" s="1"/>
      <c r="N4061" s="166"/>
    </row>
    <row r="4062" spans="1:14">
      <c r="A4062" s="166"/>
      <c r="H4062" s="1"/>
      <c r="N4062" s="166"/>
    </row>
    <row r="4063" spans="1:14">
      <c r="A4063" s="166"/>
      <c r="H4063" s="1"/>
      <c r="N4063" s="166"/>
    </row>
    <row r="4064" spans="1:14">
      <c r="A4064" s="166"/>
      <c r="H4064" s="1"/>
      <c r="N4064" s="166"/>
    </row>
    <row r="4065" spans="1:14">
      <c r="A4065" s="166"/>
      <c r="H4065" s="1"/>
      <c r="N4065" s="166"/>
    </row>
    <row r="4066" spans="1:14">
      <c r="A4066" s="166"/>
      <c r="H4066" s="1"/>
      <c r="N4066" s="166"/>
    </row>
    <row r="4067" spans="1:14">
      <c r="A4067" s="166"/>
      <c r="H4067" s="1"/>
      <c r="N4067" s="166"/>
    </row>
    <row r="4068" spans="1:14">
      <c r="A4068" s="166"/>
      <c r="H4068" s="1"/>
      <c r="N4068" s="166"/>
    </row>
    <row r="4069" spans="1:14">
      <c r="A4069" s="166"/>
      <c r="H4069" s="1"/>
      <c r="N4069" s="166"/>
    </row>
    <row r="4070" spans="1:14">
      <c r="A4070" s="166"/>
      <c r="H4070" s="1"/>
      <c r="N4070" s="166"/>
    </row>
    <row r="4071" spans="1:14">
      <c r="A4071" s="166"/>
      <c r="H4071" s="1"/>
      <c r="N4071" s="166"/>
    </row>
    <row r="4072" spans="1:14">
      <c r="A4072" s="166"/>
      <c r="H4072" s="1"/>
      <c r="N4072" s="166"/>
    </row>
    <row r="4073" spans="1:14">
      <c r="A4073" s="166"/>
      <c r="H4073" s="1"/>
      <c r="N4073" s="166"/>
    </row>
    <row r="4074" spans="1:14">
      <c r="A4074" s="166"/>
      <c r="H4074" s="1"/>
      <c r="N4074" s="166"/>
    </row>
    <row r="4075" spans="1:14">
      <c r="A4075" s="166"/>
      <c r="H4075" s="1"/>
      <c r="N4075" s="166"/>
    </row>
    <row r="4076" spans="1:14">
      <c r="A4076" s="166"/>
      <c r="H4076" s="1"/>
      <c r="N4076" s="166"/>
    </row>
    <row r="4077" spans="1:14">
      <c r="A4077" s="166"/>
      <c r="H4077" s="1"/>
      <c r="N4077" s="166"/>
    </row>
    <row r="4078" spans="1:14">
      <c r="A4078" s="166"/>
      <c r="H4078" s="1"/>
      <c r="N4078" s="166"/>
    </row>
    <row r="4079" spans="1:14">
      <c r="A4079" s="166"/>
      <c r="H4079" s="1"/>
      <c r="N4079" s="166"/>
    </row>
    <row r="4080" spans="1:14">
      <c r="A4080" s="166"/>
      <c r="H4080" s="1"/>
      <c r="N4080" s="166"/>
    </row>
    <row r="4081" spans="1:14">
      <c r="A4081" s="166"/>
      <c r="H4081" s="1"/>
      <c r="N4081" s="166"/>
    </row>
    <row r="4082" spans="1:14">
      <c r="A4082" s="166"/>
      <c r="H4082" s="1"/>
      <c r="N4082" s="166"/>
    </row>
    <row r="4083" spans="1:14">
      <c r="A4083" s="166"/>
      <c r="H4083" s="1"/>
      <c r="N4083" s="166"/>
    </row>
    <row r="4084" spans="1:14">
      <c r="A4084" s="166"/>
      <c r="H4084" s="1"/>
      <c r="N4084" s="166"/>
    </row>
    <row r="4085" spans="1:14">
      <c r="A4085" s="166"/>
      <c r="H4085" s="1"/>
      <c r="N4085" s="166"/>
    </row>
    <row r="4086" spans="1:14">
      <c r="A4086" s="166"/>
      <c r="H4086" s="1"/>
      <c r="N4086" s="166"/>
    </row>
    <row r="4087" spans="1:14">
      <c r="A4087" s="166"/>
      <c r="H4087" s="1"/>
      <c r="N4087" s="166"/>
    </row>
    <row r="4088" spans="1:14">
      <c r="A4088" s="166"/>
      <c r="H4088" s="1"/>
      <c r="N4088" s="166"/>
    </row>
    <row r="4089" spans="1:14">
      <c r="A4089" s="166"/>
      <c r="H4089" s="1"/>
      <c r="N4089" s="166"/>
    </row>
    <row r="4090" spans="1:14">
      <c r="A4090" s="166"/>
      <c r="H4090" s="1"/>
      <c r="N4090" s="166"/>
    </row>
    <row r="4091" spans="1:14">
      <c r="A4091" s="166"/>
      <c r="H4091" s="1"/>
      <c r="N4091" s="166"/>
    </row>
    <row r="4092" spans="1:14">
      <c r="A4092" s="166"/>
      <c r="H4092" s="1"/>
      <c r="N4092" s="166"/>
    </row>
    <row r="4093" spans="1:14">
      <c r="A4093" s="166"/>
      <c r="H4093" s="1"/>
      <c r="N4093" s="166"/>
    </row>
    <row r="4094" spans="1:14">
      <c r="A4094" s="166"/>
      <c r="H4094" s="1"/>
      <c r="N4094" s="166"/>
    </row>
    <row r="4095" spans="1:14">
      <c r="A4095" s="166"/>
      <c r="H4095" s="1"/>
      <c r="N4095" s="166"/>
    </row>
    <row r="4096" spans="1:14">
      <c r="A4096" s="166"/>
      <c r="H4096" s="1"/>
      <c r="N4096" s="166"/>
    </row>
    <row r="4097" spans="1:14">
      <c r="A4097" s="166"/>
      <c r="H4097" s="1"/>
      <c r="N4097" s="166"/>
    </row>
    <row r="4098" spans="1:14">
      <c r="A4098" s="166"/>
      <c r="H4098" s="1"/>
      <c r="N4098" s="166"/>
    </row>
    <row r="4099" spans="1:14">
      <c r="A4099" s="166"/>
      <c r="H4099" s="1"/>
      <c r="N4099" s="166"/>
    </row>
    <row r="4100" spans="1:14">
      <c r="A4100" s="166"/>
      <c r="H4100" s="1"/>
      <c r="N4100" s="166"/>
    </row>
    <row r="4101" spans="1:14">
      <c r="A4101" s="166"/>
      <c r="H4101" s="1"/>
      <c r="N4101" s="166"/>
    </row>
    <row r="4102" spans="1:14">
      <c r="A4102" s="166"/>
      <c r="H4102" s="1"/>
      <c r="N4102" s="166"/>
    </row>
    <row r="4103" spans="1:14">
      <c r="A4103" s="166"/>
      <c r="H4103" s="1"/>
      <c r="N4103" s="166"/>
    </row>
    <row r="4104" spans="1:14">
      <c r="A4104" s="166"/>
      <c r="H4104" s="1"/>
      <c r="N4104" s="166"/>
    </row>
    <row r="4105" spans="1:14">
      <c r="A4105" s="166"/>
      <c r="H4105" s="1"/>
      <c r="N4105" s="166"/>
    </row>
    <row r="4106" spans="1:14">
      <c r="A4106" s="166"/>
      <c r="H4106" s="1"/>
      <c r="N4106" s="166"/>
    </row>
    <row r="4107" spans="1:14">
      <c r="A4107" s="166"/>
      <c r="H4107" s="1"/>
      <c r="N4107" s="166"/>
    </row>
    <row r="4108" spans="1:14">
      <c r="A4108" s="166"/>
      <c r="H4108" s="1"/>
      <c r="N4108" s="166"/>
    </row>
    <row r="4109" spans="1:14">
      <c r="A4109" s="166"/>
      <c r="H4109" s="1"/>
      <c r="N4109" s="166"/>
    </row>
    <row r="4110" spans="1:14">
      <c r="A4110" s="166"/>
      <c r="H4110" s="1"/>
      <c r="N4110" s="166"/>
    </row>
    <row r="4111" spans="1:14">
      <c r="A4111" s="166"/>
      <c r="H4111" s="1"/>
      <c r="N4111" s="166"/>
    </row>
    <row r="4112" spans="1:14">
      <c r="A4112" s="166"/>
      <c r="H4112" s="1"/>
      <c r="N4112" s="166"/>
    </row>
    <row r="4113" spans="1:14">
      <c r="A4113" s="166"/>
      <c r="H4113" s="1"/>
      <c r="N4113" s="166"/>
    </row>
    <row r="4114" spans="1:14">
      <c r="A4114" s="166"/>
      <c r="H4114" s="1"/>
      <c r="N4114" s="166"/>
    </row>
    <row r="4115" spans="1:14">
      <c r="A4115" s="166"/>
      <c r="H4115" s="1"/>
      <c r="N4115" s="166"/>
    </row>
    <row r="4116" spans="1:14">
      <c r="A4116" s="166"/>
      <c r="H4116" s="1"/>
      <c r="N4116" s="166"/>
    </row>
    <row r="4117" spans="1:14">
      <c r="A4117" s="166"/>
      <c r="H4117" s="1"/>
      <c r="N4117" s="166"/>
    </row>
    <row r="4118" spans="1:14">
      <c r="A4118" s="166"/>
      <c r="H4118" s="1"/>
      <c r="N4118" s="166"/>
    </row>
    <row r="4119" spans="1:14">
      <c r="A4119" s="166"/>
      <c r="H4119" s="1"/>
      <c r="N4119" s="166"/>
    </row>
    <row r="4120" spans="1:14">
      <c r="A4120" s="166"/>
      <c r="H4120" s="1"/>
      <c r="N4120" s="166"/>
    </row>
    <row r="4121" spans="1:14">
      <c r="A4121" s="166"/>
      <c r="H4121" s="1"/>
      <c r="N4121" s="166"/>
    </row>
    <row r="4122" spans="1:14">
      <c r="A4122" s="166"/>
      <c r="H4122" s="1"/>
      <c r="N4122" s="166"/>
    </row>
    <row r="4123" spans="1:14">
      <c r="A4123" s="166"/>
      <c r="H4123" s="1"/>
      <c r="N4123" s="166"/>
    </row>
    <row r="4124" spans="1:14">
      <c r="A4124" s="166"/>
      <c r="H4124" s="1"/>
      <c r="N4124" s="166"/>
    </row>
    <row r="4125" spans="1:14">
      <c r="A4125" s="166"/>
      <c r="H4125" s="1"/>
      <c r="N4125" s="166"/>
    </row>
    <row r="4126" spans="1:14">
      <c r="A4126" s="166"/>
      <c r="H4126" s="1"/>
      <c r="N4126" s="166"/>
    </row>
    <row r="4127" spans="1:14">
      <c r="A4127" s="166"/>
      <c r="H4127" s="1"/>
      <c r="N4127" s="166"/>
    </row>
    <row r="4128" spans="1:14">
      <c r="A4128" s="166"/>
      <c r="H4128" s="1"/>
      <c r="N4128" s="166"/>
    </row>
    <row r="4129" spans="1:14">
      <c r="A4129" s="166"/>
      <c r="H4129" s="1"/>
      <c r="N4129" s="166"/>
    </row>
    <row r="4130" spans="1:14">
      <c r="A4130" s="166"/>
      <c r="H4130" s="1"/>
      <c r="N4130" s="166"/>
    </row>
    <row r="4131" spans="1:14">
      <c r="A4131" s="166"/>
      <c r="H4131" s="1"/>
      <c r="N4131" s="166"/>
    </row>
    <row r="4132" spans="1:14">
      <c r="A4132" s="166"/>
      <c r="H4132" s="1"/>
      <c r="N4132" s="166"/>
    </row>
    <row r="4133" spans="1:14">
      <c r="A4133" s="166"/>
      <c r="H4133" s="1"/>
      <c r="N4133" s="166"/>
    </row>
    <row r="4134" spans="1:14">
      <c r="A4134" s="166"/>
      <c r="H4134" s="1"/>
      <c r="N4134" s="166"/>
    </row>
    <row r="4135" spans="1:14">
      <c r="A4135" s="166"/>
      <c r="H4135" s="1"/>
      <c r="N4135" s="166"/>
    </row>
    <row r="4136" spans="1:14">
      <c r="A4136" s="166"/>
      <c r="H4136" s="1"/>
      <c r="N4136" s="166"/>
    </row>
    <row r="4137" spans="1:14">
      <c r="A4137" s="166"/>
      <c r="H4137" s="1"/>
      <c r="N4137" s="166"/>
    </row>
    <row r="4138" spans="1:14">
      <c r="A4138" s="166"/>
      <c r="H4138" s="1"/>
      <c r="N4138" s="166"/>
    </row>
    <row r="4139" spans="1:14">
      <c r="A4139" s="166"/>
      <c r="H4139" s="1"/>
      <c r="N4139" s="166"/>
    </row>
    <row r="4140" spans="1:14">
      <c r="A4140" s="166"/>
      <c r="H4140" s="1"/>
      <c r="N4140" s="166"/>
    </row>
    <row r="4141" spans="1:14">
      <c r="A4141" s="166"/>
      <c r="H4141" s="1"/>
      <c r="N4141" s="166"/>
    </row>
    <row r="4142" spans="1:14">
      <c r="A4142" s="166"/>
      <c r="H4142" s="1"/>
      <c r="N4142" s="166"/>
    </row>
    <row r="4143" spans="1:14">
      <c r="A4143" s="166"/>
      <c r="H4143" s="1"/>
      <c r="N4143" s="166"/>
    </row>
    <row r="4144" spans="1:14">
      <c r="A4144" s="166"/>
      <c r="H4144" s="1"/>
      <c r="N4144" s="166"/>
    </row>
    <row r="4145" spans="1:14">
      <c r="A4145" s="166"/>
      <c r="H4145" s="1"/>
      <c r="N4145" s="166"/>
    </row>
    <row r="4146" spans="1:14">
      <c r="A4146" s="166"/>
      <c r="H4146" s="1"/>
      <c r="N4146" s="166"/>
    </row>
    <row r="4147" spans="1:14">
      <c r="A4147" s="166"/>
      <c r="H4147" s="1"/>
      <c r="N4147" s="166"/>
    </row>
    <row r="4148" spans="1:14">
      <c r="A4148" s="166"/>
      <c r="H4148" s="1"/>
      <c r="N4148" s="166"/>
    </row>
    <row r="4149" spans="1:14">
      <c r="A4149" s="166"/>
      <c r="H4149" s="1"/>
      <c r="N4149" s="166"/>
    </row>
    <row r="4150" spans="1:14">
      <c r="A4150" s="166"/>
      <c r="H4150" s="1"/>
      <c r="N4150" s="166"/>
    </row>
    <row r="4151" spans="1:14">
      <c r="A4151" s="166"/>
      <c r="H4151" s="1"/>
      <c r="N4151" s="166"/>
    </row>
    <row r="4152" spans="1:14">
      <c r="A4152" s="166"/>
      <c r="H4152" s="1"/>
      <c r="N4152" s="166"/>
    </row>
    <row r="4153" spans="1:14">
      <c r="A4153" s="166"/>
      <c r="H4153" s="1"/>
      <c r="N4153" s="166"/>
    </row>
    <row r="4154" spans="1:14">
      <c r="A4154" s="166"/>
      <c r="H4154" s="1"/>
      <c r="N4154" s="166"/>
    </row>
    <row r="4155" spans="1:14">
      <c r="A4155" s="166"/>
      <c r="H4155" s="1"/>
      <c r="N4155" s="166"/>
    </row>
    <row r="4156" spans="1:14">
      <c r="A4156" s="166"/>
      <c r="H4156" s="1"/>
      <c r="N4156" s="166"/>
    </row>
    <row r="4157" spans="1:14">
      <c r="A4157" s="166"/>
      <c r="H4157" s="1"/>
      <c r="N4157" s="166"/>
    </row>
    <row r="4158" spans="1:14">
      <c r="A4158" s="166"/>
      <c r="H4158" s="1"/>
      <c r="N4158" s="166"/>
    </row>
    <row r="4159" spans="1:14">
      <c r="A4159" s="166"/>
      <c r="H4159" s="1"/>
      <c r="N4159" s="166"/>
    </row>
    <row r="4160" spans="1:14">
      <c r="A4160" s="166"/>
      <c r="H4160" s="1"/>
      <c r="N4160" s="166"/>
    </row>
    <row r="4161" spans="1:14">
      <c r="A4161" s="166"/>
      <c r="H4161" s="1"/>
      <c r="N4161" s="166"/>
    </row>
    <row r="4162" spans="1:14">
      <c r="A4162" s="166"/>
      <c r="H4162" s="1"/>
      <c r="N4162" s="166"/>
    </row>
    <row r="4163" spans="1:14">
      <c r="A4163" s="166"/>
      <c r="H4163" s="1"/>
      <c r="N4163" s="166"/>
    </row>
    <row r="4164" spans="1:14">
      <c r="A4164" s="166"/>
      <c r="H4164" s="1"/>
      <c r="N4164" s="166"/>
    </row>
    <row r="4165" spans="1:14">
      <c r="A4165" s="166"/>
      <c r="H4165" s="1"/>
      <c r="N4165" s="166"/>
    </row>
    <row r="4166" spans="1:14">
      <c r="A4166" s="166"/>
      <c r="H4166" s="1"/>
      <c r="N4166" s="166"/>
    </row>
    <row r="4167" spans="1:14">
      <c r="A4167" s="166"/>
      <c r="H4167" s="1"/>
      <c r="N4167" s="166"/>
    </row>
    <row r="4168" spans="1:14">
      <c r="A4168" s="166"/>
      <c r="H4168" s="1"/>
      <c r="N4168" s="166"/>
    </row>
    <row r="4169" spans="1:14">
      <c r="A4169" s="166"/>
      <c r="H4169" s="1"/>
      <c r="N4169" s="166"/>
    </row>
    <row r="4170" spans="1:14">
      <c r="A4170" s="166"/>
      <c r="H4170" s="1"/>
      <c r="N4170" s="166"/>
    </row>
    <row r="4171" spans="1:14">
      <c r="A4171" s="166"/>
      <c r="H4171" s="1"/>
      <c r="N4171" s="166"/>
    </row>
    <row r="4172" spans="1:14">
      <c r="A4172" s="166"/>
      <c r="H4172" s="1"/>
      <c r="N4172" s="166"/>
    </row>
    <row r="4173" spans="1:14">
      <c r="A4173" s="166"/>
      <c r="H4173" s="1"/>
      <c r="N4173" s="166"/>
    </row>
    <row r="4174" spans="1:14">
      <c r="A4174" s="166"/>
      <c r="H4174" s="1"/>
      <c r="N4174" s="166"/>
    </row>
    <row r="4175" spans="1:14">
      <c r="A4175" s="166"/>
      <c r="H4175" s="1"/>
      <c r="N4175" s="166"/>
    </row>
    <row r="4176" spans="1:14">
      <c r="A4176" s="166"/>
      <c r="H4176" s="1"/>
      <c r="N4176" s="166"/>
    </row>
    <row r="4177" spans="1:14">
      <c r="A4177" s="166"/>
      <c r="H4177" s="1"/>
      <c r="N4177" s="166"/>
    </row>
    <row r="4178" spans="1:14">
      <c r="A4178" s="166"/>
      <c r="H4178" s="1"/>
      <c r="N4178" s="166"/>
    </row>
    <row r="4179" spans="1:14">
      <c r="A4179" s="166"/>
      <c r="H4179" s="1"/>
      <c r="N4179" s="166"/>
    </row>
    <row r="4180" spans="1:14">
      <c r="A4180" s="166"/>
      <c r="H4180" s="1"/>
      <c r="N4180" s="166"/>
    </row>
    <row r="4181" spans="1:14">
      <c r="A4181" s="166"/>
      <c r="H4181" s="1"/>
      <c r="N4181" s="166"/>
    </row>
    <row r="4182" spans="1:14">
      <c r="A4182" s="166"/>
      <c r="H4182" s="1"/>
      <c r="N4182" s="166"/>
    </row>
    <row r="4183" spans="1:14">
      <c r="A4183" s="166"/>
      <c r="H4183" s="1"/>
      <c r="N4183" s="166"/>
    </row>
    <row r="4184" spans="1:14">
      <c r="A4184" s="166"/>
      <c r="H4184" s="1"/>
      <c r="N4184" s="166"/>
    </row>
    <row r="4185" spans="1:14">
      <c r="A4185" s="166"/>
      <c r="H4185" s="1"/>
      <c r="N4185" s="166"/>
    </row>
    <row r="4186" spans="1:14">
      <c r="A4186" s="166"/>
      <c r="H4186" s="1"/>
      <c r="N4186" s="166"/>
    </row>
    <row r="4187" spans="1:14">
      <c r="A4187" s="166"/>
      <c r="H4187" s="1"/>
      <c r="N4187" s="166"/>
    </row>
    <row r="4188" spans="1:14">
      <c r="A4188" s="166"/>
      <c r="H4188" s="1"/>
      <c r="N4188" s="166"/>
    </row>
    <row r="4189" spans="1:14">
      <c r="A4189" s="166"/>
      <c r="H4189" s="1"/>
      <c r="N4189" s="166"/>
    </row>
    <row r="4190" spans="1:14">
      <c r="A4190" s="166"/>
      <c r="H4190" s="1"/>
      <c r="N4190" s="166"/>
    </row>
    <row r="4191" spans="1:14">
      <c r="A4191" s="166"/>
      <c r="H4191" s="1"/>
      <c r="N4191" s="166"/>
    </row>
    <row r="4192" spans="1:14">
      <c r="A4192" s="166"/>
      <c r="H4192" s="1"/>
      <c r="N4192" s="166"/>
    </row>
    <row r="4193" spans="1:14">
      <c r="A4193" s="166"/>
      <c r="H4193" s="1"/>
      <c r="N4193" s="166"/>
    </row>
    <row r="4194" spans="1:14">
      <c r="A4194" s="166"/>
      <c r="H4194" s="1"/>
      <c r="N4194" s="166"/>
    </row>
    <row r="4195" spans="1:14">
      <c r="A4195" s="166"/>
      <c r="H4195" s="1"/>
      <c r="N4195" s="166"/>
    </row>
    <row r="4196" spans="1:14">
      <c r="A4196" s="166"/>
      <c r="H4196" s="1"/>
      <c r="N4196" s="166"/>
    </row>
    <row r="4197" spans="1:14">
      <c r="A4197" s="166"/>
      <c r="H4197" s="1"/>
      <c r="N4197" s="166"/>
    </row>
    <row r="4198" spans="1:14">
      <c r="A4198" s="166"/>
      <c r="H4198" s="1"/>
      <c r="N4198" s="166"/>
    </row>
    <row r="4199" spans="1:14">
      <c r="A4199" s="166"/>
      <c r="H4199" s="1"/>
      <c r="N4199" s="166"/>
    </row>
    <row r="4200" spans="1:14">
      <c r="A4200" s="166"/>
      <c r="H4200" s="1"/>
      <c r="N4200" s="166"/>
    </row>
    <row r="4201" spans="1:14">
      <c r="A4201" s="166"/>
      <c r="H4201" s="1"/>
      <c r="N4201" s="166"/>
    </row>
    <row r="4202" spans="1:14">
      <c r="A4202" s="166"/>
      <c r="H4202" s="1"/>
      <c r="N4202" s="166"/>
    </row>
    <row r="4203" spans="1:14">
      <c r="A4203" s="166"/>
      <c r="H4203" s="1"/>
      <c r="N4203" s="166"/>
    </row>
    <row r="4204" spans="1:14">
      <c r="A4204" s="166"/>
      <c r="H4204" s="1"/>
      <c r="N4204" s="166"/>
    </row>
    <row r="4205" spans="1:14">
      <c r="A4205" s="166"/>
      <c r="H4205" s="1"/>
      <c r="N4205" s="166"/>
    </row>
    <row r="4206" spans="1:14">
      <c r="A4206" s="166"/>
      <c r="H4206" s="1"/>
      <c r="N4206" s="166"/>
    </row>
    <row r="4207" spans="1:14">
      <c r="A4207" s="166"/>
      <c r="H4207" s="1"/>
      <c r="N4207" s="166"/>
    </row>
    <row r="4208" spans="1:14">
      <c r="A4208" s="166"/>
      <c r="H4208" s="1"/>
      <c r="N4208" s="166"/>
    </row>
    <row r="4209" spans="1:14">
      <c r="A4209" s="166"/>
      <c r="H4209" s="1"/>
      <c r="N4209" s="166"/>
    </row>
    <row r="4210" spans="1:14">
      <c r="A4210" s="166"/>
      <c r="H4210" s="1"/>
      <c r="N4210" s="166"/>
    </row>
    <row r="4211" spans="1:14">
      <c r="A4211" s="166"/>
      <c r="H4211" s="1"/>
      <c r="N4211" s="166"/>
    </row>
    <row r="4212" spans="1:14">
      <c r="A4212" s="166"/>
      <c r="H4212" s="1"/>
      <c r="N4212" s="166"/>
    </row>
    <row r="4213" spans="1:14">
      <c r="A4213" s="166"/>
      <c r="H4213" s="1"/>
      <c r="N4213" s="166"/>
    </row>
    <row r="4214" spans="1:14">
      <c r="A4214" s="166"/>
      <c r="H4214" s="1"/>
      <c r="N4214" s="166"/>
    </row>
    <row r="4215" spans="1:14">
      <c r="A4215" s="166"/>
      <c r="H4215" s="1"/>
      <c r="N4215" s="166"/>
    </row>
    <row r="4216" spans="1:14">
      <c r="A4216" s="166"/>
      <c r="H4216" s="1"/>
      <c r="N4216" s="166"/>
    </row>
    <row r="4217" spans="1:14">
      <c r="A4217" s="166"/>
      <c r="H4217" s="1"/>
      <c r="N4217" s="166"/>
    </row>
    <row r="4218" spans="1:14">
      <c r="A4218" s="166"/>
      <c r="H4218" s="1"/>
      <c r="N4218" s="166"/>
    </row>
    <row r="4219" spans="1:14">
      <c r="A4219" s="166"/>
      <c r="H4219" s="1"/>
      <c r="N4219" s="166"/>
    </row>
    <row r="4220" spans="1:14">
      <c r="A4220" s="166"/>
      <c r="H4220" s="1"/>
      <c r="N4220" s="166"/>
    </row>
    <row r="4221" spans="1:14">
      <c r="A4221" s="166"/>
      <c r="H4221" s="1"/>
      <c r="N4221" s="166"/>
    </row>
    <row r="4222" spans="1:14">
      <c r="A4222" s="166"/>
      <c r="H4222" s="1"/>
      <c r="N4222" s="166"/>
    </row>
    <row r="4223" spans="1:14">
      <c r="A4223" s="166"/>
      <c r="H4223" s="1"/>
      <c r="N4223" s="166"/>
    </row>
    <row r="4224" spans="1:14">
      <c r="A4224" s="166"/>
      <c r="H4224" s="1"/>
      <c r="N4224" s="166"/>
    </row>
    <row r="4225" spans="1:14">
      <c r="A4225" s="166"/>
      <c r="H4225" s="1"/>
      <c r="N4225" s="166"/>
    </row>
    <row r="4226" spans="1:14">
      <c r="A4226" s="166"/>
      <c r="H4226" s="1"/>
      <c r="N4226" s="166"/>
    </row>
    <row r="4227" spans="1:14">
      <c r="A4227" s="166"/>
      <c r="H4227" s="1"/>
      <c r="N4227" s="166"/>
    </row>
    <row r="4228" spans="1:14">
      <c r="A4228" s="166"/>
      <c r="H4228" s="1"/>
      <c r="N4228" s="166"/>
    </row>
    <row r="4229" spans="1:14">
      <c r="A4229" s="166"/>
      <c r="H4229" s="1"/>
      <c r="N4229" s="166"/>
    </row>
    <row r="4230" spans="1:14">
      <c r="A4230" s="166"/>
      <c r="H4230" s="1"/>
      <c r="N4230" s="166"/>
    </row>
    <row r="4231" spans="1:14">
      <c r="A4231" s="166"/>
      <c r="H4231" s="1"/>
      <c r="N4231" s="166"/>
    </row>
    <row r="4232" spans="1:14">
      <c r="A4232" s="166"/>
      <c r="H4232" s="1"/>
      <c r="N4232" s="166"/>
    </row>
    <row r="4233" spans="1:14">
      <c r="A4233" s="166"/>
      <c r="H4233" s="1"/>
      <c r="N4233" s="166"/>
    </row>
    <row r="4234" spans="1:14">
      <c r="A4234" s="166"/>
      <c r="H4234" s="1"/>
      <c r="N4234" s="166"/>
    </row>
    <row r="4235" spans="1:14">
      <c r="A4235" s="166"/>
      <c r="H4235" s="1"/>
      <c r="N4235" s="166"/>
    </row>
    <row r="4236" spans="1:14">
      <c r="A4236" s="166"/>
      <c r="H4236" s="1"/>
      <c r="N4236" s="166"/>
    </row>
    <row r="4237" spans="1:14">
      <c r="A4237" s="166"/>
      <c r="H4237" s="1"/>
      <c r="N4237" s="166"/>
    </row>
    <row r="4238" spans="1:14">
      <c r="A4238" s="166"/>
      <c r="H4238" s="1"/>
      <c r="N4238" s="166"/>
    </row>
    <row r="4239" spans="1:14">
      <c r="A4239" s="166"/>
      <c r="H4239" s="1"/>
      <c r="N4239" s="166"/>
    </row>
    <row r="4240" spans="1:14">
      <c r="A4240" s="166"/>
      <c r="H4240" s="1"/>
      <c r="N4240" s="166"/>
    </row>
    <row r="4241" spans="1:14">
      <c r="A4241" s="166"/>
      <c r="H4241" s="1"/>
      <c r="N4241" s="166"/>
    </row>
    <row r="4242" spans="1:14">
      <c r="A4242" s="166"/>
      <c r="H4242" s="1"/>
      <c r="N4242" s="166"/>
    </row>
    <row r="4243" spans="1:14">
      <c r="A4243" s="166"/>
      <c r="H4243" s="1"/>
      <c r="N4243" s="166"/>
    </row>
    <row r="4244" spans="1:14">
      <c r="A4244" s="166"/>
      <c r="H4244" s="1"/>
      <c r="N4244" s="166"/>
    </row>
    <row r="4245" spans="1:14">
      <c r="A4245" s="166"/>
      <c r="H4245" s="1"/>
      <c r="N4245" s="166"/>
    </row>
    <row r="4246" spans="1:14">
      <c r="A4246" s="166"/>
      <c r="H4246" s="1"/>
      <c r="N4246" s="166"/>
    </row>
    <row r="4247" spans="1:14">
      <c r="A4247" s="166"/>
      <c r="H4247" s="1"/>
      <c r="N4247" s="166"/>
    </row>
    <row r="4248" spans="1:14">
      <c r="A4248" s="166"/>
      <c r="H4248" s="1"/>
      <c r="N4248" s="166"/>
    </row>
    <row r="4249" spans="1:14">
      <c r="A4249" s="166"/>
      <c r="H4249" s="1"/>
      <c r="N4249" s="166"/>
    </row>
    <row r="4250" spans="1:14">
      <c r="A4250" s="166"/>
      <c r="H4250" s="1"/>
      <c r="N4250" s="166"/>
    </row>
    <row r="4251" spans="1:14">
      <c r="A4251" s="166"/>
      <c r="H4251" s="1"/>
      <c r="N4251" s="166"/>
    </row>
    <row r="4252" spans="1:14">
      <c r="A4252" s="166"/>
      <c r="H4252" s="1"/>
      <c r="N4252" s="166"/>
    </row>
    <row r="4253" spans="1:14">
      <c r="A4253" s="166"/>
      <c r="H4253" s="1"/>
      <c r="N4253" s="166"/>
    </row>
    <row r="4254" spans="1:14">
      <c r="A4254" s="166"/>
      <c r="H4254" s="1"/>
      <c r="N4254" s="166"/>
    </row>
    <row r="4255" spans="1:14">
      <c r="A4255" s="166"/>
      <c r="H4255" s="1"/>
      <c r="N4255" s="166"/>
    </row>
    <row r="4256" spans="1:14">
      <c r="A4256" s="166"/>
      <c r="H4256" s="1"/>
      <c r="N4256" s="166"/>
    </row>
    <row r="4257" spans="1:14">
      <c r="A4257" s="166"/>
      <c r="H4257" s="1"/>
      <c r="N4257" s="166"/>
    </row>
    <row r="4258" spans="1:14">
      <c r="A4258" s="166"/>
      <c r="H4258" s="1"/>
      <c r="N4258" s="166"/>
    </row>
    <row r="4259" spans="1:14">
      <c r="A4259" s="166"/>
      <c r="H4259" s="1"/>
      <c r="N4259" s="166"/>
    </row>
    <row r="4260" spans="1:14">
      <c r="A4260" s="166"/>
      <c r="H4260" s="1"/>
      <c r="N4260" s="166"/>
    </row>
    <row r="4261" spans="1:14">
      <c r="A4261" s="166"/>
      <c r="H4261" s="1"/>
      <c r="N4261" s="166"/>
    </row>
    <row r="4262" spans="1:14">
      <c r="A4262" s="166"/>
      <c r="H4262" s="1"/>
      <c r="N4262" s="166"/>
    </row>
    <row r="4263" spans="1:14">
      <c r="A4263" s="166"/>
      <c r="H4263" s="1"/>
      <c r="N4263" s="166"/>
    </row>
    <row r="4264" spans="1:14">
      <c r="A4264" s="166"/>
      <c r="H4264" s="1"/>
      <c r="N4264" s="166"/>
    </row>
    <row r="4265" spans="1:14">
      <c r="A4265" s="166"/>
      <c r="H4265" s="1"/>
      <c r="N4265" s="166"/>
    </row>
    <row r="4266" spans="1:14">
      <c r="A4266" s="166"/>
      <c r="H4266" s="1"/>
      <c r="N4266" s="166"/>
    </row>
    <row r="4267" spans="1:14">
      <c r="A4267" s="166"/>
      <c r="H4267" s="1"/>
      <c r="N4267" s="166"/>
    </row>
    <row r="4268" spans="1:14">
      <c r="A4268" s="166"/>
      <c r="H4268" s="1"/>
      <c r="N4268" s="166"/>
    </row>
    <row r="4269" spans="1:14">
      <c r="A4269" s="166"/>
      <c r="H4269" s="1"/>
      <c r="N4269" s="166"/>
    </row>
    <row r="4270" spans="1:14">
      <c r="A4270" s="166"/>
      <c r="H4270" s="1"/>
      <c r="N4270" s="166"/>
    </row>
    <row r="4271" spans="1:14">
      <c r="A4271" s="166"/>
      <c r="H4271" s="1"/>
      <c r="N4271" s="166"/>
    </row>
    <row r="4272" spans="1:14">
      <c r="A4272" s="166"/>
      <c r="H4272" s="1"/>
      <c r="N4272" s="166"/>
    </row>
    <row r="4273" spans="1:14">
      <c r="A4273" s="166"/>
      <c r="H4273" s="1"/>
      <c r="N4273" s="166"/>
    </row>
    <row r="4274" spans="1:14">
      <c r="A4274" s="166"/>
      <c r="H4274" s="1"/>
      <c r="N4274" s="166"/>
    </row>
    <row r="4275" spans="1:14">
      <c r="A4275" s="166"/>
      <c r="H4275" s="1"/>
      <c r="N4275" s="166"/>
    </row>
    <row r="4276" spans="1:14">
      <c r="A4276" s="166"/>
      <c r="H4276" s="1"/>
      <c r="N4276" s="166"/>
    </row>
    <row r="4277" spans="1:14">
      <c r="A4277" s="166"/>
      <c r="H4277" s="1"/>
      <c r="N4277" s="166"/>
    </row>
    <row r="4278" spans="1:14">
      <c r="A4278" s="166"/>
      <c r="H4278" s="1"/>
      <c r="N4278" s="166"/>
    </row>
    <row r="4279" spans="1:14">
      <c r="A4279" s="166"/>
      <c r="H4279" s="1"/>
      <c r="N4279" s="166"/>
    </row>
    <row r="4280" spans="1:14">
      <c r="A4280" s="166"/>
      <c r="H4280" s="1"/>
      <c r="N4280" s="166"/>
    </row>
    <row r="4281" spans="1:14">
      <c r="A4281" s="166"/>
      <c r="H4281" s="1"/>
      <c r="N4281" s="166"/>
    </row>
    <row r="4282" spans="1:14">
      <c r="A4282" s="166"/>
      <c r="H4282" s="1"/>
      <c r="N4282" s="166"/>
    </row>
    <row r="4283" spans="1:14">
      <c r="A4283" s="166"/>
      <c r="H4283" s="1"/>
      <c r="N4283" s="166"/>
    </row>
    <row r="4284" spans="1:14">
      <c r="A4284" s="166"/>
      <c r="H4284" s="1"/>
      <c r="N4284" s="166"/>
    </row>
    <row r="4285" spans="1:14">
      <c r="A4285" s="166"/>
      <c r="H4285" s="1"/>
      <c r="N4285" s="166"/>
    </row>
    <row r="4286" spans="1:14">
      <c r="A4286" s="166"/>
      <c r="H4286" s="1"/>
      <c r="N4286" s="166"/>
    </row>
    <row r="4287" spans="1:14">
      <c r="A4287" s="166"/>
      <c r="H4287" s="1"/>
      <c r="N4287" s="166"/>
    </row>
    <row r="4288" spans="1:14">
      <c r="A4288" s="166"/>
      <c r="H4288" s="1"/>
      <c r="N4288" s="166"/>
    </row>
    <row r="4289" spans="1:14">
      <c r="A4289" s="166"/>
      <c r="H4289" s="1"/>
      <c r="N4289" s="166"/>
    </row>
    <row r="4290" spans="1:14">
      <c r="A4290" s="166"/>
      <c r="H4290" s="1"/>
      <c r="N4290" s="166"/>
    </row>
    <row r="4291" spans="1:14">
      <c r="A4291" s="166"/>
      <c r="H4291" s="1"/>
      <c r="N4291" s="166"/>
    </row>
    <row r="4292" spans="1:14">
      <c r="A4292" s="166"/>
      <c r="H4292" s="1"/>
      <c r="N4292" s="166"/>
    </row>
    <row r="4293" spans="1:14">
      <c r="A4293" s="166"/>
      <c r="H4293" s="1"/>
      <c r="N4293" s="166"/>
    </row>
    <row r="4294" spans="1:14">
      <c r="A4294" s="166"/>
      <c r="H4294" s="1"/>
      <c r="N4294" s="166"/>
    </row>
    <row r="4295" spans="1:14">
      <c r="A4295" s="166"/>
      <c r="H4295" s="1"/>
      <c r="N4295" s="166"/>
    </row>
    <row r="4296" spans="1:14">
      <c r="A4296" s="166"/>
      <c r="H4296" s="1"/>
      <c r="N4296" s="166"/>
    </row>
    <row r="4297" spans="1:14">
      <c r="A4297" s="166"/>
      <c r="H4297" s="1"/>
      <c r="N4297" s="166"/>
    </row>
    <row r="4298" spans="1:14">
      <c r="A4298" s="166"/>
      <c r="H4298" s="1"/>
      <c r="N4298" s="166"/>
    </row>
    <row r="4299" spans="1:14">
      <c r="A4299" s="166"/>
      <c r="H4299" s="1"/>
      <c r="N4299" s="166"/>
    </row>
    <row r="4300" spans="1:14">
      <c r="A4300" s="166"/>
      <c r="H4300" s="1"/>
      <c r="N4300" s="166"/>
    </row>
    <row r="4301" spans="1:14">
      <c r="A4301" s="166"/>
      <c r="H4301" s="1"/>
      <c r="N4301" s="166"/>
    </row>
    <row r="4302" spans="1:14">
      <c r="A4302" s="166"/>
      <c r="H4302" s="1"/>
      <c r="N4302" s="166"/>
    </row>
    <row r="4303" spans="1:14">
      <c r="A4303" s="166"/>
      <c r="H4303" s="1"/>
      <c r="N4303" s="166"/>
    </row>
    <row r="4304" spans="1:14">
      <c r="A4304" s="166"/>
      <c r="H4304" s="1"/>
      <c r="N4304" s="166"/>
    </row>
    <row r="4305" spans="1:14">
      <c r="A4305" s="166"/>
      <c r="H4305" s="1"/>
      <c r="N4305" s="166"/>
    </row>
    <row r="4306" spans="1:14">
      <c r="A4306" s="166"/>
      <c r="H4306" s="1"/>
      <c r="N4306" s="166"/>
    </row>
    <row r="4307" spans="1:14">
      <c r="A4307" s="166"/>
      <c r="H4307" s="1"/>
      <c r="N4307" s="166"/>
    </row>
    <row r="4308" spans="1:14">
      <c r="A4308" s="166"/>
      <c r="H4308" s="1"/>
      <c r="N4308" s="166"/>
    </row>
    <row r="4309" spans="1:14">
      <c r="A4309" s="166"/>
      <c r="H4309" s="1"/>
      <c r="N4309" s="166"/>
    </row>
    <row r="4310" spans="1:14">
      <c r="A4310" s="166"/>
      <c r="H4310" s="1"/>
      <c r="N4310" s="166"/>
    </row>
    <row r="4311" spans="1:14">
      <c r="A4311" s="166"/>
      <c r="H4311" s="1"/>
      <c r="N4311" s="166"/>
    </row>
    <row r="4312" spans="1:14">
      <c r="A4312" s="166"/>
      <c r="H4312" s="1"/>
      <c r="N4312" s="166"/>
    </row>
    <row r="4313" spans="1:14">
      <c r="A4313" s="166"/>
      <c r="H4313" s="1"/>
      <c r="N4313" s="166"/>
    </row>
    <row r="4314" spans="1:14">
      <c r="A4314" s="166"/>
      <c r="H4314" s="1"/>
      <c r="N4314" s="166"/>
    </row>
    <row r="4315" spans="1:14">
      <c r="A4315" s="166"/>
      <c r="H4315" s="1"/>
      <c r="N4315" s="166"/>
    </row>
    <row r="4316" spans="1:14">
      <c r="A4316" s="166"/>
      <c r="H4316" s="1"/>
      <c r="N4316" s="166"/>
    </row>
    <row r="4317" spans="1:14">
      <c r="A4317" s="166"/>
      <c r="H4317" s="1"/>
      <c r="N4317" s="166"/>
    </row>
    <row r="4318" spans="1:14">
      <c r="A4318" s="166"/>
      <c r="H4318" s="1"/>
      <c r="N4318" s="166"/>
    </row>
    <row r="4319" spans="1:14">
      <c r="A4319" s="166"/>
      <c r="H4319" s="1"/>
      <c r="N4319" s="166"/>
    </row>
    <row r="4320" spans="1:14">
      <c r="A4320" s="166"/>
      <c r="H4320" s="1"/>
      <c r="N4320" s="166"/>
    </row>
    <row r="4321" spans="1:14">
      <c r="A4321" s="166"/>
      <c r="H4321" s="1"/>
      <c r="N4321" s="166"/>
    </row>
    <row r="4322" spans="1:14">
      <c r="A4322" s="166"/>
      <c r="H4322" s="1"/>
      <c r="N4322" s="166"/>
    </row>
    <row r="4323" spans="1:14">
      <c r="A4323" s="166"/>
      <c r="H4323" s="1"/>
      <c r="N4323" s="166"/>
    </row>
    <row r="4324" spans="1:14">
      <c r="A4324" s="166"/>
      <c r="H4324" s="1"/>
      <c r="N4324" s="166"/>
    </row>
    <row r="4325" spans="1:14">
      <c r="A4325" s="166"/>
      <c r="H4325" s="1"/>
      <c r="N4325" s="166"/>
    </row>
    <row r="4326" spans="1:14">
      <c r="A4326" s="166"/>
      <c r="H4326" s="1"/>
      <c r="N4326" s="166"/>
    </row>
    <row r="4327" spans="1:14">
      <c r="A4327" s="166"/>
      <c r="H4327" s="1"/>
      <c r="N4327" s="166"/>
    </row>
    <row r="4328" spans="1:14">
      <c r="A4328" s="166"/>
      <c r="H4328" s="1"/>
      <c r="N4328" s="166"/>
    </row>
    <row r="4329" spans="1:14">
      <c r="A4329" s="166"/>
      <c r="H4329" s="1"/>
      <c r="N4329" s="166"/>
    </row>
    <row r="4330" spans="1:14">
      <c r="A4330" s="166"/>
      <c r="H4330" s="1"/>
      <c r="N4330" s="166"/>
    </row>
    <row r="4331" spans="1:14">
      <c r="A4331" s="166"/>
      <c r="H4331" s="1"/>
      <c r="N4331" s="166"/>
    </row>
    <row r="4332" spans="1:14">
      <c r="A4332" s="166"/>
      <c r="H4332" s="1"/>
      <c r="N4332" s="166"/>
    </row>
    <row r="4333" spans="1:14">
      <c r="A4333" s="166"/>
      <c r="H4333" s="1"/>
      <c r="N4333" s="166"/>
    </row>
    <row r="4334" spans="1:14">
      <c r="A4334" s="166"/>
      <c r="H4334" s="1"/>
      <c r="N4334" s="166"/>
    </row>
    <row r="4335" spans="1:14">
      <c r="A4335" s="166"/>
      <c r="H4335" s="1"/>
      <c r="N4335" s="166"/>
    </row>
    <row r="4336" spans="1:14">
      <c r="A4336" s="166"/>
      <c r="H4336" s="1"/>
      <c r="N4336" s="166"/>
    </row>
    <row r="4337" spans="1:14">
      <c r="A4337" s="166"/>
      <c r="H4337" s="1"/>
      <c r="N4337" s="166"/>
    </row>
    <row r="4338" spans="1:14">
      <c r="A4338" s="166"/>
      <c r="H4338" s="1"/>
      <c r="N4338" s="166"/>
    </row>
    <row r="4339" spans="1:14">
      <c r="A4339" s="166"/>
      <c r="H4339" s="1"/>
      <c r="N4339" s="166"/>
    </row>
    <row r="4340" spans="1:14">
      <c r="A4340" s="166"/>
      <c r="H4340" s="1"/>
      <c r="N4340" s="166"/>
    </row>
    <row r="4341" spans="1:14">
      <c r="A4341" s="166"/>
      <c r="H4341" s="1"/>
      <c r="N4341" s="166"/>
    </row>
    <row r="4342" spans="1:14">
      <c r="A4342" s="166"/>
      <c r="H4342" s="1"/>
      <c r="N4342" s="166"/>
    </row>
    <row r="4343" spans="1:14">
      <c r="A4343" s="166"/>
      <c r="H4343" s="1"/>
      <c r="N4343" s="166"/>
    </row>
    <row r="4344" spans="1:14">
      <c r="A4344" s="166"/>
      <c r="H4344" s="1"/>
      <c r="N4344" s="166"/>
    </row>
    <row r="4345" spans="1:14">
      <c r="A4345" s="166"/>
      <c r="H4345" s="1"/>
      <c r="N4345" s="166"/>
    </row>
    <row r="4346" spans="1:14">
      <c r="A4346" s="166"/>
      <c r="H4346" s="1"/>
      <c r="N4346" s="166"/>
    </row>
    <row r="4347" spans="1:14">
      <c r="A4347" s="166"/>
      <c r="H4347" s="1"/>
      <c r="N4347" s="166"/>
    </row>
    <row r="4348" spans="1:14">
      <c r="A4348" s="166"/>
      <c r="H4348" s="1"/>
      <c r="N4348" s="166"/>
    </row>
    <row r="4349" spans="1:14">
      <c r="A4349" s="166"/>
      <c r="H4349" s="1"/>
      <c r="N4349" s="166"/>
    </row>
    <row r="4350" spans="1:14">
      <c r="A4350" s="166"/>
      <c r="H4350" s="1"/>
      <c r="N4350" s="166"/>
    </row>
    <row r="4351" spans="1:14">
      <c r="A4351" s="166"/>
      <c r="H4351" s="1"/>
      <c r="N4351" s="166"/>
    </row>
    <row r="4352" spans="1:14">
      <c r="A4352" s="166"/>
      <c r="H4352" s="1"/>
      <c r="N4352" s="166"/>
    </row>
    <row r="4353" spans="1:14">
      <c r="A4353" s="166"/>
      <c r="H4353" s="1"/>
      <c r="N4353" s="166"/>
    </row>
    <row r="4354" spans="1:14">
      <c r="A4354" s="166"/>
      <c r="H4354" s="1"/>
      <c r="N4354" s="166"/>
    </row>
    <row r="4355" spans="1:14">
      <c r="A4355" s="166"/>
      <c r="H4355" s="1"/>
      <c r="N4355" s="166"/>
    </row>
    <row r="4356" spans="1:14">
      <c r="A4356" s="166"/>
      <c r="H4356" s="1"/>
      <c r="N4356" s="166"/>
    </row>
    <row r="4357" spans="1:14">
      <c r="A4357" s="166"/>
      <c r="H4357" s="1"/>
      <c r="N4357" s="166"/>
    </row>
    <row r="4358" spans="1:14">
      <c r="A4358" s="166"/>
      <c r="H4358" s="1"/>
      <c r="N4358" s="166"/>
    </row>
    <row r="4359" spans="1:14">
      <c r="A4359" s="166"/>
      <c r="H4359" s="1"/>
      <c r="N4359" s="166"/>
    </row>
    <row r="4360" spans="1:14">
      <c r="A4360" s="166"/>
      <c r="H4360" s="1"/>
      <c r="N4360" s="166"/>
    </row>
    <row r="4361" spans="1:14">
      <c r="A4361" s="166"/>
      <c r="H4361" s="1"/>
      <c r="N4361" s="166"/>
    </row>
    <row r="4362" spans="1:14">
      <c r="A4362" s="166"/>
      <c r="H4362" s="1"/>
      <c r="N4362" s="166"/>
    </row>
    <row r="4363" spans="1:14">
      <c r="A4363" s="166"/>
      <c r="H4363" s="1"/>
      <c r="N4363" s="166"/>
    </row>
    <row r="4364" spans="1:14">
      <c r="A4364" s="166"/>
      <c r="H4364" s="1"/>
      <c r="N4364" s="166"/>
    </row>
    <row r="4365" spans="1:14">
      <c r="A4365" s="166"/>
      <c r="H4365" s="1"/>
      <c r="N4365" s="166"/>
    </row>
    <row r="4366" spans="1:14">
      <c r="A4366" s="166"/>
      <c r="H4366" s="1"/>
      <c r="N4366" s="166"/>
    </row>
    <row r="4367" spans="1:14">
      <c r="A4367" s="166"/>
      <c r="H4367" s="1"/>
      <c r="N4367" s="166"/>
    </row>
    <row r="4368" spans="1:14">
      <c r="A4368" s="166"/>
      <c r="H4368" s="1"/>
      <c r="N4368" s="166"/>
    </row>
    <row r="4369" spans="1:14">
      <c r="A4369" s="166"/>
      <c r="H4369" s="1"/>
      <c r="N4369" s="166"/>
    </row>
    <row r="4370" spans="1:14">
      <c r="A4370" s="166"/>
      <c r="H4370" s="1"/>
      <c r="N4370" s="166"/>
    </row>
    <row r="4371" spans="1:14">
      <c r="A4371" s="166"/>
      <c r="H4371" s="1"/>
      <c r="N4371" s="166"/>
    </row>
    <row r="4372" spans="1:14">
      <c r="A4372" s="166"/>
      <c r="H4372" s="1"/>
      <c r="N4372" s="166"/>
    </row>
    <row r="4373" spans="1:14">
      <c r="A4373" s="166"/>
      <c r="H4373" s="1"/>
      <c r="N4373" s="166"/>
    </row>
    <row r="4374" spans="1:14">
      <c r="A4374" s="166"/>
      <c r="H4374" s="1"/>
      <c r="N4374" s="166"/>
    </row>
    <row r="4375" spans="1:14">
      <c r="A4375" s="166"/>
      <c r="H4375" s="1"/>
      <c r="N4375" s="166"/>
    </row>
    <row r="4376" spans="1:14">
      <c r="A4376" s="166"/>
      <c r="H4376" s="1"/>
      <c r="N4376" s="166"/>
    </row>
    <row r="4377" spans="1:14">
      <c r="A4377" s="166"/>
      <c r="H4377" s="1"/>
      <c r="N4377" s="166"/>
    </row>
    <row r="4378" spans="1:14">
      <c r="A4378" s="166"/>
      <c r="H4378" s="1"/>
      <c r="N4378" s="166"/>
    </row>
    <row r="4379" spans="1:14">
      <c r="A4379" s="166"/>
      <c r="H4379" s="1"/>
      <c r="N4379" s="166"/>
    </row>
    <row r="4380" spans="1:14">
      <c r="A4380" s="166"/>
      <c r="H4380" s="1"/>
      <c r="N4380" s="166"/>
    </row>
    <row r="4381" spans="1:14">
      <c r="A4381" s="166"/>
      <c r="H4381" s="1"/>
      <c r="N4381" s="166"/>
    </row>
    <row r="4382" spans="1:14">
      <c r="A4382" s="166"/>
      <c r="H4382" s="1"/>
      <c r="N4382" s="166"/>
    </row>
    <row r="4383" spans="1:14">
      <c r="A4383" s="166"/>
      <c r="H4383" s="1"/>
      <c r="N4383" s="166"/>
    </row>
    <row r="4384" spans="1:14">
      <c r="A4384" s="166"/>
      <c r="H4384" s="1"/>
      <c r="N4384" s="166"/>
    </row>
    <row r="4385" spans="1:14">
      <c r="A4385" s="166"/>
      <c r="H4385" s="1"/>
      <c r="N4385" s="166"/>
    </row>
    <row r="4386" spans="1:14">
      <c r="A4386" s="166"/>
      <c r="H4386" s="1"/>
      <c r="N4386" s="166"/>
    </row>
    <row r="4387" spans="1:14">
      <c r="A4387" s="166"/>
      <c r="H4387" s="1"/>
      <c r="N4387" s="166"/>
    </row>
    <row r="4388" spans="1:14">
      <c r="A4388" s="166"/>
      <c r="H4388" s="1"/>
      <c r="N4388" s="166"/>
    </row>
    <row r="4389" spans="1:14">
      <c r="A4389" s="166"/>
      <c r="H4389" s="1"/>
      <c r="N4389" s="166"/>
    </row>
    <row r="4390" spans="1:14">
      <c r="A4390" s="166"/>
      <c r="H4390" s="1"/>
      <c r="N4390" s="166"/>
    </row>
    <row r="4391" spans="1:14">
      <c r="A4391" s="166"/>
      <c r="H4391" s="1"/>
      <c r="N4391" s="166"/>
    </row>
    <row r="4392" spans="1:14">
      <c r="A4392" s="166"/>
      <c r="H4392" s="1"/>
      <c r="N4392" s="166"/>
    </row>
    <row r="4393" spans="1:14">
      <c r="A4393" s="166"/>
      <c r="H4393" s="1"/>
      <c r="N4393" s="166"/>
    </row>
    <row r="4394" spans="1:14">
      <c r="A4394" s="166"/>
      <c r="H4394" s="1"/>
      <c r="N4394" s="166"/>
    </row>
    <row r="4395" spans="1:14">
      <c r="A4395" s="166"/>
      <c r="H4395" s="1"/>
      <c r="N4395" s="166"/>
    </row>
    <row r="4396" spans="1:14">
      <c r="A4396" s="166"/>
      <c r="H4396" s="1"/>
      <c r="N4396" s="166"/>
    </row>
    <row r="4397" spans="1:14">
      <c r="A4397" s="166"/>
      <c r="H4397" s="1"/>
      <c r="N4397" s="166"/>
    </row>
    <row r="4398" spans="1:14">
      <c r="A4398" s="166"/>
      <c r="H4398" s="1"/>
      <c r="N4398" s="166"/>
    </row>
    <row r="4399" spans="1:14">
      <c r="A4399" s="166"/>
      <c r="H4399" s="1"/>
      <c r="N4399" s="166"/>
    </row>
    <row r="4400" spans="1:14">
      <c r="A4400" s="166"/>
      <c r="H4400" s="1"/>
      <c r="N4400" s="166"/>
    </row>
    <row r="4401" spans="1:14">
      <c r="A4401" s="166"/>
      <c r="H4401" s="1"/>
      <c r="N4401" s="166"/>
    </row>
    <row r="4402" spans="1:14">
      <c r="A4402" s="166"/>
      <c r="H4402" s="1"/>
      <c r="N4402" s="166"/>
    </row>
    <row r="4403" spans="1:14">
      <c r="A4403" s="166"/>
      <c r="H4403" s="1"/>
      <c r="N4403" s="166"/>
    </row>
    <row r="4404" spans="1:14">
      <c r="A4404" s="166"/>
      <c r="H4404" s="1"/>
      <c r="N4404" s="166"/>
    </row>
    <row r="4405" spans="1:14">
      <c r="A4405" s="166"/>
      <c r="H4405" s="1"/>
      <c r="N4405" s="166"/>
    </row>
    <row r="4406" spans="1:14">
      <c r="A4406" s="166"/>
      <c r="H4406" s="1"/>
      <c r="N4406" s="166"/>
    </row>
    <row r="4407" spans="1:14">
      <c r="A4407" s="166"/>
      <c r="H4407" s="1"/>
      <c r="N4407" s="166"/>
    </row>
    <row r="4408" spans="1:14">
      <c r="A4408" s="166"/>
      <c r="H4408" s="1"/>
      <c r="N4408" s="166"/>
    </row>
    <row r="4409" spans="1:14">
      <c r="A4409" s="166"/>
      <c r="H4409" s="1"/>
      <c r="N4409" s="166"/>
    </row>
    <row r="4410" spans="1:14">
      <c r="A4410" s="166"/>
      <c r="H4410" s="1"/>
      <c r="N4410" s="166"/>
    </row>
    <row r="4411" spans="1:14">
      <c r="A4411" s="166"/>
      <c r="H4411" s="1"/>
      <c r="N4411" s="166"/>
    </row>
    <row r="4412" spans="1:14">
      <c r="A4412" s="166"/>
      <c r="H4412" s="1"/>
      <c r="N4412" s="166"/>
    </row>
    <row r="4413" spans="1:14">
      <c r="A4413" s="166"/>
      <c r="H4413" s="1"/>
      <c r="N4413" s="166"/>
    </row>
    <row r="4414" spans="1:14">
      <c r="A4414" s="166"/>
      <c r="H4414" s="1"/>
      <c r="N4414" s="166"/>
    </row>
    <row r="4415" spans="1:14">
      <c r="A4415" s="166"/>
      <c r="H4415" s="1"/>
      <c r="N4415" s="166"/>
    </row>
    <row r="4416" spans="1:14">
      <c r="A4416" s="166"/>
      <c r="H4416" s="1"/>
      <c r="N4416" s="166"/>
    </row>
    <row r="4417" spans="1:14">
      <c r="A4417" s="166"/>
      <c r="H4417" s="1"/>
      <c r="N4417" s="166"/>
    </row>
    <row r="4418" spans="1:14">
      <c r="A4418" s="166"/>
      <c r="H4418" s="1"/>
      <c r="N4418" s="166"/>
    </row>
    <row r="4419" spans="1:14">
      <c r="A4419" s="166"/>
      <c r="H4419" s="1"/>
      <c r="N4419" s="166"/>
    </row>
    <row r="4420" spans="1:14">
      <c r="A4420" s="166"/>
      <c r="H4420" s="1"/>
      <c r="N4420" s="166"/>
    </row>
    <row r="4421" spans="1:14">
      <c r="A4421" s="166"/>
      <c r="H4421" s="1"/>
      <c r="N4421" s="166"/>
    </row>
    <row r="4422" spans="1:14">
      <c r="A4422" s="166"/>
      <c r="H4422" s="1"/>
      <c r="N4422" s="166"/>
    </row>
    <row r="4423" spans="1:14">
      <c r="A4423" s="166"/>
      <c r="H4423" s="1"/>
      <c r="N4423" s="166"/>
    </row>
    <row r="4424" spans="1:14">
      <c r="A4424" s="166"/>
      <c r="H4424" s="1"/>
      <c r="N4424" s="166"/>
    </row>
    <row r="4425" spans="1:14">
      <c r="A4425" s="166"/>
      <c r="H4425" s="1"/>
      <c r="N4425" s="166"/>
    </row>
    <row r="4426" spans="1:14">
      <c r="A4426" s="166"/>
      <c r="H4426" s="1"/>
      <c r="N4426" s="166"/>
    </row>
    <row r="4427" spans="1:14">
      <c r="A4427" s="166"/>
      <c r="H4427" s="1"/>
      <c r="N4427" s="166"/>
    </row>
    <row r="4428" spans="1:14">
      <c r="A4428" s="166"/>
      <c r="H4428" s="1"/>
      <c r="N4428" s="166"/>
    </row>
    <row r="4429" spans="1:14">
      <c r="A4429" s="166"/>
      <c r="H4429" s="1"/>
      <c r="N4429" s="166"/>
    </row>
    <row r="4430" spans="1:14">
      <c r="A4430" s="166"/>
      <c r="H4430" s="1"/>
      <c r="N4430" s="166"/>
    </row>
    <row r="4431" spans="1:14">
      <c r="A4431" s="166"/>
      <c r="H4431" s="1"/>
      <c r="N4431" s="166"/>
    </row>
    <row r="4432" spans="1:14">
      <c r="A4432" s="166"/>
      <c r="H4432" s="1"/>
      <c r="N4432" s="166"/>
    </row>
    <row r="4433" spans="1:14">
      <c r="A4433" s="166"/>
      <c r="H4433" s="1"/>
      <c r="N4433" s="166"/>
    </row>
    <row r="4434" spans="1:14">
      <c r="A4434" s="166"/>
      <c r="H4434" s="1"/>
      <c r="N4434" s="166"/>
    </row>
    <row r="4435" spans="1:14">
      <c r="A4435" s="166"/>
      <c r="H4435" s="1"/>
      <c r="N4435" s="166"/>
    </row>
    <row r="4436" spans="1:14">
      <c r="A4436" s="166"/>
      <c r="H4436" s="1"/>
      <c r="N4436" s="166"/>
    </row>
    <row r="4437" spans="1:14">
      <c r="A4437" s="166"/>
      <c r="H4437" s="1"/>
      <c r="N4437" s="166"/>
    </row>
    <row r="4438" spans="1:14">
      <c r="A4438" s="166"/>
      <c r="H4438" s="1"/>
      <c r="N4438" s="166"/>
    </row>
    <row r="4439" spans="1:14">
      <c r="A4439" s="166"/>
      <c r="H4439" s="1"/>
      <c r="N4439" s="166"/>
    </row>
    <row r="4440" spans="1:14">
      <c r="A4440" s="166"/>
      <c r="H4440" s="1"/>
      <c r="N4440" s="166"/>
    </row>
    <row r="4441" spans="1:14">
      <c r="A4441" s="166"/>
      <c r="H4441" s="1"/>
      <c r="N4441" s="166"/>
    </row>
    <row r="4442" spans="1:14">
      <c r="A4442" s="166"/>
      <c r="H4442" s="1"/>
      <c r="N4442" s="166"/>
    </row>
    <row r="4443" spans="1:14">
      <c r="A4443" s="166"/>
      <c r="H4443" s="1"/>
      <c r="N4443" s="166"/>
    </row>
    <row r="4444" spans="1:14">
      <c r="A4444" s="166"/>
      <c r="H4444" s="1"/>
      <c r="N4444" s="166"/>
    </row>
    <row r="4445" spans="1:14">
      <c r="A4445" s="166"/>
      <c r="H4445" s="1"/>
      <c r="N4445" s="166"/>
    </row>
    <row r="4446" spans="1:14">
      <c r="A4446" s="166"/>
      <c r="H4446" s="1"/>
      <c r="N4446" s="166"/>
    </row>
    <row r="4447" spans="1:14">
      <c r="A4447" s="166"/>
      <c r="H4447" s="1"/>
      <c r="N4447" s="166"/>
    </row>
    <row r="4448" spans="1:14">
      <c r="A4448" s="166"/>
      <c r="H4448" s="1"/>
      <c r="N4448" s="166"/>
    </row>
    <row r="4449" spans="1:14">
      <c r="A4449" s="166"/>
      <c r="H4449" s="1"/>
      <c r="N4449" s="166"/>
    </row>
    <row r="4450" spans="1:14">
      <c r="A4450" s="166"/>
      <c r="H4450" s="1"/>
      <c r="N4450" s="166"/>
    </row>
    <row r="4451" spans="1:14">
      <c r="A4451" s="166"/>
      <c r="H4451" s="1"/>
      <c r="N4451" s="166"/>
    </row>
    <row r="4452" spans="1:14">
      <c r="A4452" s="166"/>
      <c r="H4452" s="1"/>
      <c r="N4452" s="166"/>
    </row>
    <row r="4453" spans="1:14">
      <c r="A4453" s="166"/>
      <c r="H4453" s="1"/>
      <c r="N4453" s="166"/>
    </row>
    <row r="4454" spans="1:14">
      <c r="A4454" s="166"/>
      <c r="H4454" s="1"/>
      <c r="N4454" s="166"/>
    </row>
    <row r="4455" spans="1:14">
      <c r="A4455" s="166"/>
      <c r="H4455" s="1"/>
      <c r="N4455" s="166"/>
    </row>
    <row r="4456" spans="1:14">
      <c r="A4456" s="166"/>
      <c r="H4456" s="1"/>
      <c r="N4456" s="166"/>
    </row>
    <row r="4457" spans="1:14">
      <c r="A4457" s="166"/>
      <c r="H4457" s="1"/>
      <c r="N4457" s="166"/>
    </row>
    <row r="4458" spans="1:14">
      <c r="A4458" s="166"/>
      <c r="H4458" s="1"/>
      <c r="N4458" s="166"/>
    </row>
    <row r="4459" spans="1:14">
      <c r="A4459" s="166"/>
      <c r="H4459" s="1"/>
      <c r="N4459" s="166"/>
    </row>
    <row r="4460" spans="1:14">
      <c r="A4460" s="166"/>
      <c r="H4460" s="1"/>
      <c r="N4460" s="166"/>
    </row>
    <row r="4461" spans="1:14">
      <c r="A4461" s="166"/>
      <c r="H4461" s="1"/>
      <c r="N4461" s="166"/>
    </row>
    <row r="4462" spans="1:14">
      <c r="A4462" s="166"/>
      <c r="H4462" s="1"/>
      <c r="N4462" s="166"/>
    </row>
    <row r="4463" spans="1:14">
      <c r="A4463" s="166"/>
      <c r="H4463" s="1"/>
      <c r="N4463" s="166"/>
    </row>
    <row r="4464" spans="1:14">
      <c r="A4464" s="166"/>
      <c r="H4464" s="1"/>
      <c r="N4464" s="166"/>
    </row>
    <row r="4465" spans="1:14">
      <c r="A4465" s="166"/>
      <c r="H4465" s="1"/>
      <c r="N4465" s="166"/>
    </row>
    <row r="4466" spans="1:14">
      <c r="A4466" s="166"/>
      <c r="H4466" s="1"/>
      <c r="N4466" s="166"/>
    </row>
    <row r="4467" spans="1:14">
      <c r="A4467" s="166"/>
      <c r="H4467" s="1"/>
      <c r="N4467" s="166"/>
    </row>
    <row r="4468" spans="1:14">
      <c r="A4468" s="166"/>
      <c r="H4468" s="1"/>
      <c r="N4468" s="166"/>
    </row>
    <row r="4469" spans="1:14">
      <c r="A4469" s="166"/>
      <c r="H4469" s="1"/>
      <c r="N4469" s="166"/>
    </row>
    <row r="4470" spans="1:14">
      <c r="A4470" s="166"/>
      <c r="H4470" s="1"/>
      <c r="N4470" s="166"/>
    </row>
    <row r="4471" spans="1:14">
      <c r="A4471" s="166"/>
      <c r="H4471" s="1"/>
      <c r="N4471" s="166"/>
    </row>
    <row r="4472" spans="1:14">
      <c r="A4472" s="166"/>
      <c r="H4472" s="1"/>
      <c r="N4472" s="166"/>
    </row>
    <row r="4473" spans="1:14">
      <c r="A4473" s="166"/>
      <c r="H4473" s="1"/>
      <c r="N4473" s="166"/>
    </row>
    <row r="4474" spans="1:14">
      <c r="A4474" s="166"/>
      <c r="H4474" s="1"/>
      <c r="N4474" s="166"/>
    </row>
    <row r="4475" spans="1:14">
      <c r="A4475" s="166"/>
      <c r="H4475" s="1"/>
      <c r="N4475" s="166"/>
    </row>
    <row r="4476" spans="1:14">
      <c r="A4476" s="166"/>
      <c r="H4476" s="1"/>
      <c r="N4476" s="166"/>
    </row>
    <row r="4477" spans="1:14">
      <c r="A4477" s="166"/>
      <c r="H4477" s="1"/>
      <c r="N4477" s="166"/>
    </row>
    <row r="4478" spans="1:14">
      <c r="A4478" s="166"/>
      <c r="H4478" s="1"/>
      <c r="N4478" s="166"/>
    </row>
    <row r="4479" spans="1:14">
      <c r="A4479" s="166"/>
      <c r="H4479" s="1"/>
      <c r="N4479" s="166"/>
    </row>
    <row r="4480" spans="1:14">
      <c r="A4480" s="166"/>
      <c r="H4480" s="1"/>
      <c r="N4480" s="166"/>
    </row>
    <row r="4481" spans="1:14">
      <c r="A4481" s="166"/>
      <c r="H4481" s="1"/>
      <c r="N4481" s="166"/>
    </row>
    <row r="4482" spans="1:14">
      <c r="A4482" s="166"/>
      <c r="H4482" s="1"/>
      <c r="N4482" s="166"/>
    </row>
    <row r="4483" spans="1:14">
      <c r="A4483" s="166"/>
      <c r="H4483" s="1"/>
      <c r="N4483" s="166"/>
    </row>
    <row r="4484" spans="1:14">
      <c r="A4484" s="166"/>
      <c r="H4484" s="1"/>
      <c r="N4484" s="166"/>
    </row>
    <row r="4485" spans="1:14">
      <c r="A4485" s="166"/>
      <c r="H4485" s="1"/>
      <c r="N4485" s="166"/>
    </row>
    <row r="4486" spans="1:14">
      <c r="A4486" s="166"/>
      <c r="H4486" s="1"/>
      <c r="N4486" s="166"/>
    </row>
    <row r="4487" spans="1:14">
      <c r="A4487" s="166"/>
      <c r="H4487" s="1"/>
      <c r="N4487" s="166"/>
    </row>
    <row r="4488" spans="1:14">
      <c r="A4488" s="166"/>
      <c r="H4488" s="1"/>
      <c r="N4488" s="166"/>
    </row>
    <row r="4489" spans="1:14">
      <c r="A4489" s="166"/>
      <c r="H4489" s="1"/>
      <c r="N4489" s="166"/>
    </row>
    <row r="4490" spans="1:14">
      <c r="A4490" s="166"/>
      <c r="H4490" s="1"/>
      <c r="N4490" s="166"/>
    </row>
    <row r="4491" spans="1:14">
      <c r="A4491" s="166"/>
      <c r="H4491" s="1"/>
      <c r="N4491" s="166"/>
    </row>
    <row r="4492" spans="1:14">
      <c r="A4492" s="166"/>
      <c r="H4492" s="1"/>
      <c r="N4492" s="166"/>
    </row>
    <row r="4493" spans="1:14">
      <c r="A4493" s="166"/>
      <c r="H4493" s="1"/>
      <c r="N4493" s="166"/>
    </row>
    <row r="4494" spans="1:14">
      <c r="A4494" s="166"/>
      <c r="H4494" s="1"/>
      <c r="N4494" s="166"/>
    </row>
    <row r="4495" spans="1:14">
      <c r="A4495" s="166"/>
      <c r="H4495" s="1"/>
      <c r="N4495" s="166"/>
    </row>
    <row r="4496" spans="1:14">
      <c r="A4496" s="166"/>
      <c r="H4496" s="1"/>
      <c r="N4496" s="166"/>
    </row>
    <row r="4497" spans="1:14">
      <c r="A4497" s="166"/>
      <c r="H4497" s="1"/>
      <c r="N4497" s="166"/>
    </row>
    <row r="4498" spans="1:14">
      <c r="A4498" s="166"/>
      <c r="H4498" s="1"/>
      <c r="N4498" s="166"/>
    </row>
    <row r="4499" spans="1:14">
      <c r="A4499" s="166"/>
      <c r="H4499" s="1"/>
      <c r="N4499" s="166"/>
    </row>
    <row r="4500" spans="1:14">
      <c r="A4500" s="166"/>
      <c r="H4500" s="1"/>
      <c r="N4500" s="166"/>
    </row>
    <row r="4501" spans="1:14">
      <c r="A4501" s="166"/>
      <c r="H4501" s="1"/>
      <c r="N4501" s="166"/>
    </row>
    <row r="4502" spans="1:14">
      <c r="A4502" s="166"/>
      <c r="H4502" s="1"/>
      <c r="N4502" s="166"/>
    </row>
    <row r="4503" spans="1:14">
      <c r="A4503" s="166"/>
      <c r="H4503" s="1"/>
      <c r="N4503" s="166"/>
    </row>
    <row r="4504" spans="1:14">
      <c r="A4504" s="166"/>
      <c r="H4504" s="1"/>
      <c r="N4504" s="166"/>
    </row>
    <row r="4505" spans="1:14">
      <c r="A4505" s="166"/>
      <c r="H4505" s="1"/>
      <c r="N4505" s="166"/>
    </row>
    <row r="4506" spans="1:14">
      <c r="A4506" s="166"/>
      <c r="H4506" s="1"/>
      <c r="N4506" s="166"/>
    </row>
    <row r="4507" spans="1:14">
      <c r="A4507" s="166"/>
      <c r="H4507" s="1"/>
      <c r="N4507" s="166"/>
    </row>
    <row r="4508" spans="1:14">
      <c r="A4508" s="166"/>
      <c r="H4508" s="1"/>
      <c r="N4508" s="166"/>
    </row>
    <row r="4509" spans="1:14">
      <c r="A4509" s="166"/>
      <c r="H4509" s="1"/>
      <c r="N4509" s="166"/>
    </row>
    <row r="4510" spans="1:14">
      <c r="A4510" s="166"/>
      <c r="H4510" s="1"/>
      <c r="N4510" s="166"/>
    </row>
    <row r="4511" spans="1:14">
      <c r="A4511" s="166"/>
      <c r="H4511" s="1"/>
      <c r="N4511" s="166"/>
    </row>
    <row r="4512" spans="1:14">
      <c r="A4512" s="166"/>
      <c r="H4512" s="1"/>
      <c r="N4512" s="166"/>
    </row>
    <row r="4513" spans="1:14">
      <c r="A4513" s="166"/>
      <c r="H4513" s="1"/>
      <c r="N4513" s="166"/>
    </row>
    <row r="4514" spans="1:14">
      <c r="A4514" s="166"/>
      <c r="H4514" s="1"/>
      <c r="N4514" s="166"/>
    </row>
    <row r="4515" spans="1:14">
      <c r="A4515" s="166"/>
      <c r="H4515" s="1"/>
      <c r="N4515" s="166"/>
    </row>
    <row r="4516" spans="1:14">
      <c r="A4516" s="166"/>
      <c r="H4516" s="1"/>
      <c r="N4516" s="166"/>
    </row>
    <row r="4517" spans="1:14">
      <c r="A4517" s="166"/>
      <c r="H4517" s="1"/>
      <c r="N4517" s="166"/>
    </row>
    <row r="4518" spans="1:14">
      <c r="A4518" s="166"/>
      <c r="H4518" s="1"/>
      <c r="N4518" s="166"/>
    </row>
    <row r="4519" spans="1:14">
      <c r="A4519" s="166"/>
      <c r="H4519" s="1"/>
      <c r="N4519" s="166"/>
    </row>
    <row r="4520" spans="1:14">
      <c r="A4520" s="166"/>
      <c r="H4520" s="1"/>
      <c r="N4520" s="166"/>
    </row>
    <row r="4521" spans="1:14">
      <c r="A4521" s="166"/>
      <c r="H4521" s="1"/>
      <c r="N4521" s="166"/>
    </row>
    <row r="4522" spans="1:14">
      <c r="A4522" s="166"/>
      <c r="H4522" s="1"/>
      <c r="N4522" s="166"/>
    </row>
    <row r="4523" spans="1:14">
      <c r="A4523" s="166"/>
      <c r="H4523" s="1"/>
      <c r="N4523" s="166"/>
    </row>
    <row r="4524" spans="1:14">
      <c r="A4524" s="166"/>
      <c r="H4524" s="1"/>
      <c r="N4524" s="166"/>
    </row>
    <row r="4525" spans="1:14">
      <c r="A4525" s="166"/>
      <c r="H4525" s="1"/>
      <c r="N4525" s="166"/>
    </row>
    <row r="4526" spans="1:14">
      <c r="A4526" s="166"/>
      <c r="H4526" s="1"/>
      <c r="N4526" s="166"/>
    </row>
    <row r="4527" spans="1:14">
      <c r="A4527" s="166"/>
      <c r="H4527" s="1"/>
      <c r="N4527" s="166"/>
    </row>
    <row r="4528" spans="1:14">
      <c r="A4528" s="166"/>
      <c r="H4528" s="1"/>
      <c r="N4528" s="166"/>
    </row>
    <row r="4529" spans="1:14">
      <c r="A4529" s="166"/>
      <c r="H4529" s="1"/>
      <c r="N4529" s="166"/>
    </row>
    <row r="4530" spans="1:14">
      <c r="A4530" s="166"/>
      <c r="H4530" s="1"/>
      <c r="N4530" s="166"/>
    </row>
    <row r="4531" spans="1:14">
      <c r="A4531" s="166"/>
      <c r="H4531" s="1"/>
      <c r="N4531" s="166"/>
    </row>
    <row r="4532" spans="1:14">
      <c r="A4532" s="166"/>
      <c r="H4532" s="1"/>
      <c r="N4532" s="166"/>
    </row>
    <row r="4533" spans="1:14">
      <c r="A4533" s="166"/>
      <c r="H4533" s="1"/>
      <c r="N4533" s="166"/>
    </row>
    <row r="4534" spans="1:14">
      <c r="A4534" s="166"/>
      <c r="H4534" s="1"/>
      <c r="N4534" s="166"/>
    </row>
    <row r="4535" spans="1:14">
      <c r="A4535" s="166"/>
      <c r="H4535" s="1"/>
      <c r="N4535" s="166"/>
    </row>
    <row r="4536" spans="1:14">
      <c r="A4536" s="166"/>
      <c r="H4536" s="1"/>
      <c r="N4536" s="166"/>
    </row>
    <row r="4537" spans="1:14">
      <c r="A4537" s="166"/>
      <c r="H4537" s="1"/>
      <c r="N4537" s="166"/>
    </row>
    <row r="4538" spans="1:14">
      <c r="A4538" s="166"/>
      <c r="H4538" s="1"/>
      <c r="N4538" s="166"/>
    </row>
    <row r="4539" spans="1:14">
      <c r="A4539" s="166"/>
      <c r="H4539" s="1"/>
      <c r="N4539" s="166"/>
    </row>
    <row r="4540" spans="1:14">
      <c r="A4540" s="166"/>
      <c r="H4540" s="1"/>
      <c r="N4540" s="166"/>
    </row>
    <row r="4541" spans="1:14">
      <c r="A4541" s="166"/>
      <c r="H4541" s="1"/>
      <c r="N4541" s="166"/>
    </row>
    <row r="4542" spans="1:14">
      <c r="A4542" s="166"/>
      <c r="H4542" s="1"/>
      <c r="N4542" s="166"/>
    </row>
    <row r="4543" spans="1:14">
      <c r="A4543" s="166"/>
      <c r="H4543" s="1"/>
      <c r="N4543" s="166"/>
    </row>
    <row r="4544" spans="1:14">
      <c r="A4544" s="166"/>
      <c r="H4544" s="1"/>
      <c r="N4544" s="166"/>
    </row>
    <row r="4545" spans="1:14">
      <c r="A4545" s="166"/>
      <c r="H4545" s="1"/>
      <c r="N4545" s="166"/>
    </row>
    <row r="4546" spans="1:14">
      <c r="A4546" s="166"/>
      <c r="H4546" s="1"/>
      <c r="N4546" s="166"/>
    </row>
    <row r="4547" spans="1:14">
      <c r="A4547" s="166"/>
      <c r="H4547" s="1"/>
      <c r="N4547" s="166"/>
    </row>
    <row r="4548" spans="1:14">
      <c r="A4548" s="166"/>
      <c r="H4548" s="1"/>
      <c r="N4548" s="166"/>
    </row>
    <row r="4549" spans="1:14">
      <c r="A4549" s="166"/>
      <c r="H4549" s="1"/>
      <c r="N4549" s="166"/>
    </row>
    <row r="4550" spans="1:14">
      <c r="A4550" s="166"/>
      <c r="H4550" s="1"/>
      <c r="N4550" s="166"/>
    </row>
    <row r="4551" spans="1:14">
      <c r="A4551" s="166"/>
      <c r="H4551" s="1"/>
      <c r="N4551" s="166"/>
    </row>
    <row r="4552" spans="1:14">
      <c r="A4552" s="166"/>
      <c r="H4552" s="1"/>
      <c r="N4552" s="166"/>
    </row>
    <row r="4553" spans="1:14">
      <c r="A4553" s="166"/>
      <c r="H4553" s="1"/>
      <c r="N4553" s="166"/>
    </row>
    <row r="4554" spans="1:14">
      <c r="A4554" s="166"/>
      <c r="H4554" s="1"/>
      <c r="N4554" s="166"/>
    </row>
    <row r="4555" spans="1:14">
      <c r="A4555" s="166"/>
      <c r="H4555" s="1"/>
      <c r="N4555" s="166"/>
    </row>
    <row r="4556" spans="1:14">
      <c r="A4556" s="166"/>
      <c r="H4556" s="1"/>
      <c r="N4556" s="166"/>
    </row>
    <row r="4557" spans="1:14">
      <c r="A4557" s="166"/>
      <c r="H4557" s="1"/>
      <c r="N4557" s="166"/>
    </row>
    <row r="4558" spans="1:14">
      <c r="A4558" s="166"/>
      <c r="H4558" s="1"/>
      <c r="N4558" s="166"/>
    </row>
    <row r="4559" spans="1:14">
      <c r="A4559" s="166"/>
      <c r="H4559" s="1"/>
      <c r="N4559" s="166"/>
    </row>
    <row r="4560" spans="1:14">
      <c r="A4560" s="166"/>
      <c r="H4560" s="1"/>
      <c r="N4560" s="166"/>
    </row>
    <row r="4561" spans="1:14">
      <c r="A4561" s="166"/>
      <c r="H4561" s="1"/>
      <c r="N4561" s="166"/>
    </row>
    <row r="4562" spans="1:14">
      <c r="A4562" s="166"/>
      <c r="H4562" s="1"/>
      <c r="N4562" s="166"/>
    </row>
    <row r="4563" spans="1:14">
      <c r="A4563" s="166"/>
      <c r="H4563" s="1"/>
      <c r="N4563" s="166"/>
    </row>
    <row r="4564" spans="1:14">
      <c r="A4564" s="166"/>
      <c r="H4564" s="1"/>
      <c r="N4564" s="166"/>
    </row>
    <row r="4565" spans="1:14">
      <c r="A4565" s="166"/>
      <c r="H4565" s="1"/>
      <c r="N4565" s="166"/>
    </row>
    <row r="4566" spans="1:14">
      <c r="A4566" s="166"/>
      <c r="H4566" s="1"/>
      <c r="N4566" s="166"/>
    </row>
    <row r="4567" spans="1:14">
      <c r="A4567" s="166"/>
      <c r="H4567" s="1"/>
      <c r="N4567" s="166"/>
    </row>
    <row r="4568" spans="1:14">
      <c r="A4568" s="166"/>
      <c r="H4568" s="1"/>
      <c r="N4568" s="166"/>
    </row>
    <row r="4569" spans="1:14">
      <c r="A4569" s="166"/>
      <c r="H4569" s="1"/>
      <c r="N4569" s="166"/>
    </row>
    <row r="4570" spans="1:14">
      <c r="A4570" s="166"/>
      <c r="H4570" s="1"/>
      <c r="N4570" s="166"/>
    </row>
    <row r="4571" spans="1:14">
      <c r="A4571" s="166"/>
      <c r="H4571" s="1"/>
      <c r="N4571" s="166"/>
    </row>
    <row r="4572" spans="1:14">
      <c r="A4572" s="166"/>
      <c r="H4572" s="1"/>
      <c r="N4572" s="166"/>
    </row>
    <row r="4573" spans="1:14">
      <c r="A4573" s="166"/>
      <c r="H4573" s="1"/>
      <c r="N4573" s="166"/>
    </row>
    <row r="4574" spans="1:14">
      <c r="A4574" s="166"/>
      <c r="H4574" s="1"/>
      <c r="N4574" s="166"/>
    </row>
    <row r="4575" spans="1:14">
      <c r="A4575" s="166"/>
      <c r="H4575" s="1"/>
      <c r="N4575" s="166"/>
    </row>
    <row r="4576" spans="1:14">
      <c r="A4576" s="166"/>
      <c r="H4576" s="1"/>
      <c r="N4576" s="166"/>
    </row>
    <row r="4577" spans="1:14">
      <c r="A4577" s="166"/>
      <c r="H4577" s="1"/>
      <c r="N4577" s="166"/>
    </row>
    <row r="4578" spans="1:14">
      <c r="A4578" s="166"/>
      <c r="H4578" s="1"/>
      <c r="N4578" s="166"/>
    </row>
    <row r="4579" spans="1:14">
      <c r="A4579" s="166"/>
      <c r="H4579" s="1"/>
      <c r="N4579" s="166"/>
    </row>
    <row r="4580" spans="1:14">
      <c r="A4580" s="166"/>
      <c r="H4580" s="1"/>
      <c r="N4580" s="166"/>
    </row>
    <row r="4581" spans="1:14">
      <c r="A4581" s="166"/>
      <c r="H4581" s="1"/>
      <c r="N4581" s="166"/>
    </row>
    <row r="4582" spans="1:14">
      <c r="A4582" s="166"/>
      <c r="H4582" s="1"/>
      <c r="N4582" s="166"/>
    </row>
    <row r="4583" spans="1:14">
      <c r="A4583" s="166"/>
      <c r="H4583" s="1"/>
      <c r="N4583" s="166"/>
    </row>
    <row r="4584" spans="1:14">
      <c r="A4584" s="166"/>
      <c r="H4584" s="1"/>
      <c r="N4584" s="166"/>
    </row>
    <row r="4585" spans="1:14">
      <c r="A4585" s="166"/>
      <c r="H4585" s="1"/>
      <c r="N4585" s="166"/>
    </row>
    <row r="4586" spans="1:14">
      <c r="A4586" s="166"/>
      <c r="H4586" s="1"/>
      <c r="N4586" s="166"/>
    </row>
    <row r="4587" spans="1:14">
      <c r="A4587" s="166"/>
      <c r="H4587" s="1"/>
      <c r="N4587" s="166"/>
    </row>
    <row r="4588" spans="1:14">
      <c r="A4588" s="166"/>
      <c r="H4588" s="1"/>
      <c r="N4588" s="166"/>
    </row>
    <row r="4589" spans="1:14">
      <c r="A4589" s="166"/>
      <c r="H4589" s="1"/>
      <c r="N4589" s="166"/>
    </row>
    <row r="4590" spans="1:14">
      <c r="A4590" s="166"/>
      <c r="H4590" s="1"/>
      <c r="N4590" s="166"/>
    </row>
    <row r="4591" spans="1:14">
      <c r="A4591" s="166"/>
      <c r="H4591" s="1"/>
      <c r="N4591" s="166"/>
    </row>
    <row r="4592" spans="1:14">
      <c r="A4592" s="166"/>
      <c r="H4592" s="1"/>
      <c r="N4592" s="166"/>
    </row>
    <row r="4593" spans="1:14">
      <c r="A4593" s="166"/>
      <c r="H4593" s="1"/>
      <c r="N4593" s="166"/>
    </row>
    <row r="4594" spans="1:14">
      <c r="A4594" s="166"/>
      <c r="H4594" s="1"/>
      <c r="N4594" s="166"/>
    </row>
    <row r="4595" spans="1:14">
      <c r="A4595" s="166"/>
      <c r="H4595" s="1"/>
      <c r="N4595" s="166"/>
    </row>
    <row r="4596" spans="1:14">
      <c r="A4596" s="166"/>
      <c r="H4596" s="1"/>
      <c r="N4596" s="166"/>
    </row>
    <row r="4597" spans="1:14">
      <c r="A4597" s="166"/>
      <c r="H4597" s="1"/>
      <c r="N4597" s="166"/>
    </row>
    <row r="4598" spans="1:14">
      <c r="A4598" s="166"/>
      <c r="H4598" s="1"/>
      <c r="N4598" s="166"/>
    </row>
    <row r="4599" spans="1:14">
      <c r="A4599" s="166"/>
      <c r="H4599" s="1"/>
      <c r="N4599" s="166"/>
    </row>
    <row r="4600" spans="1:14">
      <c r="A4600" s="166"/>
      <c r="H4600" s="1"/>
      <c r="N4600" s="166"/>
    </row>
    <row r="4601" spans="1:14">
      <c r="A4601" s="166"/>
      <c r="H4601" s="1"/>
      <c r="N4601" s="166"/>
    </row>
    <row r="4602" spans="1:14">
      <c r="A4602" s="166"/>
      <c r="H4602" s="1"/>
      <c r="N4602" s="166"/>
    </row>
    <row r="4603" spans="1:14">
      <c r="A4603" s="166"/>
      <c r="H4603" s="1"/>
      <c r="N4603" s="166"/>
    </row>
    <row r="4604" spans="1:14">
      <c r="A4604" s="166"/>
      <c r="H4604" s="1"/>
      <c r="N4604" s="166"/>
    </row>
    <row r="4605" spans="1:14">
      <c r="A4605" s="166"/>
      <c r="H4605" s="1"/>
      <c r="N4605" s="166"/>
    </row>
    <row r="4606" spans="1:14">
      <c r="A4606" s="166"/>
      <c r="H4606" s="1"/>
      <c r="N4606" s="166"/>
    </row>
    <row r="4607" spans="1:14">
      <c r="A4607" s="166"/>
      <c r="H4607" s="1"/>
      <c r="N4607" s="166"/>
    </row>
    <row r="4608" spans="1:14">
      <c r="A4608" s="166"/>
      <c r="H4608" s="1"/>
      <c r="N4608" s="166"/>
    </row>
    <row r="4609" spans="1:14">
      <c r="A4609" s="166"/>
      <c r="H4609" s="1"/>
      <c r="N4609" s="166"/>
    </row>
    <row r="4610" spans="1:14">
      <c r="A4610" s="166"/>
      <c r="H4610" s="1"/>
      <c r="N4610" s="166"/>
    </row>
    <row r="4611" spans="1:14">
      <c r="A4611" s="166"/>
      <c r="H4611" s="1"/>
      <c r="N4611" s="166"/>
    </row>
    <row r="4612" spans="1:14">
      <c r="A4612" s="166"/>
      <c r="H4612" s="1"/>
      <c r="N4612" s="166"/>
    </row>
    <row r="4613" spans="1:14">
      <c r="A4613" s="166"/>
      <c r="H4613" s="1"/>
      <c r="N4613" s="166"/>
    </row>
    <row r="4614" spans="1:14">
      <c r="A4614" s="166"/>
      <c r="H4614" s="1"/>
      <c r="N4614" s="166"/>
    </row>
    <row r="4615" spans="1:14">
      <c r="A4615" s="166"/>
      <c r="H4615" s="1"/>
      <c r="N4615" s="166"/>
    </row>
    <row r="4616" spans="1:14">
      <c r="A4616" s="166"/>
      <c r="H4616" s="1"/>
      <c r="N4616" s="166"/>
    </row>
    <row r="4617" spans="1:14">
      <c r="A4617" s="166"/>
      <c r="H4617" s="1"/>
      <c r="N4617" s="166"/>
    </row>
    <row r="4618" spans="1:14">
      <c r="A4618" s="166"/>
      <c r="H4618" s="1"/>
      <c r="N4618" s="166"/>
    </row>
    <row r="4619" spans="1:14">
      <c r="A4619" s="166"/>
      <c r="H4619" s="1"/>
      <c r="N4619" s="166"/>
    </row>
    <row r="4620" spans="1:14">
      <c r="A4620" s="166"/>
      <c r="H4620" s="1"/>
      <c r="N4620" s="166"/>
    </row>
    <row r="4621" spans="1:14">
      <c r="A4621" s="166"/>
      <c r="H4621" s="1"/>
      <c r="N4621" s="166"/>
    </row>
    <row r="4622" spans="1:14">
      <c r="A4622" s="166"/>
      <c r="H4622" s="1"/>
      <c r="N4622" s="166"/>
    </row>
    <row r="4623" spans="1:14">
      <c r="A4623" s="166"/>
      <c r="H4623" s="1"/>
      <c r="N4623" s="166"/>
    </row>
    <row r="4624" spans="1:14">
      <c r="A4624" s="166"/>
      <c r="H4624" s="1"/>
      <c r="N4624" s="166"/>
    </row>
    <row r="4625" spans="1:14">
      <c r="A4625" s="166"/>
      <c r="H4625" s="1"/>
      <c r="N4625" s="166"/>
    </row>
    <row r="4626" spans="1:14">
      <c r="A4626" s="166"/>
      <c r="H4626" s="1"/>
      <c r="N4626" s="166"/>
    </row>
    <row r="4627" spans="1:14">
      <c r="A4627" s="166"/>
      <c r="H4627" s="1"/>
      <c r="N4627" s="166"/>
    </row>
    <row r="4628" spans="1:14">
      <c r="A4628" s="166"/>
      <c r="H4628" s="1"/>
      <c r="N4628" s="166"/>
    </row>
    <row r="4629" spans="1:14">
      <c r="A4629" s="166"/>
      <c r="H4629" s="1"/>
      <c r="N4629" s="166"/>
    </row>
    <row r="4630" spans="1:14">
      <c r="A4630" s="166"/>
      <c r="H4630" s="1"/>
      <c r="N4630" s="166"/>
    </row>
    <row r="4631" spans="1:14">
      <c r="A4631" s="166"/>
      <c r="H4631" s="1"/>
      <c r="N4631" s="166"/>
    </row>
    <row r="4632" spans="1:14">
      <c r="A4632" s="166"/>
      <c r="H4632" s="1"/>
      <c r="N4632" s="166"/>
    </row>
    <row r="4633" spans="1:14">
      <c r="A4633" s="166"/>
      <c r="H4633" s="1"/>
      <c r="N4633" s="166"/>
    </row>
    <row r="4634" spans="1:14">
      <c r="A4634" s="166"/>
      <c r="H4634" s="1"/>
      <c r="N4634" s="166"/>
    </row>
    <row r="4635" spans="1:14">
      <c r="A4635" s="166"/>
      <c r="H4635" s="1"/>
      <c r="N4635" s="166"/>
    </row>
    <row r="4636" spans="1:14">
      <c r="A4636" s="166"/>
      <c r="H4636" s="1"/>
      <c r="N4636" s="166"/>
    </row>
    <row r="4637" spans="1:14">
      <c r="A4637" s="166"/>
      <c r="H4637" s="1"/>
      <c r="N4637" s="166"/>
    </row>
    <row r="4638" spans="1:14">
      <c r="A4638" s="166"/>
      <c r="H4638" s="1"/>
      <c r="N4638" s="166"/>
    </row>
    <row r="4639" spans="1:14">
      <c r="A4639" s="166"/>
      <c r="H4639" s="1"/>
      <c r="N4639" s="166"/>
    </row>
    <row r="4640" spans="1:14">
      <c r="A4640" s="166"/>
      <c r="H4640" s="1"/>
      <c r="N4640" s="166"/>
    </row>
    <row r="4641" spans="1:14">
      <c r="A4641" s="166"/>
      <c r="H4641" s="1"/>
      <c r="N4641" s="166"/>
    </row>
    <row r="4642" spans="1:14">
      <c r="A4642" s="166"/>
      <c r="H4642" s="1"/>
      <c r="N4642" s="166"/>
    </row>
    <row r="4643" spans="1:14">
      <c r="A4643" s="166"/>
      <c r="H4643" s="1"/>
      <c r="N4643" s="166"/>
    </row>
    <row r="4644" spans="1:14">
      <c r="A4644" s="166"/>
      <c r="H4644" s="1"/>
      <c r="N4644" s="166"/>
    </row>
    <row r="4645" spans="1:14">
      <c r="A4645" s="166"/>
      <c r="H4645" s="1"/>
      <c r="N4645" s="166"/>
    </row>
    <row r="4646" spans="1:14">
      <c r="A4646" s="166"/>
      <c r="H4646" s="1"/>
      <c r="N4646" s="166"/>
    </row>
    <row r="4647" spans="1:14">
      <c r="A4647" s="166"/>
      <c r="H4647" s="1"/>
      <c r="N4647" s="166"/>
    </row>
    <row r="4648" spans="1:14">
      <c r="A4648" s="166"/>
      <c r="H4648" s="1"/>
      <c r="N4648" s="166"/>
    </row>
    <row r="4649" spans="1:14">
      <c r="A4649" s="166"/>
      <c r="H4649" s="1"/>
      <c r="N4649" s="166"/>
    </row>
    <row r="4650" spans="1:14">
      <c r="A4650" s="166"/>
      <c r="H4650" s="1"/>
      <c r="N4650" s="166"/>
    </row>
    <row r="4651" spans="1:14">
      <c r="A4651" s="166"/>
      <c r="H4651" s="1"/>
      <c r="N4651" s="166"/>
    </row>
    <row r="4652" spans="1:14">
      <c r="A4652" s="166"/>
      <c r="H4652" s="1"/>
      <c r="N4652" s="166"/>
    </row>
    <row r="4653" spans="1:14">
      <c r="A4653" s="166"/>
      <c r="H4653" s="1"/>
      <c r="N4653" s="166"/>
    </row>
    <row r="4654" spans="1:14">
      <c r="A4654" s="166"/>
      <c r="H4654" s="1"/>
      <c r="N4654" s="166"/>
    </row>
    <row r="4655" spans="1:14">
      <c r="A4655" s="166"/>
      <c r="H4655" s="1"/>
      <c r="N4655" s="166"/>
    </row>
    <row r="4656" spans="1:14">
      <c r="A4656" s="166"/>
      <c r="H4656" s="1"/>
      <c r="N4656" s="166"/>
    </row>
    <row r="4657" spans="1:14">
      <c r="A4657" s="166"/>
      <c r="H4657" s="1"/>
      <c r="N4657" s="166"/>
    </row>
    <row r="4658" spans="1:14">
      <c r="A4658" s="166"/>
      <c r="H4658" s="1"/>
      <c r="N4658" s="166"/>
    </row>
    <row r="4659" spans="1:14">
      <c r="A4659" s="166"/>
      <c r="H4659" s="1"/>
      <c r="N4659" s="166"/>
    </row>
    <row r="4660" spans="1:14">
      <c r="A4660" s="166"/>
      <c r="H4660" s="1"/>
      <c r="N4660" s="166"/>
    </row>
    <row r="4661" spans="1:14">
      <c r="A4661" s="166"/>
      <c r="H4661" s="1"/>
      <c r="N4661" s="166"/>
    </row>
    <row r="4662" spans="1:14">
      <c r="A4662" s="166"/>
      <c r="H4662" s="1"/>
      <c r="N4662" s="166"/>
    </row>
    <row r="4663" spans="1:14">
      <c r="A4663" s="166"/>
      <c r="H4663" s="1"/>
      <c r="N4663" s="166"/>
    </row>
    <row r="4664" spans="1:14">
      <c r="A4664" s="166"/>
      <c r="H4664" s="1"/>
      <c r="N4664" s="166"/>
    </row>
    <row r="4665" spans="1:14">
      <c r="A4665" s="166"/>
      <c r="H4665" s="1"/>
      <c r="N4665" s="166"/>
    </row>
    <row r="4666" spans="1:14">
      <c r="A4666" s="166"/>
      <c r="H4666" s="1"/>
      <c r="N4666" s="166"/>
    </row>
    <row r="4667" spans="1:14">
      <c r="A4667" s="166"/>
      <c r="H4667" s="1"/>
      <c r="N4667" s="166"/>
    </row>
    <row r="4668" spans="1:14">
      <c r="A4668" s="166"/>
      <c r="H4668" s="1"/>
      <c r="N4668" s="166"/>
    </row>
    <row r="4669" spans="1:14">
      <c r="A4669" s="166"/>
      <c r="H4669" s="1"/>
      <c r="N4669" s="166"/>
    </row>
    <row r="4670" spans="1:14">
      <c r="A4670" s="166"/>
      <c r="H4670" s="1"/>
      <c r="N4670" s="166"/>
    </row>
    <row r="4671" spans="1:14">
      <c r="A4671" s="166"/>
      <c r="H4671" s="1"/>
      <c r="N4671" s="166"/>
    </row>
    <row r="4672" spans="1:14">
      <c r="A4672" s="166"/>
      <c r="H4672" s="1"/>
      <c r="N4672" s="166"/>
    </row>
    <row r="4673" spans="1:14">
      <c r="A4673" s="166"/>
      <c r="H4673" s="1"/>
      <c r="N4673" s="166"/>
    </row>
    <row r="4674" spans="1:14">
      <c r="A4674" s="166"/>
      <c r="H4674" s="1"/>
      <c r="N4674" s="166"/>
    </row>
    <row r="4675" spans="1:14">
      <c r="A4675" s="166"/>
      <c r="H4675" s="1"/>
      <c r="N4675" s="166"/>
    </row>
    <row r="4676" spans="1:14">
      <c r="A4676" s="166"/>
      <c r="H4676" s="1"/>
      <c r="N4676" s="166"/>
    </row>
    <row r="4677" spans="1:14">
      <c r="A4677" s="166"/>
      <c r="H4677" s="1"/>
      <c r="N4677" s="166"/>
    </row>
    <row r="4678" spans="1:14">
      <c r="A4678" s="166"/>
      <c r="H4678" s="1"/>
      <c r="N4678" s="166"/>
    </row>
    <row r="4679" spans="1:14">
      <c r="A4679" s="166"/>
      <c r="H4679" s="1"/>
      <c r="N4679" s="166"/>
    </row>
    <row r="4680" spans="1:14">
      <c r="A4680" s="166"/>
      <c r="H4680" s="1"/>
      <c r="N4680" s="166"/>
    </row>
    <row r="4681" spans="1:14">
      <c r="A4681" s="166"/>
      <c r="H4681" s="1"/>
      <c r="N4681" s="166"/>
    </row>
    <row r="4682" spans="1:14">
      <c r="A4682" s="166"/>
      <c r="H4682" s="1"/>
      <c r="N4682" s="166"/>
    </row>
    <row r="4683" spans="1:14">
      <c r="A4683" s="166"/>
      <c r="H4683" s="1"/>
      <c r="N4683" s="166"/>
    </row>
    <row r="4684" spans="1:14">
      <c r="A4684" s="166"/>
      <c r="H4684" s="1"/>
      <c r="N4684" s="166"/>
    </row>
    <row r="4685" spans="1:14">
      <c r="A4685" s="166"/>
      <c r="H4685" s="1"/>
      <c r="N4685" s="166"/>
    </row>
    <row r="4686" spans="1:14">
      <c r="A4686" s="166"/>
      <c r="H4686" s="1"/>
      <c r="N4686" s="166"/>
    </row>
    <row r="4687" spans="1:14">
      <c r="A4687" s="166"/>
      <c r="H4687" s="1"/>
      <c r="N4687" s="166"/>
    </row>
    <row r="4688" spans="1:14">
      <c r="A4688" s="166"/>
      <c r="H4688" s="1"/>
      <c r="N4688" s="166"/>
    </row>
    <row r="4689" spans="1:14">
      <c r="A4689" s="166"/>
      <c r="H4689" s="1"/>
      <c r="N4689" s="166"/>
    </row>
    <row r="4690" spans="1:14">
      <c r="A4690" s="166"/>
      <c r="H4690" s="1"/>
      <c r="N4690" s="166"/>
    </row>
    <row r="4691" spans="1:14">
      <c r="A4691" s="166"/>
      <c r="H4691" s="1"/>
      <c r="N4691" s="166"/>
    </row>
    <row r="4692" spans="1:14">
      <c r="A4692" s="166"/>
      <c r="H4692" s="1"/>
      <c r="N4692" s="166"/>
    </row>
    <row r="4693" spans="1:14">
      <c r="A4693" s="166"/>
      <c r="H4693" s="1"/>
      <c r="N4693" s="166"/>
    </row>
    <row r="4694" spans="1:14">
      <c r="A4694" s="166"/>
      <c r="H4694" s="1"/>
      <c r="N4694" s="166"/>
    </row>
    <row r="4695" spans="1:14">
      <c r="A4695" s="166"/>
      <c r="H4695" s="1"/>
      <c r="N4695" s="166"/>
    </row>
    <row r="4696" spans="1:14">
      <c r="A4696" s="166"/>
      <c r="H4696" s="1"/>
      <c r="N4696" s="166"/>
    </row>
    <row r="4697" spans="1:14">
      <c r="A4697" s="166"/>
      <c r="H4697" s="1"/>
      <c r="N4697" s="166"/>
    </row>
    <row r="4698" spans="1:14">
      <c r="A4698" s="166"/>
      <c r="H4698" s="1"/>
      <c r="N4698" s="166"/>
    </row>
    <row r="4699" spans="1:14">
      <c r="A4699" s="166"/>
      <c r="H4699" s="1"/>
      <c r="N4699" s="166"/>
    </row>
    <row r="4700" spans="1:14">
      <c r="A4700" s="166"/>
      <c r="H4700" s="1"/>
      <c r="N4700" s="166"/>
    </row>
    <row r="4701" spans="1:14">
      <c r="A4701" s="166"/>
      <c r="H4701" s="1"/>
      <c r="N4701" s="166"/>
    </row>
    <row r="4702" spans="1:14">
      <c r="A4702" s="166"/>
      <c r="H4702" s="1"/>
      <c r="N4702" s="166"/>
    </row>
    <row r="4703" spans="1:14">
      <c r="A4703" s="166"/>
      <c r="H4703" s="1"/>
      <c r="N4703" s="166"/>
    </row>
    <row r="4704" spans="1:14">
      <c r="A4704" s="166"/>
      <c r="H4704" s="1"/>
      <c r="N4704" s="166"/>
    </row>
    <row r="4705" spans="1:14">
      <c r="A4705" s="166"/>
      <c r="H4705" s="1"/>
      <c r="N4705" s="166"/>
    </row>
    <row r="4706" spans="1:14">
      <c r="A4706" s="166"/>
      <c r="H4706" s="1"/>
      <c r="N4706" s="166"/>
    </row>
    <row r="4707" spans="1:14">
      <c r="A4707" s="166"/>
      <c r="H4707" s="1"/>
      <c r="N4707" s="166"/>
    </row>
    <row r="4708" spans="1:14">
      <c r="A4708" s="166"/>
      <c r="H4708" s="1"/>
      <c r="N4708" s="166"/>
    </row>
    <row r="4709" spans="1:14">
      <c r="A4709" s="166"/>
      <c r="H4709" s="1"/>
      <c r="N4709" s="166"/>
    </row>
    <row r="4710" spans="1:14">
      <c r="A4710" s="166"/>
      <c r="H4710" s="1"/>
      <c r="N4710" s="166"/>
    </row>
    <row r="4711" spans="1:14">
      <c r="A4711" s="166"/>
      <c r="H4711" s="1"/>
      <c r="N4711" s="166"/>
    </row>
    <row r="4712" spans="1:14">
      <c r="A4712" s="166"/>
      <c r="H4712" s="1"/>
      <c r="N4712" s="166"/>
    </row>
    <row r="4713" spans="1:14">
      <c r="A4713" s="166"/>
      <c r="H4713" s="1"/>
      <c r="N4713" s="166"/>
    </row>
    <row r="4714" spans="1:14">
      <c r="A4714" s="166"/>
      <c r="H4714" s="1"/>
      <c r="N4714" s="166"/>
    </row>
    <row r="4715" spans="1:14">
      <c r="A4715" s="166"/>
      <c r="H4715" s="1"/>
      <c r="N4715" s="166"/>
    </row>
    <row r="4716" spans="1:14">
      <c r="A4716" s="166"/>
      <c r="H4716" s="1"/>
      <c r="N4716" s="166"/>
    </row>
    <row r="4717" spans="1:14">
      <c r="A4717" s="166"/>
      <c r="H4717" s="1"/>
      <c r="N4717" s="166"/>
    </row>
    <row r="4718" spans="1:14">
      <c r="A4718" s="166"/>
      <c r="H4718" s="1"/>
      <c r="N4718" s="166"/>
    </row>
    <row r="4719" spans="1:14">
      <c r="A4719" s="166"/>
      <c r="H4719" s="1"/>
      <c r="N4719" s="166"/>
    </row>
    <row r="4720" spans="1:14">
      <c r="A4720" s="166"/>
      <c r="H4720" s="1"/>
      <c r="N4720" s="166"/>
    </row>
    <row r="4721" spans="1:14">
      <c r="A4721" s="166"/>
      <c r="H4721" s="1"/>
      <c r="N4721" s="166"/>
    </row>
    <row r="4722" spans="1:14">
      <c r="A4722" s="166"/>
      <c r="H4722" s="1"/>
      <c r="N4722" s="166"/>
    </row>
    <row r="4723" spans="1:14">
      <c r="A4723" s="166"/>
      <c r="H4723" s="1"/>
      <c r="N4723" s="166"/>
    </row>
    <row r="4724" spans="1:14">
      <c r="A4724" s="166"/>
      <c r="H4724" s="1"/>
      <c r="N4724" s="166"/>
    </row>
    <row r="4725" spans="1:14">
      <c r="A4725" s="166"/>
      <c r="H4725" s="1"/>
      <c r="N4725" s="166"/>
    </row>
    <row r="4726" spans="1:14">
      <c r="A4726" s="166"/>
      <c r="H4726" s="1"/>
      <c r="N4726" s="166"/>
    </row>
    <row r="4727" spans="1:14">
      <c r="A4727" s="166"/>
      <c r="H4727" s="1"/>
      <c r="N4727" s="166"/>
    </row>
    <row r="4728" spans="1:14">
      <c r="A4728" s="166"/>
      <c r="H4728" s="1"/>
      <c r="N4728" s="166"/>
    </row>
    <row r="4729" spans="1:14">
      <c r="A4729" s="166"/>
      <c r="H4729" s="1"/>
      <c r="N4729" s="166"/>
    </row>
    <row r="4730" spans="1:14">
      <c r="A4730" s="166"/>
      <c r="H4730" s="1"/>
      <c r="N4730" s="166"/>
    </row>
    <row r="4731" spans="1:14">
      <c r="A4731" s="166"/>
      <c r="H4731" s="1"/>
      <c r="N4731" s="166"/>
    </row>
    <row r="4732" spans="1:14">
      <c r="A4732" s="166"/>
      <c r="H4732" s="1"/>
      <c r="N4732" s="166"/>
    </row>
    <row r="4733" spans="1:14">
      <c r="A4733" s="166"/>
      <c r="H4733" s="1"/>
      <c r="N4733" s="166"/>
    </row>
    <row r="4734" spans="1:14">
      <c r="A4734" s="166"/>
      <c r="H4734" s="1"/>
      <c r="N4734" s="166"/>
    </row>
    <row r="4735" spans="1:14">
      <c r="A4735" s="166"/>
      <c r="H4735" s="1"/>
      <c r="N4735" s="166"/>
    </row>
    <row r="4736" spans="1:14">
      <c r="A4736" s="166"/>
      <c r="H4736" s="1"/>
      <c r="N4736" s="166"/>
    </row>
    <row r="4737" spans="1:14">
      <c r="A4737" s="166"/>
      <c r="H4737" s="1"/>
      <c r="N4737" s="166"/>
    </row>
    <row r="4738" spans="1:14">
      <c r="A4738" s="166"/>
      <c r="H4738" s="1"/>
      <c r="N4738" s="166"/>
    </row>
    <row r="4739" spans="1:14">
      <c r="A4739" s="166"/>
      <c r="H4739" s="1"/>
      <c r="N4739" s="166"/>
    </row>
    <row r="4740" spans="1:14">
      <c r="A4740" s="166"/>
      <c r="H4740" s="1"/>
      <c r="N4740" s="166"/>
    </row>
    <row r="4741" spans="1:14">
      <c r="A4741" s="166"/>
      <c r="H4741" s="1"/>
      <c r="N4741" s="166"/>
    </row>
    <row r="4742" spans="1:14">
      <c r="A4742" s="166"/>
      <c r="H4742" s="1"/>
      <c r="N4742" s="166"/>
    </row>
    <row r="4743" spans="1:14">
      <c r="A4743" s="166"/>
      <c r="H4743" s="1"/>
      <c r="N4743" s="166"/>
    </row>
    <row r="4744" spans="1:14">
      <c r="A4744" s="166"/>
      <c r="H4744" s="1"/>
      <c r="N4744" s="166"/>
    </row>
    <row r="4745" spans="1:14">
      <c r="A4745" s="166"/>
      <c r="H4745" s="1"/>
      <c r="N4745" s="166"/>
    </row>
    <row r="4746" spans="1:14">
      <c r="A4746" s="166"/>
      <c r="H4746" s="1"/>
      <c r="N4746" s="166"/>
    </row>
    <row r="4747" spans="1:14">
      <c r="A4747" s="166"/>
      <c r="H4747" s="1"/>
      <c r="N4747" s="166"/>
    </row>
    <row r="4748" spans="1:14">
      <c r="A4748" s="166"/>
      <c r="H4748" s="1"/>
      <c r="N4748" s="166"/>
    </row>
    <row r="4749" spans="1:14">
      <c r="A4749" s="166"/>
      <c r="H4749" s="1"/>
      <c r="N4749" s="166"/>
    </row>
    <row r="4750" spans="1:14">
      <c r="A4750" s="166"/>
      <c r="H4750" s="1"/>
      <c r="N4750" s="166"/>
    </row>
    <row r="4751" spans="1:14">
      <c r="A4751" s="166"/>
      <c r="H4751" s="1"/>
      <c r="N4751" s="166"/>
    </row>
    <row r="4752" spans="1:14">
      <c r="A4752" s="166"/>
      <c r="H4752" s="1"/>
      <c r="N4752" s="166"/>
    </row>
    <row r="4753" spans="1:14">
      <c r="A4753" s="166"/>
      <c r="H4753" s="1"/>
      <c r="N4753" s="166"/>
    </row>
    <row r="4754" spans="1:14">
      <c r="A4754" s="166"/>
      <c r="H4754" s="1"/>
      <c r="N4754" s="166"/>
    </row>
    <row r="4755" spans="1:14">
      <c r="A4755" s="166"/>
      <c r="H4755" s="1"/>
      <c r="N4755" s="166"/>
    </row>
    <row r="4756" spans="1:14">
      <c r="A4756" s="166"/>
      <c r="H4756" s="1"/>
      <c r="N4756" s="166"/>
    </row>
    <row r="4757" spans="1:14">
      <c r="A4757" s="166"/>
      <c r="H4757" s="1"/>
      <c r="N4757" s="166"/>
    </row>
    <row r="4758" spans="1:14">
      <c r="A4758" s="166"/>
      <c r="H4758" s="1"/>
      <c r="N4758" s="166"/>
    </row>
    <row r="4759" spans="1:14">
      <c r="A4759" s="166"/>
      <c r="H4759" s="1"/>
      <c r="N4759" s="166"/>
    </row>
    <row r="4760" spans="1:14">
      <c r="A4760" s="166"/>
      <c r="H4760" s="1"/>
      <c r="N4760" s="166"/>
    </row>
    <row r="4761" spans="1:14">
      <c r="A4761" s="166"/>
      <c r="H4761" s="1"/>
      <c r="N4761" s="166"/>
    </row>
    <row r="4762" spans="1:14">
      <c r="A4762" s="166"/>
      <c r="H4762" s="1"/>
      <c r="N4762" s="166"/>
    </row>
    <row r="4763" spans="1:14">
      <c r="A4763" s="166"/>
      <c r="H4763" s="1"/>
      <c r="N4763" s="166"/>
    </row>
    <row r="4764" spans="1:14">
      <c r="A4764" s="166"/>
      <c r="H4764" s="1"/>
      <c r="N4764" s="166"/>
    </row>
    <row r="4765" spans="1:14">
      <c r="A4765" s="166"/>
      <c r="H4765" s="1"/>
      <c r="N4765" s="166"/>
    </row>
    <row r="4766" spans="1:14">
      <c r="A4766" s="166"/>
      <c r="H4766" s="1"/>
      <c r="N4766" s="166"/>
    </row>
    <row r="4767" spans="1:14">
      <c r="A4767" s="166"/>
      <c r="H4767" s="1"/>
      <c r="N4767" s="166"/>
    </row>
    <row r="4768" spans="1:14">
      <c r="A4768" s="166"/>
      <c r="H4768" s="1"/>
      <c r="N4768" s="166"/>
    </row>
    <row r="4769" spans="1:14">
      <c r="A4769" s="166"/>
      <c r="H4769" s="1"/>
      <c r="N4769" s="166"/>
    </row>
    <row r="4770" spans="1:14">
      <c r="A4770" s="166"/>
      <c r="H4770" s="1"/>
      <c r="N4770" s="166"/>
    </row>
    <row r="4771" spans="1:14">
      <c r="A4771" s="166"/>
      <c r="H4771" s="1"/>
      <c r="N4771" s="166"/>
    </row>
    <row r="4772" spans="1:14">
      <c r="A4772" s="166"/>
      <c r="H4772" s="1"/>
      <c r="N4772" s="166"/>
    </row>
    <row r="4773" spans="1:14">
      <c r="A4773" s="166"/>
      <c r="H4773" s="1"/>
      <c r="N4773" s="166"/>
    </row>
    <row r="4774" spans="1:14">
      <c r="A4774" s="166"/>
      <c r="H4774" s="1"/>
      <c r="N4774" s="166"/>
    </row>
    <row r="4775" spans="1:14">
      <c r="A4775" s="166"/>
      <c r="H4775" s="1"/>
      <c r="N4775" s="166"/>
    </row>
    <row r="4776" spans="1:14">
      <c r="A4776" s="166"/>
      <c r="H4776" s="1"/>
      <c r="N4776" s="166"/>
    </row>
    <row r="4777" spans="1:14">
      <c r="A4777" s="166"/>
      <c r="H4777" s="1"/>
      <c r="N4777" s="166"/>
    </row>
    <row r="4778" spans="1:14">
      <c r="A4778" s="166"/>
      <c r="H4778" s="1"/>
      <c r="N4778" s="166"/>
    </row>
    <row r="4779" spans="1:14">
      <c r="A4779" s="166"/>
      <c r="H4779" s="1"/>
      <c r="N4779" s="166"/>
    </row>
    <row r="4780" spans="1:14">
      <c r="A4780" s="166"/>
      <c r="H4780" s="1"/>
      <c r="N4780" s="166"/>
    </row>
    <row r="4781" spans="1:14">
      <c r="A4781" s="166"/>
      <c r="H4781" s="1"/>
      <c r="N4781" s="166"/>
    </row>
    <row r="4782" spans="1:14">
      <c r="A4782" s="166"/>
      <c r="H4782" s="1"/>
      <c r="N4782" s="166"/>
    </row>
    <row r="4783" spans="1:14">
      <c r="A4783" s="166"/>
      <c r="H4783" s="1"/>
      <c r="N4783" s="166"/>
    </row>
    <row r="4784" spans="1:14">
      <c r="A4784" s="166"/>
      <c r="H4784" s="1"/>
      <c r="N4784" s="166"/>
    </row>
    <row r="4785" spans="1:14">
      <c r="A4785" s="166"/>
      <c r="H4785" s="1"/>
      <c r="N4785" s="166"/>
    </row>
    <row r="4786" spans="1:14">
      <c r="A4786" s="166"/>
      <c r="H4786" s="1"/>
      <c r="N4786" s="166"/>
    </row>
    <row r="4787" spans="1:14">
      <c r="A4787" s="166"/>
      <c r="H4787" s="1"/>
      <c r="N4787" s="166"/>
    </row>
    <row r="4788" spans="1:14">
      <c r="A4788" s="166"/>
      <c r="H4788" s="1"/>
      <c r="N4788" s="166"/>
    </row>
    <row r="4789" spans="1:14">
      <c r="A4789" s="166"/>
      <c r="H4789" s="1"/>
      <c r="N4789" s="166"/>
    </row>
    <row r="4790" spans="1:14">
      <c r="A4790" s="166"/>
      <c r="H4790" s="1"/>
      <c r="N4790" s="166"/>
    </row>
    <row r="4791" spans="1:14">
      <c r="A4791" s="166"/>
      <c r="H4791" s="1"/>
      <c r="N4791" s="166"/>
    </row>
    <row r="4792" spans="1:14">
      <c r="A4792" s="166"/>
      <c r="H4792" s="1"/>
      <c r="N4792" s="166"/>
    </row>
    <row r="4793" spans="1:14">
      <c r="A4793" s="166"/>
      <c r="H4793" s="1"/>
      <c r="N4793" s="166"/>
    </row>
    <row r="4794" spans="1:14">
      <c r="A4794" s="166"/>
      <c r="H4794" s="1"/>
      <c r="N4794" s="166"/>
    </row>
    <row r="4795" spans="1:14">
      <c r="A4795" s="166"/>
      <c r="H4795" s="1"/>
      <c r="N4795" s="166"/>
    </row>
    <row r="4796" spans="1:14">
      <c r="A4796" s="166"/>
      <c r="H4796" s="1"/>
      <c r="N4796" s="166"/>
    </row>
    <row r="4797" spans="1:14">
      <c r="A4797" s="166"/>
      <c r="H4797" s="1"/>
      <c r="N4797" s="166"/>
    </row>
    <row r="4798" spans="1:14">
      <c r="A4798" s="166"/>
      <c r="H4798" s="1"/>
      <c r="N4798" s="166"/>
    </row>
    <row r="4799" spans="1:14">
      <c r="A4799" s="166"/>
      <c r="H4799" s="1"/>
      <c r="N4799" s="166"/>
    </row>
    <row r="4800" spans="1:14">
      <c r="A4800" s="166"/>
      <c r="H4800" s="1"/>
      <c r="N4800" s="166"/>
    </row>
    <row r="4801" spans="1:14">
      <c r="A4801" s="166"/>
      <c r="H4801" s="1"/>
      <c r="N4801" s="166"/>
    </row>
    <row r="4802" spans="1:14">
      <c r="A4802" s="166"/>
      <c r="H4802" s="1"/>
      <c r="N4802" s="166"/>
    </row>
    <row r="4803" spans="1:14">
      <c r="A4803" s="166"/>
      <c r="H4803" s="1"/>
      <c r="N4803" s="166"/>
    </row>
    <row r="4804" spans="1:14">
      <c r="A4804" s="166"/>
      <c r="H4804" s="1"/>
      <c r="N4804" s="166"/>
    </row>
    <row r="4805" spans="1:14">
      <c r="A4805" s="166"/>
      <c r="H4805" s="1"/>
      <c r="N4805" s="166"/>
    </row>
    <row r="4806" spans="1:14">
      <c r="A4806" s="166"/>
      <c r="H4806" s="1"/>
      <c r="N4806" s="166"/>
    </row>
    <row r="4807" spans="1:14">
      <c r="A4807" s="166"/>
      <c r="H4807" s="1"/>
      <c r="N4807" s="166"/>
    </row>
    <row r="4808" spans="1:14">
      <c r="A4808" s="166"/>
      <c r="H4808" s="1"/>
      <c r="N4808" s="166"/>
    </row>
    <row r="4809" spans="1:14">
      <c r="A4809" s="166"/>
      <c r="H4809" s="1"/>
      <c r="N4809" s="166"/>
    </row>
    <row r="4810" spans="1:14">
      <c r="A4810" s="166"/>
      <c r="H4810" s="1"/>
      <c r="N4810" s="166"/>
    </row>
    <row r="4811" spans="1:14">
      <c r="A4811" s="166"/>
      <c r="H4811" s="1"/>
      <c r="N4811" s="166"/>
    </row>
    <row r="4812" spans="1:14">
      <c r="A4812" s="166"/>
      <c r="H4812" s="1"/>
      <c r="N4812" s="166"/>
    </row>
    <row r="4813" spans="1:14">
      <c r="A4813" s="166"/>
      <c r="H4813" s="1"/>
      <c r="N4813" s="166"/>
    </row>
    <row r="4814" spans="1:14">
      <c r="A4814" s="166"/>
      <c r="H4814" s="1"/>
      <c r="N4814" s="166"/>
    </row>
    <row r="4815" spans="1:14">
      <c r="A4815" s="166"/>
      <c r="H4815" s="1"/>
      <c r="N4815" s="166"/>
    </row>
    <row r="4816" spans="1:14">
      <c r="A4816" s="166"/>
      <c r="H4816" s="1"/>
      <c r="N4816" s="166"/>
    </row>
    <row r="4817" spans="1:14">
      <c r="A4817" s="166"/>
      <c r="H4817" s="1"/>
      <c r="N4817" s="166"/>
    </row>
    <row r="4818" spans="1:14">
      <c r="A4818" s="166"/>
      <c r="H4818" s="1"/>
      <c r="N4818" s="166"/>
    </row>
    <row r="4819" spans="1:14">
      <c r="A4819" s="166"/>
      <c r="H4819" s="1"/>
      <c r="N4819" s="166"/>
    </row>
    <row r="4820" spans="1:14">
      <c r="A4820" s="166"/>
      <c r="H4820" s="1"/>
      <c r="N4820" s="166"/>
    </row>
    <row r="4821" spans="1:14">
      <c r="A4821" s="166"/>
      <c r="H4821" s="1"/>
      <c r="N4821" s="166"/>
    </row>
    <row r="4822" spans="1:14">
      <c r="A4822" s="166"/>
      <c r="H4822" s="1"/>
      <c r="N4822" s="166"/>
    </row>
    <row r="4823" spans="1:14">
      <c r="A4823" s="166"/>
      <c r="H4823" s="1"/>
      <c r="N4823" s="166"/>
    </row>
    <row r="4824" spans="1:14">
      <c r="A4824" s="166"/>
      <c r="H4824" s="1"/>
      <c r="N4824" s="166"/>
    </row>
    <row r="4825" spans="1:14">
      <c r="A4825" s="166"/>
      <c r="H4825" s="1"/>
      <c r="N4825" s="166"/>
    </row>
    <row r="4826" spans="1:14">
      <c r="A4826" s="166"/>
      <c r="H4826" s="1"/>
      <c r="N4826" s="166"/>
    </row>
    <row r="4827" spans="1:14">
      <c r="A4827" s="166"/>
      <c r="H4827" s="1"/>
      <c r="N4827" s="166"/>
    </row>
    <row r="4828" spans="1:14">
      <c r="A4828" s="166"/>
      <c r="H4828" s="1"/>
      <c r="N4828" s="166"/>
    </row>
    <row r="4829" spans="1:14">
      <c r="A4829" s="166"/>
      <c r="H4829" s="1"/>
      <c r="N4829" s="166"/>
    </row>
    <row r="4830" spans="1:14">
      <c r="A4830" s="166"/>
      <c r="H4830" s="1"/>
      <c r="N4830" s="166"/>
    </row>
    <row r="4831" spans="1:14">
      <c r="A4831" s="166"/>
      <c r="H4831" s="1"/>
      <c r="N4831" s="166"/>
    </row>
    <row r="4832" spans="1:14">
      <c r="A4832" s="166"/>
      <c r="H4832" s="1"/>
      <c r="N4832" s="166"/>
    </row>
    <row r="4833" spans="1:14">
      <c r="A4833" s="166"/>
      <c r="H4833" s="1"/>
      <c r="N4833" s="166"/>
    </row>
    <row r="4834" spans="1:14">
      <c r="A4834" s="166"/>
      <c r="H4834" s="1"/>
      <c r="N4834" s="166"/>
    </row>
    <row r="4835" spans="1:14">
      <c r="A4835" s="166"/>
      <c r="H4835" s="1"/>
      <c r="N4835" s="166"/>
    </row>
    <row r="4836" spans="1:14">
      <c r="A4836" s="166"/>
      <c r="H4836" s="1"/>
      <c r="N4836" s="166"/>
    </row>
    <row r="4837" spans="1:14">
      <c r="A4837" s="166"/>
      <c r="H4837" s="1"/>
      <c r="N4837" s="166"/>
    </row>
    <row r="4838" spans="1:14">
      <c r="A4838" s="166"/>
      <c r="H4838" s="1"/>
      <c r="N4838" s="166"/>
    </row>
    <row r="4839" spans="1:14">
      <c r="A4839" s="166"/>
      <c r="H4839" s="1"/>
      <c r="N4839" s="166"/>
    </row>
    <row r="4840" spans="1:14">
      <c r="A4840" s="166"/>
      <c r="H4840" s="1"/>
      <c r="N4840" s="166"/>
    </row>
    <row r="4841" spans="1:14">
      <c r="A4841" s="166"/>
      <c r="H4841" s="1"/>
      <c r="N4841" s="166"/>
    </row>
    <row r="4842" spans="1:14">
      <c r="A4842" s="166"/>
      <c r="H4842" s="1"/>
      <c r="N4842" s="166"/>
    </row>
    <row r="4843" spans="1:14">
      <c r="A4843" s="166"/>
      <c r="H4843" s="1"/>
      <c r="N4843" s="166"/>
    </row>
    <row r="4844" spans="1:14">
      <c r="A4844" s="166"/>
      <c r="H4844" s="1"/>
      <c r="N4844" s="166"/>
    </row>
    <row r="4845" spans="1:14">
      <c r="A4845" s="166"/>
      <c r="H4845" s="1"/>
      <c r="N4845" s="166"/>
    </row>
    <row r="4846" spans="1:14">
      <c r="A4846" s="166"/>
      <c r="H4846" s="1"/>
      <c r="N4846" s="166"/>
    </row>
    <row r="4847" spans="1:14">
      <c r="A4847" s="166"/>
      <c r="H4847" s="1"/>
      <c r="N4847" s="166"/>
    </row>
    <row r="4848" spans="1:14">
      <c r="A4848" s="166"/>
      <c r="H4848" s="1"/>
      <c r="N4848" s="166"/>
    </row>
    <row r="4849" spans="1:14">
      <c r="A4849" s="166"/>
      <c r="H4849" s="1"/>
      <c r="N4849" s="166"/>
    </row>
    <row r="4850" spans="1:14">
      <c r="A4850" s="166"/>
      <c r="H4850" s="1"/>
      <c r="N4850" s="166"/>
    </row>
    <row r="4851" spans="1:14">
      <c r="A4851" s="166"/>
      <c r="H4851" s="1"/>
      <c r="N4851" s="166"/>
    </row>
    <row r="4852" spans="1:14">
      <c r="A4852" s="166"/>
      <c r="H4852" s="1"/>
      <c r="N4852" s="166"/>
    </row>
    <row r="4853" spans="1:14">
      <c r="A4853" s="166"/>
      <c r="H4853" s="1"/>
      <c r="N4853" s="166"/>
    </row>
    <row r="4854" spans="1:14">
      <c r="A4854" s="166"/>
      <c r="H4854" s="1"/>
      <c r="N4854" s="166"/>
    </row>
    <row r="4855" spans="1:14">
      <c r="A4855" s="166"/>
      <c r="H4855" s="1"/>
      <c r="N4855" s="166"/>
    </row>
    <row r="4856" spans="1:14">
      <c r="A4856" s="166"/>
      <c r="H4856" s="1"/>
      <c r="N4856" s="166"/>
    </row>
    <row r="4857" spans="1:14">
      <c r="A4857" s="166"/>
      <c r="H4857" s="1"/>
      <c r="N4857" s="166"/>
    </row>
    <row r="4858" spans="1:14">
      <c r="A4858" s="166"/>
      <c r="H4858" s="1"/>
      <c r="N4858" s="166"/>
    </row>
    <row r="4859" spans="1:14">
      <c r="A4859" s="166"/>
      <c r="H4859" s="1"/>
      <c r="N4859" s="166"/>
    </row>
    <row r="4860" spans="1:14">
      <c r="A4860" s="166"/>
      <c r="H4860" s="1"/>
      <c r="N4860" s="166"/>
    </row>
    <row r="4861" spans="1:14">
      <c r="A4861" s="166"/>
      <c r="H4861" s="1"/>
      <c r="N4861" s="166"/>
    </row>
    <row r="4862" spans="1:14">
      <c r="A4862" s="166"/>
      <c r="H4862" s="1"/>
      <c r="N4862" s="166"/>
    </row>
    <row r="4863" spans="1:14">
      <c r="A4863" s="166"/>
      <c r="H4863" s="1"/>
      <c r="N4863" s="166"/>
    </row>
    <row r="4864" spans="1:14">
      <c r="A4864" s="166"/>
      <c r="H4864" s="1"/>
      <c r="N4864" s="166"/>
    </row>
    <row r="4865" spans="1:14">
      <c r="A4865" s="166"/>
      <c r="H4865" s="1"/>
      <c r="N4865" s="166"/>
    </row>
    <row r="4866" spans="1:14">
      <c r="A4866" s="166"/>
      <c r="H4866" s="1"/>
      <c r="N4866" s="166"/>
    </row>
    <row r="4867" spans="1:14">
      <c r="A4867" s="166"/>
      <c r="H4867" s="1"/>
      <c r="N4867" s="166"/>
    </row>
    <row r="4868" spans="1:14">
      <c r="A4868" s="166"/>
      <c r="H4868" s="1"/>
      <c r="N4868" s="166"/>
    </row>
    <row r="4869" spans="1:14">
      <c r="A4869" s="166"/>
      <c r="H4869" s="1"/>
      <c r="N4869" s="166"/>
    </row>
    <row r="4870" spans="1:14">
      <c r="A4870" s="166"/>
      <c r="H4870" s="1"/>
      <c r="N4870" s="166"/>
    </row>
    <row r="4871" spans="1:14">
      <c r="A4871" s="166"/>
      <c r="H4871" s="1"/>
      <c r="N4871" s="166"/>
    </row>
    <row r="4872" spans="1:14">
      <c r="A4872" s="166"/>
      <c r="H4872" s="1"/>
      <c r="N4872" s="166"/>
    </row>
    <row r="4873" spans="1:14">
      <c r="A4873" s="166"/>
      <c r="H4873" s="1"/>
      <c r="N4873" s="166"/>
    </row>
    <row r="4874" spans="1:14">
      <c r="A4874" s="166"/>
      <c r="H4874" s="1"/>
      <c r="N4874" s="166"/>
    </row>
    <row r="4875" spans="1:14">
      <c r="A4875" s="166"/>
      <c r="H4875" s="1"/>
      <c r="N4875" s="166"/>
    </row>
    <row r="4876" spans="1:14">
      <c r="A4876" s="166"/>
      <c r="H4876" s="1"/>
      <c r="N4876" s="166"/>
    </row>
    <row r="4877" spans="1:14">
      <c r="A4877" s="166"/>
      <c r="H4877" s="1"/>
      <c r="N4877" s="166"/>
    </row>
    <row r="4878" spans="1:14">
      <c r="A4878" s="166"/>
      <c r="H4878" s="1"/>
      <c r="N4878" s="166"/>
    </row>
    <row r="4879" spans="1:14">
      <c r="A4879" s="166"/>
      <c r="H4879" s="1"/>
      <c r="N4879" s="166"/>
    </row>
    <row r="4880" spans="1:14">
      <c r="A4880" s="166"/>
      <c r="H4880" s="1"/>
      <c r="N4880" s="166"/>
    </row>
    <row r="4881" spans="1:14">
      <c r="A4881" s="166"/>
      <c r="H4881" s="1"/>
      <c r="N4881" s="166"/>
    </row>
    <row r="4882" spans="1:14">
      <c r="A4882" s="166"/>
      <c r="H4882" s="1"/>
      <c r="N4882" s="166"/>
    </row>
    <row r="4883" spans="1:14">
      <c r="A4883" s="166"/>
      <c r="H4883" s="1"/>
      <c r="N4883" s="166"/>
    </row>
    <row r="4884" spans="1:14">
      <c r="A4884" s="166"/>
      <c r="H4884" s="1"/>
      <c r="N4884" s="166"/>
    </row>
    <row r="4885" spans="1:14">
      <c r="A4885" s="166"/>
      <c r="H4885" s="1"/>
      <c r="N4885" s="166"/>
    </row>
    <row r="4886" spans="1:14">
      <c r="A4886" s="166"/>
      <c r="H4886" s="1"/>
      <c r="N4886" s="166"/>
    </row>
    <row r="4887" spans="1:14">
      <c r="A4887" s="166"/>
      <c r="H4887" s="1"/>
      <c r="N4887" s="166"/>
    </row>
    <row r="4888" spans="1:14">
      <c r="A4888" s="166"/>
      <c r="H4888" s="1"/>
      <c r="N4888" s="166"/>
    </row>
    <row r="4889" spans="1:14">
      <c r="A4889" s="166"/>
      <c r="H4889" s="1"/>
      <c r="N4889" s="166"/>
    </row>
    <row r="4890" spans="1:14">
      <c r="A4890" s="166"/>
      <c r="H4890" s="1"/>
      <c r="N4890" s="166"/>
    </row>
    <row r="4891" spans="1:14">
      <c r="A4891" s="166"/>
      <c r="H4891" s="1"/>
      <c r="N4891" s="166"/>
    </row>
    <row r="4892" spans="1:14">
      <c r="A4892" s="166"/>
      <c r="H4892" s="1"/>
      <c r="N4892" s="166"/>
    </row>
    <row r="4893" spans="1:14">
      <c r="A4893" s="166"/>
      <c r="H4893" s="1"/>
      <c r="N4893" s="166"/>
    </row>
    <row r="4894" spans="1:14">
      <c r="A4894" s="166"/>
      <c r="H4894" s="1"/>
      <c r="N4894" s="166"/>
    </row>
    <row r="4895" spans="1:14">
      <c r="A4895" s="166"/>
      <c r="H4895" s="1"/>
      <c r="N4895" s="166"/>
    </row>
    <row r="4896" spans="1:14">
      <c r="A4896" s="166"/>
      <c r="H4896" s="1"/>
      <c r="N4896" s="166"/>
    </row>
    <row r="4897" spans="1:14">
      <c r="A4897" s="166"/>
      <c r="H4897" s="1"/>
      <c r="N4897" s="166"/>
    </row>
    <row r="4898" spans="1:14">
      <c r="A4898" s="166"/>
      <c r="H4898" s="1"/>
      <c r="N4898" s="166"/>
    </row>
    <row r="4899" spans="1:14">
      <c r="A4899" s="166"/>
      <c r="H4899" s="1"/>
      <c r="N4899" s="166"/>
    </row>
    <row r="4900" spans="1:14">
      <c r="A4900" s="166"/>
      <c r="H4900" s="1"/>
      <c r="N4900" s="166"/>
    </row>
    <row r="4901" spans="1:14">
      <c r="A4901" s="166"/>
      <c r="H4901" s="1"/>
      <c r="N4901" s="166"/>
    </row>
    <row r="4902" spans="1:14">
      <c r="A4902" s="166"/>
      <c r="H4902" s="1"/>
      <c r="N4902" s="166"/>
    </row>
    <row r="4903" spans="1:14">
      <c r="A4903" s="166"/>
      <c r="H4903" s="1"/>
      <c r="N4903" s="166"/>
    </row>
    <row r="4904" spans="1:14">
      <c r="A4904" s="166"/>
      <c r="H4904" s="1"/>
      <c r="N4904" s="166"/>
    </row>
    <row r="4905" spans="1:14">
      <c r="A4905" s="166"/>
      <c r="H4905" s="1"/>
      <c r="N4905" s="166"/>
    </row>
    <row r="4906" spans="1:14">
      <c r="A4906" s="166"/>
      <c r="H4906" s="1"/>
      <c r="N4906" s="166"/>
    </row>
    <row r="4907" spans="1:14">
      <c r="A4907" s="166"/>
      <c r="H4907" s="1"/>
      <c r="N4907" s="166"/>
    </row>
    <row r="4908" spans="1:14">
      <c r="A4908" s="166"/>
      <c r="H4908" s="1"/>
      <c r="N4908" s="166"/>
    </row>
    <row r="4909" spans="1:14">
      <c r="A4909" s="166"/>
      <c r="H4909" s="1"/>
      <c r="N4909" s="166"/>
    </row>
    <row r="4910" spans="1:14">
      <c r="A4910" s="166"/>
      <c r="H4910" s="1"/>
      <c r="N4910" s="166"/>
    </row>
    <row r="4911" spans="1:14">
      <c r="A4911" s="166"/>
      <c r="H4911" s="1"/>
      <c r="N4911" s="166"/>
    </row>
    <row r="4912" spans="1:14">
      <c r="A4912" s="166"/>
      <c r="H4912" s="1"/>
      <c r="N4912" s="166"/>
    </row>
    <row r="4913" spans="1:14">
      <c r="A4913" s="166"/>
      <c r="H4913" s="1"/>
      <c r="N4913" s="166"/>
    </row>
    <row r="4914" spans="1:14">
      <c r="A4914" s="166"/>
      <c r="H4914" s="1"/>
      <c r="N4914" s="166"/>
    </row>
    <row r="4915" spans="1:14">
      <c r="A4915" s="166"/>
      <c r="H4915" s="1"/>
      <c r="N4915" s="166"/>
    </row>
    <row r="4916" spans="1:14">
      <c r="A4916" s="166"/>
      <c r="H4916" s="1"/>
      <c r="N4916" s="166"/>
    </row>
    <row r="4917" spans="1:14">
      <c r="A4917" s="166"/>
      <c r="H4917" s="1"/>
      <c r="N4917" s="166"/>
    </row>
    <row r="4918" spans="1:14">
      <c r="A4918" s="166"/>
      <c r="H4918" s="1"/>
      <c r="N4918" s="166"/>
    </row>
    <row r="4919" spans="1:14">
      <c r="A4919" s="166"/>
      <c r="H4919" s="1"/>
      <c r="N4919" s="166"/>
    </row>
    <row r="4920" spans="1:14">
      <c r="A4920" s="166"/>
      <c r="H4920" s="1"/>
      <c r="N4920" s="166"/>
    </row>
    <row r="4921" spans="1:14">
      <c r="A4921" s="166"/>
      <c r="H4921" s="1"/>
      <c r="N4921" s="166"/>
    </row>
    <row r="4922" spans="1:14">
      <c r="A4922" s="166"/>
      <c r="H4922" s="1"/>
      <c r="N4922" s="166"/>
    </row>
    <row r="4923" spans="1:14">
      <c r="A4923" s="166"/>
      <c r="H4923" s="1"/>
      <c r="N4923" s="166"/>
    </row>
    <row r="4924" spans="1:14">
      <c r="A4924" s="166"/>
      <c r="H4924" s="1"/>
      <c r="N4924" s="166"/>
    </row>
    <row r="4925" spans="1:14">
      <c r="A4925" s="166"/>
      <c r="H4925" s="1"/>
      <c r="N4925" s="166"/>
    </row>
    <row r="4926" spans="1:14">
      <c r="A4926" s="166"/>
      <c r="H4926" s="1"/>
      <c r="N4926" s="166"/>
    </row>
    <row r="4927" spans="1:14">
      <c r="A4927" s="166"/>
      <c r="H4927" s="1"/>
      <c r="N4927" s="166"/>
    </row>
    <row r="4928" spans="1:14">
      <c r="A4928" s="166"/>
      <c r="H4928" s="1"/>
      <c r="N4928" s="166"/>
    </row>
    <row r="4929" spans="1:14">
      <c r="A4929" s="166"/>
      <c r="H4929" s="1"/>
      <c r="N4929" s="166"/>
    </row>
    <row r="4930" spans="1:14">
      <c r="A4930" s="166"/>
      <c r="H4930" s="1"/>
      <c r="N4930" s="166"/>
    </row>
    <row r="4931" spans="1:14">
      <c r="A4931" s="166"/>
      <c r="H4931" s="1"/>
      <c r="N4931" s="166"/>
    </row>
    <row r="4932" spans="1:14">
      <c r="A4932" s="166"/>
      <c r="H4932" s="1"/>
      <c r="N4932" s="166"/>
    </row>
    <row r="4933" spans="1:14">
      <c r="A4933" s="166"/>
      <c r="H4933" s="1"/>
      <c r="N4933" s="166"/>
    </row>
    <row r="4934" spans="1:14">
      <c r="A4934" s="166"/>
      <c r="H4934" s="1"/>
      <c r="N4934" s="166"/>
    </row>
    <row r="4935" spans="1:14">
      <c r="A4935" s="166"/>
      <c r="H4935" s="1"/>
      <c r="N4935" s="166"/>
    </row>
    <row r="4936" spans="1:14">
      <c r="A4936" s="166"/>
      <c r="H4936" s="1"/>
      <c r="N4936" s="166"/>
    </row>
    <row r="4937" spans="1:14">
      <c r="A4937" s="166"/>
      <c r="H4937" s="1"/>
      <c r="N4937" s="166"/>
    </row>
    <row r="4938" spans="1:14">
      <c r="A4938" s="166"/>
      <c r="H4938" s="1"/>
      <c r="N4938" s="166"/>
    </row>
    <row r="4939" spans="1:14">
      <c r="A4939" s="166"/>
      <c r="H4939" s="1"/>
      <c r="N4939" s="166"/>
    </row>
    <row r="4940" spans="1:14">
      <c r="A4940" s="166"/>
      <c r="H4940" s="1"/>
      <c r="N4940" s="166"/>
    </row>
    <row r="4941" spans="1:14">
      <c r="A4941" s="166"/>
      <c r="H4941" s="1"/>
      <c r="N4941" s="166"/>
    </row>
    <row r="4942" spans="1:14">
      <c r="A4942" s="166"/>
      <c r="H4942" s="1"/>
      <c r="N4942" s="166"/>
    </row>
    <row r="4943" spans="1:14">
      <c r="A4943" s="166"/>
      <c r="H4943" s="1"/>
      <c r="N4943" s="166"/>
    </row>
    <row r="4944" spans="1:14">
      <c r="A4944" s="166"/>
      <c r="H4944" s="1"/>
      <c r="N4944" s="166"/>
    </row>
    <row r="4945" spans="1:14">
      <c r="A4945" s="166"/>
      <c r="H4945" s="1"/>
      <c r="N4945" s="166"/>
    </row>
    <row r="4946" spans="1:14">
      <c r="A4946" s="166"/>
      <c r="H4946" s="1"/>
      <c r="N4946" s="166"/>
    </row>
    <row r="4947" spans="1:14">
      <c r="A4947" s="166"/>
      <c r="H4947" s="1"/>
      <c r="N4947" s="166"/>
    </row>
    <row r="4948" spans="1:14">
      <c r="A4948" s="166"/>
      <c r="H4948" s="1"/>
      <c r="N4948" s="166"/>
    </row>
    <row r="4949" spans="1:14">
      <c r="A4949" s="166"/>
      <c r="H4949" s="1"/>
      <c r="N4949" s="166"/>
    </row>
    <row r="4950" spans="1:14">
      <c r="A4950" s="166"/>
      <c r="H4950" s="1"/>
      <c r="N4950" s="166"/>
    </row>
    <row r="4951" spans="1:14">
      <c r="A4951" s="166"/>
      <c r="H4951" s="1"/>
      <c r="N4951" s="166"/>
    </row>
    <row r="4952" spans="1:14">
      <c r="A4952" s="166"/>
      <c r="H4952" s="1"/>
      <c r="N4952" s="166"/>
    </row>
    <row r="4953" spans="1:14">
      <c r="A4953" s="166"/>
      <c r="H4953" s="1"/>
      <c r="N4953" s="166"/>
    </row>
    <row r="4954" spans="1:14">
      <c r="A4954" s="166"/>
      <c r="H4954" s="1"/>
      <c r="N4954" s="166"/>
    </row>
    <row r="4955" spans="1:14">
      <c r="A4955" s="166"/>
      <c r="H4955" s="1"/>
      <c r="N4955" s="166"/>
    </row>
    <row r="4956" spans="1:14">
      <c r="A4956" s="166"/>
      <c r="H4956" s="1"/>
      <c r="N4956" s="166"/>
    </row>
    <row r="4957" spans="1:14">
      <c r="A4957" s="166"/>
      <c r="H4957" s="1"/>
      <c r="N4957" s="166"/>
    </row>
    <row r="4958" spans="1:14">
      <c r="A4958" s="166"/>
      <c r="H4958" s="1"/>
      <c r="N4958" s="166"/>
    </row>
    <row r="4959" spans="1:14">
      <c r="A4959" s="166"/>
      <c r="H4959" s="1"/>
      <c r="N4959" s="166"/>
    </row>
    <row r="4960" spans="1:14">
      <c r="A4960" s="166"/>
      <c r="H4960" s="1"/>
      <c r="N4960" s="166"/>
    </row>
    <row r="4961" spans="1:14">
      <c r="A4961" s="166"/>
      <c r="H4961" s="1"/>
      <c r="N4961" s="166"/>
    </row>
    <row r="4962" spans="1:14">
      <c r="A4962" s="166"/>
      <c r="H4962" s="1"/>
      <c r="N4962" s="166"/>
    </row>
    <row r="4963" spans="1:14">
      <c r="A4963" s="166"/>
      <c r="H4963" s="1"/>
      <c r="N4963" s="166"/>
    </row>
    <row r="4964" spans="1:14">
      <c r="A4964" s="166"/>
      <c r="H4964" s="1"/>
      <c r="N4964" s="166"/>
    </row>
    <row r="4965" spans="1:14">
      <c r="A4965" s="166"/>
      <c r="H4965" s="1"/>
      <c r="N4965" s="166"/>
    </row>
    <row r="4966" spans="1:14">
      <c r="A4966" s="166"/>
      <c r="H4966" s="1"/>
      <c r="N4966" s="166"/>
    </row>
    <row r="4967" spans="1:14">
      <c r="A4967" s="166"/>
      <c r="H4967" s="1"/>
      <c r="N4967" s="166"/>
    </row>
    <row r="4968" spans="1:14">
      <c r="A4968" s="166"/>
      <c r="H4968" s="1"/>
      <c r="N4968" s="166"/>
    </row>
    <row r="4969" spans="1:14">
      <c r="A4969" s="166"/>
      <c r="H4969" s="1"/>
      <c r="N4969" s="166"/>
    </row>
    <row r="4970" spans="1:14">
      <c r="A4970" s="166"/>
      <c r="H4970" s="1"/>
      <c r="N4970" s="166"/>
    </row>
    <row r="4971" spans="1:14">
      <c r="A4971" s="166"/>
      <c r="H4971" s="1"/>
      <c r="N4971" s="166"/>
    </row>
    <row r="4972" spans="1:14">
      <c r="A4972" s="166"/>
      <c r="H4972" s="1"/>
      <c r="N4972" s="166"/>
    </row>
    <row r="4973" spans="1:14">
      <c r="A4973" s="166"/>
      <c r="H4973" s="1"/>
      <c r="N4973" s="166"/>
    </row>
    <row r="4974" spans="1:14">
      <c r="A4974" s="166"/>
      <c r="H4974" s="1"/>
      <c r="N4974" s="166"/>
    </row>
    <row r="4975" spans="1:14">
      <c r="A4975" s="166"/>
      <c r="H4975" s="1"/>
      <c r="N4975" s="166"/>
    </row>
    <row r="4976" spans="1:14">
      <c r="A4976" s="166"/>
      <c r="H4976" s="1"/>
      <c r="N4976" s="166"/>
    </row>
    <row r="4977" spans="1:14">
      <c r="A4977" s="166"/>
      <c r="H4977" s="1"/>
      <c r="N4977" s="166"/>
    </row>
    <row r="4978" spans="1:14">
      <c r="A4978" s="166"/>
      <c r="H4978" s="1"/>
      <c r="N4978" s="166"/>
    </row>
    <row r="4979" spans="1:14">
      <c r="A4979" s="166"/>
      <c r="H4979" s="1"/>
      <c r="N4979" s="166"/>
    </row>
    <row r="4980" spans="1:14">
      <c r="A4980" s="166"/>
      <c r="H4980" s="1"/>
      <c r="N4980" s="166"/>
    </row>
    <row r="4981" spans="1:14">
      <c r="A4981" s="166"/>
      <c r="H4981" s="1"/>
      <c r="N4981" s="166"/>
    </row>
    <row r="4982" spans="1:14">
      <c r="A4982" s="166"/>
      <c r="H4982" s="1"/>
      <c r="N4982" s="166"/>
    </row>
    <row r="4983" spans="1:14">
      <c r="A4983" s="166"/>
      <c r="H4983" s="1"/>
      <c r="N4983" s="166"/>
    </row>
    <row r="4984" spans="1:14">
      <c r="A4984" s="166"/>
      <c r="H4984" s="1"/>
      <c r="N4984" s="166"/>
    </row>
    <row r="4985" spans="1:14">
      <c r="A4985" s="166"/>
      <c r="H4985" s="1"/>
      <c r="N4985" s="166"/>
    </row>
    <row r="4986" spans="1:14">
      <c r="A4986" s="166"/>
      <c r="H4986" s="1"/>
      <c r="N4986" s="166"/>
    </row>
    <row r="4987" spans="1:14">
      <c r="A4987" s="166"/>
      <c r="H4987" s="1"/>
      <c r="N4987" s="166"/>
    </row>
    <row r="4988" spans="1:14">
      <c r="A4988" s="166"/>
      <c r="H4988" s="1"/>
      <c r="N4988" s="166"/>
    </row>
    <row r="4989" spans="1:14">
      <c r="A4989" s="166"/>
      <c r="H4989" s="1"/>
      <c r="N4989" s="166"/>
    </row>
    <row r="4990" spans="1:14">
      <c r="A4990" s="166"/>
      <c r="H4990" s="1"/>
      <c r="N4990" s="166"/>
    </row>
    <row r="4991" spans="1:14">
      <c r="A4991" s="166"/>
      <c r="H4991" s="1"/>
      <c r="N4991" s="166"/>
    </row>
    <row r="4992" spans="1:14">
      <c r="A4992" s="166"/>
      <c r="H4992" s="1"/>
      <c r="N4992" s="166"/>
    </row>
    <row r="4993" spans="1:14">
      <c r="A4993" s="166"/>
      <c r="H4993" s="1"/>
      <c r="N4993" s="166"/>
    </row>
    <row r="4994" spans="1:14">
      <c r="A4994" s="166"/>
      <c r="H4994" s="1"/>
      <c r="N4994" s="166"/>
    </row>
    <row r="4995" spans="1:14">
      <c r="A4995" s="166"/>
      <c r="H4995" s="1"/>
      <c r="N4995" s="166"/>
    </row>
    <row r="4996" spans="1:14">
      <c r="A4996" s="166"/>
      <c r="H4996" s="1"/>
      <c r="N4996" s="166"/>
    </row>
    <row r="4997" spans="1:14">
      <c r="A4997" s="166"/>
      <c r="H4997" s="1"/>
      <c r="N4997" s="166"/>
    </row>
    <row r="4998" spans="1:14">
      <c r="A4998" s="166"/>
      <c r="H4998" s="1"/>
      <c r="N4998" s="166"/>
    </row>
    <row r="4999" spans="1:14">
      <c r="A4999" s="166"/>
      <c r="H4999" s="1"/>
      <c r="N4999" s="166"/>
    </row>
    <row r="5000" spans="1:14">
      <c r="A5000" s="166"/>
      <c r="H5000" s="1"/>
      <c r="N5000" s="166"/>
    </row>
    <row r="5001" spans="1:14">
      <c r="A5001" s="166"/>
      <c r="H5001" s="1"/>
      <c r="N5001" s="166"/>
    </row>
    <row r="5002" spans="1:14">
      <c r="A5002" s="166"/>
      <c r="H5002" s="1"/>
      <c r="N5002" s="166"/>
    </row>
    <row r="5003" spans="1:14">
      <c r="A5003" s="166"/>
      <c r="H5003" s="1"/>
      <c r="N5003" s="166"/>
    </row>
    <row r="5004" spans="1:14">
      <c r="A5004" s="166"/>
      <c r="H5004" s="1"/>
      <c r="N5004" s="166"/>
    </row>
    <row r="5005" spans="1:14">
      <c r="A5005" s="166"/>
      <c r="H5005" s="1"/>
      <c r="N5005" s="166"/>
    </row>
    <row r="5006" spans="1:14">
      <c r="A5006" s="166"/>
      <c r="H5006" s="1"/>
      <c r="N5006" s="166"/>
    </row>
    <row r="5007" spans="1:14">
      <c r="A5007" s="166"/>
      <c r="H5007" s="1"/>
      <c r="N5007" s="166"/>
    </row>
    <row r="5008" spans="1:14">
      <c r="A5008" s="166"/>
      <c r="H5008" s="1"/>
      <c r="N5008" s="166"/>
    </row>
    <row r="5009" spans="1:14">
      <c r="A5009" s="166"/>
      <c r="H5009" s="1"/>
      <c r="N5009" s="166"/>
    </row>
    <row r="5010" spans="1:14">
      <c r="A5010" s="166"/>
      <c r="H5010" s="1"/>
      <c r="N5010" s="166"/>
    </row>
    <row r="5011" spans="1:14">
      <c r="A5011" s="166"/>
      <c r="H5011" s="1"/>
      <c r="N5011" s="166"/>
    </row>
    <row r="5012" spans="1:14">
      <c r="A5012" s="166"/>
      <c r="H5012" s="1"/>
      <c r="N5012" s="166"/>
    </row>
    <row r="5013" spans="1:14">
      <c r="A5013" s="166"/>
      <c r="H5013" s="1"/>
      <c r="N5013" s="166"/>
    </row>
    <row r="5014" spans="1:14">
      <c r="A5014" s="166"/>
      <c r="H5014" s="1"/>
      <c r="N5014" s="166"/>
    </row>
    <row r="5015" spans="1:14">
      <c r="A5015" s="166"/>
      <c r="H5015" s="1"/>
      <c r="N5015" s="166"/>
    </row>
    <row r="5016" spans="1:14">
      <c r="A5016" s="166"/>
      <c r="H5016" s="1"/>
      <c r="N5016" s="166"/>
    </row>
    <row r="5017" spans="1:14">
      <c r="A5017" s="166"/>
      <c r="H5017" s="1"/>
      <c r="N5017" s="166"/>
    </row>
    <row r="5018" spans="1:14">
      <c r="A5018" s="166"/>
      <c r="H5018" s="1"/>
      <c r="N5018" s="166"/>
    </row>
    <row r="5019" spans="1:14">
      <c r="A5019" s="166"/>
      <c r="H5019" s="1"/>
      <c r="N5019" s="166"/>
    </row>
    <row r="5020" spans="1:14">
      <c r="A5020" s="166"/>
      <c r="H5020" s="1"/>
      <c r="N5020" s="166"/>
    </row>
    <row r="5021" spans="1:14">
      <c r="A5021" s="166"/>
      <c r="H5021" s="1"/>
      <c r="N5021" s="166"/>
    </row>
    <row r="5022" spans="1:14">
      <c r="A5022" s="166"/>
      <c r="H5022" s="1"/>
      <c r="N5022" s="166"/>
    </row>
    <row r="5023" spans="1:14">
      <c r="A5023" s="166"/>
      <c r="H5023" s="1"/>
      <c r="N5023" s="166"/>
    </row>
    <row r="5024" spans="1:14">
      <c r="A5024" s="166"/>
      <c r="H5024" s="1"/>
      <c r="N5024" s="166"/>
    </row>
    <row r="5025" spans="1:14">
      <c r="A5025" s="166"/>
      <c r="H5025" s="1"/>
      <c r="N5025" s="166"/>
    </row>
    <row r="5026" spans="1:14">
      <c r="A5026" s="166"/>
      <c r="H5026" s="1"/>
      <c r="N5026" s="166"/>
    </row>
    <row r="5027" spans="1:14">
      <c r="A5027" s="166"/>
      <c r="H5027" s="1"/>
      <c r="N5027" s="166"/>
    </row>
    <row r="5028" spans="1:14">
      <c r="A5028" s="166"/>
      <c r="H5028" s="1"/>
      <c r="N5028" s="166"/>
    </row>
    <row r="5029" spans="1:14">
      <c r="A5029" s="166"/>
      <c r="H5029" s="1"/>
      <c r="N5029" s="166"/>
    </row>
    <row r="5030" spans="1:14">
      <c r="A5030" s="166"/>
      <c r="H5030" s="1"/>
      <c r="N5030" s="166"/>
    </row>
    <row r="5031" spans="1:14">
      <c r="A5031" s="166"/>
      <c r="H5031" s="1"/>
      <c r="N5031" s="166"/>
    </row>
    <row r="5032" spans="1:14">
      <c r="A5032" s="166"/>
      <c r="H5032" s="1"/>
      <c r="N5032" s="166"/>
    </row>
    <row r="5033" spans="1:14">
      <c r="A5033" s="166"/>
      <c r="H5033" s="1"/>
      <c r="N5033" s="166"/>
    </row>
    <row r="5034" spans="1:14">
      <c r="A5034" s="166"/>
      <c r="H5034" s="1"/>
      <c r="N5034" s="166"/>
    </row>
    <row r="5035" spans="1:14">
      <c r="A5035" s="166"/>
      <c r="H5035" s="1"/>
      <c r="N5035" s="166"/>
    </row>
    <row r="5036" spans="1:14">
      <c r="A5036" s="166"/>
      <c r="H5036" s="1"/>
      <c r="N5036" s="166"/>
    </row>
    <row r="5037" spans="1:14">
      <c r="A5037" s="166"/>
      <c r="H5037" s="1"/>
      <c r="N5037" s="166"/>
    </row>
    <row r="5038" spans="1:14">
      <c r="A5038" s="166"/>
      <c r="H5038" s="1"/>
      <c r="N5038" s="166"/>
    </row>
    <row r="5039" spans="1:14">
      <c r="A5039" s="166"/>
      <c r="H5039" s="1"/>
      <c r="N5039" s="166"/>
    </row>
    <row r="5040" spans="1:14">
      <c r="A5040" s="166"/>
      <c r="H5040" s="1"/>
      <c r="N5040" s="166"/>
    </row>
    <row r="5041" spans="1:14">
      <c r="A5041" s="166"/>
      <c r="H5041" s="1"/>
      <c r="N5041" s="166"/>
    </row>
    <row r="5042" spans="1:14">
      <c r="A5042" s="166"/>
      <c r="H5042" s="1"/>
      <c r="N5042" s="166"/>
    </row>
    <row r="5043" spans="1:14">
      <c r="A5043" s="166"/>
      <c r="H5043" s="1"/>
      <c r="N5043" s="166"/>
    </row>
    <row r="5044" spans="1:14">
      <c r="A5044" s="166"/>
      <c r="H5044" s="1"/>
      <c r="N5044" s="166"/>
    </row>
    <row r="5045" spans="1:14">
      <c r="A5045" s="166"/>
      <c r="H5045" s="1"/>
      <c r="N5045" s="166"/>
    </row>
    <row r="5046" spans="1:14">
      <c r="A5046" s="166"/>
      <c r="H5046" s="1"/>
      <c r="N5046" s="166"/>
    </row>
    <row r="5047" spans="1:14">
      <c r="A5047" s="166"/>
      <c r="H5047" s="1"/>
      <c r="N5047" s="166"/>
    </row>
    <row r="5048" spans="1:14">
      <c r="A5048" s="166"/>
      <c r="H5048" s="1"/>
      <c r="N5048" s="166"/>
    </row>
    <row r="5049" spans="1:14">
      <c r="A5049" s="166"/>
      <c r="H5049" s="1"/>
      <c r="N5049" s="166"/>
    </row>
    <row r="5050" spans="1:14">
      <c r="A5050" s="166"/>
      <c r="H5050" s="1"/>
      <c r="N5050" s="166"/>
    </row>
    <row r="5051" spans="1:14">
      <c r="A5051" s="166"/>
      <c r="H5051" s="1"/>
      <c r="N5051" s="166"/>
    </row>
    <row r="5052" spans="1:14">
      <c r="A5052" s="166"/>
      <c r="H5052" s="1"/>
      <c r="N5052" s="166"/>
    </row>
    <row r="5053" spans="1:14">
      <c r="A5053" s="166"/>
      <c r="H5053" s="1"/>
      <c r="N5053" s="166"/>
    </row>
    <row r="5054" spans="1:14">
      <c r="A5054" s="166"/>
      <c r="H5054" s="1"/>
      <c r="N5054" s="166"/>
    </row>
    <row r="5055" spans="1:14">
      <c r="A5055" s="166"/>
      <c r="H5055" s="1"/>
      <c r="N5055" s="166"/>
    </row>
    <row r="5056" spans="1:14">
      <c r="A5056" s="166"/>
      <c r="H5056" s="1"/>
      <c r="N5056" s="166"/>
    </row>
    <row r="5057" spans="1:14">
      <c r="A5057" s="166"/>
      <c r="H5057" s="1"/>
      <c r="N5057" s="166"/>
    </row>
    <row r="5058" spans="1:14">
      <c r="A5058" s="166"/>
      <c r="H5058" s="1"/>
      <c r="N5058" s="166"/>
    </row>
    <row r="5059" spans="1:14">
      <c r="A5059" s="166"/>
      <c r="H5059" s="1"/>
      <c r="N5059" s="166"/>
    </row>
    <row r="5060" spans="1:14">
      <c r="A5060" s="166"/>
      <c r="H5060" s="1"/>
      <c r="N5060" s="166"/>
    </row>
    <row r="5061" spans="1:14">
      <c r="A5061" s="166"/>
      <c r="H5061" s="1"/>
      <c r="N5061" s="166"/>
    </row>
    <row r="5062" spans="1:14">
      <c r="A5062" s="166"/>
      <c r="H5062" s="1"/>
      <c r="N5062" s="166"/>
    </row>
    <row r="5063" spans="1:14">
      <c r="A5063" s="166"/>
      <c r="H5063" s="1"/>
      <c r="N5063" s="166"/>
    </row>
    <row r="5064" spans="1:14">
      <c r="A5064" s="166"/>
      <c r="H5064" s="1"/>
      <c r="N5064" s="166"/>
    </row>
    <row r="5065" spans="1:14">
      <c r="A5065" s="166"/>
      <c r="H5065" s="1"/>
      <c r="N5065" s="166"/>
    </row>
    <row r="5066" spans="1:14">
      <c r="A5066" s="166"/>
      <c r="H5066" s="1"/>
      <c r="N5066" s="166"/>
    </row>
    <row r="5067" spans="1:14">
      <c r="A5067" s="166"/>
      <c r="H5067" s="1"/>
      <c r="N5067" s="166"/>
    </row>
    <row r="5068" spans="1:14">
      <c r="A5068" s="166"/>
      <c r="H5068" s="1"/>
      <c r="N5068" s="166"/>
    </row>
    <row r="5069" spans="1:14">
      <c r="A5069" s="166"/>
      <c r="H5069" s="1"/>
      <c r="N5069" s="166"/>
    </row>
    <row r="5070" spans="1:14">
      <c r="A5070" s="166"/>
      <c r="H5070" s="1"/>
      <c r="N5070" s="166"/>
    </row>
    <row r="5071" spans="1:14">
      <c r="A5071" s="166"/>
      <c r="H5071" s="1"/>
      <c r="N5071" s="166"/>
    </row>
    <row r="5072" spans="1:14">
      <c r="A5072" s="166"/>
      <c r="H5072" s="1"/>
      <c r="N5072" s="166"/>
    </row>
    <row r="5073" spans="1:14">
      <c r="A5073" s="166"/>
      <c r="H5073" s="1"/>
      <c r="N5073" s="166"/>
    </row>
    <row r="5074" spans="1:14">
      <c r="A5074" s="166"/>
      <c r="H5074" s="1"/>
      <c r="N5074" s="166"/>
    </row>
    <row r="5075" spans="1:14">
      <c r="A5075" s="166"/>
      <c r="H5075" s="1"/>
      <c r="N5075" s="166"/>
    </row>
    <row r="5076" spans="1:14">
      <c r="A5076" s="166"/>
      <c r="H5076" s="1"/>
      <c r="N5076" s="166"/>
    </row>
    <row r="5077" spans="1:14">
      <c r="A5077" s="166"/>
      <c r="H5077" s="1"/>
      <c r="N5077" s="166"/>
    </row>
    <row r="5078" spans="1:14">
      <c r="A5078" s="166"/>
      <c r="H5078" s="1"/>
      <c r="N5078" s="166"/>
    </row>
    <row r="5079" spans="1:14">
      <c r="A5079" s="166"/>
      <c r="H5079" s="1"/>
      <c r="N5079" s="166"/>
    </row>
    <row r="5080" spans="1:14">
      <c r="A5080" s="166"/>
      <c r="H5080" s="1"/>
      <c r="N5080" s="166"/>
    </row>
    <row r="5081" spans="1:14">
      <c r="A5081" s="166"/>
      <c r="H5081" s="1"/>
      <c r="N5081" s="166"/>
    </row>
    <row r="5082" spans="1:14">
      <c r="A5082" s="166"/>
      <c r="H5082" s="1"/>
      <c r="N5082" s="166"/>
    </row>
    <row r="5083" spans="1:14">
      <c r="A5083" s="166"/>
      <c r="H5083" s="1"/>
      <c r="N5083" s="166"/>
    </row>
    <row r="5084" spans="1:14">
      <c r="A5084" s="166"/>
      <c r="H5084" s="1"/>
      <c r="N5084" s="166"/>
    </row>
    <row r="5085" spans="1:14">
      <c r="A5085" s="166"/>
      <c r="H5085" s="1"/>
      <c r="N5085" s="166"/>
    </row>
    <row r="5086" spans="1:14">
      <c r="A5086" s="166"/>
      <c r="H5086" s="1"/>
      <c r="N5086" s="166"/>
    </row>
    <row r="5087" spans="1:14">
      <c r="A5087" s="166"/>
      <c r="H5087" s="1"/>
      <c r="N5087" s="166"/>
    </row>
    <row r="5088" spans="1:14">
      <c r="A5088" s="166"/>
      <c r="H5088" s="1"/>
      <c r="N5088" s="166"/>
    </row>
    <row r="5089" spans="1:14">
      <c r="A5089" s="166"/>
      <c r="H5089" s="1"/>
      <c r="N5089" s="166"/>
    </row>
    <row r="5090" spans="1:14">
      <c r="A5090" s="166"/>
      <c r="H5090" s="1"/>
      <c r="N5090" s="166"/>
    </row>
    <row r="5091" spans="1:14">
      <c r="A5091" s="166"/>
      <c r="H5091" s="1"/>
      <c r="N5091" s="166"/>
    </row>
    <row r="5092" spans="1:14">
      <c r="A5092" s="166"/>
      <c r="H5092" s="1"/>
      <c r="N5092" s="166"/>
    </row>
    <row r="5093" spans="1:14">
      <c r="A5093" s="166"/>
      <c r="H5093" s="1"/>
      <c r="N5093" s="166"/>
    </row>
    <row r="5094" spans="1:14">
      <c r="A5094" s="166"/>
      <c r="H5094" s="1"/>
      <c r="N5094" s="166"/>
    </row>
    <row r="5095" spans="1:14">
      <c r="A5095" s="166"/>
      <c r="H5095" s="1"/>
      <c r="N5095" s="166"/>
    </row>
    <row r="5096" spans="1:14">
      <c r="A5096" s="166"/>
      <c r="H5096" s="1"/>
      <c r="N5096" s="166"/>
    </row>
    <row r="5097" spans="1:14">
      <c r="A5097" s="166"/>
      <c r="H5097" s="1"/>
      <c r="N5097" s="166"/>
    </row>
    <row r="5098" spans="1:14">
      <c r="A5098" s="166"/>
      <c r="H5098" s="1"/>
      <c r="N5098" s="166"/>
    </row>
    <row r="5099" spans="1:14">
      <c r="A5099" s="166"/>
      <c r="H5099" s="1"/>
      <c r="N5099" s="166"/>
    </row>
    <row r="5100" spans="1:14">
      <c r="A5100" s="166"/>
      <c r="H5100" s="1"/>
      <c r="N5100" s="166"/>
    </row>
    <row r="5101" spans="1:14">
      <c r="A5101" s="166"/>
      <c r="H5101" s="1"/>
      <c r="N5101" s="166"/>
    </row>
    <row r="5102" spans="1:14">
      <c r="A5102" s="166"/>
      <c r="H5102" s="1"/>
      <c r="N5102" s="166"/>
    </row>
    <row r="5103" spans="1:14">
      <c r="A5103" s="166"/>
      <c r="H5103" s="1"/>
      <c r="N5103" s="166"/>
    </row>
    <row r="5104" spans="1:14">
      <c r="A5104" s="166"/>
      <c r="H5104" s="1"/>
      <c r="N5104" s="166"/>
    </row>
    <row r="5105" spans="1:14">
      <c r="A5105" s="166"/>
      <c r="H5105" s="1"/>
      <c r="N5105" s="166"/>
    </row>
    <row r="5106" spans="1:14">
      <c r="A5106" s="166"/>
      <c r="H5106" s="1"/>
      <c r="N5106" s="166"/>
    </row>
    <row r="5107" spans="1:14">
      <c r="A5107" s="166"/>
      <c r="H5107" s="1"/>
      <c r="N5107" s="166"/>
    </row>
    <row r="5108" spans="1:14">
      <c r="A5108" s="166"/>
      <c r="H5108" s="1"/>
      <c r="N5108" s="166"/>
    </row>
    <row r="5109" spans="1:14">
      <c r="A5109" s="166"/>
      <c r="H5109" s="1"/>
      <c r="N5109" s="166"/>
    </row>
    <row r="5110" spans="1:14">
      <c r="A5110" s="166"/>
      <c r="H5110" s="1"/>
      <c r="N5110" s="166"/>
    </row>
    <row r="5111" spans="1:14">
      <c r="A5111" s="166"/>
      <c r="H5111" s="1"/>
      <c r="N5111" s="166"/>
    </row>
    <row r="5112" spans="1:14">
      <c r="A5112" s="166"/>
      <c r="H5112" s="1"/>
      <c r="N5112" s="166"/>
    </row>
    <row r="5113" spans="1:14">
      <c r="A5113" s="166"/>
      <c r="H5113" s="1"/>
      <c r="N5113" s="166"/>
    </row>
    <row r="5114" spans="1:14">
      <c r="A5114" s="166"/>
      <c r="H5114" s="1"/>
      <c r="N5114" s="166"/>
    </row>
    <row r="5115" spans="1:14">
      <c r="A5115" s="166"/>
      <c r="H5115" s="1"/>
      <c r="N5115" s="166"/>
    </row>
    <row r="5116" spans="1:14">
      <c r="A5116" s="166"/>
      <c r="H5116" s="1"/>
      <c r="N5116" s="166"/>
    </row>
    <row r="5117" spans="1:14">
      <c r="A5117" s="166"/>
      <c r="H5117" s="1"/>
      <c r="N5117" s="166"/>
    </row>
    <row r="5118" spans="1:14">
      <c r="A5118" s="166"/>
      <c r="H5118" s="1"/>
      <c r="N5118" s="166"/>
    </row>
    <row r="5119" spans="1:14">
      <c r="A5119" s="166"/>
      <c r="H5119" s="1"/>
      <c r="N5119" s="166"/>
    </row>
    <row r="5120" spans="1:14">
      <c r="A5120" s="166"/>
      <c r="H5120" s="1"/>
      <c r="N5120" s="166"/>
    </row>
    <row r="5121" spans="1:14">
      <c r="A5121" s="166"/>
      <c r="H5121" s="1"/>
      <c r="N5121" s="166"/>
    </row>
    <row r="5122" spans="1:14">
      <c r="A5122" s="166"/>
      <c r="H5122" s="1"/>
      <c r="N5122" s="166"/>
    </row>
    <row r="5123" spans="1:14">
      <c r="A5123" s="166"/>
      <c r="H5123" s="1"/>
      <c r="N5123" s="166"/>
    </row>
    <row r="5124" spans="1:14">
      <c r="A5124" s="166"/>
      <c r="H5124" s="1"/>
      <c r="N5124" s="166"/>
    </row>
    <row r="5125" spans="1:14">
      <c r="A5125" s="166"/>
      <c r="H5125" s="1"/>
      <c r="N5125" s="166"/>
    </row>
    <row r="5126" spans="1:14">
      <c r="A5126" s="166"/>
      <c r="H5126" s="1"/>
      <c r="N5126" s="166"/>
    </row>
    <row r="5127" spans="1:14">
      <c r="A5127" s="166"/>
      <c r="H5127" s="1"/>
      <c r="N5127" s="166"/>
    </row>
    <row r="5128" spans="1:14">
      <c r="A5128" s="166"/>
      <c r="H5128" s="1"/>
      <c r="N5128" s="166"/>
    </row>
    <row r="5129" spans="1:14">
      <c r="A5129" s="166"/>
      <c r="H5129" s="1"/>
      <c r="N5129" s="166"/>
    </row>
    <row r="5130" spans="1:14">
      <c r="A5130" s="166"/>
      <c r="H5130" s="1"/>
      <c r="N5130" s="166"/>
    </row>
    <row r="5131" spans="1:14">
      <c r="A5131" s="166"/>
      <c r="H5131" s="1"/>
      <c r="N5131" s="166"/>
    </row>
    <row r="5132" spans="1:14">
      <c r="A5132" s="166"/>
      <c r="H5132" s="1"/>
      <c r="N5132" s="166"/>
    </row>
    <row r="5133" spans="1:14">
      <c r="A5133" s="166"/>
      <c r="H5133" s="1"/>
      <c r="N5133" s="166"/>
    </row>
    <row r="5134" spans="1:14">
      <c r="A5134" s="166"/>
      <c r="H5134" s="1"/>
      <c r="N5134" s="166"/>
    </row>
    <row r="5135" spans="1:14">
      <c r="A5135" s="166"/>
      <c r="H5135" s="1"/>
      <c r="N5135" s="166"/>
    </row>
    <row r="5136" spans="1:14">
      <c r="A5136" s="166"/>
      <c r="H5136" s="1"/>
      <c r="N5136" s="166"/>
    </row>
    <row r="5137" spans="1:14">
      <c r="A5137" s="166"/>
      <c r="H5137" s="1"/>
      <c r="N5137" s="166"/>
    </row>
    <row r="5138" spans="1:14">
      <c r="A5138" s="166"/>
      <c r="H5138" s="1"/>
      <c r="N5138" s="166"/>
    </row>
    <row r="5139" spans="1:14">
      <c r="A5139" s="166"/>
      <c r="H5139" s="1"/>
      <c r="N5139" s="166"/>
    </row>
    <row r="5140" spans="1:14">
      <c r="A5140" s="166"/>
      <c r="H5140" s="1"/>
      <c r="N5140" s="166"/>
    </row>
    <row r="5141" spans="1:14">
      <c r="A5141" s="166"/>
      <c r="H5141" s="1"/>
      <c r="N5141" s="166"/>
    </row>
    <row r="5142" spans="1:14">
      <c r="A5142" s="166"/>
      <c r="H5142" s="1"/>
      <c r="N5142" s="166"/>
    </row>
    <row r="5143" spans="1:14">
      <c r="A5143" s="166"/>
      <c r="H5143" s="1"/>
      <c r="N5143" s="166"/>
    </row>
    <row r="5144" spans="1:14">
      <c r="A5144" s="166"/>
      <c r="H5144" s="1"/>
      <c r="N5144" s="166"/>
    </row>
    <row r="5145" spans="1:14">
      <c r="A5145" s="166"/>
      <c r="H5145" s="1"/>
      <c r="N5145" s="166"/>
    </row>
    <row r="5146" spans="1:14">
      <c r="A5146" s="166"/>
      <c r="H5146" s="1"/>
      <c r="N5146" s="166"/>
    </row>
    <row r="5147" spans="1:14">
      <c r="A5147" s="166"/>
      <c r="H5147" s="1"/>
      <c r="N5147" s="166"/>
    </row>
    <row r="5148" spans="1:14">
      <c r="A5148" s="166"/>
      <c r="H5148" s="1"/>
      <c r="N5148" s="166"/>
    </row>
    <row r="5149" spans="1:14">
      <c r="A5149" s="166"/>
      <c r="H5149" s="1"/>
      <c r="N5149" s="166"/>
    </row>
    <row r="5150" spans="1:14">
      <c r="A5150" s="166"/>
      <c r="H5150" s="1"/>
      <c r="N5150" s="166"/>
    </row>
    <row r="5151" spans="1:14">
      <c r="A5151" s="166"/>
      <c r="H5151" s="1"/>
      <c r="N5151" s="166"/>
    </row>
    <row r="5152" spans="1:14">
      <c r="A5152" s="166"/>
      <c r="H5152" s="1"/>
      <c r="N5152" s="166"/>
    </row>
    <row r="5153" spans="1:14">
      <c r="A5153" s="166"/>
      <c r="H5153" s="1"/>
      <c r="N5153" s="166"/>
    </row>
    <row r="5154" spans="1:14">
      <c r="A5154" s="166"/>
      <c r="H5154" s="1"/>
      <c r="N5154" s="166"/>
    </row>
    <row r="5155" spans="1:14">
      <c r="A5155" s="166"/>
      <c r="H5155" s="1"/>
      <c r="N5155" s="166"/>
    </row>
    <row r="5156" spans="1:14">
      <c r="A5156" s="166"/>
      <c r="H5156" s="1"/>
      <c r="N5156" s="166"/>
    </row>
    <row r="5157" spans="1:14">
      <c r="A5157" s="166"/>
      <c r="H5157" s="1"/>
      <c r="N5157" s="166"/>
    </row>
    <row r="5158" spans="1:14">
      <c r="A5158" s="166"/>
      <c r="H5158" s="1"/>
      <c r="N5158" s="166"/>
    </row>
    <row r="5159" spans="1:14">
      <c r="A5159" s="166"/>
      <c r="H5159" s="1"/>
      <c r="N5159" s="166"/>
    </row>
    <row r="5160" spans="1:14">
      <c r="A5160" s="166"/>
      <c r="H5160" s="1"/>
      <c r="N5160" s="166"/>
    </row>
    <row r="5161" spans="1:14">
      <c r="A5161" s="166"/>
      <c r="H5161" s="1"/>
      <c r="N5161" s="166"/>
    </row>
    <row r="5162" spans="1:14">
      <c r="A5162" s="166"/>
      <c r="H5162" s="1"/>
      <c r="N5162" s="166"/>
    </row>
    <row r="5163" spans="1:14">
      <c r="A5163" s="166"/>
      <c r="H5163" s="1"/>
      <c r="N5163" s="166"/>
    </row>
    <row r="5164" spans="1:14">
      <c r="A5164" s="166"/>
      <c r="H5164" s="1"/>
      <c r="N5164" s="166"/>
    </row>
    <row r="5165" spans="1:14">
      <c r="A5165" s="166"/>
      <c r="H5165" s="1"/>
      <c r="N5165" s="166"/>
    </row>
    <row r="5166" spans="1:14">
      <c r="A5166" s="166"/>
      <c r="H5166" s="1"/>
      <c r="N5166" s="166"/>
    </row>
    <row r="5167" spans="1:14">
      <c r="A5167" s="166"/>
      <c r="H5167" s="1"/>
      <c r="N5167" s="166"/>
    </row>
    <row r="5168" spans="1:14">
      <c r="A5168" s="166"/>
      <c r="H5168" s="1"/>
      <c r="N5168" s="166"/>
    </row>
    <row r="5169" spans="1:14">
      <c r="A5169" s="166"/>
      <c r="H5169" s="1"/>
      <c r="N5169" s="166"/>
    </row>
    <row r="5170" spans="1:14">
      <c r="A5170" s="166"/>
      <c r="H5170" s="1"/>
      <c r="N5170" s="166"/>
    </row>
    <row r="5171" spans="1:14">
      <c r="A5171" s="166"/>
      <c r="H5171" s="1"/>
      <c r="N5171" s="166"/>
    </row>
    <row r="5172" spans="1:14">
      <c r="A5172" s="166"/>
      <c r="H5172" s="1"/>
      <c r="N5172" s="166"/>
    </row>
    <row r="5173" spans="1:14">
      <c r="A5173" s="166"/>
      <c r="H5173" s="1"/>
      <c r="N5173" s="166"/>
    </row>
    <row r="5174" spans="1:14">
      <c r="A5174" s="166"/>
      <c r="H5174" s="1"/>
      <c r="N5174" s="166"/>
    </row>
    <row r="5175" spans="1:14">
      <c r="A5175" s="166"/>
      <c r="H5175" s="1"/>
      <c r="N5175" s="166"/>
    </row>
    <row r="5176" spans="1:14">
      <c r="A5176" s="166"/>
      <c r="H5176" s="1"/>
      <c r="N5176" s="166"/>
    </row>
    <row r="5177" spans="1:14">
      <c r="A5177" s="166"/>
      <c r="H5177" s="1"/>
      <c r="N5177" s="166"/>
    </row>
    <row r="5178" spans="1:14">
      <c r="A5178" s="166"/>
      <c r="H5178" s="1"/>
      <c r="N5178" s="166"/>
    </row>
    <row r="5179" spans="1:14">
      <c r="A5179" s="166"/>
      <c r="H5179" s="1"/>
      <c r="N5179" s="166"/>
    </row>
    <row r="5180" spans="1:14">
      <c r="A5180" s="166"/>
      <c r="H5180" s="1"/>
      <c r="N5180" s="166"/>
    </row>
    <row r="5181" spans="1:14">
      <c r="A5181" s="166"/>
      <c r="H5181" s="1"/>
      <c r="N5181" s="166"/>
    </row>
    <row r="5182" spans="1:14">
      <c r="A5182" s="166"/>
      <c r="H5182" s="1"/>
      <c r="N5182" s="166"/>
    </row>
    <row r="5183" spans="1:14">
      <c r="A5183" s="166"/>
      <c r="H5183" s="1"/>
      <c r="N5183" s="166"/>
    </row>
    <row r="5184" spans="1:14">
      <c r="A5184" s="166"/>
      <c r="H5184" s="1"/>
      <c r="N5184" s="166"/>
    </row>
    <row r="5185" spans="1:14">
      <c r="A5185" s="166"/>
      <c r="H5185" s="1"/>
      <c r="N5185" s="166"/>
    </row>
    <row r="5186" spans="1:14">
      <c r="A5186" s="166"/>
      <c r="H5186" s="1"/>
      <c r="N5186" s="166"/>
    </row>
    <row r="5187" spans="1:14">
      <c r="A5187" s="166"/>
      <c r="H5187" s="1"/>
      <c r="N5187" s="166"/>
    </row>
    <row r="5188" spans="1:14">
      <c r="A5188" s="166"/>
      <c r="H5188" s="1"/>
      <c r="N5188" s="166"/>
    </row>
    <row r="5189" spans="1:14">
      <c r="A5189" s="166"/>
      <c r="H5189" s="1"/>
      <c r="N5189" s="166"/>
    </row>
    <row r="5190" spans="1:14">
      <c r="A5190" s="166"/>
      <c r="H5190" s="1"/>
      <c r="N5190" s="166"/>
    </row>
    <row r="5191" spans="1:14">
      <c r="A5191" s="166"/>
      <c r="H5191" s="1"/>
      <c r="N5191" s="166"/>
    </row>
    <row r="5192" spans="1:14">
      <c r="A5192" s="166"/>
      <c r="H5192" s="1"/>
      <c r="N5192" s="166"/>
    </row>
    <row r="5193" spans="1:14">
      <c r="A5193" s="166"/>
      <c r="H5193" s="1"/>
      <c r="N5193" s="166"/>
    </row>
    <row r="5194" spans="1:14">
      <c r="A5194" s="166"/>
      <c r="H5194" s="1"/>
      <c r="N5194" s="166"/>
    </row>
    <row r="5195" spans="1:14">
      <c r="A5195" s="166"/>
      <c r="H5195" s="1"/>
      <c r="N5195" s="166"/>
    </row>
    <row r="5196" spans="1:14">
      <c r="A5196" s="166"/>
      <c r="H5196" s="1"/>
      <c r="N5196" s="166"/>
    </row>
    <row r="5197" spans="1:14">
      <c r="A5197" s="166"/>
      <c r="H5197" s="1"/>
      <c r="N5197" s="166"/>
    </row>
    <row r="5198" spans="1:14">
      <c r="A5198" s="166"/>
      <c r="H5198" s="1"/>
      <c r="N5198" s="166"/>
    </row>
    <row r="5199" spans="1:14">
      <c r="A5199" s="166"/>
      <c r="H5199" s="1"/>
      <c r="N5199" s="166"/>
    </row>
    <row r="5200" spans="1:14">
      <c r="A5200" s="166"/>
      <c r="H5200" s="1"/>
      <c r="N5200" s="166"/>
    </row>
    <row r="5201" spans="1:14">
      <c r="A5201" s="166"/>
      <c r="H5201" s="1"/>
      <c r="N5201" s="166"/>
    </row>
    <row r="5202" spans="1:14">
      <c r="A5202" s="166"/>
      <c r="H5202" s="1"/>
      <c r="N5202" s="166"/>
    </row>
    <row r="5203" spans="1:14">
      <c r="A5203" s="166"/>
      <c r="H5203" s="1"/>
      <c r="N5203" s="166"/>
    </row>
    <row r="5204" spans="1:14">
      <c r="A5204" s="166"/>
      <c r="H5204" s="1"/>
      <c r="N5204" s="166"/>
    </row>
    <row r="5205" spans="1:14">
      <c r="A5205" s="166"/>
      <c r="H5205" s="1"/>
      <c r="N5205" s="166"/>
    </row>
    <row r="5206" spans="1:14">
      <c r="A5206" s="166"/>
      <c r="H5206" s="1"/>
      <c r="N5206" s="166"/>
    </row>
    <row r="5207" spans="1:14">
      <c r="A5207" s="166"/>
      <c r="H5207" s="1"/>
      <c r="N5207" s="166"/>
    </row>
    <row r="5208" spans="1:14">
      <c r="A5208" s="166"/>
      <c r="H5208" s="1"/>
      <c r="N5208" s="166"/>
    </row>
    <row r="5209" spans="1:14">
      <c r="A5209" s="166"/>
      <c r="H5209" s="1"/>
      <c r="N5209" s="166"/>
    </row>
    <row r="5210" spans="1:14">
      <c r="A5210" s="166"/>
      <c r="H5210" s="1"/>
      <c r="N5210" s="166"/>
    </row>
    <row r="5211" spans="1:14">
      <c r="A5211" s="166"/>
      <c r="H5211" s="1"/>
      <c r="N5211" s="166"/>
    </row>
    <row r="5212" spans="1:14">
      <c r="A5212" s="166"/>
      <c r="H5212" s="1"/>
      <c r="N5212" s="166"/>
    </row>
    <row r="5213" spans="1:14">
      <c r="A5213" s="166"/>
      <c r="H5213" s="1"/>
      <c r="N5213" s="166"/>
    </row>
    <row r="5214" spans="1:14">
      <c r="A5214" s="166"/>
      <c r="H5214" s="1"/>
      <c r="N5214" s="166"/>
    </row>
    <row r="5215" spans="1:14">
      <c r="A5215" s="166"/>
      <c r="H5215" s="1"/>
      <c r="N5215" s="166"/>
    </row>
    <row r="5216" spans="1:14">
      <c r="A5216" s="166"/>
      <c r="H5216" s="1"/>
      <c r="N5216" s="166"/>
    </row>
    <row r="5217" spans="1:14">
      <c r="A5217" s="166"/>
      <c r="H5217" s="1"/>
      <c r="N5217" s="166"/>
    </row>
    <row r="5218" spans="1:14">
      <c r="A5218" s="166"/>
      <c r="H5218" s="1"/>
      <c r="N5218" s="166"/>
    </row>
    <row r="5219" spans="1:14">
      <c r="A5219" s="166"/>
      <c r="H5219" s="1"/>
      <c r="N5219" s="166"/>
    </row>
    <row r="5220" spans="1:14">
      <c r="A5220" s="166"/>
      <c r="H5220" s="1"/>
      <c r="N5220" s="166"/>
    </row>
    <row r="5221" spans="1:14">
      <c r="A5221" s="166"/>
      <c r="H5221" s="1"/>
      <c r="N5221" s="166"/>
    </row>
    <row r="5222" spans="1:14">
      <c r="A5222" s="166"/>
      <c r="H5222" s="1"/>
      <c r="N5222" s="166"/>
    </row>
    <row r="5223" spans="1:14">
      <c r="A5223" s="166"/>
      <c r="H5223" s="1"/>
      <c r="N5223" s="166"/>
    </row>
    <row r="5224" spans="1:14">
      <c r="A5224" s="166"/>
      <c r="H5224" s="1"/>
      <c r="N5224" s="166"/>
    </row>
    <row r="5225" spans="1:14">
      <c r="A5225" s="166"/>
      <c r="H5225" s="1"/>
      <c r="N5225" s="166"/>
    </row>
    <row r="5226" spans="1:14">
      <c r="A5226" s="166"/>
      <c r="H5226" s="1"/>
      <c r="N5226" s="166"/>
    </row>
    <row r="5227" spans="1:14">
      <c r="A5227" s="166"/>
      <c r="H5227" s="1"/>
      <c r="N5227" s="166"/>
    </row>
    <row r="5228" spans="1:14">
      <c r="A5228" s="166"/>
      <c r="H5228" s="1"/>
      <c r="N5228" s="166"/>
    </row>
    <row r="5229" spans="1:14">
      <c r="A5229" s="166"/>
      <c r="H5229" s="1"/>
      <c r="N5229" s="166"/>
    </row>
    <row r="5230" spans="1:14">
      <c r="A5230" s="166"/>
      <c r="H5230" s="1"/>
      <c r="N5230" s="166"/>
    </row>
    <row r="5231" spans="1:14">
      <c r="A5231" s="166"/>
      <c r="H5231" s="1"/>
      <c r="N5231" s="166"/>
    </row>
    <row r="5232" spans="1:14">
      <c r="A5232" s="166"/>
      <c r="H5232" s="1"/>
      <c r="N5232" s="166"/>
    </row>
    <row r="5233" spans="1:14">
      <c r="A5233" s="166"/>
      <c r="H5233" s="1"/>
      <c r="N5233" s="166"/>
    </row>
    <row r="5234" spans="1:14">
      <c r="A5234" s="166"/>
      <c r="H5234" s="1"/>
      <c r="N5234" s="166"/>
    </row>
    <row r="5235" spans="1:14">
      <c r="A5235" s="166"/>
      <c r="H5235" s="1"/>
      <c r="N5235" s="166"/>
    </row>
    <row r="5236" spans="1:14">
      <c r="A5236" s="166"/>
      <c r="H5236" s="1"/>
      <c r="N5236" s="166"/>
    </row>
    <row r="5237" spans="1:14">
      <c r="A5237" s="166"/>
      <c r="H5237" s="1"/>
      <c r="N5237" s="166"/>
    </row>
    <row r="5238" spans="1:14">
      <c r="A5238" s="166"/>
      <c r="H5238" s="1"/>
      <c r="N5238" s="166"/>
    </row>
    <row r="5239" spans="1:14">
      <c r="A5239" s="166"/>
      <c r="H5239" s="1"/>
      <c r="N5239" s="166"/>
    </row>
    <row r="5240" spans="1:14">
      <c r="A5240" s="166"/>
      <c r="H5240" s="1"/>
      <c r="N5240" s="166"/>
    </row>
    <row r="5241" spans="1:14">
      <c r="A5241" s="166"/>
      <c r="H5241" s="1"/>
      <c r="N5241" s="166"/>
    </row>
    <row r="5242" spans="1:14">
      <c r="A5242" s="166"/>
      <c r="H5242" s="1"/>
      <c r="N5242" s="166"/>
    </row>
    <row r="5243" spans="1:14">
      <c r="A5243" s="166"/>
      <c r="H5243" s="1"/>
      <c r="N5243" s="166"/>
    </row>
    <row r="5244" spans="1:14">
      <c r="A5244" s="166"/>
      <c r="H5244" s="1"/>
      <c r="N5244" s="166"/>
    </row>
    <row r="5245" spans="1:14">
      <c r="A5245" s="166"/>
      <c r="H5245" s="1"/>
      <c r="N5245" s="166"/>
    </row>
    <row r="5246" spans="1:14">
      <c r="A5246" s="166"/>
      <c r="H5246" s="1"/>
      <c r="N5246" s="166"/>
    </row>
    <row r="5247" spans="1:14">
      <c r="A5247" s="166"/>
      <c r="H5247" s="1"/>
      <c r="N5247" s="166"/>
    </row>
    <row r="5248" spans="1:14">
      <c r="A5248" s="166"/>
      <c r="H5248" s="1"/>
      <c r="N5248" s="166"/>
    </row>
    <row r="5249" spans="1:14">
      <c r="A5249" s="166"/>
      <c r="H5249" s="1"/>
      <c r="N5249" s="166"/>
    </row>
    <row r="5250" spans="1:14">
      <c r="A5250" s="166"/>
      <c r="H5250" s="1"/>
      <c r="N5250" s="166"/>
    </row>
    <row r="5251" spans="1:14">
      <c r="A5251" s="166"/>
      <c r="H5251" s="1"/>
      <c r="N5251" s="166"/>
    </row>
    <row r="5252" spans="1:14">
      <c r="A5252" s="166"/>
      <c r="H5252" s="1"/>
      <c r="N5252" s="166"/>
    </row>
    <row r="5253" spans="1:14">
      <c r="A5253" s="166"/>
      <c r="H5253" s="1"/>
      <c r="N5253" s="166"/>
    </row>
    <row r="5254" spans="1:14">
      <c r="A5254" s="166"/>
      <c r="H5254" s="1"/>
      <c r="N5254" s="166"/>
    </row>
    <row r="5255" spans="1:14">
      <c r="A5255" s="166"/>
      <c r="H5255" s="1"/>
      <c r="N5255" s="166"/>
    </row>
    <row r="5256" spans="1:14">
      <c r="A5256" s="166"/>
      <c r="H5256" s="1"/>
      <c r="N5256" s="166"/>
    </row>
    <row r="5257" spans="1:14">
      <c r="A5257" s="166"/>
      <c r="H5257" s="1"/>
      <c r="N5257" s="166"/>
    </row>
    <row r="5258" spans="1:14">
      <c r="A5258" s="166"/>
      <c r="H5258" s="1"/>
      <c r="N5258" s="166"/>
    </row>
    <row r="5259" spans="1:14">
      <c r="A5259" s="166"/>
      <c r="H5259" s="1"/>
      <c r="N5259" s="166"/>
    </row>
    <row r="5260" spans="1:14">
      <c r="A5260" s="166"/>
      <c r="H5260" s="1"/>
      <c r="N5260" s="166"/>
    </row>
    <row r="5261" spans="1:14">
      <c r="A5261" s="166"/>
      <c r="H5261" s="1"/>
      <c r="N5261" s="166"/>
    </row>
    <row r="5262" spans="1:14">
      <c r="A5262" s="166"/>
      <c r="H5262" s="1"/>
      <c r="N5262" s="166"/>
    </row>
    <row r="5263" spans="1:14">
      <c r="A5263" s="166"/>
      <c r="H5263" s="1"/>
      <c r="N5263" s="166"/>
    </row>
    <row r="5264" spans="1:14">
      <c r="A5264" s="166"/>
      <c r="H5264" s="1"/>
      <c r="N5264" s="166"/>
    </row>
    <row r="5265" spans="1:14">
      <c r="A5265" s="166"/>
      <c r="H5265" s="1"/>
      <c r="N5265" s="166"/>
    </row>
    <row r="5266" spans="1:14">
      <c r="A5266" s="166"/>
      <c r="H5266" s="1"/>
      <c r="N5266" s="166"/>
    </row>
    <row r="5267" spans="1:14">
      <c r="A5267" s="166"/>
      <c r="H5267" s="1"/>
      <c r="N5267" s="166"/>
    </row>
    <row r="5268" spans="1:14">
      <c r="A5268" s="166"/>
      <c r="H5268" s="1"/>
      <c r="N5268" s="166"/>
    </row>
    <row r="5269" spans="1:14">
      <c r="A5269" s="166"/>
      <c r="H5269" s="1"/>
      <c r="N5269" s="166"/>
    </row>
    <row r="5270" spans="1:14">
      <c r="A5270" s="166"/>
      <c r="H5270" s="1"/>
      <c r="N5270" s="166"/>
    </row>
    <row r="5271" spans="1:14">
      <c r="A5271" s="166"/>
      <c r="H5271" s="1"/>
      <c r="N5271" s="166"/>
    </row>
    <row r="5272" spans="1:14">
      <c r="A5272" s="166"/>
      <c r="H5272" s="1"/>
      <c r="N5272" s="166"/>
    </row>
    <row r="5273" spans="1:14">
      <c r="A5273" s="166"/>
      <c r="H5273" s="1"/>
      <c r="N5273" s="166"/>
    </row>
    <row r="5274" spans="1:14">
      <c r="A5274" s="166"/>
      <c r="H5274" s="1"/>
      <c r="N5274" s="166"/>
    </row>
    <row r="5275" spans="1:14">
      <c r="A5275" s="166"/>
      <c r="H5275" s="1"/>
      <c r="N5275" s="166"/>
    </row>
    <row r="5276" spans="1:14">
      <c r="A5276" s="166"/>
      <c r="H5276" s="1"/>
      <c r="N5276" s="166"/>
    </row>
    <row r="5277" spans="1:14">
      <c r="A5277" s="166"/>
      <c r="H5277" s="1"/>
      <c r="N5277" s="166"/>
    </row>
    <row r="5278" spans="1:14">
      <c r="A5278" s="166"/>
      <c r="H5278" s="1"/>
      <c r="N5278" s="166"/>
    </row>
    <row r="5279" spans="1:14">
      <c r="A5279" s="166"/>
      <c r="H5279" s="1"/>
      <c r="N5279" s="166"/>
    </row>
    <row r="5280" spans="1:14">
      <c r="A5280" s="166"/>
      <c r="H5280" s="1"/>
      <c r="N5280" s="166"/>
    </row>
    <row r="5281" spans="1:14">
      <c r="A5281" s="166"/>
      <c r="H5281" s="1"/>
      <c r="N5281" s="166"/>
    </row>
    <row r="5282" spans="1:14">
      <c r="A5282" s="166"/>
      <c r="H5282" s="1"/>
      <c r="N5282" s="166"/>
    </row>
    <row r="5283" spans="1:14">
      <c r="A5283" s="166"/>
      <c r="H5283" s="1"/>
      <c r="N5283" s="166"/>
    </row>
    <row r="5284" spans="1:14">
      <c r="A5284" s="166"/>
      <c r="H5284" s="1"/>
      <c r="N5284" s="166"/>
    </row>
    <row r="5285" spans="1:14">
      <c r="A5285" s="166"/>
      <c r="H5285" s="1"/>
      <c r="N5285" s="166"/>
    </row>
    <row r="5286" spans="1:14">
      <c r="A5286" s="166"/>
      <c r="H5286" s="1"/>
      <c r="N5286" s="166"/>
    </row>
    <row r="5287" spans="1:14">
      <c r="A5287" s="166"/>
      <c r="H5287" s="1"/>
      <c r="N5287" s="166"/>
    </row>
    <row r="5288" spans="1:14">
      <c r="A5288" s="166"/>
      <c r="H5288" s="1"/>
      <c r="N5288" s="166"/>
    </row>
    <row r="5289" spans="1:14">
      <c r="A5289" s="166"/>
      <c r="H5289" s="1"/>
      <c r="N5289" s="166"/>
    </row>
    <row r="5290" spans="1:14">
      <c r="A5290" s="166"/>
      <c r="H5290" s="1"/>
      <c r="N5290" s="166"/>
    </row>
    <row r="5291" spans="1:14">
      <c r="A5291" s="166"/>
      <c r="H5291" s="1"/>
      <c r="N5291" s="166"/>
    </row>
    <row r="5292" spans="1:14">
      <c r="A5292" s="166"/>
      <c r="H5292" s="1"/>
      <c r="N5292" s="166"/>
    </row>
    <row r="5293" spans="1:14">
      <c r="A5293" s="166"/>
      <c r="H5293" s="1"/>
      <c r="N5293" s="166"/>
    </row>
    <row r="5294" spans="1:14">
      <c r="A5294" s="166"/>
      <c r="H5294" s="1"/>
      <c r="N5294" s="166"/>
    </row>
    <row r="5295" spans="1:14">
      <c r="A5295" s="166"/>
      <c r="H5295" s="1"/>
      <c r="N5295" s="166"/>
    </row>
    <row r="5296" spans="1:14">
      <c r="A5296" s="166"/>
      <c r="H5296" s="1"/>
      <c r="N5296" s="166"/>
    </row>
    <row r="5297" spans="1:14">
      <c r="A5297" s="166"/>
      <c r="H5297" s="1"/>
      <c r="N5297" s="166"/>
    </row>
    <row r="5298" spans="1:14">
      <c r="A5298" s="166"/>
      <c r="H5298" s="1"/>
      <c r="N5298" s="166"/>
    </row>
    <row r="5299" spans="1:14">
      <c r="A5299" s="166"/>
      <c r="H5299" s="1"/>
      <c r="N5299" s="166"/>
    </row>
    <row r="5300" spans="1:14">
      <c r="A5300" s="166"/>
      <c r="H5300" s="1"/>
      <c r="N5300" s="166"/>
    </row>
    <row r="5301" spans="1:14">
      <c r="A5301" s="166"/>
      <c r="H5301" s="1"/>
      <c r="N5301" s="166"/>
    </row>
    <row r="5302" spans="1:14">
      <c r="A5302" s="166"/>
      <c r="H5302" s="1"/>
      <c r="N5302" s="166"/>
    </row>
    <row r="5303" spans="1:14">
      <c r="A5303" s="166"/>
      <c r="H5303" s="1"/>
      <c r="N5303" s="166"/>
    </row>
    <row r="5304" spans="1:14">
      <c r="A5304" s="166"/>
      <c r="H5304" s="1"/>
      <c r="N5304" s="166"/>
    </row>
    <row r="5305" spans="1:14">
      <c r="A5305" s="166"/>
      <c r="H5305" s="1"/>
      <c r="N5305" s="166"/>
    </row>
    <row r="5306" spans="1:14">
      <c r="A5306" s="166"/>
      <c r="H5306" s="1"/>
      <c r="N5306" s="166"/>
    </row>
    <row r="5307" spans="1:14">
      <c r="A5307" s="166"/>
      <c r="H5307" s="1"/>
      <c r="N5307" s="166"/>
    </row>
    <row r="5308" spans="1:14">
      <c r="A5308" s="166"/>
      <c r="H5308" s="1"/>
      <c r="N5308" s="166"/>
    </row>
    <row r="5309" spans="1:14">
      <c r="A5309" s="166"/>
      <c r="H5309" s="1"/>
      <c r="N5309" s="166"/>
    </row>
    <row r="5310" spans="1:14">
      <c r="A5310" s="166"/>
      <c r="H5310" s="1"/>
      <c r="N5310" s="166"/>
    </row>
    <row r="5311" spans="1:14">
      <c r="A5311" s="166"/>
      <c r="H5311" s="1"/>
      <c r="N5311" s="166"/>
    </row>
    <row r="5312" spans="1:14">
      <c r="A5312" s="166"/>
      <c r="H5312" s="1"/>
      <c r="N5312" s="166"/>
    </row>
    <row r="5313" spans="1:14">
      <c r="A5313" s="166"/>
      <c r="H5313" s="1"/>
      <c r="N5313" s="166"/>
    </row>
    <row r="5314" spans="1:14">
      <c r="A5314" s="166"/>
      <c r="H5314" s="1"/>
      <c r="N5314" s="166"/>
    </row>
    <row r="5315" spans="1:14">
      <c r="A5315" s="166"/>
      <c r="H5315" s="1"/>
      <c r="N5315" s="166"/>
    </row>
    <row r="5316" spans="1:14">
      <c r="A5316" s="166"/>
      <c r="H5316" s="1"/>
      <c r="N5316" s="166"/>
    </row>
    <row r="5317" spans="1:14">
      <c r="A5317" s="166"/>
      <c r="H5317" s="1"/>
      <c r="N5317" s="166"/>
    </row>
    <row r="5318" spans="1:14">
      <c r="A5318" s="166"/>
      <c r="H5318" s="1"/>
      <c r="N5318" s="166"/>
    </row>
    <row r="5319" spans="1:14">
      <c r="A5319" s="166"/>
      <c r="H5319" s="1"/>
      <c r="N5319" s="166"/>
    </row>
    <row r="5320" spans="1:14">
      <c r="A5320" s="166"/>
      <c r="H5320" s="1"/>
      <c r="N5320" s="166"/>
    </row>
    <row r="5321" spans="1:14">
      <c r="A5321" s="166"/>
      <c r="H5321" s="1"/>
      <c r="N5321" s="166"/>
    </row>
    <row r="5322" spans="1:14">
      <c r="A5322" s="166"/>
      <c r="H5322" s="1"/>
      <c r="N5322" s="166"/>
    </row>
    <row r="5323" spans="1:14">
      <c r="A5323" s="166"/>
      <c r="H5323" s="1"/>
      <c r="N5323" s="166"/>
    </row>
    <row r="5324" spans="1:14">
      <c r="A5324" s="166"/>
      <c r="H5324" s="1"/>
      <c r="N5324" s="166"/>
    </row>
    <row r="5325" spans="1:14">
      <c r="A5325" s="166"/>
      <c r="H5325" s="1"/>
      <c r="N5325" s="166"/>
    </row>
    <row r="5326" spans="1:14">
      <c r="A5326" s="166"/>
      <c r="H5326" s="1"/>
      <c r="N5326" s="166"/>
    </row>
    <row r="5327" spans="1:14">
      <c r="A5327" s="166"/>
      <c r="H5327" s="1"/>
      <c r="N5327" s="166"/>
    </row>
    <row r="5328" spans="1:14">
      <c r="A5328" s="166"/>
      <c r="H5328" s="1"/>
      <c r="N5328" s="166"/>
    </row>
    <row r="5329" spans="1:14">
      <c r="A5329" s="166"/>
      <c r="H5329" s="1"/>
      <c r="N5329" s="166"/>
    </row>
    <row r="5330" spans="1:14">
      <c r="A5330" s="166"/>
      <c r="H5330" s="1"/>
      <c r="N5330" s="166"/>
    </row>
    <row r="5331" spans="1:14">
      <c r="A5331" s="166"/>
      <c r="H5331" s="1"/>
      <c r="N5331" s="166"/>
    </row>
    <row r="5332" spans="1:14">
      <c r="A5332" s="166"/>
      <c r="H5332" s="1"/>
      <c r="N5332" s="166"/>
    </row>
    <row r="5333" spans="1:14">
      <c r="A5333" s="166"/>
      <c r="H5333" s="1"/>
      <c r="N5333" s="166"/>
    </row>
    <row r="5334" spans="1:14">
      <c r="A5334" s="166"/>
      <c r="H5334" s="1"/>
      <c r="N5334" s="166"/>
    </row>
    <row r="5335" spans="1:14">
      <c r="A5335" s="166"/>
      <c r="H5335" s="1"/>
      <c r="N5335" s="166"/>
    </row>
    <row r="5336" spans="1:14">
      <c r="A5336" s="166"/>
      <c r="H5336" s="1"/>
      <c r="N5336" s="166"/>
    </row>
    <row r="5337" spans="1:14">
      <c r="A5337" s="166"/>
      <c r="H5337" s="1"/>
      <c r="N5337" s="166"/>
    </row>
    <row r="5338" spans="1:14">
      <c r="A5338" s="166"/>
      <c r="H5338" s="1"/>
      <c r="N5338" s="166"/>
    </row>
    <row r="5339" spans="1:14">
      <c r="A5339" s="166"/>
      <c r="H5339" s="1"/>
      <c r="N5339" s="166"/>
    </row>
    <row r="5340" spans="1:14">
      <c r="A5340" s="166"/>
      <c r="H5340" s="1"/>
      <c r="N5340" s="166"/>
    </row>
    <row r="5341" spans="1:14">
      <c r="A5341" s="166"/>
      <c r="H5341" s="1"/>
      <c r="N5341" s="166"/>
    </row>
    <row r="5342" spans="1:14">
      <c r="A5342" s="166"/>
      <c r="H5342" s="1"/>
      <c r="N5342" s="166"/>
    </row>
    <row r="5343" spans="1:14">
      <c r="A5343" s="166"/>
      <c r="H5343" s="1"/>
      <c r="N5343" s="166"/>
    </row>
    <row r="5344" spans="1:14">
      <c r="A5344" s="166"/>
      <c r="H5344" s="1"/>
      <c r="N5344" s="166"/>
    </row>
    <row r="5345" spans="1:14">
      <c r="A5345" s="166"/>
      <c r="H5345" s="1"/>
      <c r="N5345" s="166"/>
    </row>
    <row r="5346" spans="1:14">
      <c r="A5346" s="166"/>
      <c r="H5346" s="1"/>
      <c r="N5346" s="166"/>
    </row>
    <row r="5347" spans="1:14">
      <c r="A5347" s="166"/>
      <c r="H5347" s="1"/>
      <c r="N5347" s="166"/>
    </row>
    <row r="5348" spans="1:14">
      <c r="A5348" s="166"/>
      <c r="H5348" s="1"/>
      <c r="N5348" s="166"/>
    </row>
    <row r="5349" spans="1:14">
      <c r="A5349" s="166"/>
      <c r="H5349" s="1"/>
      <c r="N5349" s="166"/>
    </row>
    <row r="5350" spans="1:14">
      <c r="A5350" s="166"/>
      <c r="H5350" s="1"/>
      <c r="N5350" s="166"/>
    </row>
    <row r="5351" spans="1:14">
      <c r="A5351" s="166"/>
      <c r="H5351" s="1"/>
      <c r="N5351" s="166"/>
    </row>
    <row r="5352" spans="1:14">
      <c r="A5352" s="166"/>
      <c r="H5352" s="1"/>
      <c r="N5352" s="166"/>
    </row>
    <row r="5353" spans="1:14">
      <c r="A5353" s="166"/>
      <c r="H5353" s="1"/>
      <c r="N5353" s="166"/>
    </row>
    <row r="5354" spans="1:14">
      <c r="A5354" s="166"/>
      <c r="H5354" s="1"/>
      <c r="N5354" s="166"/>
    </row>
    <row r="5355" spans="1:14">
      <c r="A5355" s="166"/>
      <c r="H5355" s="1"/>
      <c r="N5355" s="166"/>
    </row>
    <row r="5356" spans="1:14">
      <c r="A5356" s="166"/>
      <c r="H5356" s="1"/>
      <c r="N5356" s="166"/>
    </row>
    <row r="5357" spans="1:14">
      <c r="A5357" s="166"/>
      <c r="H5357" s="1"/>
      <c r="N5357" s="166"/>
    </row>
    <row r="5358" spans="1:14">
      <c r="A5358" s="166"/>
      <c r="H5358" s="1"/>
      <c r="N5358" s="166"/>
    </row>
    <row r="5359" spans="1:14">
      <c r="A5359" s="166"/>
      <c r="H5359" s="1"/>
      <c r="N5359" s="166"/>
    </row>
    <row r="5360" spans="1:14">
      <c r="A5360" s="166"/>
      <c r="H5360" s="1"/>
      <c r="N5360" s="166"/>
    </row>
    <row r="5361" spans="1:14">
      <c r="A5361" s="166"/>
      <c r="H5361" s="1"/>
      <c r="N5361" s="166"/>
    </row>
    <row r="5362" spans="1:14">
      <c r="A5362" s="166"/>
      <c r="H5362" s="1"/>
      <c r="N5362" s="166"/>
    </row>
    <row r="5363" spans="1:14">
      <c r="A5363" s="166"/>
      <c r="H5363" s="1"/>
      <c r="N5363" s="166"/>
    </row>
    <row r="5364" spans="1:14">
      <c r="A5364" s="166"/>
      <c r="H5364" s="1"/>
      <c r="N5364" s="166"/>
    </row>
    <row r="5365" spans="1:14">
      <c r="A5365" s="166"/>
      <c r="H5365" s="1"/>
      <c r="N5365" s="166"/>
    </row>
    <row r="5366" spans="1:14">
      <c r="A5366" s="166"/>
      <c r="H5366" s="1"/>
      <c r="N5366" s="166"/>
    </row>
    <row r="5367" spans="1:14">
      <c r="A5367" s="166"/>
      <c r="H5367" s="1"/>
      <c r="N5367" s="166"/>
    </row>
    <row r="5368" spans="1:14">
      <c r="A5368" s="166"/>
      <c r="H5368" s="1"/>
      <c r="N5368" s="166"/>
    </row>
    <row r="5369" spans="1:14">
      <c r="A5369" s="166"/>
      <c r="H5369" s="1"/>
      <c r="N5369" s="166"/>
    </row>
    <row r="5370" spans="1:14">
      <c r="A5370" s="166"/>
      <c r="H5370" s="1"/>
      <c r="N5370" s="166"/>
    </row>
    <row r="5371" spans="1:14">
      <c r="A5371" s="166"/>
      <c r="H5371" s="1"/>
      <c r="N5371" s="166"/>
    </row>
    <row r="5372" spans="1:14">
      <c r="A5372" s="166"/>
      <c r="H5372" s="1"/>
      <c r="N5372" s="166"/>
    </row>
    <row r="5373" spans="1:14">
      <c r="A5373" s="166"/>
      <c r="H5373" s="1"/>
      <c r="N5373" s="166"/>
    </row>
    <row r="5374" spans="1:14">
      <c r="A5374" s="166"/>
      <c r="H5374" s="1"/>
      <c r="N5374" s="166"/>
    </row>
    <row r="5375" spans="1:14">
      <c r="A5375" s="166"/>
      <c r="H5375" s="1"/>
      <c r="N5375" s="166"/>
    </row>
    <row r="5376" spans="1:14">
      <c r="A5376" s="166"/>
      <c r="H5376" s="1"/>
      <c r="N5376" s="166"/>
    </row>
    <row r="5377" spans="1:14">
      <c r="A5377" s="166"/>
      <c r="H5377" s="1"/>
      <c r="N5377" s="166"/>
    </row>
    <row r="5378" spans="1:14">
      <c r="A5378" s="166"/>
      <c r="H5378" s="1"/>
      <c r="N5378" s="166"/>
    </row>
    <row r="5379" spans="1:14">
      <c r="A5379" s="166"/>
      <c r="H5379" s="1"/>
      <c r="N5379" s="166"/>
    </row>
    <row r="5380" spans="1:14">
      <c r="A5380" s="166"/>
      <c r="H5380" s="1"/>
      <c r="N5380" s="166"/>
    </row>
    <row r="5381" spans="1:14">
      <c r="A5381" s="166"/>
      <c r="H5381" s="1"/>
      <c r="N5381" s="166"/>
    </row>
    <row r="5382" spans="1:14">
      <c r="A5382" s="166"/>
      <c r="H5382" s="1"/>
      <c r="N5382" s="166"/>
    </row>
    <row r="5383" spans="1:14">
      <c r="A5383" s="166"/>
      <c r="H5383" s="1"/>
      <c r="N5383" s="166"/>
    </row>
    <row r="5384" spans="1:14">
      <c r="A5384" s="166"/>
      <c r="H5384" s="1"/>
      <c r="N5384" s="166"/>
    </row>
    <row r="5385" spans="1:14">
      <c r="A5385" s="166"/>
      <c r="H5385" s="1"/>
      <c r="N5385" s="166"/>
    </row>
    <row r="5386" spans="1:14">
      <c r="A5386" s="166"/>
      <c r="H5386" s="1"/>
      <c r="N5386" s="166"/>
    </row>
    <row r="5387" spans="1:14">
      <c r="A5387" s="166"/>
      <c r="H5387" s="1"/>
      <c r="N5387" s="166"/>
    </row>
    <row r="5388" spans="1:14">
      <c r="A5388" s="166"/>
      <c r="H5388" s="1"/>
      <c r="N5388" s="166"/>
    </row>
    <row r="5389" spans="1:14">
      <c r="A5389" s="166"/>
      <c r="H5389" s="1"/>
      <c r="N5389" s="166"/>
    </row>
    <row r="5390" spans="1:14">
      <c r="A5390" s="166"/>
      <c r="H5390" s="1"/>
      <c r="N5390" s="166"/>
    </row>
    <row r="5391" spans="1:14">
      <c r="A5391" s="166"/>
      <c r="H5391" s="1"/>
      <c r="N5391" s="166"/>
    </row>
    <row r="5392" spans="1:14">
      <c r="A5392" s="166"/>
      <c r="H5392" s="1"/>
      <c r="N5392" s="166"/>
    </row>
    <row r="5393" spans="1:14">
      <c r="A5393" s="166"/>
      <c r="H5393" s="1"/>
      <c r="N5393" s="166"/>
    </row>
    <row r="5394" spans="1:14">
      <c r="A5394" s="166"/>
      <c r="H5394" s="1"/>
      <c r="N5394" s="166"/>
    </row>
    <row r="5395" spans="1:14">
      <c r="A5395" s="166"/>
      <c r="H5395" s="1"/>
      <c r="N5395" s="166"/>
    </row>
    <row r="5396" spans="1:14">
      <c r="A5396" s="166"/>
      <c r="H5396" s="1"/>
      <c r="N5396" s="166"/>
    </row>
    <row r="5397" spans="1:14">
      <c r="A5397" s="166"/>
      <c r="H5397" s="1"/>
      <c r="N5397" s="166"/>
    </row>
    <row r="5398" spans="1:14">
      <c r="A5398" s="166"/>
      <c r="H5398" s="1"/>
      <c r="N5398" s="166"/>
    </row>
    <row r="5399" spans="1:14">
      <c r="A5399" s="166"/>
      <c r="H5399" s="1"/>
      <c r="N5399" s="166"/>
    </row>
    <row r="5400" spans="1:14">
      <c r="A5400" s="166"/>
      <c r="H5400" s="1"/>
      <c r="N5400" s="166"/>
    </row>
    <row r="5401" spans="1:14">
      <c r="A5401" s="166"/>
      <c r="H5401" s="1"/>
      <c r="N5401" s="166"/>
    </row>
    <row r="5402" spans="1:14">
      <c r="A5402" s="166"/>
      <c r="H5402" s="1"/>
      <c r="N5402" s="166"/>
    </row>
    <row r="5403" spans="1:14">
      <c r="A5403" s="166"/>
      <c r="H5403" s="1"/>
      <c r="N5403" s="166"/>
    </row>
    <row r="5404" spans="1:14">
      <c r="A5404" s="166"/>
      <c r="H5404" s="1"/>
      <c r="N5404" s="166"/>
    </row>
    <row r="5405" spans="1:14">
      <c r="A5405" s="166"/>
      <c r="H5405" s="1"/>
      <c r="N5405" s="166"/>
    </row>
    <row r="5406" spans="1:14">
      <c r="A5406" s="166"/>
      <c r="H5406" s="1"/>
      <c r="N5406" s="166"/>
    </row>
    <row r="5407" spans="1:14">
      <c r="A5407" s="166"/>
      <c r="H5407" s="1"/>
      <c r="N5407" s="166"/>
    </row>
    <row r="5408" spans="1:14">
      <c r="A5408" s="166"/>
      <c r="H5408" s="1"/>
      <c r="N5408" s="166"/>
    </row>
    <row r="5409" spans="1:14">
      <c r="A5409" s="166"/>
      <c r="H5409" s="1"/>
      <c r="N5409" s="166"/>
    </row>
    <row r="5410" spans="1:14">
      <c r="A5410" s="166"/>
      <c r="H5410" s="1"/>
      <c r="N5410" s="166"/>
    </row>
    <row r="5411" spans="1:14">
      <c r="A5411" s="166"/>
      <c r="H5411" s="1"/>
      <c r="N5411" s="166"/>
    </row>
    <row r="5412" spans="1:14">
      <c r="A5412" s="166"/>
      <c r="H5412" s="1"/>
      <c r="N5412" s="166"/>
    </row>
    <row r="5413" spans="1:14">
      <c r="A5413" s="166"/>
      <c r="H5413" s="1"/>
      <c r="N5413" s="166"/>
    </row>
    <row r="5414" spans="1:14">
      <c r="A5414" s="166"/>
      <c r="H5414" s="1"/>
      <c r="N5414" s="166"/>
    </row>
    <row r="5415" spans="1:14">
      <c r="A5415" s="166"/>
      <c r="H5415" s="1"/>
      <c r="N5415" s="166"/>
    </row>
    <row r="5416" spans="1:14">
      <c r="A5416" s="166"/>
      <c r="H5416" s="1"/>
      <c r="N5416" s="166"/>
    </row>
    <row r="5417" spans="1:14">
      <c r="A5417" s="166"/>
      <c r="H5417" s="1"/>
      <c r="N5417" s="166"/>
    </row>
    <row r="5418" spans="1:14">
      <c r="A5418" s="166"/>
      <c r="H5418" s="1"/>
      <c r="N5418" s="166"/>
    </row>
    <row r="5419" spans="1:14">
      <c r="A5419" s="166"/>
      <c r="H5419" s="1"/>
      <c r="N5419" s="166"/>
    </row>
    <row r="5420" spans="1:14">
      <c r="A5420" s="166"/>
      <c r="H5420" s="1"/>
      <c r="N5420" s="166"/>
    </row>
    <row r="5421" spans="1:14">
      <c r="A5421" s="166"/>
      <c r="H5421" s="1"/>
      <c r="N5421" s="166"/>
    </row>
    <row r="5422" spans="1:14">
      <c r="A5422" s="166"/>
      <c r="H5422" s="1"/>
      <c r="N5422" s="166"/>
    </row>
    <row r="5423" spans="1:14">
      <c r="A5423" s="166"/>
      <c r="H5423" s="1"/>
      <c r="N5423" s="166"/>
    </row>
    <row r="5424" spans="1:14">
      <c r="A5424" s="166"/>
      <c r="H5424" s="1"/>
      <c r="N5424" s="166"/>
    </row>
    <row r="5425" spans="1:14">
      <c r="A5425" s="166"/>
      <c r="H5425" s="1"/>
      <c r="N5425" s="166"/>
    </row>
    <row r="5426" spans="1:14">
      <c r="A5426" s="166"/>
      <c r="H5426" s="1"/>
      <c r="N5426" s="166"/>
    </row>
    <row r="5427" spans="1:14">
      <c r="A5427" s="166"/>
      <c r="H5427" s="1"/>
      <c r="N5427" s="166"/>
    </row>
    <row r="5428" spans="1:14">
      <c r="A5428" s="166"/>
      <c r="H5428" s="1"/>
      <c r="N5428" s="166"/>
    </row>
    <row r="5429" spans="1:14">
      <c r="A5429" s="166"/>
      <c r="H5429" s="1"/>
      <c r="N5429" s="166"/>
    </row>
    <row r="5430" spans="1:14">
      <c r="A5430" s="166"/>
      <c r="H5430" s="1"/>
      <c r="N5430" s="166"/>
    </row>
    <row r="5431" spans="1:14">
      <c r="A5431" s="166"/>
      <c r="H5431" s="1"/>
      <c r="N5431" s="166"/>
    </row>
    <row r="5432" spans="1:14">
      <c r="A5432" s="166"/>
      <c r="H5432" s="1"/>
      <c r="N5432" s="166"/>
    </row>
    <row r="5433" spans="1:14">
      <c r="A5433" s="166"/>
      <c r="H5433" s="1"/>
      <c r="N5433" s="166"/>
    </row>
    <row r="5434" spans="1:14">
      <c r="A5434" s="166"/>
      <c r="H5434" s="1"/>
      <c r="N5434" s="166"/>
    </row>
    <row r="5435" spans="1:14">
      <c r="A5435" s="166"/>
      <c r="H5435" s="1"/>
      <c r="N5435" s="166"/>
    </row>
    <row r="5436" spans="1:14">
      <c r="A5436" s="166"/>
      <c r="H5436" s="1"/>
      <c r="N5436" s="166"/>
    </row>
    <row r="5437" spans="1:14">
      <c r="A5437" s="166"/>
      <c r="H5437" s="1"/>
      <c r="N5437" s="166"/>
    </row>
    <row r="5438" spans="1:14">
      <c r="A5438" s="166"/>
      <c r="H5438" s="1"/>
      <c r="N5438" s="166"/>
    </row>
    <row r="5439" spans="1:14">
      <c r="A5439" s="166"/>
      <c r="H5439" s="1"/>
      <c r="N5439" s="166"/>
    </row>
    <row r="5440" spans="1:14">
      <c r="A5440" s="166"/>
      <c r="H5440" s="1"/>
      <c r="N5440" s="166"/>
    </row>
    <row r="5441" spans="1:14">
      <c r="A5441" s="166"/>
      <c r="H5441" s="1"/>
      <c r="N5441" s="166"/>
    </row>
    <row r="5442" spans="1:14">
      <c r="A5442" s="166"/>
      <c r="H5442" s="1"/>
      <c r="N5442" s="166"/>
    </row>
    <row r="5443" spans="1:14">
      <c r="A5443" s="166"/>
      <c r="H5443" s="1"/>
      <c r="N5443" s="166"/>
    </row>
    <row r="5444" spans="1:14">
      <c r="A5444" s="166"/>
      <c r="H5444" s="1"/>
      <c r="N5444" s="166"/>
    </row>
    <row r="5445" spans="1:14">
      <c r="A5445" s="166"/>
      <c r="H5445" s="1"/>
      <c r="N5445" s="166"/>
    </row>
    <row r="5446" spans="1:14">
      <c r="A5446" s="166"/>
      <c r="H5446" s="1"/>
      <c r="N5446" s="166"/>
    </row>
    <row r="5447" spans="1:14">
      <c r="A5447" s="166"/>
      <c r="H5447" s="1"/>
      <c r="N5447" s="166"/>
    </row>
    <row r="5448" spans="1:14">
      <c r="A5448" s="166"/>
      <c r="H5448" s="1"/>
      <c r="N5448" s="166"/>
    </row>
    <row r="5449" spans="1:14">
      <c r="A5449" s="166"/>
      <c r="H5449" s="1"/>
      <c r="N5449" s="166"/>
    </row>
    <row r="5450" spans="1:14">
      <c r="A5450" s="166"/>
      <c r="H5450" s="1"/>
      <c r="N5450" s="166"/>
    </row>
    <row r="5451" spans="1:14">
      <c r="A5451" s="166"/>
      <c r="H5451" s="1"/>
      <c r="N5451" s="166"/>
    </row>
    <row r="5452" spans="1:14">
      <c r="A5452" s="166"/>
      <c r="H5452" s="1"/>
      <c r="N5452" s="166"/>
    </row>
    <row r="5453" spans="1:14">
      <c r="A5453" s="166"/>
      <c r="H5453" s="1"/>
      <c r="N5453" s="166"/>
    </row>
    <row r="5454" spans="1:14">
      <c r="A5454" s="166"/>
      <c r="H5454" s="1"/>
      <c r="N5454" s="166"/>
    </row>
    <row r="5455" spans="1:14">
      <c r="A5455" s="166"/>
      <c r="H5455" s="1"/>
      <c r="N5455" s="166"/>
    </row>
    <row r="5456" spans="1:14">
      <c r="A5456" s="166"/>
      <c r="H5456" s="1"/>
      <c r="N5456" s="166"/>
    </row>
    <row r="5457" spans="1:14">
      <c r="A5457" s="166"/>
      <c r="H5457" s="1"/>
      <c r="N5457" s="166"/>
    </row>
    <row r="5458" spans="1:14">
      <c r="A5458" s="166"/>
      <c r="H5458" s="1"/>
      <c r="N5458" s="166"/>
    </row>
    <row r="5459" spans="1:14">
      <c r="A5459" s="166"/>
      <c r="H5459" s="1"/>
      <c r="N5459" s="166"/>
    </row>
    <row r="5460" spans="1:14">
      <c r="A5460" s="166"/>
      <c r="H5460" s="1"/>
      <c r="N5460" s="166"/>
    </row>
    <row r="5461" spans="1:14">
      <c r="A5461" s="166"/>
      <c r="H5461" s="1"/>
      <c r="N5461" s="166"/>
    </row>
    <row r="5462" spans="1:14">
      <c r="A5462" s="166"/>
      <c r="H5462" s="1"/>
      <c r="N5462" s="166"/>
    </row>
    <row r="5463" spans="1:14">
      <c r="A5463" s="166"/>
      <c r="H5463" s="1"/>
      <c r="N5463" s="166"/>
    </row>
    <row r="5464" spans="1:14">
      <c r="A5464" s="166"/>
      <c r="H5464" s="1"/>
      <c r="N5464" s="166"/>
    </row>
    <row r="5465" spans="1:14">
      <c r="A5465" s="166"/>
      <c r="H5465" s="1"/>
      <c r="N5465" s="166"/>
    </row>
    <row r="5466" spans="1:14">
      <c r="A5466" s="166"/>
      <c r="H5466" s="1"/>
      <c r="N5466" s="166"/>
    </row>
    <row r="5467" spans="1:14">
      <c r="A5467" s="166"/>
      <c r="H5467" s="1"/>
      <c r="N5467" s="166"/>
    </row>
    <row r="5468" spans="1:14">
      <c r="A5468" s="166"/>
      <c r="H5468" s="1"/>
      <c r="N5468" s="166"/>
    </row>
    <row r="5469" spans="1:14">
      <c r="A5469" s="166"/>
      <c r="H5469" s="1"/>
      <c r="N5469" s="166"/>
    </row>
    <row r="5470" spans="1:14">
      <c r="A5470" s="166"/>
      <c r="H5470" s="1"/>
      <c r="N5470" s="166"/>
    </row>
    <row r="5471" spans="1:14">
      <c r="A5471" s="166"/>
      <c r="H5471" s="1"/>
      <c r="N5471" s="166"/>
    </row>
    <row r="5472" spans="1:14">
      <c r="A5472" s="166"/>
      <c r="H5472" s="1"/>
      <c r="N5472" s="166"/>
    </row>
    <row r="5473" spans="1:14">
      <c r="A5473" s="166"/>
      <c r="H5473" s="1"/>
      <c r="N5473" s="166"/>
    </row>
    <row r="5474" spans="1:14">
      <c r="A5474" s="166"/>
      <c r="H5474" s="1"/>
      <c r="N5474" s="166"/>
    </row>
    <row r="5475" spans="1:14">
      <c r="A5475" s="166"/>
      <c r="H5475" s="1"/>
      <c r="N5475" s="166"/>
    </row>
    <row r="5476" spans="1:14">
      <c r="A5476" s="166"/>
      <c r="H5476" s="1"/>
      <c r="N5476" s="166"/>
    </row>
    <row r="5477" spans="1:14">
      <c r="A5477" s="166"/>
      <c r="H5477" s="1"/>
      <c r="N5477" s="166"/>
    </row>
    <row r="5478" spans="1:14">
      <c r="A5478" s="166"/>
      <c r="H5478" s="1"/>
      <c r="N5478" s="166"/>
    </row>
    <row r="5479" spans="1:14">
      <c r="A5479" s="166"/>
      <c r="H5479" s="1"/>
      <c r="N5479" s="166"/>
    </row>
    <row r="5480" spans="1:14">
      <c r="A5480" s="166"/>
      <c r="H5480" s="1"/>
      <c r="N5480" s="166"/>
    </row>
    <row r="5481" spans="1:14">
      <c r="A5481" s="166"/>
      <c r="H5481" s="1"/>
      <c r="N5481" s="166"/>
    </row>
    <row r="5482" spans="1:14">
      <c r="A5482" s="166"/>
      <c r="H5482" s="1"/>
      <c r="N5482" s="166"/>
    </row>
    <row r="5483" spans="1:14">
      <c r="A5483" s="166"/>
      <c r="H5483" s="1"/>
      <c r="N5483" s="166"/>
    </row>
    <row r="5484" spans="1:14">
      <c r="A5484" s="166"/>
      <c r="H5484" s="1"/>
      <c r="N5484" s="166"/>
    </row>
    <row r="5485" spans="1:14">
      <c r="A5485" s="166"/>
      <c r="H5485" s="1"/>
      <c r="N5485" s="166"/>
    </row>
    <row r="5486" spans="1:14">
      <c r="A5486" s="166"/>
      <c r="H5486" s="1"/>
      <c r="N5486" s="166"/>
    </row>
    <row r="5487" spans="1:14">
      <c r="A5487" s="166"/>
      <c r="H5487" s="1"/>
      <c r="N5487" s="166"/>
    </row>
    <row r="5488" spans="1:14">
      <c r="A5488" s="166"/>
      <c r="H5488" s="1"/>
      <c r="N5488" s="166"/>
    </row>
    <row r="5489" spans="1:14">
      <c r="A5489" s="166"/>
      <c r="H5489" s="1"/>
      <c r="N5489" s="166"/>
    </row>
    <row r="5490" spans="1:14">
      <c r="A5490" s="166"/>
      <c r="H5490" s="1"/>
      <c r="N5490" s="166"/>
    </row>
    <row r="5491" spans="1:14">
      <c r="A5491" s="166"/>
      <c r="H5491" s="1"/>
      <c r="N5491" s="166"/>
    </row>
    <row r="5492" spans="1:14">
      <c r="A5492" s="166"/>
      <c r="H5492" s="1"/>
      <c r="N5492" s="166"/>
    </row>
    <row r="5493" spans="1:14">
      <c r="A5493" s="166"/>
      <c r="H5493" s="1"/>
      <c r="N5493" s="166"/>
    </row>
    <row r="5494" spans="1:14">
      <c r="A5494" s="166"/>
      <c r="H5494" s="1"/>
      <c r="N5494" s="166"/>
    </row>
    <row r="5495" spans="1:14">
      <c r="A5495" s="166"/>
      <c r="H5495" s="1"/>
      <c r="N5495" s="166"/>
    </row>
    <row r="5496" spans="1:14">
      <c r="A5496" s="166"/>
      <c r="H5496" s="1"/>
      <c r="N5496" s="166"/>
    </row>
    <row r="5497" spans="1:14">
      <c r="A5497" s="166"/>
      <c r="H5497" s="1"/>
      <c r="N5497" s="166"/>
    </row>
    <row r="5498" spans="1:14">
      <c r="A5498" s="166"/>
      <c r="H5498" s="1"/>
      <c r="N5498" s="166"/>
    </row>
    <row r="5499" spans="1:14">
      <c r="A5499" s="166"/>
      <c r="H5499" s="1"/>
      <c r="N5499" s="166"/>
    </row>
    <row r="5500" spans="1:14">
      <c r="A5500" s="166"/>
      <c r="H5500" s="1"/>
      <c r="N5500" s="166"/>
    </row>
    <row r="5501" spans="1:14">
      <c r="A5501" s="166"/>
      <c r="H5501" s="1"/>
      <c r="N5501" s="166"/>
    </row>
    <row r="5502" spans="1:14">
      <c r="A5502" s="166"/>
      <c r="H5502" s="1"/>
      <c r="N5502" s="166"/>
    </row>
    <row r="5503" spans="1:14">
      <c r="A5503" s="166"/>
      <c r="H5503" s="1"/>
      <c r="N5503" s="166"/>
    </row>
    <row r="5504" spans="1:14">
      <c r="A5504" s="166"/>
      <c r="H5504" s="1"/>
      <c r="N5504" s="166"/>
    </row>
    <row r="5505" spans="1:14">
      <c r="A5505" s="166"/>
      <c r="H5505" s="1"/>
      <c r="N5505" s="166"/>
    </row>
    <row r="5506" spans="1:14">
      <c r="A5506" s="166"/>
      <c r="H5506" s="1"/>
      <c r="N5506" s="166"/>
    </row>
    <row r="5507" spans="1:14">
      <c r="A5507" s="166"/>
      <c r="H5507" s="1"/>
      <c r="N5507" s="166"/>
    </row>
    <row r="5508" spans="1:14">
      <c r="A5508" s="166"/>
      <c r="H5508" s="1"/>
      <c r="N5508" s="166"/>
    </row>
    <row r="5509" spans="1:14">
      <c r="A5509" s="166"/>
      <c r="H5509" s="1"/>
      <c r="N5509" s="166"/>
    </row>
    <row r="5510" spans="1:14">
      <c r="A5510" s="166"/>
      <c r="H5510" s="1"/>
      <c r="N5510" s="166"/>
    </row>
    <row r="5511" spans="1:14">
      <c r="A5511" s="166"/>
      <c r="H5511" s="1"/>
      <c r="N5511" s="166"/>
    </row>
    <row r="5512" spans="1:14">
      <c r="A5512" s="166"/>
      <c r="H5512" s="1"/>
      <c r="N5512" s="166"/>
    </row>
    <row r="5513" spans="1:14">
      <c r="A5513" s="166"/>
      <c r="H5513" s="1"/>
      <c r="N5513" s="166"/>
    </row>
    <row r="5514" spans="1:14">
      <c r="A5514" s="166"/>
      <c r="H5514" s="1"/>
      <c r="N5514" s="166"/>
    </row>
    <row r="5515" spans="1:14">
      <c r="A5515" s="166"/>
      <c r="H5515" s="1"/>
      <c r="N5515" s="166"/>
    </row>
    <row r="5516" spans="1:14">
      <c r="A5516" s="166"/>
      <c r="H5516" s="1"/>
      <c r="N5516" s="166"/>
    </row>
    <row r="5517" spans="1:14">
      <c r="A5517" s="166"/>
      <c r="H5517" s="1"/>
      <c r="N5517" s="166"/>
    </row>
    <row r="5518" spans="1:14">
      <c r="A5518" s="166"/>
      <c r="H5518" s="1"/>
      <c r="N5518" s="166"/>
    </row>
    <row r="5519" spans="1:14">
      <c r="A5519" s="166"/>
      <c r="H5519" s="1"/>
      <c r="N5519" s="166"/>
    </row>
    <row r="5520" spans="1:14">
      <c r="A5520" s="166"/>
      <c r="H5520" s="1"/>
      <c r="N5520" s="166"/>
    </row>
    <row r="5521" spans="1:14">
      <c r="A5521" s="166"/>
      <c r="H5521" s="1"/>
      <c r="N5521" s="166"/>
    </row>
    <row r="5522" spans="1:14">
      <c r="A5522" s="166"/>
      <c r="H5522" s="1"/>
      <c r="N5522" s="166"/>
    </row>
    <row r="5523" spans="1:14">
      <c r="A5523" s="166"/>
      <c r="H5523" s="1"/>
      <c r="N5523" s="166"/>
    </row>
    <row r="5524" spans="1:14">
      <c r="A5524" s="166"/>
      <c r="H5524" s="1"/>
      <c r="N5524" s="166"/>
    </row>
    <row r="5525" spans="1:14">
      <c r="A5525" s="166"/>
      <c r="H5525" s="1"/>
      <c r="N5525" s="166"/>
    </row>
    <row r="5526" spans="1:14">
      <c r="A5526" s="166"/>
      <c r="H5526" s="1"/>
      <c r="N5526" s="166"/>
    </row>
    <row r="5527" spans="1:14">
      <c r="A5527" s="166"/>
      <c r="H5527" s="1"/>
      <c r="N5527" s="166"/>
    </row>
    <row r="5528" spans="1:14">
      <c r="A5528" s="166"/>
      <c r="H5528" s="1"/>
      <c r="N5528" s="166"/>
    </row>
    <row r="5529" spans="1:14">
      <c r="A5529" s="166"/>
      <c r="H5529" s="1"/>
      <c r="N5529" s="166"/>
    </row>
    <row r="5530" spans="1:14">
      <c r="A5530" s="166"/>
      <c r="H5530" s="1"/>
      <c r="N5530" s="166"/>
    </row>
    <row r="5531" spans="1:14">
      <c r="A5531" s="166"/>
      <c r="H5531" s="1"/>
      <c r="N5531" s="166"/>
    </row>
    <row r="5532" spans="1:14">
      <c r="A5532" s="166"/>
      <c r="H5532" s="1"/>
      <c r="N5532" s="166"/>
    </row>
    <row r="5533" spans="1:14">
      <c r="A5533" s="166"/>
      <c r="H5533" s="1"/>
      <c r="N5533" s="166"/>
    </row>
    <row r="5534" spans="1:14">
      <c r="A5534" s="166"/>
      <c r="H5534" s="1"/>
      <c r="N5534" s="166"/>
    </row>
    <row r="5535" spans="1:14">
      <c r="A5535" s="166"/>
      <c r="H5535" s="1"/>
      <c r="N5535" s="166"/>
    </row>
    <row r="5536" spans="1:14">
      <c r="A5536" s="166"/>
      <c r="H5536" s="1"/>
      <c r="N5536" s="166"/>
    </row>
    <row r="5537" spans="1:14">
      <c r="A5537" s="166"/>
      <c r="H5537" s="1"/>
      <c r="N5537" s="166"/>
    </row>
    <row r="5538" spans="1:14">
      <c r="A5538" s="166"/>
      <c r="H5538" s="1"/>
      <c r="N5538" s="166"/>
    </row>
    <row r="5539" spans="1:14">
      <c r="A5539" s="166"/>
      <c r="H5539" s="1"/>
      <c r="N5539" s="166"/>
    </row>
    <row r="5540" spans="1:14">
      <c r="A5540" s="166"/>
      <c r="H5540" s="1"/>
      <c r="N5540" s="166"/>
    </row>
    <row r="5541" spans="1:14">
      <c r="A5541" s="166"/>
      <c r="H5541" s="1"/>
      <c r="N5541" s="166"/>
    </row>
    <row r="5542" spans="1:14">
      <c r="A5542" s="166"/>
      <c r="H5542" s="1"/>
      <c r="N5542" s="166"/>
    </row>
    <row r="5543" spans="1:14">
      <c r="A5543" s="166"/>
      <c r="H5543" s="1"/>
      <c r="N5543" s="166"/>
    </row>
    <row r="5544" spans="1:14">
      <c r="A5544" s="166"/>
      <c r="H5544" s="1"/>
      <c r="N5544" s="166"/>
    </row>
    <row r="5545" spans="1:14">
      <c r="A5545" s="166"/>
      <c r="H5545" s="1"/>
      <c r="N5545" s="166"/>
    </row>
    <row r="5546" spans="1:14">
      <c r="A5546" s="166"/>
      <c r="H5546" s="1"/>
      <c r="N5546" s="166"/>
    </row>
    <row r="5547" spans="1:14">
      <c r="A5547" s="166"/>
      <c r="H5547" s="1"/>
      <c r="N5547" s="166"/>
    </row>
    <row r="5548" spans="1:14">
      <c r="A5548" s="166"/>
      <c r="H5548" s="1"/>
      <c r="N5548" s="166"/>
    </row>
    <row r="5549" spans="1:14">
      <c r="A5549" s="166"/>
      <c r="H5549" s="1"/>
      <c r="N5549" s="166"/>
    </row>
    <row r="5550" spans="1:14">
      <c r="A5550" s="166"/>
      <c r="H5550" s="1"/>
      <c r="N5550" s="166"/>
    </row>
    <row r="5551" spans="1:14">
      <c r="A5551" s="166"/>
      <c r="H5551" s="1"/>
      <c r="N5551" s="166"/>
    </row>
    <row r="5552" spans="1:14">
      <c r="A5552" s="166"/>
      <c r="H5552" s="1"/>
      <c r="N5552" s="166"/>
    </row>
    <row r="5553" spans="1:14">
      <c r="A5553" s="166"/>
      <c r="H5553" s="1"/>
      <c r="N5553" s="166"/>
    </row>
    <row r="5554" spans="1:14">
      <c r="A5554" s="166"/>
      <c r="H5554" s="1"/>
      <c r="N5554" s="166"/>
    </row>
    <row r="5555" spans="1:14">
      <c r="A5555" s="166"/>
      <c r="H5555" s="1"/>
      <c r="N5555" s="166"/>
    </row>
    <row r="5556" spans="1:14">
      <c r="A5556" s="166"/>
      <c r="H5556" s="1"/>
      <c r="N5556" s="166"/>
    </row>
    <row r="5557" spans="1:14">
      <c r="A5557" s="166"/>
      <c r="H5557" s="1"/>
      <c r="N5557" s="166"/>
    </row>
    <row r="5558" spans="1:14">
      <c r="A5558" s="166"/>
      <c r="H5558" s="1"/>
      <c r="N5558" s="166"/>
    </row>
    <row r="5559" spans="1:14">
      <c r="A5559" s="166"/>
      <c r="H5559" s="1"/>
      <c r="N5559" s="166"/>
    </row>
    <row r="5560" spans="1:14">
      <c r="A5560" s="166"/>
      <c r="H5560" s="1"/>
      <c r="N5560" s="166"/>
    </row>
    <row r="5561" spans="1:14">
      <c r="A5561" s="166"/>
      <c r="H5561" s="1"/>
      <c r="N5561" s="166"/>
    </row>
    <row r="5562" spans="1:14">
      <c r="A5562" s="166"/>
      <c r="H5562" s="1"/>
      <c r="N5562" s="166"/>
    </row>
    <row r="5563" spans="1:14">
      <c r="A5563" s="166"/>
      <c r="H5563" s="1"/>
      <c r="N5563" s="166"/>
    </row>
    <row r="5564" spans="1:14">
      <c r="A5564" s="166"/>
      <c r="H5564" s="1"/>
      <c r="N5564" s="166"/>
    </row>
    <row r="5565" spans="1:14">
      <c r="A5565" s="166"/>
      <c r="H5565" s="1"/>
      <c r="N5565" s="166"/>
    </row>
    <row r="5566" spans="1:14">
      <c r="A5566" s="166"/>
      <c r="H5566" s="1"/>
      <c r="N5566" s="166"/>
    </row>
    <row r="5567" spans="1:14">
      <c r="A5567" s="166"/>
      <c r="H5567" s="1"/>
      <c r="N5567" s="166"/>
    </row>
    <row r="5568" spans="1:14">
      <c r="A5568" s="166"/>
      <c r="H5568" s="1"/>
      <c r="N5568" s="166"/>
    </row>
    <row r="5569" spans="1:14">
      <c r="A5569" s="166"/>
      <c r="H5569" s="1"/>
      <c r="N5569" s="166"/>
    </row>
    <row r="5570" spans="1:14">
      <c r="A5570" s="166"/>
      <c r="H5570" s="1"/>
      <c r="N5570" s="166"/>
    </row>
    <row r="5571" spans="1:14">
      <c r="A5571" s="166"/>
      <c r="H5571" s="1"/>
      <c r="N5571" s="166"/>
    </row>
    <row r="5572" spans="1:14">
      <c r="A5572" s="166"/>
      <c r="H5572" s="1"/>
      <c r="N5572" s="166"/>
    </row>
    <row r="5573" spans="1:14">
      <c r="A5573" s="166"/>
      <c r="H5573" s="1"/>
      <c r="N5573" s="166"/>
    </row>
    <row r="5574" spans="1:14">
      <c r="A5574" s="166"/>
      <c r="H5574" s="1"/>
      <c r="N5574" s="166"/>
    </row>
    <row r="5575" spans="1:14">
      <c r="A5575" s="166"/>
      <c r="H5575" s="1"/>
      <c r="N5575" s="166"/>
    </row>
    <row r="5576" spans="1:14">
      <c r="A5576" s="166"/>
      <c r="H5576" s="1"/>
      <c r="N5576" s="166"/>
    </row>
    <row r="5577" spans="1:14">
      <c r="A5577" s="166"/>
      <c r="H5577" s="1"/>
      <c r="N5577" s="166"/>
    </row>
    <row r="5578" spans="1:14">
      <c r="A5578" s="166"/>
      <c r="H5578" s="1"/>
      <c r="N5578" s="166"/>
    </row>
    <row r="5579" spans="1:14">
      <c r="A5579" s="166"/>
      <c r="H5579" s="1"/>
      <c r="N5579" s="166"/>
    </row>
    <row r="5580" spans="1:14">
      <c r="A5580" s="166"/>
      <c r="H5580" s="1"/>
      <c r="N5580" s="166"/>
    </row>
    <row r="5581" spans="1:14">
      <c r="A5581" s="166"/>
      <c r="H5581" s="1"/>
      <c r="N5581" s="166"/>
    </row>
    <row r="5582" spans="1:14">
      <c r="A5582" s="166"/>
      <c r="H5582" s="1"/>
      <c r="N5582" s="166"/>
    </row>
    <row r="5583" spans="1:14">
      <c r="A5583" s="166"/>
      <c r="H5583" s="1"/>
      <c r="N5583" s="166"/>
    </row>
    <row r="5584" spans="1:14">
      <c r="A5584" s="166"/>
      <c r="H5584" s="1"/>
      <c r="N5584" s="166"/>
    </row>
    <row r="5585" spans="1:14">
      <c r="A5585" s="166"/>
      <c r="H5585" s="1"/>
      <c r="N5585" s="166"/>
    </row>
    <row r="5586" spans="1:14">
      <c r="A5586" s="166"/>
      <c r="H5586" s="1"/>
      <c r="N5586" s="166"/>
    </row>
    <row r="5587" spans="1:14">
      <c r="A5587" s="166"/>
      <c r="H5587" s="1"/>
      <c r="N5587" s="166"/>
    </row>
    <row r="5588" spans="1:14">
      <c r="A5588" s="166"/>
      <c r="H5588" s="1"/>
      <c r="N5588" s="166"/>
    </row>
    <row r="5589" spans="1:14">
      <c r="A5589" s="166"/>
      <c r="H5589" s="1"/>
      <c r="N5589" s="166"/>
    </row>
    <row r="5590" spans="1:14">
      <c r="A5590" s="166"/>
      <c r="H5590" s="1"/>
      <c r="N5590" s="166"/>
    </row>
    <row r="5591" spans="1:14">
      <c r="A5591" s="166"/>
      <c r="H5591" s="1"/>
      <c r="N5591" s="166"/>
    </row>
    <row r="5592" spans="1:14">
      <c r="A5592" s="166"/>
      <c r="H5592" s="1"/>
      <c r="N5592" s="166"/>
    </row>
    <row r="5593" spans="1:14">
      <c r="A5593" s="166"/>
      <c r="H5593" s="1"/>
      <c r="N5593" s="166"/>
    </row>
    <row r="5594" spans="1:14">
      <c r="A5594" s="166"/>
      <c r="H5594" s="1"/>
      <c r="N5594" s="166"/>
    </row>
    <row r="5595" spans="1:14">
      <c r="A5595" s="166"/>
      <c r="H5595" s="1"/>
      <c r="N5595" s="166"/>
    </row>
    <row r="5596" spans="1:14">
      <c r="A5596" s="166"/>
      <c r="H5596" s="1"/>
      <c r="N5596" s="166"/>
    </row>
    <row r="5597" spans="1:14">
      <c r="A5597" s="166"/>
      <c r="H5597" s="1"/>
      <c r="N5597" s="166"/>
    </row>
    <row r="5598" spans="1:14">
      <c r="A5598" s="166"/>
      <c r="H5598" s="1"/>
      <c r="N5598" s="166"/>
    </row>
    <row r="5599" spans="1:14">
      <c r="A5599" s="166"/>
      <c r="H5599" s="1"/>
      <c r="N5599" s="166"/>
    </row>
    <row r="5600" spans="1:14">
      <c r="A5600" s="166"/>
      <c r="H5600" s="1"/>
      <c r="N5600" s="166"/>
    </row>
    <row r="5601" spans="1:14">
      <c r="A5601" s="166"/>
      <c r="H5601" s="1"/>
      <c r="N5601" s="166"/>
    </row>
    <row r="5602" spans="1:14">
      <c r="A5602" s="166"/>
      <c r="H5602" s="1"/>
      <c r="N5602" s="166"/>
    </row>
    <row r="5603" spans="1:14">
      <c r="A5603" s="166"/>
      <c r="H5603" s="1"/>
      <c r="N5603" s="166"/>
    </row>
    <row r="5604" spans="1:14">
      <c r="A5604" s="166"/>
      <c r="H5604" s="1"/>
      <c r="N5604" s="166"/>
    </row>
    <row r="5605" spans="1:14">
      <c r="A5605" s="166"/>
      <c r="H5605" s="1"/>
      <c r="N5605" s="166"/>
    </row>
    <row r="5606" spans="1:14">
      <c r="A5606" s="166"/>
      <c r="H5606" s="1"/>
      <c r="N5606" s="166"/>
    </row>
    <row r="5607" spans="1:14">
      <c r="A5607" s="166"/>
      <c r="H5607" s="1"/>
      <c r="N5607" s="166"/>
    </row>
    <row r="5608" spans="1:14">
      <c r="A5608" s="166"/>
      <c r="H5608" s="1"/>
      <c r="N5608" s="166"/>
    </row>
    <row r="5609" spans="1:14">
      <c r="A5609" s="166"/>
      <c r="H5609" s="1"/>
      <c r="N5609" s="166"/>
    </row>
    <row r="5610" spans="1:14">
      <c r="A5610" s="166"/>
      <c r="H5610" s="1"/>
      <c r="N5610" s="166"/>
    </row>
    <row r="5611" spans="1:14">
      <c r="A5611" s="166"/>
      <c r="H5611" s="1"/>
      <c r="N5611" s="166"/>
    </row>
    <row r="5612" spans="1:14">
      <c r="A5612" s="166"/>
      <c r="H5612" s="1"/>
      <c r="N5612" s="166"/>
    </row>
    <row r="5613" spans="1:14">
      <c r="A5613" s="166"/>
      <c r="H5613" s="1"/>
      <c r="N5613" s="166"/>
    </row>
    <row r="5614" spans="1:14">
      <c r="A5614" s="166"/>
      <c r="H5614" s="1"/>
      <c r="N5614" s="166"/>
    </row>
    <row r="5615" spans="1:14">
      <c r="A5615" s="166"/>
      <c r="H5615" s="1"/>
      <c r="N5615" s="166"/>
    </row>
    <row r="5616" spans="1:14">
      <c r="A5616" s="166"/>
      <c r="H5616" s="1"/>
      <c r="N5616" s="166"/>
    </row>
    <row r="5617" spans="1:14">
      <c r="A5617" s="166"/>
      <c r="H5617" s="1"/>
      <c r="N5617" s="166"/>
    </row>
    <row r="5618" spans="1:14">
      <c r="A5618" s="166"/>
      <c r="H5618" s="1"/>
      <c r="N5618" s="166"/>
    </row>
    <row r="5619" spans="1:14">
      <c r="A5619" s="166"/>
      <c r="H5619" s="1"/>
      <c r="N5619" s="166"/>
    </row>
    <row r="5620" spans="1:14">
      <c r="A5620" s="166"/>
      <c r="H5620" s="1"/>
      <c r="N5620" s="166"/>
    </row>
    <row r="5621" spans="1:14">
      <c r="A5621" s="166"/>
      <c r="H5621" s="1"/>
      <c r="N5621" s="166"/>
    </row>
    <row r="5622" spans="1:14">
      <c r="A5622" s="166"/>
      <c r="H5622" s="1"/>
      <c r="N5622" s="166"/>
    </row>
    <row r="5623" spans="1:14">
      <c r="A5623" s="166"/>
      <c r="H5623" s="1"/>
      <c r="N5623" s="166"/>
    </row>
    <row r="5624" spans="1:14">
      <c r="A5624" s="166"/>
      <c r="H5624" s="1"/>
      <c r="N5624" s="166"/>
    </row>
    <row r="5625" spans="1:14">
      <c r="A5625" s="166"/>
      <c r="H5625" s="1"/>
      <c r="N5625" s="166"/>
    </row>
    <row r="5626" spans="1:14">
      <c r="A5626" s="166"/>
      <c r="H5626" s="1"/>
      <c r="N5626" s="166"/>
    </row>
    <row r="5627" spans="1:14">
      <c r="A5627" s="166"/>
      <c r="H5627" s="1"/>
      <c r="N5627" s="166"/>
    </row>
    <row r="5628" spans="1:14">
      <c r="A5628" s="166"/>
      <c r="H5628" s="1"/>
      <c r="N5628" s="166"/>
    </row>
    <row r="5629" spans="1:14">
      <c r="A5629" s="166"/>
      <c r="H5629" s="1"/>
      <c r="N5629" s="166"/>
    </row>
    <row r="5630" spans="1:14">
      <c r="A5630" s="166"/>
      <c r="H5630" s="1"/>
      <c r="N5630" s="166"/>
    </row>
    <row r="5631" spans="1:14">
      <c r="A5631" s="166"/>
      <c r="H5631" s="1"/>
      <c r="N5631" s="166"/>
    </row>
    <row r="5632" spans="1:14">
      <c r="A5632" s="166"/>
      <c r="H5632" s="1"/>
      <c r="N5632" s="166"/>
    </row>
    <row r="5633" spans="1:14">
      <c r="A5633" s="166"/>
      <c r="H5633" s="1"/>
      <c r="N5633" s="166"/>
    </row>
    <row r="5634" spans="1:14">
      <c r="A5634" s="166"/>
      <c r="H5634" s="1"/>
      <c r="N5634" s="166"/>
    </row>
    <row r="5635" spans="1:14">
      <c r="A5635" s="166"/>
      <c r="H5635" s="1"/>
      <c r="N5635" s="166"/>
    </row>
    <row r="5636" spans="1:14">
      <c r="A5636" s="166"/>
      <c r="H5636" s="1"/>
      <c r="N5636" s="166"/>
    </row>
    <row r="5637" spans="1:14">
      <c r="A5637" s="166"/>
      <c r="H5637" s="1"/>
      <c r="N5637" s="166"/>
    </row>
    <row r="5638" spans="1:14">
      <c r="A5638" s="166"/>
      <c r="H5638" s="1"/>
      <c r="N5638" s="166"/>
    </row>
    <row r="5639" spans="1:14">
      <c r="A5639" s="166"/>
      <c r="H5639" s="1"/>
      <c r="N5639" s="166"/>
    </row>
    <row r="5640" spans="1:14">
      <c r="A5640" s="166"/>
      <c r="H5640" s="1"/>
      <c r="N5640" s="166"/>
    </row>
    <row r="5641" spans="1:14">
      <c r="A5641" s="166"/>
      <c r="H5641" s="1"/>
      <c r="N5641" s="166"/>
    </row>
    <row r="5642" spans="1:14">
      <c r="A5642" s="166"/>
      <c r="H5642" s="1"/>
      <c r="N5642" s="166"/>
    </row>
    <row r="5643" spans="1:14">
      <c r="A5643" s="166"/>
      <c r="H5643" s="1"/>
      <c r="N5643" s="166"/>
    </row>
    <row r="5644" spans="1:14">
      <c r="A5644" s="166"/>
      <c r="H5644" s="1"/>
      <c r="N5644" s="166"/>
    </row>
    <row r="5645" spans="1:14">
      <c r="A5645" s="166"/>
      <c r="H5645" s="1"/>
      <c r="N5645" s="166"/>
    </row>
    <row r="5646" spans="1:14">
      <c r="A5646" s="166"/>
      <c r="H5646" s="1"/>
      <c r="N5646" s="166"/>
    </row>
    <row r="5647" spans="1:14">
      <c r="A5647" s="166"/>
      <c r="H5647" s="1"/>
      <c r="N5647" s="166"/>
    </row>
    <row r="5648" spans="1:14">
      <c r="A5648" s="166"/>
      <c r="H5648" s="1"/>
      <c r="N5648" s="166"/>
    </row>
    <row r="5649" spans="1:14">
      <c r="A5649" s="166"/>
      <c r="H5649" s="1"/>
      <c r="N5649" s="166"/>
    </row>
    <row r="5650" spans="1:14">
      <c r="A5650" s="166"/>
      <c r="H5650" s="1"/>
      <c r="N5650" s="166"/>
    </row>
    <row r="5651" spans="1:14">
      <c r="A5651" s="166"/>
      <c r="H5651" s="1"/>
      <c r="N5651" s="166"/>
    </row>
    <row r="5652" spans="1:14">
      <c r="A5652" s="166"/>
      <c r="H5652" s="1"/>
      <c r="N5652" s="166"/>
    </row>
    <row r="5653" spans="1:14">
      <c r="A5653" s="166"/>
      <c r="H5653" s="1"/>
      <c r="N5653" s="166"/>
    </row>
    <row r="5654" spans="1:14">
      <c r="A5654" s="166"/>
      <c r="H5654" s="1"/>
      <c r="N5654" s="166"/>
    </row>
    <row r="5655" spans="1:14">
      <c r="A5655" s="166"/>
      <c r="H5655" s="1"/>
      <c r="N5655" s="166"/>
    </row>
    <row r="5656" spans="1:14">
      <c r="A5656" s="166"/>
      <c r="H5656" s="1"/>
      <c r="N5656" s="166"/>
    </row>
    <row r="5657" spans="1:14">
      <c r="A5657" s="166"/>
      <c r="H5657" s="1"/>
      <c r="N5657" s="166"/>
    </row>
    <row r="5658" spans="1:14">
      <c r="A5658" s="166"/>
      <c r="H5658" s="1"/>
      <c r="N5658" s="166"/>
    </row>
    <row r="5659" spans="1:14">
      <c r="A5659" s="166"/>
      <c r="H5659" s="1"/>
      <c r="N5659" s="166"/>
    </row>
    <row r="5660" spans="1:14">
      <c r="A5660" s="166"/>
      <c r="H5660" s="1"/>
      <c r="N5660" s="166"/>
    </row>
    <row r="5661" spans="1:14">
      <c r="A5661" s="166"/>
      <c r="H5661" s="1"/>
      <c r="N5661" s="166"/>
    </row>
    <row r="5662" spans="1:14">
      <c r="A5662" s="166"/>
      <c r="H5662" s="1"/>
      <c r="N5662" s="166"/>
    </row>
    <row r="5663" spans="1:14">
      <c r="A5663" s="166"/>
      <c r="H5663" s="1"/>
      <c r="N5663" s="166"/>
    </row>
    <row r="5664" spans="1:14">
      <c r="A5664" s="166"/>
      <c r="H5664" s="1"/>
      <c r="N5664" s="166"/>
    </row>
    <row r="5665" spans="1:14">
      <c r="A5665" s="166"/>
      <c r="H5665" s="1"/>
      <c r="N5665" s="166"/>
    </row>
    <row r="5666" spans="1:14">
      <c r="A5666" s="166"/>
      <c r="H5666" s="1"/>
      <c r="N5666" s="166"/>
    </row>
    <row r="5667" spans="1:14">
      <c r="A5667" s="166"/>
      <c r="H5667" s="1"/>
      <c r="N5667" s="166"/>
    </row>
    <row r="5668" spans="1:14">
      <c r="A5668" s="166"/>
      <c r="H5668" s="1"/>
      <c r="N5668" s="166"/>
    </row>
    <row r="5669" spans="1:14">
      <c r="A5669" s="166"/>
      <c r="H5669" s="1"/>
      <c r="N5669" s="166"/>
    </row>
    <row r="5670" spans="1:14">
      <c r="A5670" s="166"/>
      <c r="H5670" s="1"/>
      <c r="N5670" s="166"/>
    </row>
    <row r="5671" spans="1:14">
      <c r="A5671" s="166"/>
      <c r="H5671" s="1"/>
      <c r="N5671" s="166"/>
    </row>
    <row r="5672" spans="1:14">
      <c r="A5672" s="166"/>
      <c r="H5672" s="1"/>
      <c r="N5672" s="166"/>
    </row>
    <row r="5673" spans="1:14">
      <c r="A5673" s="166"/>
      <c r="H5673" s="1"/>
      <c r="N5673" s="166"/>
    </row>
    <row r="5674" spans="1:14">
      <c r="A5674" s="166"/>
      <c r="H5674" s="1"/>
      <c r="N5674" s="166"/>
    </row>
    <row r="5675" spans="1:14">
      <c r="A5675" s="166"/>
      <c r="H5675" s="1"/>
      <c r="N5675" s="166"/>
    </row>
    <row r="5676" spans="1:14">
      <c r="A5676" s="166"/>
      <c r="H5676" s="1"/>
      <c r="N5676" s="166"/>
    </row>
    <row r="5677" spans="1:14">
      <c r="A5677" s="166"/>
      <c r="H5677" s="1"/>
      <c r="N5677" s="166"/>
    </row>
    <row r="5678" spans="1:14">
      <c r="A5678" s="166"/>
      <c r="H5678" s="1"/>
      <c r="N5678" s="166"/>
    </row>
    <row r="5679" spans="1:14">
      <c r="A5679" s="166"/>
      <c r="H5679" s="1"/>
      <c r="N5679" s="166"/>
    </row>
    <row r="5680" spans="1:14">
      <c r="A5680" s="166"/>
      <c r="H5680" s="1"/>
      <c r="N5680" s="166"/>
    </row>
    <row r="5681" spans="1:14">
      <c r="A5681" s="166"/>
      <c r="H5681" s="1"/>
      <c r="N5681" s="166"/>
    </row>
    <row r="5682" spans="1:14">
      <c r="A5682" s="166"/>
      <c r="H5682" s="1"/>
      <c r="N5682" s="166"/>
    </row>
    <row r="5683" spans="1:14">
      <c r="A5683" s="166"/>
      <c r="H5683" s="1"/>
      <c r="N5683" s="166"/>
    </row>
    <row r="5684" spans="1:14">
      <c r="A5684" s="166"/>
      <c r="H5684" s="1"/>
      <c r="N5684" s="166"/>
    </row>
    <row r="5685" spans="1:14">
      <c r="A5685" s="166"/>
      <c r="H5685" s="1"/>
      <c r="N5685" s="166"/>
    </row>
    <row r="5686" spans="1:14">
      <c r="A5686" s="166"/>
      <c r="H5686" s="1"/>
      <c r="N5686" s="166"/>
    </row>
    <row r="5687" spans="1:14">
      <c r="A5687" s="166"/>
      <c r="H5687" s="1"/>
      <c r="N5687" s="166"/>
    </row>
    <row r="5688" spans="1:14">
      <c r="A5688" s="166"/>
      <c r="H5688" s="1"/>
      <c r="N5688" s="166"/>
    </row>
    <row r="5689" spans="1:14">
      <c r="A5689" s="166"/>
      <c r="H5689" s="1"/>
      <c r="N5689" s="166"/>
    </row>
    <row r="5690" spans="1:14">
      <c r="A5690" s="166"/>
      <c r="H5690" s="1"/>
      <c r="N5690" s="166"/>
    </row>
    <row r="5691" spans="1:14">
      <c r="A5691" s="166"/>
      <c r="H5691" s="1"/>
      <c r="N5691" s="166"/>
    </row>
    <row r="5692" spans="1:14">
      <c r="A5692" s="166"/>
      <c r="H5692" s="1"/>
      <c r="N5692" s="166"/>
    </row>
    <row r="5693" spans="1:14">
      <c r="A5693" s="166"/>
      <c r="H5693" s="1"/>
      <c r="N5693" s="166"/>
    </row>
    <row r="5694" spans="1:14">
      <c r="A5694" s="166"/>
      <c r="H5694" s="1"/>
      <c r="N5694" s="166"/>
    </row>
    <row r="5695" spans="1:14">
      <c r="A5695" s="166"/>
      <c r="H5695" s="1"/>
      <c r="N5695" s="166"/>
    </row>
    <row r="5696" spans="1:14">
      <c r="A5696" s="166"/>
      <c r="H5696" s="1"/>
      <c r="N5696" s="166"/>
    </row>
    <row r="5697" spans="1:14">
      <c r="A5697" s="166"/>
      <c r="H5697" s="1"/>
      <c r="N5697" s="166"/>
    </row>
    <row r="5698" spans="1:14">
      <c r="A5698" s="166"/>
      <c r="H5698" s="1"/>
      <c r="N5698" s="166"/>
    </row>
    <row r="5699" spans="1:14">
      <c r="A5699" s="166"/>
      <c r="H5699" s="1"/>
      <c r="N5699" s="166"/>
    </row>
    <row r="5700" spans="1:14">
      <c r="A5700" s="166"/>
      <c r="H5700" s="1"/>
      <c r="N5700" s="166"/>
    </row>
    <row r="5701" spans="1:14">
      <c r="A5701" s="166"/>
      <c r="H5701" s="1"/>
      <c r="N5701" s="166"/>
    </row>
    <row r="5702" spans="1:14">
      <c r="A5702" s="166"/>
      <c r="H5702" s="1"/>
      <c r="N5702" s="166"/>
    </row>
    <row r="5703" spans="1:14">
      <c r="A5703" s="166"/>
      <c r="H5703" s="1"/>
      <c r="N5703" s="166"/>
    </row>
    <row r="5704" spans="1:14">
      <c r="A5704" s="166"/>
      <c r="H5704" s="1"/>
      <c r="N5704" s="166"/>
    </row>
    <row r="5705" spans="1:14">
      <c r="A5705" s="166"/>
      <c r="H5705" s="1"/>
      <c r="N5705" s="166"/>
    </row>
    <row r="5706" spans="1:14">
      <c r="A5706" s="166"/>
      <c r="H5706" s="1"/>
      <c r="N5706" s="166"/>
    </row>
    <row r="5707" spans="1:14">
      <c r="A5707" s="166"/>
      <c r="H5707" s="1"/>
      <c r="N5707" s="166"/>
    </row>
    <row r="5708" spans="1:14">
      <c r="A5708" s="166"/>
      <c r="H5708" s="1"/>
      <c r="N5708" s="166"/>
    </row>
    <row r="5709" spans="1:14">
      <c r="A5709" s="166"/>
      <c r="H5709" s="1"/>
      <c r="N5709" s="166"/>
    </row>
    <row r="5710" spans="1:14">
      <c r="A5710" s="166"/>
      <c r="H5710" s="1"/>
      <c r="N5710" s="166"/>
    </row>
    <row r="5711" spans="1:14">
      <c r="A5711" s="166"/>
      <c r="H5711" s="1"/>
      <c r="N5711" s="166"/>
    </row>
    <row r="5712" spans="1:14">
      <c r="A5712" s="166"/>
      <c r="H5712" s="1"/>
      <c r="N5712" s="166"/>
    </row>
    <row r="5713" spans="1:14">
      <c r="A5713" s="166"/>
      <c r="H5713" s="1"/>
      <c r="N5713" s="166"/>
    </row>
    <row r="5714" spans="1:14">
      <c r="A5714" s="166"/>
      <c r="H5714" s="1"/>
      <c r="N5714" s="166"/>
    </row>
    <row r="5715" spans="1:14">
      <c r="A5715" s="166"/>
      <c r="H5715" s="1"/>
      <c r="N5715" s="166"/>
    </row>
    <row r="5716" spans="1:14">
      <c r="A5716" s="166"/>
      <c r="H5716" s="1"/>
      <c r="N5716" s="166"/>
    </row>
    <row r="5717" spans="1:14">
      <c r="A5717" s="166"/>
      <c r="H5717" s="1"/>
      <c r="N5717" s="166"/>
    </row>
    <row r="5718" spans="1:14">
      <c r="A5718" s="166"/>
      <c r="H5718" s="1"/>
      <c r="N5718" s="166"/>
    </row>
    <row r="5719" spans="1:14">
      <c r="A5719" s="166"/>
      <c r="H5719" s="1"/>
      <c r="N5719" s="166"/>
    </row>
    <row r="5720" spans="1:14">
      <c r="A5720" s="166"/>
      <c r="H5720" s="1"/>
      <c r="N5720" s="166"/>
    </row>
    <row r="5721" spans="1:14">
      <c r="A5721" s="166"/>
      <c r="H5721" s="1"/>
      <c r="N5721" s="166"/>
    </row>
    <row r="5722" spans="1:14">
      <c r="A5722" s="166"/>
      <c r="H5722" s="1"/>
      <c r="N5722" s="166"/>
    </row>
    <row r="5723" spans="1:14">
      <c r="A5723" s="166"/>
      <c r="H5723" s="1"/>
      <c r="N5723" s="166"/>
    </row>
    <row r="5724" spans="1:14">
      <c r="A5724" s="166"/>
      <c r="H5724" s="1"/>
      <c r="N5724" s="166"/>
    </row>
    <row r="5725" spans="1:14">
      <c r="A5725" s="166"/>
      <c r="H5725" s="1"/>
      <c r="N5725" s="166"/>
    </row>
    <row r="5726" spans="1:14">
      <c r="A5726" s="166"/>
      <c r="H5726" s="1"/>
      <c r="N5726" s="166"/>
    </row>
    <row r="5727" spans="1:14">
      <c r="A5727" s="166"/>
      <c r="H5727" s="1"/>
      <c r="N5727" s="166"/>
    </row>
    <row r="5728" spans="1:14">
      <c r="A5728" s="166"/>
      <c r="H5728" s="1"/>
      <c r="N5728" s="166"/>
    </row>
    <row r="5729" spans="1:14">
      <c r="A5729" s="166"/>
      <c r="H5729" s="1"/>
      <c r="N5729" s="166"/>
    </row>
    <row r="5730" spans="1:14">
      <c r="A5730" s="166"/>
      <c r="H5730" s="1"/>
      <c r="N5730" s="166"/>
    </row>
    <row r="5731" spans="1:14">
      <c r="A5731" s="166"/>
      <c r="H5731" s="1"/>
      <c r="N5731" s="166"/>
    </row>
    <row r="5732" spans="1:14">
      <c r="A5732" s="166"/>
      <c r="H5732" s="1"/>
      <c r="N5732" s="166"/>
    </row>
    <row r="5733" spans="1:14">
      <c r="A5733" s="166"/>
      <c r="H5733" s="1"/>
      <c r="N5733" s="166"/>
    </row>
    <row r="5734" spans="1:14">
      <c r="A5734" s="166"/>
      <c r="H5734" s="1"/>
      <c r="N5734" s="166"/>
    </row>
    <row r="5735" spans="1:14">
      <c r="A5735" s="166"/>
      <c r="H5735" s="1"/>
      <c r="N5735" s="166"/>
    </row>
    <row r="5736" spans="1:14">
      <c r="A5736" s="166"/>
      <c r="H5736" s="1"/>
      <c r="N5736" s="166"/>
    </row>
    <row r="5737" spans="1:14">
      <c r="A5737" s="166"/>
      <c r="H5737" s="1"/>
      <c r="N5737" s="166"/>
    </row>
    <row r="5738" spans="1:14">
      <c r="A5738" s="166"/>
      <c r="H5738" s="1"/>
      <c r="N5738" s="166"/>
    </row>
    <row r="5739" spans="1:14">
      <c r="A5739" s="166"/>
      <c r="H5739" s="1"/>
      <c r="N5739" s="166"/>
    </row>
    <row r="5740" spans="1:14">
      <c r="A5740" s="166"/>
      <c r="H5740" s="1"/>
      <c r="N5740" s="166"/>
    </row>
    <row r="5741" spans="1:14">
      <c r="A5741" s="166"/>
      <c r="H5741" s="1"/>
      <c r="N5741" s="166"/>
    </row>
    <row r="5742" spans="1:14">
      <c r="A5742" s="166"/>
      <c r="H5742" s="1"/>
      <c r="N5742" s="166"/>
    </row>
    <row r="5743" spans="1:14">
      <c r="A5743" s="166"/>
      <c r="H5743" s="1"/>
      <c r="N5743" s="166"/>
    </row>
    <row r="5744" spans="1:14">
      <c r="A5744" s="166"/>
      <c r="H5744" s="1"/>
      <c r="N5744" s="166"/>
    </row>
    <row r="5745" spans="1:14">
      <c r="A5745" s="166"/>
      <c r="H5745" s="1"/>
      <c r="N5745" s="166"/>
    </row>
    <row r="5746" spans="1:14">
      <c r="A5746" s="166"/>
      <c r="H5746" s="1"/>
      <c r="N5746" s="166"/>
    </row>
    <row r="5747" spans="1:14">
      <c r="A5747" s="166"/>
      <c r="H5747" s="1"/>
      <c r="N5747" s="166"/>
    </row>
    <row r="5748" spans="1:14">
      <c r="A5748" s="166"/>
      <c r="H5748" s="1"/>
      <c r="N5748" s="166"/>
    </row>
    <row r="5749" spans="1:14">
      <c r="A5749" s="166"/>
      <c r="H5749" s="1"/>
      <c r="N5749" s="166"/>
    </row>
    <row r="5750" spans="1:14">
      <c r="A5750" s="166"/>
      <c r="H5750" s="1"/>
      <c r="N5750" s="166"/>
    </row>
    <row r="5751" spans="1:14">
      <c r="A5751" s="166"/>
      <c r="H5751" s="1"/>
      <c r="N5751" s="166"/>
    </row>
    <row r="5752" spans="1:14">
      <c r="A5752" s="166"/>
      <c r="H5752" s="1"/>
      <c r="N5752" s="166"/>
    </row>
    <row r="5753" spans="1:14">
      <c r="A5753" s="166"/>
      <c r="H5753" s="1"/>
      <c r="N5753" s="166"/>
    </row>
    <row r="5754" spans="1:14">
      <c r="A5754" s="166"/>
      <c r="H5754" s="1"/>
      <c r="N5754" s="166"/>
    </row>
    <row r="5755" spans="1:14">
      <c r="A5755" s="166"/>
      <c r="H5755" s="1"/>
      <c r="N5755" s="166"/>
    </row>
    <row r="5756" spans="1:14">
      <c r="A5756" s="166"/>
      <c r="H5756" s="1"/>
      <c r="N5756" s="166"/>
    </row>
    <row r="5757" spans="1:14">
      <c r="A5757" s="166"/>
      <c r="H5757" s="1"/>
      <c r="N5757" s="166"/>
    </row>
    <row r="5758" spans="1:14">
      <c r="A5758" s="166"/>
      <c r="H5758" s="1"/>
      <c r="N5758" s="166"/>
    </row>
    <row r="5759" spans="1:14">
      <c r="A5759" s="166"/>
      <c r="H5759" s="1"/>
      <c r="N5759" s="166"/>
    </row>
    <row r="5760" spans="1:14">
      <c r="A5760" s="166"/>
      <c r="H5760" s="1"/>
      <c r="N5760" s="166"/>
    </row>
    <row r="5761" spans="1:14">
      <c r="A5761" s="166"/>
      <c r="H5761" s="1"/>
      <c r="N5761" s="166"/>
    </row>
    <row r="5762" spans="1:14">
      <c r="A5762" s="166"/>
      <c r="H5762" s="1"/>
      <c r="N5762" s="166"/>
    </row>
    <row r="5763" spans="1:14">
      <c r="A5763" s="166"/>
      <c r="H5763" s="1"/>
      <c r="N5763" s="166"/>
    </row>
    <row r="5764" spans="1:14">
      <c r="A5764" s="166"/>
      <c r="H5764" s="1"/>
      <c r="N5764" s="166"/>
    </row>
    <row r="5765" spans="1:14">
      <c r="A5765" s="166"/>
      <c r="H5765" s="1"/>
      <c r="N5765" s="166"/>
    </row>
    <row r="5766" spans="1:14">
      <c r="A5766" s="166"/>
      <c r="H5766" s="1"/>
      <c r="N5766" s="166"/>
    </row>
    <row r="5767" spans="1:14">
      <c r="A5767" s="166"/>
      <c r="H5767" s="1"/>
      <c r="N5767" s="166"/>
    </row>
    <row r="5768" spans="1:14">
      <c r="A5768" s="166"/>
      <c r="H5768" s="1"/>
      <c r="N5768" s="166"/>
    </row>
    <row r="5769" spans="1:14">
      <c r="A5769" s="166"/>
      <c r="H5769" s="1"/>
      <c r="N5769" s="166"/>
    </row>
    <row r="5770" spans="1:14">
      <c r="A5770" s="166"/>
      <c r="H5770" s="1"/>
      <c r="N5770" s="166"/>
    </row>
    <row r="5771" spans="1:14">
      <c r="A5771" s="166"/>
      <c r="H5771" s="1"/>
      <c r="N5771" s="166"/>
    </row>
    <row r="5772" spans="1:14">
      <c r="A5772" s="166"/>
      <c r="H5772" s="1"/>
      <c r="N5772" s="166"/>
    </row>
    <row r="5773" spans="1:14">
      <c r="A5773" s="166"/>
      <c r="H5773" s="1"/>
      <c r="N5773" s="166"/>
    </row>
    <row r="5774" spans="1:14">
      <c r="A5774" s="166"/>
      <c r="H5774" s="1"/>
      <c r="N5774" s="166"/>
    </row>
    <row r="5775" spans="1:14">
      <c r="A5775" s="166"/>
      <c r="H5775" s="1"/>
      <c r="N5775" s="166"/>
    </row>
    <row r="5776" spans="1:14">
      <c r="A5776" s="166"/>
      <c r="H5776" s="1"/>
      <c r="N5776" s="166"/>
    </row>
    <row r="5777" spans="1:14">
      <c r="A5777" s="166"/>
      <c r="H5777" s="1"/>
      <c r="N5777" s="166"/>
    </row>
    <row r="5778" spans="1:14">
      <c r="A5778" s="166"/>
      <c r="H5778" s="1"/>
      <c r="N5778" s="166"/>
    </row>
    <row r="5779" spans="1:14">
      <c r="A5779" s="166"/>
      <c r="H5779" s="1"/>
      <c r="N5779" s="166"/>
    </row>
    <row r="5780" spans="1:14">
      <c r="A5780" s="166"/>
      <c r="H5780" s="1"/>
      <c r="N5780" s="166"/>
    </row>
    <row r="5781" spans="1:14">
      <c r="A5781" s="166"/>
      <c r="H5781" s="1"/>
      <c r="N5781" s="166"/>
    </row>
    <row r="5782" spans="1:14">
      <c r="A5782" s="166"/>
      <c r="H5782" s="1"/>
      <c r="N5782" s="166"/>
    </row>
    <row r="5783" spans="1:14">
      <c r="A5783" s="166"/>
      <c r="H5783" s="1"/>
      <c r="N5783" s="166"/>
    </row>
    <row r="5784" spans="1:14">
      <c r="A5784" s="166"/>
      <c r="H5784" s="1"/>
      <c r="N5784" s="166"/>
    </row>
    <row r="5785" spans="1:14">
      <c r="A5785" s="166"/>
      <c r="H5785" s="1"/>
      <c r="N5785" s="166"/>
    </row>
    <row r="5786" spans="1:14">
      <c r="A5786" s="166"/>
      <c r="H5786" s="1"/>
      <c r="N5786" s="166"/>
    </row>
    <row r="5787" spans="1:14">
      <c r="A5787" s="166"/>
      <c r="H5787" s="1"/>
      <c r="N5787" s="166"/>
    </row>
    <row r="5788" spans="1:14">
      <c r="A5788" s="166"/>
      <c r="H5788" s="1"/>
      <c r="N5788" s="166"/>
    </row>
    <row r="5789" spans="1:14">
      <c r="A5789" s="166"/>
      <c r="H5789" s="1"/>
      <c r="N5789" s="166"/>
    </row>
    <row r="5790" spans="1:14">
      <c r="A5790" s="166"/>
      <c r="H5790" s="1"/>
      <c r="N5790" s="166"/>
    </row>
    <row r="5791" spans="1:14">
      <c r="A5791" s="166"/>
      <c r="H5791" s="1"/>
      <c r="N5791" s="166"/>
    </row>
    <row r="5792" spans="1:14">
      <c r="A5792" s="166"/>
      <c r="H5792" s="1"/>
      <c r="N5792" s="166"/>
    </row>
    <row r="5793" spans="1:14">
      <c r="A5793" s="166"/>
      <c r="H5793" s="1"/>
      <c r="N5793" s="166"/>
    </row>
    <row r="5794" spans="1:14">
      <c r="A5794" s="166"/>
      <c r="H5794" s="1"/>
      <c r="N5794" s="166"/>
    </row>
    <row r="5795" spans="1:14">
      <c r="A5795" s="166"/>
      <c r="H5795" s="1"/>
      <c r="N5795" s="166"/>
    </row>
    <row r="5796" spans="1:14">
      <c r="A5796" s="166"/>
      <c r="H5796" s="1"/>
      <c r="N5796" s="166"/>
    </row>
    <row r="5797" spans="1:14">
      <c r="A5797" s="166"/>
      <c r="H5797" s="1"/>
      <c r="N5797" s="166"/>
    </row>
    <row r="5798" spans="1:14">
      <c r="A5798" s="166"/>
      <c r="H5798" s="1"/>
      <c r="N5798" s="166"/>
    </row>
    <row r="5799" spans="1:14">
      <c r="A5799" s="166"/>
      <c r="H5799" s="1"/>
      <c r="N5799" s="166"/>
    </row>
    <row r="5800" spans="1:14">
      <c r="A5800" s="166"/>
      <c r="H5800" s="1"/>
      <c r="N5800" s="166"/>
    </row>
    <row r="5801" spans="1:14">
      <c r="A5801" s="166"/>
      <c r="H5801" s="1"/>
      <c r="N5801" s="166"/>
    </row>
    <row r="5802" spans="1:14">
      <c r="A5802" s="166"/>
      <c r="H5802" s="1"/>
      <c r="N5802" s="166"/>
    </row>
    <row r="5803" spans="1:14">
      <c r="A5803" s="166"/>
      <c r="H5803" s="1"/>
      <c r="N5803" s="166"/>
    </row>
    <row r="5804" spans="1:14">
      <c r="A5804" s="166"/>
      <c r="H5804" s="1"/>
      <c r="N5804" s="166"/>
    </row>
    <row r="5805" spans="1:14">
      <c r="A5805" s="166"/>
      <c r="H5805" s="1"/>
      <c r="N5805" s="166"/>
    </row>
    <row r="5806" spans="1:14">
      <c r="A5806" s="166"/>
      <c r="H5806" s="1"/>
      <c r="N5806" s="166"/>
    </row>
    <row r="5807" spans="1:14">
      <c r="A5807" s="166"/>
      <c r="H5807" s="1"/>
      <c r="N5807" s="166"/>
    </row>
    <row r="5808" spans="1:14">
      <c r="A5808" s="166"/>
      <c r="H5808" s="1"/>
      <c r="N5808" s="166"/>
    </row>
    <row r="5809" spans="1:14">
      <c r="A5809" s="166"/>
      <c r="H5809" s="1"/>
      <c r="N5809" s="166"/>
    </row>
    <row r="5810" spans="1:14">
      <c r="A5810" s="166"/>
      <c r="H5810" s="1"/>
      <c r="N5810" s="166"/>
    </row>
    <row r="5811" spans="1:14">
      <c r="A5811" s="166"/>
      <c r="H5811" s="1"/>
      <c r="N5811" s="166"/>
    </row>
    <row r="5812" spans="1:14">
      <c r="A5812" s="166"/>
      <c r="H5812" s="1"/>
      <c r="N5812" s="166"/>
    </row>
    <row r="5813" spans="1:14">
      <c r="A5813" s="166"/>
      <c r="H5813" s="1"/>
      <c r="N5813" s="166"/>
    </row>
    <row r="5814" spans="1:14">
      <c r="A5814" s="166"/>
      <c r="H5814" s="1"/>
      <c r="N5814" s="166"/>
    </row>
    <row r="5815" spans="1:14">
      <c r="A5815" s="166"/>
      <c r="H5815" s="1"/>
      <c r="N5815" s="166"/>
    </row>
    <row r="5816" spans="1:14">
      <c r="A5816" s="166"/>
      <c r="H5816" s="1"/>
      <c r="N5816" s="166"/>
    </row>
    <row r="5817" spans="1:14">
      <c r="A5817" s="166"/>
      <c r="H5817" s="1"/>
      <c r="N5817" s="166"/>
    </row>
    <row r="5818" spans="1:14">
      <c r="A5818" s="166"/>
      <c r="H5818" s="1"/>
      <c r="N5818" s="166"/>
    </row>
    <row r="5819" spans="1:14">
      <c r="A5819" s="166"/>
      <c r="H5819" s="1"/>
      <c r="N5819" s="166"/>
    </row>
    <row r="5820" spans="1:14">
      <c r="A5820" s="166"/>
      <c r="H5820" s="1"/>
      <c r="N5820" s="166"/>
    </row>
    <row r="5821" spans="1:14">
      <c r="A5821" s="166"/>
      <c r="H5821" s="1"/>
      <c r="N5821" s="166"/>
    </row>
    <row r="5822" spans="1:14">
      <c r="A5822" s="166"/>
      <c r="H5822" s="1"/>
      <c r="N5822" s="166"/>
    </row>
    <row r="5823" spans="1:14">
      <c r="A5823" s="166"/>
      <c r="H5823" s="1"/>
      <c r="N5823" s="166"/>
    </row>
    <row r="5824" spans="1:14">
      <c r="A5824" s="166"/>
      <c r="H5824" s="1"/>
      <c r="N5824" s="166"/>
    </row>
    <row r="5825" spans="1:14">
      <c r="A5825" s="166"/>
      <c r="H5825" s="1"/>
      <c r="N5825" s="166"/>
    </row>
    <row r="5826" spans="1:14">
      <c r="A5826" s="166"/>
      <c r="H5826" s="1"/>
      <c r="N5826" s="166"/>
    </row>
    <row r="5827" spans="1:14">
      <c r="A5827" s="166"/>
      <c r="H5827" s="1"/>
      <c r="N5827" s="166"/>
    </row>
    <row r="5828" spans="1:14">
      <c r="A5828" s="166"/>
      <c r="H5828" s="1"/>
      <c r="N5828" s="166"/>
    </row>
    <row r="5829" spans="1:14">
      <c r="A5829" s="166"/>
      <c r="H5829" s="1"/>
      <c r="N5829" s="166"/>
    </row>
    <row r="5830" spans="1:14">
      <c r="A5830" s="166"/>
      <c r="H5830" s="1"/>
      <c r="N5830" s="166"/>
    </row>
    <row r="5831" spans="1:14">
      <c r="A5831" s="166"/>
      <c r="H5831" s="1"/>
      <c r="N5831" s="166"/>
    </row>
    <row r="5832" spans="1:14">
      <c r="A5832" s="166"/>
      <c r="H5832" s="1"/>
      <c r="N5832" s="166"/>
    </row>
    <row r="5833" spans="1:14">
      <c r="A5833" s="166"/>
      <c r="H5833" s="1"/>
      <c r="N5833" s="166"/>
    </row>
    <row r="5834" spans="1:14">
      <c r="A5834" s="166"/>
      <c r="H5834" s="1"/>
      <c r="N5834" s="166"/>
    </row>
    <row r="5835" spans="1:14">
      <c r="A5835" s="166"/>
      <c r="H5835" s="1"/>
      <c r="N5835" s="166"/>
    </row>
    <row r="5836" spans="1:14">
      <c r="A5836" s="166"/>
      <c r="H5836" s="1"/>
      <c r="N5836" s="166"/>
    </row>
    <row r="5837" spans="1:14">
      <c r="A5837" s="166"/>
      <c r="H5837" s="1"/>
      <c r="N5837" s="166"/>
    </row>
    <row r="5838" spans="1:14">
      <c r="A5838" s="166"/>
      <c r="H5838" s="1"/>
      <c r="N5838" s="166"/>
    </row>
    <row r="5839" spans="1:14">
      <c r="A5839" s="166"/>
      <c r="H5839" s="1"/>
      <c r="N5839" s="166"/>
    </row>
    <row r="5840" spans="1:14">
      <c r="A5840" s="166"/>
      <c r="H5840" s="1"/>
      <c r="N5840" s="166"/>
    </row>
    <row r="5841" spans="1:14">
      <c r="A5841" s="166"/>
      <c r="H5841" s="1"/>
      <c r="N5841" s="166"/>
    </row>
    <row r="5842" spans="1:14">
      <c r="A5842" s="166"/>
      <c r="H5842" s="1"/>
      <c r="N5842" s="166"/>
    </row>
    <row r="5843" spans="1:14">
      <c r="A5843" s="166"/>
      <c r="H5843" s="1"/>
      <c r="N5843" s="166"/>
    </row>
    <row r="5844" spans="1:14">
      <c r="A5844" s="166"/>
      <c r="H5844" s="1"/>
      <c r="N5844" s="166"/>
    </row>
    <row r="5845" spans="1:14">
      <c r="A5845" s="166"/>
      <c r="H5845" s="1"/>
      <c r="N5845" s="166"/>
    </row>
    <row r="5846" spans="1:14">
      <c r="A5846" s="166"/>
      <c r="H5846" s="1"/>
      <c r="N5846" s="166"/>
    </row>
    <row r="5847" spans="1:14">
      <c r="A5847" s="166"/>
      <c r="H5847" s="1"/>
      <c r="N5847" s="166"/>
    </row>
    <row r="5848" spans="1:14">
      <c r="A5848" s="166"/>
      <c r="H5848" s="1"/>
      <c r="N5848" s="166"/>
    </row>
    <row r="5849" spans="1:14">
      <c r="A5849" s="166"/>
      <c r="H5849" s="1"/>
      <c r="N5849" s="166"/>
    </row>
    <row r="5850" spans="1:14">
      <c r="A5850" s="166"/>
      <c r="H5850" s="1"/>
      <c r="N5850" s="166"/>
    </row>
    <row r="5851" spans="1:14">
      <c r="A5851" s="166"/>
      <c r="H5851" s="1"/>
      <c r="N5851" s="166"/>
    </row>
    <row r="5852" spans="1:14">
      <c r="A5852" s="166"/>
      <c r="H5852" s="1"/>
      <c r="N5852" s="166"/>
    </row>
    <row r="5853" spans="1:14">
      <c r="A5853" s="166"/>
      <c r="H5853" s="1"/>
      <c r="N5853" s="166"/>
    </row>
    <row r="5854" spans="1:14">
      <c r="A5854" s="166"/>
      <c r="H5854" s="1"/>
      <c r="N5854" s="166"/>
    </row>
    <row r="5855" spans="1:14">
      <c r="A5855" s="166"/>
      <c r="H5855" s="1"/>
      <c r="N5855" s="166"/>
    </row>
    <row r="5856" spans="1:14">
      <c r="A5856" s="166"/>
      <c r="H5856" s="1"/>
      <c r="N5856" s="166"/>
    </row>
    <row r="5857" spans="1:14">
      <c r="A5857" s="166"/>
      <c r="H5857" s="1"/>
      <c r="N5857" s="166"/>
    </row>
    <row r="5858" spans="1:14">
      <c r="A5858" s="166"/>
      <c r="H5858" s="1"/>
      <c r="N5858" s="166"/>
    </row>
    <row r="5859" spans="1:14">
      <c r="A5859" s="166"/>
      <c r="H5859" s="1"/>
      <c r="N5859" s="166"/>
    </row>
    <row r="5860" spans="1:14">
      <c r="A5860" s="166"/>
      <c r="H5860" s="1"/>
      <c r="N5860" s="166"/>
    </row>
    <row r="5861" spans="1:14">
      <c r="A5861" s="166"/>
      <c r="H5861" s="1"/>
      <c r="N5861" s="166"/>
    </row>
    <row r="5862" spans="1:14">
      <c r="A5862" s="166"/>
      <c r="H5862" s="1"/>
      <c r="N5862" s="166"/>
    </row>
    <row r="5863" spans="1:14">
      <c r="A5863" s="166"/>
      <c r="H5863" s="1"/>
      <c r="N5863" s="166"/>
    </row>
    <row r="5864" spans="1:14">
      <c r="A5864" s="166"/>
      <c r="H5864" s="1"/>
      <c r="N5864" s="166"/>
    </row>
    <row r="5865" spans="1:14">
      <c r="A5865" s="166"/>
      <c r="H5865" s="1"/>
      <c r="N5865" s="166"/>
    </row>
    <row r="5866" spans="1:14">
      <c r="A5866" s="166"/>
      <c r="H5866" s="1"/>
      <c r="N5866" s="166"/>
    </row>
    <row r="5867" spans="1:14">
      <c r="A5867" s="166"/>
      <c r="H5867" s="1"/>
      <c r="N5867" s="166"/>
    </row>
    <row r="5868" spans="1:14">
      <c r="A5868" s="166"/>
      <c r="H5868" s="1"/>
      <c r="N5868" s="166"/>
    </row>
    <row r="5869" spans="1:14">
      <c r="A5869" s="166"/>
      <c r="H5869" s="1"/>
      <c r="N5869" s="166"/>
    </row>
    <row r="5870" spans="1:14">
      <c r="A5870" s="166"/>
      <c r="H5870" s="1"/>
      <c r="N5870" s="166"/>
    </row>
    <row r="5871" spans="1:14">
      <c r="A5871" s="166"/>
      <c r="H5871" s="1"/>
      <c r="N5871" s="166"/>
    </row>
    <row r="5872" spans="1:14">
      <c r="A5872" s="166"/>
      <c r="H5872" s="1"/>
      <c r="N5872" s="166"/>
    </row>
    <row r="5873" spans="1:14">
      <c r="A5873" s="166"/>
      <c r="H5873" s="1"/>
      <c r="N5873" s="166"/>
    </row>
    <row r="5874" spans="1:14">
      <c r="A5874" s="166"/>
      <c r="H5874" s="1"/>
      <c r="N5874" s="166"/>
    </row>
    <row r="5875" spans="1:14">
      <c r="A5875" s="166"/>
      <c r="H5875" s="1"/>
      <c r="N5875" s="166"/>
    </row>
    <row r="5876" spans="1:14">
      <c r="A5876" s="166"/>
      <c r="H5876" s="1"/>
      <c r="N5876" s="166"/>
    </row>
    <row r="5877" spans="1:14">
      <c r="A5877" s="166"/>
      <c r="H5877" s="1"/>
      <c r="N5877" s="166"/>
    </row>
    <row r="5878" spans="1:14">
      <c r="A5878" s="166"/>
      <c r="H5878" s="1"/>
      <c r="N5878" s="166"/>
    </row>
    <row r="5879" spans="1:14">
      <c r="A5879" s="166"/>
      <c r="H5879" s="1"/>
      <c r="N5879" s="166"/>
    </row>
    <row r="5880" spans="1:14">
      <c r="A5880" s="166"/>
      <c r="H5880" s="1"/>
      <c r="N5880" s="166"/>
    </row>
    <row r="5881" spans="1:14">
      <c r="A5881" s="166"/>
      <c r="H5881" s="1"/>
      <c r="N5881" s="166"/>
    </row>
    <row r="5882" spans="1:14">
      <c r="A5882" s="166"/>
      <c r="H5882" s="1"/>
      <c r="N5882" s="166"/>
    </row>
    <row r="5883" spans="1:14">
      <c r="A5883" s="166"/>
      <c r="H5883" s="1"/>
      <c r="N5883" s="166"/>
    </row>
    <row r="5884" spans="1:14">
      <c r="A5884" s="166"/>
      <c r="H5884" s="1"/>
      <c r="N5884" s="166"/>
    </row>
    <row r="5885" spans="1:14">
      <c r="A5885" s="166"/>
      <c r="H5885" s="1"/>
      <c r="N5885" s="166"/>
    </row>
    <row r="5886" spans="1:14">
      <c r="A5886" s="166"/>
      <c r="H5886" s="1"/>
      <c r="N5886" s="166"/>
    </row>
    <row r="5887" spans="1:14">
      <c r="A5887" s="166"/>
      <c r="H5887" s="1"/>
      <c r="N5887" s="166"/>
    </row>
    <row r="5888" spans="1:14">
      <c r="A5888" s="166"/>
      <c r="H5888" s="1"/>
      <c r="N5888" s="166"/>
    </row>
    <row r="5889" spans="1:14">
      <c r="A5889" s="166"/>
      <c r="H5889" s="1"/>
      <c r="N5889" s="166"/>
    </row>
    <row r="5890" spans="1:14">
      <c r="A5890" s="166"/>
      <c r="H5890" s="1"/>
      <c r="N5890" s="166"/>
    </row>
    <row r="5891" spans="1:14">
      <c r="A5891" s="166"/>
      <c r="H5891" s="1"/>
      <c r="N5891" s="166"/>
    </row>
    <row r="5892" spans="1:14">
      <c r="A5892" s="166"/>
      <c r="H5892" s="1"/>
      <c r="N5892" s="166"/>
    </row>
    <row r="5893" spans="1:14">
      <c r="A5893" s="166"/>
      <c r="H5893" s="1"/>
      <c r="N5893" s="166"/>
    </row>
    <row r="5894" spans="1:14">
      <c r="A5894" s="166"/>
      <c r="H5894" s="1"/>
      <c r="N5894" s="166"/>
    </row>
    <row r="5895" spans="1:14">
      <c r="A5895" s="166"/>
      <c r="H5895" s="1"/>
      <c r="N5895" s="166"/>
    </row>
    <row r="5896" spans="1:14">
      <c r="A5896" s="166"/>
      <c r="H5896" s="1"/>
      <c r="N5896" s="166"/>
    </row>
    <row r="5897" spans="1:14">
      <c r="A5897" s="166"/>
      <c r="H5897" s="1"/>
      <c r="N5897" s="166"/>
    </row>
    <row r="5898" spans="1:14">
      <c r="A5898" s="166"/>
      <c r="H5898" s="1"/>
      <c r="N5898" s="166"/>
    </row>
    <row r="5899" spans="1:14">
      <c r="A5899" s="166"/>
      <c r="H5899" s="1"/>
      <c r="N5899" s="166"/>
    </row>
    <row r="5900" spans="1:14">
      <c r="A5900" s="166"/>
      <c r="H5900" s="1"/>
      <c r="N5900" s="166"/>
    </row>
    <row r="5901" spans="1:14">
      <c r="A5901" s="166"/>
      <c r="H5901" s="1"/>
      <c r="N5901" s="166"/>
    </row>
    <row r="5902" spans="1:14">
      <c r="A5902" s="166"/>
      <c r="H5902" s="1"/>
      <c r="N5902" s="166"/>
    </row>
    <row r="5903" spans="1:14">
      <c r="A5903" s="166"/>
      <c r="H5903" s="1"/>
      <c r="N5903" s="166"/>
    </row>
    <row r="5904" spans="1:14">
      <c r="A5904" s="166"/>
      <c r="H5904" s="1"/>
      <c r="N5904" s="166"/>
    </row>
    <row r="5905" spans="1:14">
      <c r="A5905" s="166"/>
      <c r="H5905" s="1"/>
      <c r="N5905" s="166"/>
    </row>
    <row r="5906" spans="1:14">
      <c r="A5906" s="166"/>
      <c r="H5906" s="1"/>
      <c r="N5906" s="166"/>
    </row>
    <row r="5907" spans="1:14">
      <c r="A5907" s="166"/>
      <c r="H5907" s="1"/>
      <c r="N5907" s="166"/>
    </row>
    <row r="5908" spans="1:14">
      <c r="A5908" s="166"/>
      <c r="H5908" s="1"/>
      <c r="N5908" s="166"/>
    </row>
    <row r="5909" spans="1:14">
      <c r="A5909" s="166"/>
      <c r="H5909" s="1"/>
      <c r="N5909" s="166"/>
    </row>
    <row r="5910" spans="1:14">
      <c r="A5910" s="166"/>
      <c r="H5910" s="1"/>
      <c r="N5910" s="166"/>
    </row>
    <row r="5911" spans="1:14">
      <c r="A5911" s="166"/>
      <c r="H5911" s="1"/>
      <c r="N5911" s="166"/>
    </row>
    <row r="5912" spans="1:14">
      <c r="A5912" s="166"/>
      <c r="H5912" s="1"/>
      <c r="N5912" s="166"/>
    </row>
    <row r="5913" spans="1:14">
      <c r="A5913" s="166"/>
      <c r="H5913" s="1"/>
      <c r="N5913" s="166"/>
    </row>
    <row r="5914" spans="1:14">
      <c r="A5914" s="166"/>
      <c r="H5914" s="1"/>
      <c r="N5914" s="166"/>
    </row>
    <row r="5915" spans="1:14">
      <c r="A5915" s="166"/>
      <c r="H5915" s="1"/>
      <c r="N5915" s="166"/>
    </row>
    <row r="5916" spans="1:14">
      <c r="A5916" s="166"/>
      <c r="H5916" s="1"/>
      <c r="N5916" s="166"/>
    </row>
    <row r="5917" spans="1:14">
      <c r="A5917" s="166"/>
      <c r="H5917" s="1"/>
      <c r="N5917" s="166"/>
    </row>
    <row r="5918" spans="1:14">
      <c r="A5918" s="166"/>
      <c r="H5918" s="1"/>
      <c r="N5918" s="166"/>
    </row>
    <row r="5919" spans="1:14">
      <c r="A5919" s="166"/>
      <c r="H5919" s="1"/>
      <c r="N5919" s="166"/>
    </row>
    <row r="5920" spans="1:14">
      <c r="A5920" s="166"/>
      <c r="H5920" s="1"/>
      <c r="N5920" s="166"/>
    </row>
    <row r="5921" spans="1:14">
      <c r="A5921" s="166"/>
      <c r="H5921" s="1"/>
      <c r="N5921" s="166"/>
    </row>
    <row r="5922" spans="1:14">
      <c r="A5922" s="166"/>
      <c r="H5922" s="1"/>
      <c r="N5922" s="166"/>
    </row>
    <row r="5923" spans="1:14">
      <c r="A5923" s="166"/>
      <c r="H5923" s="1"/>
      <c r="N5923" s="166"/>
    </row>
    <row r="5924" spans="1:14">
      <c r="A5924" s="166"/>
      <c r="H5924" s="1"/>
      <c r="N5924" s="166"/>
    </row>
    <row r="5925" spans="1:14">
      <c r="A5925" s="166"/>
      <c r="H5925" s="1"/>
      <c r="N5925" s="166"/>
    </row>
    <row r="5926" spans="1:14">
      <c r="A5926" s="166"/>
      <c r="H5926" s="1"/>
      <c r="N5926" s="166"/>
    </row>
    <row r="5927" spans="1:14">
      <c r="A5927" s="166"/>
      <c r="H5927" s="1"/>
      <c r="N5927" s="166"/>
    </row>
    <row r="5928" spans="1:14">
      <c r="A5928" s="166"/>
      <c r="H5928" s="1"/>
      <c r="N5928" s="166"/>
    </row>
    <row r="5929" spans="1:14">
      <c r="A5929" s="166"/>
      <c r="H5929" s="1"/>
      <c r="N5929" s="166"/>
    </row>
    <row r="5930" spans="1:14">
      <c r="A5930" s="166"/>
      <c r="H5930" s="1"/>
      <c r="N5930" s="166"/>
    </row>
    <row r="5931" spans="1:14">
      <c r="A5931" s="166"/>
      <c r="H5931" s="1"/>
      <c r="N5931" s="166"/>
    </row>
    <row r="5932" spans="1:14">
      <c r="A5932" s="166"/>
      <c r="H5932" s="1"/>
      <c r="N5932" s="166"/>
    </row>
    <row r="5933" spans="1:14">
      <c r="A5933" s="166"/>
      <c r="H5933" s="1"/>
      <c r="N5933" s="166"/>
    </row>
    <row r="5934" spans="1:14">
      <c r="A5934" s="166"/>
      <c r="H5934" s="1"/>
      <c r="N5934" s="166"/>
    </row>
    <row r="5935" spans="1:14">
      <c r="A5935" s="166"/>
      <c r="H5935" s="1"/>
      <c r="N5935" s="166"/>
    </row>
    <row r="5936" spans="1:14">
      <c r="A5936" s="166"/>
      <c r="H5936" s="1"/>
      <c r="N5936" s="166"/>
    </row>
    <row r="5937" spans="1:14">
      <c r="A5937" s="166"/>
      <c r="H5937" s="1"/>
      <c r="N5937" s="166"/>
    </row>
    <row r="5938" spans="1:14">
      <c r="A5938" s="166"/>
      <c r="H5938" s="1"/>
      <c r="N5938" s="166"/>
    </row>
    <row r="5939" spans="1:14">
      <c r="A5939" s="166"/>
      <c r="H5939" s="1"/>
      <c r="N5939" s="166"/>
    </row>
    <row r="5940" spans="1:14">
      <c r="A5940" s="166"/>
      <c r="H5940" s="1"/>
      <c r="N5940" s="166"/>
    </row>
    <row r="5941" spans="1:14">
      <c r="A5941" s="166"/>
      <c r="H5941" s="1"/>
      <c r="N5941" s="166"/>
    </row>
    <row r="5942" spans="1:14">
      <c r="A5942" s="166"/>
      <c r="H5942" s="1"/>
      <c r="N5942" s="166"/>
    </row>
    <row r="5943" spans="1:14">
      <c r="A5943" s="166"/>
      <c r="H5943" s="1"/>
      <c r="N5943" s="166"/>
    </row>
    <row r="5944" spans="1:14">
      <c r="A5944" s="166"/>
      <c r="H5944" s="1"/>
      <c r="N5944" s="166"/>
    </row>
    <row r="5945" spans="1:14">
      <c r="A5945" s="166"/>
      <c r="H5945" s="1"/>
      <c r="N5945" s="166"/>
    </row>
    <row r="5946" spans="1:14">
      <c r="A5946" s="166"/>
      <c r="H5946" s="1"/>
      <c r="N5946" s="166"/>
    </row>
    <row r="5947" spans="1:14">
      <c r="A5947" s="166"/>
      <c r="H5947" s="1"/>
      <c r="N5947" s="166"/>
    </row>
    <row r="5948" spans="1:14">
      <c r="A5948" s="166"/>
      <c r="H5948" s="1"/>
      <c r="N5948" s="166"/>
    </row>
    <row r="5949" spans="1:14">
      <c r="A5949" s="166"/>
      <c r="H5949" s="1"/>
      <c r="N5949" s="166"/>
    </row>
    <row r="5950" spans="1:14">
      <c r="A5950" s="166"/>
      <c r="H5950" s="1"/>
      <c r="N5950" s="166"/>
    </row>
    <row r="5951" spans="1:14">
      <c r="A5951" s="166"/>
      <c r="H5951" s="1"/>
      <c r="N5951" s="166"/>
    </row>
    <row r="5952" spans="1:14">
      <c r="A5952" s="166"/>
      <c r="H5952" s="1"/>
      <c r="N5952" s="166"/>
    </row>
    <row r="5953" spans="1:14">
      <c r="A5953" s="166"/>
      <c r="H5953" s="1"/>
      <c r="N5953" s="166"/>
    </row>
    <row r="5954" spans="1:14">
      <c r="A5954" s="166"/>
      <c r="H5954" s="1"/>
      <c r="N5954" s="166"/>
    </row>
    <row r="5955" spans="1:14">
      <c r="A5955" s="166"/>
      <c r="H5955" s="1"/>
      <c r="N5955" s="166"/>
    </row>
    <row r="5956" spans="1:14">
      <c r="A5956" s="166"/>
      <c r="H5956" s="1"/>
      <c r="N5956" s="166"/>
    </row>
    <row r="5957" spans="1:14">
      <c r="A5957" s="166"/>
      <c r="H5957" s="1"/>
      <c r="N5957" s="166"/>
    </row>
    <row r="5958" spans="1:14">
      <c r="A5958" s="166"/>
      <c r="H5958" s="1"/>
      <c r="N5958" s="166"/>
    </row>
    <row r="5959" spans="1:14">
      <c r="A5959" s="166"/>
      <c r="H5959" s="1"/>
      <c r="N5959" s="166"/>
    </row>
    <row r="5960" spans="1:14">
      <c r="A5960" s="166"/>
      <c r="H5960" s="1"/>
      <c r="N5960" s="166"/>
    </row>
    <row r="5961" spans="1:14">
      <c r="A5961" s="166"/>
      <c r="H5961" s="1"/>
      <c r="N5961" s="166"/>
    </row>
    <row r="5962" spans="1:14">
      <c r="A5962" s="166"/>
      <c r="H5962" s="1"/>
      <c r="N5962" s="166"/>
    </row>
    <row r="5963" spans="1:14">
      <c r="A5963" s="166"/>
      <c r="H5963" s="1"/>
      <c r="N5963" s="166"/>
    </row>
    <row r="5964" spans="1:14">
      <c r="A5964" s="166"/>
      <c r="H5964" s="1"/>
      <c r="N5964" s="166"/>
    </row>
    <row r="5965" spans="1:14">
      <c r="A5965" s="166"/>
      <c r="H5965" s="1"/>
      <c r="N5965" s="166"/>
    </row>
    <row r="5966" spans="1:14">
      <c r="A5966" s="166"/>
      <c r="H5966" s="1"/>
      <c r="N5966" s="166"/>
    </row>
    <row r="5967" spans="1:14">
      <c r="A5967" s="166"/>
      <c r="H5967" s="1"/>
      <c r="N5967" s="166"/>
    </row>
    <row r="5968" spans="1:14">
      <c r="A5968" s="166"/>
      <c r="H5968" s="1"/>
      <c r="N5968" s="166"/>
    </row>
    <row r="5969" spans="1:14">
      <c r="A5969" s="166"/>
      <c r="H5969" s="1"/>
      <c r="N5969" s="166"/>
    </row>
    <row r="5970" spans="1:14">
      <c r="A5970" s="166"/>
      <c r="H5970" s="1"/>
      <c r="N5970" s="166"/>
    </row>
    <row r="5971" spans="1:14">
      <c r="A5971" s="166"/>
      <c r="H5971" s="1"/>
      <c r="N5971" s="166"/>
    </row>
    <row r="5972" spans="1:14">
      <c r="A5972" s="166"/>
      <c r="H5972" s="1"/>
      <c r="N5972" s="166"/>
    </row>
    <row r="5973" spans="1:14">
      <c r="A5973" s="166"/>
      <c r="H5973" s="1"/>
      <c r="N5973" s="166"/>
    </row>
    <row r="5974" spans="1:14">
      <c r="A5974" s="166"/>
      <c r="H5974" s="1"/>
      <c r="N5974" s="166"/>
    </row>
    <row r="5975" spans="1:14">
      <c r="A5975" s="166"/>
      <c r="H5975" s="1"/>
      <c r="N5975" s="166"/>
    </row>
    <row r="5976" spans="1:14">
      <c r="A5976" s="166"/>
      <c r="H5976" s="1"/>
      <c r="N5976" s="166"/>
    </row>
    <row r="5977" spans="1:14">
      <c r="A5977" s="166"/>
      <c r="H5977" s="1"/>
      <c r="N5977" s="166"/>
    </row>
    <row r="5978" spans="1:14">
      <c r="A5978" s="166"/>
      <c r="H5978" s="1"/>
      <c r="N5978" s="166"/>
    </row>
    <row r="5979" spans="1:14">
      <c r="A5979" s="166"/>
      <c r="H5979" s="1"/>
      <c r="N5979" s="166"/>
    </row>
    <row r="5980" spans="1:14">
      <c r="A5980" s="166"/>
      <c r="H5980" s="1"/>
      <c r="N5980" s="166"/>
    </row>
    <row r="5981" spans="1:14">
      <c r="A5981" s="166"/>
      <c r="H5981" s="1"/>
      <c r="N5981" s="166"/>
    </row>
    <row r="5982" spans="1:14">
      <c r="A5982" s="166"/>
      <c r="H5982" s="1"/>
      <c r="N5982" s="166"/>
    </row>
    <row r="5983" spans="1:14">
      <c r="A5983" s="166"/>
      <c r="H5983" s="1"/>
      <c r="N5983" s="166"/>
    </row>
    <row r="5984" spans="1:14">
      <c r="A5984" s="166"/>
      <c r="H5984" s="1"/>
      <c r="N5984" s="166"/>
    </row>
    <row r="5985" spans="1:14">
      <c r="A5985" s="166"/>
      <c r="H5985" s="1"/>
      <c r="N5985" s="166"/>
    </row>
    <row r="5986" spans="1:14">
      <c r="A5986" s="166"/>
      <c r="H5986" s="1"/>
      <c r="N5986" s="166"/>
    </row>
    <row r="5987" spans="1:14">
      <c r="A5987" s="166"/>
      <c r="H5987" s="1"/>
      <c r="N5987" s="166"/>
    </row>
    <row r="5988" spans="1:14">
      <c r="A5988" s="166"/>
      <c r="H5988" s="1"/>
      <c r="N5988" s="166"/>
    </row>
    <row r="5989" spans="1:14">
      <c r="A5989" s="166"/>
      <c r="H5989" s="1"/>
      <c r="N5989" s="166"/>
    </row>
    <row r="5990" spans="1:14">
      <c r="A5990" s="166"/>
      <c r="H5990" s="1"/>
      <c r="N5990" s="166"/>
    </row>
    <row r="5991" spans="1:14">
      <c r="A5991" s="166"/>
      <c r="H5991" s="1"/>
      <c r="N5991" s="166"/>
    </row>
    <row r="5992" spans="1:14">
      <c r="A5992" s="166"/>
      <c r="H5992" s="1"/>
      <c r="N5992" s="166"/>
    </row>
    <row r="5993" spans="1:14">
      <c r="A5993" s="166"/>
      <c r="H5993" s="1"/>
      <c r="N5993" s="166"/>
    </row>
    <row r="5994" spans="1:14">
      <c r="A5994" s="166"/>
      <c r="H5994" s="1"/>
      <c r="N5994" s="166"/>
    </row>
    <row r="5995" spans="1:14">
      <c r="A5995" s="166"/>
      <c r="H5995" s="1"/>
      <c r="N5995" s="166"/>
    </row>
    <row r="5996" spans="1:14">
      <c r="A5996" s="166"/>
      <c r="H5996" s="1"/>
      <c r="N5996" s="166"/>
    </row>
    <row r="5997" spans="1:14">
      <c r="A5997" s="166"/>
      <c r="H5997" s="1"/>
      <c r="N5997" s="166"/>
    </row>
    <row r="5998" spans="1:14">
      <c r="A5998" s="166"/>
      <c r="H5998" s="1"/>
      <c r="N5998" s="166"/>
    </row>
    <row r="5999" spans="1:14">
      <c r="A5999" s="166"/>
      <c r="H5999" s="1"/>
      <c r="N5999" s="166"/>
    </row>
    <row r="6000" spans="1:14">
      <c r="A6000" s="166"/>
      <c r="H6000" s="1"/>
      <c r="N6000" s="166"/>
    </row>
    <row r="6001" spans="1:14">
      <c r="A6001" s="166"/>
      <c r="H6001" s="1"/>
      <c r="N6001" s="166"/>
    </row>
    <row r="6002" spans="1:14">
      <c r="A6002" s="166"/>
      <c r="H6002" s="1"/>
      <c r="N6002" s="166"/>
    </row>
    <row r="6003" spans="1:14">
      <c r="A6003" s="166"/>
      <c r="H6003" s="1"/>
      <c r="N6003" s="166"/>
    </row>
    <row r="6004" spans="1:14">
      <c r="A6004" s="166"/>
      <c r="H6004" s="1"/>
      <c r="N6004" s="166"/>
    </row>
    <row r="6005" spans="1:14">
      <c r="A6005" s="166"/>
      <c r="H6005" s="1"/>
      <c r="N6005" s="166"/>
    </row>
    <row r="6006" spans="1:14">
      <c r="A6006" s="166"/>
      <c r="H6006" s="1"/>
      <c r="N6006" s="166"/>
    </row>
    <row r="6007" spans="1:14">
      <c r="A6007" s="166"/>
      <c r="H6007" s="1"/>
      <c r="N6007" s="166"/>
    </row>
    <row r="6008" spans="1:14">
      <c r="A6008" s="166"/>
      <c r="H6008" s="1"/>
      <c r="N6008" s="166"/>
    </row>
    <row r="6009" spans="1:14">
      <c r="A6009" s="166"/>
      <c r="H6009" s="1"/>
      <c r="N6009" s="166"/>
    </row>
    <row r="6010" spans="1:14">
      <c r="A6010" s="166"/>
      <c r="H6010" s="1"/>
      <c r="N6010" s="166"/>
    </row>
    <row r="6011" spans="1:14">
      <c r="A6011" s="166"/>
      <c r="H6011" s="1"/>
      <c r="N6011" s="166"/>
    </row>
    <row r="6012" spans="1:14">
      <c r="A6012" s="166"/>
      <c r="H6012" s="1"/>
      <c r="N6012" s="166"/>
    </row>
    <row r="6013" spans="1:14">
      <c r="A6013" s="166"/>
      <c r="H6013" s="1"/>
      <c r="N6013" s="166"/>
    </row>
    <row r="6014" spans="1:14">
      <c r="A6014" s="166"/>
      <c r="H6014" s="1"/>
      <c r="N6014" s="166"/>
    </row>
    <row r="6015" spans="1:14">
      <c r="A6015" s="166"/>
      <c r="H6015" s="1"/>
      <c r="N6015" s="166"/>
    </row>
    <row r="6016" spans="1:14">
      <c r="A6016" s="166"/>
      <c r="H6016" s="1"/>
      <c r="N6016" s="166"/>
    </row>
    <row r="6017" spans="1:14">
      <c r="A6017" s="166"/>
      <c r="H6017" s="1"/>
      <c r="N6017" s="166"/>
    </row>
    <row r="6018" spans="1:14">
      <c r="A6018" s="166"/>
      <c r="H6018" s="1"/>
      <c r="N6018" s="166"/>
    </row>
    <row r="6019" spans="1:14">
      <c r="A6019" s="166"/>
      <c r="H6019" s="1"/>
      <c r="N6019" s="166"/>
    </row>
    <row r="6020" spans="1:14">
      <c r="A6020" s="166"/>
      <c r="H6020" s="1"/>
      <c r="N6020" s="166"/>
    </row>
    <row r="6021" spans="1:14">
      <c r="A6021" s="166"/>
      <c r="H6021" s="1"/>
      <c r="N6021" s="166"/>
    </row>
    <row r="6022" spans="1:14">
      <c r="A6022" s="166"/>
      <c r="H6022" s="1"/>
      <c r="N6022" s="166"/>
    </row>
    <row r="6023" spans="1:14">
      <c r="A6023" s="166"/>
      <c r="H6023" s="1"/>
      <c r="N6023" s="166"/>
    </row>
    <row r="6024" spans="1:14">
      <c r="A6024" s="166"/>
      <c r="H6024" s="1"/>
      <c r="N6024" s="166"/>
    </row>
    <row r="6025" spans="1:14">
      <c r="A6025" s="166"/>
      <c r="H6025" s="1"/>
      <c r="N6025" s="166"/>
    </row>
    <row r="6026" spans="1:14">
      <c r="A6026" s="166"/>
      <c r="H6026" s="1"/>
      <c r="N6026" s="166"/>
    </row>
    <row r="6027" spans="1:14">
      <c r="A6027" s="166"/>
      <c r="H6027" s="1"/>
      <c r="N6027" s="166"/>
    </row>
    <row r="6028" spans="1:14">
      <c r="A6028" s="166"/>
      <c r="H6028" s="1"/>
      <c r="N6028" s="166"/>
    </row>
    <row r="6029" spans="1:14">
      <c r="A6029" s="166"/>
      <c r="H6029" s="1"/>
      <c r="N6029" s="166"/>
    </row>
    <row r="6030" spans="1:14">
      <c r="A6030" s="166"/>
      <c r="H6030" s="1"/>
      <c r="N6030" s="166"/>
    </row>
    <row r="6031" spans="1:14">
      <c r="A6031" s="166"/>
      <c r="H6031" s="1"/>
      <c r="N6031" s="166"/>
    </row>
    <row r="6032" spans="1:14">
      <c r="A6032" s="166"/>
      <c r="H6032" s="1"/>
      <c r="N6032" s="166"/>
    </row>
    <row r="6033" spans="1:14">
      <c r="A6033" s="166"/>
      <c r="H6033" s="1"/>
      <c r="N6033" s="166"/>
    </row>
    <row r="6034" spans="1:14">
      <c r="A6034" s="166"/>
      <c r="H6034" s="1"/>
      <c r="N6034" s="166"/>
    </row>
    <row r="6035" spans="1:14">
      <c r="A6035" s="166"/>
      <c r="H6035" s="1"/>
      <c r="N6035" s="166"/>
    </row>
    <row r="6036" spans="1:14">
      <c r="A6036" s="166"/>
      <c r="H6036" s="1"/>
      <c r="N6036" s="166"/>
    </row>
    <row r="6037" spans="1:14">
      <c r="A6037" s="166"/>
      <c r="H6037" s="1"/>
      <c r="N6037" s="166"/>
    </row>
    <row r="6038" spans="1:14">
      <c r="A6038" s="166"/>
      <c r="H6038" s="1"/>
      <c r="N6038" s="166"/>
    </row>
    <row r="6039" spans="1:14">
      <c r="A6039" s="166"/>
      <c r="H6039" s="1"/>
      <c r="N6039" s="166"/>
    </row>
    <row r="6040" spans="1:14">
      <c r="A6040" s="166"/>
      <c r="H6040" s="1"/>
      <c r="N6040" s="166"/>
    </row>
    <row r="6041" spans="1:14">
      <c r="A6041" s="166"/>
      <c r="H6041" s="1"/>
      <c r="N6041" s="166"/>
    </row>
    <row r="6042" spans="1:14">
      <c r="A6042" s="166"/>
      <c r="H6042" s="1"/>
      <c r="N6042" s="166"/>
    </row>
    <row r="6043" spans="1:14">
      <c r="A6043" s="166"/>
      <c r="H6043" s="1"/>
      <c r="N6043" s="166"/>
    </row>
    <row r="6044" spans="1:14">
      <c r="A6044" s="166"/>
      <c r="H6044" s="1"/>
      <c r="N6044" s="166"/>
    </row>
    <row r="6045" spans="1:14">
      <c r="A6045" s="166"/>
      <c r="H6045" s="1"/>
      <c r="N6045" s="166"/>
    </row>
    <row r="6046" spans="1:14">
      <c r="A6046" s="166"/>
      <c r="H6046" s="1"/>
      <c r="N6046" s="166"/>
    </row>
    <row r="6047" spans="1:14">
      <c r="A6047" s="166"/>
      <c r="H6047" s="1"/>
      <c r="N6047" s="166"/>
    </row>
    <row r="6048" spans="1:14">
      <c r="A6048" s="166"/>
      <c r="H6048" s="1"/>
      <c r="N6048" s="166"/>
    </row>
    <row r="6049" spans="1:14">
      <c r="A6049" s="166"/>
      <c r="H6049" s="1"/>
      <c r="N6049" s="166"/>
    </row>
    <row r="6050" spans="1:14">
      <c r="A6050" s="166"/>
      <c r="H6050" s="1"/>
      <c r="N6050" s="166"/>
    </row>
    <row r="6051" spans="1:14">
      <c r="A6051" s="166"/>
      <c r="H6051" s="1"/>
      <c r="N6051" s="166"/>
    </row>
    <row r="6052" spans="1:14">
      <c r="A6052" s="166"/>
      <c r="H6052" s="1"/>
      <c r="N6052" s="166"/>
    </row>
    <row r="6053" spans="1:14">
      <c r="A6053" s="166"/>
      <c r="H6053" s="1"/>
      <c r="N6053" s="166"/>
    </row>
    <row r="6054" spans="1:14">
      <c r="A6054" s="166"/>
      <c r="H6054" s="1"/>
      <c r="N6054" s="166"/>
    </row>
    <row r="6055" spans="1:14">
      <c r="A6055" s="166"/>
      <c r="H6055" s="1"/>
      <c r="N6055" s="166"/>
    </row>
    <row r="6056" spans="1:14">
      <c r="A6056" s="166"/>
      <c r="H6056" s="1"/>
      <c r="N6056" s="166"/>
    </row>
    <row r="6057" spans="1:14">
      <c r="A6057" s="166"/>
      <c r="H6057" s="1"/>
      <c r="N6057" s="166"/>
    </row>
    <row r="6058" spans="1:14">
      <c r="A6058" s="166"/>
      <c r="H6058" s="1"/>
      <c r="N6058" s="166"/>
    </row>
    <row r="6059" spans="1:14">
      <c r="A6059" s="166"/>
      <c r="H6059" s="1"/>
      <c r="N6059" s="166"/>
    </row>
    <row r="6060" spans="1:14">
      <c r="A6060" s="166"/>
      <c r="H6060" s="1"/>
      <c r="N6060" s="166"/>
    </row>
    <row r="6061" spans="1:14">
      <c r="A6061" s="166"/>
      <c r="H6061" s="1"/>
      <c r="N6061" s="166"/>
    </row>
    <row r="6062" spans="1:14">
      <c r="A6062" s="166"/>
      <c r="H6062" s="1"/>
      <c r="N6062" s="166"/>
    </row>
    <row r="6063" spans="1:14">
      <c r="A6063" s="166"/>
      <c r="H6063" s="1"/>
      <c r="N6063" s="166"/>
    </row>
    <row r="6064" spans="1:14">
      <c r="A6064" s="166"/>
      <c r="H6064" s="1"/>
      <c r="N6064" s="166"/>
    </row>
    <row r="6065" spans="1:14">
      <c r="A6065" s="166"/>
      <c r="H6065" s="1"/>
      <c r="N6065" s="166"/>
    </row>
    <row r="6066" spans="1:14">
      <c r="A6066" s="166"/>
      <c r="H6066" s="1"/>
      <c r="N6066" s="166"/>
    </row>
    <row r="6067" spans="1:14">
      <c r="A6067" s="166"/>
      <c r="H6067" s="1"/>
      <c r="N6067" s="166"/>
    </row>
    <row r="6068" spans="1:14">
      <c r="A6068" s="166"/>
      <c r="H6068" s="1"/>
      <c r="N6068" s="166"/>
    </row>
    <row r="6069" spans="1:14">
      <c r="A6069" s="166"/>
      <c r="H6069" s="1"/>
      <c r="N6069" s="166"/>
    </row>
    <row r="6070" spans="1:14">
      <c r="A6070" s="166"/>
      <c r="H6070" s="1"/>
      <c r="N6070" s="166"/>
    </row>
    <row r="6071" spans="1:14">
      <c r="A6071" s="166"/>
      <c r="H6071" s="1"/>
      <c r="N6071" s="166"/>
    </row>
    <row r="6072" spans="1:14">
      <c r="A6072" s="166"/>
      <c r="H6072" s="1"/>
      <c r="N6072" s="166"/>
    </row>
    <row r="6073" spans="1:14">
      <c r="A6073" s="166"/>
      <c r="H6073" s="1"/>
      <c r="N6073" s="166"/>
    </row>
    <row r="6074" spans="1:14">
      <c r="A6074" s="166"/>
      <c r="H6074" s="1"/>
      <c r="N6074" s="166"/>
    </row>
    <row r="6075" spans="1:14">
      <c r="A6075" s="166"/>
      <c r="H6075" s="1"/>
      <c r="N6075" s="166"/>
    </row>
    <row r="6076" spans="1:14">
      <c r="A6076" s="166"/>
      <c r="H6076" s="1"/>
      <c r="N6076" s="166"/>
    </row>
    <row r="6077" spans="1:14">
      <c r="A6077" s="166"/>
      <c r="H6077" s="1"/>
      <c r="N6077" s="166"/>
    </row>
    <row r="6078" spans="1:14">
      <c r="A6078" s="166"/>
      <c r="H6078" s="1"/>
      <c r="N6078" s="166"/>
    </row>
    <row r="6079" spans="1:14">
      <c r="A6079" s="166"/>
      <c r="H6079" s="1"/>
      <c r="N6079" s="166"/>
    </row>
    <row r="6080" spans="1:14">
      <c r="A6080" s="166"/>
      <c r="H6080" s="1"/>
      <c r="N6080" s="166"/>
    </row>
    <row r="6081" spans="1:14">
      <c r="A6081" s="166"/>
      <c r="H6081" s="1"/>
      <c r="N6081" s="166"/>
    </row>
    <row r="6082" spans="1:14">
      <c r="A6082" s="166"/>
      <c r="H6082" s="1"/>
      <c r="N6082" s="166"/>
    </row>
    <row r="6083" spans="1:14">
      <c r="A6083" s="166"/>
      <c r="H6083" s="1"/>
      <c r="N6083" s="166"/>
    </row>
    <row r="6084" spans="1:14">
      <c r="A6084" s="166"/>
      <c r="H6084" s="1"/>
      <c r="N6084" s="166"/>
    </row>
    <row r="6085" spans="1:14">
      <c r="A6085" s="166"/>
      <c r="H6085" s="1"/>
      <c r="N6085" s="166"/>
    </row>
    <row r="6086" spans="1:14">
      <c r="A6086" s="166"/>
      <c r="H6086" s="1"/>
      <c r="N6086" s="166"/>
    </row>
    <row r="6087" spans="1:14">
      <c r="A6087" s="166"/>
      <c r="H6087" s="1"/>
      <c r="N6087" s="166"/>
    </row>
    <row r="6088" spans="1:14">
      <c r="A6088" s="166"/>
      <c r="H6088" s="1"/>
      <c r="N6088" s="166"/>
    </row>
    <row r="6089" spans="1:14">
      <c r="A6089" s="166"/>
      <c r="H6089" s="1"/>
      <c r="N6089" s="166"/>
    </row>
    <row r="6090" spans="1:14">
      <c r="A6090" s="166"/>
      <c r="H6090" s="1"/>
      <c r="N6090" s="166"/>
    </row>
    <row r="6091" spans="1:14">
      <c r="A6091" s="166"/>
      <c r="H6091" s="1"/>
      <c r="N6091" s="166"/>
    </row>
    <row r="6092" spans="1:14">
      <c r="A6092" s="166"/>
      <c r="H6092" s="1"/>
      <c r="N6092" s="166"/>
    </row>
    <row r="6093" spans="1:14">
      <c r="A6093" s="166"/>
      <c r="H6093" s="1"/>
      <c r="N6093" s="166"/>
    </row>
    <row r="6094" spans="1:14">
      <c r="A6094" s="166"/>
      <c r="H6094" s="1"/>
      <c r="N6094" s="166"/>
    </row>
    <row r="6095" spans="1:14">
      <c r="A6095" s="166"/>
      <c r="H6095" s="1"/>
      <c r="N6095" s="166"/>
    </row>
    <row r="6096" spans="1:14">
      <c r="A6096" s="166"/>
      <c r="H6096" s="1"/>
      <c r="N6096" s="166"/>
    </row>
    <row r="6097" spans="1:14">
      <c r="A6097" s="166"/>
      <c r="H6097" s="1"/>
      <c r="N6097" s="166"/>
    </row>
    <row r="6098" spans="1:14">
      <c r="A6098" s="166"/>
      <c r="H6098" s="1"/>
      <c r="N6098" s="166"/>
    </row>
    <row r="6099" spans="1:14">
      <c r="A6099" s="166"/>
      <c r="H6099" s="1"/>
      <c r="N6099" s="166"/>
    </row>
    <row r="6100" spans="1:14">
      <c r="A6100" s="166"/>
      <c r="H6100" s="1"/>
      <c r="N6100" s="166"/>
    </row>
    <row r="6101" spans="1:14">
      <c r="A6101" s="166"/>
      <c r="H6101" s="1"/>
      <c r="N6101" s="166"/>
    </row>
    <row r="6102" spans="1:14">
      <c r="A6102" s="166"/>
      <c r="H6102" s="1"/>
      <c r="N6102" s="166"/>
    </row>
    <row r="6103" spans="1:14">
      <c r="A6103" s="166"/>
      <c r="H6103" s="1"/>
      <c r="N6103" s="166"/>
    </row>
    <row r="6104" spans="1:14">
      <c r="A6104" s="166"/>
      <c r="H6104" s="1"/>
      <c r="N6104" s="166"/>
    </row>
    <row r="6105" spans="1:14">
      <c r="A6105" s="166"/>
      <c r="H6105" s="1"/>
      <c r="N6105" s="166"/>
    </row>
    <row r="6106" spans="1:14">
      <c r="A6106" s="166"/>
      <c r="H6106" s="1"/>
      <c r="N6106" s="166"/>
    </row>
    <row r="6107" spans="1:14">
      <c r="A6107" s="166"/>
      <c r="H6107" s="1"/>
      <c r="N6107" s="166"/>
    </row>
    <row r="6108" spans="1:14">
      <c r="A6108" s="166"/>
      <c r="H6108" s="1"/>
      <c r="N6108" s="166"/>
    </row>
    <row r="6109" spans="1:14">
      <c r="A6109" s="166"/>
      <c r="H6109" s="1"/>
      <c r="N6109" s="166"/>
    </row>
    <row r="6110" spans="1:14">
      <c r="A6110" s="166"/>
      <c r="H6110" s="1"/>
      <c r="N6110" s="166"/>
    </row>
    <row r="6111" spans="1:14">
      <c r="A6111" s="166"/>
      <c r="H6111" s="1"/>
      <c r="N6111" s="166"/>
    </row>
    <row r="6112" spans="1:14">
      <c r="A6112" s="166"/>
      <c r="H6112" s="1"/>
      <c r="N6112" s="166"/>
    </row>
    <row r="6113" spans="1:14">
      <c r="A6113" s="166"/>
      <c r="H6113" s="1"/>
      <c r="N6113" s="166"/>
    </row>
    <row r="6114" spans="1:14">
      <c r="A6114" s="166"/>
      <c r="H6114" s="1"/>
      <c r="N6114" s="166"/>
    </row>
    <row r="6115" spans="1:14">
      <c r="A6115" s="166"/>
      <c r="H6115" s="1"/>
      <c r="N6115" s="166"/>
    </row>
    <row r="6116" spans="1:14">
      <c r="A6116" s="166"/>
      <c r="H6116" s="1"/>
      <c r="N6116" s="166"/>
    </row>
    <row r="6117" spans="1:14">
      <c r="A6117" s="166"/>
      <c r="H6117" s="1"/>
      <c r="N6117" s="166"/>
    </row>
    <row r="6118" spans="1:14">
      <c r="A6118" s="166"/>
      <c r="H6118" s="1"/>
      <c r="N6118" s="166"/>
    </row>
    <row r="6119" spans="1:14">
      <c r="A6119" s="166"/>
      <c r="H6119" s="1"/>
      <c r="N6119" s="166"/>
    </row>
    <row r="6120" spans="1:14">
      <c r="A6120" s="166"/>
      <c r="H6120" s="1"/>
      <c r="N6120" s="166"/>
    </row>
    <row r="6121" spans="1:14">
      <c r="A6121" s="166"/>
      <c r="H6121" s="1"/>
      <c r="N6121" s="166"/>
    </row>
    <row r="6122" spans="1:14">
      <c r="A6122" s="166"/>
      <c r="H6122" s="1"/>
      <c r="N6122" s="166"/>
    </row>
    <row r="6123" spans="1:14">
      <c r="A6123" s="166"/>
      <c r="H6123" s="1"/>
      <c r="N6123" s="166"/>
    </row>
    <row r="6124" spans="1:14">
      <c r="A6124" s="166"/>
      <c r="H6124" s="1"/>
      <c r="N6124" s="166"/>
    </row>
    <row r="6125" spans="1:14">
      <c r="A6125" s="166"/>
      <c r="H6125" s="1"/>
      <c r="N6125" s="166"/>
    </row>
    <row r="6126" spans="1:14">
      <c r="A6126" s="166"/>
      <c r="H6126" s="1"/>
      <c r="N6126" s="166"/>
    </row>
    <row r="6127" spans="1:14">
      <c r="A6127" s="166"/>
      <c r="H6127" s="1"/>
      <c r="N6127" s="166"/>
    </row>
    <row r="6128" spans="1:14">
      <c r="A6128" s="166"/>
      <c r="H6128" s="1"/>
      <c r="N6128" s="166"/>
    </row>
    <row r="6129" spans="1:14">
      <c r="A6129" s="166"/>
      <c r="H6129" s="1"/>
      <c r="N6129" s="166"/>
    </row>
    <row r="6130" spans="1:14">
      <c r="A6130" s="166"/>
      <c r="H6130" s="1"/>
      <c r="N6130" s="166"/>
    </row>
    <row r="6131" spans="1:14">
      <c r="A6131" s="166"/>
      <c r="H6131" s="1"/>
      <c r="N6131" s="166"/>
    </row>
    <row r="6132" spans="1:14">
      <c r="A6132" s="166"/>
      <c r="H6132" s="1"/>
      <c r="N6132" s="166"/>
    </row>
    <row r="6133" spans="1:14">
      <c r="A6133" s="166"/>
      <c r="H6133" s="1"/>
      <c r="N6133" s="166"/>
    </row>
    <row r="6134" spans="1:14">
      <c r="A6134" s="166"/>
      <c r="H6134" s="1"/>
      <c r="N6134" s="166"/>
    </row>
    <row r="6135" spans="1:14">
      <c r="A6135" s="166"/>
      <c r="H6135" s="1"/>
      <c r="N6135" s="166"/>
    </row>
    <row r="6136" spans="1:14">
      <c r="A6136" s="166"/>
      <c r="H6136" s="1"/>
      <c r="N6136" s="166"/>
    </row>
    <row r="6137" spans="1:14">
      <c r="A6137" s="166"/>
      <c r="H6137" s="1"/>
      <c r="N6137" s="166"/>
    </row>
    <row r="6138" spans="1:14">
      <c r="A6138" s="166"/>
      <c r="H6138" s="1"/>
      <c r="N6138" s="166"/>
    </row>
    <row r="6139" spans="1:14">
      <c r="A6139" s="166"/>
      <c r="H6139" s="1"/>
      <c r="N6139" s="166"/>
    </row>
    <row r="6140" spans="1:14">
      <c r="A6140" s="166"/>
      <c r="H6140" s="1"/>
      <c r="N6140" s="166"/>
    </row>
    <row r="6141" spans="1:14">
      <c r="A6141" s="166"/>
      <c r="H6141" s="1"/>
      <c r="N6141" s="166"/>
    </row>
    <row r="6142" spans="1:14">
      <c r="A6142" s="166"/>
      <c r="H6142" s="1"/>
      <c r="N6142" s="166"/>
    </row>
    <row r="6143" spans="1:14">
      <c r="A6143" s="166"/>
      <c r="H6143" s="1"/>
      <c r="N6143" s="166"/>
    </row>
    <row r="6144" spans="1:14">
      <c r="A6144" s="166"/>
      <c r="H6144" s="1"/>
      <c r="N6144" s="166"/>
    </row>
    <row r="6145" spans="1:14">
      <c r="A6145" s="166"/>
      <c r="H6145" s="1"/>
      <c r="N6145" s="166"/>
    </row>
    <row r="6146" spans="1:14">
      <c r="A6146" s="166"/>
      <c r="H6146" s="1"/>
      <c r="N6146" s="166"/>
    </row>
    <row r="6147" spans="1:14">
      <c r="A6147" s="166"/>
      <c r="H6147" s="1"/>
      <c r="N6147" s="166"/>
    </row>
    <row r="6148" spans="1:14">
      <c r="A6148" s="166"/>
      <c r="H6148" s="1"/>
      <c r="N6148" s="166"/>
    </row>
    <row r="6149" spans="1:14">
      <c r="A6149" s="166"/>
      <c r="H6149" s="1"/>
      <c r="N6149" s="166"/>
    </row>
    <row r="6150" spans="1:14">
      <c r="A6150" s="166"/>
      <c r="H6150" s="1"/>
      <c r="N6150" s="166"/>
    </row>
    <row r="6151" spans="1:14">
      <c r="A6151" s="166"/>
      <c r="H6151" s="1"/>
      <c r="N6151" s="166"/>
    </row>
    <row r="6152" spans="1:14">
      <c r="A6152" s="166"/>
      <c r="H6152" s="1"/>
      <c r="N6152" s="166"/>
    </row>
    <row r="6153" spans="1:14">
      <c r="A6153" s="166"/>
      <c r="H6153" s="1"/>
      <c r="N6153" s="166"/>
    </row>
    <row r="6154" spans="1:14">
      <c r="A6154" s="166"/>
      <c r="H6154" s="1"/>
      <c r="N6154" s="166"/>
    </row>
    <row r="6155" spans="1:14">
      <c r="A6155" s="166"/>
      <c r="H6155" s="1"/>
      <c r="N6155" s="166"/>
    </row>
    <row r="6156" spans="1:14">
      <c r="A6156" s="166"/>
      <c r="H6156" s="1"/>
      <c r="N6156" s="166"/>
    </row>
    <row r="6157" spans="1:14">
      <c r="A6157" s="166"/>
      <c r="H6157" s="1"/>
      <c r="N6157" s="166"/>
    </row>
    <row r="6158" spans="1:14">
      <c r="A6158" s="166"/>
      <c r="H6158" s="1"/>
      <c r="N6158" s="166"/>
    </row>
    <row r="6159" spans="1:14">
      <c r="A6159" s="166"/>
      <c r="H6159" s="1"/>
      <c r="N6159" s="166"/>
    </row>
    <row r="6160" spans="1:14">
      <c r="A6160" s="166"/>
      <c r="H6160" s="1"/>
      <c r="N6160" s="166"/>
    </row>
    <row r="6161" spans="1:14">
      <c r="A6161" s="166"/>
      <c r="H6161" s="1"/>
      <c r="N6161" s="166"/>
    </row>
    <row r="6162" spans="1:14">
      <c r="A6162" s="166"/>
      <c r="H6162" s="1"/>
      <c r="N6162" s="166"/>
    </row>
    <row r="6163" spans="1:14">
      <c r="A6163" s="166"/>
      <c r="H6163" s="1"/>
      <c r="N6163" s="166"/>
    </row>
    <row r="6164" spans="1:14">
      <c r="A6164" s="166"/>
      <c r="H6164" s="1"/>
      <c r="N6164" s="166"/>
    </row>
    <row r="6165" spans="1:14">
      <c r="A6165" s="166"/>
      <c r="H6165" s="1"/>
      <c r="N6165" s="166"/>
    </row>
    <row r="6166" spans="1:14">
      <c r="A6166" s="166"/>
      <c r="H6166" s="1"/>
      <c r="N6166" s="166"/>
    </row>
    <row r="6167" spans="1:14">
      <c r="A6167" s="166"/>
      <c r="H6167" s="1"/>
      <c r="N6167" s="166"/>
    </row>
    <row r="6168" spans="1:14">
      <c r="A6168" s="166"/>
      <c r="H6168" s="1"/>
      <c r="N6168" s="166"/>
    </row>
    <row r="6169" spans="1:14">
      <c r="A6169" s="166"/>
      <c r="H6169" s="1"/>
      <c r="N6169" s="166"/>
    </row>
    <row r="6170" spans="1:14">
      <c r="A6170" s="166"/>
      <c r="H6170" s="1"/>
      <c r="N6170" s="166"/>
    </row>
    <row r="6171" spans="1:14">
      <c r="A6171" s="166"/>
      <c r="H6171" s="1"/>
      <c r="N6171" s="166"/>
    </row>
    <row r="6172" spans="1:14">
      <c r="A6172" s="166"/>
      <c r="H6172" s="1"/>
      <c r="N6172" s="166"/>
    </row>
    <row r="6173" spans="1:14">
      <c r="A6173" s="166"/>
      <c r="H6173" s="1"/>
      <c r="N6173" s="166"/>
    </row>
    <row r="6174" spans="1:14">
      <c r="A6174" s="166"/>
      <c r="H6174" s="1"/>
      <c r="N6174" s="166"/>
    </row>
    <row r="6175" spans="1:14">
      <c r="A6175" s="166"/>
      <c r="H6175" s="1"/>
      <c r="N6175" s="166"/>
    </row>
    <row r="6176" spans="1:14">
      <c r="A6176" s="166"/>
      <c r="H6176" s="1"/>
      <c r="N6176" s="166"/>
    </row>
    <row r="6177" spans="1:14">
      <c r="A6177" s="166"/>
      <c r="H6177" s="1"/>
      <c r="N6177" s="166"/>
    </row>
    <row r="6178" spans="1:14">
      <c r="A6178" s="166"/>
      <c r="H6178" s="1"/>
      <c r="N6178" s="166"/>
    </row>
    <row r="6179" spans="1:14">
      <c r="A6179" s="166"/>
      <c r="H6179" s="1"/>
      <c r="N6179" s="166"/>
    </row>
    <row r="6180" spans="1:14">
      <c r="A6180" s="166"/>
      <c r="H6180" s="1"/>
      <c r="N6180" s="166"/>
    </row>
    <row r="6181" spans="1:14">
      <c r="A6181" s="166"/>
      <c r="H6181" s="1"/>
      <c r="N6181" s="166"/>
    </row>
    <row r="6182" spans="1:14">
      <c r="A6182" s="166"/>
      <c r="H6182" s="1"/>
      <c r="N6182" s="166"/>
    </row>
    <row r="6183" spans="1:14">
      <c r="A6183" s="166"/>
      <c r="H6183" s="1"/>
      <c r="N6183" s="166"/>
    </row>
    <row r="6184" spans="1:14">
      <c r="A6184" s="166"/>
      <c r="H6184" s="1"/>
      <c r="N6184" s="166"/>
    </row>
    <row r="6185" spans="1:14">
      <c r="A6185" s="166"/>
      <c r="H6185" s="1"/>
      <c r="N6185" s="166"/>
    </row>
    <row r="6186" spans="1:14">
      <c r="A6186" s="166"/>
      <c r="H6186" s="1"/>
      <c r="N6186" s="166"/>
    </row>
    <row r="6187" spans="1:14">
      <c r="A6187" s="166"/>
      <c r="H6187" s="1"/>
      <c r="N6187" s="166"/>
    </row>
    <row r="6188" spans="1:14">
      <c r="A6188" s="166"/>
      <c r="H6188" s="1"/>
      <c r="N6188" s="166"/>
    </row>
    <row r="6189" spans="1:14">
      <c r="A6189" s="166"/>
      <c r="H6189" s="1"/>
      <c r="N6189" s="166"/>
    </row>
    <row r="6190" spans="1:14">
      <c r="A6190" s="166"/>
      <c r="H6190" s="1"/>
      <c r="N6190" s="166"/>
    </row>
    <row r="6191" spans="1:14">
      <c r="A6191" s="166"/>
      <c r="H6191" s="1"/>
      <c r="N6191" s="166"/>
    </row>
    <row r="6192" spans="1:14">
      <c r="A6192" s="166"/>
      <c r="H6192" s="1"/>
      <c r="N6192" s="166"/>
    </row>
    <row r="6193" spans="1:14">
      <c r="A6193" s="166"/>
      <c r="H6193" s="1"/>
      <c r="N6193" s="166"/>
    </row>
    <row r="6194" spans="1:14">
      <c r="A6194" s="166"/>
      <c r="H6194" s="1"/>
      <c r="N6194" s="166"/>
    </row>
    <row r="6195" spans="1:14">
      <c r="A6195" s="166"/>
      <c r="H6195" s="1"/>
      <c r="N6195" s="166"/>
    </row>
    <row r="6196" spans="1:14">
      <c r="A6196" s="166"/>
      <c r="H6196" s="1"/>
      <c r="N6196" s="166"/>
    </row>
    <row r="6197" spans="1:14">
      <c r="A6197" s="166"/>
      <c r="H6197" s="1"/>
      <c r="N6197" s="166"/>
    </row>
    <row r="6198" spans="1:14">
      <c r="A6198" s="166"/>
      <c r="H6198" s="1"/>
      <c r="N6198" s="166"/>
    </row>
    <row r="6199" spans="1:14">
      <c r="A6199" s="166"/>
      <c r="H6199" s="1"/>
      <c r="N6199" s="166"/>
    </row>
    <row r="6200" spans="1:14">
      <c r="A6200" s="166"/>
      <c r="H6200" s="1"/>
      <c r="N6200" s="166"/>
    </row>
    <row r="6201" spans="1:14">
      <c r="A6201" s="166"/>
      <c r="H6201" s="1"/>
      <c r="N6201" s="166"/>
    </row>
    <row r="6202" spans="1:14">
      <c r="A6202" s="166"/>
      <c r="H6202" s="1"/>
      <c r="N6202" s="166"/>
    </row>
    <row r="6203" spans="1:14">
      <c r="A6203" s="166"/>
      <c r="H6203" s="1"/>
      <c r="N6203" s="166"/>
    </row>
    <row r="6204" spans="1:14">
      <c r="A6204" s="166"/>
      <c r="H6204" s="1"/>
      <c r="N6204" s="166"/>
    </row>
    <row r="6205" spans="1:14">
      <c r="A6205" s="166"/>
      <c r="H6205" s="1"/>
      <c r="N6205" s="166"/>
    </row>
    <row r="6206" spans="1:14">
      <c r="A6206" s="166"/>
      <c r="H6206" s="1"/>
      <c r="N6206" s="166"/>
    </row>
    <row r="6207" spans="1:14">
      <c r="A6207" s="166"/>
      <c r="H6207" s="1"/>
      <c r="N6207" s="166"/>
    </row>
    <row r="6208" spans="1:14">
      <c r="A6208" s="166"/>
      <c r="H6208" s="1"/>
      <c r="N6208" s="166"/>
    </row>
    <row r="6209" spans="1:14">
      <c r="A6209" s="166"/>
      <c r="H6209" s="1"/>
      <c r="N6209" s="166"/>
    </row>
    <row r="6210" spans="1:14">
      <c r="A6210" s="166"/>
      <c r="H6210" s="1"/>
      <c r="N6210" s="166"/>
    </row>
    <row r="6211" spans="1:14">
      <c r="A6211" s="166"/>
      <c r="H6211" s="1"/>
      <c r="N6211" s="166"/>
    </row>
    <row r="6212" spans="1:14">
      <c r="A6212" s="166"/>
      <c r="H6212" s="1"/>
      <c r="N6212" s="166"/>
    </row>
    <row r="6213" spans="1:14">
      <c r="A6213" s="166"/>
      <c r="H6213" s="1"/>
      <c r="N6213" s="166"/>
    </row>
    <row r="6214" spans="1:14">
      <c r="A6214" s="166"/>
      <c r="H6214" s="1"/>
      <c r="N6214" s="166"/>
    </row>
    <row r="6215" spans="1:14">
      <c r="A6215" s="166"/>
      <c r="H6215" s="1"/>
      <c r="N6215" s="166"/>
    </row>
    <row r="6216" spans="1:14">
      <c r="A6216" s="166"/>
      <c r="H6216" s="1"/>
      <c r="N6216" s="166"/>
    </row>
    <row r="6217" spans="1:14">
      <c r="A6217" s="166"/>
      <c r="H6217" s="1"/>
      <c r="N6217" s="166"/>
    </row>
    <row r="6218" spans="1:14">
      <c r="A6218" s="166"/>
      <c r="H6218" s="1"/>
      <c r="N6218" s="166"/>
    </row>
    <row r="6219" spans="1:14">
      <c r="A6219" s="166"/>
      <c r="H6219" s="1"/>
      <c r="N6219" s="166"/>
    </row>
    <row r="6220" spans="1:14">
      <c r="A6220" s="166"/>
      <c r="H6220" s="1"/>
      <c r="N6220" s="166"/>
    </row>
    <row r="6221" spans="1:14">
      <c r="A6221" s="166"/>
      <c r="H6221" s="1"/>
      <c r="N6221" s="166"/>
    </row>
    <row r="6222" spans="1:14">
      <c r="A6222" s="166"/>
      <c r="H6222" s="1"/>
      <c r="N6222" s="166"/>
    </row>
    <row r="6223" spans="1:14">
      <c r="A6223" s="166"/>
      <c r="H6223" s="1"/>
      <c r="N6223" s="166"/>
    </row>
    <row r="6224" spans="1:14">
      <c r="A6224" s="166"/>
      <c r="H6224" s="1"/>
      <c r="N6224" s="166"/>
    </row>
    <row r="6225" spans="1:14">
      <c r="A6225" s="166"/>
      <c r="H6225" s="1"/>
      <c r="N6225" s="166"/>
    </row>
    <row r="6226" spans="1:14">
      <c r="A6226" s="166"/>
      <c r="H6226" s="1"/>
      <c r="N6226" s="166"/>
    </row>
    <row r="6227" spans="1:14">
      <c r="A6227" s="166"/>
      <c r="H6227" s="1"/>
      <c r="N6227" s="166"/>
    </row>
    <row r="6228" spans="1:14">
      <c r="A6228" s="166"/>
      <c r="H6228" s="1"/>
      <c r="N6228" s="166"/>
    </row>
    <row r="6229" spans="1:14">
      <c r="A6229" s="166"/>
      <c r="H6229" s="1"/>
      <c r="N6229" s="166"/>
    </row>
    <row r="6230" spans="1:14">
      <c r="A6230" s="166"/>
      <c r="H6230" s="1"/>
      <c r="N6230" s="166"/>
    </row>
    <row r="6231" spans="1:14">
      <c r="A6231" s="166"/>
      <c r="H6231" s="1"/>
      <c r="N6231" s="166"/>
    </row>
    <row r="6232" spans="1:14">
      <c r="A6232" s="166"/>
      <c r="H6232" s="1"/>
      <c r="N6232" s="166"/>
    </row>
    <row r="6233" spans="1:14">
      <c r="A6233" s="166"/>
      <c r="H6233" s="1"/>
      <c r="N6233" s="166"/>
    </row>
    <row r="6234" spans="1:14">
      <c r="A6234" s="166"/>
      <c r="H6234" s="1"/>
      <c r="N6234" s="166"/>
    </row>
    <row r="6235" spans="1:14">
      <c r="A6235" s="166"/>
      <c r="H6235" s="1"/>
      <c r="N6235" s="166"/>
    </row>
    <row r="6236" spans="1:14">
      <c r="A6236" s="166"/>
      <c r="H6236" s="1"/>
      <c r="N6236" s="166"/>
    </row>
    <row r="6237" spans="1:14">
      <c r="A6237" s="166"/>
      <c r="H6237" s="1"/>
      <c r="N6237" s="166"/>
    </row>
    <row r="6238" spans="1:14">
      <c r="A6238" s="166"/>
      <c r="H6238" s="1"/>
      <c r="N6238" s="166"/>
    </row>
    <row r="6239" spans="1:14">
      <c r="A6239" s="166"/>
      <c r="H6239" s="1"/>
      <c r="N6239" s="166"/>
    </row>
    <row r="6240" spans="1:14">
      <c r="A6240" s="166"/>
      <c r="H6240" s="1"/>
      <c r="N6240" s="166"/>
    </row>
    <row r="6241" spans="1:14">
      <c r="A6241" s="166"/>
      <c r="H6241" s="1"/>
      <c r="N6241" s="166"/>
    </row>
    <row r="6242" spans="1:14">
      <c r="A6242" s="166"/>
      <c r="H6242" s="1"/>
      <c r="N6242" s="166"/>
    </row>
    <row r="6243" spans="1:14">
      <c r="A6243" s="166"/>
      <c r="H6243" s="1"/>
      <c r="N6243" s="166"/>
    </row>
    <row r="6244" spans="1:14">
      <c r="A6244" s="166"/>
      <c r="H6244" s="1"/>
      <c r="N6244" s="166"/>
    </row>
    <row r="6245" spans="1:14">
      <c r="A6245" s="166"/>
      <c r="H6245" s="1"/>
      <c r="N6245" s="166"/>
    </row>
    <row r="6246" spans="1:14">
      <c r="A6246" s="166"/>
      <c r="H6246" s="1"/>
      <c r="N6246" s="166"/>
    </row>
    <row r="6247" spans="1:14">
      <c r="A6247" s="166"/>
      <c r="H6247" s="1"/>
      <c r="N6247" s="166"/>
    </row>
    <row r="6248" spans="1:14">
      <c r="A6248" s="166"/>
      <c r="H6248" s="1"/>
      <c r="N6248" s="166"/>
    </row>
    <row r="6249" spans="1:14">
      <c r="A6249" s="166"/>
      <c r="H6249" s="1"/>
      <c r="N6249" s="166"/>
    </row>
    <row r="6250" spans="1:14">
      <c r="A6250" s="166"/>
      <c r="H6250" s="1"/>
      <c r="N6250" s="166"/>
    </row>
    <row r="6251" spans="1:14">
      <c r="A6251" s="166"/>
      <c r="H6251" s="1"/>
      <c r="N6251" s="166"/>
    </row>
    <row r="6252" spans="1:14">
      <c r="A6252" s="166"/>
      <c r="H6252" s="1"/>
      <c r="N6252" s="166"/>
    </row>
    <row r="6253" spans="1:14">
      <c r="A6253" s="166"/>
      <c r="H6253" s="1"/>
      <c r="N6253" s="166"/>
    </row>
    <row r="6254" spans="1:14">
      <c r="A6254" s="166"/>
      <c r="H6254" s="1"/>
      <c r="N6254" s="166"/>
    </row>
    <row r="6255" spans="1:14">
      <c r="A6255" s="166"/>
      <c r="H6255" s="1"/>
      <c r="N6255" s="166"/>
    </row>
    <row r="6256" spans="1:14">
      <c r="A6256" s="166"/>
      <c r="H6256" s="1"/>
      <c r="N6256" s="166"/>
    </row>
    <row r="6257" spans="1:14">
      <c r="A6257" s="166"/>
      <c r="H6257" s="1"/>
      <c r="N6257" s="166"/>
    </row>
    <row r="6258" spans="1:14">
      <c r="A6258" s="166"/>
      <c r="H6258" s="1"/>
      <c r="N6258" s="166"/>
    </row>
    <row r="6259" spans="1:14">
      <c r="A6259" s="166"/>
      <c r="H6259" s="1"/>
      <c r="N6259" s="166"/>
    </row>
    <row r="6260" spans="1:14">
      <c r="A6260" s="166"/>
      <c r="H6260" s="1"/>
      <c r="N6260" s="166"/>
    </row>
    <row r="6261" spans="1:14">
      <c r="A6261" s="166"/>
      <c r="H6261" s="1"/>
      <c r="N6261" s="166"/>
    </row>
    <row r="6262" spans="1:14">
      <c r="A6262" s="166"/>
      <c r="H6262" s="1"/>
      <c r="N6262" s="166"/>
    </row>
    <row r="6263" spans="1:14">
      <c r="A6263" s="166"/>
      <c r="H6263" s="1"/>
      <c r="N6263" s="166"/>
    </row>
    <row r="6264" spans="1:14">
      <c r="A6264" s="166"/>
      <c r="H6264" s="1"/>
      <c r="N6264" s="166"/>
    </row>
    <row r="6265" spans="1:14">
      <c r="A6265" s="166"/>
      <c r="H6265" s="1"/>
      <c r="N6265" s="166"/>
    </row>
    <row r="6266" spans="1:14">
      <c r="A6266" s="166"/>
      <c r="H6266" s="1"/>
      <c r="N6266" s="166"/>
    </row>
    <row r="6267" spans="1:14">
      <c r="A6267" s="166"/>
      <c r="H6267" s="1"/>
      <c r="N6267" s="166"/>
    </row>
    <row r="6268" spans="1:14">
      <c r="A6268" s="166"/>
      <c r="H6268" s="1"/>
      <c r="N6268" s="166"/>
    </row>
    <row r="6269" spans="1:14">
      <c r="A6269" s="166"/>
      <c r="H6269" s="1"/>
      <c r="N6269" s="166"/>
    </row>
    <row r="6270" spans="1:14">
      <c r="A6270" s="166"/>
      <c r="H6270" s="1"/>
      <c r="N6270" s="166"/>
    </row>
    <row r="6271" spans="1:14">
      <c r="A6271" s="166"/>
      <c r="H6271" s="1"/>
      <c r="N6271" s="166"/>
    </row>
    <row r="6272" spans="1:14">
      <c r="A6272" s="166"/>
      <c r="H6272" s="1"/>
      <c r="N6272" s="166"/>
    </row>
    <row r="6273" spans="1:14">
      <c r="A6273" s="166"/>
      <c r="H6273" s="1"/>
      <c r="N6273" s="166"/>
    </row>
    <row r="6274" spans="1:14">
      <c r="A6274" s="166"/>
      <c r="H6274" s="1"/>
      <c r="N6274" s="166"/>
    </row>
    <row r="6275" spans="1:14">
      <c r="A6275" s="166"/>
      <c r="H6275" s="1"/>
      <c r="N6275" s="166"/>
    </row>
    <row r="6276" spans="1:14">
      <c r="A6276" s="166"/>
      <c r="H6276" s="1"/>
      <c r="N6276" s="166"/>
    </row>
    <row r="6277" spans="1:14">
      <c r="A6277" s="166"/>
      <c r="H6277" s="1"/>
      <c r="N6277" s="166"/>
    </row>
    <row r="6278" spans="1:14">
      <c r="A6278" s="166"/>
      <c r="H6278" s="1"/>
      <c r="N6278" s="166"/>
    </row>
    <row r="6279" spans="1:14">
      <c r="A6279" s="166"/>
      <c r="H6279" s="1"/>
      <c r="N6279" s="166"/>
    </row>
    <row r="6280" spans="1:14">
      <c r="A6280" s="166"/>
      <c r="H6280" s="1"/>
      <c r="N6280" s="166"/>
    </row>
    <row r="6281" spans="1:14">
      <c r="A6281" s="166"/>
      <c r="H6281" s="1"/>
      <c r="N6281" s="166"/>
    </row>
    <row r="6282" spans="1:14">
      <c r="A6282" s="166"/>
      <c r="H6282" s="1"/>
      <c r="N6282" s="166"/>
    </row>
    <row r="6283" spans="1:14">
      <c r="A6283" s="166"/>
      <c r="H6283" s="1"/>
      <c r="N6283" s="166"/>
    </row>
    <row r="6284" spans="1:14">
      <c r="A6284" s="166"/>
      <c r="H6284" s="1"/>
      <c r="N6284" s="166"/>
    </row>
    <row r="6285" spans="1:14">
      <c r="A6285" s="166"/>
      <c r="H6285" s="1"/>
      <c r="N6285" s="166"/>
    </row>
    <row r="6286" spans="1:14">
      <c r="A6286" s="166"/>
      <c r="H6286" s="1"/>
      <c r="N6286" s="166"/>
    </row>
    <row r="6287" spans="1:14">
      <c r="A6287" s="166"/>
      <c r="H6287" s="1"/>
      <c r="N6287" s="166"/>
    </row>
    <row r="6288" spans="1:14">
      <c r="A6288" s="166"/>
      <c r="H6288" s="1"/>
      <c r="N6288" s="166"/>
    </row>
    <row r="6289" spans="1:14">
      <c r="A6289" s="166"/>
      <c r="H6289" s="1"/>
      <c r="N6289" s="166"/>
    </row>
    <row r="6290" spans="1:14">
      <c r="A6290" s="166"/>
      <c r="H6290" s="1"/>
      <c r="N6290" s="166"/>
    </row>
    <row r="6291" spans="1:14">
      <c r="A6291" s="166"/>
      <c r="H6291" s="1"/>
      <c r="N6291" s="166"/>
    </row>
    <row r="6292" spans="1:14">
      <c r="A6292" s="166"/>
      <c r="H6292" s="1"/>
      <c r="N6292" s="166"/>
    </row>
    <row r="6293" spans="1:14">
      <c r="A6293" s="166"/>
      <c r="H6293" s="1"/>
      <c r="N6293" s="166"/>
    </row>
    <row r="6294" spans="1:14">
      <c r="A6294" s="166"/>
      <c r="H6294" s="1"/>
      <c r="N6294" s="166"/>
    </row>
    <row r="6295" spans="1:14">
      <c r="A6295" s="166"/>
      <c r="H6295" s="1"/>
      <c r="N6295" s="166"/>
    </row>
    <row r="6296" spans="1:14">
      <c r="A6296" s="166"/>
      <c r="H6296" s="1"/>
      <c r="N6296" s="166"/>
    </row>
    <row r="6297" spans="1:14">
      <c r="A6297" s="166"/>
      <c r="H6297" s="1"/>
      <c r="N6297" s="166"/>
    </row>
    <row r="6298" spans="1:14">
      <c r="A6298" s="166"/>
      <c r="H6298" s="1"/>
      <c r="N6298" s="166"/>
    </row>
    <row r="6299" spans="1:14">
      <c r="A6299" s="166"/>
      <c r="H6299" s="1"/>
      <c r="N6299" s="166"/>
    </row>
    <row r="6300" spans="1:14">
      <c r="A6300" s="166"/>
      <c r="H6300" s="1"/>
      <c r="N6300" s="166"/>
    </row>
    <row r="6301" spans="1:14">
      <c r="A6301" s="166"/>
      <c r="H6301" s="1"/>
      <c r="N6301" s="166"/>
    </row>
    <row r="6302" spans="1:14">
      <c r="A6302" s="166"/>
      <c r="H6302" s="1"/>
      <c r="N6302" s="166"/>
    </row>
    <row r="6303" spans="1:14">
      <c r="A6303" s="166"/>
      <c r="H6303" s="1"/>
      <c r="N6303" s="166"/>
    </row>
    <row r="6304" spans="1:14">
      <c r="A6304" s="166"/>
      <c r="H6304" s="1"/>
      <c r="N6304" s="166"/>
    </row>
    <row r="6305" spans="1:14">
      <c r="A6305" s="166"/>
      <c r="H6305" s="1"/>
      <c r="N6305" s="166"/>
    </row>
    <row r="6306" spans="1:14">
      <c r="A6306" s="166"/>
      <c r="H6306" s="1"/>
      <c r="N6306" s="166"/>
    </row>
    <row r="6307" spans="1:14">
      <c r="A6307" s="166"/>
      <c r="H6307" s="1"/>
      <c r="N6307" s="166"/>
    </row>
    <row r="6308" spans="1:14">
      <c r="A6308" s="166"/>
      <c r="H6308" s="1"/>
      <c r="N6308" s="166"/>
    </row>
    <row r="6309" spans="1:14">
      <c r="A6309" s="166"/>
      <c r="H6309" s="1"/>
      <c r="N6309" s="166"/>
    </row>
    <row r="6310" spans="1:14">
      <c r="A6310" s="166"/>
      <c r="H6310" s="1"/>
      <c r="N6310" s="166"/>
    </row>
    <row r="6311" spans="1:14">
      <c r="A6311" s="166"/>
      <c r="H6311" s="1"/>
      <c r="N6311" s="166"/>
    </row>
    <row r="6312" spans="1:14">
      <c r="A6312" s="166"/>
      <c r="H6312" s="1"/>
      <c r="N6312" s="166"/>
    </row>
    <row r="6313" spans="1:14">
      <c r="A6313" s="166"/>
      <c r="H6313" s="1"/>
      <c r="N6313" s="166"/>
    </row>
    <row r="6314" spans="1:14">
      <c r="A6314" s="166"/>
      <c r="H6314" s="1"/>
      <c r="N6314" s="166"/>
    </row>
    <row r="6315" spans="1:14">
      <c r="A6315" s="166"/>
      <c r="H6315" s="1"/>
      <c r="N6315" s="166"/>
    </row>
    <row r="6316" spans="1:14">
      <c r="A6316" s="166"/>
      <c r="H6316" s="1"/>
      <c r="N6316" s="166"/>
    </row>
    <row r="6317" spans="1:14">
      <c r="A6317" s="166"/>
      <c r="H6317" s="1"/>
      <c r="N6317" s="166"/>
    </row>
    <row r="6318" spans="1:14">
      <c r="A6318" s="166"/>
      <c r="H6318" s="1"/>
      <c r="N6318" s="166"/>
    </row>
    <row r="6319" spans="1:14">
      <c r="A6319" s="166"/>
      <c r="H6319" s="1"/>
      <c r="N6319" s="166"/>
    </row>
    <row r="6320" spans="1:14">
      <c r="A6320" s="166"/>
      <c r="H6320" s="1"/>
      <c r="N6320" s="166"/>
    </row>
    <row r="6321" spans="1:14">
      <c r="A6321" s="166"/>
      <c r="H6321" s="1"/>
      <c r="N6321" s="166"/>
    </row>
    <row r="6322" spans="1:14">
      <c r="A6322" s="166"/>
      <c r="H6322" s="1"/>
      <c r="N6322" s="166"/>
    </row>
    <row r="6323" spans="1:14">
      <c r="A6323" s="166"/>
      <c r="H6323" s="1"/>
      <c r="N6323" s="166"/>
    </row>
    <row r="6324" spans="1:14">
      <c r="A6324" s="166"/>
      <c r="H6324" s="1"/>
      <c r="N6324" s="166"/>
    </row>
    <row r="6325" spans="1:14">
      <c r="A6325" s="166"/>
      <c r="H6325" s="1"/>
      <c r="N6325" s="166"/>
    </row>
    <row r="6326" spans="1:14">
      <c r="A6326" s="166"/>
      <c r="H6326" s="1"/>
      <c r="N6326" s="166"/>
    </row>
    <row r="6327" spans="1:14">
      <c r="A6327" s="166"/>
      <c r="H6327" s="1"/>
      <c r="N6327" s="166"/>
    </row>
    <row r="6328" spans="1:14">
      <c r="A6328" s="166"/>
      <c r="H6328" s="1"/>
      <c r="N6328" s="166"/>
    </row>
    <row r="6329" spans="1:14">
      <c r="A6329" s="166"/>
      <c r="H6329" s="1"/>
      <c r="N6329" s="166"/>
    </row>
    <row r="6330" spans="1:14">
      <c r="A6330" s="166"/>
      <c r="H6330" s="1"/>
      <c r="N6330" s="166"/>
    </row>
    <row r="6331" spans="1:14">
      <c r="A6331" s="166"/>
      <c r="H6331" s="1"/>
      <c r="N6331" s="166"/>
    </row>
    <row r="6332" spans="1:14">
      <c r="A6332" s="166"/>
      <c r="H6332" s="1"/>
      <c r="N6332" s="166"/>
    </row>
    <row r="6333" spans="1:14">
      <c r="A6333" s="166"/>
      <c r="H6333" s="1"/>
      <c r="N6333" s="166"/>
    </row>
    <row r="6334" spans="1:14">
      <c r="A6334" s="166"/>
      <c r="H6334" s="1"/>
      <c r="N6334" s="166"/>
    </row>
    <row r="6335" spans="1:14">
      <c r="A6335" s="166"/>
      <c r="H6335" s="1"/>
      <c r="N6335" s="166"/>
    </row>
    <row r="6336" spans="1:14">
      <c r="A6336" s="166"/>
      <c r="H6336" s="1"/>
      <c r="N6336" s="166"/>
    </row>
    <row r="6337" spans="1:14">
      <c r="A6337" s="166"/>
      <c r="H6337" s="1"/>
      <c r="N6337" s="166"/>
    </row>
    <row r="6338" spans="1:14">
      <c r="A6338" s="166"/>
      <c r="H6338" s="1"/>
      <c r="N6338" s="166"/>
    </row>
    <row r="6339" spans="1:14">
      <c r="A6339" s="166"/>
      <c r="H6339" s="1"/>
      <c r="N6339" s="166"/>
    </row>
    <row r="6340" spans="1:14">
      <c r="A6340" s="166"/>
      <c r="H6340" s="1"/>
      <c r="N6340" s="166"/>
    </row>
    <row r="6341" spans="1:14">
      <c r="A6341" s="166"/>
      <c r="H6341" s="1"/>
      <c r="N6341" s="166"/>
    </row>
    <row r="6342" spans="1:14">
      <c r="A6342" s="166"/>
      <c r="H6342" s="1"/>
      <c r="N6342" s="166"/>
    </row>
    <row r="6343" spans="1:14">
      <c r="A6343" s="166"/>
      <c r="H6343" s="1"/>
      <c r="N6343" s="166"/>
    </row>
    <row r="6344" spans="1:14">
      <c r="A6344" s="166"/>
      <c r="H6344" s="1"/>
      <c r="N6344" s="166"/>
    </row>
    <row r="6345" spans="1:14">
      <c r="A6345" s="166"/>
      <c r="H6345" s="1"/>
      <c r="N6345" s="166"/>
    </row>
    <row r="6346" spans="1:14">
      <c r="A6346" s="166"/>
      <c r="H6346" s="1"/>
      <c r="N6346" s="166"/>
    </row>
    <row r="6347" spans="1:14">
      <c r="A6347" s="166"/>
      <c r="H6347" s="1"/>
      <c r="N6347" s="166"/>
    </row>
    <row r="6348" spans="1:14">
      <c r="A6348" s="166"/>
      <c r="H6348" s="1"/>
      <c r="N6348" s="166"/>
    </row>
    <row r="6349" spans="1:14">
      <c r="A6349" s="166"/>
      <c r="H6349" s="1"/>
      <c r="N6349" s="166"/>
    </row>
    <row r="6350" spans="1:14">
      <c r="A6350" s="166"/>
      <c r="H6350" s="1"/>
      <c r="N6350" s="166"/>
    </row>
    <row r="6351" spans="1:14">
      <c r="A6351" s="166"/>
      <c r="H6351" s="1"/>
      <c r="N6351" s="166"/>
    </row>
    <row r="6352" spans="1:14">
      <c r="A6352" s="166"/>
      <c r="H6352" s="1"/>
      <c r="N6352" s="166"/>
    </row>
    <row r="6353" spans="1:14">
      <c r="A6353" s="166"/>
      <c r="H6353" s="1"/>
      <c r="N6353" s="166"/>
    </row>
    <row r="6354" spans="1:14">
      <c r="A6354" s="166"/>
      <c r="H6354" s="1"/>
      <c r="N6354" s="166"/>
    </row>
    <row r="6355" spans="1:14">
      <c r="A6355" s="166"/>
      <c r="H6355" s="1"/>
      <c r="N6355" s="166"/>
    </row>
    <row r="6356" spans="1:14">
      <c r="A6356" s="166"/>
      <c r="H6356" s="1"/>
      <c r="N6356" s="166"/>
    </row>
    <row r="6357" spans="1:14">
      <c r="A6357" s="166"/>
      <c r="H6357" s="1"/>
      <c r="N6357" s="166"/>
    </row>
    <row r="6358" spans="1:14">
      <c r="A6358" s="166"/>
      <c r="H6358" s="1"/>
      <c r="N6358" s="166"/>
    </row>
    <row r="6359" spans="1:14">
      <c r="A6359" s="166"/>
      <c r="H6359" s="1"/>
      <c r="N6359" s="166"/>
    </row>
    <row r="6360" spans="1:14">
      <c r="A6360" s="166"/>
      <c r="H6360" s="1"/>
      <c r="N6360" s="166"/>
    </row>
    <row r="6361" spans="1:14">
      <c r="A6361" s="166"/>
      <c r="H6361" s="1"/>
      <c r="N6361" s="166"/>
    </row>
    <row r="6362" spans="1:14">
      <c r="A6362" s="166"/>
      <c r="H6362" s="1"/>
      <c r="N6362" s="166"/>
    </row>
    <row r="6363" spans="1:14">
      <c r="A6363" s="166"/>
      <c r="H6363" s="1"/>
      <c r="N6363" s="166"/>
    </row>
    <row r="6364" spans="1:14">
      <c r="A6364" s="166"/>
      <c r="H6364" s="1"/>
      <c r="N6364" s="166"/>
    </row>
    <row r="6365" spans="1:14">
      <c r="A6365" s="166"/>
      <c r="H6365" s="1"/>
      <c r="N6365" s="166"/>
    </row>
    <row r="6366" spans="1:14">
      <c r="A6366" s="166"/>
      <c r="H6366" s="1"/>
      <c r="N6366" s="166"/>
    </row>
    <row r="6367" spans="1:14">
      <c r="A6367" s="166"/>
      <c r="H6367" s="1"/>
      <c r="N6367" s="166"/>
    </row>
    <row r="6368" spans="1:14">
      <c r="A6368" s="166"/>
      <c r="H6368" s="1"/>
      <c r="N6368" s="166"/>
    </row>
    <row r="6369" spans="1:14">
      <c r="A6369" s="166"/>
      <c r="H6369" s="1"/>
      <c r="N6369" s="166"/>
    </row>
    <row r="6370" spans="1:14">
      <c r="A6370" s="166"/>
      <c r="H6370" s="1"/>
      <c r="N6370" s="166"/>
    </row>
    <row r="6371" spans="1:14">
      <c r="A6371" s="166"/>
      <c r="H6371" s="1"/>
      <c r="N6371" s="166"/>
    </row>
    <row r="6372" spans="1:14">
      <c r="A6372" s="166"/>
      <c r="H6372" s="1"/>
      <c r="N6372" s="166"/>
    </row>
    <row r="6373" spans="1:14">
      <c r="A6373" s="166"/>
      <c r="H6373" s="1"/>
      <c r="N6373" s="166"/>
    </row>
    <row r="6374" spans="1:14">
      <c r="A6374" s="166"/>
      <c r="H6374" s="1"/>
      <c r="N6374" s="166"/>
    </row>
    <row r="6375" spans="1:14">
      <c r="A6375" s="166"/>
      <c r="H6375" s="1"/>
      <c r="N6375" s="166"/>
    </row>
    <row r="6376" spans="1:14">
      <c r="A6376" s="166"/>
      <c r="H6376" s="1"/>
      <c r="N6376" s="166"/>
    </row>
    <row r="6377" spans="1:14">
      <c r="A6377" s="166"/>
      <c r="H6377" s="1"/>
      <c r="N6377" s="166"/>
    </row>
    <row r="6378" spans="1:14">
      <c r="A6378" s="166"/>
      <c r="H6378" s="1"/>
      <c r="N6378" s="166"/>
    </row>
    <row r="6379" spans="1:14">
      <c r="A6379" s="166"/>
      <c r="H6379" s="1"/>
      <c r="N6379" s="166"/>
    </row>
    <row r="6380" spans="1:14">
      <c r="A6380" s="166"/>
      <c r="H6380" s="1"/>
      <c r="N6380" s="166"/>
    </row>
    <row r="6381" spans="1:14">
      <c r="A6381" s="166"/>
      <c r="H6381" s="1"/>
      <c r="N6381" s="166"/>
    </row>
    <row r="6382" spans="1:14">
      <c r="A6382" s="166"/>
      <c r="H6382" s="1"/>
      <c r="N6382" s="166"/>
    </row>
    <row r="6383" spans="1:14">
      <c r="A6383" s="166"/>
      <c r="H6383" s="1"/>
      <c r="N6383" s="166"/>
    </row>
    <row r="6384" spans="1:14">
      <c r="A6384" s="166"/>
      <c r="H6384" s="1"/>
      <c r="N6384" s="166"/>
    </row>
    <row r="6385" spans="1:14">
      <c r="A6385" s="166"/>
      <c r="H6385" s="1"/>
      <c r="N6385" s="166"/>
    </row>
    <row r="6386" spans="1:14">
      <c r="A6386" s="166"/>
      <c r="H6386" s="1"/>
      <c r="N6386" s="166"/>
    </row>
    <row r="6387" spans="1:14">
      <c r="A6387" s="166"/>
      <c r="H6387" s="1"/>
      <c r="N6387" s="166"/>
    </row>
    <row r="6388" spans="1:14">
      <c r="A6388" s="166"/>
      <c r="H6388" s="1"/>
      <c r="N6388" s="166"/>
    </row>
    <row r="6389" spans="1:14">
      <c r="A6389" s="166"/>
      <c r="H6389" s="1"/>
      <c r="N6389" s="166"/>
    </row>
    <row r="6390" spans="1:14">
      <c r="A6390" s="166"/>
      <c r="H6390" s="1"/>
      <c r="N6390" s="166"/>
    </row>
    <row r="6391" spans="1:14">
      <c r="A6391" s="166"/>
      <c r="H6391" s="1"/>
      <c r="N6391" s="166"/>
    </row>
    <row r="6392" spans="1:14">
      <c r="A6392" s="166"/>
      <c r="H6392" s="1"/>
      <c r="N6392" s="166"/>
    </row>
    <row r="6393" spans="1:14">
      <c r="A6393" s="166"/>
      <c r="H6393" s="1"/>
      <c r="N6393" s="166"/>
    </row>
    <row r="6394" spans="1:14">
      <c r="A6394" s="166"/>
      <c r="H6394" s="1"/>
      <c r="N6394" s="166"/>
    </row>
    <row r="6395" spans="1:14">
      <c r="A6395" s="166"/>
      <c r="H6395" s="1"/>
      <c r="N6395" s="166"/>
    </row>
    <row r="6396" spans="1:14">
      <c r="A6396" s="166"/>
      <c r="H6396" s="1"/>
      <c r="N6396" s="166"/>
    </row>
    <row r="6397" spans="1:14">
      <c r="A6397" s="166"/>
      <c r="H6397" s="1"/>
      <c r="N6397" s="166"/>
    </row>
    <row r="6398" spans="1:14">
      <c r="A6398" s="166"/>
      <c r="H6398" s="1"/>
      <c r="N6398" s="166"/>
    </row>
    <row r="6399" spans="1:14">
      <c r="A6399" s="166"/>
      <c r="H6399" s="1"/>
      <c r="N6399" s="166"/>
    </row>
    <row r="6400" spans="1:14">
      <c r="A6400" s="166"/>
      <c r="H6400" s="1"/>
      <c r="N6400" s="166"/>
    </row>
    <row r="6401" spans="1:14">
      <c r="A6401" s="166"/>
      <c r="H6401" s="1"/>
      <c r="N6401" s="166"/>
    </row>
    <row r="6402" spans="1:14">
      <c r="A6402" s="166"/>
      <c r="H6402" s="1"/>
      <c r="N6402" s="166"/>
    </row>
    <row r="6403" spans="1:14">
      <c r="A6403" s="166"/>
      <c r="H6403" s="1"/>
      <c r="N6403" s="166"/>
    </row>
    <row r="6404" spans="1:14">
      <c r="A6404" s="166"/>
      <c r="H6404" s="1"/>
      <c r="N6404" s="166"/>
    </row>
    <row r="6405" spans="1:14">
      <c r="A6405" s="166"/>
      <c r="H6405" s="1"/>
      <c r="N6405" s="166"/>
    </row>
    <row r="6406" spans="1:14">
      <c r="A6406" s="166"/>
      <c r="H6406" s="1"/>
      <c r="N6406" s="166"/>
    </row>
    <row r="6407" spans="1:14">
      <c r="A6407" s="166"/>
      <c r="H6407" s="1"/>
      <c r="N6407" s="166"/>
    </row>
    <row r="6408" spans="1:14">
      <c r="A6408" s="166"/>
      <c r="H6408" s="1"/>
      <c r="N6408" s="166"/>
    </row>
    <row r="6409" spans="1:14">
      <c r="A6409" s="166"/>
      <c r="H6409" s="1"/>
      <c r="N6409" s="166"/>
    </row>
    <row r="6410" spans="1:14">
      <c r="A6410" s="166"/>
      <c r="H6410" s="1"/>
      <c r="N6410" s="166"/>
    </row>
    <row r="6411" spans="1:14">
      <c r="A6411" s="166"/>
      <c r="H6411" s="1"/>
      <c r="N6411" s="166"/>
    </row>
    <row r="6412" spans="1:14">
      <c r="A6412" s="166"/>
      <c r="H6412" s="1"/>
      <c r="N6412" s="166"/>
    </row>
    <row r="6413" spans="1:14">
      <c r="A6413" s="166"/>
      <c r="H6413" s="1"/>
      <c r="N6413" s="166"/>
    </row>
    <row r="6414" spans="1:14">
      <c r="A6414" s="166"/>
      <c r="H6414" s="1"/>
      <c r="N6414" s="166"/>
    </row>
    <row r="6415" spans="1:14">
      <c r="A6415" s="166"/>
      <c r="H6415" s="1"/>
      <c r="N6415" s="166"/>
    </row>
    <row r="6416" spans="1:14">
      <c r="A6416" s="166"/>
      <c r="H6416" s="1"/>
      <c r="N6416" s="166"/>
    </row>
    <row r="6417" spans="1:14">
      <c r="A6417" s="166"/>
      <c r="H6417" s="1"/>
      <c r="N6417" s="166"/>
    </row>
    <row r="6418" spans="1:14">
      <c r="A6418" s="166"/>
      <c r="H6418" s="1"/>
      <c r="N6418" s="166"/>
    </row>
    <row r="6419" spans="1:14">
      <c r="A6419" s="166"/>
      <c r="H6419" s="1"/>
      <c r="N6419" s="166"/>
    </row>
    <row r="6420" spans="1:14">
      <c r="A6420" s="166"/>
      <c r="H6420" s="1"/>
      <c r="N6420" s="166"/>
    </row>
    <row r="6421" spans="1:14">
      <c r="A6421" s="166"/>
      <c r="H6421" s="1"/>
      <c r="N6421" s="166"/>
    </row>
    <row r="6422" spans="1:14">
      <c r="A6422" s="166"/>
      <c r="H6422" s="1"/>
      <c r="N6422" s="166"/>
    </row>
    <row r="6423" spans="1:14">
      <c r="A6423" s="166"/>
      <c r="H6423" s="1"/>
      <c r="N6423" s="166"/>
    </row>
    <row r="6424" spans="1:14">
      <c r="A6424" s="166"/>
      <c r="H6424" s="1"/>
      <c r="N6424" s="166"/>
    </row>
    <row r="6425" spans="1:14">
      <c r="A6425" s="166"/>
      <c r="H6425" s="1"/>
      <c r="N6425" s="166"/>
    </row>
    <row r="6426" spans="1:14">
      <c r="A6426" s="166"/>
      <c r="H6426" s="1"/>
      <c r="N6426" s="166"/>
    </row>
    <row r="6427" spans="1:14">
      <c r="A6427" s="166"/>
      <c r="H6427" s="1"/>
      <c r="N6427" s="166"/>
    </row>
    <row r="6428" spans="1:14">
      <c r="A6428" s="166"/>
      <c r="H6428" s="1"/>
      <c r="N6428" s="166"/>
    </row>
    <row r="6429" spans="1:14">
      <c r="A6429" s="166"/>
      <c r="H6429" s="1"/>
      <c r="N6429" s="166"/>
    </row>
    <row r="6430" spans="1:14">
      <c r="A6430" s="166"/>
      <c r="H6430" s="1"/>
      <c r="N6430" s="166"/>
    </row>
    <row r="6431" spans="1:14">
      <c r="A6431" s="166"/>
      <c r="H6431" s="1"/>
      <c r="N6431" s="166"/>
    </row>
    <row r="6432" spans="1:14">
      <c r="A6432" s="166"/>
      <c r="H6432" s="1"/>
      <c r="N6432" s="166"/>
    </row>
    <row r="6433" spans="1:14">
      <c r="A6433" s="166"/>
      <c r="H6433" s="1"/>
      <c r="N6433" s="166"/>
    </row>
    <row r="6434" spans="1:14">
      <c r="A6434" s="166"/>
      <c r="H6434" s="1"/>
      <c r="N6434" s="166"/>
    </row>
    <row r="6435" spans="1:14">
      <c r="A6435" s="166"/>
      <c r="H6435" s="1"/>
      <c r="N6435" s="166"/>
    </row>
    <row r="6436" spans="1:14">
      <c r="A6436" s="166"/>
      <c r="H6436" s="1"/>
      <c r="N6436" s="166"/>
    </row>
    <row r="6437" spans="1:14">
      <c r="A6437" s="166"/>
      <c r="H6437" s="1"/>
      <c r="N6437" s="166"/>
    </row>
    <row r="6438" spans="1:14">
      <c r="A6438" s="166"/>
      <c r="H6438" s="1"/>
      <c r="N6438" s="166"/>
    </row>
    <row r="6439" spans="1:14">
      <c r="A6439" s="166"/>
      <c r="H6439" s="1"/>
      <c r="N6439" s="166"/>
    </row>
    <row r="6440" spans="1:14">
      <c r="A6440" s="166"/>
      <c r="H6440" s="1"/>
      <c r="N6440" s="166"/>
    </row>
    <row r="6441" spans="1:14">
      <c r="A6441" s="166"/>
      <c r="H6441" s="1"/>
      <c r="N6441" s="166"/>
    </row>
    <row r="6442" spans="1:14">
      <c r="A6442" s="166"/>
      <c r="H6442" s="1"/>
      <c r="N6442" s="166"/>
    </row>
    <row r="6443" spans="1:14">
      <c r="A6443" s="166"/>
      <c r="H6443" s="1"/>
      <c r="N6443" s="166"/>
    </row>
    <row r="6444" spans="1:14">
      <c r="A6444" s="166"/>
      <c r="H6444" s="1"/>
      <c r="N6444" s="166"/>
    </row>
    <row r="6445" spans="1:14">
      <c r="A6445" s="166"/>
      <c r="H6445" s="1"/>
      <c r="N6445" s="166"/>
    </row>
    <row r="6446" spans="1:14">
      <c r="A6446" s="166"/>
      <c r="H6446" s="1"/>
      <c r="N6446" s="166"/>
    </row>
    <row r="6447" spans="1:14">
      <c r="A6447" s="166"/>
      <c r="H6447" s="1"/>
      <c r="N6447" s="166"/>
    </row>
    <row r="6448" spans="1:14">
      <c r="A6448" s="166"/>
      <c r="H6448" s="1"/>
      <c r="N6448" s="166"/>
    </row>
    <row r="6449" spans="1:14">
      <c r="A6449" s="166"/>
      <c r="H6449" s="1"/>
      <c r="N6449" s="166"/>
    </row>
    <row r="6450" spans="1:14">
      <c r="A6450" s="166"/>
      <c r="H6450" s="1"/>
      <c r="N6450" s="166"/>
    </row>
    <row r="6451" spans="1:14">
      <c r="A6451" s="166"/>
      <c r="H6451" s="1"/>
      <c r="N6451" s="166"/>
    </row>
    <row r="6452" spans="1:14">
      <c r="A6452" s="166"/>
      <c r="H6452" s="1"/>
      <c r="N6452" s="166"/>
    </row>
    <row r="6453" spans="1:14">
      <c r="A6453" s="166"/>
      <c r="H6453" s="1"/>
      <c r="N6453" s="166"/>
    </row>
    <row r="6454" spans="1:14">
      <c r="A6454" s="166"/>
      <c r="H6454" s="1"/>
      <c r="N6454" s="166"/>
    </row>
    <row r="6455" spans="1:14">
      <c r="A6455" s="166"/>
      <c r="H6455" s="1"/>
      <c r="N6455" s="166"/>
    </row>
    <row r="6456" spans="1:14">
      <c r="A6456" s="166"/>
      <c r="H6456" s="1"/>
      <c r="N6456" s="166"/>
    </row>
    <row r="6457" spans="1:14">
      <c r="A6457" s="166"/>
      <c r="H6457" s="1"/>
      <c r="N6457" s="166"/>
    </row>
    <row r="6458" spans="1:14">
      <c r="A6458" s="166"/>
      <c r="H6458" s="1"/>
      <c r="N6458" s="166"/>
    </row>
    <row r="6459" spans="1:14">
      <c r="A6459" s="166"/>
      <c r="H6459" s="1"/>
      <c r="N6459" s="166"/>
    </row>
    <row r="6460" spans="1:14">
      <c r="A6460" s="166"/>
      <c r="H6460" s="1"/>
      <c r="N6460" s="166"/>
    </row>
    <row r="6461" spans="1:14">
      <c r="A6461" s="166"/>
      <c r="H6461" s="1"/>
      <c r="N6461" s="166"/>
    </row>
    <row r="6462" spans="1:14">
      <c r="A6462" s="166"/>
      <c r="H6462" s="1"/>
      <c r="N6462" s="166"/>
    </row>
    <row r="6463" spans="1:14">
      <c r="A6463" s="166"/>
      <c r="H6463" s="1"/>
      <c r="N6463" s="166"/>
    </row>
    <row r="6464" spans="1:14">
      <c r="A6464" s="166"/>
      <c r="H6464" s="1"/>
      <c r="N6464" s="166"/>
    </row>
    <row r="6465" spans="1:14">
      <c r="A6465" s="166"/>
      <c r="H6465" s="1"/>
      <c r="N6465" s="166"/>
    </row>
    <row r="6466" spans="1:14">
      <c r="A6466" s="166"/>
      <c r="H6466" s="1"/>
      <c r="N6466" s="166"/>
    </row>
    <row r="6467" spans="1:14">
      <c r="A6467" s="166"/>
      <c r="H6467" s="1"/>
      <c r="N6467" s="166"/>
    </row>
    <row r="6468" spans="1:14">
      <c r="A6468" s="166"/>
      <c r="H6468" s="1"/>
      <c r="N6468" s="166"/>
    </row>
    <row r="6469" spans="1:14">
      <c r="A6469" s="166"/>
      <c r="H6469" s="1"/>
      <c r="N6469" s="166"/>
    </row>
    <row r="6470" spans="1:14">
      <c r="A6470" s="166"/>
      <c r="H6470" s="1"/>
      <c r="N6470" s="166"/>
    </row>
    <row r="6471" spans="1:14">
      <c r="A6471" s="166"/>
      <c r="H6471" s="1"/>
      <c r="N6471" s="166"/>
    </row>
    <row r="6472" spans="1:14">
      <c r="A6472" s="166"/>
      <c r="H6472" s="1"/>
      <c r="N6472" s="166"/>
    </row>
    <row r="6473" spans="1:14">
      <c r="A6473" s="166"/>
      <c r="H6473" s="1"/>
      <c r="N6473" s="166"/>
    </row>
    <row r="6474" spans="1:14">
      <c r="A6474" s="166"/>
      <c r="H6474" s="1"/>
      <c r="N6474" s="166"/>
    </row>
    <row r="6475" spans="1:14">
      <c r="A6475" s="166"/>
      <c r="H6475" s="1"/>
      <c r="N6475" s="166"/>
    </row>
    <row r="6476" spans="1:14">
      <c r="A6476" s="166"/>
      <c r="H6476" s="1"/>
      <c r="N6476" s="166"/>
    </row>
    <row r="6477" spans="1:14">
      <c r="A6477" s="166"/>
      <c r="H6477" s="1"/>
      <c r="N6477" s="166"/>
    </row>
    <row r="6478" spans="1:14">
      <c r="A6478" s="166"/>
      <c r="H6478" s="1"/>
      <c r="N6478" s="166"/>
    </row>
    <row r="6479" spans="1:14">
      <c r="A6479" s="166"/>
      <c r="H6479" s="1"/>
      <c r="N6479" s="166"/>
    </row>
    <row r="6480" spans="1:14">
      <c r="A6480" s="166"/>
      <c r="H6480" s="1"/>
      <c r="N6480" s="166"/>
    </row>
    <row r="6481" spans="1:14">
      <c r="A6481" s="166"/>
      <c r="H6481" s="1"/>
      <c r="N6481" s="166"/>
    </row>
    <row r="6482" spans="1:14">
      <c r="A6482" s="166"/>
      <c r="H6482" s="1"/>
      <c r="N6482" s="166"/>
    </row>
    <row r="6483" spans="1:14">
      <c r="A6483" s="166"/>
      <c r="H6483" s="1"/>
      <c r="N6483" s="166"/>
    </row>
    <row r="6484" spans="1:14">
      <c r="A6484" s="166"/>
      <c r="H6484" s="1"/>
      <c r="N6484" s="166"/>
    </row>
    <row r="6485" spans="1:14">
      <c r="A6485" s="166"/>
      <c r="H6485" s="1"/>
      <c r="N6485" s="166"/>
    </row>
    <row r="6486" spans="1:14">
      <c r="A6486" s="166"/>
      <c r="H6486" s="1"/>
      <c r="N6486" s="166"/>
    </row>
    <row r="6487" spans="1:14">
      <c r="A6487" s="166"/>
      <c r="H6487" s="1"/>
      <c r="N6487" s="166"/>
    </row>
    <row r="6488" spans="1:14">
      <c r="A6488" s="166"/>
      <c r="H6488" s="1"/>
      <c r="N6488" s="166"/>
    </row>
    <row r="6489" spans="1:14">
      <c r="A6489" s="166"/>
      <c r="H6489" s="1"/>
      <c r="N6489" s="166"/>
    </row>
    <row r="6490" spans="1:14">
      <c r="A6490" s="166"/>
      <c r="H6490" s="1"/>
      <c r="N6490" s="166"/>
    </row>
    <row r="6491" spans="1:14">
      <c r="A6491" s="166"/>
      <c r="H6491" s="1"/>
      <c r="N6491" s="166"/>
    </row>
    <row r="6492" spans="1:14">
      <c r="A6492" s="166"/>
      <c r="H6492" s="1"/>
      <c r="N6492" s="166"/>
    </row>
    <row r="6493" spans="1:14">
      <c r="A6493" s="166"/>
      <c r="H6493" s="1"/>
      <c r="N6493" s="166"/>
    </row>
    <row r="6494" spans="1:14">
      <c r="A6494" s="166"/>
      <c r="H6494" s="1"/>
      <c r="N6494" s="166"/>
    </row>
    <row r="6495" spans="1:14">
      <c r="A6495" s="166"/>
      <c r="H6495" s="1"/>
      <c r="N6495" s="166"/>
    </row>
    <row r="6496" spans="1:14">
      <c r="A6496" s="166"/>
      <c r="H6496" s="1"/>
      <c r="N6496" s="166"/>
    </row>
    <row r="6497" spans="1:14">
      <c r="A6497" s="166"/>
      <c r="H6497" s="1"/>
      <c r="N6497" s="166"/>
    </row>
    <row r="6498" spans="1:14">
      <c r="A6498" s="166"/>
      <c r="H6498" s="1"/>
      <c r="N6498" s="166"/>
    </row>
    <row r="6499" spans="1:14">
      <c r="A6499" s="166"/>
      <c r="H6499" s="1"/>
      <c r="N6499" s="166"/>
    </row>
    <row r="6500" spans="1:14">
      <c r="A6500" s="166"/>
      <c r="H6500" s="1"/>
      <c r="N6500" s="166"/>
    </row>
    <row r="6501" spans="1:14">
      <c r="A6501" s="166"/>
      <c r="H6501" s="1"/>
      <c r="N6501" s="166"/>
    </row>
    <row r="6502" spans="1:14">
      <c r="A6502" s="166"/>
      <c r="H6502" s="1"/>
      <c r="N6502" s="166"/>
    </row>
    <row r="6503" spans="1:14">
      <c r="A6503" s="166"/>
      <c r="H6503" s="1"/>
      <c r="N6503" s="166"/>
    </row>
    <row r="6504" spans="1:14">
      <c r="A6504" s="166"/>
      <c r="H6504" s="1"/>
      <c r="N6504" s="166"/>
    </row>
    <row r="6505" spans="1:14">
      <c r="A6505" s="166"/>
      <c r="H6505" s="1"/>
      <c r="N6505" s="166"/>
    </row>
    <row r="6506" spans="1:14">
      <c r="A6506" s="166"/>
      <c r="H6506" s="1"/>
      <c r="N6506" s="166"/>
    </row>
    <row r="6507" spans="1:14">
      <c r="A6507" s="166"/>
      <c r="H6507" s="1"/>
      <c r="N6507" s="166"/>
    </row>
    <row r="6508" spans="1:14">
      <c r="A6508" s="166"/>
      <c r="H6508" s="1"/>
      <c r="N6508" s="166"/>
    </row>
    <row r="6509" spans="1:14">
      <c r="A6509" s="166"/>
      <c r="H6509" s="1"/>
      <c r="N6509" s="166"/>
    </row>
    <row r="6510" spans="1:14">
      <c r="A6510" s="166"/>
      <c r="H6510" s="1"/>
      <c r="N6510" s="166"/>
    </row>
    <row r="6511" spans="1:14">
      <c r="A6511" s="166"/>
      <c r="H6511" s="1"/>
      <c r="N6511" s="166"/>
    </row>
    <row r="6512" spans="1:14">
      <c r="A6512" s="166"/>
      <c r="H6512" s="1"/>
      <c r="N6512" s="166"/>
    </row>
    <row r="6513" spans="1:14">
      <c r="A6513" s="166"/>
      <c r="H6513" s="1"/>
      <c r="N6513" s="166"/>
    </row>
    <row r="6514" spans="1:14">
      <c r="A6514" s="166"/>
      <c r="H6514" s="1"/>
      <c r="N6514" s="166"/>
    </row>
    <row r="6515" spans="1:14">
      <c r="A6515" s="166"/>
      <c r="H6515" s="1"/>
      <c r="N6515" s="166"/>
    </row>
    <row r="6516" spans="1:14">
      <c r="A6516" s="166"/>
      <c r="H6516" s="1"/>
      <c r="N6516" s="166"/>
    </row>
    <row r="6517" spans="1:14">
      <c r="A6517" s="166"/>
      <c r="H6517" s="1"/>
      <c r="N6517" s="166"/>
    </row>
    <row r="6518" spans="1:14">
      <c r="A6518" s="166"/>
      <c r="H6518" s="1"/>
      <c r="N6518" s="166"/>
    </row>
    <row r="6519" spans="1:14">
      <c r="A6519" s="166"/>
      <c r="H6519" s="1"/>
      <c r="N6519" s="166"/>
    </row>
    <row r="6520" spans="1:14">
      <c r="A6520" s="166"/>
      <c r="H6520" s="1"/>
      <c r="N6520" s="166"/>
    </row>
    <row r="6521" spans="1:14">
      <c r="A6521" s="166"/>
      <c r="H6521" s="1"/>
      <c r="N6521" s="166"/>
    </row>
    <row r="6522" spans="1:14">
      <c r="A6522" s="166"/>
      <c r="H6522" s="1"/>
      <c r="N6522" s="166"/>
    </row>
    <row r="6523" spans="1:14">
      <c r="A6523" s="166"/>
      <c r="H6523" s="1"/>
      <c r="N6523" s="166"/>
    </row>
    <row r="6524" spans="1:14">
      <c r="A6524" s="166"/>
      <c r="H6524" s="1"/>
      <c r="N6524" s="166"/>
    </row>
    <row r="6525" spans="1:14">
      <c r="A6525" s="166"/>
      <c r="H6525" s="1"/>
      <c r="N6525" s="166"/>
    </row>
    <row r="6526" spans="1:14">
      <c r="A6526" s="166"/>
      <c r="H6526" s="1"/>
      <c r="N6526" s="166"/>
    </row>
    <row r="6527" spans="1:14">
      <c r="A6527" s="166"/>
      <c r="H6527" s="1"/>
      <c r="N6527" s="166"/>
    </row>
    <row r="6528" spans="1:14">
      <c r="A6528" s="166"/>
      <c r="H6528" s="1"/>
      <c r="N6528" s="166"/>
    </row>
    <row r="6529" spans="1:14">
      <c r="A6529" s="166"/>
      <c r="H6529" s="1"/>
      <c r="N6529" s="166"/>
    </row>
    <row r="6530" spans="1:14">
      <c r="A6530" s="166"/>
      <c r="H6530" s="1"/>
      <c r="N6530" s="166"/>
    </row>
    <row r="6531" spans="1:14">
      <c r="A6531" s="166"/>
      <c r="H6531" s="1"/>
      <c r="N6531" s="166"/>
    </row>
    <row r="6532" spans="1:14">
      <c r="A6532" s="166"/>
      <c r="H6532" s="1"/>
      <c r="N6532" s="166"/>
    </row>
    <row r="6533" spans="1:14">
      <c r="A6533" s="166"/>
      <c r="H6533" s="1"/>
      <c r="N6533" s="166"/>
    </row>
    <row r="6534" spans="1:14">
      <c r="A6534" s="166"/>
      <c r="H6534" s="1"/>
      <c r="N6534" s="166"/>
    </row>
    <row r="6535" spans="1:14">
      <c r="A6535" s="166"/>
      <c r="H6535" s="1"/>
      <c r="N6535" s="166"/>
    </row>
    <row r="6536" spans="1:14">
      <c r="A6536" s="166"/>
      <c r="H6536" s="1"/>
      <c r="N6536" s="166"/>
    </row>
    <row r="6537" spans="1:14">
      <c r="A6537" s="166"/>
      <c r="H6537" s="1"/>
      <c r="N6537" s="166"/>
    </row>
    <row r="6538" spans="1:14">
      <c r="A6538" s="166"/>
      <c r="H6538" s="1"/>
      <c r="N6538" s="166"/>
    </row>
    <row r="6539" spans="1:14">
      <c r="A6539" s="166"/>
      <c r="H6539" s="1"/>
      <c r="N6539" s="166"/>
    </row>
    <row r="6540" spans="1:14">
      <c r="A6540" s="166"/>
      <c r="H6540" s="1"/>
      <c r="N6540" s="166"/>
    </row>
    <row r="6541" spans="1:14">
      <c r="A6541" s="166"/>
      <c r="H6541" s="1"/>
      <c r="N6541" s="166"/>
    </row>
    <row r="6542" spans="1:14">
      <c r="A6542" s="166"/>
      <c r="H6542" s="1"/>
      <c r="N6542" s="166"/>
    </row>
    <row r="6543" spans="1:14">
      <c r="A6543" s="166"/>
      <c r="H6543" s="1"/>
      <c r="N6543" s="166"/>
    </row>
    <row r="6544" spans="1:14">
      <c r="A6544" s="166"/>
      <c r="H6544" s="1"/>
      <c r="N6544" s="166"/>
    </row>
    <row r="6545" spans="1:14">
      <c r="A6545" s="166"/>
      <c r="H6545" s="1"/>
      <c r="N6545" s="166"/>
    </row>
    <row r="6546" spans="1:14">
      <c r="A6546" s="166"/>
      <c r="H6546" s="1"/>
      <c r="N6546" s="166"/>
    </row>
    <row r="6547" spans="1:14">
      <c r="A6547" s="166"/>
      <c r="H6547" s="1"/>
      <c r="N6547" s="166"/>
    </row>
    <row r="6548" spans="1:14">
      <c r="A6548" s="166"/>
      <c r="H6548" s="1"/>
      <c r="N6548" s="166"/>
    </row>
    <row r="6549" spans="1:14">
      <c r="A6549" s="166"/>
      <c r="H6549" s="1"/>
      <c r="N6549" s="166"/>
    </row>
    <row r="6550" spans="1:14">
      <c r="A6550" s="166"/>
      <c r="H6550" s="1"/>
      <c r="N6550" s="166"/>
    </row>
    <row r="6551" spans="1:14">
      <c r="A6551" s="166"/>
      <c r="H6551" s="1"/>
      <c r="N6551" s="166"/>
    </row>
    <row r="6552" spans="1:14">
      <c r="A6552" s="166"/>
      <c r="H6552" s="1"/>
      <c r="N6552" s="166"/>
    </row>
    <row r="6553" spans="1:14">
      <c r="A6553" s="166"/>
      <c r="H6553" s="1"/>
      <c r="N6553" s="166"/>
    </row>
    <row r="6554" spans="1:14">
      <c r="A6554" s="166"/>
      <c r="H6554" s="1"/>
      <c r="N6554" s="166"/>
    </row>
    <row r="6555" spans="1:14">
      <c r="A6555" s="166"/>
      <c r="H6555" s="1"/>
      <c r="N6555" s="166"/>
    </row>
    <row r="6556" spans="1:14">
      <c r="A6556" s="166"/>
      <c r="H6556" s="1"/>
      <c r="N6556" s="166"/>
    </row>
    <row r="6557" spans="1:14">
      <c r="A6557" s="166"/>
      <c r="H6557" s="1"/>
      <c r="N6557" s="166"/>
    </row>
    <row r="6558" spans="1:14">
      <c r="A6558" s="166"/>
      <c r="H6558" s="1"/>
      <c r="N6558" s="166"/>
    </row>
    <row r="6559" spans="1:14">
      <c r="A6559" s="166"/>
      <c r="H6559" s="1"/>
      <c r="N6559" s="166"/>
    </row>
    <row r="6560" spans="1:14">
      <c r="A6560" s="166"/>
      <c r="H6560" s="1"/>
      <c r="N6560" s="166"/>
    </row>
    <row r="6561" spans="1:14">
      <c r="A6561" s="166"/>
      <c r="H6561" s="1"/>
      <c r="N6561" s="166"/>
    </row>
    <row r="6562" spans="1:14">
      <c r="A6562" s="166"/>
      <c r="H6562" s="1"/>
      <c r="N6562" s="166"/>
    </row>
    <row r="6563" spans="1:14">
      <c r="A6563" s="166"/>
      <c r="H6563" s="1"/>
      <c r="N6563" s="166"/>
    </row>
    <row r="6564" spans="1:14">
      <c r="A6564" s="166"/>
      <c r="H6564" s="1"/>
      <c r="N6564" s="166"/>
    </row>
    <row r="6565" spans="1:14">
      <c r="A6565" s="166"/>
      <c r="H6565" s="1"/>
      <c r="N6565" s="166"/>
    </row>
    <row r="6566" spans="1:14">
      <c r="A6566" s="166"/>
      <c r="H6566" s="1"/>
      <c r="N6566" s="166"/>
    </row>
    <row r="6567" spans="1:14">
      <c r="A6567" s="166"/>
      <c r="H6567" s="1"/>
      <c r="N6567" s="166"/>
    </row>
    <row r="6568" spans="1:14">
      <c r="A6568" s="166"/>
      <c r="H6568" s="1"/>
      <c r="N6568" s="166"/>
    </row>
    <row r="6569" spans="1:14">
      <c r="A6569" s="166"/>
      <c r="H6569" s="1"/>
      <c r="N6569" s="166"/>
    </row>
    <row r="6570" spans="1:14">
      <c r="A6570" s="166"/>
      <c r="H6570" s="1"/>
      <c r="N6570" s="166"/>
    </row>
    <row r="6571" spans="1:14">
      <c r="A6571" s="166"/>
      <c r="H6571" s="1"/>
      <c r="N6571" s="166"/>
    </row>
    <row r="6572" spans="1:14">
      <c r="A6572" s="166"/>
      <c r="H6572" s="1"/>
      <c r="N6572" s="166"/>
    </row>
    <row r="6573" spans="1:14">
      <c r="A6573" s="166"/>
      <c r="H6573" s="1"/>
      <c r="N6573" s="166"/>
    </row>
    <row r="6574" spans="1:14">
      <c r="A6574" s="166"/>
      <c r="H6574" s="1"/>
      <c r="N6574" s="166"/>
    </row>
    <row r="6575" spans="1:14">
      <c r="A6575" s="166"/>
      <c r="H6575" s="1"/>
      <c r="N6575" s="166"/>
    </row>
    <row r="6576" spans="1:14">
      <c r="A6576" s="166"/>
      <c r="H6576" s="1"/>
      <c r="N6576" s="166"/>
    </row>
    <row r="6577" spans="1:14">
      <c r="A6577" s="166"/>
      <c r="H6577" s="1"/>
      <c r="N6577" s="166"/>
    </row>
    <row r="6578" spans="1:14">
      <c r="A6578" s="166"/>
      <c r="H6578" s="1"/>
      <c r="N6578" s="166"/>
    </row>
    <row r="6579" spans="1:14">
      <c r="A6579" s="166"/>
      <c r="H6579" s="1"/>
      <c r="N6579" s="166"/>
    </row>
    <row r="6580" spans="1:14">
      <c r="A6580" s="166"/>
      <c r="H6580" s="1"/>
      <c r="N6580" s="166"/>
    </row>
    <row r="6581" spans="1:14">
      <c r="A6581" s="166"/>
      <c r="H6581" s="1"/>
      <c r="N6581" s="166"/>
    </row>
    <row r="6582" spans="1:14">
      <c r="A6582" s="166"/>
      <c r="H6582" s="1"/>
      <c r="N6582" s="166"/>
    </row>
    <row r="6583" spans="1:14">
      <c r="A6583" s="166"/>
      <c r="H6583" s="1"/>
      <c r="N6583" s="166"/>
    </row>
    <row r="6584" spans="1:14">
      <c r="A6584" s="166"/>
      <c r="H6584" s="1"/>
      <c r="N6584" s="166"/>
    </row>
    <row r="6585" spans="1:14">
      <c r="A6585" s="166"/>
      <c r="H6585" s="1"/>
      <c r="N6585" s="166"/>
    </row>
    <row r="6586" spans="1:14">
      <c r="A6586" s="166"/>
      <c r="H6586" s="1"/>
      <c r="N6586" s="166"/>
    </row>
    <row r="6587" spans="1:14">
      <c r="A6587" s="166"/>
      <c r="H6587" s="1"/>
      <c r="N6587" s="166"/>
    </row>
    <row r="6588" spans="1:14">
      <c r="A6588" s="166"/>
      <c r="H6588" s="1"/>
      <c r="N6588" s="166"/>
    </row>
    <row r="6589" spans="1:14">
      <c r="A6589" s="166"/>
      <c r="H6589" s="1"/>
      <c r="N6589" s="166"/>
    </row>
    <row r="6590" spans="1:14">
      <c r="A6590" s="166"/>
      <c r="H6590" s="1"/>
      <c r="N6590" s="166"/>
    </row>
    <row r="6591" spans="1:14">
      <c r="A6591" s="166"/>
      <c r="H6591" s="1"/>
      <c r="N6591" s="166"/>
    </row>
    <row r="6592" spans="1:14">
      <c r="A6592" s="166"/>
      <c r="H6592" s="1"/>
      <c r="N6592" s="166"/>
    </row>
    <row r="6593" spans="1:14">
      <c r="A6593" s="166"/>
      <c r="H6593" s="1"/>
      <c r="N6593" s="166"/>
    </row>
    <row r="6594" spans="1:14">
      <c r="A6594" s="166"/>
      <c r="H6594" s="1"/>
      <c r="N6594" s="166"/>
    </row>
    <row r="6595" spans="1:14">
      <c r="A6595" s="166"/>
      <c r="H6595" s="1"/>
      <c r="N6595" s="166"/>
    </row>
    <row r="6596" spans="1:14">
      <c r="A6596" s="166"/>
      <c r="H6596" s="1"/>
      <c r="N6596" s="166"/>
    </row>
    <row r="6597" spans="1:14">
      <c r="A6597" s="166"/>
      <c r="H6597" s="1"/>
      <c r="N6597" s="166"/>
    </row>
    <row r="6598" spans="1:14">
      <c r="A6598" s="166"/>
      <c r="H6598" s="1"/>
      <c r="N6598" s="166"/>
    </row>
    <row r="6599" spans="1:14">
      <c r="A6599" s="166"/>
      <c r="H6599" s="1"/>
      <c r="N6599" s="166"/>
    </row>
    <row r="6600" spans="1:14">
      <c r="A6600" s="166"/>
      <c r="H6600" s="1"/>
      <c r="N6600" s="166"/>
    </row>
    <row r="6601" spans="1:14">
      <c r="A6601" s="166"/>
      <c r="H6601" s="1"/>
      <c r="N6601" s="166"/>
    </row>
    <row r="6602" spans="1:14">
      <c r="A6602" s="166"/>
      <c r="H6602" s="1"/>
      <c r="N6602" s="166"/>
    </row>
    <row r="6603" spans="1:14">
      <c r="A6603" s="166"/>
      <c r="H6603" s="1"/>
      <c r="N6603" s="166"/>
    </row>
    <row r="6604" spans="1:14">
      <c r="A6604" s="166"/>
      <c r="H6604" s="1"/>
      <c r="N6604" s="166"/>
    </row>
    <row r="6605" spans="1:14">
      <c r="A6605" s="166"/>
      <c r="H6605" s="1"/>
      <c r="N6605" s="166"/>
    </row>
    <row r="6606" spans="1:14">
      <c r="A6606" s="166"/>
      <c r="H6606" s="1"/>
      <c r="N6606" s="166"/>
    </row>
    <row r="6607" spans="1:14">
      <c r="A6607" s="166"/>
      <c r="H6607" s="1"/>
      <c r="N6607" s="166"/>
    </row>
    <row r="6608" spans="1:14">
      <c r="A6608" s="166"/>
      <c r="H6608" s="1"/>
      <c r="N6608" s="166"/>
    </row>
    <row r="6609" spans="1:14">
      <c r="A6609" s="166"/>
      <c r="H6609" s="1"/>
      <c r="N6609" s="166"/>
    </row>
    <row r="6610" spans="1:14">
      <c r="A6610" s="166"/>
      <c r="H6610" s="1"/>
      <c r="N6610" s="166"/>
    </row>
    <row r="6611" spans="1:14">
      <c r="A6611" s="166"/>
      <c r="H6611" s="1"/>
      <c r="N6611" s="166"/>
    </row>
    <row r="6612" spans="1:14">
      <c r="A6612" s="166"/>
      <c r="H6612" s="1"/>
      <c r="N6612" s="166"/>
    </row>
    <row r="6613" spans="1:14">
      <c r="A6613" s="166"/>
      <c r="H6613" s="1"/>
      <c r="N6613" s="166"/>
    </row>
    <row r="6614" spans="1:14">
      <c r="A6614" s="166"/>
      <c r="H6614" s="1"/>
      <c r="N6614" s="166"/>
    </row>
    <row r="6615" spans="1:14">
      <c r="A6615" s="166"/>
      <c r="H6615" s="1"/>
      <c r="N6615" s="166"/>
    </row>
    <row r="6616" spans="1:14">
      <c r="A6616" s="166"/>
      <c r="H6616" s="1"/>
      <c r="N6616" s="166"/>
    </row>
    <row r="6617" spans="1:14">
      <c r="A6617" s="166"/>
      <c r="H6617" s="1"/>
      <c r="N6617" s="166"/>
    </row>
    <row r="6618" spans="1:14">
      <c r="A6618" s="166"/>
      <c r="H6618" s="1"/>
      <c r="N6618" s="166"/>
    </row>
    <row r="6619" spans="1:14">
      <c r="A6619" s="166"/>
      <c r="H6619" s="1"/>
      <c r="N6619" s="166"/>
    </row>
    <row r="6620" spans="1:14">
      <c r="A6620" s="166"/>
      <c r="H6620" s="1"/>
      <c r="N6620" s="166"/>
    </row>
    <row r="6621" spans="1:14">
      <c r="A6621" s="166"/>
      <c r="H6621" s="1"/>
      <c r="N6621" s="166"/>
    </row>
    <row r="6622" spans="1:14">
      <c r="A6622" s="166"/>
      <c r="H6622" s="1"/>
      <c r="N6622" s="166"/>
    </row>
    <row r="6623" spans="1:14">
      <c r="A6623" s="166"/>
      <c r="H6623" s="1"/>
      <c r="N6623" s="166"/>
    </row>
    <row r="6624" spans="1:14">
      <c r="A6624" s="166"/>
      <c r="H6624" s="1"/>
      <c r="N6624" s="166"/>
    </row>
    <row r="6625" spans="1:14">
      <c r="A6625" s="166"/>
      <c r="H6625" s="1"/>
      <c r="N6625" s="166"/>
    </row>
    <row r="6626" spans="1:14">
      <c r="A6626" s="166"/>
      <c r="H6626" s="1"/>
      <c r="N6626" s="166"/>
    </row>
    <row r="6627" spans="1:14">
      <c r="A6627" s="166"/>
      <c r="H6627" s="1"/>
      <c r="N6627" s="166"/>
    </row>
    <row r="6628" spans="1:14">
      <c r="A6628" s="166"/>
      <c r="H6628" s="1"/>
      <c r="N6628" s="166"/>
    </row>
    <row r="6629" spans="1:14">
      <c r="A6629" s="166"/>
      <c r="H6629" s="1"/>
      <c r="N6629" s="166"/>
    </row>
    <row r="6630" spans="1:14">
      <c r="A6630" s="166"/>
      <c r="H6630" s="1"/>
      <c r="N6630" s="166"/>
    </row>
    <row r="6631" spans="1:14">
      <c r="A6631" s="166"/>
      <c r="H6631" s="1"/>
      <c r="N6631" s="166"/>
    </row>
    <row r="6632" spans="1:14">
      <c r="A6632" s="166"/>
      <c r="H6632" s="1"/>
      <c r="N6632" s="166"/>
    </row>
    <row r="6633" spans="1:14">
      <c r="A6633" s="166"/>
      <c r="H6633" s="1"/>
      <c r="N6633" s="166"/>
    </row>
    <row r="6634" spans="1:14">
      <c r="A6634" s="166"/>
      <c r="H6634" s="1"/>
      <c r="N6634" s="166"/>
    </row>
    <row r="6635" spans="1:14">
      <c r="A6635" s="166"/>
      <c r="H6635" s="1"/>
      <c r="N6635" s="166"/>
    </row>
    <row r="6636" spans="1:14">
      <c r="A6636" s="166"/>
      <c r="H6636" s="1"/>
      <c r="N6636" s="166"/>
    </row>
    <row r="6637" spans="1:14">
      <c r="A6637" s="166"/>
      <c r="H6637" s="1"/>
      <c r="N6637" s="166"/>
    </row>
    <row r="6638" spans="1:14">
      <c r="A6638" s="166"/>
      <c r="H6638" s="1"/>
      <c r="N6638" s="166"/>
    </row>
    <row r="6639" spans="1:14">
      <c r="A6639" s="166"/>
      <c r="H6639" s="1"/>
      <c r="N6639" s="166"/>
    </row>
    <row r="6640" spans="1:14">
      <c r="A6640" s="166"/>
      <c r="H6640" s="1"/>
      <c r="N6640" s="166"/>
    </row>
    <row r="6641" spans="1:14">
      <c r="A6641" s="166"/>
      <c r="H6641" s="1"/>
      <c r="N6641" s="166"/>
    </row>
    <row r="6642" spans="1:14">
      <c r="A6642" s="166"/>
      <c r="H6642" s="1"/>
      <c r="N6642" s="166"/>
    </row>
    <row r="6643" spans="1:14">
      <c r="A6643" s="166"/>
      <c r="H6643" s="1"/>
      <c r="N6643" s="166"/>
    </row>
    <row r="6644" spans="1:14">
      <c r="A6644" s="166"/>
      <c r="H6644" s="1"/>
      <c r="N6644" s="166"/>
    </row>
    <row r="6645" spans="1:14">
      <c r="A6645" s="166"/>
      <c r="H6645" s="1"/>
      <c r="N6645" s="166"/>
    </row>
    <row r="6646" spans="1:14">
      <c r="A6646" s="166"/>
      <c r="H6646" s="1"/>
      <c r="N6646" s="166"/>
    </row>
    <row r="6647" spans="1:14">
      <c r="A6647" s="166"/>
      <c r="H6647" s="1"/>
      <c r="N6647" s="166"/>
    </row>
    <row r="6648" spans="1:14">
      <c r="A6648" s="166"/>
      <c r="H6648" s="1"/>
      <c r="N6648" s="166"/>
    </row>
    <row r="6649" spans="1:14">
      <c r="A6649" s="166"/>
      <c r="H6649" s="1"/>
      <c r="N6649" s="166"/>
    </row>
    <row r="6650" spans="1:14">
      <c r="A6650" s="166"/>
      <c r="H6650" s="1"/>
      <c r="N6650" s="166"/>
    </row>
    <row r="6651" spans="1:14">
      <c r="A6651" s="166"/>
      <c r="H6651" s="1"/>
      <c r="N6651" s="166"/>
    </row>
    <row r="6652" spans="1:14">
      <c r="A6652" s="166"/>
      <c r="H6652" s="1"/>
      <c r="N6652" s="166"/>
    </row>
    <row r="6653" spans="1:14">
      <c r="A6653" s="166"/>
      <c r="H6653" s="1"/>
      <c r="N6653" s="166"/>
    </row>
    <row r="6654" spans="1:14">
      <c r="A6654" s="166"/>
      <c r="H6654" s="1"/>
      <c r="N6654" s="166"/>
    </row>
    <row r="6655" spans="1:14">
      <c r="A6655" s="166"/>
      <c r="H6655" s="1"/>
      <c r="N6655" s="166"/>
    </row>
    <row r="6656" spans="1:14">
      <c r="A6656" s="166"/>
      <c r="H6656" s="1"/>
      <c r="N6656" s="166"/>
    </row>
    <row r="6657" spans="1:14">
      <c r="A6657" s="166"/>
      <c r="H6657" s="1"/>
      <c r="N6657" s="166"/>
    </row>
    <row r="6658" spans="1:14">
      <c r="A6658" s="166"/>
      <c r="H6658" s="1"/>
      <c r="N6658" s="166"/>
    </row>
    <row r="6659" spans="1:14">
      <c r="A6659" s="166"/>
      <c r="H6659" s="1"/>
      <c r="N6659" s="166"/>
    </row>
    <row r="6660" spans="1:14">
      <c r="A6660" s="166"/>
      <c r="H6660" s="1"/>
      <c r="N6660" s="166"/>
    </row>
    <row r="6661" spans="1:14">
      <c r="A6661" s="166"/>
      <c r="H6661" s="1"/>
      <c r="N6661" s="166"/>
    </row>
    <row r="6662" spans="1:14">
      <c r="A6662" s="166"/>
      <c r="H6662" s="1"/>
      <c r="N6662" s="166"/>
    </row>
    <row r="6663" spans="1:14">
      <c r="A6663" s="166"/>
      <c r="H6663" s="1"/>
      <c r="N6663" s="166"/>
    </row>
    <row r="6664" spans="1:14">
      <c r="A6664" s="166"/>
      <c r="H6664" s="1"/>
      <c r="N6664" s="166"/>
    </row>
    <row r="6665" spans="1:14">
      <c r="A6665" s="166"/>
      <c r="H6665" s="1"/>
      <c r="N6665" s="166"/>
    </row>
    <row r="6666" spans="1:14">
      <c r="A6666" s="166"/>
      <c r="H6666" s="1"/>
      <c r="N6666" s="166"/>
    </row>
    <row r="6667" spans="1:14">
      <c r="A6667" s="166"/>
      <c r="H6667" s="1"/>
      <c r="N6667" s="166"/>
    </row>
    <row r="6668" spans="1:14">
      <c r="A6668" s="166"/>
      <c r="H6668" s="1"/>
      <c r="N6668" s="166"/>
    </row>
    <row r="6669" spans="1:14">
      <c r="A6669" s="166"/>
      <c r="H6669" s="1"/>
      <c r="N6669" s="166"/>
    </row>
    <row r="6670" spans="1:14">
      <c r="A6670" s="166"/>
      <c r="H6670" s="1"/>
      <c r="N6670" s="166"/>
    </row>
    <row r="6671" spans="1:14">
      <c r="A6671" s="166"/>
      <c r="H6671" s="1"/>
      <c r="N6671" s="166"/>
    </row>
    <row r="6672" spans="1:14">
      <c r="A6672" s="166"/>
      <c r="H6672" s="1"/>
      <c r="N6672" s="166"/>
    </row>
    <row r="6673" spans="1:14">
      <c r="A6673" s="166"/>
      <c r="H6673" s="1"/>
      <c r="N6673" s="166"/>
    </row>
    <row r="6674" spans="1:14">
      <c r="A6674" s="166"/>
      <c r="H6674" s="1"/>
      <c r="N6674" s="166"/>
    </row>
    <row r="6675" spans="1:14">
      <c r="A6675" s="166"/>
      <c r="H6675" s="1"/>
      <c r="N6675" s="166"/>
    </row>
    <row r="6676" spans="1:14">
      <c r="A6676" s="166"/>
      <c r="H6676" s="1"/>
      <c r="N6676" s="166"/>
    </row>
    <row r="6677" spans="1:14">
      <c r="A6677" s="166"/>
      <c r="H6677" s="1"/>
      <c r="N6677" s="166"/>
    </row>
    <row r="6678" spans="1:14">
      <c r="A6678" s="166"/>
      <c r="H6678" s="1"/>
      <c r="N6678" s="166"/>
    </row>
    <row r="6679" spans="1:14">
      <c r="A6679" s="166"/>
      <c r="H6679" s="1"/>
      <c r="N6679" s="166"/>
    </row>
    <row r="6680" spans="1:14">
      <c r="A6680" s="166"/>
      <c r="H6680" s="1"/>
      <c r="N6680" s="166"/>
    </row>
    <row r="6681" spans="1:14">
      <c r="A6681" s="166"/>
      <c r="H6681" s="1"/>
      <c r="N6681" s="166"/>
    </row>
    <row r="6682" spans="1:14">
      <c r="A6682" s="166"/>
      <c r="H6682" s="1"/>
      <c r="N6682" s="166"/>
    </row>
    <row r="6683" spans="1:14">
      <c r="A6683" s="166"/>
      <c r="H6683" s="1"/>
      <c r="N6683" s="166"/>
    </row>
    <row r="6684" spans="1:14">
      <c r="A6684" s="166"/>
      <c r="H6684" s="1"/>
      <c r="N6684" s="166"/>
    </row>
    <row r="6685" spans="1:14">
      <c r="A6685" s="166"/>
      <c r="H6685" s="1"/>
      <c r="N6685" s="166"/>
    </row>
    <row r="6686" spans="1:14">
      <c r="A6686" s="166"/>
      <c r="H6686" s="1"/>
      <c r="N6686" s="166"/>
    </row>
    <row r="6687" spans="1:14">
      <c r="A6687" s="166"/>
      <c r="H6687" s="1"/>
      <c r="N6687" s="166"/>
    </row>
    <row r="6688" spans="1:14">
      <c r="A6688" s="166"/>
      <c r="H6688" s="1"/>
      <c r="N6688" s="166"/>
    </row>
    <row r="6689" spans="1:14">
      <c r="A6689" s="166"/>
      <c r="H6689" s="1"/>
      <c r="N6689" s="166"/>
    </row>
    <row r="6690" spans="1:14">
      <c r="A6690" s="166"/>
      <c r="H6690" s="1"/>
      <c r="N6690" s="166"/>
    </row>
    <row r="6691" spans="1:14">
      <c r="A6691" s="166"/>
      <c r="H6691" s="1"/>
      <c r="N6691" s="166"/>
    </row>
    <row r="6692" spans="1:14">
      <c r="A6692" s="166"/>
      <c r="H6692" s="1"/>
      <c r="N6692" s="166"/>
    </row>
    <row r="6693" spans="1:14">
      <c r="A6693" s="166"/>
      <c r="H6693" s="1"/>
      <c r="N6693" s="166"/>
    </row>
    <row r="6694" spans="1:14">
      <c r="A6694" s="166"/>
      <c r="H6694" s="1"/>
      <c r="N6694" s="166"/>
    </row>
    <row r="6695" spans="1:14">
      <c r="A6695" s="166"/>
      <c r="H6695" s="1"/>
      <c r="N6695" s="166"/>
    </row>
    <row r="6696" spans="1:14">
      <c r="A6696" s="166"/>
      <c r="H6696" s="1"/>
      <c r="N6696" s="166"/>
    </row>
    <row r="6697" spans="1:14">
      <c r="A6697" s="166"/>
      <c r="H6697" s="1"/>
      <c r="N6697" s="166"/>
    </row>
    <row r="6698" spans="1:14">
      <c r="A6698" s="166"/>
      <c r="H6698" s="1"/>
      <c r="N6698" s="166"/>
    </row>
    <row r="6699" spans="1:14">
      <c r="A6699" s="166"/>
      <c r="H6699" s="1"/>
      <c r="N6699" s="166"/>
    </row>
    <row r="6700" spans="1:14">
      <c r="A6700" s="166"/>
      <c r="H6700" s="1"/>
      <c r="N6700" s="166"/>
    </row>
    <row r="6701" spans="1:14">
      <c r="A6701" s="166"/>
      <c r="H6701" s="1"/>
      <c r="N6701" s="166"/>
    </row>
    <row r="6702" spans="1:14">
      <c r="A6702" s="166"/>
      <c r="H6702" s="1"/>
      <c r="N6702" s="166"/>
    </row>
    <row r="6703" spans="1:14">
      <c r="A6703" s="166"/>
      <c r="H6703" s="1"/>
      <c r="N6703" s="166"/>
    </row>
    <row r="6704" spans="1:14">
      <c r="A6704" s="166"/>
      <c r="H6704" s="1"/>
      <c r="N6704" s="166"/>
    </row>
    <row r="6705" spans="1:14">
      <c r="A6705" s="166"/>
      <c r="H6705" s="1"/>
      <c r="N6705" s="166"/>
    </row>
    <row r="6706" spans="1:14">
      <c r="A6706" s="166"/>
      <c r="H6706" s="1"/>
      <c r="N6706" s="166"/>
    </row>
    <row r="6707" spans="1:14">
      <c r="A6707" s="166"/>
      <c r="H6707" s="1"/>
      <c r="N6707" s="166"/>
    </row>
    <row r="6708" spans="1:14">
      <c r="A6708" s="166"/>
      <c r="H6708" s="1"/>
      <c r="N6708" s="166"/>
    </row>
    <row r="6709" spans="1:14">
      <c r="A6709" s="166"/>
      <c r="H6709" s="1"/>
      <c r="N6709" s="166"/>
    </row>
    <row r="6710" spans="1:14">
      <c r="A6710" s="166"/>
      <c r="H6710" s="1"/>
      <c r="N6710" s="166"/>
    </row>
    <row r="6711" spans="1:14">
      <c r="A6711" s="166"/>
      <c r="H6711" s="1"/>
      <c r="N6711" s="166"/>
    </row>
    <row r="6712" spans="1:14">
      <c r="A6712" s="166"/>
      <c r="H6712" s="1"/>
      <c r="N6712" s="166"/>
    </row>
    <row r="6713" spans="1:14">
      <c r="A6713" s="166"/>
      <c r="H6713" s="1"/>
      <c r="N6713" s="166"/>
    </row>
    <row r="6714" spans="1:14">
      <c r="A6714" s="166"/>
      <c r="H6714" s="1"/>
      <c r="N6714" s="166"/>
    </row>
    <row r="6715" spans="1:14">
      <c r="A6715" s="166"/>
      <c r="H6715" s="1"/>
      <c r="N6715" s="166"/>
    </row>
    <row r="6716" spans="1:14">
      <c r="A6716" s="166"/>
      <c r="H6716" s="1"/>
      <c r="N6716" s="166"/>
    </row>
    <row r="6717" spans="1:14">
      <c r="A6717" s="166"/>
      <c r="H6717" s="1"/>
      <c r="N6717" s="166"/>
    </row>
    <row r="6718" spans="1:14">
      <c r="A6718" s="166"/>
      <c r="H6718" s="1"/>
      <c r="N6718" s="166"/>
    </row>
    <row r="6719" spans="1:14">
      <c r="A6719" s="166"/>
      <c r="H6719" s="1"/>
      <c r="N6719" s="166"/>
    </row>
    <row r="6720" spans="1:14">
      <c r="A6720" s="166"/>
      <c r="H6720" s="1"/>
      <c r="N6720" s="166"/>
    </row>
    <row r="6721" spans="1:14">
      <c r="A6721" s="166"/>
      <c r="H6721" s="1"/>
      <c r="N6721" s="166"/>
    </row>
    <row r="6722" spans="1:14">
      <c r="A6722" s="166"/>
      <c r="H6722" s="1"/>
      <c r="N6722" s="166"/>
    </row>
    <row r="6723" spans="1:14">
      <c r="A6723" s="166"/>
      <c r="H6723" s="1"/>
      <c r="N6723" s="166"/>
    </row>
    <row r="6724" spans="1:14">
      <c r="A6724" s="166"/>
      <c r="H6724" s="1"/>
      <c r="N6724" s="166"/>
    </row>
    <row r="6725" spans="1:14">
      <c r="A6725" s="166"/>
      <c r="H6725" s="1"/>
      <c r="N6725" s="166"/>
    </row>
    <row r="6726" spans="1:14">
      <c r="A6726" s="166"/>
      <c r="H6726" s="1"/>
      <c r="N6726" s="166"/>
    </row>
    <row r="6727" spans="1:14">
      <c r="A6727" s="166"/>
      <c r="H6727" s="1"/>
      <c r="N6727" s="166"/>
    </row>
    <row r="6728" spans="1:14">
      <c r="A6728" s="166"/>
      <c r="H6728" s="1"/>
      <c r="N6728" s="166"/>
    </row>
    <row r="6729" spans="1:14">
      <c r="A6729" s="166"/>
      <c r="H6729" s="1"/>
      <c r="N6729" s="166"/>
    </row>
    <row r="6730" spans="1:14">
      <c r="A6730" s="166"/>
      <c r="H6730" s="1"/>
      <c r="N6730" s="166"/>
    </row>
    <row r="6731" spans="1:14">
      <c r="A6731" s="166"/>
      <c r="H6731" s="1"/>
      <c r="N6731" s="166"/>
    </row>
    <row r="6732" spans="1:14">
      <c r="A6732" s="166"/>
      <c r="H6732" s="1"/>
      <c r="N6732" s="166"/>
    </row>
    <row r="6733" spans="1:14">
      <c r="A6733" s="166"/>
      <c r="H6733" s="1"/>
      <c r="N6733" s="166"/>
    </row>
    <row r="6734" spans="1:14">
      <c r="A6734" s="166"/>
      <c r="H6734" s="1"/>
      <c r="N6734" s="166"/>
    </row>
    <row r="6735" spans="1:14">
      <c r="A6735" s="166"/>
      <c r="H6735" s="1"/>
      <c r="N6735" s="166"/>
    </row>
    <row r="6736" spans="1:14">
      <c r="A6736" s="166"/>
      <c r="H6736" s="1"/>
      <c r="N6736" s="166"/>
    </row>
    <row r="6737" spans="1:14">
      <c r="A6737" s="166"/>
      <c r="H6737" s="1"/>
      <c r="N6737" s="166"/>
    </row>
    <row r="6738" spans="1:14">
      <c r="A6738" s="166"/>
      <c r="H6738" s="1"/>
      <c r="N6738" s="166"/>
    </row>
    <row r="6739" spans="1:14">
      <c r="A6739" s="166"/>
      <c r="H6739" s="1"/>
      <c r="N6739" s="166"/>
    </row>
    <row r="6740" spans="1:14">
      <c r="A6740" s="166"/>
      <c r="H6740" s="1"/>
      <c r="N6740" s="166"/>
    </row>
    <row r="6741" spans="1:14">
      <c r="A6741" s="166"/>
      <c r="H6741" s="1"/>
      <c r="N6741" s="166"/>
    </row>
    <row r="6742" spans="1:14">
      <c r="A6742" s="166"/>
      <c r="H6742" s="1"/>
      <c r="N6742" s="166"/>
    </row>
    <row r="6743" spans="1:14">
      <c r="A6743" s="166"/>
      <c r="H6743" s="1"/>
      <c r="N6743" s="166"/>
    </row>
    <row r="6744" spans="1:14">
      <c r="A6744" s="166"/>
      <c r="H6744" s="1"/>
      <c r="N6744" s="166"/>
    </row>
    <row r="6745" spans="1:14">
      <c r="A6745" s="166"/>
      <c r="H6745" s="1"/>
      <c r="N6745" s="166"/>
    </row>
    <row r="6746" spans="1:14">
      <c r="A6746" s="166"/>
      <c r="H6746" s="1"/>
      <c r="N6746" s="166"/>
    </row>
    <row r="6747" spans="1:14">
      <c r="A6747" s="166"/>
      <c r="H6747" s="1"/>
      <c r="N6747" s="166"/>
    </row>
    <row r="6748" spans="1:14">
      <c r="A6748" s="166"/>
      <c r="H6748" s="1"/>
      <c r="N6748" s="166"/>
    </row>
    <row r="6749" spans="1:14">
      <c r="A6749" s="166"/>
      <c r="H6749" s="1"/>
      <c r="N6749" s="166"/>
    </row>
    <row r="6750" spans="1:14">
      <c r="A6750" s="166"/>
      <c r="H6750" s="1"/>
      <c r="N6750" s="166"/>
    </row>
    <row r="6751" spans="1:14">
      <c r="A6751" s="166"/>
      <c r="H6751" s="1"/>
      <c r="N6751" s="166"/>
    </row>
    <row r="6752" spans="1:14">
      <c r="A6752" s="166"/>
      <c r="H6752" s="1"/>
      <c r="N6752" s="166"/>
    </row>
    <row r="6753" spans="1:14">
      <c r="A6753" s="166"/>
      <c r="H6753" s="1"/>
      <c r="N6753" s="166"/>
    </row>
    <row r="6754" spans="1:14">
      <c r="A6754" s="166"/>
      <c r="H6754" s="1"/>
      <c r="N6754" s="166"/>
    </row>
    <row r="6755" spans="1:14">
      <c r="A6755" s="166"/>
      <c r="H6755" s="1"/>
      <c r="N6755" s="166"/>
    </row>
    <row r="6756" spans="1:14">
      <c r="A6756" s="166"/>
      <c r="H6756" s="1"/>
      <c r="N6756" s="166"/>
    </row>
    <row r="6757" spans="1:14">
      <c r="A6757" s="166"/>
      <c r="H6757" s="1"/>
      <c r="N6757" s="166"/>
    </row>
    <row r="6758" spans="1:14">
      <c r="A6758" s="166"/>
      <c r="H6758" s="1"/>
      <c r="N6758" s="166"/>
    </row>
    <row r="6759" spans="1:14">
      <c r="A6759" s="166"/>
      <c r="H6759" s="1"/>
      <c r="N6759" s="166"/>
    </row>
    <row r="6760" spans="1:14">
      <c r="A6760" s="166"/>
      <c r="H6760" s="1"/>
      <c r="N6760" s="166"/>
    </row>
    <row r="6761" spans="1:14">
      <c r="A6761" s="166"/>
      <c r="H6761" s="1"/>
      <c r="N6761" s="166"/>
    </row>
    <row r="6762" spans="1:14">
      <c r="A6762" s="166"/>
      <c r="H6762" s="1"/>
      <c r="N6762" s="166"/>
    </row>
    <row r="6763" spans="1:14">
      <c r="A6763" s="166"/>
      <c r="H6763" s="1"/>
      <c r="N6763" s="166"/>
    </row>
    <row r="6764" spans="1:14">
      <c r="A6764" s="166"/>
      <c r="H6764" s="1"/>
      <c r="N6764" s="166"/>
    </row>
    <row r="6765" spans="1:14">
      <c r="A6765" s="166"/>
      <c r="H6765" s="1"/>
      <c r="N6765" s="166"/>
    </row>
    <row r="6766" spans="1:14">
      <c r="A6766" s="166"/>
      <c r="H6766" s="1"/>
      <c r="N6766" s="166"/>
    </row>
    <row r="6767" spans="1:14">
      <c r="A6767" s="166"/>
      <c r="H6767" s="1"/>
      <c r="N6767" s="166"/>
    </row>
    <row r="6768" spans="1:14">
      <c r="A6768" s="166"/>
      <c r="H6768" s="1"/>
      <c r="N6768" s="166"/>
    </row>
    <row r="6769" spans="1:14">
      <c r="A6769" s="166"/>
      <c r="H6769" s="1"/>
      <c r="N6769" s="166"/>
    </row>
    <row r="6770" spans="1:14">
      <c r="A6770" s="166"/>
      <c r="H6770" s="1"/>
      <c r="N6770" s="166"/>
    </row>
    <row r="6771" spans="1:14">
      <c r="A6771" s="166"/>
      <c r="H6771" s="1"/>
      <c r="N6771" s="166"/>
    </row>
    <row r="6772" spans="1:14">
      <c r="A6772" s="166"/>
      <c r="H6772" s="1"/>
      <c r="N6772" s="166"/>
    </row>
    <row r="6773" spans="1:14">
      <c r="A6773" s="166"/>
      <c r="H6773" s="1"/>
      <c r="N6773" s="166"/>
    </row>
    <row r="6774" spans="1:14">
      <c r="A6774" s="166"/>
      <c r="H6774" s="1"/>
      <c r="N6774" s="166"/>
    </row>
    <row r="6775" spans="1:14">
      <c r="A6775" s="166"/>
      <c r="H6775" s="1"/>
      <c r="N6775" s="166"/>
    </row>
    <row r="6776" spans="1:14">
      <c r="A6776" s="166"/>
      <c r="H6776" s="1"/>
      <c r="N6776" s="166"/>
    </row>
    <row r="6777" spans="1:14">
      <c r="A6777" s="166"/>
      <c r="H6777" s="1"/>
      <c r="N6777" s="166"/>
    </row>
    <row r="6778" spans="1:14">
      <c r="A6778" s="166"/>
      <c r="H6778" s="1"/>
      <c r="N6778" s="166"/>
    </row>
    <row r="6779" spans="1:14">
      <c r="A6779" s="166"/>
      <c r="H6779" s="1"/>
      <c r="N6779" s="166"/>
    </row>
    <row r="6780" spans="1:14">
      <c r="A6780" s="166"/>
      <c r="H6780" s="1"/>
      <c r="N6780" s="166"/>
    </row>
    <row r="6781" spans="1:14">
      <c r="A6781" s="166"/>
      <c r="H6781" s="1"/>
      <c r="N6781" s="166"/>
    </row>
    <row r="6782" spans="1:14">
      <c r="A6782" s="166"/>
      <c r="H6782" s="1"/>
      <c r="N6782" s="166"/>
    </row>
    <row r="6783" spans="1:14">
      <c r="A6783" s="166"/>
      <c r="H6783" s="1"/>
      <c r="N6783" s="166"/>
    </row>
    <row r="6784" spans="1:14">
      <c r="A6784" s="166"/>
      <c r="H6784" s="1"/>
      <c r="N6784" s="166"/>
    </row>
    <row r="6785" spans="1:14">
      <c r="A6785" s="166"/>
      <c r="H6785" s="1"/>
      <c r="N6785" s="166"/>
    </row>
    <row r="6786" spans="1:14">
      <c r="A6786" s="166"/>
      <c r="H6786" s="1"/>
      <c r="N6786" s="166"/>
    </row>
    <row r="6787" spans="1:14">
      <c r="A6787" s="166"/>
      <c r="H6787" s="1"/>
      <c r="N6787" s="166"/>
    </row>
    <row r="6788" spans="1:14">
      <c r="A6788" s="166"/>
      <c r="H6788" s="1"/>
      <c r="N6788" s="166"/>
    </row>
    <row r="6789" spans="1:14">
      <c r="A6789" s="166"/>
      <c r="H6789" s="1"/>
      <c r="N6789" s="166"/>
    </row>
    <row r="6790" spans="1:14">
      <c r="A6790" s="166"/>
      <c r="H6790" s="1"/>
      <c r="N6790" s="166"/>
    </row>
    <row r="6791" spans="1:14">
      <c r="A6791" s="166"/>
      <c r="H6791" s="1"/>
      <c r="N6791" s="166"/>
    </row>
    <row r="6792" spans="1:14">
      <c r="A6792" s="166"/>
      <c r="H6792" s="1"/>
      <c r="N6792" s="166"/>
    </row>
    <row r="6793" spans="1:14">
      <c r="A6793" s="166"/>
      <c r="H6793" s="1"/>
      <c r="N6793" s="166"/>
    </row>
    <row r="6794" spans="1:14">
      <c r="A6794" s="166"/>
      <c r="H6794" s="1"/>
      <c r="N6794" s="166"/>
    </row>
    <row r="6795" spans="1:14">
      <c r="A6795" s="166"/>
      <c r="H6795" s="1"/>
      <c r="N6795" s="166"/>
    </row>
    <row r="6796" spans="1:14">
      <c r="A6796" s="166"/>
      <c r="H6796" s="1"/>
      <c r="N6796" s="166"/>
    </row>
    <row r="6797" spans="1:14">
      <c r="A6797" s="166"/>
      <c r="H6797" s="1"/>
      <c r="N6797" s="166"/>
    </row>
    <row r="6798" spans="1:14">
      <c r="A6798" s="166"/>
      <c r="H6798" s="1"/>
      <c r="N6798" s="166"/>
    </row>
    <row r="6799" spans="1:14">
      <c r="A6799" s="166"/>
      <c r="H6799" s="1"/>
      <c r="N6799" s="166"/>
    </row>
    <row r="6800" spans="1:14">
      <c r="A6800" s="166"/>
      <c r="H6800" s="1"/>
      <c r="N6800" s="166"/>
    </row>
    <row r="6801" spans="1:14">
      <c r="A6801" s="166"/>
      <c r="H6801" s="1"/>
      <c r="N6801" s="166"/>
    </row>
    <row r="6802" spans="1:14">
      <c r="A6802" s="166"/>
      <c r="H6802" s="1"/>
      <c r="N6802" s="166"/>
    </row>
    <row r="6803" spans="1:14">
      <c r="A6803" s="166"/>
      <c r="H6803" s="1"/>
      <c r="N6803" s="166"/>
    </row>
    <row r="6804" spans="1:14">
      <c r="A6804" s="166"/>
      <c r="H6804" s="1"/>
      <c r="N6804" s="166"/>
    </row>
    <row r="6805" spans="1:14">
      <c r="A6805" s="166"/>
      <c r="H6805" s="1"/>
      <c r="N6805" s="166"/>
    </row>
    <row r="6806" spans="1:14">
      <c r="A6806" s="166"/>
      <c r="H6806" s="1"/>
      <c r="N6806" s="166"/>
    </row>
    <row r="6807" spans="1:14">
      <c r="A6807" s="166"/>
      <c r="H6807" s="1"/>
      <c r="N6807" s="166"/>
    </row>
    <row r="6808" spans="1:14">
      <c r="A6808" s="166"/>
      <c r="H6808" s="1"/>
      <c r="N6808" s="166"/>
    </row>
    <row r="6809" spans="1:14">
      <c r="A6809" s="166"/>
      <c r="H6809" s="1"/>
      <c r="N6809" s="166"/>
    </row>
    <row r="6810" spans="1:14">
      <c r="A6810" s="166"/>
      <c r="H6810" s="1"/>
      <c r="N6810" s="166"/>
    </row>
    <row r="6811" spans="1:14">
      <c r="A6811" s="166"/>
      <c r="H6811" s="1"/>
      <c r="N6811" s="166"/>
    </row>
    <row r="6812" spans="1:14">
      <c r="A6812" s="166"/>
      <c r="H6812" s="1"/>
      <c r="N6812" s="166"/>
    </row>
    <row r="6813" spans="1:14">
      <c r="A6813" s="166"/>
      <c r="H6813" s="1"/>
      <c r="N6813" s="166"/>
    </row>
    <row r="6814" spans="1:14">
      <c r="A6814" s="166"/>
      <c r="H6814" s="1"/>
      <c r="N6814" s="166"/>
    </row>
    <row r="6815" spans="1:14">
      <c r="A6815" s="166"/>
      <c r="H6815" s="1"/>
      <c r="N6815" s="166"/>
    </row>
    <row r="6816" spans="1:14">
      <c r="A6816" s="166"/>
      <c r="H6816" s="1"/>
      <c r="N6816" s="166"/>
    </row>
    <row r="6817" spans="1:14">
      <c r="A6817" s="166"/>
      <c r="H6817" s="1"/>
      <c r="N6817" s="166"/>
    </row>
    <row r="6818" spans="1:14">
      <c r="A6818" s="166"/>
      <c r="H6818" s="1"/>
      <c r="N6818" s="166"/>
    </row>
    <row r="6819" spans="1:14">
      <c r="A6819" s="166"/>
      <c r="H6819" s="1"/>
      <c r="N6819" s="166"/>
    </row>
    <row r="6820" spans="1:14">
      <c r="A6820" s="166"/>
      <c r="H6820" s="1"/>
      <c r="N6820" s="166"/>
    </row>
    <row r="6821" spans="1:14">
      <c r="A6821" s="166"/>
      <c r="H6821" s="1"/>
      <c r="N6821" s="166"/>
    </row>
    <row r="6822" spans="1:14">
      <c r="A6822" s="166"/>
      <c r="H6822" s="1"/>
      <c r="N6822" s="166"/>
    </row>
    <row r="6823" spans="1:14">
      <c r="A6823" s="166"/>
      <c r="H6823" s="1"/>
      <c r="N6823" s="166"/>
    </row>
    <row r="6824" spans="1:14">
      <c r="A6824" s="166"/>
      <c r="H6824" s="1"/>
      <c r="N6824" s="166"/>
    </row>
    <row r="6825" spans="1:14">
      <c r="A6825" s="166"/>
      <c r="H6825" s="1"/>
      <c r="N6825" s="166"/>
    </row>
    <row r="6826" spans="1:14">
      <c r="A6826" s="166"/>
      <c r="H6826" s="1"/>
      <c r="N6826" s="166"/>
    </row>
    <row r="6827" spans="1:14">
      <c r="A6827" s="166"/>
      <c r="H6827" s="1"/>
      <c r="N6827" s="166"/>
    </row>
    <row r="6828" spans="1:14">
      <c r="A6828" s="166"/>
      <c r="H6828" s="1"/>
      <c r="N6828" s="166"/>
    </row>
    <row r="6829" spans="1:14">
      <c r="A6829" s="166"/>
      <c r="H6829" s="1"/>
      <c r="N6829" s="166"/>
    </row>
    <row r="6830" spans="1:14">
      <c r="A6830" s="166"/>
      <c r="H6830" s="1"/>
      <c r="N6830" s="166"/>
    </row>
    <row r="6831" spans="1:14">
      <c r="A6831" s="166"/>
      <c r="H6831" s="1"/>
      <c r="N6831" s="166"/>
    </row>
    <row r="6832" spans="1:14">
      <c r="A6832" s="166"/>
      <c r="H6832" s="1"/>
      <c r="N6832" s="166"/>
    </row>
    <row r="6833" spans="1:14">
      <c r="A6833" s="166"/>
      <c r="H6833" s="1"/>
      <c r="N6833" s="166"/>
    </row>
    <row r="6834" spans="1:14">
      <c r="A6834" s="166"/>
      <c r="H6834" s="1"/>
      <c r="N6834" s="166"/>
    </row>
    <row r="6835" spans="1:14">
      <c r="A6835" s="166"/>
      <c r="H6835" s="1"/>
      <c r="N6835" s="166"/>
    </row>
    <row r="6836" spans="1:14">
      <c r="A6836" s="166"/>
      <c r="H6836" s="1"/>
      <c r="N6836" s="166"/>
    </row>
    <row r="6837" spans="1:14">
      <c r="A6837" s="166"/>
      <c r="H6837" s="1"/>
      <c r="N6837" s="166"/>
    </row>
    <row r="6838" spans="1:14">
      <c r="A6838" s="166"/>
      <c r="H6838" s="1"/>
      <c r="N6838" s="166"/>
    </row>
    <row r="6839" spans="1:14">
      <c r="A6839" s="166"/>
      <c r="H6839" s="1"/>
      <c r="N6839" s="166"/>
    </row>
    <row r="6840" spans="1:14">
      <c r="A6840" s="166"/>
      <c r="H6840" s="1"/>
      <c r="N6840" s="166"/>
    </row>
    <row r="6841" spans="1:14">
      <c r="A6841" s="166"/>
      <c r="H6841" s="1"/>
      <c r="N6841" s="166"/>
    </row>
    <row r="6842" spans="1:14">
      <c r="A6842" s="166"/>
      <c r="H6842" s="1"/>
      <c r="N6842" s="166"/>
    </row>
    <row r="6843" spans="1:14">
      <c r="A6843" s="166"/>
      <c r="H6843" s="1"/>
      <c r="N6843" s="166"/>
    </row>
    <row r="6844" spans="1:14">
      <c r="A6844" s="166"/>
      <c r="H6844" s="1"/>
      <c r="N6844" s="166"/>
    </row>
    <row r="6845" spans="1:14">
      <c r="A6845" s="166"/>
      <c r="H6845" s="1"/>
      <c r="N6845" s="166"/>
    </row>
    <row r="6846" spans="1:14">
      <c r="A6846" s="166"/>
      <c r="H6846" s="1"/>
      <c r="N6846" s="166"/>
    </row>
    <row r="6847" spans="1:14">
      <c r="A6847" s="166"/>
      <c r="H6847" s="1"/>
      <c r="N6847" s="166"/>
    </row>
    <row r="6848" spans="1:14">
      <c r="A6848" s="166"/>
      <c r="H6848" s="1"/>
      <c r="N6848" s="166"/>
    </row>
    <row r="6849" spans="1:14">
      <c r="A6849" s="166"/>
      <c r="H6849" s="1"/>
      <c r="N6849" s="166"/>
    </row>
    <row r="6850" spans="1:14">
      <c r="A6850" s="166"/>
      <c r="H6850" s="1"/>
      <c r="N6850" s="166"/>
    </row>
    <row r="6851" spans="1:14">
      <c r="A6851" s="166"/>
      <c r="H6851" s="1"/>
      <c r="N6851" s="166"/>
    </row>
    <row r="6852" spans="1:14">
      <c r="A6852" s="166"/>
      <c r="H6852" s="1"/>
      <c r="N6852" s="166"/>
    </row>
    <row r="6853" spans="1:14">
      <c r="A6853" s="166"/>
      <c r="H6853" s="1"/>
      <c r="N6853" s="166"/>
    </row>
    <row r="6854" spans="1:14">
      <c r="A6854" s="166"/>
      <c r="H6854" s="1"/>
      <c r="N6854" s="166"/>
    </row>
    <row r="6855" spans="1:14">
      <c r="A6855" s="166"/>
      <c r="H6855" s="1"/>
      <c r="N6855" s="166"/>
    </row>
    <row r="6856" spans="1:14">
      <c r="A6856" s="166"/>
      <c r="H6856" s="1"/>
      <c r="N6856" s="166"/>
    </row>
    <row r="6857" spans="1:14">
      <c r="A6857" s="166"/>
      <c r="H6857" s="1"/>
      <c r="N6857" s="166"/>
    </row>
    <row r="6858" spans="1:14">
      <c r="A6858" s="166"/>
      <c r="H6858" s="1"/>
      <c r="N6858" s="166"/>
    </row>
    <row r="6859" spans="1:14">
      <c r="A6859" s="166"/>
      <c r="H6859" s="1"/>
      <c r="N6859" s="166"/>
    </row>
    <row r="6860" spans="1:14">
      <c r="A6860" s="166"/>
      <c r="H6860" s="1"/>
      <c r="N6860" s="166"/>
    </row>
    <row r="6861" spans="1:14">
      <c r="A6861" s="166"/>
      <c r="H6861" s="1"/>
      <c r="N6861" s="166"/>
    </row>
    <row r="6862" spans="1:14">
      <c r="A6862" s="166"/>
      <c r="H6862" s="1"/>
      <c r="N6862" s="166"/>
    </row>
    <row r="6863" spans="1:14">
      <c r="A6863" s="166"/>
      <c r="H6863" s="1"/>
      <c r="N6863" s="166"/>
    </row>
    <row r="6864" spans="1:14">
      <c r="A6864" s="166"/>
      <c r="H6864" s="1"/>
      <c r="N6864" s="166"/>
    </row>
    <row r="6865" spans="1:14">
      <c r="A6865" s="166"/>
      <c r="H6865" s="1"/>
      <c r="N6865" s="166"/>
    </row>
    <row r="6866" spans="1:14">
      <c r="A6866" s="166"/>
      <c r="H6866" s="1"/>
      <c r="N6866" s="166"/>
    </row>
    <row r="6867" spans="1:14">
      <c r="A6867" s="166"/>
      <c r="H6867" s="1"/>
      <c r="N6867" s="166"/>
    </row>
    <row r="6868" spans="1:14">
      <c r="A6868" s="166"/>
      <c r="H6868" s="1"/>
      <c r="N6868" s="166"/>
    </row>
    <row r="6869" spans="1:14">
      <c r="A6869" s="166"/>
      <c r="H6869" s="1"/>
      <c r="N6869" s="166"/>
    </row>
    <row r="6870" spans="1:14">
      <c r="A6870" s="166"/>
      <c r="H6870" s="1"/>
      <c r="N6870" s="166"/>
    </row>
    <row r="6871" spans="1:14">
      <c r="A6871" s="166"/>
      <c r="H6871" s="1"/>
      <c r="N6871" s="166"/>
    </row>
    <row r="6872" spans="1:14">
      <c r="A6872" s="166"/>
      <c r="H6872" s="1"/>
      <c r="N6872" s="166"/>
    </row>
    <row r="6873" spans="1:14">
      <c r="A6873" s="166"/>
      <c r="H6873" s="1"/>
      <c r="N6873" s="166"/>
    </row>
    <row r="6874" spans="1:14">
      <c r="A6874" s="166"/>
      <c r="H6874" s="1"/>
      <c r="N6874" s="166"/>
    </row>
    <row r="6875" spans="1:14">
      <c r="A6875" s="166"/>
      <c r="H6875" s="1"/>
      <c r="N6875" s="166"/>
    </row>
    <row r="6876" spans="1:14">
      <c r="A6876" s="166"/>
      <c r="H6876" s="1"/>
      <c r="N6876" s="166"/>
    </row>
    <row r="6877" spans="1:14">
      <c r="A6877" s="166"/>
      <c r="H6877" s="1"/>
      <c r="N6877" s="166"/>
    </row>
    <row r="6878" spans="1:14">
      <c r="A6878" s="166"/>
      <c r="H6878" s="1"/>
      <c r="N6878" s="166"/>
    </row>
    <row r="6879" spans="1:14">
      <c r="A6879" s="166"/>
      <c r="H6879" s="1"/>
      <c r="N6879" s="166"/>
    </row>
    <row r="6880" spans="1:14">
      <c r="A6880" s="166"/>
      <c r="H6880" s="1"/>
      <c r="N6880" s="166"/>
    </row>
    <row r="6881" spans="1:14">
      <c r="A6881" s="166"/>
      <c r="H6881" s="1"/>
      <c r="N6881" s="166"/>
    </row>
    <row r="6882" spans="1:14">
      <c r="A6882" s="166"/>
      <c r="H6882" s="1"/>
      <c r="N6882" s="166"/>
    </row>
    <row r="6883" spans="1:14">
      <c r="A6883" s="166"/>
      <c r="H6883" s="1"/>
      <c r="N6883" s="166"/>
    </row>
    <row r="6884" spans="1:14">
      <c r="A6884" s="166"/>
      <c r="H6884" s="1"/>
      <c r="N6884" s="166"/>
    </row>
    <row r="6885" spans="1:14">
      <c r="A6885" s="166"/>
      <c r="H6885" s="1"/>
      <c r="N6885" s="166"/>
    </row>
    <row r="6886" spans="1:14">
      <c r="A6886" s="166"/>
      <c r="H6886" s="1"/>
      <c r="N6886" s="166"/>
    </row>
    <row r="6887" spans="1:14">
      <c r="A6887" s="166"/>
      <c r="H6887" s="1"/>
      <c r="N6887" s="166"/>
    </row>
    <row r="6888" spans="1:14">
      <c r="A6888" s="166"/>
      <c r="H6888" s="1"/>
      <c r="N6888" s="166"/>
    </row>
    <row r="6889" spans="1:14">
      <c r="A6889" s="166"/>
      <c r="H6889" s="1"/>
      <c r="N6889" s="166"/>
    </row>
    <row r="6890" spans="1:14">
      <c r="A6890" s="166"/>
      <c r="H6890" s="1"/>
      <c r="N6890" s="166"/>
    </row>
    <row r="6891" spans="1:14">
      <c r="A6891" s="166"/>
      <c r="H6891" s="1"/>
      <c r="N6891" s="166"/>
    </row>
    <row r="6892" spans="1:14">
      <c r="A6892" s="166"/>
      <c r="H6892" s="1"/>
      <c r="N6892" s="166"/>
    </row>
    <row r="6893" spans="1:14">
      <c r="A6893" s="166"/>
      <c r="H6893" s="1"/>
      <c r="N6893" s="166"/>
    </row>
    <row r="6894" spans="1:14">
      <c r="A6894" s="166"/>
      <c r="H6894" s="1"/>
      <c r="N6894" s="166"/>
    </row>
    <row r="6895" spans="1:14">
      <c r="A6895" s="166"/>
      <c r="H6895" s="1"/>
      <c r="N6895" s="166"/>
    </row>
    <row r="6896" spans="1:14">
      <c r="A6896" s="166"/>
      <c r="H6896" s="1"/>
      <c r="N6896" s="166"/>
    </row>
    <row r="6897" spans="1:14">
      <c r="A6897" s="166"/>
      <c r="H6897" s="1"/>
      <c r="N6897" s="166"/>
    </row>
    <row r="6898" spans="1:14">
      <c r="A6898" s="166"/>
      <c r="H6898" s="1"/>
      <c r="N6898" s="166"/>
    </row>
    <row r="6899" spans="1:14">
      <c r="A6899" s="166"/>
      <c r="H6899" s="1"/>
      <c r="N6899" s="166"/>
    </row>
    <row r="6900" spans="1:14">
      <c r="A6900" s="166"/>
      <c r="H6900" s="1"/>
      <c r="N6900" s="166"/>
    </row>
    <row r="6901" spans="1:14">
      <c r="A6901" s="166"/>
      <c r="H6901" s="1"/>
      <c r="N6901" s="166"/>
    </row>
    <row r="6902" spans="1:14">
      <c r="A6902" s="166"/>
      <c r="H6902" s="1"/>
      <c r="N6902" s="166"/>
    </row>
    <row r="6903" spans="1:14">
      <c r="A6903" s="166"/>
      <c r="H6903" s="1"/>
      <c r="N6903" s="166"/>
    </row>
    <row r="6904" spans="1:14">
      <c r="A6904" s="166"/>
      <c r="H6904" s="1"/>
      <c r="N6904" s="166"/>
    </row>
    <row r="6905" spans="1:14">
      <c r="A6905" s="166"/>
      <c r="H6905" s="1"/>
      <c r="N6905" s="166"/>
    </row>
    <row r="6906" spans="1:14">
      <c r="A6906" s="166"/>
      <c r="H6906" s="1"/>
      <c r="N6906" s="166"/>
    </row>
    <row r="6907" spans="1:14">
      <c r="A6907" s="166"/>
      <c r="H6907" s="1"/>
      <c r="N6907" s="166"/>
    </row>
    <row r="6908" spans="1:14">
      <c r="A6908" s="166"/>
      <c r="H6908" s="1"/>
      <c r="N6908" s="166"/>
    </row>
    <row r="6909" spans="1:14">
      <c r="A6909" s="166"/>
      <c r="H6909" s="1"/>
      <c r="N6909" s="166"/>
    </row>
    <row r="6910" spans="1:14">
      <c r="A6910" s="166"/>
      <c r="H6910" s="1"/>
      <c r="N6910" s="166"/>
    </row>
    <row r="6911" spans="1:14">
      <c r="A6911" s="166"/>
      <c r="H6911" s="1"/>
      <c r="N6911" s="166"/>
    </row>
    <row r="6912" spans="1:14">
      <c r="A6912" s="166"/>
      <c r="H6912" s="1"/>
      <c r="N6912" s="166"/>
    </row>
    <row r="6913" spans="1:14">
      <c r="A6913" s="166"/>
      <c r="H6913" s="1"/>
      <c r="N6913" s="166"/>
    </row>
    <row r="6914" spans="1:14">
      <c r="A6914" s="166"/>
      <c r="H6914" s="1"/>
      <c r="N6914" s="166"/>
    </row>
    <row r="6915" spans="1:14">
      <c r="A6915" s="166"/>
      <c r="H6915" s="1"/>
      <c r="N6915" s="166"/>
    </row>
    <row r="6916" spans="1:14">
      <c r="A6916" s="166"/>
      <c r="H6916" s="1"/>
      <c r="N6916" s="166"/>
    </row>
    <row r="6917" spans="1:14">
      <c r="A6917" s="166"/>
      <c r="H6917" s="1"/>
      <c r="N6917" s="166"/>
    </row>
    <row r="6918" spans="1:14">
      <c r="A6918" s="166"/>
      <c r="H6918" s="1"/>
      <c r="N6918" s="166"/>
    </row>
    <row r="6919" spans="1:14">
      <c r="A6919" s="166"/>
      <c r="H6919" s="1"/>
      <c r="N6919" s="166"/>
    </row>
    <row r="6920" spans="1:14">
      <c r="A6920" s="166"/>
      <c r="H6920" s="1"/>
      <c r="N6920" s="166"/>
    </row>
    <row r="6921" spans="1:14">
      <c r="A6921" s="166"/>
      <c r="H6921" s="1"/>
      <c r="N6921" s="166"/>
    </row>
    <row r="6922" spans="1:14">
      <c r="A6922" s="166"/>
      <c r="H6922" s="1"/>
      <c r="N6922" s="166"/>
    </row>
    <row r="6923" spans="1:14">
      <c r="A6923" s="166"/>
      <c r="H6923" s="1"/>
      <c r="N6923" s="166"/>
    </row>
    <row r="6924" spans="1:14">
      <c r="A6924" s="166"/>
      <c r="H6924" s="1"/>
      <c r="N6924" s="166"/>
    </row>
    <row r="6925" spans="1:14">
      <c r="A6925" s="166"/>
      <c r="H6925" s="1"/>
      <c r="N6925" s="166"/>
    </row>
    <row r="6926" spans="1:14">
      <c r="A6926" s="166"/>
      <c r="H6926" s="1"/>
      <c r="N6926" s="166"/>
    </row>
    <row r="6927" spans="1:14">
      <c r="A6927" s="166"/>
      <c r="H6927" s="1"/>
      <c r="N6927" s="166"/>
    </row>
    <row r="6928" spans="1:14">
      <c r="A6928" s="166"/>
      <c r="H6928" s="1"/>
      <c r="N6928" s="166"/>
    </row>
    <row r="6929" spans="1:14">
      <c r="A6929" s="166"/>
      <c r="H6929" s="1"/>
      <c r="N6929" s="166"/>
    </row>
    <row r="6930" spans="1:14">
      <c r="A6930" s="166"/>
      <c r="H6930" s="1"/>
      <c r="N6930" s="166"/>
    </row>
    <row r="6931" spans="1:14">
      <c r="A6931" s="166"/>
      <c r="H6931" s="1"/>
      <c r="N6931" s="166"/>
    </row>
    <row r="6932" spans="1:14">
      <c r="A6932" s="166"/>
      <c r="H6932" s="1"/>
      <c r="N6932" s="166"/>
    </row>
    <row r="6933" spans="1:14">
      <c r="A6933" s="166"/>
      <c r="H6933" s="1"/>
      <c r="N6933" s="166"/>
    </row>
    <row r="6934" spans="1:14">
      <c r="A6934" s="166"/>
      <c r="H6934" s="1"/>
      <c r="N6934" s="166"/>
    </row>
    <row r="6935" spans="1:14">
      <c r="A6935" s="166"/>
      <c r="H6935" s="1"/>
      <c r="N6935" s="166"/>
    </row>
    <row r="6936" spans="1:14">
      <c r="A6936" s="166"/>
      <c r="H6936" s="1"/>
      <c r="N6936" s="166"/>
    </row>
    <row r="6937" spans="1:14">
      <c r="A6937" s="166"/>
      <c r="H6937" s="1"/>
      <c r="N6937" s="166"/>
    </row>
    <row r="6938" spans="1:14">
      <c r="A6938" s="166"/>
      <c r="H6938" s="1"/>
      <c r="N6938" s="166"/>
    </row>
    <row r="6939" spans="1:14">
      <c r="A6939" s="166"/>
      <c r="H6939" s="1"/>
      <c r="N6939" s="166"/>
    </row>
    <row r="6940" spans="1:14">
      <c r="A6940" s="166"/>
      <c r="H6940" s="1"/>
      <c r="N6940" s="166"/>
    </row>
    <row r="6941" spans="1:14">
      <c r="A6941" s="166"/>
      <c r="H6941" s="1"/>
      <c r="N6941" s="166"/>
    </row>
    <row r="6942" spans="1:14">
      <c r="A6942" s="166"/>
      <c r="H6942" s="1"/>
      <c r="N6942" s="166"/>
    </row>
    <row r="6943" spans="1:14">
      <c r="A6943" s="166"/>
      <c r="H6943" s="1"/>
      <c r="N6943" s="166"/>
    </row>
    <row r="6944" spans="1:14">
      <c r="A6944" s="166"/>
      <c r="H6944" s="1"/>
      <c r="N6944" s="166"/>
    </row>
    <row r="6945" spans="1:14">
      <c r="A6945" s="166"/>
      <c r="H6945" s="1"/>
      <c r="N6945" s="166"/>
    </row>
    <row r="6946" spans="1:14">
      <c r="A6946" s="166"/>
      <c r="H6946" s="1"/>
      <c r="N6946" s="166"/>
    </row>
    <row r="6947" spans="1:14">
      <c r="A6947" s="166"/>
      <c r="H6947" s="1"/>
      <c r="N6947" s="166"/>
    </row>
    <row r="6948" spans="1:14">
      <c r="A6948" s="166"/>
      <c r="H6948" s="1"/>
      <c r="N6948" s="166"/>
    </row>
    <row r="6949" spans="1:14">
      <c r="A6949" s="166"/>
      <c r="H6949" s="1"/>
      <c r="N6949" s="166"/>
    </row>
    <row r="6950" spans="1:14">
      <c r="A6950" s="166"/>
      <c r="H6950" s="1"/>
      <c r="N6950" s="166"/>
    </row>
    <row r="6951" spans="1:14">
      <c r="A6951" s="166"/>
      <c r="H6951" s="1"/>
      <c r="N6951" s="166"/>
    </row>
    <row r="6952" spans="1:14">
      <c r="A6952" s="166"/>
      <c r="H6952" s="1"/>
      <c r="N6952" s="166"/>
    </row>
    <row r="6953" spans="1:14">
      <c r="A6953" s="166"/>
      <c r="H6953" s="1"/>
      <c r="N6953" s="166"/>
    </row>
    <row r="6954" spans="1:14">
      <c r="A6954" s="166"/>
      <c r="H6954" s="1"/>
      <c r="N6954" s="166"/>
    </row>
    <row r="6955" spans="1:14">
      <c r="A6955" s="166"/>
      <c r="H6955" s="1"/>
      <c r="N6955" s="166"/>
    </row>
    <row r="6956" spans="1:14">
      <c r="A6956" s="166"/>
      <c r="H6956" s="1"/>
      <c r="N6956" s="166"/>
    </row>
    <row r="6957" spans="1:14">
      <c r="A6957" s="166"/>
      <c r="H6957" s="1"/>
      <c r="N6957" s="166"/>
    </row>
    <row r="6958" spans="1:14">
      <c r="A6958" s="166"/>
      <c r="H6958" s="1"/>
      <c r="N6958" s="166"/>
    </row>
    <row r="6959" spans="1:14">
      <c r="A6959" s="166"/>
      <c r="H6959" s="1"/>
      <c r="N6959" s="166"/>
    </row>
    <row r="6960" spans="1:14">
      <c r="A6960" s="166"/>
      <c r="H6960" s="1"/>
      <c r="N6960" s="166"/>
    </row>
    <row r="6961" spans="1:14">
      <c r="A6961" s="166"/>
      <c r="H6961" s="1"/>
      <c r="N6961" s="166"/>
    </row>
    <row r="6962" spans="1:14">
      <c r="A6962" s="166"/>
      <c r="H6962" s="1"/>
      <c r="N6962" s="166"/>
    </row>
    <row r="6963" spans="1:14">
      <c r="A6963" s="166"/>
      <c r="H6963" s="1"/>
      <c r="N6963" s="166"/>
    </row>
    <row r="6964" spans="1:14">
      <c r="A6964" s="166"/>
      <c r="H6964" s="1"/>
      <c r="N6964" s="166"/>
    </row>
    <row r="6965" spans="1:14">
      <c r="A6965" s="166"/>
      <c r="H6965" s="1"/>
      <c r="N6965" s="166"/>
    </row>
    <row r="6966" spans="1:14">
      <c r="A6966" s="166"/>
      <c r="H6966" s="1"/>
      <c r="N6966" s="166"/>
    </row>
    <row r="6967" spans="1:14">
      <c r="A6967" s="166"/>
      <c r="H6967" s="1"/>
      <c r="N6967" s="166"/>
    </row>
    <row r="6968" spans="1:14">
      <c r="A6968" s="166"/>
      <c r="H6968" s="1"/>
      <c r="N6968" s="166"/>
    </row>
    <row r="6969" spans="1:14">
      <c r="A6969" s="166"/>
      <c r="H6969" s="1"/>
      <c r="N6969" s="166"/>
    </row>
    <row r="6970" spans="1:14">
      <c r="A6970" s="166"/>
      <c r="H6970" s="1"/>
      <c r="N6970" s="166"/>
    </row>
    <row r="6971" spans="1:14">
      <c r="A6971" s="166"/>
      <c r="H6971" s="1"/>
      <c r="N6971" s="166"/>
    </row>
    <row r="6972" spans="1:14">
      <c r="A6972" s="166"/>
      <c r="H6972" s="1"/>
      <c r="N6972" s="166"/>
    </row>
    <row r="6973" spans="1:14">
      <c r="A6973" s="166"/>
      <c r="H6973" s="1"/>
      <c r="N6973" s="166"/>
    </row>
    <row r="6974" spans="1:14">
      <c r="A6974" s="166"/>
      <c r="H6974" s="1"/>
      <c r="N6974" s="166"/>
    </row>
    <row r="6975" spans="1:14">
      <c r="A6975" s="166"/>
      <c r="H6975" s="1"/>
      <c r="N6975" s="166"/>
    </row>
    <row r="6976" spans="1:14">
      <c r="A6976" s="166"/>
      <c r="H6976" s="1"/>
      <c r="N6976" s="166"/>
    </row>
    <row r="6977" spans="1:14">
      <c r="A6977" s="166"/>
      <c r="H6977" s="1"/>
      <c r="N6977" s="166"/>
    </row>
    <row r="6978" spans="1:14">
      <c r="A6978" s="166"/>
      <c r="H6978" s="1"/>
      <c r="N6978" s="166"/>
    </row>
    <row r="6979" spans="1:14">
      <c r="A6979" s="166"/>
      <c r="H6979" s="1"/>
      <c r="N6979" s="166"/>
    </row>
    <row r="6980" spans="1:14">
      <c r="A6980" s="166"/>
      <c r="H6980" s="1"/>
      <c r="N6980" s="166"/>
    </row>
    <row r="6981" spans="1:14">
      <c r="A6981" s="166"/>
      <c r="H6981" s="1"/>
      <c r="N6981" s="166"/>
    </row>
    <row r="6982" spans="1:14">
      <c r="A6982" s="166"/>
      <c r="H6982" s="1"/>
      <c r="N6982" s="166"/>
    </row>
    <row r="6983" spans="1:14">
      <c r="A6983" s="166"/>
      <c r="H6983" s="1"/>
      <c r="N6983" s="166"/>
    </row>
    <row r="6984" spans="1:14">
      <c r="A6984" s="166"/>
      <c r="H6984" s="1"/>
      <c r="N6984" s="166"/>
    </row>
    <row r="6985" spans="1:14">
      <c r="A6985" s="166"/>
      <c r="H6985" s="1"/>
      <c r="N6985" s="166"/>
    </row>
    <row r="6986" spans="1:14">
      <c r="A6986" s="166"/>
      <c r="H6986" s="1"/>
      <c r="N6986" s="166"/>
    </row>
    <row r="6987" spans="1:14">
      <c r="A6987" s="166"/>
      <c r="H6987" s="1"/>
      <c r="N6987" s="166"/>
    </row>
    <row r="6988" spans="1:14">
      <c r="A6988" s="166"/>
      <c r="H6988" s="1"/>
      <c r="N6988" s="166"/>
    </row>
    <row r="6989" spans="1:14">
      <c r="A6989" s="166"/>
      <c r="H6989" s="1"/>
      <c r="N6989" s="166"/>
    </row>
    <row r="6990" spans="1:14">
      <c r="A6990" s="166"/>
      <c r="H6990" s="1"/>
      <c r="N6990" s="166"/>
    </row>
    <row r="6991" spans="1:14">
      <c r="A6991" s="166"/>
      <c r="H6991" s="1"/>
      <c r="N6991" s="166"/>
    </row>
    <row r="6992" spans="1:14">
      <c r="A6992" s="166"/>
      <c r="H6992" s="1"/>
      <c r="N6992" s="166"/>
    </row>
    <row r="6993" spans="1:14">
      <c r="A6993" s="166"/>
      <c r="H6993" s="1"/>
      <c r="N6993" s="166"/>
    </row>
    <row r="6994" spans="1:14">
      <c r="A6994" s="166"/>
      <c r="H6994" s="1"/>
      <c r="N6994" s="166"/>
    </row>
    <row r="6995" spans="1:14">
      <c r="A6995" s="166"/>
      <c r="H6995" s="1"/>
      <c r="N6995" s="166"/>
    </row>
    <row r="6996" spans="1:14">
      <c r="A6996" s="166"/>
      <c r="H6996" s="1"/>
      <c r="N6996" s="166"/>
    </row>
    <row r="6997" spans="1:14">
      <c r="A6997" s="166"/>
      <c r="H6997" s="1"/>
      <c r="N6997" s="166"/>
    </row>
    <row r="6998" spans="1:14">
      <c r="A6998" s="166"/>
      <c r="H6998" s="1"/>
      <c r="N6998" s="166"/>
    </row>
    <row r="6999" spans="1:14">
      <c r="A6999" s="166"/>
      <c r="H6999" s="1"/>
      <c r="N6999" s="166"/>
    </row>
    <row r="7000" spans="1:14">
      <c r="A7000" s="166"/>
      <c r="H7000" s="1"/>
      <c r="N7000" s="166"/>
    </row>
    <row r="7001" spans="1:14">
      <c r="A7001" s="166"/>
      <c r="H7001" s="1"/>
      <c r="N7001" s="166"/>
    </row>
    <row r="7002" spans="1:14">
      <c r="A7002" s="166"/>
      <c r="H7002" s="1"/>
      <c r="N7002" s="166"/>
    </row>
    <row r="7003" spans="1:14">
      <c r="A7003" s="166"/>
      <c r="H7003" s="1"/>
      <c r="N7003" s="166"/>
    </row>
    <row r="7004" spans="1:14">
      <c r="A7004" s="166"/>
      <c r="H7004" s="1"/>
      <c r="N7004" s="166"/>
    </row>
    <row r="7005" spans="1:14">
      <c r="A7005" s="166"/>
      <c r="H7005" s="1"/>
      <c r="N7005" s="166"/>
    </row>
    <row r="7006" spans="1:14">
      <c r="A7006" s="166"/>
      <c r="H7006" s="1"/>
      <c r="N7006" s="166"/>
    </row>
    <row r="7007" spans="1:14">
      <c r="A7007" s="166"/>
      <c r="H7007" s="1"/>
      <c r="N7007" s="166"/>
    </row>
    <row r="7008" spans="1:14">
      <c r="A7008" s="166"/>
      <c r="H7008" s="1"/>
      <c r="N7008" s="166"/>
    </row>
    <row r="7009" spans="1:14">
      <c r="A7009" s="166"/>
      <c r="H7009" s="1"/>
      <c r="N7009" s="166"/>
    </row>
    <row r="7010" spans="1:14">
      <c r="A7010" s="166"/>
      <c r="H7010" s="1"/>
      <c r="N7010" s="166"/>
    </row>
    <row r="7011" spans="1:14">
      <c r="A7011" s="166"/>
      <c r="H7011" s="1"/>
      <c r="N7011" s="166"/>
    </row>
    <row r="7012" spans="1:14">
      <c r="A7012" s="166"/>
      <c r="H7012" s="1"/>
      <c r="N7012" s="166"/>
    </row>
    <row r="7013" spans="1:14">
      <c r="A7013" s="166"/>
      <c r="H7013" s="1"/>
      <c r="N7013" s="166"/>
    </row>
    <row r="7014" spans="1:14">
      <c r="A7014" s="166"/>
      <c r="H7014" s="1"/>
      <c r="N7014" s="166"/>
    </row>
    <row r="7015" spans="1:14">
      <c r="A7015" s="166"/>
      <c r="H7015" s="1"/>
      <c r="N7015" s="166"/>
    </row>
    <row r="7016" spans="1:14">
      <c r="A7016" s="166"/>
      <c r="H7016" s="1"/>
      <c r="N7016" s="166"/>
    </row>
    <row r="7017" spans="1:14">
      <c r="A7017" s="166"/>
      <c r="H7017" s="1"/>
      <c r="N7017" s="166"/>
    </row>
    <row r="7018" spans="1:14">
      <c r="A7018" s="166"/>
      <c r="H7018" s="1"/>
      <c r="N7018" s="166"/>
    </row>
    <row r="7019" spans="1:14">
      <c r="A7019" s="166"/>
      <c r="H7019" s="1"/>
      <c r="N7019" s="166"/>
    </row>
    <row r="7020" spans="1:14">
      <c r="A7020" s="166"/>
      <c r="H7020" s="1"/>
      <c r="N7020" s="166"/>
    </row>
    <row r="7021" spans="1:14">
      <c r="A7021" s="166"/>
      <c r="H7021" s="1"/>
      <c r="N7021" s="166"/>
    </row>
    <row r="7022" spans="1:14">
      <c r="A7022" s="166"/>
      <c r="H7022" s="1"/>
      <c r="N7022" s="166"/>
    </row>
    <row r="7023" spans="1:14">
      <c r="A7023" s="166"/>
      <c r="H7023" s="1"/>
      <c r="N7023" s="166"/>
    </row>
    <row r="7024" spans="1:14">
      <c r="A7024" s="166"/>
      <c r="H7024" s="1"/>
      <c r="N7024" s="166"/>
    </row>
    <row r="7025" spans="1:14">
      <c r="A7025" s="166"/>
      <c r="H7025" s="1"/>
      <c r="N7025" s="166"/>
    </row>
    <row r="7026" spans="1:14">
      <c r="A7026" s="166"/>
      <c r="H7026" s="1"/>
      <c r="N7026" s="166"/>
    </row>
    <row r="7027" spans="1:14">
      <c r="A7027" s="166"/>
      <c r="H7027" s="1"/>
      <c r="N7027" s="166"/>
    </row>
    <row r="7028" spans="1:14">
      <c r="A7028" s="166"/>
      <c r="H7028" s="1"/>
      <c r="N7028" s="166"/>
    </row>
    <row r="7029" spans="1:14">
      <c r="A7029" s="166"/>
      <c r="H7029" s="1"/>
      <c r="N7029" s="166"/>
    </row>
    <row r="7030" spans="1:14">
      <c r="A7030" s="166"/>
      <c r="H7030" s="1"/>
      <c r="N7030" s="166"/>
    </row>
    <row r="7031" spans="1:14">
      <c r="A7031" s="166"/>
      <c r="H7031" s="1"/>
      <c r="N7031" s="166"/>
    </row>
    <row r="7032" spans="1:14">
      <c r="A7032" s="166"/>
      <c r="H7032" s="1"/>
      <c r="N7032" s="166"/>
    </row>
    <row r="7033" spans="1:14">
      <c r="A7033" s="166"/>
      <c r="H7033" s="1"/>
      <c r="N7033" s="166"/>
    </row>
    <row r="7034" spans="1:14">
      <c r="A7034" s="166"/>
      <c r="H7034" s="1"/>
      <c r="N7034" s="166"/>
    </row>
    <row r="7035" spans="1:14">
      <c r="A7035" s="166"/>
      <c r="H7035" s="1"/>
      <c r="N7035" s="166"/>
    </row>
    <row r="7036" spans="1:14">
      <c r="A7036" s="166"/>
      <c r="H7036" s="1"/>
      <c r="N7036" s="166"/>
    </row>
    <row r="7037" spans="1:14">
      <c r="A7037" s="166"/>
      <c r="H7037" s="1"/>
      <c r="N7037" s="166"/>
    </row>
    <row r="7038" spans="1:14">
      <c r="A7038" s="166"/>
      <c r="H7038" s="1"/>
      <c r="N7038" s="166"/>
    </row>
    <row r="7039" spans="1:14">
      <c r="A7039" s="166"/>
      <c r="H7039" s="1"/>
      <c r="N7039" s="166"/>
    </row>
    <row r="7040" spans="1:14">
      <c r="A7040" s="166"/>
      <c r="H7040" s="1"/>
      <c r="N7040" s="166"/>
    </row>
    <row r="7041" spans="1:14">
      <c r="A7041" s="166"/>
      <c r="H7041" s="1"/>
      <c r="N7041" s="166"/>
    </row>
    <row r="7042" spans="1:14">
      <c r="A7042" s="166"/>
      <c r="H7042" s="1"/>
      <c r="N7042" s="166"/>
    </row>
    <row r="7043" spans="1:14">
      <c r="A7043" s="166"/>
      <c r="H7043" s="1"/>
      <c r="N7043" s="166"/>
    </row>
    <row r="7044" spans="1:14">
      <c r="A7044" s="166"/>
      <c r="H7044" s="1"/>
      <c r="N7044" s="166"/>
    </row>
    <row r="7045" spans="1:14">
      <c r="A7045" s="166"/>
      <c r="H7045" s="1"/>
      <c r="N7045" s="166"/>
    </row>
    <row r="7046" spans="1:14">
      <c r="A7046" s="166"/>
      <c r="H7046" s="1"/>
      <c r="N7046" s="166"/>
    </row>
    <row r="7047" spans="1:14">
      <c r="A7047" s="166"/>
      <c r="H7047" s="1"/>
      <c r="N7047" s="166"/>
    </row>
    <row r="7048" spans="1:14">
      <c r="A7048" s="166"/>
      <c r="H7048" s="1"/>
      <c r="N7048" s="166"/>
    </row>
    <row r="7049" spans="1:14">
      <c r="A7049" s="166"/>
      <c r="H7049" s="1"/>
      <c r="N7049" s="166"/>
    </row>
    <row r="7050" spans="1:14">
      <c r="A7050" s="166"/>
      <c r="H7050" s="1"/>
      <c r="N7050" s="166"/>
    </row>
    <row r="7051" spans="1:14">
      <c r="A7051" s="166"/>
      <c r="H7051" s="1"/>
      <c r="N7051" s="166"/>
    </row>
    <row r="7052" spans="1:14">
      <c r="A7052" s="166"/>
      <c r="H7052" s="1"/>
      <c r="N7052" s="166"/>
    </row>
    <row r="7053" spans="1:14">
      <c r="A7053" s="166"/>
      <c r="H7053" s="1"/>
      <c r="N7053" s="166"/>
    </row>
    <row r="7054" spans="1:14">
      <c r="A7054" s="166"/>
      <c r="H7054" s="1"/>
      <c r="N7054" s="166"/>
    </row>
    <row r="7055" spans="1:14">
      <c r="A7055" s="166"/>
      <c r="H7055" s="1"/>
      <c r="N7055" s="166"/>
    </row>
    <row r="7056" spans="1:14">
      <c r="A7056" s="166"/>
      <c r="H7056" s="1"/>
      <c r="N7056" s="166"/>
    </row>
    <row r="7057" spans="1:14">
      <c r="A7057" s="166"/>
      <c r="H7057" s="1"/>
      <c r="N7057" s="166"/>
    </row>
    <row r="7058" spans="1:14">
      <c r="A7058" s="166"/>
      <c r="H7058" s="1"/>
      <c r="N7058" s="166"/>
    </row>
    <row r="7059" spans="1:14">
      <c r="A7059" s="166"/>
      <c r="H7059" s="1"/>
      <c r="N7059" s="166"/>
    </row>
    <row r="7060" spans="1:14">
      <c r="A7060" s="166"/>
      <c r="H7060" s="1"/>
      <c r="N7060" s="166"/>
    </row>
    <row r="7061" spans="1:14">
      <c r="A7061" s="166"/>
      <c r="H7061" s="1"/>
      <c r="N7061" s="166"/>
    </row>
    <row r="7062" spans="1:14">
      <c r="A7062" s="166"/>
      <c r="H7062" s="1"/>
      <c r="N7062" s="166"/>
    </row>
    <row r="7063" spans="1:14">
      <c r="A7063" s="166"/>
      <c r="H7063" s="1"/>
      <c r="N7063" s="166"/>
    </row>
    <row r="7064" spans="1:14">
      <c r="A7064" s="166"/>
      <c r="H7064" s="1"/>
      <c r="N7064" s="166"/>
    </row>
    <row r="7065" spans="1:14">
      <c r="A7065" s="166"/>
      <c r="H7065" s="1"/>
      <c r="N7065" s="166"/>
    </row>
    <row r="7066" spans="1:14">
      <c r="A7066" s="166"/>
      <c r="H7066" s="1"/>
      <c r="N7066" s="166"/>
    </row>
    <row r="7067" spans="1:14">
      <c r="A7067" s="166"/>
      <c r="H7067" s="1"/>
      <c r="N7067" s="166"/>
    </row>
    <row r="7068" spans="1:14">
      <c r="A7068" s="166"/>
      <c r="H7068" s="1"/>
      <c r="N7068" s="166"/>
    </row>
    <row r="7069" spans="1:14">
      <c r="A7069" s="166"/>
      <c r="H7069" s="1"/>
      <c r="N7069" s="166"/>
    </row>
    <row r="7070" spans="1:14">
      <c r="A7070" s="166"/>
      <c r="H7070" s="1"/>
      <c r="N7070" s="166"/>
    </row>
    <row r="7071" spans="1:14">
      <c r="A7071" s="166"/>
      <c r="H7071" s="1"/>
      <c r="N7071" s="166"/>
    </row>
    <row r="7072" spans="1:14">
      <c r="A7072" s="166"/>
      <c r="H7072" s="1"/>
      <c r="N7072" s="166"/>
    </row>
    <row r="7073" spans="1:14">
      <c r="A7073" s="166"/>
      <c r="H7073" s="1"/>
      <c r="N7073" s="166"/>
    </row>
    <row r="7074" spans="1:14">
      <c r="A7074" s="166"/>
      <c r="H7074" s="1"/>
      <c r="N7074" s="166"/>
    </row>
    <row r="7075" spans="1:14">
      <c r="A7075" s="166"/>
      <c r="H7075" s="1"/>
      <c r="N7075" s="166"/>
    </row>
    <row r="7076" spans="1:14">
      <c r="A7076" s="166"/>
      <c r="H7076" s="1"/>
      <c r="N7076" s="166"/>
    </row>
    <row r="7077" spans="1:14">
      <c r="A7077" s="166"/>
      <c r="H7077" s="1"/>
      <c r="N7077" s="166"/>
    </row>
    <row r="7078" spans="1:14">
      <c r="A7078" s="166"/>
      <c r="H7078" s="1"/>
      <c r="N7078" s="166"/>
    </row>
    <row r="7079" spans="1:14">
      <c r="A7079" s="166"/>
      <c r="H7079" s="1"/>
      <c r="N7079" s="166"/>
    </row>
    <row r="7080" spans="1:14">
      <c r="A7080" s="166"/>
      <c r="H7080" s="1"/>
      <c r="N7080" s="166"/>
    </row>
    <row r="7081" spans="1:14">
      <c r="A7081" s="166"/>
      <c r="H7081" s="1"/>
      <c r="N7081" s="166"/>
    </row>
    <row r="7082" spans="1:14">
      <c r="A7082" s="166"/>
      <c r="H7082" s="1"/>
      <c r="N7082" s="166"/>
    </row>
    <row r="7083" spans="1:14">
      <c r="A7083" s="166"/>
      <c r="H7083" s="1"/>
      <c r="N7083" s="166"/>
    </row>
    <row r="7084" spans="1:14">
      <c r="A7084" s="166"/>
      <c r="H7084" s="1"/>
      <c r="N7084" s="166"/>
    </row>
    <row r="7085" spans="1:14">
      <c r="A7085" s="166"/>
      <c r="H7085" s="1"/>
      <c r="N7085" s="166"/>
    </row>
    <row r="7086" spans="1:14">
      <c r="A7086" s="166"/>
      <c r="H7086" s="1"/>
      <c r="N7086" s="166"/>
    </row>
    <row r="7087" spans="1:14">
      <c r="A7087" s="166"/>
      <c r="H7087" s="1"/>
      <c r="N7087" s="166"/>
    </row>
    <row r="7088" spans="1:14">
      <c r="A7088" s="166"/>
      <c r="H7088" s="1"/>
      <c r="N7088" s="166"/>
    </row>
    <row r="7089" spans="1:14">
      <c r="A7089" s="166"/>
      <c r="H7089" s="1"/>
      <c r="N7089" s="166"/>
    </row>
    <row r="7090" spans="1:14">
      <c r="A7090" s="166"/>
      <c r="H7090" s="1"/>
      <c r="N7090" s="166"/>
    </row>
    <row r="7091" spans="1:14">
      <c r="A7091" s="166"/>
      <c r="H7091" s="1"/>
      <c r="N7091" s="166"/>
    </row>
    <row r="7092" spans="1:14">
      <c r="A7092" s="166"/>
      <c r="H7092" s="1"/>
      <c r="N7092" s="166"/>
    </row>
    <row r="7093" spans="1:14">
      <c r="A7093" s="166"/>
      <c r="H7093" s="1"/>
      <c r="N7093" s="166"/>
    </row>
    <row r="7094" spans="1:14">
      <c r="A7094" s="166"/>
      <c r="H7094" s="1"/>
      <c r="N7094" s="166"/>
    </row>
    <row r="7095" spans="1:14">
      <c r="A7095" s="166"/>
      <c r="H7095" s="1"/>
      <c r="N7095" s="166"/>
    </row>
    <row r="7096" spans="1:14">
      <c r="A7096" s="166"/>
      <c r="H7096" s="1"/>
      <c r="N7096" s="166"/>
    </row>
    <row r="7097" spans="1:14">
      <c r="A7097" s="166"/>
      <c r="H7097" s="1"/>
      <c r="N7097" s="166"/>
    </row>
    <row r="7098" spans="1:14">
      <c r="A7098" s="166"/>
      <c r="H7098" s="1"/>
      <c r="N7098" s="166"/>
    </row>
    <row r="7099" spans="1:14">
      <c r="A7099" s="166"/>
      <c r="H7099" s="1"/>
      <c r="N7099" s="166"/>
    </row>
    <row r="7100" spans="1:14">
      <c r="A7100" s="166"/>
      <c r="H7100" s="1"/>
      <c r="N7100" s="166"/>
    </row>
    <row r="7101" spans="1:14">
      <c r="A7101" s="166"/>
      <c r="H7101" s="1"/>
      <c r="N7101" s="166"/>
    </row>
    <row r="7102" spans="1:14">
      <c r="A7102" s="166"/>
      <c r="H7102" s="1"/>
      <c r="N7102" s="166"/>
    </row>
    <row r="7103" spans="1:14">
      <c r="A7103" s="166"/>
      <c r="H7103" s="1"/>
      <c r="N7103" s="166"/>
    </row>
    <row r="7104" spans="1:14">
      <c r="A7104" s="166"/>
      <c r="H7104" s="1"/>
      <c r="N7104" s="166"/>
    </row>
    <row r="7105" spans="1:14">
      <c r="A7105" s="166"/>
      <c r="H7105" s="1"/>
      <c r="N7105" s="166"/>
    </row>
    <row r="7106" spans="1:14">
      <c r="A7106" s="166"/>
      <c r="H7106" s="1"/>
      <c r="N7106" s="166"/>
    </row>
    <row r="7107" spans="1:14">
      <c r="A7107" s="166"/>
      <c r="H7107" s="1"/>
      <c r="N7107" s="166"/>
    </row>
    <row r="7108" spans="1:14">
      <c r="A7108" s="166"/>
      <c r="H7108" s="1"/>
      <c r="N7108" s="166"/>
    </row>
    <row r="7109" spans="1:14">
      <c r="A7109" s="166"/>
      <c r="H7109" s="1"/>
      <c r="N7109" s="166"/>
    </row>
    <row r="7110" spans="1:14">
      <c r="A7110" s="166"/>
      <c r="H7110" s="1"/>
      <c r="N7110" s="166"/>
    </row>
    <row r="7111" spans="1:14">
      <c r="A7111" s="166"/>
      <c r="H7111" s="1"/>
      <c r="N7111" s="166"/>
    </row>
    <row r="7112" spans="1:14">
      <c r="A7112" s="166"/>
      <c r="H7112" s="1"/>
      <c r="N7112" s="166"/>
    </row>
    <row r="7113" spans="1:14">
      <c r="A7113" s="166"/>
      <c r="H7113" s="1"/>
      <c r="N7113" s="166"/>
    </row>
    <row r="7114" spans="1:14">
      <c r="A7114" s="166"/>
      <c r="H7114" s="1"/>
      <c r="N7114" s="166"/>
    </row>
    <row r="7115" spans="1:14">
      <c r="A7115" s="166"/>
      <c r="H7115" s="1"/>
      <c r="N7115" s="166"/>
    </row>
    <row r="7116" spans="1:14">
      <c r="A7116" s="166"/>
      <c r="H7116" s="1"/>
      <c r="N7116" s="166"/>
    </row>
    <row r="7117" spans="1:14">
      <c r="A7117" s="166"/>
      <c r="H7117" s="1"/>
      <c r="N7117" s="166"/>
    </row>
    <row r="7118" spans="1:14">
      <c r="A7118" s="166"/>
      <c r="H7118" s="1"/>
      <c r="N7118" s="166"/>
    </row>
    <row r="7119" spans="1:14">
      <c r="A7119" s="166"/>
      <c r="H7119" s="1"/>
      <c r="N7119" s="166"/>
    </row>
    <row r="7120" spans="1:14">
      <c r="A7120" s="166"/>
      <c r="H7120" s="1"/>
      <c r="N7120" s="166"/>
    </row>
    <row r="7121" spans="1:14">
      <c r="A7121" s="166"/>
      <c r="H7121" s="1"/>
      <c r="N7121" s="166"/>
    </row>
    <row r="7122" spans="1:14">
      <c r="A7122" s="166"/>
      <c r="H7122" s="1"/>
      <c r="N7122" s="166"/>
    </row>
    <row r="7123" spans="1:14">
      <c r="A7123" s="166"/>
      <c r="H7123" s="1"/>
      <c r="N7123" s="166"/>
    </row>
    <row r="7124" spans="1:14">
      <c r="A7124" s="166"/>
      <c r="H7124" s="1"/>
      <c r="N7124" s="166"/>
    </row>
    <row r="7125" spans="1:14">
      <c r="A7125" s="166"/>
      <c r="H7125" s="1"/>
      <c r="N7125" s="166"/>
    </row>
    <row r="7126" spans="1:14">
      <c r="A7126" s="166"/>
      <c r="H7126" s="1"/>
      <c r="N7126" s="166"/>
    </row>
    <row r="7127" spans="1:14">
      <c r="A7127" s="166"/>
      <c r="H7127" s="1"/>
      <c r="N7127" s="166"/>
    </row>
    <row r="7128" spans="1:14">
      <c r="A7128" s="166"/>
      <c r="H7128" s="1"/>
      <c r="N7128" s="166"/>
    </row>
    <row r="7129" spans="1:14">
      <c r="A7129" s="166"/>
      <c r="H7129" s="1"/>
      <c r="N7129" s="166"/>
    </row>
    <row r="7130" spans="1:14">
      <c r="A7130" s="166"/>
      <c r="H7130" s="1"/>
      <c r="N7130" s="166"/>
    </row>
    <row r="7131" spans="1:14">
      <c r="A7131" s="166"/>
      <c r="H7131" s="1"/>
      <c r="N7131" s="166"/>
    </row>
    <row r="7132" spans="1:14">
      <c r="A7132" s="166"/>
      <c r="H7132" s="1"/>
      <c r="N7132" s="166"/>
    </row>
    <row r="7133" spans="1:14">
      <c r="A7133" s="166"/>
      <c r="H7133" s="1"/>
      <c r="N7133" s="166"/>
    </row>
    <row r="7134" spans="1:14">
      <c r="A7134" s="166"/>
      <c r="H7134" s="1"/>
      <c r="N7134" s="166"/>
    </row>
    <row r="7135" spans="1:14">
      <c r="A7135" s="166"/>
      <c r="H7135" s="1"/>
      <c r="N7135" s="166"/>
    </row>
    <row r="7136" spans="1:14">
      <c r="A7136" s="166"/>
      <c r="H7136" s="1"/>
      <c r="N7136" s="166"/>
    </row>
    <row r="7137" spans="1:14">
      <c r="A7137" s="166"/>
      <c r="H7137" s="1"/>
      <c r="N7137" s="166"/>
    </row>
    <row r="7138" spans="1:14">
      <c r="A7138" s="166"/>
      <c r="H7138" s="1"/>
      <c r="N7138" s="166"/>
    </row>
    <row r="7139" spans="1:14">
      <c r="A7139" s="166"/>
      <c r="H7139" s="1"/>
      <c r="N7139" s="166"/>
    </row>
    <row r="7140" spans="1:14">
      <c r="A7140" s="166"/>
      <c r="H7140" s="1"/>
      <c r="N7140" s="166"/>
    </row>
    <row r="7141" spans="1:14">
      <c r="A7141" s="166"/>
      <c r="H7141" s="1"/>
      <c r="N7141" s="166"/>
    </row>
    <row r="7142" spans="1:14">
      <c r="A7142" s="166"/>
      <c r="H7142" s="1"/>
      <c r="N7142" s="166"/>
    </row>
    <row r="7143" spans="1:14">
      <c r="A7143" s="166"/>
      <c r="H7143" s="1"/>
      <c r="N7143" s="166"/>
    </row>
    <row r="7144" spans="1:14">
      <c r="A7144" s="166"/>
      <c r="H7144" s="1"/>
      <c r="N7144" s="166"/>
    </row>
    <row r="7145" spans="1:14">
      <c r="A7145" s="166"/>
      <c r="H7145" s="1"/>
      <c r="N7145" s="166"/>
    </row>
    <row r="7146" spans="1:14">
      <c r="A7146" s="166"/>
      <c r="H7146" s="1"/>
      <c r="N7146" s="166"/>
    </row>
    <row r="7147" spans="1:14">
      <c r="A7147" s="166"/>
      <c r="H7147" s="1"/>
      <c r="N7147" s="166"/>
    </row>
    <row r="7148" spans="1:14">
      <c r="A7148" s="166"/>
      <c r="H7148" s="1"/>
      <c r="N7148" s="166"/>
    </row>
    <row r="7149" spans="1:14">
      <c r="A7149" s="166"/>
      <c r="H7149" s="1"/>
      <c r="N7149" s="166"/>
    </row>
    <row r="7150" spans="1:14">
      <c r="A7150" s="166"/>
      <c r="H7150" s="1"/>
      <c r="N7150" s="166"/>
    </row>
    <row r="7151" spans="1:14">
      <c r="A7151" s="166"/>
      <c r="H7151" s="1"/>
      <c r="N7151" s="166"/>
    </row>
    <row r="7152" spans="1:14">
      <c r="A7152" s="166"/>
      <c r="H7152" s="1"/>
      <c r="N7152" s="166"/>
    </row>
    <row r="7153" spans="1:14">
      <c r="A7153" s="166"/>
      <c r="H7153" s="1"/>
      <c r="N7153" s="166"/>
    </row>
    <row r="7154" spans="1:14">
      <c r="A7154" s="166"/>
      <c r="H7154" s="1"/>
      <c r="N7154" s="166"/>
    </row>
    <row r="7155" spans="1:14">
      <c r="A7155" s="166"/>
      <c r="H7155" s="1"/>
      <c r="N7155" s="166"/>
    </row>
    <row r="7156" spans="1:14">
      <c r="A7156" s="166"/>
      <c r="H7156" s="1"/>
      <c r="N7156" s="166"/>
    </row>
    <row r="7157" spans="1:14">
      <c r="A7157" s="166"/>
      <c r="H7157" s="1"/>
      <c r="N7157" s="166"/>
    </row>
    <row r="7158" spans="1:14">
      <c r="A7158" s="166"/>
      <c r="H7158" s="1"/>
      <c r="N7158" s="166"/>
    </row>
    <row r="7159" spans="1:14">
      <c r="A7159" s="166"/>
      <c r="H7159" s="1"/>
      <c r="N7159" s="166"/>
    </row>
    <row r="7160" spans="1:14">
      <c r="A7160" s="166"/>
      <c r="H7160" s="1"/>
      <c r="N7160" s="166"/>
    </row>
    <row r="7161" spans="1:14">
      <c r="A7161" s="166"/>
      <c r="H7161" s="1"/>
      <c r="N7161" s="166"/>
    </row>
    <row r="7162" spans="1:14">
      <c r="A7162" s="166"/>
      <c r="H7162" s="1"/>
      <c r="N7162" s="166"/>
    </row>
    <row r="7163" spans="1:14">
      <c r="A7163" s="166"/>
      <c r="H7163" s="1"/>
      <c r="N7163" s="166"/>
    </row>
    <row r="7164" spans="1:14">
      <c r="A7164" s="166"/>
      <c r="H7164" s="1"/>
      <c r="N7164" s="166"/>
    </row>
    <row r="7165" spans="1:14">
      <c r="A7165" s="166"/>
      <c r="H7165" s="1"/>
      <c r="N7165" s="166"/>
    </row>
    <row r="7166" spans="1:14">
      <c r="A7166" s="166"/>
      <c r="H7166" s="1"/>
      <c r="N7166" s="166"/>
    </row>
    <row r="7167" spans="1:14">
      <c r="A7167" s="166"/>
      <c r="H7167" s="1"/>
      <c r="N7167" s="166"/>
    </row>
    <row r="7168" spans="1:14">
      <c r="A7168" s="166"/>
      <c r="H7168" s="1"/>
      <c r="N7168" s="166"/>
    </row>
    <row r="7169" spans="1:14">
      <c r="A7169" s="166"/>
      <c r="H7169" s="1"/>
      <c r="N7169" s="166"/>
    </row>
    <row r="7170" spans="1:14">
      <c r="A7170" s="166"/>
      <c r="H7170" s="1"/>
      <c r="N7170" s="166"/>
    </row>
    <row r="7171" spans="1:14">
      <c r="A7171" s="166"/>
      <c r="H7171" s="1"/>
      <c r="N7171" s="166"/>
    </row>
    <row r="7172" spans="1:14">
      <c r="A7172" s="166"/>
      <c r="H7172" s="1"/>
      <c r="N7172" s="166"/>
    </row>
    <row r="7173" spans="1:14">
      <c r="A7173" s="166"/>
      <c r="H7173" s="1"/>
      <c r="N7173" s="166"/>
    </row>
    <row r="7174" spans="1:14">
      <c r="A7174" s="166"/>
      <c r="H7174" s="1"/>
      <c r="N7174" s="166"/>
    </row>
    <row r="7175" spans="1:14">
      <c r="A7175" s="166"/>
      <c r="H7175" s="1"/>
      <c r="N7175" s="166"/>
    </row>
    <row r="7176" spans="1:14">
      <c r="A7176" s="166"/>
      <c r="H7176" s="1"/>
      <c r="N7176" s="166"/>
    </row>
    <row r="7177" spans="1:14">
      <c r="A7177" s="166"/>
      <c r="H7177" s="1"/>
      <c r="N7177" s="166"/>
    </row>
    <row r="7178" spans="1:14">
      <c r="A7178" s="166"/>
      <c r="H7178" s="1"/>
      <c r="N7178" s="166"/>
    </row>
    <row r="7179" spans="1:14">
      <c r="A7179" s="166"/>
      <c r="H7179" s="1"/>
      <c r="N7179" s="166"/>
    </row>
    <row r="7180" spans="1:14">
      <c r="A7180" s="166"/>
      <c r="H7180" s="1"/>
      <c r="N7180" s="166"/>
    </row>
    <row r="7181" spans="1:14">
      <c r="A7181" s="166"/>
      <c r="H7181" s="1"/>
      <c r="N7181" s="166"/>
    </row>
    <row r="7182" spans="1:14">
      <c r="A7182" s="166"/>
      <c r="H7182" s="1"/>
      <c r="N7182" s="166"/>
    </row>
    <row r="7183" spans="1:14">
      <c r="A7183" s="166"/>
      <c r="H7183" s="1"/>
      <c r="N7183" s="166"/>
    </row>
    <row r="7184" spans="1:14">
      <c r="A7184" s="166"/>
      <c r="H7184" s="1"/>
      <c r="N7184" s="166"/>
    </row>
    <row r="7185" spans="1:14">
      <c r="A7185" s="166"/>
      <c r="H7185" s="1"/>
      <c r="N7185" s="166"/>
    </row>
    <row r="7186" spans="1:14">
      <c r="A7186" s="166"/>
      <c r="H7186" s="1"/>
      <c r="N7186" s="166"/>
    </row>
    <row r="7187" spans="1:14">
      <c r="A7187" s="166"/>
      <c r="H7187" s="1"/>
      <c r="N7187" s="166"/>
    </row>
    <row r="7188" spans="1:14">
      <c r="A7188" s="166"/>
      <c r="H7188" s="1"/>
      <c r="N7188" s="166"/>
    </row>
    <row r="7189" spans="1:14">
      <c r="A7189" s="166"/>
      <c r="H7189" s="1"/>
      <c r="N7189" s="166"/>
    </row>
    <row r="7190" spans="1:14">
      <c r="A7190" s="166"/>
      <c r="H7190" s="1"/>
      <c r="N7190" s="166"/>
    </row>
    <row r="7191" spans="1:14">
      <c r="A7191" s="166"/>
      <c r="H7191" s="1"/>
      <c r="N7191" s="166"/>
    </row>
    <row r="7192" spans="1:14">
      <c r="A7192" s="166"/>
      <c r="H7192" s="1"/>
      <c r="N7192" s="166"/>
    </row>
    <row r="7193" spans="1:14">
      <c r="A7193" s="166"/>
      <c r="H7193" s="1"/>
      <c r="N7193" s="166"/>
    </row>
    <row r="7194" spans="1:14">
      <c r="A7194" s="166"/>
      <c r="H7194" s="1"/>
      <c r="N7194" s="166"/>
    </row>
    <row r="7195" spans="1:14">
      <c r="A7195" s="166"/>
      <c r="H7195" s="1"/>
      <c r="N7195" s="166"/>
    </row>
    <row r="7196" spans="1:14">
      <c r="A7196" s="166"/>
      <c r="H7196" s="1"/>
      <c r="N7196" s="166"/>
    </row>
    <row r="7197" spans="1:14">
      <c r="A7197" s="166"/>
      <c r="H7197" s="1"/>
      <c r="N7197" s="166"/>
    </row>
    <row r="7198" spans="1:14">
      <c r="A7198" s="166"/>
      <c r="H7198" s="1"/>
      <c r="N7198" s="166"/>
    </row>
    <row r="7199" spans="1:14">
      <c r="A7199" s="166"/>
      <c r="H7199" s="1"/>
      <c r="N7199" s="166"/>
    </row>
    <row r="7200" spans="1:14">
      <c r="A7200" s="166"/>
      <c r="H7200" s="1"/>
      <c r="N7200" s="166"/>
    </row>
    <row r="7201" spans="1:14">
      <c r="A7201" s="166"/>
      <c r="H7201" s="1"/>
      <c r="N7201" s="166"/>
    </row>
    <row r="7202" spans="1:14">
      <c r="A7202" s="166"/>
      <c r="H7202" s="1"/>
      <c r="N7202" s="166"/>
    </row>
    <row r="7203" spans="1:14">
      <c r="A7203" s="166"/>
      <c r="H7203" s="1"/>
      <c r="N7203" s="166"/>
    </row>
    <row r="7204" spans="1:14">
      <c r="A7204" s="166"/>
      <c r="H7204" s="1"/>
      <c r="N7204" s="166"/>
    </row>
    <row r="7205" spans="1:14">
      <c r="A7205" s="166"/>
      <c r="H7205" s="1"/>
      <c r="N7205" s="166"/>
    </row>
    <row r="7206" spans="1:14">
      <c r="A7206" s="166"/>
      <c r="H7206" s="1"/>
      <c r="N7206" s="166"/>
    </row>
    <row r="7207" spans="1:14">
      <c r="A7207" s="166"/>
      <c r="H7207" s="1"/>
      <c r="N7207" s="166"/>
    </row>
    <row r="7208" spans="1:14">
      <c r="A7208" s="166"/>
      <c r="H7208" s="1"/>
      <c r="N7208" s="166"/>
    </row>
    <row r="7209" spans="1:14">
      <c r="A7209" s="166"/>
      <c r="H7209" s="1"/>
      <c r="N7209" s="166"/>
    </row>
    <row r="7210" spans="1:14">
      <c r="A7210" s="166"/>
      <c r="H7210" s="1"/>
      <c r="N7210" s="166"/>
    </row>
    <row r="7211" spans="1:14">
      <c r="A7211" s="166"/>
      <c r="H7211" s="1"/>
      <c r="N7211" s="166"/>
    </row>
    <row r="7212" spans="1:14">
      <c r="A7212" s="166"/>
      <c r="H7212" s="1"/>
      <c r="N7212" s="166"/>
    </row>
    <row r="7213" spans="1:14">
      <c r="A7213" s="166"/>
      <c r="H7213" s="1"/>
      <c r="N7213" s="166"/>
    </row>
    <row r="7214" spans="1:14">
      <c r="A7214" s="166"/>
      <c r="H7214" s="1"/>
      <c r="N7214" s="166"/>
    </row>
    <row r="7215" spans="1:14">
      <c r="A7215" s="166"/>
      <c r="H7215" s="1"/>
      <c r="N7215" s="166"/>
    </row>
    <row r="7216" spans="1:14">
      <c r="A7216" s="166"/>
      <c r="H7216" s="1"/>
      <c r="N7216" s="166"/>
    </row>
    <row r="7217" spans="1:14">
      <c r="A7217" s="166"/>
      <c r="H7217" s="1"/>
      <c r="N7217" s="166"/>
    </row>
    <row r="7218" spans="1:14">
      <c r="A7218" s="166"/>
      <c r="H7218" s="1"/>
      <c r="N7218" s="166"/>
    </row>
    <row r="7219" spans="1:14">
      <c r="A7219" s="166"/>
      <c r="H7219" s="1"/>
      <c r="N7219" s="166"/>
    </row>
    <row r="7220" spans="1:14">
      <c r="A7220" s="166"/>
      <c r="H7220" s="1"/>
      <c r="N7220" s="166"/>
    </row>
    <row r="7221" spans="1:14">
      <c r="A7221" s="166"/>
      <c r="H7221" s="1"/>
      <c r="N7221" s="166"/>
    </row>
    <row r="7222" spans="1:14">
      <c r="A7222" s="166"/>
      <c r="H7222" s="1"/>
      <c r="N7222" s="166"/>
    </row>
    <row r="7223" spans="1:14">
      <c r="A7223" s="166"/>
      <c r="H7223" s="1"/>
      <c r="N7223" s="166"/>
    </row>
    <row r="7224" spans="1:14">
      <c r="A7224" s="166"/>
      <c r="H7224" s="1"/>
      <c r="N7224" s="166"/>
    </row>
    <row r="7225" spans="1:14">
      <c r="A7225" s="166"/>
      <c r="H7225" s="1"/>
      <c r="N7225" s="166"/>
    </row>
    <row r="7226" spans="1:14">
      <c r="A7226" s="166"/>
      <c r="H7226" s="1"/>
      <c r="N7226" s="166"/>
    </row>
    <row r="7227" spans="1:14">
      <c r="A7227" s="166"/>
      <c r="H7227" s="1"/>
      <c r="N7227" s="166"/>
    </row>
    <row r="7228" spans="1:14">
      <c r="A7228" s="166"/>
      <c r="H7228" s="1"/>
      <c r="N7228" s="166"/>
    </row>
    <row r="7229" spans="1:14">
      <c r="A7229" s="166"/>
      <c r="H7229" s="1"/>
      <c r="N7229" s="166"/>
    </row>
    <row r="7230" spans="1:14">
      <c r="A7230" s="166"/>
      <c r="H7230" s="1"/>
      <c r="N7230" s="166"/>
    </row>
    <row r="7231" spans="1:14">
      <c r="A7231" s="166"/>
      <c r="H7231" s="1"/>
      <c r="N7231" s="166"/>
    </row>
    <row r="7232" spans="1:14">
      <c r="A7232" s="166"/>
      <c r="H7232" s="1"/>
      <c r="N7232" s="166"/>
    </row>
    <row r="7233" spans="1:14">
      <c r="A7233" s="166"/>
      <c r="H7233" s="1"/>
      <c r="N7233" s="166"/>
    </row>
    <row r="7234" spans="1:14">
      <c r="A7234" s="166"/>
      <c r="H7234" s="1"/>
      <c r="N7234" s="166"/>
    </row>
    <row r="7235" spans="1:14">
      <c r="A7235" s="166"/>
      <c r="H7235" s="1"/>
      <c r="N7235" s="166"/>
    </row>
    <row r="7236" spans="1:14">
      <c r="A7236" s="166"/>
      <c r="H7236" s="1"/>
      <c r="N7236" s="166"/>
    </row>
    <row r="7237" spans="1:14">
      <c r="A7237" s="166"/>
      <c r="H7237" s="1"/>
      <c r="N7237" s="166"/>
    </row>
    <row r="7238" spans="1:14">
      <c r="A7238" s="166"/>
      <c r="H7238" s="1"/>
      <c r="N7238" s="166"/>
    </row>
    <row r="7239" spans="1:14">
      <c r="A7239" s="166"/>
      <c r="H7239" s="1"/>
      <c r="N7239" s="166"/>
    </row>
    <row r="7240" spans="1:14">
      <c r="A7240" s="166"/>
      <c r="H7240" s="1"/>
      <c r="N7240" s="166"/>
    </row>
    <row r="7241" spans="1:14">
      <c r="A7241" s="166"/>
      <c r="H7241" s="1"/>
      <c r="N7241" s="166"/>
    </row>
    <row r="7242" spans="1:14">
      <c r="A7242" s="166"/>
      <c r="H7242" s="1"/>
      <c r="N7242" s="166"/>
    </row>
    <row r="7243" spans="1:14">
      <c r="A7243" s="166"/>
      <c r="H7243" s="1"/>
      <c r="N7243" s="166"/>
    </row>
    <row r="7244" spans="1:14">
      <c r="A7244" s="166"/>
      <c r="H7244" s="1"/>
      <c r="N7244" s="166"/>
    </row>
    <row r="7245" spans="1:14">
      <c r="A7245" s="166"/>
      <c r="H7245" s="1"/>
      <c r="N7245" s="166"/>
    </row>
    <row r="7246" spans="1:14">
      <c r="A7246" s="166"/>
      <c r="H7246" s="1"/>
      <c r="N7246" s="166"/>
    </row>
    <row r="7247" spans="1:14">
      <c r="A7247" s="166"/>
      <c r="H7247" s="1"/>
      <c r="N7247" s="166"/>
    </row>
    <row r="7248" spans="1:14">
      <c r="A7248" s="166"/>
      <c r="H7248" s="1"/>
      <c r="N7248" s="166"/>
    </row>
    <row r="7249" spans="1:14">
      <c r="A7249" s="166"/>
      <c r="H7249" s="1"/>
      <c r="N7249" s="166"/>
    </row>
    <row r="7250" spans="1:14">
      <c r="A7250" s="166"/>
      <c r="H7250" s="1"/>
      <c r="N7250" s="166"/>
    </row>
    <row r="7251" spans="1:14">
      <c r="A7251" s="166"/>
      <c r="H7251" s="1"/>
      <c r="N7251" s="166"/>
    </row>
    <row r="7252" spans="1:14">
      <c r="A7252" s="166"/>
      <c r="H7252" s="1"/>
      <c r="N7252" s="166"/>
    </row>
    <row r="7253" spans="1:14">
      <c r="A7253" s="166"/>
      <c r="H7253" s="1"/>
      <c r="N7253" s="166"/>
    </row>
    <row r="7254" spans="1:14">
      <c r="A7254" s="166"/>
      <c r="H7254" s="1"/>
      <c r="N7254" s="166"/>
    </row>
    <row r="7255" spans="1:14">
      <c r="A7255" s="166"/>
      <c r="H7255" s="1"/>
      <c r="N7255" s="166"/>
    </row>
    <row r="7256" spans="1:14">
      <c r="A7256" s="166"/>
      <c r="H7256" s="1"/>
      <c r="N7256" s="166"/>
    </row>
    <row r="7257" spans="1:14">
      <c r="A7257" s="166"/>
      <c r="H7257" s="1"/>
      <c r="N7257" s="166"/>
    </row>
    <row r="7258" spans="1:14">
      <c r="A7258" s="166"/>
      <c r="H7258" s="1"/>
      <c r="N7258" s="166"/>
    </row>
    <row r="7259" spans="1:14">
      <c r="A7259" s="166"/>
      <c r="H7259" s="1"/>
      <c r="N7259" s="166"/>
    </row>
    <row r="7260" spans="1:14">
      <c r="A7260" s="166"/>
      <c r="H7260" s="1"/>
      <c r="N7260" s="166"/>
    </row>
    <row r="7261" spans="1:14">
      <c r="A7261" s="166"/>
      <c r="H7261" s="1"/>
      <c r="N7261" s="166"/>
    </row>
    <row r="7262" spans="1:14">
      <c r="A7262" s="166"/>
      <c r="H7262" s="1"/>
      <c r="N7262" s="166"/>
    </row>
    <row r="7263" spans="1:14">
      <c r="A7263" s="166"/>
      <c r="H7263" s="1"/>
      <c r="N7263" s="166"/>
    </row>
    <row r="7264" spans="1:14">
      <c r="A7264" s="166"/>
      <c r="H7264" s="1"/>
      <c r="N7264" s="166"/>
    </row>
    <row r="7265" spans="1:14">
      <c r="A7265" s="166"/>
      <c r="H7265" s="1"/>
      <c r="N7265" s="166"/>
    </row>
    <row r="7266" spans="1:14">
      <c r="A7266" s="166"/>
      <c r="H7266" s="1"/>
      <c r="N7266" s="166"/>
    </row>
    <row r="7267" spans="1:14">
      <c r="A7267" s="166"/>
      <c r="H7267" s="1"/>
      <c r="N7267" s="166"/>
    </row>
    <row r="7268" spans="1:14">
      <c r="A7268" s="166"/>
      <c r="H7268" s="1"/>
      <c r="N7268" s="166"/>
    </row>
    <row r="7269" spans="1:14">
      <c r="A7269" s="166"/>
      <c r="H7269" s="1"/>
      <c r="N7269" s="166"/>
    </row>
    <row r="7270" spans="1:14">
      <c r="A7270" s="166"/>
      <c r="H7270" s="1"/>
      <c r="N7270" s="166"/>
    </row>
    <row r="7271" spans="1:14">
      <c r="A7271" s="166"/>
      <c r="H7271" s="1"/>
      <c r="N7271" s="166"/>
    </row>
    <row r="7272" spans="1:14">
      <c r="A7272" s="166"/>
      <c r="H7272" s="1"/>
      <c r="N7272" s="166"/>
    </row>
    <row r="7273" spans="1:14">
      <c r="A7273" s="166"/>
      <c r="H7273" s="1"/>
      <c r="N7273" s="166"/>
    </row>
    <row r="7274" spans="1:14">
      <c r="A7274" s="166"/>
      <c r="H7274" s="1"/>
      <c r="N7274" s="166"/>
    </row>
    <row r="7275" spans="1:14">
      <c r="A7275" s="166"/>
      <c r="H7275" s="1"/>
      <c r="N7275" s="166"/>
    </row>
    <row r="7276" spans="1:14">
      <c r="A7276" s="166"/>
      <c r="H7276" s="1"/>
      <c r="N7276" s="166"/>
    </row>
    <row r="7277" spans="1:14">
      <c r="A7277" s="166"/>
      <c r="H7277" s="1"/>
      <c r="N7277" s="166"/>
    </row>
    <row r="7278" spans="1:14">
      <c r="A7278" s="166"/>
      <c r="H7278" s="1"/>
      <c r="N7278" s="166"/>
    </row>
    <row r="7279" spans="1:14">
      <c r="A7279" s="166"/>
      <c r="H7279" s="1"/>
      <c r="N7279" s="166"/>
    </row>
    <row r="7280" spans="1:14">
      <c r="A7280" s="166"/>
      <c r="H7280" s="1"/>
      <c r="N7280" s="166"/>
    </row>
    <row r="7281" spans="1:14">
      <c r="A7281" s="166"/>
      <c r="H7281" s="1"/>
      <c r="N7281" s="166"/>
    </row>
    <row r="7282" spans="1:14">
      <c r="A7282" s="166"/>
      <c r="H7282" s="1"/>
      <c r="N7282" s="166"/>
    </row>
    <row r="7283" spans="1:14">
      <c r="A7283" s="166"/>
      <c r="H7283" s="1"/>
      <c r="N7283" s="166"/>
    </row>
    <row r="7284" spans="1:14">
      <c r="A7284" s="166"/>
      <c r="H7284" s="1"/>
      <c r="N7284" s="166"/>
    </row>
    <row r="7285" spans="1:14">
      <c r="A7285" s="166"/>
      <c r="H7285" s="1"/>
      <c r="N7285" s="166"/>
    </row>
    <row r="7286" spans="1:14">
      <c r="A7286" s="166"/>
      <c r="H7286" s="1"/>
      <c r="N7286" s="166"/>
    </row>
    <row r="7287" spans="1:14">
      <c r="A7287" s="166"/>
      <c r="H7287" s="1"/>
      <c r="N7287" s="166"/>
    </row>
    <row r="7288" spans="1:14">
      <c r="A7288" s="166"/>
      <c r="H7288" s="1"/>
      <c r="N7288" s="166"/>
    </row>
    <row r="7289" spans="1:14">
      <c r="A7289" s="166"/>
      <c r="H7289" s="1"/>
      <c r="N7289" s="166"/>
    </row>
    <row r="7290" spans="1:14">
      <c r="A7290" s="166"/>
      <c r="H7290" s="1"/>
      <c r="N7290" s="166"/>
    </row>
    <row r="7291" spans="1:14">
      <c r="A7291" s="166"/>
      <c r="H7291" s="1"/>
      <c r="N7291" s="166"/>
    </row>
    <row r="7292" spans="1:14">
      <c r="A7292" s="166"/>
      <c r="H7292" s="1"/>
      <c r="N7292" s="166"/>
    </row>
    <row r="7293" spans="1:14">
      <c r="A7293" s="166"/>
      <c r="H7293" s="1"/>
      <c r="N7293" s="166"/>
    </row>
    <row r="7294" spans="1:14">
      <c r="A7294" s="166"/>
      <c r="H7294" s="1"/>
      <c r="N7294" s="166"/>
    </row>
    <row r="7295" spans="1:14">
      <c r="A7295" s="166"/>
      <c r="H7295" s="1"/>
      <c r="N7295" s="166"/>
    </row>
    <row r="7296" spans="1:14">
      <c r="A7296" s="166"/>
      <c r="H7296" s="1"/>
      <c r="N7296" s="166"/>
    </row>
    <row r="7297" spans="1:14">
      <c r="A7297" s="166"/>
      <c r="H7297" s="1"/>
      <c r="N7297" s="166"/>
    </row>
    <row r="7298" spans="1:14">
      <c r="A7298" s="166"/>
      <c r="H7298" s="1"/>
      <c r="N7298" s="166"/>
    </row>
    <row r="7299" spans="1:14">
      <c r="A7299" s="166"/>
      <c r="H7299" s="1"/>
      <c r="N7299" s="166"/>
    </row>
    <row r="7300" spans="1:14">
      <c r="A7300" s="166"/>
      <c r="H7300" s="1"/>
      <c r="N7300" s="166"/>
    </row>
    <row r="7301" spans="1:14">
      <c r="A7301" s="166"/>
      <c r="H7301" s="1"/>
      <c r="N7301" s="166"/>
    </row>
    <row r="7302" spans="1:14">
      <c r="A7302" s="166"/>
      <c r="H7302" s="1"/>
      <c r="N7302" s="166"/>
    </row>
    <row r="7303" spans="1:14">
      <c r="A7303" s="166"/>
      <c r="H7303" s="1"/>
      <c r="N7303" s="166"/>
    </row>
    <row r="7304" spans="1:14">
      <c r="A7304" s="166"/>
      <c r="H7304" s="1"/>
      <c r="N7304" s="166"/>
    </row>
    <row r="7305" spans="1:14">
      <c r="A7305" s="166"/>
      <c r="H7305" s="1"/>
      <c r="N7305" s="166"/>
    </row>
    <row r="7306" spans="1:14">
      <c r="A7306" s="166"/>
      <c r="H7306" s="1"/>
      <c r="N7306" s="166"/>
    </row>
    <row r="7307" spans="1:14">
      <c r="A7307" s="166"/>
      <c r="H7307" s="1"/>
      <c r="N7307" s="166"/>
    </row>
    <row r="7308" spans="1:14">
      <c r="A7308" s="166"/>
      <c r="H7308" s="1"/>
      <c r="N7308" s="166"/>
    </row>
    <row r="7309" spans="1:14">
      <c r="A7309" s="166"/>
      <c r="H7309" s="1"/>
      <c r="N7309" s="166"/>
    </row>
    <row r="7310" spans="1:14">
      <c r="A7310" s="166"/>
      <c r="H7310" s="1"/>
      <c r="N7310" s="166"/>
    </row>
    <row r="7311" spans="1:14">
      <c r="A7311" s="166"/>
      <c r="H7311" s="1"/>
      <c r="N7311" s="166"/>
    </row>
    <row r="7312" spans="1:14">
      <c r="A7312" s="166"/>
      <c r="H7312" s="1"/>
      <c r="N7312" s="166"/>
    </row>
    <row r="7313" spans="1:14">
      <c r="A7313" s="166"/>
      <c r="H7313" s="1"/>
      <c r="N7313" s="166"/>
    </row>
    <row r="7314" spans="1:14">
      <c r="A7314" s="166"/>
      <c r="H7314" s="1"/>
      <c r="N7314" s="166"/>
    </row>
    <row r="7315" spans="1:14">
      <c r="A7315" s="166"/>
      <c r="H7315" s="1"/>
      <c r="N7315" s="166"/>
    </row>
    <row r="7316" spans="1:14">
      <c r="A7316" s="166"/>
      <c r="H7316" s="1"/>
      <c r="N7316" s="166"/>
    </row>
    <row r="7317" spans="1:14">
      <c r="A7317" s="166"/>
      <c r="H7317" s="1"/>
      <c r="N7317" s="166"/>
    </row>
    <row r="7318" spans="1:14">
      <c r="A7318" s="166"/>
      <c r="H7318" s="1"/>
      <c r="N7318" s="166"/>
    </row>
    <row r="7319" spans="1:14">
      <c r="A7319" s="166"/>
      <c r="H7319" s="1"/>
      <c r="N7319" s="166"/>
    </row>
    <row r="7320" spans="1:14">
      <c r="A7320" s="166"/>
      <c r="H7320" s="1"/>
      <c r="N7320" s="166"/>
    </row>
    <row r="7321" spans="1:14">
      <c r="A7321" s="166"/>
      <c r="H7321" s="1"/>
      <c r="N7321" s="166"/>
    </row>
    <row r="7322" spans="1:14">
      <c r="A7322" s="166"/>
      <c r="H7322" s="1"/>
      <c r="N7322" s="166"/>
    </row>
    <row r="7323" spans="1:14">
      <c r="A7323" s="166"/>
      <c r="H7323" s="1"/>
      <c r="N7323" s="166"/>
    </row>
    <row r="7324" spans="1:14">
      <c r="A7324" s="166"/>
      <c r="H7324" s="1"/>
      <c r="N7324" s="166"/>
    </row>
    <row r="7325" spans="1:14">
      <c r="A7325" s="166"/>
      <c r="H7325" s="1"/>
      <c r="N7325" s="166"/>
    </row>
    <row r="7326" spans="1:14">
      <c r="A7326" s="166"/>
      <c r="H7326" s="1"/>
      <c r="N7326" s="166"/>
    </row>
    <row r="7327" spans="1:14">
      <c r="A7327" s="166"/>
      <c r="H7327" s="1"/>
      <c r="N7327" s="166"/>
    </row>
    <row r="7328" spans="1:14">
      <c r="A7328" s="166"/>
      <c r="H7328" s="1"/>
      <c r="N7328" s="166"/>
    </row>
    <row r="7329" spans="1:14">
      <c r="A7329" s="166"/>
      <c r="H7329" s="1"/>
      <c r="N7329" s="166"/>
    </row>
    <row r="7330" spans="1:14">
      <c r="A7330" s="166"/>
      <c r="H7330" s="1"/>
      <c r="N7330" s="166"/>
    </row>
    <row r="7331" spans="1:14">
      <c r="A7331" s="166"/>
      <c r="H7331" s="1"/>
      <c r="N7331" s="166"/>
    </row>
    <row r="7332" spans="1:14">
      <c r="A7332" s="166"/>
      <c r="H7332" s="1"/>
      <c r="N7332" s="166"/>
    </row>
    <row r="7333" spans="1:14">
      <c r="A7333" s="166"/>
      <c r="H7333" s="1"/>
      <c r="N7333" s="166"/>
    </row>
    <row r="7334" spans="1:14">
      <c r="A7334" s="166"/>
      <c r="H7334" s="1"/>
      <c r="N7334" s="166"/>
    </row>
    <row r="7335" spans="1:14">
      <c r="A7335" s="166"/>
      <c r="H7335" s="1"/>
      <c r="N7335" s="166"/>
    </row>
    <row r="7336" spans="1:14">
      <c r="A7336" s="166"/>
      <c r="H7336" s="1"/>
      <c r="N7336" s="166"/>
    </row>
    <row r="7337" spans="1:14">
      <c r="A7337" s="166"/>
      <c r="H7337" s="1"/>
      <c r="N7337" s="166"/>
    </row>
    <row r="7338" spans="1:14">
      <c r="A7338" s="166"/>
      <c r="H7338" s="1"/>
      <c r="N7338" s="166"/>
    </row>
    <row r="7339" spans="1:14">
      <c r="A7339" s="166"/>
      <c r="H7339" s="1"/>
      <c r="N7339" s="166"/>
    </row>
    <row r="7340" spans="1:14">
      <c r="A7340" s="166"/>
      <c r="H7340" s="1"/>
      <c r="N7340" s="166"/>
    </row>
    <row r="7341" spans="1:14">
      <c r="A7341" s="166"/>
      <c r="H7341" s="1"/>
      <c r="N7341" s="166"/>
    </row>
    <row r="7342" spans="1:14">
      <c r="A7342" s="166"/>
      <c r="H7342" s="1"/>
      <c r="N7342" s="166"/>
    </row>
    <row r="7343" spans="1:14">
      <c r="A7343" s="166"/>
      <c r="H7343" s="1"/>
      <c r="N7343" s="166"/>
    </row>
    <row r="7344" spans="1:14">
      <c r="A7344" s="166"/>
      <c r="H7344" s="1"/>
      <c r="N7344" s="166"/>
    </row>
    <row r="7345" spans="1:14">
      <c r="A7345" s="166"/>
      <c r="H7345" s="1"/>
      <c r="N7345" s="166"/>
    </row>
    <row r="7346" spans="1:14">
      <c r="A7346" s="166"/>
      <c r="H7346" s="1"/>
      <c r="N7346" s="166"/>
    </row>
    <row r="7347" spans="1:14">
      <c r="A7347" s="166"/>
      <c r="H7347" s="1"/>
      <c r="N7347" s="166"/>
    </row>
    <row r="7348" spans="1:14">
      <c r="A7348" s="166"/>
      <c r="H7348" s="1"/>
      <c r="N7348" s="166"/>
    </row>
    <row r="7349" spans="1:14">
      <c r="A7349" s="166"/>
      <c r="H7349" s="1"/>
      <c r="N7349" s="166"/>
    </row>
    <row r="7350" spans="1:14">
      <c r="A7350" s="166"/>
      <c r="H7350" s="1"/>
      <c r="N7350" s="166"/>
    </row>
    <row r="7351" spans="1:14">
      <c r="A7351" s="166"/>
      <c r="H7351" s="1"/>
      <c r="N7351" s="166"/>
    </row>
    <row r="7352" spans="1:14">
      <c r="A7352" s="166"/>
      <c r="H7352" s="1"/>
      <c r="N7352" s="166"/>
    </row>
    <row r="7353" spans="1:14">
      <c r="A7353" s="166"/>
      <c r="H7353" s="1"/>
      <c r="N7353" s="166"/>
    </row>
    <row r="7354" spans="1:14">
      <c r="A7354" s="166"/>
      <c r="H7354" s="1"/>
      <c r="N7354" s="166"/>
    </row>
    <row r="7355" spans="1:14">
      <c r="A7355" s="166"/>
      <c r="H7355" s="1"/>
      <c r="N7355" s="166"/>
    </row>
    <row r="7356" spans="1:14">
      <c r="A7356" s="166"/>
      <c r="H7356" s="1"/>
      <c r="N7356" s="166"/>
    </row>
    <row r="7357" spans="1:14">
      <c r="A7357" s="166"/>
      <c r="H7357" s="1"/>
      <c r="N7357" s="166"/>
    </row>
    <row r="7358" spans="1:14">
      <c r="A7358" s="166"/>
      <c r="H7358" s="1"/>
      <c r="N7358" s="166"/>
    </row>
    <row r="7359" spans="1:14">
      <c r="A7359" s="166"/>
      <c r="H7359" s="1"/>
      <c r="N7359" s="166"/>
    </row>
    <row r="7360" spans="1:14">
      <c r="A7360" s="166"/>
      <c r="H7360" s="1"/>
      <c r="N7360" s="166"/>
    </row>
    <row r="7361" spans="1:14">
      <c r="A7361" s="166"/>
      <c r="H7361" s="1"/>
      <c r="N7361" s="166"/>
    </row>
    <row r="7362" spans="1:14">
      <c r="A7362" s="166"/>
      <c r="H7362" s="1"/>
      <c r="N7362" s="166"/>
    </row>
    <row r="7363" spans="1:14">
      <c r="A7363" s="166"/>
      <c r="H7363" s="1"/>
      <c r="N7363" s="166"/>
    </row>
    <row r="7364" spans="1:14">
      <c r="A7364" s="166"/>
      <c r="H7364" s="1"/>
      <c r="N7364" s="166"/>
    </row>
    <row r="7365" spans="1:14">
      <c r="A7365" s="166"/>
      <c r="H7365" s="1"/>
      <c r="N7365" s="166"/>
    </row>
    <row r="7366" spans="1:14">
      <c r="A7366" s="166"/>
      <c r="H7366" s="1"/>
      <c r="N7366" s="166"/>
    </row>
    <row r="7367" spans="1:14">
      <c r="A7367" s="166"/>
      <c r="H7367" s="1"/>
      <c r="N7367" s="166"/>
    </row>
    <row r="7368" spans="1:14">
      <c r="A7368" s="166"/>
      <c r="H7368" s="1"/>
      <c r="N7368" s="166"/>
    </row>
    <row r="7369" spans="1:14">
      <c r="A7369" s="166"/>
      <c r="H7369" s="1"/>
      <c r="N7369" s="166"/>
    </row>
    <row r="7370" spans="1:14">
      <c r="A7370" s="166"/>
      <c r="H7370" s="1"/>
      <c r="N7370" s="166"/>
    </row>
    <row r="7371" spans="1:14">
      <c r="A7371" s="166"/>
      <c r="H7371" s="1"/>
      <c r="N7371" s="166"/>
    </row>
    <row r="7372" spans="1:14">
      <c r="A7372" s="166"/>
      <c r="H7372" s="1"/>
      <c r="N7372" s="166"/>
    </row>
    <row r="7373" spans="1:14">
      <c r="A7373" s="166"/>
      <c r="H7373" s="1"/>
      <c r="N7373" s="166"/>
    </row>
    <row r="7374" spans="1:14">
      <c r="A7374" s="166"/>
      <c r="H7374" s="1"/>
      <c r="N7374" s="166"/>
    </row>
    <row r="7375" spans="1:14">
      <c r="A7375" s="166"/>
      <c r="H7375" s="1"/>
      <c r="N7375" s="166"/>
    </row>
    <row r="7376" spans="1:14">
      <c r="A7376" s="166"/>
      <c r="H7376" s="1"/>
      <c r="N7376" s="166"/>
    </row>
    <row r="7377" spans="1:14">
      <c r="A7377" s="166"/>
      <c r="H7377" s="1"/>
      <c r="N7377" s="166"/>
    </row>
    <row r="7378" spans="1:14">
      <c r="A7378" s="166"/>
      <c r="H7378" s="1"/>
      <c r="N7378" s="166"/>
    </row>
    <row r="7379" spans="1:14">
      <c r="A7379" s="166"/>
      <c r="H7379" s="1"/>
      <c r="N7379" s="166"/>
    </row>
    <row r="7380" spans="1:14">
      <c r="A7380" s="166"/>
      <c r="H7380" s="1"/>
      <c r="N7380" s="166"/>
    </row>
    <row r="7381" spans="1:14">
      <c r="A7381" s="166"/>
      <c r="H7381" s="1"/>
      <c r="N7381" s="166"/>
    </row>
    <row r="7382" spans="1:14">
      <c r="A7382" s="166"/>
      <c r="H7382" s="1"/>
      <c r="N7382" s="166"/>
    </row>
    <row r="7383" spans="1:14">
      <c r="A7383" s="166"/>
      <c r="H7383" s="1"/>
      <c r="N7383" s="166"/>
    </row>
    <row r="7384" spans="1:14">
      <c r="A7384" s="166"/>
      <c r="H7384" s="1"/>
      <c r="N7384" s="166"/>
    </row>
    <row r="7385" spans="1:14">
      <c r="A7385" s="166"/>
      <c r="H7385" s="1"/>
      <c r="N7385" s="166"/>
    </row>
    <row r="7386" spans="1:14">
      <c r="A7386" s="166"/>
      <c r="H7386" s="1"/>
      <c r="N7386" s="166"/>
    </row>
    <row r="7387" spans="1:14">
      <c r="A7387" s="166"/>
      <c r="H7387" s="1"/>
      <c r="N7387" s="166"/>
    </row>
    <row r="7388" spans="1:14">
      <c r="A7388" s="166"/>
      <c r="H7388" s="1"/>
      <c r="N7388" s="166"/>
    </row>
    <row r="7389" spans="1:14">
      <c r="A7389" s="166"/>
      <c r="H7389" s="1"/>
      <c r="N7389" s="166"/>
    </row>
    <row r="7390" spans="1:14">
      <c r="A7390" s="166"/>
      <c r="H7390" s="1"/>
      <c r="N7390" s="166"/>
    </row>
    <row r="7391" spans="1:14">
      <c r="A7391" s="166"/>
      <c r="H7391" s="1"/>
      <c r="N7391" s="166"/>
    </row>
    <row r="7392" spans="1:14">
      <c r="A7392" s="166"/>
      <c r="H7392" s="1"/>
      <c r="N7392" s="166"/>
    </row>
    <row r="7393" spans="1:14">
      <c r="A7393" s="166"/>
      <c r="H7393" s="1"/>
      <c r="N7393" s="166"/>
    </row>
    <row r="7394" spans="1:14">
      <c r="A7394" s="166"/>
      <c r="H7394" s="1"/>
      <c r="N7394" s="166"/>
    </row>
    <row r="7395" spans="1:14">
      <c r="A7395" s="166"/>
      <c r="H7395" s="1"/>
      <c r="N7395" s="166"/>
    </row>
    <row r="7396" spans="1:14">
      <c r="A7396" s="166"/>
      <c r="H7396" s="1"/>
      <c r="N7396" s="166"/>
    </row>
    <row r="7397" spans="1:14">
      <c r="A7397" s="166"/>
      <c r="H7397" s="1"/>
      <c r="N7397" s="166"/>
    </row>
    <row r="7398" spans="1:14">
      <c r="A7398" s="166"/>
      <c r="H7398" s="1"/>
      <c r="N7398" s="166"/>
    </row>
    <row r="7399" spans="1:14">
      <c r="A7399" s="166"/>
      <c r="H7399" s="1"/>
      <c r="N7399" s="166"/>
    </row>
    <row r="7400" spans="1:14">
      <c r="A7400" s="166"/>
      <c r="H7400" s="1"/>
      <c r="N7400" s="166"/>
    </row>
    <row r="7401" spans="1:14">
      <c r="A7401" s="166"/>
      <c r="H7401" s="1"/>
      <c r="N7401" s="166"/>
    </row>
    <row r="7402" spans="1:14">
      <c r="A7402" s="166"/>
      <c r="H7402" s="1"/>
      <c r="N7402" s="166"/>
    </row>
    <row r="7403" spans="1:14">
      <c r="A7403" s="166"/>
      <c r="H7403" s="1"/>
      <c r="N7403" s="166"/>
    </row>
    <row r="7404" spans="1:14">
      <c r="A7404" s="166"/>
      <c r="H7404" s="1"/>
      <c r="N7404" s="166"/>
    </row>
    <row r="7405" spans="1:14">
      <c r="A7405" s="166"/>
      <c r="H7405" s="1"/>
      <c r="N7405" s="166"/>
    </row>
    <row r="7406" spans="1:14">
      <c r="A7406" s="166"/>
      <c r="H7406" s="1"/>
      <c r="N7406" s="166"/>
    </row>
    <row r="7407" spans="1:14">
      <c r="A7407" s="166"/>
      <c r="H7407" s="1"/>
      <c r="N7407" s="166"/>
    </row>
    <row r="7408" spans="1:14">
      <c r="A7408" s="166"/>
      <c r="H7408" s="1"/>
      <c r="N7408" s="166"/>
    </row>
    <row r="7409" spans="1:14">
      <c r="A7409" s="166"/>
      <c r="H7409" s="1"/>
      <c r="N7409" s="166"/>
    </row>
    <row r="7410" spans="1:14">
      <c r="A7410" s="166"/>
      <c r="H7410" s="1"/>
      <c r="N7410" s="166"/>
    </row>
    <row r="7411" spans="1:14">
      <c r="A7411" s="166"/>
      <c r="H7411" s="1"/>
      <c r="N7411" s="166"/>
    </row>
    <row r="7412" spans="1:14">
      <c r="A7412" s="166"/>
      <c r="H7412" s="1"/>
      <c r="N7412" s="166"/>
    </row>
    <row r="7413" spans="1:14">
      <c r="A7413" s="166"/>
      <c r="H7413" s="1"/>
      <c r="N7413" s="166"/>
    </row>
    <row r="7414" spans="1:14">
      <c r="A7414" s="166"/>
      <c r="H7414" s="1"/>
      <c r="N7414" s="166"/>
    </row>
    <row r="7415" spans="1:14">
      <c r="A7415" s="166"/>
      <c r="H7415" s="1"/>
      <c r="N7415" s="166"/>
    </row>
    <row r="7416" spans="1:14">
      <c r="A7416" s="166"/>
      <c r="H7416" s="1"/>
      <c r="N7416" s="166"/>
    </row>
    <row r="7417" spans="1:14">
      <c r="A7417" s="166"/>
      <c r="H7417" s="1"/>
      <c r="N7417" s="166"/>
    </row>
    <row r="7418" spans="1:14">
      <c r="A7418" s="166"/>
      <c r="H7418" s="1"/>
      <c r="N7418" s="166"/>
    </row>
    <row r="7419" spans="1:14">
      <c r="A7419" s="166"/>
      <c r="H7419" s="1"/>
      <c r="N7419" s="166"/>
    </row>
    <row r="7420" spans="1:14">
      <c r="A7420" s="166"/>
      <c r="H7420" s="1"/>
      <c r="N7420" s="166"/>
    </row>
    <row r="7421" spans="1:14">
      <c r="A7421" s="166"/>
      <c r="H7421" s="1"/>
      <c r="N7421" s="166"/>
    </row>
    <row r="7422" spans="1:14">
      <c r="A7422" s="166"/>
      <c r="H7422" s="1"/>
      <c r="N7422" s="166"/>
    </row>
    <row r="7423" spans="1:14">
      <c r="A7423" s="166"/>
      <c r="H7423" s="1"/>
      <c r="N7423" s="166"/>
    </row>
    <row r="7424" spans="1:14">
      <c r="A7424" s="166"/>
      <c r="H7424" s="1"/>
      <c r="N7424" s="166"/>
    </row>
    <row r="7425" spans="1:14">
      <c r="A7425" s="166"/>
      <c r="H7425" s="1"/>
      <c r="N7425" s="166"/>
    </row>
    <row r="7426" spans="1:14">
      <c r="A7426" s="166"/>
      <c r="H7426" s="1"/>
      <c r="N7426" s="166"/>
    </row>
    <row r="7427" spans="1:14">
      <c r="A7427" s="166"/>
      <c r="H7427" s="1"/>
      <c r="N7427" s="166"/>
    </row>
    <row r="7428" spans="1:14">
      <c r="A7428" s="166"/>
      <c r="H7428" s="1"/>
      <c r="N7428" s="166"/>
    </row>
    <row r="7429" spans="1:14">
      <c r="A7429" s="166"/>
      <c r="H7429" s="1"/>
      <c r="N7429" s="166"/>
    </row>
    <row r="7430" spans="1:14">
      <c r="A7430" s="166"/>
      <c r="H7430" s="1"/>
      <c r="N7430" s="166"/>
    </row>
    <row r="7431" spans="1:14">
      <c r="A7431" s="166"/>
      <c r="H7431" s="1"/>
      <c r="N7431" s="166"/>
    </row>
    <row r="7432" spans="1:14">
      <c r="A7432" s="166"/>
      <c r="H7432" s="1"/>
      <c r="N7432" s="166"/>
    </row>
    <row r="7433" spans="1:14">
      <c r="A7433" s="166"/>
      <c r="H7433" s="1"/>
      <c r="N7433" s="166"/>
    </row>
    <row r="7434" spans="1:14">
      <c r="A7434" s="166"/>
      <c r="H7434" s="1"/>
      <c r="N7434" s="166"/>
    </row>
    <row r="7435" spans="1:14">
      <c r="A7435" s="166"/>
      <c r="H7435" s="1"/>
      <c r="N7435" s="166"/>
    </row>
    <row r="7436" spans="1:14">
      <c r="A7436" s="166"/>
      <c r="H7436" s="1"/>
      <c r="N7436" s="166"/>
    </row>
    <row r="7437" spans="1:14">
      <c r="A7437" s="166"/>
      <c r="H7437" s="1"/>
      <c r="N7437" s="166"/>
    </row>
    <row r="7438" spans="1:14">
      <c r="A7438" s="166"/>
      <c r="H7438" s="1"/>
      <c r="N7438" s="166"/>
    </row>
    <row r="7439" spans="1:14">
      <c r="A7439" s="166"/>
      <c r="H7439" s="1"/>
      <c r="N7439" s="166"/>
    </row>
    <row r="7440" spans="1:14">
      <c r="A7440" s="166"/>
      <c r="H7440" s="1"/>
      <c r="N7440" s="166"/>
    </row>
    <row r="7441" spans="1:14">
      <c r="A7441" s="166"/>
      <c r="H7441" s="1"/>
      <c r="N7441" s="166"/>
    </row>
    <row r="7442" spans="1:14">
      <c r="A7442" s="166"/>
      <c r="H7442" s="1"/>
      <c r="N7442" s="166"/>
    </row>
    <row r="7443" spans="1:14">
      <c r="A7443" s="166"/>
      <c r="H7443" s="1"/>
      <c r="N7443" s="166"/>
    </row>
    <row r="7444" spans="1:14">
      <c r="A7444" s="166"/>
      <c r="H7444" s="1"/>
      <c r="N7444" s="166"/>
    </row>
    <row r="7445" spans="1:14">
      <c r="A7445" s="166"/>
      <c r="H7445" s="1"/>
      <c r="N7445" s="166"/>
    </row>
    <row r="7446" spans="1:14">
      <c r="A7446" s="166"/>
      <c r="H7446" s="1"/>
      <c r="N7446" s="166"/>
    </row>
    <row r="7447" spans="1:14">
      <c r="A7447" s="166"/>
      <c r="H7447" s="1"/>
      <c r="N7447" s="166"/>
    </row>
    <row r="7448" spans="1:14">
      <c r="A7448" s="166"/>
      <c r="H7448" s="1"/>
      <c r="N7448" s="166"/>
    </row>
    <row r="7449" spans="1:14">
      <c r="A7449" s="166"/>
      <c r="H7449" s="1"/>
      <c r="N7449" s="166"/>
    </row>
    <row r="7450" spans="1:14">
      <c r="A7450" s="166"/>
      <c r="H7450" s="1"/>
      <c r="N7450" s="166"/>
    </row>
    <row r="7451" spans="1:14">
      <c r="A7451" s="166"/>
      <c r="H7451" s="1"/>
      <c r="N7451" s="166"/>
    </row>
    <row r="7452" spans="1:14">
      <c r="A7452" s="166"/>
      <c r="H7452" s="1"/>
      <c r="N7452" s="166"/>
    </row>
    <row r="7453" spans="1:14">
      <c r="A7453" s="166"/>
      <c r="H7453" s="1"/>
      <c r="N7453" s="166"/>
    </row>
    <row r="7454" spans="1:14">
      <c r="A7454" s="166"/>
      <c r="H7454" s="1"/>
      <c r="N7454" s="166"/>
    </row>
    <row r="7455" spans="1:14">
      <c r="A7455" s="166"/>
      <c r="H7455" s="1"/>
      <c r="N7455" s="166"/>
    </row>
    <row r="7456" spans="1:14">
      <c r="A7456" s="166"/>
      <c r="H7456" s="1"/>
      <c r="N7456" s="166"/>
    </row>
    <row r="7457" spans="1:14">
      <c r="A7457" s="166"/>
      <c r="H7457" s="1"/>
      <c r="N7457" s="166"/>
    </row>
    <row r="7458" spans="1:14">
      <c r="A7458" s="166"/>
      <c r="H7458" s="1"/>
      <c r="N7458" s="166"/>
    </row>
    <row r="7459" spans="1:14">
      <c r="A7459" s="166"/>
      <c r="H7459" s="1"/>
      <c r="N7459" s="166"/>
    </row>
    <row r="7460" spans="1:14">
      <c r="A7460" s="166"/>
      <c r="H7460" s="1"/>
      <c r="N7460" s="166"/>
    </row>
    <row r="7461" spans="1:14">
      <c r="A7461" s="166"/>
      <c r="H7461" s="1"/>
      <c r="N7461" s="166"/>
    </row>
    <row r="7462" spans="1:14">
      <c r="A7462" s="166"/>
      <c r="H7462" s="1"/>
      <c r="N7462" s="166"/>
    </row>
    <row r="7463" spans="1:14">
      <c r="A7463" s="166"/>
      <c r="H7463" s="1"/>
      <c r="N7463" s="166"/>
    </row>
    <row r="7464" spans="1:14">
      <c r="A7464" s="166"/>
      <c r="H7464" s="1"/>
      <c r="N7464" s="166"/>
    </row>
    <row r="7465" spans="1:14">
      <c r="A7465" s="166"/>
      <c r="H7465" s="1"/>
      <c r="N7465" s="166"/>
    </row>
    <row r="7466" spans="1:14">
      <c r="A7466" s="166"/>
      <c r="H7466" s="1"/>
      <c r="N7466" s="166"/>
    </row>
    <row r="7467" spans="1:14">
      <c r="A7467" s="166"/>
      <c r="H7467" s="1"/>
      <c r="N7467" s="166"/>
    </row>
    <row r="7468" spans="1:14">
      <c r="A7468" s="166"/>
      <c r="H7468" s="1"/>
      <c r="N7468" s="166"/>
    </row>
    <row r="7469" spans="1:14">
      <c r="A7469" s="166"/>
      <c r="H7469" s="1"/>
      <c r="N7469" s="166"/>
    </row>
    <row r="7470" spans="1:14">
      <c r="A7470" s="166"/>
      <c r="H7470" s="1"/>
      <c r="N7470" s="166"/>
    </row>
    <row r="7471" spans="1:14">
      <c r="A7471" s="166"/>
      <c r="H7471" s="1"/>
      <c r="N7471" s="166"/>
    </row>
    <row r="7472" spans="1:14">
      <c r="A7472" s="166"/>
      <c r="H7472" s="1"/>
      <c r="N7472" s="166"/>
    </row>
    <row r="7473" spans="1:14">
      <c r="A7473" s="166"/>
      <c r="H7473" s="1"/>
      <c r="N7473" s="166"/>
    </row>
    <row r="7474" spans="1:14">
      <c r="A7474" s="166"/>
      <c r="H7474" s="1"/>
      <c r="N7474" s="166"/>
    </row>
    <row r="7475" spans="1:14">
      <c r="A7475" s="166"/>
      <c r="H7475" s="1"/>
      <c r="N7475" s="166"/>
    </row>
    <row r="7476" spans="1:14">
      <c r="A7476" s="166"/>
      <c r="H7476" s="1"/>
      <c r="N7476" s="166"/>
    </row>
    <row r="7477" spans="1:14">
      <c r="A7477" s="166"/>
      <c r="H7477" s="1"/>
      <c r="N7477" s="166"/>
    </row>
    <row r="7478" spans="1:14">
      <c r="A7478" s="166"/>
      <c r="H7478" s="1"/>
      <c r="N7478" s="166"/>
    </row>
    <row r="7479" spans="1:14">
      <c r="A7479" s="166"/>
      <c r="H7479" s="1"/>
      <c r="N7479" s="166"/>
    </row>
    <row r="7480" spans="1:14">
      <c r="A7480" s="166"/>
      <c r="H7480" s="1"/>
      <c r="N7480" s="166"/>
    </row>
    <row r="7481" spans="1:14">
      <c r="A7481" s="166"/>
      <c r="H7481" s="1"/>
      <c r="N7481" s="166"/>
    </row>
    <row r="7482" spans="1:14">
      <c r="A7482" s="166"/>
      <c r="H7482" s="1"/>
      <c r="N7482" s="166"/>
    </row>
    <row r="7483" spans="1:14">
      <c r="A7483" s="166"/>
      <c r="H7483" s="1"/>
      <c r="N7483" s="166"/>
    </row>
    <row r="7484" spans="1:14">
      <c r="A7484" s="166"/>
      <c r="H7484" s="1"/>
      <c r="N7484" s="166"/>
    </row>
    <row r="7485" spans="1:14">
      <c r="A7485" s="166"/>
      <c r="H7485" s="1"/>
      <c r="N7485" s="166"/>
    </row>
    <row r="7486" spans="1:14">
      <c r="A7486" s="166"/>
      <c r="H7486" s="1"/>
      <c r="N7486" s="166"/>
    </row>
    <row r="7487" spans="1:14">
      <c r="A7487" s="166"/>
      <c r="H7487" s="1"/>
      <c r="N7487" s="166"/>
    </row>
    <row r="7488" spans="1:14">
      <c r="A7488" s="166"/>
      <c r="H7488" s="1"/>
      <c r="N7488" s="166"/>
    </row>
    <row r="7489" spans="1:14">
      <c r="A7489" s="166"/>
      <c r="H7489" s="1"/>
      <c r="N7489" s="166"/>
    </row>
    <row r="7490" spans="1:14">
      <c r="A7490" s="166"/>
      <c r="H7490" s="1"/>
      <c r="N7490" s="166"/>
    </row>
    <row r="7491" spans="1:14">
      <c r="A7491" s="166"/>
      <c r="H7491" s="1"/>
      <c r="N7491" s="166"/>
    </row>
    <row r="7492" spans="1:14">
      <c r="A7492" s="166"/>
      <c r="H7492" s="1"/>
      <c r="N7492" s="166"/>
    </row>
    <row r="7493" spans="1:14">
      <c r="A7493" s="166"/>
      <c r="H7493" s="1"/>
      <c r="N7493" s="166"/>
    </row>
    <row r="7494" spans="1:14">
      <c r="A7494" s="166"/>
      <c r="H7494" s="1"/>
      <c r="N7494" s="166"/>
    </row>
    <row r="7495" spans="1:14">
      <c r="A7495" s="166"/>
      <c r="H7495" s="1"/>
      <c r="N7495" s="166"/>
    </row>
    <row r="7496" spans="1:14">
      <c r="A7496" s="166"/>
      <c r="H7496" s="1"/>
      <c r="N7496" s="166"/>
    </row>
    <row r="7497" spans="1:14">
      <c r="A7497" s="166"/>
      <c r="H7497" s="1"/>
      <c r="N7497" s="166"/>
    </row>
    <row r="7498" spans="1:14">
      <c r="A7498" s="166"/>
      <c r="H7498" s="1"/>
      <c r="N7498" s="166"/>
    </row>
    <row r="7499" spans="1:14">
      <c r="A7499" s="166"/>
      <c r="H7499" s="1"/>
      <c r="N7499" s="166"/>
    </row>
    <row r="7500" spans="1:14">
      <c r="A7500" s="166"/>
      <c r="H7500" s="1"/>
      <c r="N7500" s="166"/>
    </row>
    <row r="7501" spans="1:14">
      <c r="A7501" s="166"/>
      <c r="H7501" s="1"/>
      <c r="N7501" s="166"/>
    </row>
    <row r="7502" spans="1:14">
      <c r="A7502" s="166"/>
      <c r="H7502" s="1"/>
      <c r="N7502" s="166"/>
    </row>
    <row r="7503" spans="1:14">
      <c r="A7503" s="166"/>
      <c r="H7503" s="1"/>
      <c r="N7503" s="166"/>
    </row>
    <row r="7504" spans="1:14">
      <c r="A7504" s="166"/>
      <c r="H7504" s="1"/>
      <c r="N7504" s="166"/>
    </row>
    <row r="7505" spans="1:14">
      <c r="A7505" s="166"/>
      <c r="H7505" s="1"/>
      <c r="N7505" s="166"/>
    </row>
    <row r="7506" spans="1:14">
      <c r="A7506" s="166"/>
      <c r="H7506" s="1"/>
      <c r="N7506" s="166"/>
    </row>
    <row r="7507" spans="1:14">
      <c r="A7507" s="166"/>
      <c r="H7507" s="1"/>
      <c r="N7507" s="166"/>
    </row>
    <row r="7508" spans="1:14">
      <c r="A7508" s="166"/>
      <c r="H7508" s="1"/>
      <c r="N7508" s="166"/>
    </row>
    <row r="7509" spans="1:14">
      <c r="A7509" s="166"/>
      <c r="H7509" s="1"/>
      <c r="N7509" s="166"/>
    </row>
    <row r="7510" spans="1:14">
      <c r="A7510" s="166"/>
      <c r="H7510" s="1"/>
      <c r="N7510" s="166"/>
    </row>
    <row r="7511" spans="1:14">
      <c r="A7511" s="166"/>
      <c r="H7511" s="1"/>
      <c r="N7511" s="166"/>
    </row>
    <row r="7512" spans="1:14">
      <c r="A7512" s="166"/>
      <c r="H7512" s="1"/>
      <c r="N7512" s="166"/>
    </row>
    <row r="7513" spans="1:14">
      <c r="A7513" s="166"/>
      <c r="H7513" s="1"/>
      <c r="N7513" s="166"/>
    </row>
    <row r="7514" spans="1:14">
      <c r="A7514" s="166"/>
      <c r="H7514" s="1"/>
      <c r="N7514" s="166"/>
    </row>
    <row r="7515" spans="1:14">
      <c r="A7515" s="166"/>
      <c r="H7515" s="1"/>
      <c r="N7515" s="166"/>
    </row>
    <row r="7516" spans="1:14">
      <c r="A7516" s="166"/>
      <c r="H7516" s="1"/>
      <c r="N7516" s="166"/>
    </row>
    <row r="7517" spans="1:14">
      <c r="A7517" s="166"/>
      <c r="H7517" s="1"/>
      <c r="N7517" s="166"/>
    </row>
    <row r="7518" spans="1:14">
      <c r="A7518" s="166"/>
      <c r="H7518" s="1"/>
      <c r="N7518" s="166"/>
    </row>
    <row r="7519" spans="1:14">
      <c r="A7519" s="166"/>
      <c r="H7519" s="1"/>
      <c r="N7519" s="166"/>
    </row>
    <row r="7520" spans="1:14">
      <c r="A7520" s="166"/>
      <c r="H7520" s="1"/>
      <c r="N7520" s="166"/>
    </row>
    <row r="7521" spans="1:14">
      <c r="A7521" s="166"/>
      <c r="H7521" s="1"/>
      <c r="N7521" s="166"/>
    </row>
    <row r="7522" spans="1:14">
      <c r="A7522" s="166"/>
      <c r="H7522" s="1"/>
      <c r="N7522" s="166"/>
    </row>
    <row r="7523" spans="1:14">
      <c r="A7523" s="166"/>
      <c r="H7523" s="1"/>
      <c r="N7523" s="166"/>
    </row>
    <row r="7524" spans="1:14">
      <c r="A7524" s="166"/>
      <c r="H7524" s="1"/>
      <c r="N7524" s="166"/>
    </row>
    <row r="7525" spans="1:14">
      <c r="A7525" s="166"/>
      <c r="H7525" s="1"/>
      <c r="N7525" s="166"/>
    </row>
    <row r="7526" spans="1:14">
      <c r="A7526" s="166"/>
      <c r="H7526" s="1"/>
      <c r="N7526" s="166"/>
    </row>
    <row r="7527" spans="1:14">
      <c r="A7527" s="166"/>
      <c r="H7527" s="1"/>
      <c r="N7527" s="166"/>
    </row>
    <row r="7528" spans="1:14">
      <c r="A7528" s="166"/>
      <c r="H7528" s="1"/>
      <c r="N7528" s="166"/>
    </row>
    <row r="7529" spans="1:14">
      <c r="A7529" s="166"/>
      <c r="H7529" s="1"/>
      <c r="N7529" s="166"/>
    </row>
    <row r="7530" spans="1:14">
      <c r="A7530" s="166"/>
      <c r="H7530" s="1"/>
      <c r="N7530" s="166"/>
    </row>
    <row r="7531" spans="1:14">
      <c r="A7531" s="166"/>
      <c r="H7531" s="1"/>
      <c r="N7531" s="166"/>
    </row>
    <row r="7532" spans="1:14">
      <c r="A7532" s="166"/>
      <c r="H7532" s="1"/>
      <c r="N7532" s="166"/>
    </row>
    <row r="7533" spans="1:14">
      <c r="A7533" s="166"/>
      <c r="H7533" s="1"/>
      <c r="N7533" s="166"/>
    </row>
    <row r="7534" spans="1:14">
      <c r="A7534" s="166"/>
      <c r="H7534" s="1"/>
      <c r="N7534" s="166"/>
    </row>
    <row r="7535" spans="1:14">
      <c r="A7535" s="166"/>
      <c r="H7535" s="1"/>
      <c r="N7535" s="166"/>
    </row>
    <row r="7536" spans="1:14">
      <c r="A7536" s="166"/>
      <c r="H7536" s="1"/>
      <c r="N7536" s="166"/>
    </row>
    <row r="7537" spans="1:14">
      <c r="A7537" s="166"/>
      <c r="H7537" s="1"/>
      <c r="N7537" s="166"/>
    </row>
    <row r="7538" spans="1:14">
      <c r="A7538" s="166"/>
      <c r="H7538" s="1"/>
      <c r="N7538" s="166"/>
    </row>
    <row r="7539" spans="1:14">
      <c r="A7539" s="166"/>
      <c r="H7539" s="1"/>
      <c r="N7539" s="166"/>
    </row>
    <row r="7540" spans="1:14">
      <c r="A7540" s="166"/>
      <c r="H7540" s="1"/>
      <c r="N7540" s="166"/>
    </row>
    <row r="7541" spans="1:14">
      <c r="A7541" s="166"/>
      <c r="H7541" s="1"/>
      <c r="N7541" s="166"/>
    </row>
    <row r="7542" spans="1:14">
      <c r="A7542" s="166"/>
      <c r="H7542" s="1"/>
      <c r="N7542" s="166"/>
    </row>
    <row r="7543" spans="1:14">
      <c r="A7543" s="166"/>
      <c r="H7543" s="1"/>
      <c r="N7543" s="166"/>
    </row>
    <row r="7544" spans="1:14">
      <c r="A7544" s="166"/>
      <c r="H7544" s="1"/>
      <c r="N7544" s="166"/>
    </row>
    <row r="7545" spans="1:14">
      <c r="A7545" s="166"/>
      <c r="H7545" s="1"/>
      <c r="N7545" s="166"/>
    </row>
    <row r="7546" spans="1:14">
      <c r="A7546" s="166"/>
      <c r="H7546" s="1"/>
      <c r="N7546" s="166"/>
    </row>
    <row r="7547" spans="1:14">
      <c r="A7547" s="166"/>
      <c r="H7547" s="1"/>
      <c r="N7547" s="166"/>
    </row>
    <row r="7548" spans="1:14">
      <c r="A7548" s="166"/>
      <c r="H7548" s="1"/>
      <c r="N7548" s="166"/>
    </row>
    <row r="7549" spans="1:14">
      <c r="A7549" s="166"/>
      <c r="H7549" s="1"/>
      <c r="N7549" s="166"/>
    </row>
    <row r="7550" spans="1:14">
      <c r="A7550" s="166"/>
      <c r="H7550" s="1"/>
      <c r="N7550" s="166"/>
    </row>
    <row r="7551" spans="1:14">
      <c r="A7551" s="166"/>
      <c r="H7551" s="1"/>
      <c r="N7551" s="166"/>
    </row>
    <row r="7552" spans="1:14">
      <c r="A7552" s="166"/>
      <c r="H7552" s="1"/>
      <c r="N7552" s="166"/>
    </row>
    <row r="7553" spans="1:14">
      <c r="A7553" s="166"/>
      <c r="H7553" s="1"/>
      <c r="N7553" s="166"/>
    </row>
    <row r="7554" spans="1:14">
      <c r="A7554" s="166"/>
      <c r="H7554" s="1"/>
      <c r="N7554" s="166"/>
    </row>
    <row r="7555" spans="1:14">
      <c r="A7555" s="166"/>
      <c r="H7555" s="1"/>
      <c r="N7555" s="166"/>
    </row>
    <row r="7556" spans="1:14">
      <c r="A7556" s="166"/>
      <c r="H7556" s="1"/>
      <c r="N7556" s="166"/>
    </row>
    <row r="7557" spans="1:14">
      <c r="A7557" s="166"/>
      <c r="H7557" s="1"/>
      <c r="N7557" s="166"/>
    </row>
    <row r="7558" spans="1:14">
      <c r="A7558" s="166"/>
      <c r="H7558" s="1"/>
      <c r="N7558" s="166"/>
    </row>
    <row r="7559" spans="1:14">
      <c r="A7559" s="166"/>
      <c r="H7559" s="1"/>
      <c r="N7559" s="166"/>
    </row>
    <row r="7560" spans="1:14">
      <c r="A7560" s="166"/>
      <c r="H7560" s="1"/>
      <c r="N7560" s="166"/>
    </row>
    <row r="7561" spans="1:14">
      <c r="A7561" s="166"/>
      <c r="H7561" s="1"/>
      <c r="N7561" s="166"/>
    </row>
    <row r="7562" spans="1:14">
      <c r="A7562" s="166"/>
      <c r="H7562" s="1"/>
      <c r="N7562" s="166"/>
    </row>
    <row r="7563" spans="1:14">
      <c r="A7563" s="166"/>
      <c r="H7563" s="1"/>
      <c r="N7563" s="166"/>
    </row>
    <row r="7564" spans="1:14">
      <c r="A7564" s="166"/>
      <c r="H7564" s="1"/>
      <c r="N7564" s="166"/>
    </row>
    <row r="7565" spans="1:14">
      <c r="A7565" s="166"/>
      <c r="H7565" s="1"/>
      <c r="N7565" s="166"/>
    </row>
    <row r="7566" spans="1:14">
      <c r="A7566" s="166"/>
      <c r="H7566" s="1"/>
      <c r="N7566" s="166"/>
    </row>
    <row r="7567" spans="1:14">
      <c r="A7567" s="166"/>
      <c r="H7567" s="1"/>
      <c r="N7567" s="166"/>
    </row>
    <row r="7568" spans="1:14">
      <c r="A7568" s="166"/>
      <c r="H7568" s="1"/>
      <c r="N7568" s="166"/>
    </row>
    <row r="7569" spans="1:14">
      <c r="A7569" s="166"/>
      <c r="H7569" s="1"/>
      <c r="N7569" s="166"/>
    </row>
    <row r="7570" spans="1:14">
      <c r="A7570" s="166"/>
      <c r="H7570" s="1"/>
      <c r="N7570" s="166"/>
    </row>
    <row r="7571" spans="1:14">
      <c r="A7571" s="166"/>
      <c r="H7571" s="1"/>
      <c r="N7571" s="166"/>
    </row>
    <row r="7572" spans="1:14">
      <c r="A7572" s="166"/>
      <c r="H7572" s="1"/>
      <c r="N7572" s="166"/>
    </row>
    <row r="7573" spans="1:14">
      <c r="A7573" s="166"/>
      <c r="H7573" s="1"/>
      <c r="N7573" s="166"/>
    </row>
    <row r="7574" spans="1:14">
      <c r="A7574" s="166"/>
      <c r="H7574" s="1"/>
      <c r="N7574" s="166"/>
    </row>
    <row r="7575" spans="1:14">
      <c r="A7575" s="166"/>
      <c r="H7575" s="1"/>
      <c r="N7575" s="166"/>
    </row>
    <row r="7576" spans="1:14">
      <c r="A7576" s="166"/>
      <c r="H7576" s="1"/>
      <c r="N7576" s="166"/>
    </row>
    <row r="7577" spans="1:14">
      <c r="A7577" s="166"/>
      <c r="H7577" s="1"/>
      <c r="N7577" s="166"/>
    </row>
    <row r="7578" spans="1:14">
      <c r="A7578" s="166"/>
      <c r="H7578" s="1"/>
      <c r="N7578" s="166"/>
    </row>
    <row r="7579" spans="1:14">
      <c r="A7579" s="166"/>
      <c r="H7579" s="1"/>
      <c r="N7579" s="166"/>
    </row>
    <row r="7580" spans="1:14">
      <c r="A7580" s="166"/>
      <c r="H7580" s="1"/>
      <c r="N7580" s="166"/>
    </row>
    <row r="7581" spans="1:14">
      <c r="A7581" s="166"/>
      <c r="H7581" s="1"/>
      <c r="N7581" s="166"/>
    </row>
    <row r="7582" spans="1:14">
      <c r="A7582" s="166"/>
      <c r="H7582" s="1"/>
      <c r="N7582" s="166"/>
    </row>
    <row r="7583" spans="1:14">
      <c r="A7583" s="166"/>
      <c r="H7583" s="1"/>
      <c r="N7583" s="166"/>
    </row>
    <row r="7584" spans="1:14">
      <c r="A7584" s="166"/>
      <c r="H7584" s="1"/>
      <c r="N7584" s="166"/>
    </row>
    <row r="7585" spans="1:14">
      <c r="A7585" s="166"/>
      <c r="H7585" s="1"/>
      <c r="N7585" s="166"/>
    </row>
    <row r="7586" spans="1:14">
      <c r="A7586" s="166"/>
      <c r="H7586" s="1"/>
      <c r="N7586" s="166"/>
    </row>
    <row r="7587" spans="1:14">
      <c r="A7587" s="166"/>
      <c r="H7587" s="1"/>
      <c r="N7587" s="166"/>
    </row>
    <row r="7588" spans="1:14">
      <c r="A7588" s="166"/>
      <c r="H7588" s="1"/>
      <c r="N7588" s="166"/>
    </row>
    <row r="7589" spans="1:14">
      <c r="A7589" s="166"/>
      <c r="H7589" s="1"/>
      <c r="N7589" s="166"/>
    </row>
    <row r="7590" spans="1:14">
      <c r="A7590" s="166"/>
      <c r="H7590" s="1"/>
      <c r="N7590" s="166"/>
    </row>
    <row r="7591" spans="1:14">
      <c r="A7591" s="166"/>
      <c r="H7591" s="1"/>
      <c r="N7591" s="166"/>
    </row>
    <row r="7592" spans="1:14">
      <c r="A7592" s="166"/>
      <c r="H7592" s="1"/>
      <c r="N7592" s="166"/>
    </row>
    <row r="7593" spans="1:14">
      <c r="A7593" s="166"/>
      <c r="H7593" s="1"/>
      <c r="N7593" s="166"/>
    </row>
    <row r="7594" spans="1:14">
      <c r="A7594" s="166"/>
      <c r="H7594" s="1"/>
      <c r="N7594" s="166"/>
    </row>
    <row r="7595" spans="1:14">
      <c r="A7595" s="166"/>
      <c r="H7595" s="1"/>
      <c r="N7595" s="166"/>
    </row>
    <row r="7596" spans="1:14">
      <c r="A7596" s="166"/>
      <c r="H7596" s="1"/>
      <c r="N7596" s="166"/>
    </row>
    <row r="7597" spans="1:14">
      <c r="A7597" s="166"/>
      <c r="H7597" s="1"/>
      <c r="N7597" s="166"/>
    </row>
    <row r="7598" spans="1:14">
      <c r="A7598" s="166"/>
      <c r="H7598" s="1"/>
      <c r="N7598" s="166"/>
    </row>
    <row r="7599" spans="1:14">
      <c r="A7599" s="166"/>
      <c r="H7599" s="1"/>
      <c r="N7599" s="166"/>
    </row>
    <row r="7600" spans="1:14">
      <c r="A7600" s="166"/>
      <c r="H7600" s="1"/>
      <c r="N7600" s="166"/>
    </row>
    <row r="7601" spans="1:14">
      <c r="A7601" s="166"/>
      <c r="H7601" s="1"/>
      <c r="N7601" s="166"/>
    </row>
    <row r="7602" spans="1:14">
      <c r="A7602" s="166"/>
      <c r="H7602" s="1"/>
      <c r="N7602" s="166"/>
    </row>
    <row r="7603" spans="1:14">
      <c r="A7603" s="166"/>
      <c r="H7603" s="1"/>
      <c r="N7603" s="166"/>
    </row>
    <row r="7604" spans="1:14">
      <c r="A7604" s="166"/>
      <c r="H7604" s="1"/>
      <c r="N7604" s="166"/>
    </row>
    <row r="7605" spans="1:14">
      <c r="A7605" s="166"/>
      <c r="H7605" s="1"/>
      <c r="N7605" s="166"/>
    </row>
    <row r="7606" spans="1:14">
      <c r="A7606" s="166"/>
      <c r="H7606" s="1"/>
      <c r="N7606" s="166"/>
    </row>
    <row r="7607" spans="1:14">
      <c r="A7607" s="166"/>
      <c r="H7607" s="1"/>
      <c r="N7607" s="166"/>
    </row>
    <row r="7608" spans="1:14">
      <c r="A7608" s="166"/>
      <c r="H7608" s="1"/>
      <c r="N7608" s="166"/>
    </row>
    <row r="7609" spans="1:14">
      <c r="A7609" s="166"/>
      <c r="H7609" s="1"/>
      <c r="N7609" s="166"/>
    </row>
    <row r="7610" spans="1:14">
      <c r="A7610" s="166"/>
      <c r="H7610" s="1"/>
      <c r="N7610" s="166"/>
    </row>
    <row r="7611" spans="1:14">
      <c r="A7611" s="166"/>
      <c r="H7611" s="1"/>
      <c r="N7611" s="166"/>
    </row>
    <row r="7612" spans="1:14">
      <c r="A7612" s="166"/>
      <c r="H7612" s="1"/>
      <c r="N7612" s="166"/>
    </row>
    <row r="7613" spans="1:14">
      <c r="A7613" s="166"/>
      <c r="H7613" s="1"/>
      <c r="N7613" s="166"/>
    </row>
    <row r="7614" spans="1:14">
      <c r="A7614" s="166"/>
      <c r="H7614" s="1"/>
      <c r="N7614" s="166"/>
    </row>
    <row r="7615" spans="1:14">
      <c r="A7615" s="166"/>
      <c r="H7615" s="1"/>
      <c r="N7615" s="166"/>
    </row>
    <row r="7616" spans="1:14">
      <c r="A7616" s="166"/>
      <c r="H7616" s="1"/>
      <c r="N7616" s="166"/>
    </row>
    <row r="7617" spans="1:14">
      <c r="A7617" s="166"/>
      <c r="H7617" s="1"/>
      <c r="N7617" s="166"/>
    </row>
    <row r="7618" spans="1:14">
      <c r="A7618" s="166"/>
      <c r="H7618" s="1"/>
      <c r="N7618" s="166"/>
    </row>
    <row r="7619" spans="1:14">
      <c r="A7619" s="166"/>
      <c r="H7619" s="1"/>
      <c r="N7619" s="166"/>
    </row>
    <row r="7620" spans="1:14">
      <c r="A7620" s="166"/>
      <c r="H7620" s="1"/>
      <c r="N7620" s="166"/>
    </row>
    <row r="7621" spans="1:14">
      <c r="A7621" s="166"/>
      <c r="H7621" s="1"/>
      <c r="N7621" s="166"/>
    </row>
    <row r="7622" spans="1:14">
      <c r="A7622" s="166"/>
      <c r="H7622" s="1"/>
      <c r="N7622" s="166"/>
    </row>
    <row r="7623" spans="1:14">
      <c r="A7623" s="166"/>
      <c r="H7623" s="1"/>
      <c r="N7623" s="166"/>
    </row>
    <row r="7624" spans="1:14">
      <c r="A7624" s="166"/>
      <c r="H7624" s="1"/>
      <c r="N7624" s="166"/>
    </row>
    <row r="7625" spans="1:14">
      <c r="A7625" s="166"/>
      <c r="H7625" s="1"/>
      <c r="N7625" s="166"/>
    </row>
    <row r="7626" spans="1:14">
      <c r="A7626" s="166"/>
      <c r="H7626" s="1"/>
      <c r="N7626" s="166"/>
    </row>
    <row r="7627" spans="1:14">
      <c r="A7627" s="166"/>
      <c r="H7627" s="1"/>
      <c r="N7627" s="166"/>
    </row>
    <row r="7628" spans="1:14">
      <c r="A7628" s="166"/>
      <c r="H7628" s="1"/>
      <c r="N7628" s="166"/>
    </row>
    <row r="7629" spans="1:14">
      <c r="A7629" s="166"/>
      <c r="H7629" s="1"/>
      <c r="N7629" s="166"/>
    </row>
    <row r="7630" spans="1:14">
      <c r="A7630" s="166"/>
      <c r="H7630" s="1"/>
      <c r="N7630" s="166"/>
    </row>
    <row r="7631" spans="1:14">
      <c r="A7631" s="166"/>
      <c r="H7631" s="1"/>
      <c r="N7631" s="166"/>
    </row>
    <row r="7632" spans="1:14">
      <c r="A7632" s="166"/>
      <c r="H7632" s="1"/>
      <c r="N7632" s="166"/>
    </row>
    <row r="7633" spans="1:14">
      <c r="A7633" s="166"/>
      <c r="H7633" s="1"/>
      <c r="N7633" s="166"/>
    </row>
    <row r="7634" spans="1:14">
      <c r="A7634" s="166"/>
      <c r="H7634" s="1"/>
      <c r="N7634" s="166"/>
    </row>
    <row r="7635" spans="1:14">
      <c r="A7635" s="166"/>
      <c r="H7635" s="1"/>
      <c r="N7635" s="166"/>
    </row>
    <row r="7636" spans="1:14">
      <c r="A7636" s="166"/>
      <c r="H7636" s="1"/>
      <c r="N7636" s="166"/>
    </row>
    <row r="7637" spans="1:14">
      <c r="A7637" s="166"/>
      <c r="H7637" s="1"/>
      <c r="N7637" s="166"/>
    </row>
    <row r="7638" spans="1:14">
      <c r="A7638" s="166"/>
      <c r="H7638" s="1"/>
      <c r="N7638" s="166"/>
    </row>
    <row r="7639" spans="1:14">
      <c r="A7639" s="166"/>
      <c r="H7639" s="1"/>
      <c r="N7639" s="166"/>
    </row>
    <row r="7640" spans="1:14">
      <c r="A7640" s="166"/>
      <c r="H7640" s="1"/>
      <c r="N7640" s="166"/>
    </row>
    <row r="7641" spans="1:14">
      <c r="A7641" s="166"/>
      <c r="H7641" s="1"/>
      <c r="N7641" s="166"/>
    </row>
    <row r="7642" spans="1:14">
      <c r="A7642" s="166"/>
      <c r="H7642" s="1"/>
      <c r="N7642" s="166"/>
    </row>
    <row r="7643" spans="1:14">
      <c r="A7643" s="166"/>
      <c r="H7643" s="1"/>
      <c r="N7643" s="166"/>
    </row>
    <row r="7644" spans="1:14">
      <c r="A7644" s="166"/>
      <c r="H7644" s="1"/>
      <c r="N7644" s="166"/>
    </row>
    <row r="7645" spans="1:14">
      <c r="A7645" s="166"/>
      <c r="H7645" s="1"/>
      <c r="N7645" s="166"/>
    </row>
    <row r="7646" spans="1:14">
      <c r="A7646" s="166"/>
      <c r="H7646" s="1"/>
      <c r="N7646" s="166"/>
    </row>
    <row r="7647" spans="1:14">
      <c r="A7647" s="166"/>
      <c r="H7647" s="1"/>
      <c r="N7647" s="166"/>
    </row>
    <row r="7648" spans="1:14">
      <c r="A7648" s="166"/>
      <c r="H7648" s="1"/>
      <c r="N7648" s="166"/>
    </row>
    <row r="7649" spans="1:14">
      <c r="A7649" s="166"/>
      <c r="H7649" s="1"/>
      <c r="N7649" s="166"/>
    </row>
    <row r="7650" spans="1:14">
      <c r="A7650" s="166"/>
      <c r="H7650" s="1"/>
      <c r="N7650" s="166"/>
    </row>
    <row r="7651" spans="1:14">
      <c r="A7651" s="166"/>
      <c r="H7651" s="1"/>
      <c r="N7651" s="166"/>
    </row>
    <row r="7652" spans="1:14">
      <c r="A7652" s="166"/>
      <c r="H7652" s="1"/>
      <c r="N7652" s="166"/>
    </row>
    <row r="7653" spans="1:14">
      <c r="A7653" s="166"/>
      <c r="H7653" s="1"/>
      <c r="N7653" s="166"/>
    </row>
    <row r="7654" spans="1:14">
      <c r="A7654" s="166"/>
      <c r="H7654" s="1"/>
      <c r="N7654" s="166"/>
    </row>
    <row r="7655" spans="1:14">
      <c r="A7655" s="166"/>
      <c r="H7655" s="1"/>
      <c r="N7655" s="166"/>
    </row>
    <row r="7656" spans="1:14">
      <c r="A7656" s="166"/>
      <c r="H7656" s="1"/>
      <c r="N7656" s="166"/>
    </row>
    <row r="7657" spans="1:14">
      <c r="A7657" s="166"/>
      <c r="H7657" s="1"/>
      <c r="N7657" s="166"/>
    </row>
    <row r="7658" spans="1:14">
      <c r="A7658" s="166"/>
      <c r="H7658" s="1"/>
      <c r="N7658" s="166"/>
    </row>
    <row r="7659" spans="1:14">
      <c r="A7659" s="166"/>
      <c r="H7659" s="1"/>
      <c r="N7659" s="166"/>
    </row>
    <row r="7660" spans="1:14">
      <c r="A7660" s="166"/>
      <c r="H7660" s="1"/>
      <c r="N7660" s="166"/>
    </row>
    <row r="7661" spans="1:14">
      <c r="A7661" s="166"/>
      <c r="H7661" s="1"/>
      <c r="N7661" s="166"/>
    </row>
    <row r="7662" spans="1:14">
      <c r="A7662" s="166"/>
      <c r="H7662" s="1"/>
      <c r="N7662" s="166"/>
    </row>
    <row r="7663" spans="1:14">
      <c r="A7663" s="166"/>
      <c r="H7663" s="1"/>
      <c r="N7663" s="166"/>
    </row>
    <row r="7664" spans="1:14">
      <c r="A7664" s="166"/>
      <c r="H7664" s="1"/>
      <c r="N7664" s="166"/>
    </row>
    <row r="7665" spans="1:14">
      <c r="A7665" s="166"/>
      <c r="H7665" s="1"/>
      <c r="N7665" s="166"/>
    </row>
    <row r="7666" spans="1:14">
      <c r="A7666" s="166"/>
      <c r="H7666" s="1"/>
      <c r="N7666" s="166"/>
    </row>
    <row r="7667" spans="1:14">
      <c r="A7667" s="166"/>
      <c r="H7667" s="1"/>
      <c r="N7667" s="166"/>
    </row>
    <row r="7668" spans="1:14">
      <c r="A7668" s="166"/>
      <c r="H7668" s="1"/>
      <c r="N7668" s="166"/>
    </row>
    <row r="7669" spans="1:14">
      <c r="A7669" s="166"/>
      <c r="H7669" s="1"/>
      <c r="N7669" s="166"/>
    </row>
    <row r="7670" spans="1:14">
      <c r="A7670" s="166"/>
      <c r="H7670" s="1"/>
      <c r="N7670" s="166"/>
    </row>
    <row r="7671" spans="1:14">
      <c r="A7671" s="166"/>
      <c r="H7671" s="1"/>
      <c r="N7671" s="166"/>
    </row>
    <row r="7672" spans="1:14">
      <c r="A7672" s="166"/>
      <c r="H7672" s="1"/>
      <c r="N7672" s="166"/>
    </row>
    <row r="7673" spans="1:14">
      <c r="A7673" s="166"/>
      <c r="H7673" s="1"/>
      <c r="N7673" s="166"/>
    </row>
    <row r="7674" spans="1:14">
      <c r="A7674" s="166"/>
      <c r="H7674" s="1"/>
      <c r="N7674" s="166"/>
    </row>
    <row r="7675" spans="1:14">
      <c r="A7675" s="166"/>
      <c r="H7675" s="1"/>
      <c r="N7675" s="166"/>
    </row>
    <row r="7676" spans="1:14">
      <c r="A7676" s="166"/>
      <c r="H7676" s="1"/>
      <c r="N7676" s="166"/>
    </row>
    <row r="7677" spans="1:14">
      <c r="A7677" s="166"/>
      <c r="H7677" s="1"/>
      <c r="N7677" s="166"/>
    </row>
    <row r="7678" spans="1:14">
      <c r="A7678" s="166"/>
      <c r="H7678" s="1"/>
      <c r="N7678" s="166"/>
    </row>
    <row r="7679" spans="1:14">
      <c r="A7679" s="166"/>
      <c r="H7679" s="1"/>
      <c r="N7679" s="166"/>
    </row>
    <row r="7680" spans="1:14">
      <c r="A7680" s="166"/>
      <c r="H7680" s="1"/>
      <c r="N7680" s="166"/>
    </row>
    <row r="7681" spans="1:14">
      <c r="A7681" s="166"/>
      <c r="H7681" s="1"/>
      <c r="N7681" s="166"/>
    </row>
    <row r="7682" spans="1:14">
      <c r="A7682" s="166"/>
      <c r="H7682" s="1"/>
      <c r="N7682" s="166"/>
    </row>
    <row r="7683" spans="1:14">
      <c r="A7683" s="166"/>
      <c r="H7683" s="1"/>
      <c r="N7683" s="166"/>
    </row>
    <row r="7684" spans="1:14">
      <c r="A7684" s="166"/>
      <c r="H7684" s="1"/>
      <c r="N7684" s="166"/>
    </row>
    <row r="7685" spans="1:14">
      <c r="A7685" s="166"/>
      <c r="H7685" s="1"/>
      <c r="N7685" s="166"/>
    </row>
    <row r="7686" spans="1:14">
      <c r="A7686" s="166"/>
      <c r="H7686" s="1"/>
      <c r="N7686" s="166"/>
    </row>
    <row r="7687" spans="1:14">
      <c r="A7687" s="166"/>
      <c r="H7687" s="1"/>
      <c r="N7687" s="166"/>
    </row>
    <row r="7688" spans="1:14">
      <c r="A7688" s="166"/>
      <c r="H7688" s="1"/>
      <c r="N7688" s="166"/>
    </row>
    <row r="7689" spans="1:14">
      <c r="A7689" s="166"/>
      <c r="H7689" s="1"/>
      <c r="N7689" s="166"/>
    </row>
    <row r="7690" spans="1:14">
      <c r="A7690" s="166"/>
      <c r="H7690" s="1"/>
      <c r="N7690" s="166"/>
    </row>
    <row r="7691" spans="1:14">
      <c r="A7691" s="166"/>
      <c r="H7691" s="1"/>
      <c r="N7691" s="166"/>
    </row>
    <row r="7692" spans="1:14">
      <c r="A7692" s="166"/>
      <c r="H7692" s="1"/>
      <c r="N7692" s="166"/>
    </row>
    <row r="7693" spans="1:14">
      <c r="A7693" s="166"/>
      <c r="H7693" s="1"/>
      <c r="N7693" s="166"/>
    </row>
    <row r="7694" spans="1:14">
      <c r="A7694" s="166"/>
      <c r="H7694" s="1"/>
      <c r="N7694" s="166"/>
    </row>
    <row r="7695" spans="1:14">
      <c r="A7695" s="166"/>
      <c r="H7695" s="1"/>
      <c r="N7695" s="166"/>
    </row>
    <row r="7696" spans="1:14">
      <c r="A7696" s="166"/>
      <c r="H7696" s="1"/>
      <c r="N7696" s="166"/>
    </row>
    <row r="7697" spans="1:14">
      <c r="A7697" s="166"/>
      <c r="H7697" s="1"/>
      <c r="N7697" s="166"/>
    </row>
    <row r="7698" spans="1:14">
      <c r="A7698" s="166"/>
      <c r="H7698" s="1"/>
      <c r="N7698" s="166"/>
    </row>
    <row r="7699" spans="1:14">
      <c r="A7699" s="166"/>
      <c r="H7699" s="1"/>
      <c r="N7699" s="166"/>
    </row>
    <row r="7700" spans="1:14">
      <c r="A7700" s="166"/>
      <c r="H7700" s="1"/>
      <c r="N7700" s="166"/>
    </row>
    <row r="7701" spans="1:14">
      <c r="A7701" s="166"/>
      <c r="H7701" s="1"/>
      <c r="N7701" s="166"/>
    </row>
    <row r="7702" spans="1:14">
      <c r="A7702" s="166"/>
      <c r="H7702" s="1"/>
      <c r="N7702" s="166"/>
    </row>
    <row r="7703" spans="1:14">
      <c r="A7703" s="166"/>
      <c r="H7703" s="1"/>
      <c r="N7703" s="166"/>
    </row>
    <row r="7704" spans="1:14">
      <c r="A7704" s="166"/>
      <c r="H7704" s="1"/>
      <c r="N7704" s="166"/>
    </row>
    <row r="7705" spans="1:14">
      <c r="A7705" s="166"/>
      <c r="H7705" s="1"/>
      <c r="N7705" s="166"/>
    </row>
    <row r="7706" spans="1:14">
      <c r="A7706" s="166"/>
      <c r="H7706" s="1"/>
      <c r="N7706" s="166"/>
    </row>
    <row r="7707" spans="1:14">
      <c r="A7707" s="166"/>
      <c r="H7707" s="1"/>
      <c r="N7707" s="166"/>
    </row>
    <row r="7708" spans="1:14">
      <c r="A7708" s="166"/>
      <c r="H7708" s="1"/>
      <c r="N7708" s="166"/>
    </row>
    <row r="7709" spans="1:14">
      <c r="A7709" s="166"/>
      <c r="H7709" s="1"/>
      <c r="N7709" s="166"/>
    </row>
    <row r="7710" spans="1:14">
      <c r="A7710" s="166"/>
      <c r="H7710" s="1"/>
      <c r="N7710" s="166"/>
    </row>
    <row r="7711" spans="1:14">
      <c r="A7711" s="166"/>
      <c r="H7711" s="1"/>
      <c r="N7711" s="166"/>
    </row>
    <row r="7712" spans="1:14">
      <c r="A7712" s="166"/>
      <c r="H7712" s="1"/>
      <c r="N7712" s="166"/>
    </row>
    <row r="7713" spans="1:14">
      <c r="A7713" s="166"/>
      <c r="H7713" s="1"/>
      <c r="N7713" s="166"/>
    </row>
    <row r="7714" spans="1:14">
      <c r="A7714" s="166"/>
      <c r="H7714" s="1"/>
      <c r="N7714" s="166"/>
    </row>
    <row r="7715" spans="1:14">
      <c r="A7715" s="166"/>
      <c r="H7715" s="1"/>
      <c r="N7715" s="166"/>
    </row>
    <row r="7716" spans="1:14">
      <c r="A7716" s="166"/>
      <c r="H7716" s="1"/>
      <c r="N7716" s="166"/>
    </row>
    <row r="7717" spans="1:14">
      <c r="A7717" s="166"/>
      <c r="H7717" s="1"/>
      <c r="N7717" s="166"/>
    </row>
    <row r="7718" spans="1:14">
      <c r="A7718" s="166"/>
      <c r="H7718" s="1"/>
      <c r="N7718" s="166"/>
    </row>
    <row r="7719" spans="1:14">
      <c r="A7719" s="166"/>
      <c r="H7719" s="1"/>
      <c r="N7719" s="166"/>
    </row>
    <row r="7720" spans="1:14">
      <c r="A7720" s="166"/>
      <c r="H7720" s="1"/>
      <c r="N7720" s="166"/>
    </row>
    <row r="7721" spans="1:14">
      <c r="A7721" s="166"/>
      <c r="H7721" s="1"/>
      <c r="N7721" s="166"/>
    </row>
    <row r="7722" spans="1:14">
      <c r="A7722" s="166"/>
      <c r="H7722" s="1"/>
      <c r="N7722" s="166"/>
    </row>
    <row r="7723" spans="1:14">
      <c r="A7723" s="166"/>
      <c r="H7723" s="1"/>
      <c r="N7723" s="166"/>
    </row>
    <row r="7724" spans="1:14">
      <c r="A7724" s="166"/>
      <c r="H7724" s="1"/>
      <c r="N7724" s="166"/>
    </row>
    <row r="7725" spans="1:14">
      <c r="A7725" s="166"/>
      <c r="H7725" s="1"/>
      <c r="N7725" s="166"/>
    </row>
    <row r="7726" spans="1:14">
      <c r="A7726" s="166"/>
      <c r="H7726" s="1"/>
      <c r="N7726" s="166"/>
    </row>
    <row r="7727" spans="1:14">
      <c r="A7727" s="166"/>
      <c r="H7727" s="1"/>
      <c r="N7727" s="166"/>
    </row>
    <row r="7728" spans="1:14">
      <c r="A7728" s="166"/>
      <c r="H7728" s="1"/>
      <c r="N7728" s="166"/>
    </row>
    <row r="7729" spans="1:14">
      <c r="A7729" s="166"/>
      <c r="H7729" s="1"/>
      <c r="N7729" s="166"/>
    </row>
    <row r="7730" spans="1:14">
      <c r="A7730" s="166"/>
      <c r="H7730" s="1"/>
      <c r="N7730" s="166"/>
    </row>
    <row r="7731" spans="1:14">
      <c r="A7731" s="166"/>
      <c r="H7731" s="1"/>
      <c r="N7731" s="166"/>
    </row>
    <row r="7732" spans="1:14">
      <c r="A7732" s="166"/>
      <c r="H7732" s="1"/>
      <c r="N7732" s="166"/>
    </row>
    <row r="7733" spans="1:14">
      <c r="A7733" s="166"/>
      <c r="H7733" s="1"/>
      <c r="N7733" s="166"/>
    </row>
    <row r="7734" spans="1:14">
      <c r="A7734" s="166"/>
      <c r="H7734" s="1"/>
      <c r="N7734" s="166"/>
    </row>
    <row r="7735" spans="1:14">
      <c r="A7735" s="166"/>
      <c r="H7735" s="1"/>
      <c r="N7735" s="166"/>
    </row>
    <row r="7736" spans="1:14">
      <c r="A7736" s="166"/>
      <c r="H7736" s="1"/>
      <c r="N7736" s="166"/>
    </row>
    <row r="7737" spans="1:14">
      <c r="A7737" s="166"/>
      <c r="H7737" s="1"/>
      <c r="N7737" s="166"/>
    </row>
    <row r="7738" spans="1:14">
      <c r="A7738" s="166"/>
      <c r="H7738" s="1"/>
      <c r="N7738" s="166"/>
    </row>
    <row r="7739" spans="1:14">
      <c r="A7739" s="166"/>
      <c r="H7739" s="1"/>
      <c r="N7739" s="166"/>
    </row>
    <row r="7740" spans="1:14">
      <c r="A7740" s="166"/>
      <c r="H7740" s="1"/>
      <c r="N7740" s="166"/>
    </row>
    <row r="7741" spans="1:14">
      <c r="A7741" s="166"/>
      <c r="H7741" s="1"/>
      <c r="N7741" s="166"/>
    </row>
    <row r="7742" spans="1:14">
      <c r="A7742" s="166"/>
      <c r="H7742" s="1"/>
      <c r="N7742" s="166"/>
    </row>
    <row r="7743" spans="1:14">
      <c r="A7743" s="166"/>
      <c r="H7743" s="1"/>
      <c r="N7743" s="166"/>
    </row>
    <row r="7744" spans="1:14">
      <c r="A7744" s="166"/>
      <c r="H7744" s="1"/>
      <c r="N7744" s="166"/>
    </row>
    <row r="7745" spans="1:14">
      <c r="A7745" s="166"/>
      <c r="H7745" s="1"/>
      <c r="N7745" s="166"/>
    </row>
    <row r="7746" spans="1:14">
      <c r="A7746" s="166"/>
      <c r="H7746" s="1"/>
      <c r="N7746" s="166"/>
    </row>
    <row r="7747" spans="1:14">
      <c r="A7747" s="166"/>
      <c r="H7747" s="1"/>
      <c r="N7747" s="166"/>
    </row>
    <row r="7748" spans="1:14">
      <c r="A7748" s="166"/>
      <c r="H7748" s="1"/>
      <c r="N7748" s="166"/>
    </row>
    <row r="7749" spans="1:14">
      <c r="A7749" s="166"/>
      <c r="H7749" s="1"/>
      <c r="N7749" s="166"/>
    </row>
    <row r="7750" spans="1:14">
      <c r="A7750" s="166"/>
      <c r="H7750" s="1"/>
      <c r="N7750" s="166"/>
    </row>
    <row r="7751" spans="1:14">
      <c r="A7751" s="166"/>
      <c r="H7751" s="1"/>
      <c r="N7751" s="166"/>
    </row>
    <row r="7752" spans="1:14">
      <c r="A7752" s="166"/>
      <c r="H7752" s="1"/>
      <c r="N7752" s="166"/>
    </row>
    <row r="7753" spans="1:14">
      <c r="A7753" s="166"/>
      <c r="H7753" s="1"/>
      <c r="N7753" s="166"/>
    </row>
    <row r="7754" spans="1:14">
      <c r="A7754" s="166"/>
      <c r="H7754" s="1"/>
      <c r="N7754" s="166"/>
    </row>
    <row r="7755" spans="1:14">
      <c r="A7755" s="166"/>
      <c r="H7755" s="1"/>
      <c r="N7755" s="166"/>
    </row>
    <row r="7756" spans="1:14">
      <c r="A7756" s="166"/>
      <c r="H7756" s="1"/>
      <c r="N7756" s="166"/>
    </row>
    <row r="7757" spans="1:14">
      <c r="A7757" s="166"/>
      <c r="H7757" s="1"/>
      <c r="N7757" s="166"/>
    </row>
    <row r="7758" spans="1:14">
      <c r="A7758" s="166"/>
      <c r="H7758" s="1"/>
      <c r="N7758" s="166"/>
    </row>
    <row r="7759" spans="1:14">
      <c r="A7759" s="166"/>
      <c r="H7759" s="1"/>
      <c r="N7759" s="166"/>
    </row>
    <row r="7760" spans="1:14">
      <c r="A7760" s="166"/>
      <c r="H7760" s="1"/>
      <c r="N7760" s="166"/>
    </row>
    <row r="7761" spans="1:14">
      <c r="A7761" s="166"/>
      <c r="H7761" s="1"/>
      <c r="N7761" s="166"/>
    </row>
    <row r="7762" spans="1:14">
      <c r="A7762" s="166"/>
      <c r="H7762" s="1"/>
      <c r="N7762" s="166"/>
    </row>
    <row r="7763" spans="1:14">
      <c r="A7763" s="166"/>
      <c r="H7763" s="1"/>
      <c r="N7763" s="166"/>
    </row>
    <row r="7764" spans="1:14">
      <c r="A7764" s="166"/>
      <c r="H7764" s="1"/>
      <c r="N7764" s="166"/>
    </row>
    <row r="7765" spans="1:14">
      <c r="A7765" s="166"/>
      <c r="H7765" s="1"/>
      <c r="N7765" s="166"/>
    </row>
    <row r="7766" spans="1:14">
      <c r="A7766" s="166"/>
      <c r="H7766" s="1"/>
      <c r="N7766" s="166"/>
    </row>
    <row r="7767" spans="1:14">
      <c r="A7767" s="166"/>
      <c r="H7767" s="1"/>
      <c r="N7767" s="166"/>
    </row>
    <row r="7768" spans="1:14">
      <c r="A7768" s="166"/>
      <c r="H7768" s="1"/>
      <c r="N7768" s="166"/>
    </row>
    <row r="7769" spans="1:14">
      <c r="A7769" s="166"/>
      <c r="H7769" s="1"/>
      <c r="N7769" s="166"/>
    </row>
    <row r="7770" spans="1:14">
      <c r="A7770" s="166"/>
      <c r="H7770" s="1"/>
      <c r="N7770" s="166"/>
    </row>
    <row r="7771" spans="1:14">
      <c r="A7771" s="166"/>
      <c r="H7771" s="1"/>
      <c r="N7771" s="166"/>
    </row>
    <row r="7772" spans="1:14">
      <c r="A7772" s="166"/>
      <c r="H7772" s="1"/>
      <c r="N7772" s="166"/>
    </row>
    <row r="7773" spans="1:14">
      <c r="A7773" s="166"/>
      <c r="H7773" s="1"/>
      <c r="N7773" s="166"/>
    </row>
    <row r="7774" spans="1:14">
      <c r="A7774" s="166"/>
      <c r="H7774" s="1"/>
      <c r="N7774" s="166"/>
    </row>
    <row r="7775" spans="1:14">
      <c r="A7775" s="166"/>
      <c r="H7775" s="1"/>
      <c r="N7775" s="166"/>
    </row>
    <row r="7776" spans="1:14">
      <c r="A7776" s="166"/>
      <c r="H7776" s="1"/>
      <c r="N7776" s="166"/>
    </row>
    <row r="7777" spans="1:14">
      <c r="A7777" s="166"/>
      <c r="H7777" s="1"/>
      <c r="N7777" s="166"/>
    </row>
    <row r="7778" spans="1:14">
      <c r="A7778" s="166"/>
      <c r="H7778" s="1"/>
      <c r="N7778" s="166"/>
    </row>
    <row r="7779" spans="1:14">
      <c r="A7779" s="166"/>
      <c r="H7779" s="1"/>
      <c r="N7779" s="166"/>
    </row>
    <row r="7780" spans="1:14">
      <c r="A7780" s="166"/>
      <c r="H7780" s="1"/>
      <c r="N7780" s="166"/>
    </row>
    <row r="7781" spans="1:14">
      <c r="A7781" s="166"/>
      <c r="H7781" s="1"/>
      <c r="N7781" s="166"/>
    </row>
    <row r="7782" spans="1:14">
      <c r="A7782" s="166"/>
      <c r="H7782" s="1"/>
      <c r="N7782" s="166"/>
    </row>
    <row r="7783" spans="1:14">
      <c r="A7783" s="166"/>
      <c r="H7783" s="1"/>
      <c r="N7783" s="166"/>
    </row>
    <row r="7784" spans="1:14">
      <c r="A7784" s="166"/>
      <c r="H7784" s="1"/>
      <c r="N7784" s="166"/>
    </row>
    <row r="7785" spans="1:14">
      <c r="A7785" s="166"/>
      <c r="H7785" s="1"/>
      <c r="N7785" s="166"/>
    </row>
    <row r="7786" spans="1:14">
      <c r="A7786" s="166"/>
      <c r="H7786" s="1"/>
      <c r="N7786" s="166"/>
    </row>
    <row r="7787" spans="1:14">
      <c r="A7787" s="166"/>
      <c r="H7787" s="1"/>
      <c r="N7787" s="166"/>
    </row>
    <row r="7788" spans="1:14">
      <c r="A7788" s="166"/>
      <c r="H7788" s="1"/>
      <c r="N7788" s="166"/>
    </row>
    <row r="7789" spans="1:14">
      <c r="A7789" s="166"/>
      <c r="H7789" s="1"/>
      <c r="N7789" s="166"/>
    </row>
    <row r="7790" spans="1:14">
      <c r="A7790" s="166"/>
      <c r="H7790" s="1"/>
      <c r="N7790" s="166"/>
    </row>
    <row r="7791" spans="1:14">
      <c r="A7791" s="166"/>
      <c r="H7791" s="1"/>
      <c r="N7791" s="166"/>
    </row>
    <row r="7792" spans="1:14">
      <c r="A7792" s="166"/>
      <c r="H7792" s="1"/>
      <c r="N7792" s="166"/>
    </row>
    <row r="7793" spans="1:14">
      <c r="A7793" s="166"/>
      <c r="H7793" s="1"/>
      <c r="N7793" s="166"/>
    </row>
    <row r="7794" spans="1:14">
      <c r="A7794" s="166"/>
      <c r="H7794" s="1"/>
      <c r="N7794" s="166"/>
    </row>
    <row r="7795" spans="1:14">
      <c r="A7795" s="166"/>
      <c r="H7795" s="1"/>
      <c r="N7795" s="166"/>
    </row>
    <row r="7796" spans="1:14">
      <c r="A7796" s="166"/>
      <c r="H7796" s="1"/>
      <c r="N7796" s="166"/>
    </row>
    <row r="7797" spans="1:14">
      <c r="A7797" s="166"/>
      <c r="H7797" s="1"/>
      <c r="N7797" s="166"/>
    </row>
    <row r="7798" spans="1:14">
      <c r="A7798" s="166"/>
      <c r="H7798" s="1"/>
      <c r="N7798" s="166"/>
    </row>
    <row r="7799" spans="1:14">
      <c r="A7799" s="166"/>
      <c r="H7799" s="1"/>
      <c r="N7799" s="166"/>
    </row>
    <row r="7800" spans="1:14">
      <c r="A7800" s="166"/>
      <c r="H7800" s="1"/>
      <c r="N7800" s="166"/>
    </row>
    <row r="7801" spans="1:14">
      <c r="A7801" s="166"/>
      <c r="H7801" s="1"/>
      <c r="N7801" s="166"/>
    </row>
    <row r="7802" spans="1:14">
      <c r="A7802" s="166"/>
      <c r="H7802" s="1"/>
      <c r="N7802" s="166"/>
    </row>
    <row r="7803" spans="1:14">
      <c r="A7803" s="166"/>
      <c r="H7803" s="1"/>
      <c r="N7803" s="166"/>
    </row>
    <row r="7804" spans="1:14">
      <c r="A7804" s="166"/>
      <c r="H7804" s="1"/>
      <c r="N7804" s="166"/>
    </row>
    <row r="7805" spans="1:14">
      <c r="A7805" s="166"/>
      <c r="H7805" s="1"/>
      <c r="N7805" s="166"/>
    </row>
    <row r="7806" spans="1:14">
      <c r="A7806" s="166"/>
      <c r="H7806" s="1"/>
      <c r="N7806" s="166"/>
    </row>
    <row r="7807" spans="1:14">
      <c r="A7807" s="166"/>
      <c r="H7807" s="1"/>
      <c r="N7807" s="166"/>
    </row>
    <row r="7808" spans="1:14">
      <c r="A7808" s="166"/>
      <c r="H7808" s="1"/>
      <c r="N7808" s="166"/>
    </row>
    <row r="7809" spans="1:14">
      <c r="A7809" s="166"/>
      <c r="H7809" s="1"/>
      <c r="N7809" s="166"/>
    </row>
    <row r="7810" spans="1:14">
      <c r="A7810" s="166"/>
      <c r="H7810" s="1"/>
      <c r="N7810" s="166"/>
    </row>
    <row r="7811" spans="1:14">
      <c r="A7811" s="166"/>
      <c r="H7811" s="1"/>
      <c r="N7811" s="166"/>
    </row>
    <row r="7812" spans="1:14">
      <c r="A7812" s="166"/>
      <c r="H7812" s="1"/>
      <c r="N7812" s="166"/>
    </row>
    <row r="7813" spans="1:14">
      <c r="A7813" s="166"/>
      <c r="H7813" s="1"/>
      <c r="N7813" s="166"/>
    </row>
    <row r="7814" spans="1:14">
      <c r="A7814" s="166"/>
      <c r="H7814" s="1"/>
      <c r="N7814" s="166"/>
    </row>
    <row r="7815" spans="1:14">
      <c r="A7815" s="166"/>
      <c r="H7815" s="1"/>
      <c r="N7815" s="166"/>
    </row>
    <row r="7816" spans="1:14">
      <c r="A7816" s="166"/>
      <c r="H7816" s="1"/>
      <c r="N7816" s="166"/>
    </row>
    <row r="7817" spans="1:14">
      <c r="A7817" s="166"/>
      <c r="H7817" s="1"/>
      <c r="N7817" s="166"/>
    </row>
    <row r="7818" spans="1:14">
      <c r="A7818" s="166"/>
      <c r="H7818" s="1"/>
      <c r="N7818" s="166"/>
    </row>
    <row r="7819" spans="1:14">
      <c r="A7819" s="166"/>
      <c r="H7819" s="1"/>
      <c r="N7819" s="166"/>
    </row>
    <row r="7820" spans="1:14">
      <c r="A7820" s="166"/>
      <c r="H7820" s="1"/>
      <c r="N7820" s="166"/>
    </row>
    <row r="7821" spans="1:14">
      <c r="A7821" s="166"/>
      <c r="H7821" s="1"/>
      <c r="N7821" s="166"/>
    </row>
    <row r="7822" spans="1:14">
      <c r="A7822" s="166"/>
      <c r="H7822" s="1"/>
      <c r="N7822" s="166"/>
    </row>
    <row r="7823" spans="1:14">
      <c r="A7823" s="166"/>
      <c r="H7823" s="1"/>
      <c r="N7823" s="166"/>
    </row>
    <row r="7824" spans="1:14">
      <c r="A7824" s="166"/>
      <c r="H7824" s="1"/>
      <c r="N7824" s="166"/>
    </row>
    <row r="7825" spans="1:14">
      <c r="A7825" s="166"/>
      <c r="H7825" s="1"/>
      <c r="N7825" s="166"/>
    </row>
    <row r="7826" spans="1:14">
      <c r="A7826" s="166"/>
      <c r="H7826" s="1"/>
      <c r="N7826" s="166"/>
    </row>
    <row r="7827" spans="1:14">
      <c r="A7827" s="166"/>
      <c r="H7827" s="1"/>
      <c r="N7827" s="166"/>
    </row>
    <row r="7828" spans="1:14">
      <c r="A7828" s="166"/>
      <c r="H7828" s="1"/>
      <c r="N7828" s="166"/>
    </row>
    <row r="7829" spans="1:14">
      <c r="A7829" s="166"/>
      <c r="H7829" s="1"/>
      <c r="N7829" s="166"/>
    </row>
    <row r="7830" spans="1:14">
      <c r="A7830" s="166"/>
      <c r="H7830" s="1"/>
      <c r="N7830" s="166"/>
    </row>
    <row r="7831" spans="1:14">
      <c r="A7831" s="166"/>
      <c r="H7831" s="1"/>
      <c r="N7831" s="166"/>
    </row>
    <row r="7832" spans="1:14">
      <c r="A7832" s="166"/>
      <c r="H7832" s="1"/>
      <c r="N7832" s="166"/>
    </row>
    <row r="7833" spans="1:14">
      <c r="A7833" s="166"/>
      <c r="H7833" s="1"/>
      <c r="N7833" s="166"/>
    </row>
    <row r="7834" spans="1:14">
      <c r="A7834" s="166"/>
      <c r="H7834" s="1"/>
      <c r="N7834" s="166"/>
    </row>
    <row r="7835" spans="1:14">
      <c r="A7835" s="166"/>
      <c r="H7835" s="1"/>
      <c r="N7835" s="166"/>
    </row>
    <row r="7836" spans="1:14">
      <c r="A7836" s="166"/>
      <c r="H7836" s="1"/>
      <c r="N7836" s="166"/>
    </row>
    <row r="7837" spans="1:14">
      <c r="A7837" s="166"/>
      <c r="H7837" s="1"/>
      <c r="N7837" s="166"/>
    </row>
    <row r="7838" spans="1:14">
      <c r="A7838" s="166"/>
      <c r="H7838" s="1"/>
      <c r="N7838" s="166"/>
    </row>
    <row r="7839" spans="1:14">
      <c r="A7839" s="166"/>
      <c r="H7839" s="1"/>
      <c r="N7839" s="166"/>
    </row>
    <row r="7840" spans="1:14">
      <c r="A7840" s="166"/>
      <c r="H7840" s="1"/>
      <c r="N7840" s="166"/>
    </row>
    <row r="7841" spans="1:14">
      <c r="A7841" s="166"/>
      <c r="H7841" s="1"/>
      <c r="N7841" s="166"/>
    </row>
    <row r="7842" spans="1:14">
      <c r="A7842" s="166"/>
      <c r="H7842" s="1"/>
      <c r="N7842" s="166"/>
    </row>
    <row r="7843" spans="1:14">
      <c r="A7843" s="166"/>
      <c r="H7843" s="1"/>
      <c r="N7843" s="166"/>
    </row>
    <row r="7844" spans="1:14">
      <c r="A7844" s="166"/>
      <c r="H7844" s="1"/>
      <c r="N7844" s="166"/>
    </row>
    <row r="7845" spans="1:14">
      <c r="A7845" s="166"/>
      <c r="H7845" s="1"/>
      <c r="N7845" s="166"/>
    </row>
    <row r="7846" spans="1:14">
      <c r="A7846" s="166"/>
      <c r="H7846" s="1"/>
      <c r="N7846" s="166"/>
    </row>
    <row r="7847" spans="1:14">
      <c r="A7847" s="166"/>
      <c r="H7847" s="1"/>
      <c r="N7847" s="166"/>
    </row>
    <row r="7848" spans="1:14">
      <c r="A7848" s="166"/>
      <c r="H7848" s="1"/>
      <c r="N7848" s="166"/>
    </row>
    <row r="7849" spans="1:14">
      <c r="A7849" s="166"/>
      <c r="H7849" s="1"/>
      <c r="N7849" s="166"/>
    </row>
    <row r="7850" spans="1:14">
      <c r="A7850" s="166"/>
      <c r="H7850" s="1"/>
      <c r="N7850" s="166"/>
    </row>
    <row r="7851" spans="1:14">
      <c r="A7851" s="166"/>
      <c r="H7851" s="1"/>
      <c r="N7851" s="166"/>
    </row>
    <row r="7852" spans="1:14">
      <c r="A7852" s="166"/>
      <c r="H7852" s="1"/>
      <c r="N7852" s="166"/>
    </row>
    <row r="7853" spans="1:14">
      <c r="A7853" s="166"/>
      <c r="H7853" s="1"/>
      <c r="N7853" s="166"/>
    </row>
    <row r="7854" spans="1:14">
      <c r="A7854" s="166"/>
      <c r="H7854" s="1"/>
      <c r="N7854" s="166"/>
    </row>
    <row r="7855" spans="1:14">
      <c r="A7855" s="166"/>
      <c r="H7855" s="1"/>
      <c r="N7855" s="166"/>
    </row>
    <row r="7856" spans="1:14">
      <c r="A7856" s="166"/>
      <c r="H7856" s="1"/>
      <c r="N7856" s="166"/>
    </row>
    <row r="7857" spans="1:14">
      <c r="A7857" s="166"/>
      <c r="H7857" s="1"/>
      <c r="N7857" s="166"/>
    </row>
    <row r="7858" spans="1:14">
      <c r="A7858" s="166"/>
      <c r="H7858" s="1"/>
      <c r="N7858" s="166"/>
    </row>
    <row r="7859" spans="1:14">
      <c r="A7859" s="166"/>
      <c r="H7859" s="1"/>
      <c r="N7859" s="166"/>
    </row>
    <row r="7860" spans="1:14">
      <c r="A7860" s="166"/>
      <c r="H7860" s="1"/>
      <c r="N7860" s="166"/>
    </row>
    <row r="7861" spans="1:14">
      <c r="A7861" s="166"/>
      <c r="H7861" s="1"/>
      <c r="N7861" s="166"/>
    </row>
    <row r="7862" spans="1:14">
      <c r="A7862" s="166"/>
      <c r="H7862" s="1"/>
      <c r="N7862" s="166"/>
    </row>
    <row r="7863" spans="1:14">
      <c r="A7863" s="166"/>
      <c r="H7863" s="1"/>
      <c r="N7863" s="166"/>
    </row>
    <row r="7864" spans="1:14">
      <c r="A7864" s="166"/>
      <c r="H7864" s="1"/>
      <c r="N7864" s="166"/>
    </row>
    <row r="7865" spans="1:14">
      <c r="A7865" s="166"/>
      <c r="H7865" s="1"/>
      <c r="N7865" s="166"/>
    </row>
    <row r="7866" spans="1:14">
      <c r="A7866" s="166"/>
      <c r="H7866" s="1"/>
      <c r="N7866" s="166"/>
    </row>
    <row r="7867" spans="1:14">
      <c r="A7867" s="166"/>
      <c r="H7867" s="1"/>
      <c r="N7867" s="166"/>
    </row>
    <row r="7868" spans="1:14">
      <c r="A7868" s="166"/>
      <c r="H7868" s="1"/>
      <c r="N7868" s="166"/>
    </row>
    <row r="7869" spans="1:14">
      <c r="A7869" s="166"/>
      <c r="H7869" s="1"/>
      <c r="N7869" s="166"/>
    </row>
    <row r="7870" spans="1:14">
      <c r="A7870" s="166"/>
      <c r="H7870" s="1"/>
      <c r="N7870" s="166"/>
    </row>
    <row r="7871" spans="1:14">
      <c r="A7871" s="166"/>
      <c r="H7871" s="1"/>
      <c r="N7871" s="166"/>
    </row>
    <row r="7872" spans="1:14">
      <c r="A7872" s="166"/>
      <c r="H7872" s="1"/>
      <c r="N7872" s="166"/>
    </row>
    <row r="7873" spans="1:14">
      <c r="A7873" s="166"/>
      <c r="H7873" s="1"/>
      <c r="N7873" s="166"/>
    </row>
    <row r="7874" spans="1:14">
      <c r="A7874" s="166"/>
      <c r="H7874" s="1"/>
      <c r="N7874" s="166"/>
    </row>
    <row r="7875" spans="1:14">
      <c r="A7875" s="166"/>
      <c r="H7875" s="1"/>
      <c r="N7875" s="166"/>
    </row>
    <row r="7876" spans="1:14">
      <c r="A7876" s="166"/>
      <c r="H7876" s="1"/>
      <c r="N7876" s="166"/>
    </row>
    <row r="7877" spans="1:14">
      <c r="A7877" s="166"/>
      <c r="H7877" s="1"/>
      <c r="N7877" s="166"/>
    </row>
    <row r="7878" spans="1:14">
      <c r="A7878" s="166"/>
      <c r="H7878" s="1"/>
      <c r="N7878" s="166"/>
    </row>
    <row r="7879" spans="1:14">
      <c r="A7879" s="166"/>
      <c r="H7879" s="1"/>
      <c r="N7879" s="166"/>
    </row>
    <row r="7880" spans="1:14">
      <c r="A7880" s="166"/>
      <c r="H7880" s="1"/>
      <c r="N7880" s="166"/>
    </row>
    <row r="7881" spans="1:14">
      <c r="A7881" s="166"/>
      <c r="H7881" s="1"/>
      <c r="N7881" s="166"/>
    </row>
    <row r="7882" spans="1:14">
      <c r="A7882" s="166"/>
      <c r="H7882" s="1"/>
      <c r="N7882" s="166"/>
    </row>
    <row r="7883" spans="1:14">
      <c r="A7883" s="166"/>
      <c r="H7883" s="1"/>
      <c r="N7883" s="166"/>
    </row>
    <row r="7884" spans="1:14">
      <c r="A7884" s="166"/>
      <c r="H7884" s="1"/>
      <c r="N7884" s="166"/>
    </row>
    <row r="7885" spans="1:14">
      <c r="A7885" s="166"/>
      <c r="H7885" s="1"/>
      <c r="N7885" s="166"/>
    </row>
    <row r="7886" spans="1:14">
      <c r="A7886" s="166"/>
      <c r="H7886" s="1"/>
      <c r="N7886" s="166"/>
    </row>
    <row r="7887" spans="1:14">
      <c r="A7887" s="166"/>
      <c r="H7887" s="1"/>
      <c r="N7887" s="166"/>
    </row>
    <row r="7888" spans="1:14">
      <c r="A7888" s="166"/>
      <c r="H7888" s="1"/>
      <c r="N7888" s="166"/>
    </row>
    <row r="7889" spans="1:14">
      <c r="A7889" s="166"/>
      <c r="H7889" s="1"/>
      <c r="N7889" s="166"/>
    </row>
    <row r="7890" spans="1:14">
      <c r="A7890" s="166"/>
      <c r="H7890" s="1"/>
      <c r="N7890" s="166"/>
    </row>
    <row r="7891" spans="1:14">
      <c r="A7891" s="166"/>
      <c r="H7891" s="1"/>
      <c r="N7891" s="166"/>
    </row>
    <row r="7892" spans="1:14">
      <c r="A7892" s="166"/>
      <c r="H7892" s="1"/>
      <c r="N7892" s="166"/>
    </row>
    <row r="7893" spans="1:14">
      <c r="A7893" s="166"/>
      <c r="H7893" s="1"/>
      <c r="N7893" s="166"/>
    </row>
    <row r="7894" spans="1:14">
      <c r="A7894" s="166"/>
      <c r="H7894" s="1"/>
      <c r="N7894" s="166"/>
    </row>
    <row r="7895" spans="1:14">
      <c r="A7895" s="166"/>
      <c r="H7895" s="1"/>
      <c r="N7895" s="166"/>
    </row>
    <row r="7896" spans="1:14">
      <c r="A7896" s="166"/>
      <c r="H7896" s="1"/>
      <c r="N7896" s="166"/>
    </row>
    <row r="7897" spans="1:14">
      <c r="A7897" s="166"/>
      <c r="H7897" s="1"/>
      <c r="N7897" s="166"/>
    </row>
    <row r="7898" spans="1:14">
      <c r="A7898" s="166"/>
      <c r="H7898" s="1"/>
      <c r="N7898" s="166"/>
    </row>
    <row r="7899" spans="1:14">
      <c r="A7899" s="166"/>
      <c r="H7899" s="1"/>
      <c r="N7899" s="166"/>
    </row>
    <row r="7900" spans="1:14">
      <c r="A7900" s="166"/>
      <c r="H7900" s="1"/>
      <c r="N7900" s="166"/>
    </row>
    <row r="7901" spans="1:14">
      <c r="A7901" s="166"/>
      <c r="H7901" s="1"/>
      <c r="N7901" s="166"/>
    </row>
    <row r="7902" spans="1:14">
      <c r="A7902" s="166"/>
      <c r="H7902" s="1"/>
      <c r="N7902" s="166"/>
    </row>
    <row r="7903" spans="1:14">
      <c r="A7903" s="166"/>
      <c r="H7903" s="1"/>
      <c r="N7903" s="166"/>
    </row>
    <row r="7904" spans="1:14">
      <c r="A7904" s="166"/>
      <c r="H7904" s="1"/>
      <c r="N7904" s="166"/>
    </row>
    <row r="7905" spans="1:14">
      <c r="A7905" s="166"/>
      <c r="H7905" s="1"/>
      <c r="N7905" s="166"/>
    </row>
    <row r="7906" spans="1:14">
      <c r="A7906" s="166"/>
      <c r="H7906" s="1"/>
      <c r="N7906" s="166"/>
    </row>
    <row r="7907" spans="1:14">
      <c r="A7907" s="166"/>
      <c r="H7907" s="1"/>
      <c r="N7907" s="166"/>
    </row>
    <row r="7908" spans="1:14">
      <c r="A7908" s="166"/>
      <c r="H7908" s="1"/>
      <c r="N7908" s="166"/>
    </row>
    <row r="7909" spans="1:14">
      <c r="A7909" s="166"/>
      <c r="H7909" s="1"/>
      <c r="N7909" s="166"/>
    </row>
    <row r="7910" spans="1:14">
      <c r="A7910" s="166"/>
      <c r="H7910" s="1"/>
      <c r="N7910" s="166"/>
    </row>
    <row r="7911" spans="1:14">
      <c r="A7911" s="166"/>
      <c r="H7911" s="1"/>
      <c r="N7911" s="166"/>
    </row>
    <row r="7912" spans="1:14">
      <c r="A7912" s="166"/>
      <c r="H7912" s="1"/>
      <c r="N7912" s="166"/>
    </row>
    <row r="7913" spans="1:14">
      <c r="A7913" s="166"/>
      <c r="H7913" s="1"/>
      <c r="N7913" s="166"/>
    </row>
    <row r="7914" spans="1:14">
      <c r="A7914" s="166"/>
      <c r="H7914" s="1"/>
      <c r="N7914" s="166"/>
    </row>
    <row r="7915" spans="1:14">
      <c r="A7915" s="166"/>
      <c r="H7915" s="1"/>
      <c r="N7915" s="166"/>
    </row>
    <row r="7916" spans="1:14">
      <c r="A7916" s="166"/>
      <c r="H7916" s="1"/>
      <c r="N7916" s="166"/>
    </row>
    <row r="7917" spans="1:14">
      <c r="A7917" s="166"/>
      <c r="H7917" s="1"/>
      <c r="N7917" s="166"/>
    </row>
    <row r="7918" spans="1:14">
      <c r="A7918" s="166"/>
      <c r="H7918" s="1"/>
      <c r="N7918" s="166"/>
    </row>
    <row r="7919" spans="1:14">
      <c r="A7919" s="166"/>
      <c r="H7919" s="1"/>
      <c r="N7919" s="166"/>
    </row>
    <row r="7920" spans="1:14">
      <c r="A7920" s="166"/>
      <c r="H7920" s="1"/>
      <c r="N7920" s="166"/>
    </row>
    <row r="7921" spans="1:14">
      <c r="A7921" s="166"/>
      <c r="H7921" s="1"/>
      <c r="N7921" s="166"/>
    </row>
    <row r="7922" spans="1:14">
      <c r="A7922" s="166"/>
      <c r="H7922" s="1"/>
      <c r="N7922" s="166"/>
    </row>
    <row r="7923" spans="1:14">
      <c r="A7923" s="166"/>
      <c r="H7923" s="1"/>
      <c r="N7923" s="166"/>
    </row>
    <row r="7924" spans="1:14">
      <c r="A7924" s="166"/>
      <c r="H7924" s="1"/>
      <c r="N7924" s="166"/>
    </row>
    <row r="7925" spans="1:14">
      <c r="A7925" s="166"/>
      <c r="H7925" s="1"/>
      <c r="N7925" s="166"/>
    </row>
    <row r="7926" spans="1:14">
      <c r="A7926" s="166"/>
      <c r="H7926" s="1"/>
      <c r="N7926" s="166"/>
    </row>
    <row r="7927" spans="1:14">
      <c r="A7927" s="166"/>
      <c r="H7927" s="1"/>
      <c r="N7927" s="166"/>
    </row>
    <row r="7928" spans="1:14">
      <c r="A7928" s="166"/>
      <c r="H7928" s="1"/>
      <c r="N7928" s="166"/>
    </row>
    <row r="7929" spans="1:14">
      <c r="A7929" s="166"/>
      <c r="H7929" s="1"/>
      <c r="N7929" s="166"/>
    </row>
    <row r="7930" spans="1:14">
      <c r="A7930" s="166"/>
      <c r="H7930" s="1"/>
      <c r="N7930" s="166"/>
    </row>
    <row r="7931" spans="1:14">
      <c r="A7931" s="166"/>
      <c r="H7931" s="1"/>
      <c r="N7931" s="166"/>
    </row>
    <row r="7932" spans="1:14">
      <c r="A7932" s="166"/>
      <c r="H7932" s="1"/>
      <c r="N7932" s="166"/>
    </row>
    <row r="7933" spans="1:14">
      <c r="A7933" s="166"/>
      <c r="H7933" s="1"/>
      <c r="N7933" s="166"/>
    </row>
    <row r="7934" spans="1:14">
      <c r="A7934" s="166"/>
      <c r="H7934" s="1"/>
      <c r="N7934" s="166"/>
    </row>
    <row r="7935" spans="1:14">
      <c r="A7935" s="166"/>
      <c r="H7935" s="1"/>
      <c r="N7935" s="166"/>
    </row>
    <row r="7936" spans="1:14">
      <c r="A7936" s="166"/>
      <c r="H7936" s="1"/>
      <c r="N7936" s="166"/>
    </row>
    <row r="7937" spans="1:14">
      <c r="A7937" s="166"/>
      <c r="H7937" s="1"/>
      <c r="N7937" s="166"/>
    </row>
    <row r="7938" spans="1:14">
      <c r="A7938" s="166"/>
      <c r="H7938" s="1"/>
      <c r="N7938" s="166"/>
    </row>
    <row r="7939" spans="1:14">
      <c r="A7939" s="166"/>
      <c r="H7939" s="1"/>
      <c r="N7939" s="166"/>
    </row>
    <row r="7940" spans="1:14">
      <c r="A7940" s="166"/>
      <c r="H7940" s="1"/>
      <c r="N7940" s="166"/>
    </row>
    <row r="7941" spans="1:14">
      <c r="A7941" s="166"/>
      <c r="H7941" s="1"/>
      <c r="N7941" s="166"/>
    </row>
    <row r="7942" spans="1:14">
      <c r="A7942" s="166"/>
      <c r="H7942" s="1"/>
      <c r="N7942" s="166"/>
    </row>
    <row r="7943" spans="1:14">
      <c r="A7943" s="166"/>
      <c r="H7943" s="1"/>
      <c r="N7943" s="166"/>
    </row>
    <row r="7944" spans="1:14">
      <c r="A7944" s="166"/>
      <c r="H7944" s="1"/>
      <c r="N7944" s="166"/>
    </row>
    <row r="7945" spans="1:14">
      <c r="A7945" s="166"/>
      <c r="H7945" s="1"/>
      <c r="N7945" s="166"/>
    </row>
    <row r="7946" spans="1:14">
      <c r="A7946" s="166"/>
      <c r="H7946" s="1"/>
      <c r="N7946" s="166"/>
    </row>
    <row r="7947" spans="1:14">
      <c r="A7947" s="166"/>
      <c r="H7947" s="1"/>
      <c r="N7947" s="166"/>
    </row>
    <row r="7948" spans="1:14">
      <c r="A7948" s="166"/>
      <c r="H7948" s="1"/>
      <c r="N7948" s="166"/>
    </row>
    <row r="7949" spans="1:14">
      <c r="A7949" s="166"/>
      <c r="H7949" s="1"/>
      <c r="N7949" s="166"/>
    </row>
    <row r="7950" spans="1:14">
      <c r="A7950" s="166"/>
      <c r="H7950" s="1"/>
      <c r="N7950" s="166"/>
    </row>
    <row r="7951" spans="1:14">
      <c r="A7951" s="166"/>
      <c r="H7951" s="1"/>
      <c r="N7951" s="166"/>
    </row>
    <row r="7952" spans="1:14">
      <c r="A7952" s="166"/>
      <c r="H7952" s="1"/>
      <c r="N7952" s="166"/>
    </row>
    <row r="7953" spans="1:14">
      <c r="A7953" s="166"/>
      <c r="H7953" s="1"/>
      <c r="N7953" s="166"/>
    </row>
    <row r="7954" spans="1:14">
      <c r="A7954" s="166"/>
      <c r="H7954" s="1"/>
      <c r="N7954" s="166"/>
    </row>
    <row r="7955" spans="1:14">
      <c r="A7955" s="166"/>
      <c r="H7955" s="1"/>
      <c r="N7955" s="166"/>
    </row>
    <row r="7956" spans="1:14">
      <c r="A7956" s="166"/>
      <c r="H7956" s="1"/>
      <c r="N7956" s="166"/>
    </row>
    <row r="7957" spans="1:14">
      <c r="A7957" s="166"/>
      <c r="H7957" s="1"/>
      <c r="N7957" s="166"/>
    </row>
    <row r="7958" spans="1:14">
      <c r="A7958" s="166"/>
      <c r="H7958" s="1"/>
      <c r="N7958" s="166"/>
    </row>
    <row r="7959" spans="1:14">
      <c r="A7959" s="166"/>
      <c r="H7959" s="1"/>
      <c r="N7959" s="166"/>
    </row>
    <row r="7960" spans="1:14">
      <c r="A7960" s="166"/>
      <c r="H7960" s="1"/>
      <c r="N7960" s="166"/>
    </row>
    <row r="7961" spans="1:14">
      <c r="A7961" s="166"/>
      <c r="H7961" s="1"/>
      <c r="N7961" s="166"/>
    </row>
    <row r="7962" spans="1:14">
      <c r="A7962" s="166"/>
      <c r="H7962" s="1"/>
      <c r="N7962" s="166"/>
    </row>
    <row r="7963" spans="1:14">
      <c r="A7963" s="166"/>
      <c r="H7963" s="1"/>
      <c r="N7963" s="166"/>
    </row>
    <row r="7964" spans="1:14">
      <c r="A7964" s="166"/>
      <c r="H7964" s="1"/>
      <c r="N7964" s="166"/>
    </row>
    <row r="7965" spans="1:14">
      <c r="A7965" s="166"/>
      <c r="H7965" s="1"/>
      <c r="N7965" s="166"/>
    </row>
    <row r="7966" spans="1:14">
      <c r="A7966" s="166"/>
      <c r="H7966" s="1"/>
      <c r="N7966" s="166"/>
    </row>
    <row r="7967" spans="1:14">
      <c r="A7967" s="166"/>
      <c r="H7967" s="1"/>
      <c r="N7967" s="166"/>
    </row>
    <row r="7968" spans="1:14">
      <c r="A7968" s="166"/>
      <c r="H7968" s="1"/>
      <c r="N7968" s="166"/>
    </row>
    <row r="7969" spans="1:14">
      <c r="A7969" s="166"/>
      <c r="H7969" s="1"/>
      <c r="N7969" s="166"/>
    </row>
    <row r="7970" spans="1:14">
      <c r="A7970" s="166"/>
      <c r="H7970" s="1"/>
      <c r="N7970" s="166"/>
    </row>
    <row r="7971" spans="1:14">
      <c r="A7971" s="166"/>
      <c r="H7971" s="1"/>
      <c r="N7971" s="166"/>
    </row>
    <row r="7972" spans="1:14">
      <c r="A7972" s="166"/>
      <c r="H7972" s="1"/>
      <c r="N7972" s="166"/>
    </row>
    <row r="7973" spans="1:14">
      <c r="A7973" s="166"/>
      <c r="H7973" s="1"/>
      <c r="N7973" s="166"/>
    </row>
    <row r="7974" spans="1:14">
      <c r="A7974" s="166"/>
      <c r="H7974" s="1"/>
      <c r="N7974" s="166"/>
    </row>
    <row r="7975" spans="1:14">
      <c r="A7975" s="166"/>
      <c r="H7975" s="1"/>
      <c r="N7975" s="166"/>
    </row>
    <row r="7976" spans="1:14">
      <c r="A7976" s="166"/>
      <c r="H7976" s="1"/>
      <c r="N7976" s="166"/>
    </row>
    <row r="7977" spans="1:14">
      <c r="A7977" s="166"/>
      <c r="H7977" s="1"/>
      <c r="N7977" s="166"/>
    </row>
    <row r="7978" spans="1:14">
      <c r="A7978" s="166"/>
      <c r="H7978" s="1"/>
      <c r="N7978" s="166"/>
    </row>
    <row r="7979" spans="1:14">
      <c r="A7979" s="166"/>
      <c r="H7979" s="1"/>
      <c r="N7979" s="166"/>
    </row>
    <row r="7980" spans="1:14">
      <c r="A7980" s="166"/>
      <c r="H7980" s="1"/>
      <c r="N7980" s="166"/>
    </row>
    <row r="7981" spans="1:14">
      <c r="A7981" s="166"/>
      <c r="H7981" s="1"/>
      <c r="N7981" s="166"/>
    </row>
    <row r="7982" spans="1:14">
      <c r="A7982" s="166"/>
      <c r="H7982" s="1"/>
      <c r="N7982" s="166"/>
    </row>
    <row r="7983" spans="1:14">
      <c r="A7983" s="166"/>
      <c r="H7983" s="1"/>
      <c r="N7983" s="166"/>
    </row>
    <row r="7984" spans="1:14">
      <c r="A7984" s="166"/>
      <c r="H7984" s="1"/>
      <c r="N7984" s="166"/>
    </row>
    <row r="7985" spans="1:14">
      <c r="A7985" s="166"/>
      <c r="H7985" s="1"/>
      <c r="N7985" s="166"/>
    </row>
    <row r="7986" spans="1:14">
      <c r="A7986" s="166"/>
      <c r="H7986" s="1"/>
      <c r="N7986" s="166"/>
    </row>
    <row r="7987" spans="1:14">
      <c r="A7987" s="166"/>
      <c r="H7987" s="1"/>
      <c r="N7987" s="166"/>
    </row>
    <row r="7988" spans="1:14">
      <c r="A7988" s="166"/>
      <c r="H7988" s="1"/>
      <c r="N7988" s="166"/>
    </row>
    <row r="7989" spans="1:14">
      <c r="A7989" s="166"/>
      <c r="H7989" s="1"/>
      <c r="N7989" s="166"/>
    </row>
    <row r="7990" spans="1:14">
      <c r="A7990" s="166"/>
      <c r="H7990" s="1"/>
      <c r="N7990" s="166"/>
    </row>
    <row r="7991" spans="1:14">
      <c r="A7991" s="166"/>
      <c r="H7991" s="1"/>
      <c r="N7991" s="166"/>
    </row>
    <row r="7992" spans="1:14">
      <c r="A7992" s="166"/>
      <c r="H7992" s="1"/>
      <c r="N7992" s="166"/>
    </row>
    <row r="7993" spans="1:14">
      <c r="A7993" s="166"/>
      <c r="H7993" s="1"/>
      <c r="N7993" s="166"/>
    </row>
    <row r="7994" spans="1:14">
      <c r="A7994" s="166"/>
      <c r="H7994" s="1"/>
      <c r="N7994" s="166"/>
    </row>
    <row r="7995" spans="1:14">
      <c r="A7995" s="166"/>
      <c r="H7995" s="1"/>
      <c r="N7995" s="166"/>
    </row>
    <row r="7996" spans="1:14">
      <c r="A7996" s="166"/>
      <c r="H7996" s="1"/>
      <c r="N7996" s="166"/>
    </row>
    <row r="7997" spans="1:14">
      <c r="A7997" s="166"/>
      <c r="H7997" s="1"/>
      <c r="N7997" s="166"/>
    </row>
    <row r="7998" spans="1:14">
      <c r="A7998" s="166"/>
      <c r="H7998" s="1"/>
      <c r="N7998" s="166"/>
    </row>
    <row r="7999" spans="1:14">
      <c r="A7999" s="166"/>
      <c r="H7999" s="1"/>
      <c r="N7999" s="166"/>
    </row>
    <row r="8000" spans="1:14">
      <c r="A8000" s="166"/>
      <c r="H8000" s="1"/>
      <c r="N8000" s="166"/>
    </row>
    <row r="8001" spans="1:14">
      <c r="A8001" s="166"/>
      <c r="H8001" s="1"/>
      <c r="N8001" s="166"/>
    </row>
    <row r="8002" spans="1:14">
      <c r="A8002" s="166"/>
      <c r="H8002" s="1"/>
      <c r="N8002" s="166"/>
    </row>
    <row r="8003" spans="1:14">
      <c r="A8003" s="166"/>
      <c r="H8003" s="1"/>
      <c r="N8003" s="166"/>
    </row>
    <row r="8004" spans="1:14">
      <c r="A8004" s="166"/>
      <c r="H8004" s="1"/>
      <c r="N8004" s="166"/>
    </row>
    <row r="8005" spans="1:14">
      <c r="A8005" s="166"/>
      <c r="H8005" s="1"/>
      <c r="N8005" s="166"/>
    </row>
    <row r="8006" spans="1:14">
      <c r="A8006" s="166"/>
      <c r="H8006" s="1"/>
      <c r="N8006" s="166"/>
    </row>
    <row r="8007" spans="1:14">
      <c r="A8007" s="166"/>
      <c r="H8007" s="1"/>
      <c r="N8007" s="166"/>
    </row>
    <row r="8008" spans="1:14">
      <c r="A8008" s="166"/>
      <c r="H8008" s="1"/>
      <c r="N8008" s="166"/>
    </row>
    <row r="8009" spans="1:14">
      <c r="A8009" s="166"/>
      <c r="H8009" s="1"/>
      <c r="N8009" s="166"/>
    </row>
    <row r="8010" spans="1:14">
      <c r="A8010" s="166"/>
      <c r="H8010" s="1"/>
      <c r="N8010" s="166"/>
    </row>
    <row r="8011" spans="1:14">
      <c r="A8011" s="166"/>
      <c r="H8011" s="1"/>
      <c r="N8011" s="166"/>
    </row>
    <row r="8012" spans="1:14">
      <c r="A8012" s="166"/>
      <c r="H8012" s="1"/>
      <c r="N8012" s="166"/>
    </row>
    <row r="8013" spans="1:14">
      <c r="A8013" s="166"/>
      <c r="H8013" s="1"/>
      <c r="N8013" s="166"/>
    </row>
    <row r="8014" spans="1:14">
      <c r="A8014" s="166"/>
      <c r="H8014" s="1"/>
      <c r="N8014" s="166"/>
    </row>
    <row r="8015" spans="1:14">
      <c r="A8015" s="166"/>
      <c r="H8015" s="1"/>
      <c r="N8015" s="166"/>
    </row>
    <row r="8016" spans="1:14">
      <c r="A8016" s="166"/>
      <c r="H8016" s="1"/>
      <c r="N8016" s="166"/>
    </row>
    <row r="8017" spans="1:14">
      <c r="A8017" s="166"/>
      <c r="H8017" s="1"/>
      <c r="N8017" s="166"/>
    </row>
    <row r="8018" spans="1:14">
      <c r="A8018" s="166"/>
      <c r="H8018" s="1"/>
      <c r="N8018" s="166"/>
    </row>
    <row r="8019" spans="1:14">
      <c r="A8019" s="166"/>
      <c r="H8019" s="1"/>
      <c r="N8019" s="166"/>
    </row>
    <row r="8020" spans="1:14">
      <c r="A8020" s="166"/>
      <c r="H8020" s="1"/>
      <c r="N8020" s="166"/>
    </row>
    <row r="8021" spans="1:14">
      <c r="A8021" s="166"/>
      <c r="H8021" s="1"/>
      <c r="N8021" s="166"/>
    </row>
    <row r="8022" spans="1:14">
      <c r="A8022" s="166"/>
      <c r="H8022" s="1"/>
      <c r="N8022" s="166"/>
    </row>
    <row r="8023" spans="1:14">
      <c r="A8023" s="166"/>
      <c r="H8023" s="1"/>
      <c r="N8023" s="166"/>
    </row>
    <row r="8024" spans="1:14">
      <c r="A8024" s="166"/>
      <c r="H8024" s="1"/>
      <c r="N8024" s="166"/>
    </row>
    <row r="8025" spans="1:14">
      <c r="A8025" s="166"/>
      <c r="H8025" s="1"/>
      <c r="N8025" s="166"/>
    </row>
    <row r="8026" spans="1:14">
      <c r="A8026" s="166"/>
      <c r="H8026" s="1"/>
      <c r="N8026" s="166"/>
    </row>
    <row r="8027" spans="1:14">
      <c r="A8027" s="166"/>
      <c r="H8027" s="1"/>
      <c r="N8027" s="166"/>
    </row>
    <row r="8028" spans="1:14">
      <c r="A8028" s="166"/>
      <c r="H8028" s="1"/>
      <c r="N8028" s="166"/>
    </row>
    <row r="8029" spans="1:14">
      <c r="A8029" s="166"/>
      <c r="H8029" s="1"/>
      <c r="N8029" s="166"/>
    </row>
    <row r="8030" spans="1:14">
      <c r="A8030" s="166"/>
      <c r="H8030" s="1"/>
      <c r="N8030" s="166"/>
    </row>
    <row r="8031" spans="1:14">
      <c r="A8031" s="166"/>
      <c r="H8031" s="1"/>
      <c r="N8031" s="166"/>
    </row>
    <row r="8032" spans="1:14">
      <c r="A8032" s="166"/>
      <c r="H8032" s="1"/>
      <c r="N8032" s="166"/>
    </row>
    <row r="8033" spans="1:14">
      <c r="A8033" s="166"/>
      <c r="H8033" s="1"/>
      <c r="N8033" s="166"/>
    </row>
    <row r="8034" spans="1:14">
      <c r="A8034" s="166"/>
      <c r="H8034" s="1"/>
      <c r="N8034" s="166"/>
    </row>
    <row r="8035" spans="1:14">
      <c r="A8035" s="166"/>
      <c r="H8035" s="1"/>
      <c r="N8035" s="166"/>
    </row>
    <row r="8036" spans="1:14">
      <c r="A8036" s="166"/>
      <c r="H8036" s="1"/>
      <c r="N8036" s="166"/>
    </row>
    <row r="8037" spans="1:14">
      <c r="A8037" s="166"/>
      <c r="H8037" s="1"/>
      <c r="N8037" s="166"/>
    </row>
    <row r="8038" spans="1:14">
      <c r="A8038" s="166"/>
      <c r="H8038" s="1"/>
      <c r="N8038" s="166"/>
    </row>
    <row r="8039" spans="1:14">
      <c r="A8039" s="166"/>
      <c r="H8039" s="1"/>
      <c r="N8039" s="166"/>
    </row>
    <row r="8040" spans="1:14">
      <c r="A8040" s="166"/>
      <c r="H8040" s="1"/>
      <c r="N8040" s="166"/>
    </row>
    <row r="8041" spans="1:14">
      <c r="A8041" s="166"/>
      <c r="H8041" s="1"/>
      <c r="N8041" s="166"/>
    </row>
    <row r="8042" spans="1:14">
      <c r="A8042" s="166"/>
      <c r="H8042" s="1"/>
      <c r="N8042" s="166"/>
    </row>
    <row r="8043" spans="1:14">
      <c r="A8043" s="166"/>
      <c r="H8043" s="1"/>
      <c r="N8043" s="166"/>
    </row>
    <row r="8044" spans="1:14">
      <c r="A8044" s="166"/>
      <c r="H8044" s="1"/>
      <c r="N8044" s="166"/>
    </row>
    <row r="8045" spans="1:14">
      <c r="A8045" s="166"/>
      <c r="H8045" s="1"/>
      <c r="N8045" s="166"/>
    </row>
    <row r="8046" spans="1:14">
      <c r="A8046" s="166"/>
      <c r="H8046" s="1"/>
      <c r="N8046" s="166"/>
    </row>
    <row r="8047" spans="1:14">
      <c r="A8047" s="166"/>
      <c r="H8047" s="1"/>
      <c r="N8047" s="166"/>
    </row>
    <row r="8048" spans="1:14">
      <c r="A8048" s="166"/>
      <c r="H8048" s="1"/>
      <c r="N8048" s="166"/>
    </row>
    <row r="8049" spans="1:14">
      <c r="A8049" s="166"/>
      <c r="H8049" s="1"/>
      <c r="N8049" s="166"/>
    </row>
    <row r="8050" spans="1:14">
      <c r="A8050" s="166"/>
      <c r="H8050" s="1"/>
      <c r="N8050" s="166"/>
    </row>
    <row r="8051" spans="1:14">
      <c r="A8051" s="166"/>
      <c r="H8051" s="1"/>
      <c r="N8051" s="166"/>
    </row>
    <row r="8052" spans="1:14">
      <c r="A8052" s="166"/>
      <c r="H8052" s="1"/>
      <c r="N8052" s="166"/>
    </row>
    <row r="8053" spans="1:14">
      <c r="A8053" s="166"/>
      <c r="H8053" s="1"/>
      <c r="N8053" s="166"/>
    </row>
    <row r="8054" spans="1:14">
      <c r="A8054" s="166"/>
      <c r="H8054" s="1"/>
      <c r="N8054" s="166"/>
    </row>
    <row r="8055" spans="1:14">
      <c r="A8055" s="166"/>
      <c r="H8055" s="1"/>
      <c r="N8055" s="166"/>
    </row>
    <row r="8056" spans="1:14">
      <c r="A8056" s="166"/>
      <c r="H8056" s="1"/>
      <c r="N8056" s="166"/>
    </row>
    <row r="8057" spans="1:14">
      <c r="A8057" s="166"/>
      <c r="H8057" s="1"/>
      <c r="N8057" s="166"/>
    </row>
    <row r="8058" spans="1:14">
      <c r="A8058" s="166"/>
      <c r="H8058" s="1"/>
      <c r="N8058" s="166"/>
    </row>
    <row r="8059" spans="1:14">
      <c r="A8059" s="166"/>
      <c r="H8059" s="1"/>
      <c r="N8059" s="166"/>
    </row>
    <row r="8060" spans="1:14">
      <c r="A8060" s="166"/>
      <c r="H8060" s="1"/>
      <c r="N8060" s="166"/>
    </row>
    <row r="8061" spans="1:14">
      <c r="A8061" s="166"/>
      <c r="H8061" s="1"/>
      <c r="N8061" s="166"/>
    </row>
    <row r="8062" spans="1:14">
      <c r="A8062" s="166"/>
      <c r="H8062" s="1"/>
      <c r="N8062" s="166"/>
    </row>
    <row r="8063" spans="1:14">
      <c r="A8063" s="166"/>
      <c r="H8063" s="1"/>
      <c r="N8063" s="166"/>
    </row>
    <row r="8064" spans="1:14">
      <c r="A8064" s="166"/>
      <c r="H8064" s="1"/>
      <c r="N8064" s="166"/>
    </row>
    <row r="8065" spans="1:14">
      <c r="A8065" s="166"/>
      <c r="H8065" s="1"/>
      <c r="N8065" s="166"/>
    </row>
    <row r="8066" spans="1:14">
      <c r="A8066" s="166"/>
      <c r="H8066" s="1"/>
      <c r="N8066" s="166"/>
    </row>
    <row r="8067" spans="1:14">
      <c r="A8067" s="166"/>
      <c r="H8067" s="1"/>
      <c r="N8067" s="166"/>
    </row>
    <row r="8068" spans="1:14">
      <c r="A8068" s="166"/>
      <c r="H8068" s="1"/>
      <c r="N8068" s="166"/>
    </row>
    <row r="8069" spans="1:14">
      <c r="A8069" s="166"/>
      <c r="H8069" s="1"/>
      <c r="N8069" s="166"/>
    </row>
    <row r="8070" spans="1:14">
      <c r="A8070" s="166"/>
      <c r="H8070" s="1"/>
      <c r="N8070" s="166"/>
    </row>
    <row r="8071" spans="1:14">
      <c r="A8071" s="166"/>
      <c r="H8071" s="1"/>
      <c r="N8071" s="166"/>
    </row>
    <row r="8072" spans="1:14">
      <c r="A8072" s="166"/>
      <c r="H8072" s="1"/>
      <c r="N8072" s="166"/>
    </row>
    <row r="8073" spans="1:14">
      <c r="A8073" s="166"/>
      <c r="H8073" s="1"/>
      <c r="N8073" s="166"/>
    </row>
    <row r="8074" spans="1:14">
      <c r="A8074" s="166"/>
      <c r="H8074" s="1"/>
      <c r="N8074" s="166"/>
    </row>
    <row r="8075" spans="1:14">
      <c r="A8075" s="166"/>
      <c r="H8075" s="1"/>
      <c r="N8075" s="166"/>
    </row>
    <row r="8076" spans="1:14">
      <c r="A8076" s="166"/>
      <c r="H8076" s="1"/>
      <c r="N8076" s="166"/>
    </row>
    <row r="8077" spans="1:14">
      <c r="A8077" s="166"/>
      <c r="H8077" s="1"/>
      <c r="N8077" s="166"/>
    </row>
    <row r="8078" spans="1:14">
      <c r="A8078" s="166"/>
      <c r="H8078" s="1"/>
      <c r="N8078" s="166"/>
    </row>
    <row r="8079" spans="1:14">
      <c r="A8079" s="166"/>
      <c r="H8079" s="1"/>
      <c r="N8079" s="166"/>
    </row>
    <row r="8080" spans="1:14">
      <c r="A8080" s="166"/>
      <c r="H8080" s="1"/>
      <c r="N8080" s="166"/>
    </row>
    <row r="8081" spans="1:14">
      <c r="A8081" s="166"/>
      <c r="H8081" s="1"/>
      <c r="N8081" s="166"/>
    </row>
    <row r="8082" spans="1:14">
      <c r="A8082" s="166"/>
      <c r="H8082" s="1"/>
      <c r="N8082" s="166"/>
    </row>
    <row r="8083" spans="1:14">
      <c r="A8083" s="166"/>
      <c r="H8083" s="1"/>
      <c r="N8083" s="166"/>
    </row>
    <row r="8084" spans="1:14">
      <c r="A8084" s="166"/>
      <c r="H8084" s="1"/>
      <c r="N8084" s="166"/>
    </row>
    <row r="8085" spans="1:14">
      <c r="A8085" s="166"/>
      <c r="H8085" s="1"/>
      <c r="N8085" s="166"/>
    </row>
    <row r="8086" spans="1:14">
      <c r="A8086" s="166"/>
      <c r="H8086" s="1"/>
      <c r="N8086" s="166"/>
    </row>
    <row r="8087" spans="1:14">
      <c r="A8087" s="166"/>
      <c r="H8087" s="1"/>
      <c r="N8087" s="166"/>
    </row>
    <row r="8088" spans="1:14">
      <c r="A8088" s="166"/>
      <c r="H8088" s="1"/>
      <c r="N8088" s="166"/>
    </row>
    <row r="8089" spans="1:14">
      <c r="A8089" s="166"/>
      <c r="H8089" s="1"/>
      <c r="N8089" s="166"/>
    </row>
    <row r="8090" spans="1:14">
      <c r="A8090" s="166"/>
      <c r="H8090" s="1"/>
      <c r="N8090" s="166"/>
    </row>
    <row r="8091" spans="1:14">
      <c r="A8091" s="166"/>
      <c r="H8091" s="1"/>
      <c r="N8091" s="166"/>
    </row>
    <row r="8092" spans="1:14">
      <c r="A8092" s="166"/>
      <c r="H8092" s="1"/>
      <c r="N8092" s="166"/>
    </row>
    <row r="8093" spans="1:14">
      <c r="A8093" s="166"/>
      <c r="H8093" s="1"/>
      <c r="N8093" s="166"/>
    </row>
    <row r="8094" spans="1:14">
      <c r="A8094" s="166"/>
      <c r="H8094" s="1"/>
      <c r="N8094" s="166"/>
    </row>
    <row r="8095" spans="1:14">
      <c r="A8095" s="166"/>
      <c r="H8095" s="1"/>
      <c r="N8095" s="166"/>
    </row>
    <row r="8096" spans="1:14">
      <c r="A8096" s="166"/>
      <c r="H8096" s="1"/>
      <c r="N8096" s="166"/>
    </row>
    <row r="8097" spans="1:14">
      <c r="A8097" s="166"/>
      <c r="H8097" s="1"/>
      <c r="N8097" s="166"/>
    </row>
    <row r="8098" spans="1:14">
      <c r="A8098" s="166"/>
      <c r="H8098" s="1"/>
      <c r="N8098" s="166"/>
    </row>
    <row r="8099" spans="1:14">
      <c r="A8099" s="166"/>
      <c r="H8099" s="1"/>
      <c r="N8099" s="166"/>
    </row>
    <row r="8100" spans="1:14">
      <c r="A8100" s="166"/>
      <c r="H8100" s="1"/>
      <c r="N8100" s="166"/>
    </row>
    <row r="8101" spans="1:14">
      <c r="A8101" s="166"/>
      <c r="H8101" s="1"/>
      <c r="N8101" s="166"/>
    </row>
    <row r="8102" spans="1:14">
      <c r="A8102" s="166"/>
      <c r="H8102" s="1"/>
      <c r="N8102" s="166"/>
    </row>
    <row r="8103" spans="1:14">
      <c r="A8103" s="166"/>
      <c r="H8103" s="1"/>
      <c r="N8103" s="166"/>
    </row>
    <row r="8104" spans="1:14">
      <c r="A8104" s="166"/>
      <c r="H8104" s="1"/>
      <c r="N8104" s="166"/>
    </row>
    <row r="8105" spans="1:14">
      <c r="A8105" s="166"/>
      <c r="H8105" s="1"/>
      <c r="N8105" s="166"/>
    </row>
    <row r="8106" spans="1:14">
      <c r="A8106" s="166"/>
      <c r="H8106" s="1"/>
      <c r="N8106" s="166"/>
    </row>
    <row r="8107" spans="1:14">
      <c r="A8107" s="166"/>
      <c r="H8107" s="1"/>
      <c r="N8107" s="166"/>
    </row>
    <row r="8108" spans="1:14">
      <c r="A8108" s="166"/>
      <c r="H8108" s="1"/>
      <c r="N8108" s="166"/>
    </row>
    <row r="8109" spans="1:14">
      <c r="A8109" s="166"/>
      <c r="H8109" s="1"/>
      <c r="N8109" s="166"/>
    </row>
    <row r="8110" spans="1:14">
      <c r="A8110" s="166"/>
      <c r="H8110" s="1"/>
      <c r="N8110" s="166"/>
    </row>
    <row r="8111" spans="1:14">
      <c r="A8111" s="166"/>
      <c r="H8111" s="1"/>
      <c r="N8111" s="166"/>
    </row>
    <row r="8112" spans="1:14">
      <c r="A8112" s="166"/>
      <c r="H8112" s="1"/>
      <c r="N8112" s="166"/>
    </row>
    <row r="8113" spans="1:14">
      <c r="A8113" s="166"/>
      <c r="H8113" s="1"/>
      <c r="N8113" s="166"/>
    </row>
    <row r="8114" spans="1:14">
      <c r="A8114" s="166"/>
      <c r="H8114" s="1"/>
      <c r="N8114" s="166"/>
    </row>
    <row r="8115" spans="1:14">
      <c r="A8115" s="166"/>
      <c r="H8115" s="1"/>
      <c r="N8115" s="166"/>
    </row>
    <row r="8116" spans="1:14">
      <c r="A8116" s="166"/>
      <c r="H8116" s="1"/>
      <c r="N8116" s="166"/>
    </row>
    <row r="8117" spans="1:14">
      <c r="A8117" s="166"/>
      <c r="H8117" s="1"/>
      <c r="N8117" s="166"/>
    </row>
    <row r="8118" spans="1:14">
      <c r="A8118" s="166"/>
      <c r="H8118" s="1"/>
      <c r="N8118" s="166"/>
    </row>
    <row r="8119" spans="1:14">
      <c r="A8119" s="166"/>
      <c r="H8119" s="1"/>
      <c r="N8119" s="166"/>
    </row>
    <row r="8120" spans="1:14">
      <c r="A8120" s="166"/>
      <c r="H8120" s="1"/>
      <c r="N8120" s="166"/>
    </row>
    <row r="8121" spans="1:14">
      <c r="A8121" s="166"/>
      <c r="H8121" s="1"/>
      <c r="N8121" s="166"/>
    </row>
    <row r="8122" spans="1:14">
      <c r="A8122" s="166"/>
      <c r="H8122" s="1"/>
      <c r="N8122" s="166"/>
    </row>
    <row r="8123" spans="1:14">
      <c r="A8123" s="166"/>
      <c r="H8123" s="1"/>
      <c r="N8123" s="166"/>
    </row>
    <row r="8124" spans="1:14">
      <c r="A8124" s="166"/>
      <c r="H8124" s="1"/>
      <c r="N8124" s="166"/>
    </row>
    <row r="8125" spans="1:14">
      <c r="A8125" s="166"/>
      <c r="H8125" s="1"/>
      <c r="N8125" s="166"/>
    </row>
    <row r="8126" spans="1:14">
      <c r="A8126" s="166"/>
      <c r="H8126" s="1"/>
      <c r="N8126" s="166"/>
    </row>
    <row r="8127" spans="1:14">
      <c r="A8127" s="166"/>
      <c r="H8127" s="1"/>
      <c r="N8127" s="166"/>
    </row>
    <row r="8128" spans="1:14">
      <c r="A8128" s="166"/>
      <c r="H8128" s="1"/>
      <c r="N8128" s="166"/>
    </row>
    <row r="8129" spans="1:14">
      <c r="A8129" s="166"/>
      <c r="H8129" s="1"/>
      <c r="N8129" s="166"/>
    </row>
    <row r="8130" spans="1:14">
      <c r="A8130" s="166"/>
      <c r="H8130" s="1"/>
      <c r="N8130" s="166"/>
    </row>
    <row r="8131" spans="1:14">
      <c r="A8131" s="166"/>
      <c r="H8131" s="1"/>
      <c r="N8131" s="166"/>
    </row>
    <row r="8132" spans="1:14">
      <c r="A8132" s="166"/>
      <c r="H8132" s="1"/>
      <c r="N8132" s="166"/>
    </row>
    <row r="8133" spans="1:14">
      <c r="A8133" s="166"/>
      <c r="H8133" s="1"/>
      <c r="N8133" s="166"/>
    </row>
    <row r="8134" spans="1:14">
      <c r="A8134" s="166"/>
      <c r="H8134" s="1"/>
      <c r="N8134" s="166"/>
    </row>
    <row r="8135" spans="1:14">
      <c r="A8135" s="166"/>
      <c r="H8135" s="1"/>
      <c r="N8135" s="166"/>
    </row>
    <row r="8136" spans="1:14">
      <c r="A8136" s="166"/>
      <c r="H8136" s="1"/>
      <c r="N8136" s="166"/>
    </row>
    <row r="8137" spans="1:14">
      <c r="A8137" s="166"/>
      <c r="H8137" s="1"/>
      <c r="N8137" s="166"/>
    </row>
    <row r="8138" spans="1:14">
      <c r="A8138" s="166"/>
      <c r="H8138" s="1"/>
      <c r="N8138" s="166"/>
    </row>
    <row r="8139" spans="1:14">
      <c r="A8139" s="166"/>
      <c r="H8139" s="1"/>
      <c r="N8139" s="166"/>
    </row>
    <row r="8140" spans="1:14">
      <c r="A8140" s="166"/>
      <c r="H8140" s="1"/>
      <c r="N8140" s="166"/>
    </row>
    <row r="8141" spans="1:14">
      <c r="A8141" s="166"/>
      <c r="H8141" s="1"/>
      <c r="N8141" s="166"/>
    </row>
    <row r="8142" spans="1:14">
      <c r="A8142" s="166"/>
      <c r="H8142" s="1"/>
      <c r="N8142" s="166"/>
    </row>
    <row r="8143" spans="1:14">
      <c r="A8143" s="166"/>
      <c r="H8143" s="1"/>
      <c r="N8143" s="166"/>
    </row>
    <row r="8144" spans="1:14">
      <c r="A8144" s="166"/>
      <c r="H8144" s="1"/>
      <c r="N8144" s="166"/>
    </row>
    <row r="8145" spans="1:14">
      <c r="A8145" s="166"/>
      <c r="H8145" s="1"/>
      <c r="N8145" s="166"/>
    </row>
    <row r="8146" spans="1:14">
      <c r="A8146" s="166"/>
      <c r="H8146" s="1"/>
      <c r="N8146" s="166"/>
    </row>
    <row r="8147" spans="1:14">
      <c r="A8147" s="166"/>
      <c r="H8147" s="1"/>
      <c r="N8147" s="166"/>
    </row>
    <row r="8148" spans="1:14">
      <c r="A8148" s="166"/>
      <c r="H8148" s="1"/>
      <c r="N8148" s="166"/>
    </row>
    <row r="8149" spans="1:14">
      <c r="A8149" s="166"/>
      <c r="H8149" s="1"/>
      <c r="N8149" s="166"/>
    </row>
    <row r="8150" spans="1:14">
      <c r="A8150" s="166"/>
      <c r="H8150" s="1"/>
      <c r="N8150" s="166"/>
    </row>
    <row r="8151" spans="1:14">
      <c r="A8151" s="166"/>
      <c r="H8151" s="1"/>
      <c r="N8151" s="166"/>
    </row>
    <row r="8152" spans="1:14">
      <c r="A8152" s="166"/>
      <c r="H8152" s="1"/>
      <c r="N8152" s="166"/>
    </row>
    <row r="8153" spans="1:14">
      <c r="A8153" s="166"/>
      <c r="H8153" s="1"/>
      <c r="N8153" s="166"/>
    </row>
    <row r="8154" spans="1:14">
      <c r="A8154" s="166"/>
      <c r="H8154" s="1"/>
      <c r="N8154" s="166"/>
    </row>
    <row r="8155" spans="1:14">
      <c r="A8155" s="166"/>
      <c r="H8155" s="1"/>
      <c r="N8155" s="166"/>
    </row>
    <row r="8156" spans="1:14">
      <c r="A8156" s="166"/>
      <c r="H8156" s="1"/>
      <c r="N8156" s="166"/>
    </row>
    <row r="8157" spans="1:14">
      <c r="A8157" s="166"/>
      <c r="H8157" s="1"/>
      <c r="N8157" s="166"/>
    </row>
    <row r="8158" spans="1:14">
      <c r="A8158" s="166"/>
      <c r="H8158" s="1"/>
      <c r="N8158" s="166"/>
    </row>
    <row r="8159" spans="1:14">
      <c r="A8159" s="166"/>
      <c r="H8159" s="1"/>
      <c r="N8159" s="166"/>
    </row>
    <row r="8160" spans="1:14">
      <c r="A8160" s="166"/>
      <c r="H8160" s="1"/>
      <c r="N8160" s="166"/>
    </row>
    <row r="8161" spans="1:14">
      <c r="A8161" s="166"/>
      <c r="H8161" s="1"/>
      <c r="N8161" s="166"/>
    </row>
    <row r="8162" spans="1:14">
      <c r="A8162" s="166"/>
      <c r="H8162" s="1"/>
      <c r="N8162" s="166"/>
    </row>
    <row r="8163" spans="1:14">
      <c r="A8163" s="166"/>
      <c r="H8163" s="1"/>
      <c r="N8163" s="166"/>
    </row>
    <row r="8164" spans="1:14">
      <c r="A8164" s="166"/>
      <c r="H8164" s="1"/>
      <c r="N8164" s="166"/>
    </row>
    <row r="8165" spans="1:14">
      <c r="A8165" s="166"/>
      <c r="H8165" s="1"/>
      <c r="N8165" s="166"/>
    </row>
    <row r="8166" spans="1:14">
      <c r="A8166" s="166"/>
      <c r="H8166" s="1"/>
      <c r="N8166" s="166"/>
    </row>
    <row r="8167" spans="1:14">
      <c r="A8167" s="166"/>
      <c r="H8167" s="1"/>
      <c r="N8167" s="166"/>
    </row>
    <row r="8168" spans="1:14">
      <c r="A8168" s="166"/>
      <c r="H8168" s="1"/>
      <c r="N8168" s="166"/>
    </row>
    <row r="8169" spans="1:14">
      <c r="A8169" s="166"/>
      <c r="H8169" s="1"/>
      <c r="N8169" s="166"/>
    </row>
    <row r="8170" spans="1:14">
      <c r="A8170" s="166"/>
      <c r="H8170" s="1"/>
      <c r="N8170" s="166"/>
    </row>
    <row r="8171" spans="1:14">
      <c r="A8171" s="166"/>
      <c r="H8171" s="1"/>
      <c r="N8171" s="166"/>
    </row>
    <row r="8172" spans="1:14">
      <c r="A8172" s="166"/>
      <c r="H8172" s="1"/>
      <c r="N8172" s="166"/>
    </row>
    <row r="8173" spans="1:14">
      <c r="A8173" s="166"/>
      <c r="H8173" s="1"/>
      <c r="N8173" s="166"/>
    </row>
    <row r="8174" spans="1:14">
      <c r="A8174" s="166"/>
      <c r="H8174" s="1"/>
      <c r="N8174" s="166"/>
    </row>
    <row r="8175" spans="1:14">
      <c r="A8175" s="166"/>
      <c r="H8175" s="1"/>
      <c r="N8175" s="166"/>
    </row>
    <row r="8176" spans="1:14">
      <c r="A8176" s="166"/>
      <c r="H8176" s="1"/>
      <c r="N8176" s="166"/>
    </row>
    <row r="8177" spans="1:14">
      <c r="A8177" s="166"/>
      <c r="H8177" s="1"/>
      <c r="N8177" s="166"/>
    </row>
    <row r="8178" spans="1:14">
      <c r="A8178" s="166"/>
      <c r="H8178" s="1"/>
      <c r="N8178" s="166"/>
    </row>
    <row r="8179" spans="1:14">
      <c r="A8179" s="166"/>
      <c r="H8179" s="1"/>
      <c r="N8179" s="166"/>
    </row>
    <row r="8180" spans="1:14">
      <c r="A8180" s="166"/>
      <c r="H8180" s="1"/>
      <c r="N8180" s="166"/>
    </row>
    <row r="8181" spans="1:14">
      <c r="A8181" s="166"/>
      <c r="H8181" s="1"/>
      <c r="N8181" s="166"/>
    </row>
    <row r="8182" spans="1:14">
      <c r="A8182" s="166"/>
      <c r="H8182" s="1"/>
      <c r="N8182" s="166"/>
    </row>
    <row r="8183" spans="1:14">
      <c r="A8183" s="166"/>
      <c r="H8183" s="1"/>
      <c r="N8183" s="166"/>
    </row>
    <row r="8184" spans="1:14">
      <c r="A8184" s="166"/>
      <c r="H8184" s="1"/>
      <c r="N8184" s="166"/>
    </row>
    <row r="8185" spans="1:14">
      <c r="A8185" s="166"/>
      <c r="H8185" s="1"/>
      <c r="N8185" s="166"/>
    </row>
    <row r="8186" spans="1:14">
      <c r="A8186" s="166"/>
      <c r="H8186" s="1"/>
      <c r="N8186" s="166"/>
    </row>
    <row r="8187" spans="1:14">
      <c r="A8187" s="166"/>
      <c r="H8187" s="1"/>
      <c r="N8187" s="166"/>
    </row>
    <row r="8188" spans="1:14">
      <c r="A8188" s="166"/>
      <c r="H8188" s="1"/>
      <c r="N8188" s="166"/>
    </row>
    <row r="8189" spans="1:14">
      <c r="A8189" s="166"/>
      <c r="H8189" s="1"/>
      <c r="N8189" s="166"/>
    </row>
    <row r="8190" spans="1:14">
      <c r="A8190" s="166"/>
      <c r="H8190" s="1"/>
      <c r="N8190" s="166"/>
    </row>
    <row r="8191" spans="1:14">
      <c r="A8191" s="166"/>
      <c r="H8191" s="1"/>
      <c r="N8191" s="166"/>
    </row>
    <row r="8192" spans="1:14">
      <c r="A8192" s="166"/>
      <c r="H8192" s="1"/>
      <c r="N8192" s="166"/>
    </row>
    <row r="8193" spans="1:14">
      <c r="A8193" s="166"/>
      <c r="H8193" s="1"/>
      <c r="N8193" s="166"/>
    </row>
    <row r="8194" spans="1:14">
      <c r="A8194" s="166"/>
      <c r="H8194" s="1"/>
      <c r="N8194" s="166"/>
    </row>
    <row r="8195" spans="1:14">
      <c r="A8195" s="166"/>
      <c r="H8195" s="1"/>
      <c r="N8195" s="166"/>
    </row>
    <row r="8196" spans="1:14">
      <c r="A8196" s="166"/>
      <c r="H8196" s="1"/>
      <c r="N8196" s="166"/>
    </row>
    <row r="8197" spans="1:14">
      <c r="A8197" s="166"/>
      <c r="H8197" s="1"/>
      <c r="N8197" s="166"/>
    </row>
    <row r="8198" spans="1:14">
      <c r="A8198" s="166"/>
      <c r="H8198" s="1"/>
      <c r="N8198" s="166"/>
    </row>
    <row r="8199" spans="1:14">
      <c r="A8199" s="166"/>
      <c r="H8199" s="1"/>
      <c r="N8199" s="166"/>
    </row>
    <row r="8200" spans="1:14">
      <c r="A8200" s="166"/>
      <c r="H8200" s="1"/>
      <c r="N8200" s="166"/>
    </row>
    <row r="8201" spans="1:14">
      <c r="A8201" s="166"/>
      <c r="H8201" s="1"/>
      <c r="N8201" s="166"/>
    </row>
    <row r="8202" spans="1:14">
      <c r="A8202" s="166"/>
      <c r="H8202" s="1"/>
      <c r="N8202" s="166"/>
    </row>
    <row r="8203" spans="1:14">
      <c r="A8203" s="166"/>
      <c r="H8203" s="1"/>
      <c r="N8203" s="166"/>
    </row>
    <row r="8204" spans="1:14">
      <c r="A8204" s="166"/>
      <c r="H8204" s="1"/>
      <c r="N8204" s="166"/>
    </row>
    <row r="8205" spans="1:14">
      <c r="A8205" s="166"/>
      <c r="H8205" s="1"/>
      <c r="N8205" s="166"/>
    </row>
    <row r="8206" spans="1:14">
      <c r="A8206" s="166"/>
      <c r="H8206" s="1"/>
      <c r="N8206" s="166"/>
    </row>
    <row r="8207" spans="1:14">
      <c r="A8207" s="166"/>
      <c r="H8207" s="1"/>
      <c r="N8207" s="166"/>
    </row>
    <row r="8208" spans="1:14">
      <c r="A8208" s="166"/>
      <c r="H8208" s="1"/>
      <c r="N8208" s="166"/>
    </row>
    <row r="8209" spans="1:14">
      <c r="A8209" s="166"/>
      <c r="H8209" s="1"/>
      <c r="N8209" s="166"/>
    </row>
    <row r="8210" spans="1:14">
      <c r="A8210" s="166"/>
      <c r="H8210" s="1"/>
      <c r="N8210" s="166"/>
    </row>
    <row r="8211" spans="1:14">
      <c r="A8211" s="166"/>
      <c r="H8211" s="1"/>
      <c r="N8211" s="166"/>
    </row>
    <row r="8212" spans="1:14">
      <c r="A8212" s="166"/>
      <c r="H8212" s="1"/>
      <c r="N8212" s="166"/>
    </row>
    <row r="8213" spans="1:14">
      <c r="A8213" s="166"/>
      <c r="H8213" s="1"/>
      <c r="N8213" s="166"/>
    </row>
    <row r="8214" spans="1:14">
      <c r="A8214" s="166"/>
      <c r="H8214" s="1"/>
      <c r="N8214" s="166"/>
    </row>
    <row r="8215" spans="1:14">
      <c r="A8215" s="166"/>
      <c r="H8215" s="1"/>
      <c r="N8215" s="166"/>
    </row>
    <row r="8216" spans="1:14">
      <c r="A8216" s="166"/>
      <c r="H8216" s="1"/>
      <c r="N8216" s="166"/>
    </row>
    <row r="8217" spans="1:14">
      <c r="A8217" s="166"/>
      <c r="H8217" s="1"/>
      <c r="N8217" s="166"/>
    </row>
    <row r="8218" spans="1:14">
      <c r="A8218" s="166"/>
      <c r="H8218" s="1"/>
      <c r="N8218" s="166"/>
    </row>
    <row r="8219" spans="1:14">
      <c r="A8219" s="166"/>
      <c r="H8219" s="1"/>
      <c r="N8219" s="166"/>
    </row>
    <row r="8220" spans="1:14">
      <c r="A8220" s="166"/>
      <c r="H8220" s="1"/>
      <c r="N8220" s="166"/>
    </row>
    <row r="8221" spans="1:14">
      <c r="A8221" s="166"/>
      <c r="H8221" s="1"/>
      <c r="N8221" s="166"/>
    </row>
    <row r="8222" spans="1:14">
      <c r="A8222" s="166"/>
      <c r="H8222" s="1"/>
      <c r="N8222" s="166"/>
    </row>
    <row r="8223" spans="1:14">
      <c r="A8223" s="166"/>
      <c r="H8223" s="1"/>
      <c r="N8223" s="166"/>
    </row>
    <row r="8224" spans="1:14">
      <c r="A8224" s="166"/>
      <c r="H8224" s="1"/>
      <c r="N8224" s="166"/>
    </row>
    <row r="8225" spans="1:14">
      <c r="A8225" s="166"/>
      <c r="H8225" s="1"/>
      <c r="N8225" s="166"/>
    </row>
    <row r="8226" spans="1:14">
      <c r="A8226" s="166"/>
      <c r="H8226" s="1"/>
      <c r="N8226" s="166"/>
    </row>
    <row r="8227" spans="1:14">
      <c r="A8227" s="166"/>
      <c r="H8227" s="1"/>
      <c r="N8227" s="166"/>
    </row>
    <row r="8228" spans="1:14">
      <c r="A8228" s="166"/>
      <c r="H8228" s="1"/>
      <c r="N8228" s="166"/>
    </row>
    <row r="8229" spans="1:14">
      <c r="A8229" s="166"/>
      <c r="H8229" s="1"/>
      <c r="N8229" s="166"/>
    </row>
    <row r="8230" spans="1:14">
      <c r="A8230" s="166"/>
      <c r="H8230" s="1"/>
      <c r="N8230" s="166"/>
    </row>
    <row r="8231" spans="1:14">
      <c r="A8231" s="166"/>
      <c r="H8231" s="1"/>
      <c r="N8231" s="166"/>
    </row>
    <row r="8232" spans="1:14">
      <c r="A8232" s="166"/>
      <c r="H8232" s="1"/>
      <c r="N8232" s="166"/>
    </row>
    <row r="8233" spans="1:14">
      <c r="A8233" s="166"/>
      <c r="H8233" s="1"/>
      <c r="N8233" s="166"/>
    </row>
    <row r="8234" spans="1:14">
      <c r="A8234" s="166"/>
      <c r="H8234" s="1"/>
      <c r="N8234" s="166"/>
    </row>
    <row r="8235" spans="1:14">
      <c r="A8235" s="166"/>
      <c r="H8235" s="1"/>
      <c r="N8235" s="166"/>
    </row>
    <row r="8236" spans="1:14">
      <c r="A8236" s="166"/>
      <c r="H8236" s="1"/>
      <c r="N8236" s="166"/>
    </row>
    <row r="8237" spans="1:14">
      <c r="A8237" s="166"/>
      <c r="H8237" s="1"/>
      <c r="N8237" s="166"/>
    </row>
    <row r="8238" spans="1:14">
      <c r="A8238" s="166"/>
      <c r="H8238" s="1"/>
      <c r="N8238" s="166"/>
    </row>
    <row r="8239" spans="1:14">
      <c r="A8239" s="166"/>
      <c r="H8239" s="1"/>
      <c r="N8239" s="166"/>
    </row>
    <row r="8240" spans="1:14">
      <c r="A8240" s="166"/>
      <c r="H8240" s="1"/>
      <c r="N8240" s="166"/>
    </row>
    <row r="8241" spans="1:14">
      <c r="A8241" s="166"/>
      <c r="H8241" s="1"/>
      <c r="N8241" s="166"/>
    </row>
    <row r="8242" spans="1:14">
      <c r="A8242" s="166"/>
      <c r="H8242" s="1"/>
      <c r="N8242" s="166"/>
    </row>
    <row r="8243" spans="1:14">
      <c r="A8243" s="166"/>
      <c r="H8243" s="1"/>
      <c r="N8243" s="166"/>
    </row>
    <row r="8244" spans="1:14">
      <c r="A8244" s="166"/>
      <c r="H8244" s="1"/>
      <c r="N8244" s="166"/>
    </row>
    <row r="8245" spans="1:14">
      <c r="A8245" s="166"/>
      <c r="H8245" s="1"/>
      <c r="N8245" s="166"/>
    </row>
    <row r="8246" spans="1:14">
      <c r="A8246" s="166"/>
      <c r="H8246" s="1"/>
      <c r="N8246" s="166"/>
    </row>
    <row r="8247" spans="1:14">
      <c r="A8247" s="166"/>
      <c r="H8247" s="1"/>
      <c r="N8247" s="166"/>
    </row>
    <row r="8248" spans="1:14">
      <c r="A8248" s="166"/>
      <c r="H8248" s="1"/>
      <c r="N8248" s="166"/>
    </row>
    <row r="8249" spans="1:14">
      <c r="A8249" s="166"/>
      <c r="H8249" s="1"/>
      <c r="N8249" s="166"/>
    </row>
    <row r="8250" spans="1:14">
      <c r="A8250" s="166"/>
      <c r="H8250" s="1"/>
      <c r="N8250" s="166"/>
    </row>
    <row r="8251" spans="1:14">
      <c r="A8251" s="166"/>
      <c r="H8251" s="1"/>
      <c r="N8251" s="166"/>
    </row>
    <row r="8252" spans="1:14">
      <c r="A8252" s="166"/>
      <c r="H8252" s="1"/>
      <c r="N8252" s="166"/>
    </row>
    <row r="8253" spans="1:14">
      <c r="A8253" s="166"/>
      <c r="H8253" s="1"/>
      <c r="N8253" s="166"/>
    </row>
    <row r="8254" spans="1:14">
      <c r="A8254" s="166"/>
      <c r="H8254" s="1"/>
      <c r="N8254" s="166"/>
    </row>
    <row r="8255" spans="1:14">
      <c r="A8255" s="166"/>
      <c r="H8255" s="1"/>
      <c r="N8255" s="166"/>
    </row>
    <row r="8256" spans="1:14">
      <c r="A8256" s="166"/>
      <c r="H8256" s="1"/>
      <c r="N8256" s="166"/>
    </row>
    <row r="8257" spans="1:14">
      <c r="A8257" s="166"/>
      <c r="H8257" s="1"/>
      <c r="N8257" s="166"/>
    </row>
    <row r="8258" spans="1:14">
      <c r="A8258" s="166"/>
      <c r="H8258" s="1"/>
      <c r="N8258" s="166"/>
    </row>
    <row r="8259" spans="1:14">
      <c r="A8259" s="166"/>
      <c r="H8259" s="1"/>
      <c r="N8259" s="166"/>
    </row>
    <row r="8260" spans="1:14">
      <c r="A8260" s="166"/>
      <c r="H8260" s="1"/>
      <c r="N8260" s="166"/>
    </row>
    <row r="8261" spans="1:14">
      <c r="A8261" s="166"/>
      <c r="H8261" s="1"/>
      <c r="N8261" s="166"/>
    </row>
    <row r="8262" spans="1:14">
      <c r="A8262" s="166"/>
      <c r="H8262" s="1"/>
      <c r="N8262" s="166"/>
    </row>
    <row r="8263" spans="1:14">
      <c r="A8263" s="166"/>
      <c r="H8263" s="1"/>
      <c r="N8263" s="166"/>
    </row>
    <row r="8264" spans="1:14">
      <c r="A8264" s="166"/>
      <c r="H8264" s="1"/>
      <c r="N8264" s="166"/>
    </row>
    <row r="8265" spans="1:14">
      <c r="A8265" s="166"/>
      <c r="H8265" s="1"/>
      <c r="N8265" s="166"/>
    </row>
    <row r="8266" spans="1:14">
      <c r="A8266" s="166"/>
      <c r="H8266" s="1"/>
      <c r="N8266" s="166"/>
    </row>
    <row r="8267" spans="1:14">
      <c r="A8267" s="166"/>
      <c r="H8267" s="1"/>
      <c r="N8267" s="166"/>
    </row>
    <row r="8268" spans="1:14">
      <c r="A8268" s="166"/>
      <c r="H8268" s="1"/>
      <c r="N8268" s="166"/>
    </row>
    <row r="8269" spans="1:14">
      <c r="A8269" s="166"/>
      <c r="H8269" s="1"/>
      <c r="N8269" s="166"/>
    </row>
    <row r="8270" spans="1:14">
      <c r="A8270" s="166"/>
      <c r="H8270" s="1"/>
      <c r="N8270" s="166"/>
    </row>
    <row r="8271" spans="1:14">
      <c r="A8271" s="166"/>
      <c r="H8271" s="1"/>
      <c r="N8271" s="166"/>
    </row>
    <row r="8272" spans="1:14">
      <c r="A8272" s="166"/>
      <c r="H8272" s="1"/>
      <c r="N8272" s="166"/>
    </row>
    <row r="8273" spans="1:14">
      <c r="A8273" s="166"/>
      <c r="H8273" s="1"/>
      <c r="N8273" s="166"/>
    </row>
    <row r="8274" spans="1:14">
      <c r="A8274" s="166"/>
      <c r="H8274" s="1"/>
      <c r="N8274" s="166"/>
    </row>
    <row r="8275" spans="1:14">
      <c r="A8275" s="166"/>
      <c r="H8275" s="1"/>
      <c r="N8275" s="166"/>
    </row>
    <row r="8276" spans="1:14">
      <c r="A8276" s="166"/>
      <c r="H8276" s="1"/>
      <c r="N8276" s="166"/>
    </row>
    <row r="8277" spans="1:14">
      <c r="A8277" s="166"/>
      <c r="H8277" s="1"/>
      <c r="N8277" s="166"/>
    </row>
    <row r="8278" spans="1:14">
      <c r="A8278" s="166"/>
      <c r="H8278" s="1"/>
      <c r="N8278" s="166"/>
    </row>
    <row r="8279" spans="1:14">
      <c r="A8279" s="166"/>
      <c r="H8279" s="1"/>
      <c r="N8279" s="166"/>
    </row>
    <row r="8280" spans="1:14">
      <c r="A8280" s="166"/>
      <c r="H8280" s="1"/>
      <c r="N8280" s="166"/>
    </row>
    <row r="8281" spans="1:14">
      <c r="A8281" s="166"/>
      <c r="H8281" s="1"/>
      <c r="N8281" s="166"/>
    </row>
    <row r="8282" spans="1:14">
      <c r="A8282" s="166"/>
      <c r="H8282" s="1"/>
      <c r="N8282" s="166"/>
    </row>
    <row r="8283" spans="1:14">
      <c r="A8283" s="166"/>
      <c r="H8283" s="1"/>
      <c r="N8283" s="166"/>
    </row>
    <row r="8284" spans="1:14">
      <c r="A8284" s="166"/>
      <c r="H8284" s="1"/>
      <c r="N8284" s="166"/>
    </row>
    <row r="8285" spans="1:14">
      <c r="A8285" s="166"/>
      <c r="H8285" s="1"/>
      <c r="N8285" s="166"/>
    </row>
    <row r="8286" spans="1:14">
      <c r="A8286" s="166"/>
      <c r="H8286" s="1"/>
      <c r="N8286" s="166"/>
    </row>
    <row r="8287" spans="1:14">
      <c r="A8287" s="166"/>
      <c r="H8287" s="1"/>
      <c r="N8287" s="166"/>
    </row>
    <row r="8288" spans="1:14">
      <c r="A8288" s="166"/>
      <c r="H8288" s="1"/>
      <c r="N8288" s="166"/>
    </row>
    <row r="8289" spans="1:14">
      <c r="A8289" s="166"/>
      <c r="H8289" s="1"/>
      <c r="N8289" s="166"/>
    </row>
    <row r="8290" spans="1:14">
      <c r="A8290" s="166"/>
      <c r="H8290" s="1"/>
      <c r="N8290" s="166"/>
    </row>
    <row r="8291" spans="1:14">
      <c r="A8291" s="166"/>
      <c r="H8291" s="1"/>
      <c r="N8291" s="166"/>
    </row>
    <row r="8292" spans="1:14">
      <c r="A8292" s="166"/>
      <c r="H8292" s="1"/>
      <c r="N8292" s="166"/>
    </row>
    <row r="8293" spans="1:14">
      <c r="A8293" s="166"/>
      <c r="H8293" s="1"/>
      <c r="N8293" s="166"/>
    </row>
    <row r="8294" spans="1:14">
      <c r="A8294" s="166"/>
      <c r="H8294" s="1"/>
      <c r="N8294" s="166"/>
    </row>
    <row r="8295" spans="1:14">
      <c r="A8295" s="166"/>
      <c r="H8295" s="1"/>
      <c r="N8295" s="166"/>
    </row>
    <row r="8296" spans="1:14">
      <c r="A8296" s="166"/>
      <c r="H8296" s="1"/>
      <c r="N8296" s="166"/>
    </row>
    <row r="8297" spans="1:14">
      <c r="A8297" s="166"/>
      <c r="H8297" s="1"/>
      <c r="N8297" s="166"/>
    </row>
    <row r="8298" spans="1:14">
      <c r="A8298" s="166"/>
      <c r="H8298" s="1"/>
      <c r="N8298" s="166"/>
    </row>
    <row r="8299" spans="1:14">
      <c r="A8299" s="166"/>
      <c r="H8299" s="1"/>
      <c r="N8299" s="166"/>
    </row>
    <row r="8300" spans="1:14">
      <c r="A8300" s="166"/>
      <c r="H8300" s="1"/>
      <c r="N8300" s="166"/>
    </row>
    <row r="8301" spans="1:14">
      <c r="A8301" s="166"/>
      <c r="H8301" s="1"/>
      <c r="N8301" s="166"/>
    </row>
    <row r="8302" spans="1:14">
      <c r="A8302" s="166"/>
      <c r="H8302" s="1"/>
      <c r="N8302" s="166"/>
    </row>
    <row r="8303" spans="1:14">
      <c r="A8303" s="166"/>
      <c r="H8303" s="1"/>
      <c r="N8303" s="166"/>
    </row>
    <row r="8304" spans="1:14">
      <c r="A8304" s="166"/>
      <c r="H8304" s="1"/>
      <c r="N8304" s="166"/>
    </row>
    <row r="8305" spans="1:14">
      <c r="A8305" s="166"/>
      <c r="H8305" s="1"/>
      <c r="N8305" s="166"/>
    </row>
    <row r="8306" spans="1:14">
      <c r="A8306" s="166"/>
      <c r="H8306" s="1"/>
      <c r="N8306" s="166"/>
    </row>
    <row r="8307" spans="1:14">
      <c r="A8307" s="166"/>
      <c r="H8307" s="1"/>
      <c r="N8307" s="166"/>
    </row>
    <row r="8308" spans="1:14">
      <c r="A8308" s="166"/>
      <c r="H8308" s="1"/>
      <c r="N8308" s="166"/>
    </row>
    <row r="8309" spans="1:14">
      <c r="A8309" s="166"/>
      <c r="H8309" s="1"/>
      <c r="N8309" s="166"/>
    </row>
    <row r="8310" spans="1:14">
      <c r="A8310" s="166"/>
      <c r="H8310" s="1"/>
      <c r="N8310" s="166"/>
    </row>
    <row r="8311" spans="1:14">
      <c r="A8311" s="166"/>
      <c r="H8311" s="1"/>
      <c r="N8311" s="166"/>
    </row>
    <row r="8312" spans="1:14">
      <c r="A8312" s="166"/>
      <c r="H8312" s="1"/>
      <c r="N8312" s="166"/>
    </row>
    <row r="8313" spans="1:14">
      <c r="A8313" s="166"/>
      <c r="H8313" s="1"/>
      <c r="N8313" s="166"/>
    </row>
    <row r="8314" spans="1:14">
      <c r="A8314" s="166"/>
      <c r="H8314" s="1"/>
      <c r="N8314" s="166"/>
    </row>
    <row r="8315" spans="1:14">
      <c r="A8315" s="166"/>
      <c r="H8315" s="1"/>
      <c r="N8315" s="166"/>
    </row>
    <row r="8316" spans="1:14">
      <c r="A8316" s="166"/>
      <c r="H8316" s="1"/>
      <c r="N8316" s="166"/>
    </row>
    <row r="8317" spans="1:14">
      <c r="A8317" s="166"/>
      <c r="H8317" s="1"/>
      <c r="N8317" s="166"/>
    </row>
    <row r="8318" spans="1:14">
      <c r="A8318" s="166"/>
      <c r="H8318" s="1"/>
      <c r="N8318" s="166"/>
    </row>
    <row r="8319" spans="1:14">
      <c r="A8319" s="166"/>
      <c r="H8319" s="1"/>
      <c r="N8319" s="166"/>
    </row>
    <row r="8320" spans="1:14">
      <c r="A8320" s="166"/>
      <c r="H8320" s="1"/>
      <c r="N8320" s="166"/>
    </row>
    <row r="8321" spans="1:14">
      <c r="A8321" s="166"/>
      <c r="H8321" s="1"/>
      <c r="N8321" s="166"/>
    </row>
    <row r="8322" spans="1:14">
      <c r="A8322" s="166"/>
      <c r="H8322" s="1"/>
      <c r="N8322" s="166"/>
    </row>
    <row r="8323" spans="1:14">
      <c r="A8323" s="166"/>
      <c r="H8323" s="1"/>
      <c r="N8323" s="166"/>
    </row>
    <row r="8324" spans="1:14">
      <c r="A8324" s="166"/>
      <c r="H8324" s="1"/>
      <c r="N8324" s="166"/>
    </row>
    <row r="8325" spans="1:14">
      <c r="A8325" s="166"/>
      <c r="H8325" s="1"/>
      <c r="N8325" s="166"/>
    </row>
    <row r="8326" spans="1:14">
      <c r="A8326" s="166"/>
      <c r="H8326" s="1"/>
      <c r="N8326" s="166"/>
    </row>
    <row r="8327" spans="1:14">
      <c r="A8327" s="166"/>
      <c r="H8327" s="1"/>
      <c r="N8327" s="166"/>
    </row>
    <row r="8328" spans="1:14">
      <c r="A8328" s="166"/>
      <c r="H8328" s="1"/>
      <c r="N8328" s="166"/>
    </row>
    <row r="8329" spans="1:14">
      <c r="A8329" s="166"/>
      <c r="H8329" s="1"/>
      <c r="N8329" s="166"/>
    </row>
    <row r="8330" spans="1:14">
      <c r="A8330" s="166"/>
      <c r="H8330" s="1"/>
      <c r="N8330" s="166"/>
    </row>
    <row r="8331" spans="1:14">
      <c r="A8331" s="166"/>
      <c r="H8331" s="1"/>
      <c r="N8331" s="166"/>
    </row>
    <row r="8332" spans="1:14">
      <c r="A8332" s="166"/>
      <c r="H8332" s="1"/>
      <c r="N8332" s="166"/>
    </row>
    <row r="8333" spans="1:14">
      <c r="A8333" s="166"/>
      <c r="H8333" s="1"/>
      <c r="N8333" s="166"/>
    </row>
    <row r="8334" spans="1:14">
      <c r="A8334" s="166"/>
      <c r="H8334" s="1"/>
      <c r="N8334" s="166"/>
    </row>
    <row r="8335" spans="1:14">
      <c r="A8335" s="166"/>
      <c r="H8335" s="1"/>
      <c r="N8335" s="166"/>
    </row>
    <row r="8336" spans="1:14">
      <c r="A8336" s="166"/>
      <c r="H8336" s="1"/>
      <c r="N8336" s="166"/>
    </row>
    <row r="8337" spans="1:14">
      <c r="A8337" s="166"/>
      <c r="H8337" s="1"/>
      <c r="N8337" s="166"/>
    </row>
    <row r="8338" spans="1:14">
      <c r="A8338" s="166"/>
      <c r="H8338" s="1"/>
      <c r="N8338" s="166"/>
    </row>
    <row r="8339" spans="1:14">
      <c r="A8339" s="166"/>
      <c r="H8339" s="1"/>
      <c r="N8339" s="166"/>
    </row>
    <row r="8340" spans="1:14">
      <c r="A8340" s="166"/>
      <c r="H8340" s="1"/>
      <c r="N8340" s="166"/>
    </row>
    <row r="8341" spans="1:14">
      <c r="A8341" s="166"/>
      <c r="H8341" s="1"/>
      <c r="N8341" s="166"/>
    </row>
    <row r="8342" spans="1:14">
      <c r="A8342" s="166"/>
      <c r="H8342" s="1"/>
      <c r="N8342" s="166"/>
    </row>
    <row r="8343" spans="1:14">
      <c r="A8343" s="166"/>
      <c r="H8343" s="1"/>
      <c r="N8343" s="166"/>
    </row>
    <row r="8344" spans="1:14">
      <c r="A8344" s="166"/>
      <c r="H8344" s="1"/>
      <c r="N8344" s="166"/>
    </row>
    <row r="8345" spans="1:14">
      <c r="A8345" s="166"/>
      <c r="H8345" s="1"/>
      <c r="N8345" s="166"/>
    </row>
    <row r="8346" spans="1:14">
      <c r="A8346" s="166"/>
      <c r="H8346" s="1"/>
      <c r="N8346" s="166"/>
    </row>
    <row r="8347" spans="1:14">
      <c r="A8347" s="166"/>
      <c r="H8347" s="1"/>
      <c r="N8347" s="166"/>
    </row>
    <row r="8348" spans="1:14">
      <c r="A8348" s="166"/>
      <c r="H8348" s="1"/>
      <c r="N8348" s="166"/>
    </row>
    <row r="8349" spans="1:14">
      <c r="A8349" s="166"/>
      <c r="H8349" s="1"/>
      <c r="N8349" s="166"/>
    </row>
    <row r="8350" spans="1:14">
      <c r="A8350" s="166"/>
      <c r="H8350" s="1"/>
      <c r="N8350" s="166"/>
    </row>
    <row r="8351" spans="1:14">
      <c r="A8351" s="166"/>
      <c r="H8351" s="1"/>
      <c r="N8351" s="166"/>
    </row>
    <row r="8352" spans="1:14">
      <c r="A8352" s="166"/>
      <c r="H8352" s="1"/>
      <c r="N8352" s="166"/>
    </row>
    <row r="8353" spans="1:14">
      <c r="A8353" s="166"/>
      <c r="H8353" s="1"/>
      <c r="N8353" s="166"/>
    </row>
    <row r="8354" spans="1:14">
      <c r="A8354" s="166"/>
      <c r="H8354" s="1"/>
      <c r="N8354" s="166"/>
    </row>
    <row r="8355" spans="1:14">
      <c r="A8355" s="166"/>
      <c r="H8355" s="1"/>
      <c r="N8355" s="166"/>
    </row>
    <row r="8356" spans="1:14">
      <c r="A8356" s="166"/>
      <c r="H8356" s="1"/>
      <c r="N8356" s="166"/>
    </row>
    <row r="8357" spans="1:14">
      <c r="A8357" s="166"/>
      <c r="H8357" s="1"/>
      <c r="N8357" s="166"/>
    </row>
    <row r="8358" spans="1:14">
      <c r="A8358" s="166"/>
      <c r="H8358" s="1"/>
      <c r="N8358" s="166"/>
    </row>
    <row r="8359" spans="1:14">
      <c r="A8359" s="166"/>
      <c r="H8359" s="1"/>
      <c r="N8359" s="166"/>
    </row>
    <row r="8360" spans="1:14">
      <c r="A8360" s="166"/>
      <c r="H8360" s="1"/>
      <c r="N8360" s="166"/>
    </row>
    <row r="8361" spans="1:14">
      <c r="A8361" s="166"/>
      <c r="H8361" s="1"/>
      <c r="N8361" s="166"/>
    </row>
    <row r="8362" spans="1:14">
      <c r="A8362" s="166"/>
      <c r="H8362" s="1"/>
      <c r="N8362" s="166"/>
    </row>
    <row r="8363" spans="1:14">
      <c r="A8363" s="166"/>
      <c r="H8363" s="1"/>
      <c r="N8363" s="166"/>
    </row>
    <row r="8364" spans="1:14">
      <c r="A8364" s="166"/>
      <c r="H8364" s="1"/>
      <c r="N8364" s="166"/>
    </row>
    <row r="8365" spans="1:14">
      <c r="A8365" s="166"/>
      <c r="H8365" s="1"/>
      <c r="N8365" s="166"/>
    </row>
    <row r="8366" spans="1:14">
      <c r="A8366" s="166"/>
      <c r="H8366" s="1"/>
      <c r="N8366" s="166"/>
    </row>
    <row r="8367" spans="1:14">
      <c r="A8367" s="166"/>
      <c r="H8367" s="1"/>
      <c r="N8367" s="166"/>
    </row>
    <row r="8368" spans="1:14">
      <c r="A8368" s="166"/>
      <c r="H8368" s="1"/>
      <c r="N8368" s="166"/>
    </row>
    <row r="8369" spans="1:14">
      <c r="A8369" s="166"/>
      <c r="H8369" s="1"/>
      <c r="N8369" s="166"/>
    </row>
    <row r="8370" spans="1:14">
      <c r="A8370" s="166"/>
      <c r="H8370" s="1"/>
      <c r="N8370" s="166"/>
    </row>
    <row r="8371" spans="1:14">
      <c r="A8371" s="166"/>
      <c r="H8371" s="1"/>
      <c r="N8371" s="166"/>
    </row>
    <row r="8372" spans="1:14">
      <c r="A8372" s="166"/>
      <c r="H8372" s="1"/>
      <c r="N8372" s="166"/>
    </row>
    <row r="8373" spans="1:14">
      <c r="A8373" s="166"/>
      <c r="H8373" s="1"/>
      <c r="N8373" s="166"/>
    </row>
    <row r="8374" spans="1:14">
      <c r="A8374" s="166"/>
      <c r="H8374" s="1"/>
      <c r="N8374" s="166"/>
    </row>
    <row r="8375" spans="1:14">
      <c r="A8375" s="166"/>
      <c r="H8375" s="1"/>
      <c r="N8375" s="166"/>
    </row>
    <row r="8376" spans="1:14">
      <c r="A8376" s="166"/>
      <c r="H8376" s="1"/>
      <c r="N8376" s="166"/>
    </row>
    <row r="8377" spans="1:14">
      <c r="A8377" s="166"/>
      <c r="H8377" s="1"/>
      <c r="N8377" s="166"/>
    </row>
    <row r="8378" spans="1:14">
      <c r="A8378" s="166"/>
      <c r="H8378" s="1"/>
      <c r="N8378" s="166"/>
    </row>
    <row r="8379" spans="1:14">
      <c r="A8379" s="166"/>
      <c r="H8379" s="1"/>
      <c r="N8379" s="166"/>
    </row>
    <row r="8380" spans="1:14">
      <c r="A8380" s="166"/>
      <c r="H8380" s="1"/>
      <c r="N8380" s="166"/>
    </row>
    <row r="8381" spans="1:14">
      <c r="A8381" s="166"/>
      <c r="H8381" s="1"/>
      <c r="N8381" s="166"/>
    </row>
    <row r="8382" spans="1:14">
      <c r="A8382" s="166"/>
      <c r="H8382" s="1"/>
      <c r="N8382" s="166"/>
    </row>
    <row r="8383" spans="1:14">
      <c r="A8383" s="166"/>
      <c r="H8383" s="1"/>
      <c r="N8383" s="166"/>
    </row>
    <row r="8384" spans="1:14">
      <c r="A8384" s="166"/>
      <c r="H8384" s="1"/>
      <c r="N8384" s="166"/>
    </row>
    <row r="8385" spans="1:14">
      <c r="A8385" s="166"/>
      <c r="H8385" s="1"/>
      <c r="N8385" s="166"/>
    </row>
    <row r="8386" spans="1:14">
      <c r="A8386" s="166"/>
      <c r="H8386" s="1"/>
      <c r="N8386" s="166"/>
    </row>
    <row r="8387" spans="1:14">
      <c r="A8387" s="166"/>
      <c r="H8387" s="1"/>
      <c r="N8387" s="166"/>
    </row>
    <row r="8388" spans="1:14">
      <c r="A8388" s="166"/>
      <c r="H8388" s="1"/>
      <c r="N8388" s="166"/>
    </row>
    <row r="8389" spans="1:14">
      <c r="A8389" s="166"/>
      <c r="H8389" s="1"/>
      <c r="N8389" s="166"/>
    </row>
    <row r="8390" spans="1:14">
      <c r="A8390" s="166"/>
      <c r="H8390" s="1"/>
      <c r="N8390" s="166"/>
    </row>
    <row r="8391" spans="1:14">
      <c r="A8391" s="166"/>
      <c r="H8391" s="1"/>
      <c r="N8391" s="166"/>
    </row>
    <row r="8392" spans="1:14">
      <c r="A8392" s="166"/>
      <c r="H8392" s="1"/>
      <c r="N8392" s="166"/>
    </row>
    <row r="8393" spans="1:14">
      <c r="A8393" s="166"/>
      <c r="H8393" s="1"/>
      <c r="N8393" s="166"/>
    </row>
    <row r="8394" spans="1:14">
      <c r="A8394" s="166"/>
      <c r="H8394" s="1"/>
      <c r="N8394" s="166"/>
    </row>
    <row r="8395" spans="1:14">
      <c r="A8395" s="166"/>
      <c r="H8395" s="1"/>
      <c r="N8395" s="166"/>
    </row>
    <row r="8396" spans="1:14">
      <c r="A8396" s="166"/>
      <c r="H8396" s="1"/>
      <c r="N8396" s="166"/>
    </row>
    <row r="8397" spans="1:14">
      <c r="A8397" s="166"/>
      <c r="H8397" s="1"/>
      <c r="N8397" s="166"/>
    </row>
    <row r="8398" spans="1:14">
      <c r="A8398" s="166"/>
      <c r="H8398" s="1"/>
      <c r="N8398" s="166"/>
    </row>
    <row r="8399" spans="1:14">
      <c r="A8399" s="166"/>
      <c r="H8399" s="1"/>
      <c r="N8399" s="166"/>
    </row>
    <row r="8400" spans="1:14">
      <c r="A8400" s="166"/>
      <c r="H8400" s="1"/>
      <c r="N8400" s="166"/>
    </row>
    <row r="8401" spans="1:14">
      <c r="A8401" s="166"/>
      <c r="H8401" s="1"/>
      <c r="N8401" s="166"/>
    </row>
    <row r="8402" spans="1:14">
      <c r="A8402" s="166"/>
      <c r="H8402" s="1"/>
      <c r="N8402" s="166"/>
    </row>
    <row r="8403" spans="1:14">
      <c r="A8403" s="166"/>
      <c r="H8403" s="1"/>
      <c r="N8403" s="166"/>
    </row>
    <row r="8404" spans="1:14">
      <c r="A8404" s="166"/>
      <c r="H8404" s="1"/>
      <c r="N8404" s="166"/>
    </row>
    <row r="8405" spans="1:14">
      <c r="A8405" s="166"/>
      <c r="H8405" s="1"/>
      <c r="N8405" s="166"/>
    </row>
    <row r="8406" spans="1:14">
      <c r="A8406" s="166"/>
      <c r="H8406" s="1"/>
      <c r="N8406" s="166"/>
    </row>
    <row r="8407" spans="1:14">
      <c r="A8407" s="166"/>
      <c r="H8407" s="1"/>
      <c r="N8407" s="166"/>
    </row>
    <row r="8408" spans="1:14">
      <c r="A8408" s="166"/>
      <c r="H8408" s="1"/>
      <c r="N8408" s="166"/>
    </row>
    <row r="8409" spans="1:14">
      <c r="A8409" s="166"/>
      <c r="H8409" s="1"/>
      <c r="N8409" s="166"/>
    </row>
    <row r="8410" spans="1:14">
      <c r="A8410" s="166"/>
      <c r="H8410" s="1"/>
      <c r="N8410" s="166"/>
    </row>
    <row r="8411" spans="1:14">
      <c r="A8411" s="166"/>
      <c r="H8411" s="1"/>
      <c r="N8411" s="166"/>
    </row>
    <row r="8412" spans="1:14">
      <c r="A8412" s="166"/>
      <c r="H8412" s="1"/>
      <c r="N8412" s="166"/>
    </row>
    <row r="8413" spans="1:14">
      <c r="A8413" s="166"/>
      <c r="H8413" s="1"/>
      <c r="N8413" s="166"/>
    </row>
    <row r="8414" spans="1:14">
      <c r="A8414" s="166"/>
      <c r="H8414" s="1"/>
      <c r="N8414" s="166"/>
    </row>
    <row r="8415" spans="1:14">
      <c r="A8415" s="166"/>
      <c r="H8415" s="1"/>
      <c r="N8415" s="166"/>
    </row>
    <row r="8416" spans="1:14">
      <c r="A8416" s="166"/>
      <c r="H8416" s="1"/>
      <c r="N8416" s="166"/>
    </row>
    <row r="8417" spans="1:14">
      <c r="A8417" s="166"/>
      <c r="H8417" s="1"/>
      <c r="N8417" s="166"/>
    </row>
    <row r="8418" spans="1:14">
      <c r="A8418" s="166"/>
      <c r="H8418" s="1"/>
      <c r="N8418" s="166"/>
    </row>
    <row r="8419" spans="1:14">
      <c r="A8419" s="166"/>
      <c r="H8419" s="1"/>
      <c r="N8419" s="166"/>
    </row>
    <row r="8420" spans="1:14">
      <c r="A8420" s="166"/>
      <c r="H8420" s="1"/>
      <c r="N8420" s="166"/>
    </row>
    <row r="8421" spans="1:14">
      <c r="A8421" s="166"/>
      <c r="H8421" s="1"/>
      <c r="N8421" s="166"/>
    </row>
    <row r="8422" spans="1:14">
      <c r="A8422" s="166"/>
      <c r="H8422" s="1"/>
      <c r="N8422" s="166"/>
    </row>
    <row r="8423" spans="1:14">
      <c r="A8423" s="166"/>
      <c r="H8423" s="1"/>
      <c r="N8423" s="166"/>
    </row>
    <row r="8424" spans="1:14">
      <c r="A8424" s="166"/>
      <c r="H8424" s="1"/>
      <c r="N8424" s="166"/>
    </row>
    <row r="8425" spans="1:14">
      <c r="A8425" s="166"/>
      <c r="H8425" s="1"/>
      <c r="N8425" s="166"/>
    </row>
    <row r="8426" spans="1:14">
      <c r="A8426" s="166"/>
      <c r="H8426" s="1"/>
      <c r="N8426" s="166"/>
    </row>
    <row r="8427" spans="1:14">
      <c r="A8427" s="166"/>
      <c r="H8427" s="1"/>
      <c r="N8427" s="166"/>
    </row>
    <row r="8428" spans="1:14">
      <c r="A8428" s="166"/>
      <c r="H8428" s="1"/>
      <c r="N8428" s="166"/>
    </row>
    <row r="8429" spans="1:14">
      <c r="A8429" s="166"/>
      <c r="H8429" s="1"/>
      <c r="N8429" s="166"/>
    </row>
    <row r="8430" spans="1:14">
      <c r="A8430" s="166"/>
      <c r="H8430" s="1"/>
      <c r="N8430" s="166"/>
    </row>
    <row r="8431" spans="1:14">
      <c r="A8431" s="166"/>
      <c r="H8431" s="1"/>
      <c r="N8431" s="166"/>
    </row>
    <row r="8432" spans="1:14">
      <c r="A8432" s="166"/>
      <c r="H8432" s="1"/>
      <c r="N8432" s="166"/>
    </row>
    <row r="8433" spans="1:14">
      <c r="A8433" s="166"/>
      <c r="H8433" s="1"/>
      <c r="N8433" s="166"/>
    </row>
    <row r="8434" spans="1:14">
      <c r="A8434" s="166"/>
      <c r="H8434" s="1"/>
      <c r="N8434" s="166"/>
    </row>
    <row r="8435" spans="1:14">
      <c r="A8435" s="166"/>
      <c r="H8435" s="1"/>
      <c r="N8435" s="166"/>
    </row>
    <row r="8436" spans="1:14">
      <c r="A8436" s="166"/>
      <c r="H8436" s="1"/>
      <c r="N8436" s="166"/>
    </row>
    <row r="8437" spans="1:14">
      <c r="A8437" s="166"/>
      <c r="H8437" s="1"/>
      <c r="N8437" s="166"/>
    </row>
    <row r="8438" spans="1:14">
      <c r="A8438" s="166"/>
      <c r="H8438" s="1"/>
      <c r="N8438" s="166"/>
    </row>
    <row r="8439" spans="1:14">
      <c r="A8439" s="166"/>
      <c r="H8439" s="1"/>
      <c r="N8439" s="166"/>
    </row>
    <row r="8440" spans="1:14">
      <c r="A8440" s="166"/>
      <c r="H8440" s="1"/>
      <c r="N8440" s="166"/>
    </row>
    <row r="8441" spans="1:14">
      <c r="A8441" s="166"/>
      <c r="H8441" s="1"/>
      <c r="N8441" s="166"/>
    </row>
    <row r="8442" spans="1:14">
      <c r="A8442" s="166"/>
      <c r="H8442" s="1"/>
      <c r="N8442" s="166"/>
    </row>
    <row r="8443" spans="1:14">
      <c r="A8443" s="166"/>
      <c r="H8443" s="1"/>
      <c r="N8443" s="166"/>
    </row>
    <row r="8444" spans="1:14">
      <c r="A8444" s="166"/>
      <c r="H8444" s="1"/>
      <c r="N8444" s="166"/>
    </row>
    <row r="8445" spans="1:14">
      <c r="A8445" s="166"/>
      <c r="H8445" s="1"/>
      <c r="N8445" s="166"/>
    </row>
    <row r="8446" spans="1:14">
      <c r="A8446" s="166"/>
      <c r="H8446" s="1"/>
      <c r="N8446" s="166"/>
    </row>
    <row r="8447" spans="1:14">
      <c r="A8447" s="166"/>
      <c r="H8447" s="1"/>
      <c r="N8447" s="166"/>
    </row>
    <row r="8448" spans="1:14">
      <c r="A8448" s="166"/>
      <c r="H8448" s="1"/>
      <c r="N8448" s="166"/>
    </row>
    <row r="8449" spans="1:14">
      <c r="A8449" s="166"/>
      <c r="H8449" s="1"/>
      <c r="N8449" s="166"/>
    </row>
    <row r="8450" spans="1:14">
      <c r="A8450" s="166"/>
      <c r="H8450" s="1"/>
      <c r="N8450" s="166"/>
    </row>
    <row r="8451" spans="1:14">
      <c r="A8451" s="166"/>
      <c r="H8451" s="1"/>
      <c r="N8451" s="166"/>
    </row>
    <row r="8452" spans="1:14">
      <c r="A8452" s="166"/>
      <c r="H8452" s="1"/>
      <c r="N8452" s="166"/>
    </row>
    <row r="8453" spans="1:14">
      <c r="A8453" s="166"/>
      <c r="H8453" s="1"/>
      <c r="N8453" s="166"/>
    </row>
    <row r="8454" spans="1:14">
      <c r="A8454" s="166"/>
      <c r="H8454" s="1"/>
      <c r="N8454" s="166"/>
    </row>
    <row r="8455" spans="1:14">
      <c r="A8455" s="166"/>
      <c r="H8455" s="1"/>
      <c r="N8455" s="166"/>
    </row>
    <row r="8456" spans="1:14">
      <c r="A8456" s="166"/>
      <c r="H8456" s="1"/>
      <c r="N8456" s="166"/>
    </row>
    <row r="8457" spans="1:14">
      <c r="A8457" s="166"/>
      <c r="H8457" s="1"/>
      <c r="N8457" s="166"/>
    </row>
    <row r="8458" spans="1:14">
      <c r="A8458" s="166"/>
      <c r="H8458" s="1"/>
      <c r="N8458" s="166"/>
    </row>
    <row r="8459" spans="1:14">
      <c r="A8459" s="166"/>
      <c r="H8459" s="1"/>
      <c r="N8459" s="166"/>
    </row>
    <row r="8460" spans="1:14">
      <c r="A8460" s="166"/>
      <c r="H8460" s="1"/>
      <c r="N8460" s="166"/>
    </row>
    <row r="8461" spans="1:14">
      <c r="A8461" s="166"/>
      <c r="H8461" s="1"/>
      <c r="N8461" s="166"/>
    </row>
    <row r="8462" spans="1:14">
      <c r="A8462" s="166"/>
      <c r="H8462" s="1"/>
      <c r="N8462" s="166"/>
    </row>
    <row r="8463" spans="1:14">
      <c r="A8463" s="166"/>
      <c r="H8463" s="1"/>
      <c r="N8463" s="166"/>
    </row>
    <row r="8464" spans="1:14">
      <c r="A8464" s="166"/>
      <c r="H8464" s="1"/>
      <c r="N8464" s="166"/>
    </row>
    <row r="8465" spans="1:14">
      <c r="A8465" s="166"/>
      <c r="H8465" s="1"/>
      <c r="N8465" s="166"/>
    </row>
    <row r="8466" spans="1:14">
      <c r="A8466" s="166"/>
      <c r="H8466" s="1"/>
      <c r="N8466" s="166"/>
    </row>
    <row r="8467" spans="1:14">
      <c r="A8467" s="166"/>
      <c r="H8467" s="1"/>
      <c r="N8467" s="166"/>
    </row>
    <row r="8468" spans="1:14">
      <c r="A8468" s="166"/>
      <c r="H8468" s="1"/>
      <c r="N8468" s="166"/>
    </row>
    <row r="8469" spans="1:14">
      <c r="A8469" s="166"/>
      <c r="H8469" s="1"/>
      <c r="N8469" s="166"/>
    </row>
    <row r="8470" spans="1:14">
      <c r="A8470" s="166"/>
      <c r="H8470" s="1"/>
      <c r="N8470" s="166"/>
    </row>
    <row r="8471" spans="1:14">
      <c r="A8471" s="166"/>
      <c r="H8471" s="1"/>
      <c r="N8471" s="166"/>
    </row>
    <row r="8472" spans="1:14">
      <c r="A8472" s="166"/>
      <c r="H8472" s="1"/>
      <c r="N8472" s="166"/>
    </row>
    <row r="8473" spans="1:14">
      <c r="A8473" s="166"/>
      <c r="H8473" s="1"/>
      <c r="N8473" s="166"/>
    </row>
    <row r="8474" spans="1:14">
      <c r="A8474" s="166"/>
      <c r="H8474" s="1"/>
      <c r="N8474" s="166"/>
    </row>
    <row r="8475" spans="1:14">
      <c r="A8475" s="166"/>
      <c r="H8475" s="1"/>
      <c r="N8475" s="166"/>
    </row>
    <row r="8476" spans="1:14">
      <c r="A8476" s="166"/>
      <c r="H8476" s="1"/>
      <c r="N8476" s="166"/>
    </row>
    <row r="8477" spans="1:14">
      <c r="A8477" s="166"/>
      <c r="H8477" s="1"/>
      <c r="N8477" s="166"/>
    </row>
    <row r="8478" spans="1:14">
      <c r="A8478" s="166"/>
      <c r="H8478" s="1"/>
      <c r="N8478" s="166"/>
    </row>
    <row r="8479" spans="1:14">
      <c r="A8479" s="166"/>
      <c r="H8479" s="1"/>
      <c r="N8479" s="166"/>
    </row>
    <row r="8480" spans="1:14">
      <c r="A8480" s="166"/>
      <c r="H8480" s="1"/>
      <c r="N8480" s="166"/>
    </row>
    <row r="8481" spans="1:14">
      <c r="A8481" s="166"/>
      <c r="H8481" s="1"/>
      <c r="N8481" s="166"/>
    </row>
    <row r="8482" spans="1:14">
      <c r="A8482" s="166"/>
      <c r="H8482" s="1"/>
      <c r="N8482" s="166"/>
    </row>
    <row r="8483" spans="1:14">
      <c r="A8483" s="166"/>
      <c r="H8483" s="1"/>
      <c r="N8483" s="166"/>
    </row>
    <row r="8484" spans="1:14">
      <c r="A8484" s="166"/>
      <c r="H8484" s="1"/>
      <c r="N8484" s="166"/>
    </row>
    <row r="8485" spans="1:14">
      <c r="A8485" s="166"/>
      <c r="H8485" s="1"/>
      <c r="N8485" s="166"/>
    </row>
    <row r="8486" spans="1:14">
      <c r="A8486" s="166"/>
      <c r="H8486" s="1"/>
      <c r="N8486" s="166"/>
    </row>
    <row r="8487" spans="1:14">
      <c r="A8487" s="166"/>
      <c r="H8487" s="1"/>
      <c r="N8487" s="166"/>
    </row>
    <row r="8488" spans="1:14">
      <c r="A8488" s="166"/>
      <c r="H8488" s="1"/>
      <c r="N8488" s="166"/>
    </row>
    <row r="8489" spans="1:14">
      <c r="A8489" s="166"/>
      <c r="H8489" s="1"/>
      <c r="N8489" s="166"/>
    </row>
    <row r="8490" spans="1:14">
      <c r="A8490" s="166"/>
      <c r="H8490" s="1"/>
      <c r="N8490" s="166"/>
    </row>
    <row r="8491" spans="1:14">
      <c r="A8491" s="166"/>
      <c r="H8491" s="1"/>
      <c r="N8491" s="166"/>
    </row>
    <row r="8492" spans="1:14">
      <c r="A8492" s="166"/>
      <c r="H8492" s="1"/>
      <c r="N8492" s="166"/>
    </row>
    <row r="8493" spans="1:14">
      <c r="A8493" s="166"/>
      <c r="H8493" s="1"/>
      <c r="N8493" s="166"/>
    </row>
    <row r="8494" spans="1:14">
      <c r="A8494" s="166"/>
      <c r="H8494" s="1"/>
      <c r="N8494" s="166"/>
    </row>
    <row r="8495" spans="1:14">
      <c r="A8495" s="166"/>
      <c r="H8495" s="1"/>
      <c r="N8495" s="166"/>
    </row>
    <row r="8496" spans="1:14">
      <c r="A8496" s="166"/>
      <c r="H8496" s="1"/>
      <c r="N8496" s="166"/>
    </row>
    <row r="8497" spans="1:14">
      <c r="A8497" s="166"/>
      <c r="H8497" s="1"/>
      <c r="N8497" s="166"/>
    </row>
    <row r="8498" spans="1:14">
      <c r="A8498" s="166"/>
      <c r="H8498" s="1"/>
      <c r="N8498" s="166"/>
    </row>
    <row r="8499" spans="1:14">
      <c r="A8499" s="166"/>
      <c r="H8499" s="1"/>
      <c r="N8499" s="166"/>
    </row>
    <row r="8500" spans="1:14">
      <c r="A8500" s="166"/>
      <c r="H8500" s="1"/>
      <c r="N8500" s="166"/>
    </row>
    <row r="8501" spans="1:14">
      <c r="A8501" s="166"/>
      <c r="H8501" s="1"/>
      <c r="N8501" s="166"/>
    </row>
    <row r="8502" spans="1:14">
      <c r="A8502" s="166"/>
      <c r="H8502" s="1"/>
      <c r="N8502" s="166"/>
    </row>
    <row r="8503" spans="1:14">
      <c r="A8503" s="166"/>
      <c r="H8503" s="1"/>
      <c r="N8503" s="166"/>
    </row>
    <row r="8504" spans="1:14">
      <c r="A8504" s="166"/>
      <c r="H8504" s="1"/>
      <c r="N8504" s="166"/>
    </row>
    <row r="8505" spans="1:14">
      <c r="A8505" s="166"/>
      <c r="H8505" s="1"/>
      <c r="N8505" s="166"/>
    </row>
    <row r="8506" spans="1:14">
      <c r="A8506" s="166"/>
      <c r="H8506" s="1"/>
      <c r="N8506" s="166"/>
    </row>
    <row r="8507" spans="1:14">
      <c r="A8507" s="166"/>
      <c r="H8507" s="1"/>
      <c r="N8507" s="166"/>
    </row>
    <row r="8508" spans="1:14">
      <c r="A8508" s="166"/>
      <c r="H8508" s="1"/>
      <c r="N8508" s="166"/>
    </row>
    <row r="8509" spans="1:14">
      <c r="A8509" s="166"/>
      <c r="H8509" s="1"/>
      <c r="N8509" s="166"/>
    </row>
    <row r="8510" spans="1:14">
      <c r="A8510" s="166"/>
      <c r="H8510" s="1"/>
      <c r="N8510" s="166"/>
    </row>
    <row r="8511" spans="1:14">
      <c r="A8511" s="166"/>
      <c r="H8511" s="1"/>
      <c r="N8511" s="166"/>
    </row>
    <row r="8512" spans="1:14">
      <c r="A8512" s="166"/>
      <c r="H8512" s="1"/>
      <c r="N8512" s="166"/>
    </row>
    <row r="8513" spans="1:14">
      <c r="A8513" s="166"/>
      <c r="H8513" s="1"/>
      <c r="N8513" s="166"/>
    </row>
    <row r="8514" spans="1:14">
      <c r="A8514" s="166"/>
      <c r="H8514" s="1"/>
      <c r="N8514" s="166"/>
    </row>
    <row r="8515" spans="1:14">
      <c r="A8515" s="166"/>
      <c r="H8515" s="1"/>
      <c r="N8515" s="166"/>
    </row>
    <row r="8516" spans="1:14">
      <c r="A8516" s="166"/>
      <c r="H8516" s="1"/>
      <c r="N8516" s="166"/>
    </row>
    <row r="8517" spans="1:14">
      <c r="A8517" s="166"/>
      <c r="H8517" s="1"/>
      <c r="N8517" s="166"/>
    </row>
    <row r="8518" spans="1:14">
      <c r="A8518" s="166"/>
      <c r="H8518" s="1"/>
      <c r="N8518" s="166"/>
    </row>
    <row r="8519" spans="1:14">
      <c r="A8519" s="166"/>
      <c r="H8519" s="1"/>
      <c r="N8519" s="166"/>
    </row>
    <row r="8520" spans="1:14">
      <c r="A8520" s="166"/>
      <c r="H8520" s="1"/>
      <c r="N8520" s="166"/>
    </row>
    <row r="8521" spans="1:14">
      <c r="A8521" s="166"/>
      <c r="H8521" s="1"/>
      <c r="N8521" s="166"/>
    </row>
    <row r="8522" spans="1:14">
      <c r="A8522" s="166"/>
      <c r="H8522" s="1"/>
      <c r="N8522" s="166"/>
    </row>
    <row r="8523" spans="1:14">
      <c r="A8523" s="166"/>
      <c r="H8523" s="1"/>
      <c r="N8523" s="166"/>
    </row>
    <row r="8524" spans="1:14">
      <c r="A8524" s="166"/>
      <c r="H8524" s="1"/>
      <c r="N8524" s="166"/>
    </row>
    <row r="8525" spans="1:14">
      <c r="A8525" s="166"/>
      <c r="H8525" s="1"/>
      <c r="N8525" s="166"/>
    </row>
    <row r="8526" spans="1:14">
      <c r="A8526" s="166"/>
      <c r="H8526" s="1"/>
      <c r="N8526" s="166"/>
    </row>
    <row r="8527" spans="1:14">
      <c r="A8527" s="166"/>
      <c r="H8527" s="1"/>
      <c r="N8527" s="166"/>
    </row>
    <row r="8528" spans="1:14">
      <c r="A8528" s="166"/>
      <c r="H8528" s="1"/>
      <c r="N8528" s="166"/>
    </row>
    <row r="8529" spans="1:14">
      <c r="A8529" s="166"/>
      <c r="H8529" s="1"/>
      <c r="N8529" s="166"/>
    </row>
    <row r="8530" spans="1:14">
      <c r="A8530" s="166"/>
      <c r="H8530" s="1"/>
      <c r="N8530" s="166"/>
    </row>
    <row r="8531" spans="1:14">
      <c r="A8531" s="166"/>
      <c r="H8531" s="1"/>
      <c r="N8531" s="166"/>
    </row>
    <row r="8532" spans="1:14">
      <c r="A8532" s="166"/>
      <c r="H8532" s="1"/>
      <c r="N8532" s="166"/>
    </row>
    <row r="8533" spans="1:14">
      <c r="A8533" s="166"/>
      <c r="H8533" s="1"/>
      <c r="N8533" s="166"/>
    </row>
    <row r="8534" spans="1:14">
      <c r="A8534" s="166"/>
      <c r="H8534" s="1"/>
      <c r="N8534" s="166"/>
    </row>
    <row r="8535" spans="1:14">
      <c r="A8535" s="166"/>
      <c r="H8535" s="1"/>
      <c r="N8535" s="166"/>
    </row>
    <row r="8536" spans="1:14">
      <c r="A8536" s="166"/>
      <c r="H8536" s="1"/>
      <c r="N8536" s="166"/>
    </row>
    <row r="8537" spans="1:14">
      <c r="A8537" s="166"/>
      <c r="H8537" s="1"/>
      <c r="N8537" s="166"/>
    </row>
    <row r="8538" spans="1:14">
      <c r="A8538" s="166"/>
      <c r="H8538" s="1"/>
      <c r="N8538" s="166"/>
    </row>
    <row r="8539" spans="1:14">
      <c r="A8539" s="166"/>
      <c r="H8539" s="1"/>
      <c r="N8539" s="166"/>
    </row>
    <row r="8540" spans="1:14">
      <c r="A8540" s="166"/>
      <c r="H8540" s="1"/>
      <c r="N8540" s="166"/>
    </row>
    <row r="8541" spans="1:14">
      <c r="A8541" s="166"/>
      <c r="H8541" s="1"/>
      <c r="N8541" s="166"/>
    </row>
    <row r="8542" spans="1:14">
      <c r="A8542" s="166"/>
      <c r="H8542" s="1"/>
      <c r="N8542" s="166"/>
    </row>
    <row r="8543" spans="1:14">
      <c r="A8543" s="166"/>
      <c r="H8543" s="1"/>
      <c r="N8543" s="166"/>
    </row>
    <row r="8544" spans="1:14">
      <c r="A8544" s="166"/>
      <c r="H8544" s="1"/>
      <c r="N8544" s="166"/>
    </row>
    <row r="8545" spans="1:14">
      <c r="A8545" s="166"/>
      <c r="H8545" s="1"/>
      <c r="N8545" s="166"/>
    </row>
    <row r="8546" spans="1:14">
      <c r="A8546" s="166"/>
      <c r="H8546" s="1"/>
      <c r="N8546" s="166"/>
    </row>
    <row r="8547" spans="1:14">
      <c r="A8547" s="166"/>
      <c r="H8547" s="1"/>
      <c r="N8547" s="166"/>
    </row>
    <row r="8548" spans="1:14">
      <c r="A8548" s="166"/>
      <c r="H8548" s="1"/>
      <c r="N8548" s="166"/>
    </row>
    <row r="8549" spans="1:14">
      <c r="A8549" s="166"/>
      <c r="H8549" s="1"/>
      <c r="N8549" s="166"/>
    </row>
    <row r="8550" spans="1:14">
      <c r="A8550" s="166"/>
      <c r="H8550" s="1"/>
      <c r="N8550" s="166"/>
    </row>
    <row r="8551" spans="1:14">
      <c r="A8551" s="166"/>
      <c r="H8551" s="1"/>
      <c r="N8551" s="166"/>
    </row>
    <row r="8552" spans="1:14">
      <c r="A8552" s="166"/>
      <c r="H8552" s="1"/>
      <c r="N8552" s="166"/>
    </row>
    <row r="8553" spans="1:14">
      <c r="A8553" s="166"/>
      <c r="H8553" s="1"/>
      <c r="N8553" s="166"/>
    </row>
    <row r="8554" spans="1:14">
      <c r="A8554" s="166"/>
      <c r="H8554" s="1"/>
      <c r="N8554" s="166"/>
    </row>
    <row r="8555" spans="1:14">
      <c r="A8555" s="166"/>
      <c r="H8555" s="1"/>
      <c r="N8555" s="166"/>
    </row>
    <row r="8556" spans="1:14">
      <c r="A8556" s="166"/>
      <c r="H8556" s="1"/>
      <c r="N8556" s="166"/>
    </row>
    <row r="8557" spans="1:14">
      <c r="A8557" s="166"/>
      <c r="H8557" s="1"/>
      <c r="N8557" s="166"/>
    </row>
    <row r="8558" spans="1:14">
      <c r="A8558" s="166"/>
      <c r="H8558" s="1"/>
      <c r="N8558" s="166"/>
    </row>
    <row r="8559" spans="1:14">
      <c r="A8559" s="166"/>
      <c r="H8559" s="1"/>
      <c r="N8559" s="166"/>
    </row>
    <row r="8560" spans="1:14">
      <c r="A8560" s="166"/>
      <c r="H8560" s="1"/>
      <c r="N8560" s="166"/>
    </row>
    <row r="8561" spans="1:14">
      <c r="A8561" s="166"/>
      <c r="H8561" s="1"/>
      <c r="N8561" s="166"/>
    </row>
    <row r="8562" spans="1:14">
      <c r="A8562" s="166"/>
      <c r="H8562" s="1"/>
      <c r="N8562" s="166"/>
    </row>
    <row r="8563" spans="1:14">
      <c r="A8563" s="166"/>
      <c r="H8563" s="1"/>
      <c r="N8563" s="166"/>
    </row>
    <row r="8564" spans="1:14">
      <c r="A8564" s="166"/>
      <c r="H8564" s="1"/>
      <c r="N8564" s="166"/>
    </row>
    <row r="8565" spans="1:14">
      <c r="A8565" s="166"/>
      <c r="H8565" s="1"/>
      <c r="N8565" s="166"/>
    </row>
    <row r="8566" spans="1:14">
      <c r="A8566" s="166"/>
      <c r="H8566" s="1"/>
      <c r="N8566" s="166"/>
    </row>
    <row r="8567" spans="1:14">
      <c r="A8567" s="166"/>
      <c r="H8567" s="1"/>
      <c r="N8567" s="166"/>
    </row>
    <row r="8568" spans="1:14">
      <c r="A8568" s="166"/>
      <c r="H8568" s="1"/>
      <c r="N8568" s="166"/>
    </row>
    <row r="8569" spans="1:14">
      <c r="A8569" s="166"/>
      <c r="H8569" s="1"/>
      <c r="N8569" s="166"/>
    </row>
    <row r="8570" spans="1:14">
      <c r="A8570" s="166"/>
      <c r="H8570" s="1"/>
      <c r="N8570" s="166"/>
    </row>
    <row r="8571" spans="1:14">
      <c r="A8571" s="166"/>
      <c r="H8571" s="1"/>
      <c r="N8571" s="166"/>
    </row>
    <row r="8572" spans="1:14">
      <c r="A8572" s="166"/>
      <c r="H8572" s="1"/>
      <c r="N8572" s="166"/>
    </row>
    <row r="8573" spans="1:14">
      <c r="A8573" s="166"/>
      <c r="H8573" s="1"/>
      <c r="N8573" s="166"/>
    </row>
    <row r="8574" spans="1:14">
      <c r="A8574" s="166"/>
      <c r="H8574" s="1"/>
      <c r="N8574" s="166"/>
    </row>
    <row r="8575" spans="1:14">
      <c r="A8575" s="166"/>
      <c r="H8575" s="1"/>
      <c r="N8575" s="166"/>
    </row>
    <row r="8576" spans="1:14">
      <c r="A8576" s="166"/>
      <c r="H8576" s="1"/>
      <c r="N8576" s="166"/>
    </row>
    <row r="8577" spans="1:14">
      <c r="A8577" s="166"/>
      <c r="H8577" s="1"/>
      <c r="N8577" s="166"/>
    </row>
    <row r="8578" spans="1:14">
      <c r="A8578" s="166"/>
      <c r="H8578" s="1"/>
      <c r="N8578" s="166"/>
    </row>
    <row r="8579" spans="1:14">
      <c r="A8579" s="166"/>
      <c r="H8579" s="1"/>
      <c r="N8579" s="166"/>
    </row>
    <row r="8580" spans="1:14">
      <c r="A8580" s="166"/>
      <c r="H8580" s="1"/>
      <c r="N8580" s="166"/>
    </row>
    <row r="8581" spans="1:14">
      <c r="A8581" s="166"/>
      <c r="H8581" s="1"/>
      <c r="N8581" s="166"/>
    </row>
    <row r="8582" spans="1:14">
      <c r="A8582" s="166"/>
      <c r="H8582" s="1"/>
      <c r="N8582" s="166"/>
    </row>
    <row r="8583" spans="1:14">
      <c r="A8583" s="166"/>
      <c r="H8583" s="1"/>
      <c r="N8583" s="166"/>
    </row>
    <row r="8584" spans="1:14">
      <c r="A8584" s="166"/>
      <c r="H8584" s="1"/>
      <c r="N8584" s="166"/>
    </row>
    <row r="8585" spans="1:14">
      <c r="A8585" s="166"/>
      <c r="H8585" s="1"/>
      <c r="N8585" s="166"/>
    </row>
    <row r="8586" spans="1:14">
      <c r="A8586" s="166"/>
      <c r="H8586" s="1"/>
      <c r="N8586" s="166"/>
    </row>
    <row r="8587" spans="1:14">
      <c r="A8587" s="166"/>
      <c r="H8587" s="1"/>
      <c r="N8587" s="166"/>
    </row>
    <row r="8588" spans="1:14">
      <c r="A8588" s="166"/>
      <c r="H8588" s="1"/>
      <c r="N8588" s="166"/>
    </row>
    <row r="8589" spans="1:14">
      <c r="A8589" s="166"/>
      <c r="H8589" s="1"/>
      <c r="N8589" s="166"/>
    </row>
    <row r="8590" spans="1:14">
      <c r="A8590" s="166"/>
      <c r="H8590" s="1"/>
      <c r="N8590" s="166"/>
    </row>
    <row r="8591" spans="1:14">
      <c r="A8591" s="166"/>
      <c r="H8591" s="1"/>
      <c r="N8591" s="166"/>
    </row>
    <row r="8592" spans="1:14">
      <c r="A8592" s="166"/>
      <c r="H8592" s="1"/>
      <c r="N8592" s="166"/>
    </row>
    <row r="8593" spans="1:14">
      <c r="A8593" s="166"/>
      <c r="H8593" s="1"/>
      <c r="N8593" s="166"/>
    </row>
    <row r="8594" spans="1:14">
      <c r="A8594" s="166"/>
      <c r="H8594" s="1"/>
      <c r="N8594" s="166"/>
    </row>
    <row r="8595" spans="1:14">
      <c r="A8595" s="166"/>
      <c r="H8595" s="1"/>
      <c r="N8595" s="166"/>
    </row>
    <row r="8596" spans="1:14">
      <c r="A8596" s="166"/>
      <c r="H8596" s="1"/>
      <c r="N8596" s="166"/>
    </row>
    <row r="8597" spans="1:14">
      <c r="A8597" s="166"/>
      <c r="H8597" s="1"/>
      <c r="N8597" s="166"/>
    </row>
    <row r="8598" spans="1:14">
      <c r="A8598" s="166"/>
      <c r="H8598" s="1"/>
      <c r="N8598" s="166"/>
    </row>
    <row r="8599" spans="1:14">
      <c r="A8599" s="166"/>
      <c r="H8599" s="1"/>
      <c r="N8599" s="166"/>
    </row>
    <row r="8600" spans="1:14">
      <c r="A8600" s="166"/>
      <c r="H8600" s="1"/>
      <c r="N8600" s="166"/>
    </row>
    <row r="8601" spans="1:14">
      <c r="A8601" s="166"/>
      <c r="H8601" s="1"/>
      <c r="N8601" s="166"/>
    </row>
    <row r="8602" spans="1:14">
      <c r="A8602" s="166"/>
      <c r="H8602" s="1"/>
      <c r="N8602" s="166"/>
    </row>
    <row r="8603" spans="1:14">
      <c r="A8603" s="166"/>
      <c r="H8603" s="1"/>
      <c r="N8603" s="166"/>
    </row>
    <row r="8604" spans="1:14">
      <c r="A8604" s="166"/>
      <c r="H8604" s="1"/>
      <c r="N8604" s="166"/>
    </row>
    <row r="8605" spans="1:14">
      <c r="A8605" s="166"/>
      <c r="H8605" s="1"/>
      <c r="N8605" s="166"/>
    </row>
    <row r="8606" spans="1:14">
      <c r="A8606" s="166"/>
      <c r="H8606" s="1"/>
      <c r="N8606" s="166"/>
    </row>
    <row r="8607" spans="1:14">
      <c r="A8607" s="166"/>
      <c r="H8607" s="1"/>
      <c r="N8607" s="166"/>
    </row>
    <row r="8608" spans="1:14">
      <c r="A8608" s="166"/>
      <c r="H8608" s="1"/>
      <c r="N8608" s="166"/>
    </row>
    <row r="8609" spans="1:14">
      <c r="A8609" s="166"/>
      <c r="H8609" s="1"/>
      <c r="N8609" s="166"/>
    </row>
    <row r="8610" spans="1:14">
      <c r="A8610" s="166"/>
      <c r="H8610" s="1"/>
      <c r="N8610" s="166"/>
    </row>
    <row r="8611" spans="1:14">
      <c r="A8611" s="166"/>
      <c r="H8611" s="1"/>
      <c r="N8611" s="166"/>
    </row>
    <row r="8612" spans="1:14">
      <c r="A8612" s="166"/>
      <c r="H8612" s="1"/>
      <c r="N8612" s="166"/>
    </row>
    <row r="8613" spans="1:14">
      <c r="A8613" s="166"/>
      <c r="H8613" s="1"/>
      <c r="N8613" s="166"/>
    </row>
    <row r="8614" spans="1:14">
      <c r="A8614" s="166"/>
      <c r="H8614" s="1"/>
      <c r="N8614" s="166"/>
    </row>
    <row r="8615" spans="1:14">
      <c r="A8615" s="166"/>
      <c r="H8615" s="1"/>
      <c r="N8615" s="166"/>
    </row>
    <row r="8616" spans="1:14">
      <c r="A8616" s="166"/>
      <c r="H8616" s="1"/>
      <c r="N8616" s="166"/>
    </row>
    <row r="8617" spans="1:14">
      <c r="A8617" s="166"/>
      <c r="H8617" s="1"/>
      <c r="N8617" s="166"/>
    </row>
    <row r="8618" spans="1:14">
      <c r="A8618" s="166"/>
      <c r="H8618" s="1"/>
      <c r="N8618" s="166"/>
    </row>
    <row r="8619" spans="1:14">
      <c r="A8619" s="166"/>
      <c r="H8619" s="1"/>
      <c r="N8619" s="166"/>
    </row>
    <row r="8620" spans="1:14">
      <c r="A8620" s="166"/>
      <c r="H8620" s="1"/>
      <c r="N8620" s="166"/>
    </row>
    <row r="8621" spans="1:14">
      <c r="A8621" s="166"/>
      <c r="H8621" s="1"/>
      <c r="N8621" s="166"/>
    </row>
    <row r="8622" spans="1:14">
      <c r="A8622" s="166"/>
      <c r="H8622" s="1"/>
      <c r="N8622" s="166"/>
    </row>
    <row r="8623" spans="1:14">
      <c r="A8623" s="166"/>
      <c r="H8623" s="1"/>
      <c r="N8623" s="166"/>
    </row>
    <row r="8624" spans="1:14">
      <c r="A8624" s="166"/>
      <c r="H8624" s="1"/>
      <c r="N8624" s="166"/>
    </row>
    <row r="8625" spans="1:14">
      <c r="A8625" s="166"/>
      <c r="H8625" s="1"/>
      <c r="N8625" s="166"/>
    </row>
    <row r="8626" spans="1:14">
      <c r="A8626" s="166"/>
      <c r="H8626" s="1"/>
      <c r="N8626" s="166"/>
    </row>
    <row r="8627" spans="1:14">
      <c r="A8627" s="166"/>
      <c r="H8627" s="1"/>
      <c r="N8627" s="166"/>
    </row>
    <row r="8628" spans="1:14">
      <c r="A8628" s="166"/>
      <c r="H8628" s="1"/>
      <c r="N8628" s="166"/>
    </row>
    <row r="8629" spans="1:14">
      <c r="A8629" s="166"/>
      <c r="H8629" s="1"/>
      <c r="N8629" s="166"/>
    </row>
    <row r="8630" spans="1:14">
      <c r="A8630" s="166"/>
      <c r="H8630" s="1"/>
      <c r="N8630" s="166"/>
    </row>
    <row r="8631" spans="1:14">
      <c r="A8631" s="166"/>
      <c r="H8631" s="1"/>
      <c r="N8631" s="166"/>
    </row>
    <row r="8632" spans="1:14">
      <c r="A8632" s="166"/>
      <c r="H8632" s="1"/>
      <c r="N8632" s="166"/>
    </row>
    <row r="8633" spans="1:14">
      <c r="A8633" s="166"/>
      <c r="H8633" s="1"/>
      <c r="N8633" s="166"/>
    </row>
    <row r="8634" spans="1:14">
      <c r="A8634" s="166"/>
      <c r="H8634" s="1"/>
      <c r="N8634" s="166"/>
    </row>
    <row r="8635" spans="1:14">
      <c r="A8635" s="166"/>
      <c r="H8635" s="1"/>
      <c r="N8635" s="166"/>
    </row>
    <row r="8636" spans="1:14">
      <c r="A8636" s="166"/>
      <c r="H8636" s="1"/>
      <c r="N8636" s="166"/>
    </row>
    <row r="8637" spans="1:14">
      <c r="A8637" s="166"/>
      <c r="H8637" s="1"/>
      <c r="N8637" s="166"/>
    </row>
    <row r="8638" spans="1:14">
      <c r="A8638" s="166"/>
      <c r="H8638" s="1"/>
      <c r="N8638" s="166"/>
    </row>
    <row r="8639" spans="1:14">
      <c r="A8639" s="166"/>
      <c r="H8639" s="1"/>
      <c r="N8639" s="166"/>
    </row>
    <row r="8640" spans="1:14">
      <c r="A8640" s="166"/>
      <c r="H8640" s="1"/>
      <c r="N8640" s="166"/>
    </row>
    <row r="8641" spans="1:14">
      <c r="A8641" s="166"/>
      <c r="H8641" s="1"/>
      <c r="N8641" s="166"/>
    </row>
    <row r="8642" spans="1:14">
      <c r="A8642" s="166"/>
      <c r="H8642" s="1"/>
      <c r="N8642" s="166"/>
    </row>
    <row r="8643" spans="1:14">
      <c r="A8643" s="166"/>
      <c r="H8643" s="1"/>
      <c r="N8643" s="166"/>
    </row>
    <row r="8644" spans="1:14">
      <c r="A8644" s="166"/>
      <c r="H8644" s="1"/>
      <c r="N8644" s="166"/>
    </row>
    <row r="8645" spans="1:14">
      <c r="A8645" s="166"/>
      <c r="H8645" s="1"/>
      <c r="N8645" s="166"/>
    </row>
    <row r="8646" spans="1:14">
      <c r="A8646" s="166"/>
      <c r="H8646" s="1"/>
      <c r="N8646" s="166"/>
    </row>
    <row r="8647" spans="1:14">
      <c r="A8647" s="166"/>
      <c r="H8647" s="1"/>
      <c r="N8647" s="166"/>
    </row>
    <row r="8648" spans="1:14">
      <c r="A8648" s="166"/>
      <c r="H8648" s="1"/>
      <c r="N8648" s="166"/>
    </row>
    <row r="8649" spans="1:14">
      <c r="A8649" s="166"/>
      <c r="H8649" s="1"/>
      <c r="N8649" s="166"/>
    </row>
    <row r="8650" spans="1:14">
      <c r="A8650" s="166"/>
      <c r="H8650" s="1"/>
      <c r="N8650" s="166"/>
    </row>
    <row r="8651" spans="1:14">
      <c r="A8651" s="166"/>
      <c r="H8651" s="1"/>
      <c r="N8651" s="166"/>
    </row>
    <row r="8652" spans="1:14">
      <c r="A8652" s="166"/>
      <c r="H8652" s="1"/>
      <c r="N8652" s="166"/>
    </row>
    <row r="8653" spans="1:14">
      <c r="A8653" s="166"/>
      <c r="H8653" s="1"/>
      <c r="N8653" s="166"/>
    </row>
    <row r="8654" spans="1:14">
      <c r="A8654" s="166"/>
      <c r="H8654" s="1"/>
      <c r="N8654" s="166"/>
    </row>
    <row r="8655" spans="1:14">
      <c r="A8655" s="166"/>
      <c r="H8655" s="1"/>
      <c r="N8655" s="166"/>
    </row>
    <row r="8656" spans="1:14">
      <c r="A8656" s="166"/>
      <c r="H8656" s="1"/>
      <c r="N8656" s="166"/>
    </row>
    <row r="8657" spans="1:14">
      <c r="A8657" s="166"/>
      <c r="H8657" s="1"/>
      <c r="N8657" s="166"/>
    </row>
    <row r="8658" spans="1:14">
      <c r="A8658" s="166"/>
      <c r="H8658" s="1"/>
      <c r="N8658" s="166"/>
    </row>
    <row r="8659" spans="1:14">
      <c r="A8659" s="166"/>
      <c r="H8659" s="1"/>
      <c r="N8659" s="166"/>
    </row>
    <row r="8660" spans="1:14">
      <c r="A8660" s="166"/>
      <c r="H8660" s="1"/>
      <c r="N8660" s="166"/>
    </row>
    <row r="8661" spans="1:14">
      <c r="A8661" s="166"/>
      <c r="H8661" s="1"/>
      <c r="N8661" s="166"/>
    </row>
    <row r="8662" spans="1:14">
      <c r="A8662" s="166"/>
      <c r="H8662" s="1"/>
      <c r="N8662" s="166"/>
    </row>
    <row r="8663" spans="1:14">
      <c r="A8663" s="166"/>
      <c r="H8663" s="1"/>
      <c r="N8663" s="166"/>
    </row>
    <row r="8664" spans="1:14">
      <c r="A8664" s="166"/>
      <c r="H8664" s="1"/>
      <c r="N8664" s="166"/>
    </row>
    <row r="8665" spans="1:14">
      <c r="A8665" s="166"/>
      <c r="H8665" s="1"/>
      <c r="N8665" s="166"/>
    </row>
    <row r="8666" spans="1:14">
      <c r="A8666" s="166"/>
      <c r="H8666" s="1"/>
      <c r="N8666" s="166"/>
    </row>
    <row r="8667" spans="1:14">
      <c r="A8667" s="166"/>
      <c r="H8667" s="1"/>
      <c r="N8667" s="166"/>
    </row>
    <row r="8668" spans="1:14">
      <c r="A8668" s="166"/>
      <c r="H8668" s="1"/>
      <c r="N8668" s="166"/>
    </row>
    <row r="8669" spans="1:14">
      <c r="A8669" s="166"/>
      <c r="H8669" s="1"/>
      <c r="N8669" s="166"/>
    </row>
    <row r="8670" spans="1:14">
      <c r="A8670" s="166"/>
      <c r="H8670" s="1"/>
      <c r="N8670" s="166"/>
    </row>
    <row r="8671" spans="1:14">
      <c r="A8671" s="166"/>
      <c r="H8671" s="1"/>
      <c r="N8671" s="166"/>
    </row>
    <row r="8672" spans="1:14">
      <c r="A8672" s="166"/>
      <c r="H8672" s="1"/>
      <c r="N8672" s="166"/>
    </row>
    <row r="8673" spans="1:14">
      <c r="A8673" s="166"/>
      <c r="H8673" s="1"/>
      <c r="N8673" s="166"/>
    </row>
    <row r="8674" spans="1:14">
      <c r="A8674" s="166"/>
      <c r="H8674" s="1"/>
      <c r="N8674" s="166"/>
    </row>
    <row r="8675" spans="1:14">
      <c r="A8675" s="166"/>
      <c r="H8675" s="1"/>
      <c r="N8675" s="166"/>
    </row>
    <row r="8676" spans="1:14">
      <c r="A8676" s="166"/>
      <c r="H8676" s="1"/>
      <c r="N8676" s="166"/>
    </row>
    <row r="8677" spans="1:14">
      <c r="A8677" s="166"/>
      <c r="H8677" s="1"/>
      <c r="N8677" s="166"/>
    </row>
    <row r="8678" spans="1:14">
      <c r="A8678" s="166"/>
      <c r="H8678" s="1"/>
      <c r="N8678" s="166"/>
    </row>
    <row r="8679" spans="1:14">
      <c r="A8679" s="166"/>
      <c r="H8679" s="1"/>
      <c r="N8679" s="166"/>
    </row>
    <row r="8680" spans="1:14">
      <c r="A8680" s="166"/>
      <c r="H8680" s="1"/>
      <c r="N8680" s="166"/>
    </row>
    <row r="8681" spans="1:14">
      <c r="A8681" s="166"/>
      <c r="H8681" s="1"/>
      <c r="N8681" s="166"/>
    </row>
    <row r="8682" spans="1:14">
      <c r="A8682" s="166"/>
      <c r="H8682" s="1"/>
      <c r="N8682" s="166"/>
    </row>
    <row r="8683" spans="1:14">
      <c r="A8683" s="166"/>
      <c r="H8683" s="1"/>
      <c r="N8683" s="166"/>
    </row>
    <row r="8684" spans="1:14">
      <c r="A8684" s="166"/>
      <c r="H8684" s="1"/>
      <c r="N8684" s="166"/>
    </row>
    <row r="8685" spans="1:14">
      <c r="A8685" s="166"/>
      <c r="H8685" s="1"/>
      <c r="N8685" s="166"/>
    </row>
    <row r="8686" spans="1:14">
      <c r="A8686" s="166"/>
      <c r="H8686" s="1"/>
      <c r="N8686" s="166"/>
    </row>
    <row r="8687" spans="1:14">
      <c r="A8687" s="166"/>
      <c r="H8687" s="1"/>
      <c r="N8687" s="166"/>
    </row>
    <row r="8688" spans="1:14">
      <c r="A8688" s="166"/>
      <c r="H8688" s="1"/>
      <c r="N8688" s="166"/>
    </row>
    <row r="8689" spans="1:14">
      <c r="A8689" s="166"/>
      <c r="H8689" s="1"/>
      <c r="N8689" s="166"/>
    </row>
    <row r="8690" spans="1:14">
      <c r="A8690" s="166"/>
      <c r="H8690" s="1"/>
      <c r="N8690" s="166"/>
    </row>
    <row r="8691" spans="1:14">
      <c r="A8691" s="166"/>
      <c r="H8691" s="1"/>
      <c r="N8691" s="166"/>
    </row>
    <row r="8692" spans="1:14">
      <c r="A8692" s="166"/>
      <c r="H8692" s="1"/>
      <c r="N8692" s="166"/>
    </row>
    <row r="8693" spans="1:14">
      <c r="A8693" s="166"/>
      <c r="H8693" s="1"/>
      <c r="N8693" s="166"/>
    </row>
    <row r="8694" spans="1:14">
      <c r="A8694" s="166"/>
      <c r="H8694" s="1"/>
      <c r="N8694" s="166"/>
    </row>
    <row r="8695" spans="1:14">
      <c r="A8695" s="166"/>
      <c r="H8695" s="1"/>
      <c r="N8695" s="166"/>
    </row>
    <row r="8696" spans="1:14">
      <c r="A8696" s="166"/>
      <c r="H8696" s="1"/>
      <c r="N8696" s="166"/>
    </row>
    <row r="8697" spans="1:14">
      <c r="A8697" s="166"/>
      <c r="H8697" s="1"/>
      <c r="N8697" s="166"/>
    </row>
    <row r="8698" spans="1:14">
      <c r="A8698" s="166"/>
      <c r="H8698" s="1"/>
      <c r="N8698" s="166"/>
    </row>
    <row r="8699" spans="1:14">
      <c r="A8699" s="166"/>
      <c r="H8699" s="1"/>
      <c r="N8699" s="166"/>
    </row>
    <row r="8700" spans="1:14">
      <c r="A8700" s="166"/>
      <c r="H8700" s="1"/>
      <c r="N8700" s="166"/>
    </row>
    <row r="8701" spans="1:14">
      <c r="A8701" s="166"/>
      <c r="H8701" s="1"/>
      <c r="N8701" s="166"/>
    </row>
    <row r="8702" spans="1:14">
      <c r="A8702" s="166"/>
      <c r="H8702" s="1"/>
      <c r="N8702" s="166"/>
    </row>
    <row r="8703" spans="1:14">
      <c r="A8703" s="166"/>
      <c r="H8703" s="1"/>
      <c r="N8703" s="166"/>
    </row>
    <row r="8704" spans="1:14">
      <c r="A8704" s="166"/>
      <c r="H8704" s="1"/>
      <c r="N8704" s="166"/>
    </row>
    <row r="8705" spans="1:14">
      <c r="A8705" s="166"/>
      <c r="H8705" s="1"/>
      <c r="N8705" s="166"/>
    </row>
    <row r="8706" spans="1:14">
      <c r="A8706" s="166"/>
      <c r="H8706" s="1"/>
      <c r="N8706" s="166"/>
    </row>
    <row r="8707" spans="1:14">
      <c r="A8707" s="166"/>
      <c r="H8707" s="1"/>
      <c r="N8707" s="166"/>
    </row>
    <row r="8708" spans="1:14">
      <c r="A8708" s="166"/>
      <c r="H8708" s="1"/>
      <c r="N8708" s="166"/>
    </row>
    <row r="8709" spans="1:14">
      <c r="A8709" s="166"/>
      <c r="H8709" s="1"/>
      <c r="N8709" s="166"/>
    </row>
    <row r="8710" spans="1:14">
      <c r="A8710" s="166"/>
      <c r="H8710" s="1"/>
      <c r="N8710" s="166"/>
    </row>
    <row r="8711" spans="1:14">
      <c r="A8711" s="166"/>
      <c r="H8711" s="1"/>
      <c r="N8711" s="166"/>
    </row>
    <row r="8712" spans="1:14">
      <c r="A8712" s="166"/>
      <c r="H8712" s="1"/>
      <c r="N8712" s="166"/>
    </row>
    <row r="8713" spans="1:14">
      <c r="A8713" s="166"/>
      <c r="H8713" s="1"/>
      <c r="N8713" s="166"/>
    </row>
    <row r="8714" spans="1:14">
      <c r="A8714" s="166"/>
      <c r="H8714" s="1"/>
      <c r="N8714" s="166"/>
    </row>
    <row r="8715" spans="1:14">
      <c r="A8715" s="166"/>
      <c r="H8715" s="1"/>
      <c r="N8715" s="166"/>
    </row>
    <row r="8716" spans="1:14">
      <c r="A8716" s="166"/>
      <c r="H8716" s="1"/>
      <c r="N8716" s="166"/>
    </row>
    <row r="8717" spans="1:14">
      <c r="A8717" s="166"/>
      <c r="H8717" s="1"/>
      <c r="N8717" s="166"/>
    </row>
    <row r="8718" spans="1:14">
      <c r="A8718" s="166"/>
      <c r="H8718" s="1"/>
      <c r="N8718" s="166"/>
    </row>
    <row r="8719" spans="1:14">
      <c r="A8719" s="166"/>
      <c r="H8719" s="1"/>
      <c r="N8719" s="166"/>
    </row>
    <row r="8720" spans="1:14">
      <c r="A8720" s="166"/>
      <c r="H8720" s="1"/>
      <c r="N8720" s="166"/>
    </row>
    <row r="8721" spans="1:14">
      <c r="A8721" s="166"/>
      <c r="H8721" s="1"/>
      <c r="N8721" s="166"/>
    </row>
    <row r="8722" spans="1:14">
      <c r="A8722" s="166"/>
      <c r="H8722" s="1"/>
      <c r="N8722" s="166"/>
    </row>
    <row r="8723" spans="1:14">
      <c r="A8723" s="166"/>
      <c r="H8723" s="1"/>
      <c r="N8723" s="166"/>
    </row>
    <row r="8724" spans="1:14">
      <c r="A8724" s="166"/>
      <c r="H8724" s="1"/>
      <c r="N8724" s="166"/>
    </row>
    <row r="8725" spans="1:14">
      <c r="A8725" s="166"/>
      <c r="H8725" s="1"/>
      <c r="N8725" s="166"/>
    </row>
    <row r="8726" spans="1:14">
      <c r="A8726" s="166"/>
      <c r="H8726" s="1"/>
      <c r="N8726" s="166"/>
    </row>
    <row r="8727" spans="1:14">
      <c r="A8727" s="166"/>
      <c r="H8727" s="1"/>
      <c r="N8727" s="166"/>
    </row>
    <row r="8728" spans="1:14">
      <c r="A8728" s="166"/>
      <c r="H8728" s="1"/>
      <c r="N8728" s="166"/>
    </row>
    <row r="8729" spans="1:14">
      <c r="A8729" s="166"/>
      <c r="H8729" s="1"/>
      <c r="N8729" s="166"/>
    </row>
    <row r="8730" spans="1:14">
      <c r="A8730" s="166"/>
      <c r="H8730" s="1"/>
      <c r="N8730" s="166"/>
    </row>
    <row r="8731" spans="1:14">
      <c r="A8731" s="166"/>
      <c r="H8731" s="1"/>
      <c r="N8731" s="166"/>
    </row>
    <row r="8732" spans="1:14">
      <c r="A8732" s="166"/>
      <c r="H8732" s="1"/>
      <c r="N8732" s="166"/>
    </row>
    <row r="8733" spans="1:14">
      <c r="A8733" s="166"/>
      <c r="H8733" s="1"/>
      <c r="N8733" s="166"/>
    </row>
    <row r="8734" spans="1:14">
      <c r="A8734" s="166"/>
      <c r="H8734" s="1"/>
      <c r="N8734" s="166"/>
    </row>
    <row r="8735" spans="1:14">
      <c r="A8735" s="166"/>
      <c r="H8735" s="1"/>
      <c r="N8735" s="166"/>
    </row>
    <row r="8736" spans="1:14">
      <c r="A8736" s="166"/>
      <c r="H8736" s="1"/>
      <c r="N8736" s="166"/>
    </row>
    <row r="8737" spans="1:14">
      <c r="A8737" s="166"/>
      <c r="H8737" s="1"/>
      <c r="N8737" s="166"/>
    </row>
    <row r="8738" spans="1:14">
      <c r="A8738" s="166"/>
      <c r="H8738" s="1"/>
      <c r="N8738" s="166"/>
    </row>
    <row r="8739" spans="1:14">
      <c r="A8739" s="166"/>
      <c r="H8739" s="1"/>
      <c r="N8739" s="166"/>
    </row>
    <row r="8740" spans="1:14">
      <c r="A8740" s="166"/>
      <c r="H8740" s="1"/>
      <c r="N8740" s="166"/>
    </row>
    <row r="8741" spans="1:14">
      <c r="A8741" s="166"/>
      <c r="H8741" s="1"/>
      <c r="N8741" s="166"/>
    </row>
    <row r="8742" spans="1:14">
      <c r="A8742" s="166"/>
      <c r="H8742" s="1"/>
      <c r="N8742" s="166"/>
    </row>
    <row r="8743" spans="1:14">
      <c r="A8743" s="166"/>
      <c r="H8743" s="1"/>
      <c r="N8743" s="166"/>
    </row>
    <row r="8744" spans="1:14">
      <c r="A8744" s="166"/>
      <c r="H8744" s="1"/>
      <c r="N8744" s="166"/>
    </row>
    <row r="8745" spans="1:14">
      <c r="A8745" s="166"/>
      <c r="H8745" s="1"/>
      <c r="N8745" s="166"/>
    </row>
    <row r="8746" spans="1:14">
      <c r="A8746" s="166"/>
      <c r="H8746" s="1"/>
      <c r="N8746" s="166"/>
    </row>
    <row r="8747" spans="1:14">
      <c r="A8747" s="166"/>
      <c r="H8747" s="1"/>
      <c r="N8747" s="166"/>
    </row>
    <row r="8748" spans="1:14">
      <c r="A8748" s="166"/>
      <c r="H8748" s="1"/>
      <c r="N8748" s="166"/>
    </row>
    <row r="8749" spans="1:14">
      <c r="A8749" s="166"/>
      <c r="H8749" s="1"/>
      <c r="N8749" s="166"/>
    </row>
    <row r="8750" spans="1:14">
      <c r="A8750" s="166"/>
      <c r="H8750" s="1"/>
      <c r="N8750" s="166"/>
    </row>
    <row r="8751" spans="1:14">
      <c r="A8751" s="166"/>
      <c r="H8751" s="1"/>
      <c r="N8751" s="166"/>
    </row>
    <row r="8752" spans="1:14">
      <c r="A8752" s="166"/>
      <c r="H8752" s="1"/>
      <c r="N8752" s="166"/>
    </row>
    <row r="8753" spans="1:14">
      <c r="A8753" s="166"/>
      <c r="H8753" s="1"/>
      <c r="N8753" s="166"/>
    </row>
    <row r="8754" spans="1:14">
      <c r="A8754" s="166"/>
      <c r="H8754" s="1"/>
      <c r="N8754" s="166"/>
    </row>
    <row r="8755" spans="1:14">
      <c r="A8755" s="166"/>
      <c r="H8755" s="1"/>
      <c r="N8755" s="166"/>
    </row>
    <row r="8756" spans="1:14">
      <c r="A8756" s="166"/>
      <c r="H8756" s="1"/>
      <c r="N8756" s="166"/>
    </row>
    <row r="8757" spans="1:14">
      <c r="A8757" s="166"/>
      <c r="H8757" s="1"/>
      <c r="N8757" s="166"/>
    </row>
    <row r="8758" spans="1:14">
      <c r="A8758" s="166"/>
      <c r="H8758" s="1"/>
      <c r="N8758" s="166"/>
    </row>
    <row r="8759" spans="1:14">
      <c r="A8759" s="166"/>
      <c r="H8759" s="1"/>
      <c r="N8759" s="166"/>
    </row>
    <row r="8760" spans="1:14">
      <c r="A8760" s="166"/>
      <c r="H8760" s="1"/>
      <c r="N8760" s="166"/>
    </row>
    <row r="8761" spans="1:14">
      <c r="A8761" s="166"/>
      <c r="H8761" s="1"/>
      <c r="N8761" s="166"/>
    </row>
    <row r="8762" spans="1:14">
      <c r="A8762" s="166"/>
      <c r="H8762" s="1"/>
      <c r="N8762" s="166"/>
    </row>
    <row r="8763" spans="1:14">
      <c r="A8763" s="166"/>
      <c r="H8763" s="1"/>
      <c r="N8763" s="166"/>
    </row>
    <row r="8764" spans="1:14">
      <c r="A8764" s="166"/>
      <c r="H8764" s="1"/>
      <c r="N8764" s="166"/>
    </row>
    <row r="8765" spans="1:14">
      <c r="A8765" s="166"/>
      <c r="H8765" s="1"/>
      <c r="N8765" s="166"/>
    </row>
    <row r="8766" spans="1:14">
      <c r="A8766" s="166"/>
      <c r="H8766" s="1"/>
      <c r="N8766" s="166"/>
    </row>
    <row r="8767" spans="1:14">
      <c r="A8767" s="166"/>
      <c r="H8767" s="1"/>
      <c r="N8767" s="166"/>
    </row>
    <row r="8768" spans="1:14">
      <c r="A8768" s="166"/>
      <c r="H8768" s="1"/>
      <c r="N8768" s="166"/>
    </row>
    <row r="8769" spans="1:14">
      <c r="A8769" s="166"/>
      <c r="H8769" s="1"/>
      <c r="N8769" s="166"/>
    </row>
    <row r="8770" spans="1:14">
      <c r="A8770" s="166"/>
      <c r="H8770" s="1"/>
      <c r="N8770" s="166"/>
    </row>
    <row r="8771" spans="1:14">
      <c r="A8771" s="166"/>
      <c r="H8771" s="1"/>
      <c r="N8771" s="166"/>
    </row>
    <row r="8772" spans="1:14">
      <c r="A8772" s="166"/>
      <c r="H8772" s="1"/>
      <c r="N8772" s="166"/>
    </row>
    <row r="8773" spans="1:14">
      <c r="A8773" s="166"/>
      <c r="H8773" s="1"/>
      <c r="N8773" s="166"/>
    </row>
    <row r="8774" spans="1:14">
      <c r="A8774" s="166"/>
      <c r="H8774" s="1"/>
      <c r="N8774" s="166"/>
    </row>
    <row r="8775" spans="1:14">
      <c r="A8775" s="166"/>
      <c r="H8775" s="1"/>
      <c r="N8775" s="166"/>
    </row>
    <row r="8776" spans="1:14">
      <c r="A8776" s="166"/>
      <c r="H8776" s="1"/>
      <c r="N8776" s="166"/>
    </row>
    <row r="8777" spans="1:14">
      <c r="A8777" s="166"/>
      <c r="H8777" s="1"/>
      <c r="N8777" s="166"/>
    </row>
    <row r="8778" spans="1:14">
      <c r="A8778" s="166"/>
      <c r="H8778" s="1"/>
      <c r="N8778" s="166"/>
    </row>
    <row r="8779" spans="1:14">
      <c r="A8779" s="166"/>
      <c r="H8779" s="1"/>
      <c r="N8779" s="166"/>
    </row>
    <row r="8780" spans="1:14">
      <c r="A8780" s="166"/>
      <c r="H8780" s="1"/>
      <c r="N8780" s="166"/>
    </row>
    <row r="8781" spans="1:14">
      <c r="A8781" s="166"/>
      <c r="H8781" s="1"/>
      <c r="N8781" s="166"/>
    </row>
    <row r="8782" spans="1:14">
      <c r="A8782" s="166"/>
      <c r="H8782" s="1"/>
      <c r="N8782" s="166"/>
    </row>
    <row r="8783" spans="1:14">
      <c r="A8783" s="166"/>
      <c r="H8783" s="1"/>
      <c r="N8783" s="166"/>
    </row>
    <row r="8784" spans="1:14">
      <c r="A8784" s="166"/>
      <c r="H8784" s="1"/>
      <c r="N8784" s="166"/>
    </row>
    <row r="8785" spans="1:14">
      <c r="A8785" s="166"/>
      <c r="H8785" s="1"/>
      <c r="N8785" s="166"/>
    </row>
    <row r="8786" spans="1:14">
      <c r="A8786" s="166"/>
      <c r="H8786" s="1"/>
      <c r="N8786" s="166"/>
    </row>
    <row r="8787" spans="1:14">
      <c r="A8787" s="166"/>
      <c r="H8787" s="1"/>
      <c r="N8787" s="166"/>
    </row>
    <row r="8788" spans="1:14">
      <c r="A8788" s="166"/>
      <c r="H8788" s="1"/>
      <c r="N8788" s="166"/>
    </row>
    <row r="8789" spans="1:14">
      <c r="A8789" s="166"/>
      <c r="H8789" s="1"/>
      <c r="N8789" s="166"/>
    </row>
    <row r="8790" spans="1:14">
      <c r="A8790" s="166"/>
      <c r="H8790" s="1"/>
      <c r="N8790" s="166"/>
    </row>
    <row r="8791" spans="1:14">
      <c r="A8791" s="166"/>
      <c r="H8791" s="1"/>
      <c r="N8791" s="166"/>
    </row>
    <row r="8792" spans="1:14">
      <c r="A8792" s="166"/>
      <c r="H8792" s="1"/>
      <c r="N8792" s="166"/>
    </row>
    <row r="8793" spans="1:14">
      <c r="A8793" s="166"/>
      <c r="H8793" s="1"/>
      <c r="N8793" s="166"/>
    </row>
    <row r="8794" spans="1:14">
      <c r="A8794" s="166"/>
      <c r="H8794" s="1"/>
      <c r="N8794" s="166"/>
    </row>
    <row r="8795" spans="1:14">
      <c r="A8795" s="166"/>
      <c r="H8795" s="1"/>
      <c r="N8795" s="166"/>
    </row>
    <row r="8796" spans="1:14">
      <c r="A8796" s="166"/>
      <c r="H8796" s="1"/>
      <c r="N8796" s="166"/>
    </row>
    <row r="8797" spans="1:14">
      <c r="A8797" s="166"/>
      <c r="H8797" s="1"/>
      <c r="N8797" s="166"/>
    </row>
    <row r="8798" spans="1:14">
      <c r="A8798" s="166"/>
      <c r="H8798" s="1"/>
      <c r="N8798" s="166"/>
    </row>
    <row r="8799" spans="1:14">
      <c r="A8799" s="166"/>
      <c r="H8799" s="1"/>
      <c r="N8799" s="166"/>
    </row>
    <row r="8800" spans="1:14">
      <c r="A8800" s="166"/>
      <c r="H8800" s="1"/>
      <c r="N8800" s="166"/>
    </row>
    <row r="8801" spans="1:14">
      <c r="A8801" s="166"/>
      <c r="H8801" s="1"/>
      <c r="N8801" s="166"/>
    </row>
    <row r="8802" spans="1:14">
      <c r="A8802" s="166"/>
      <c r="H8802" s="1"/>
      <c r="N8802" s="166"/>
    </row>
    <row r="8803" spans="1:14">
      <c r="A8803" s="166"/>
      <c r="H8803" s="1"/>
      <c r="N8803" s="166"/>
    </row>
    <row r="8804" spans="1:14">
      <c r="A8804" s="166"/>
      <c r="H8804" s="1"/>
      <c r="N8804" s="166"/>
    </row>
    <row r="8805" spans="1:14">
      <c r="A8805" s="166"/>
      <c r="H8805" s="1"/>
      <c r="N8805" s="166"/>
    </row>
    <row r="8806" spans="1:14">
      <c r="A8806" s="166"/>
      <c r="H8806" s="1"/>
      <c r="N8806" s="166"/>
    </row>
    <row r="8807" spans="1:14">
      <c r="A8807" s="166"/>
      <c r="H8807" s="1"/>
      <c r="N8807" s="166"/>
    </row>
    <row r="8808" spans="1:14">
      <c r="A8808" s="166"/>
      <c r="H8808" s="1"/>
      <c r="N8808" s="166"/>
    </row>
    <row r="8809" spans="1:14">
      <c r="A8809" s="166"/>
      <c r="H8809" s="1"/>
      <c r="N8809" s="166"/>
    </row>
    <row r="8810" spans="1:14">
      <c r="A8810" s="166"/>
      <c r="H8810" s="1"/>
      <c r="N8810" s="166"/>
    </row>
    <row r="8811" spans="1:14">
      <c r="A8811" s="166"/>
      <c r="H8811" s="1"/>
      <c r="N8811" s="166"/>
    </row>
    <row r="8812" spans="1:14">
      <c r="A8812" s="166"/>
      <c r="H8812" s="1"/>
      <c r="N8812" s="166"/>
    </row>
    <row r="8813" spans="1:14">
      <c r="A8813" s="166"/>
      <c r="H8813" s="1"/>
      <c r="N8813" s="166"/>
    </row>
    <row r="8814" spans="1:14">
      <c r="A8814" s="166"/>
      <c r="H8814" s="1"/>
      <c r="N8814" s="166"/>
    </row>
    <row r="8815" spans="1:14">
      <c r="A8815" s="166"/>
      <c r="H8815" s="1"/>
      <c r="N8815" s="166"/>
    </row>
    <row r="8816" spans="1:14">
      <c r="A8816" s="166"/>
      <c r="H8816" s="1"/>
      <c r="N8816" s="166"/>
    </row>
    <row r="8817" spans="1:14">
      <c r="A8817" s="166"/>
      <c r="H8817" s="1"/>
      <c r="N8817" s="166"/>
    </row>
    <row r="8818" spans="1:14">
      <c r="A8818" s="166"/>
      <c r="H8818" s="1"/>
      <c r="N8818" s="166"/>
    </row>
    <row r="8819" spans="1:14">
      <c r="A8819" s="166"/>
      <c r="H8819" s="1"/>
      <c r="N8819" s="166"/>
    </row>
    <row r="8820" spans="1:14">
      <c r="A8820" s="166"/>
      <c r="H8820" s="1"/>
      <c r="N8820" s="166"/>
    </row>
    <row r="8821" spans="1:14">
      <c r="A8821" s="166"/>
      <c r="H8821" s="1"/>
      <c r="N8821" s="166"/>
    </row>
    <row r="8822" spans="1:14">
      <c r="A8822" s="166"/>
      <c r="H8822" s="1"/>
      <c r="N8822" s="166"/>
    </row>
    <row r="8823" spans="1:14">
      <c r="A8823" s="166"/>
      <c r="H8823" s="1"/>
      <c r="N8823" s="166"/>
    </row>
    <row r="8824" spans="1:14">
      <c r="A8824" s="166"/>
      <c r="H8824" s="1"/>
      <c r="N8824" s="166"/>
    </row>
    <row r="8825" spans="1:14">
      <c r="A8825" s="166"/>
      <c r="H8825" s="1"/>
      <c r="N8825" s="166"/>
    </row>
    <row r="8826" spans="1:14">
      <c r="A8826" s="166"/>
      <c r="H8826" s="1"/>
      <c r="N8826" s="166"/>
    </row>
    <row r="8827" spans="1:14">
      <c r="A8827" s="166"/>
      <c r="H8827" s="1"/>
      <c r="N8827" s="166"/>
    </row>
    <row r="8828" spans="1:14">
      <c r="A8828" s="166"/>
      <c r="H8828" s="1"/>
      <c r="N8828" s="166"/>
    </row>
    <row r="8829" spans="1:14">
      <c r="A8829" s="166"/>
      <c r="H8829" s="1"/>
      <c r="N8829" s="166"/>
    </row>
    <row r="8830" spans="1:14">
      <c r="A8830" s="166"/>
      <c r="H8830" s="1"/>
      <c r="N8830" s="166"/>
    </row>
    <row r="8831" spans="1:14">
      <c r="A8831" s="166"/>
      <c r="H8831" s="1"/>
      <c r="N8831" s="166"/>
    </row>
    <row r="8832" spans="1:14">
      <c r="A8832" s="166"/>
      <c r="H8832" s="1"/>
      <c r="N8832" s="166"/>
    </row>
    <row r="8833" spans="1:14">
      <c r="A8833" s="166"/>
      <c r="H8833" s="1"/>
      <c r="N8833" s="166"/>
    </row>
    <row r="8834" spans="1:14">
      <c r="A8834" s="166"/>
      <c r="H8834" s="1"/>
      <c r="N8834" s="166"/>
    </row>
    <row r="8835" spans="1:14">
      <c r="A8835" s="166"/>
      <c r="H8835" s="1"/>
      <c r="N8835" s="166"/>
    </row>
    <row r="8836" spans="1:14">
      <c r="A8836" s="166"/>
      <c r="H8836" s="1"/>
      <c r="N8836" s="166"/>
    </row>
    <row r="8837" spans="1:14">
      <c r="A8837" s="166"/>
      <c r="H8837" s="1"/>
      <c r="N8837" s="166"/>
    </row>
    <row r="8838" spans="1:14">
      <c r="A8838" s="166"/>
      <c r="H8838" s="1"/>
      <c r="N8838" s="166"/>
    </row>
    <row r="8839" spans="1:14">
      <c r="A8839" s="166"/>
      <c r="H8839" s="1"/>
      <c r="N8839" s="166"/>
    </row>
    <row r="8840" spans="1:14">
      <c r="A8840" s="166"/>
      <c r="H8840" s="1"/>
      <c r="N8840" s="166"/>
    </row>
    <row r="8841" spans="1:14">
      <c r="A8841" s="166"/>
      <c r="H8841" s="1"/>
      <c r="N8841" s="166"/>
    </row>
    <row r="8842" spans="1:14">
      <c r="A8842" s="166"/>
      <c r="H8842" s="1"/>
      <c r="N8842" s="166"/>
    </row>
    <row r="8843" spans="1:14">
      <c r="A8843" s="166"/>
      <c r="H8843" s="1"/>
      <c r="N8843" s="166"/>
    </row>
    <row r="8844" spans="1:14">
      <c r="A8844" s="166"/>
      <c r="H8844" s="1"/>
      <c r="N8844" s="166"/>
    </row>
    <row r="8845" spans="1:14">
      <c r="A8845" s="166"/>
      <c r="H8845" s="1"/>
      <c r="N8845" s="166"/>
    </row>
    <row r="8846" spans="1:14">
      <c r="A8846" s="166"/>
      <c r="H8846" s="1"/>
      <c r="N8846" s="166"/>
    </row>
    <row r="8847" spans="1:14">
      <c r="A8847" s="166"/>
      <c r="H8847" s="1"/>
      <c r="N8847" s="166"/>
    </row>
    <row r="8848" spans="1:14">
      <c r="A8848" s="166"/>
      <c r="H8848" s="1"/>
      <c r="N8848" s="166"/>
    </row>
    <row r="8849" spans="1:14">
      <c r="A8849" s="166"/>
      <c r="H8849" s="1"/>
      <c r="N8849" s="166"/>
    </row>
    <row r="8850" spans="1:14">
      <c r="A8850" s="166"/>
      <c r="H8850" s="1"/>
      <c r="N8850" s="166"/>
    </row>
    <row r="8851" spans="1:14">
      <c r="A8851" s="166"/>
      <c r="H8851" s="1"/>
      <c r="N8851" s="166"/>
    </row>
    <row r="8852" spans="1:14">
      <c r="A8852" s="166"/>
      <c r="H8852" s="1"/>
      <c r="N8852" s="166"/>
    </row>
    <row r="8853" spans="1:14">
      <c r="A8853" s="166"/>
      <c r="H8853" s="1"/>
      <c r="N8853" s="166"/>
    </row>
    <row r="8854" spans="1:14">
      <c r="A8854" s="166"/>
      <c r="H8854" s="1"/>
      <c r="N8854" s="166"/>
    </row>
    <row r="8855" spans="1:14">
      <c r="A8855" s="166"/>
      <c r="H8855" s="1"/>
      <c r="N8855" s="166"/>
    </row>
    <row r="8856" spans="1:14">
      <c r="A8856" s="166"/>
      <c r="H8856" s="1"/>
      <c r="N8856" s="166"/>
    </row>
    <row r="8857" spans="1:14">
      <c r="A8857" s="166"/>
      <c r="H8857" s="1"/>
      <c r="N8857" s="166"/>
    </row>
    <row r="8858" spans="1:14">
      <c r="A8858" s="166"/>
      <c r="H8858" s="1"/>
      <c r="N8858" s="166"/>
    </row>
    <row r="8859" spans="1:14">
      <c r="A8859" s="166"/>
      <c r="H8859" s="1"/>
      <c r="N8859" s="166"/>
    </row>
    <row r="8860" spans="1:14">
      <c r="A8860" s="166"/>
      <c r="H8860" s="1"/>
      <c r="N8860" s="166"/>
    </row>
    <row r="8861" spans="1:14">
      <c r="A8861" s="166"/>
      <c r="H8861" s="1"/>
      <c r="N8861" s="166"/>
    </row>
    <row r="8862" spans="1:14">
      <c r="A8862" s="166"/>
      <c r="H8862" s="1"/>
      <c r="N8862" s="166"/>
    </row>
    <row r="8863" spans="1:14">
      <c r="A8863" s="166"/>
      <c r="H8863" s="1"/>
      <c r="N8863" s="166"/>
    </row>
    <row r="8864" spans="1:14">
      <c r="A8864" s="166"/>
      <c r="H8864" s="1"/>
      <c r="N8864" s="166"/>
    </row>
    <row r="8865" spans="1:14">
      <c r="A8865" s="166"/>
      <c r="H8865" s="1"/>
      <c r="N8865" s="166"/>
    </row>
    <row r="8866" spans="1:14">
      <c r="A8866" s="166"/>
      <c r="H8866" s="1"/>
      <c r="N8866" s="166"/>
    </row>
    <row r="8867" spans="1:14">
      <c r="A8867" s="166"/>
      <c r="H8867" s="1"/>
      <c r="N8867" s="166"/>
    </row>
    <row r="8868" spans="1:14">
      <c r="A8868" s="166"/>
      <c r="H8868" s="1"/>
      <c r="N8868" s="166"/>
    </row>
    <row r="8869" spans="1:14">
      <c r="A8869" s="166"/>
      <c r="H8869" s="1"/>
      <c r="N8869" s="166"/>
    </row>
    <row r="8870" spans="1:14">
      <c r="A8870" s="166"/>
      <c r="H8870" s="1"/>
      <c r="N8870" s="166"/>
    </row>
    <row r="8871" spans="1:14">
      <c r="A8871" s="166"/>
      <c r="H8871" s="1"/>
      <c r="N8871" s="166"/>
    </row>
    <row r="8872" spans="1:14">
      <c r="A8872" s="166"/>
      <c r="H8872" s="1"/>
      <c r="N8872" s="166"/>
    </row>
    <row r="8873" spans="1:14">
      <c r="A8873" s="166"/>
      <c r="H8873" s="1"/>
      <c r="N8873" s="166"/>
    </row>
    <row r="8874" spans="1:14">
      <c r="A8874" s="166"/>
      <c r="H8874" s="1"/>
      <c r="N8874" s="166"/>
    </row>
    <row r="8875" spans="1:14">
      <c r="A8875" s="166"/>
      <c r="H8875" s="1"/>
      <c r="N8875" s="166"/>
    </row>
    <row r="8876" spans="1:14">
      <c r="A8876" s="166"/>
      <c r="H8876" s="1"/>
      <c r="N8876" s="166"/>
    </row>
    <row r="8877" spans="1:14">
      <c r="A8877" s="166"/>
      <c r="H8877" s="1"/>
      <c r="N8877" s="166"/>
    </row>
    <row r="8878" spans="1:14">
      <c r="A8878" s="166"/>
      <c r="H8878" s="1"/>
      <c r="N8878" s="166"/>
    </row>
    <row r="8879" spans="1:14">
      <c r="A8879" s="166"/>
      <c r="H8879" s="1"/>
      <c r="N8879" s="166"/>
    </row>
    <row r="8880" spans="1:14">
      <c r="A8880" s="166"/>
      <c r="H8880" s="1"/>
      <c r="N8880" s="166"/>
    </row>
    <row r="8881" spans="1:14">
      <c r="A8881" s="166"/>
      <c r="H8881" s="1"/>
      <c r="N8881" s="166"/>
    </row>
    <row r="8882" spans="1:14">
      <c r="A8882" s="166"/>
      <c r="H8882" s="1"/>
      <c r="N8882" s="166"/>
    </row>
    <row r="8883" spans="1:14">
      <c r="A8883" s="166"/>
      <c r="H8883" s="1"/>
      <c r="N8883" s="166"/>
    </row>
    <row r="8884" spans="1:14">
      <c r="A8884" s="166"/>
      <c r="H8884" s="1"/>
      <c r="N8884" s="166"/>
    </row>
    <row r="8885" spans="1:14">
      <c r="A8885" s="166"/>
      <c r="H8885" s="1"/>
      <c r="N8885" s="166"/>
    </row>
    <row r="8886" spans="1:14">
      <c r="A8886" s="166"/>
      <c r="H8886" s="1"/>
      <c r="N8886" s="166"/>
    </row>
    <row r="8887" spans="1:14">
      <c r="A8887" s="166"/>
      <c r="H8887" s="1"/>
      <c r="N8887" s="166"/>
    </row>
    <row r="8888" spans="1:14">
      <c r="A8888" s="166"/>
      <c r="H8888" s="1"/>
      <c r="N8888" s="166"/>
    </row>
    <row r="8889" spans="1:14">
      <c r="A8889" s="166"/>
      <c r="H8889" s="1"/>
      <c r="N8889" s="166"/>
    </row>
    <row r="8890" spans="1:14">
      <c r="A8890" s="166"/>
      <c r="H8890" s="1"/>
      <c r="N8890" s="166"/>
    </row>
    <row r="8891" spans="1:14">
      <c r="A8891" s="166"/>
      <c r="H8891" s="1"/>
      <c r="N8891" s="166"/>
    </row>
    <row r="8892" spans="1:14">
      <c r="A8892" s="166"/>
      <c r="H8892" s="1"/>
      <c r="N8892" s="166"/>
    </row>
    <row r="8893" spans="1:14">
      <c r="A8893" s="166"/>
      <c r="H8893" s="1"/>
      <c r="N8893" s="166"/>
    </row>
    <row r="8894" spans="1:14">
      <c r="A8894" s="166"/>
      <c r="H8894" s="1"/>
      <c r="N8894" s="166"/>
    </row>
    <row r="8895" spans="1:14">
      <c r="A8895" s="166"/>
      <c r="H8895" s="1"/>
      <c r="N8895" s="166"/>
    </row>
    <row r="8896" spans="1:14">
      <c r="A8896" s="166"/>
      <c r="H8896" s="1"/>
      <c r="N8896" s="166"/>
    </row>
    <row r="8897" spans="1:14">
      <c r="A8897" s="166"/>
      <c r="H8897" s="1"/>
      <c r="N8897" s="166"/>
    </row>
    <row r="8898" spans="1:14">
      <c r="A8898" s="166"/>
      <c r="H8898" s="1"/>
      <c r="N8898" s="166"/>
    </row>
    <row r="8899" spans="1:14">
      <c r="A8899" s="166"/>
      <c r="H8899" s="1"/>
      <c r="N8899" s="166"/>
    </row>
    <row r="8900" spans="1:14">
      <c r="A8900" s="166"/>
      <c r="H8900" s="1"/>
      <c r="N8900" s="166"/>
    </row>
    <row r="8901" spans="1:14">
      <c r="A8901" s="166"/>
      <c r="H8901" s="1"/>
      <c r="N8901" s="166"/>
    </row>
    <row r="8902" spans="1:14">
      <c r="A8902" s="166"/>
      <c r="H8902" s="1"/>
      <c r="N8902" s="166"/>
    </row>
    <row r="8903" spans="1:14">
      <c r="A8903" s="166"/>
      <c r="H8903" s="1"/>
      <c r="N8903" s="166"/>
    </row>
    <row r="8904" spans="1:14">
      <c r="A8904" s="166"/>
      <c r="H8904" s="1"/>
      <c r="N8904" s="166"/>
    </row>
    <row r="8905" spans="1:14">
      <c r="A8905" s="166"/>
      <c r="H8905" s="1"/>
      <c r="N8905" s="166"/>
    </row>
    <row r="8906" spans="1:14">
      <c r="A8906" s="166"/>
      <c r="H8906" s="1"/>
      <c r="N8906" s="166"/>
    </row>
    <row r="8907" spans="1:14">
      <c r="A8907" s="166"/>
      <c r="H8907" s="1"/>
      <c r="N8907" s="166"/>
    </row>
    <row r="8908" spans="1:14">
      <c r="A8908" s="166"/>
      <c r="H8908" s="1"/>
      <c r="N8908" s="166"/>
    </row>
    <row r="8909" spans="1:14">
      <c r="A8909" s="166"/>
      <c r="H8909" s="1"/>
      <c r="N8909" s="166"/>
    </row>
    <row r="8910" spans="1:14">
      <c r="A8910" s="166"/>
      <c r="H8910" s="1"/>
      <c r="N8910" s="166"/>
    </row>
    <row r="8911" spans="1:14">
      <c r="A8911" s="166"/>
      <c r="H8911" s="1"/>
      <c r="N8911" s="166"/>
    </row>
    <row r="8912" spans="1:14">
      <c r="A8912" s="166"/>
      <c r="H8912" s="1"/>
      <c r="N8912" s="166"/>
    </row>
    <row r="8913" spans="1:14">
      <c r="A8913" s="166"/>
      <c r="H8913" s="1"/>
      <c r="N8913" s="166"/>
    </row>
    <row r="8914" spans="1:14">
      <c r="A8914" s="166"/>
      <c r="H8914" s="1"/>
      <c r="N8914" s="166"/>
    </row>
    <row r="8915" spans="1:14">
      <c r="A8915" s="166"/>
      <c r="H8915" s="1"/>
      <c r="N8915" s="166"/>
    </row>
    <row r="8916" spans="1:14">
      <c r="A8916" s="166"/>
      <c r="H8916" s="1"/>
      <c r="N8916" s="166"/>
    </row>
    <row r="8917" spans="1:14">
      <c r="A8917" s="166"/>
      <c r="H8917" s="1"/>
      <c r="N8917" s="166"/>
    </row>
    <row r="8918" spans="1:14">
      <c r="A8918" s="166"/>
      <c r="H8918" s="1"/>
      <c r="N8918" s="166"/>
    </row>
    <row r="8919" spans="1:14">
      <c r="A8919" s="166"/>
      <c r="H8919" s="1"/>
      <c r="N8919" s="166"/>
    </row>
    <row r="8920" spans="1:14">
      <c r="A8920" s="166"/>
      <c r="H8920" s="1"/>
      <c r="N8920" s="166"/>
    </row>
    <row r="8921" spans="1:14">
      <c r="A8921" s="166"/>
      <c r="H8921" s="1"/>
      <c r="N8921" s="166"/>
    </row>
    <row r="8922" spans="1:14">
      <c r="A8922" s="166"/>
      <c r="H8922" s="1"/>
      <c r="N8922" s="166"/>
    </row>
    <row r="8923" spans="1:14">
      <c r="A8923" s="166"/>
      <c r="H8923" s="1"/>
      <c r="N8923" s="166"/>
    </row>
    <row r="8924" spans="1:14">
      <c r="A8924" s="166"/>
      <c r="H8924" s="1"/>
      <c r="N8924" s="166"/>
    </row>
    <row r="8925" spans="1:14">
      <c r="A8925" s="166"/>
      <c r="H8925" s="1"/>
      <c r="N8925" s="166"/>
    </row>
    <row r="8926" spans="1:14">
      <c r="A8926" s="166"/>
      <c r="H8926" s="1"/>
      <c r="N8926" s="166"/>
    </row>
    <row r="8927" spans="1:14">
      <c r="A8927" s="166"/>
      <c r="H8927" s="1"/>
      <c r="N8927" s="166"/>
    </row>
    <row r="8928" spans="1:14">
      <c r="A8928" s="166"/>
      <c r="H8928" s="1"/>
      <c r="N8928" s="166"/>
    </row>
    <row r="8929" spans="1:14">
      <c r="A8929" s="166"/>
      <c r="H8929" s="1"/>
      <c r="N8929" s="166"/>
    </row>
    <row r="8930" spans="1:14">
      <c r="A8930" s="166"/>
      <c r="H8930" s="1"/>
      <c r="N8930" s="166"/>
    </row>
    <row r="8931" spans="1:14">
      <c r="A8931" s="166"/>
      <c r="H8931" s="1"/>
      <c r="N8931" s="166"/>
    </row>
    <row r="8932" spans="1:14">
      <c r="A8932" s="166"/>
      <c r="H8932" s="1"/>
      <c r="N8932" s="166"/>
    </row>
    <row r="8933" spans="1:14">
      <c r="A8933" s="166"/>
      <c r="H8933" s="1"/>
      <c r="N8933" s="166"/>
    </row>
    <row r="8934" spans="1:14">
      <c r="A8934" s="166"/>
      <c r="H8934" s="1"/>
      <c r="N8934" s="166"/>
    </row>
    <row r="8935" spans="1:14">
      <c r="A8935" s="166"/>
      <c r="H8935" s="1"/>
      <c r="N8935" s="166"/>
    </row>
    <row r="8936" spans="1:14">
      <c r="A8936" s="166"/>
      <c r="H8936" s="1"/>
      <c r="N8936" s="166"/>
    </row>
    <row r="8937" spans="1:14">
      <c r="A8937" s="166"/>
      <c r="H8937" s="1"/>
      <c r="N8937" s="166"/>
    </row>
    <row r="8938" spans="1:14">
      <c r="A8938" s="166"/>
      <c r="H8938" s="1"/>
      <c r="N8938" s="166"/>
    </row>
    <row r="8939" spans="1:14">
      <c r="A8939" s="166"/>
      <c r="H8939" s="1"/>
      <c r="N8939" s="166"/>
    </row>
    <row r="8940" spans="1:14">
      <c r="A8940" s="166"/>
      <c r="H8940" s="1"/>
      <c r="N8940" s="166"/>
    </row>
    <row r="8941" spans="1:14">
      <c r="A8941" s="166"/>
      <c r="H8941" s="1"/>
      <c r="N8941" s="166"/>
    </row>
    <row r="8942" spans="1:14">
      <c r="A8942" s="166"/>
      <c r="H8942" s="1"/>
      <c r="N8942" s="166"/>
    </row>
    <row r="8943" spans="1:14">
      <c r="A8943" s="166"/>
      <c r="H8943" s="1"/>
      <c r="N8943" s="166"/>
    </row>
    <row r="8944" spans="1:14">
      <c r="A8944" s="166"/>
      <c r="H8944" s="1"/>
      <c r="N8944" s="166"/>
    </row>
    <row r="8945" spans="1:14">
      <c r="A8945" s="166"/>
      <c r="H8945" s="1"/>
      <c r="N8945" s="166"/>
    </row>
    <row r="8946" spans="1:14">
      <c r="A8946" s="166"/>
      <c r="H8946" s="1"/>
      <c r="N8946" s="166"/>
    </row>
    <row r="8947" spans="1:14">
      <c r="A8947" s="166"/>
      <c r="H8947" s="1"/>
      <c r="N8947" s="166"/>
    </row>
    <row r="8948" spans="1:14">
      <c r="A8948" s="166"/>
      <c r="H8948" s="1"/>
      <c r="N8948" s="166"/>
    </row>
    <row r="8949" spans="1:14">
      <c r="A8949" s="166"/>
      <c r="H8949" s="1"/>
      <c r="N8949" s="166"/>
    </row>
    <row r="8950" spans="1:14">
      <c r="A8950" s="166"/>
      <c r="H8950" s="1"/>
      <c r="N8950" s="166"/>
    </row>
    <row r="8951" spans="1:14">
      <c r="A8951" s="166"/>
      <c r="H8951" s="1"/>
      <c r="N8951" s="166"/>
    </row>
    <row r="8952" spans="1:14">
      <c r="A8952" s="166"/>
      <c r="H8952" s="1"/>
      <c r="N8952" s="166"/>
    </row>
    <row r="8953" spans="1:14">
      <c r="A8953" s="166"/>
      <c r="H8953" s="1"/>
      <c r="N8953" s="166"/>
    </row>
    <row r="8954" spans="1:14">
      <c r="A8954" s="166"/>
      <c r="H8954" s="1"/>
      <c r="N8954" s="166"/>
    </row>
    <row r="8955" spans="1:14">
      <c r="A8955" s="166"/>
      <c r="H8955" s="1"/>
      <c r="N8955" s="166"/>
    </row>
    <row r="8956" spans="1:14">
      <c r="A8956" s="166"/>
      <c r="H8956" s="1"/>
      <c r="N8956" s="166"/>
    </row>
    <row r="8957" spans="1:14">
      <c r="A8957" s="166"/>
      <c r="H8957" s="1"/>
      <c r="N8957" s="166"/>
    </row>
    <row r="8958" spans="1:14">
      <c r="A8958" s="166"/>
      <c r="H8958" s="1"/>
      <c r="N8958" s="166"/>
    </row>
    <row r="8959" spans="1:14">
      <c r="A8959" s="166"/>
      <c r="H8959" s="1"/>
      <c r="N8959" s="166"/>
    </row>
    <row r="8960" spans="1:14">
      <c r="A8960" s="166"/>
      <c r="H8960" s="1"/>
      <c r="N8960" s="166"/>
    </row>
    <row r="8961" spans="1:14">
      <c r="A8961" s="166"/>
      <c r="H8961" s="1"/>
      <c r="N8961" s="166"/>
    </row>
    <row r="8962" spans="1:14">
      <c r="A8962" s="166"/>
      <c r="H8962" s="1"/>
      <c r="N8962" s="166"/>
    </row>
    <row r="8963" spans="1:14">
      <c r="A8963" s="166"/>
      <c r="H8963" s="1"/>
      <c r="N8963" s="166"/>
    </row>
    <row r="8964" spans="1:14">
      <c r="A8964" s="166"/>
      <c r="H8964" s="1"/>
      <c r="N8964" s="166"/>
    </row>
    <row r="8965" spans="1:14">
      <c r="A8965" s="166"/>
      <c r="H8965" s="1"/>
      <c r="N8965" s="166"/>
    </row>
    <row r="8966" spans="1:14">
      <c r="A8966" s="166"/>
      <c r="H8966" s="1"/>
      <c r="N8966" s="166"/>
    </row>
    <row r="8967" spans="1:14">
      <c r="A8967" s="166"/>
      <c r="H8967" s="1"/>
      <c r="N8967" s="166"/>
    </row>
    <row r="8968" spans="1:14">
      <c r="A8968" s="166"/>
      <c r="H8968" s="1"/>
      <c r="N8968" s="166"/>
    </row>
    <row r="8969" spans="1:14">
      <c r="A8969" s="166"/>
      <c r="H8969" s="1"/>
      <c r="N8969" s="166"/>
    </row>
    <row r="8970" spans="1:14">
      <c r="A8970" s="166"/>
      <c r="H8970" s="1"/>
      <c r="N8970" s="166"/>
    </row>
    <row r="8971" spans="1:14">
      <c r="A8971" s="166"/>
      <c r="H8971" s="1"/>
      <c r="N8971" s="166"/>
    </row>
    <row r="8972" spans="1:14">
      <c r="A8972" s="166"/>
      <c r="H8972" s="1"/>
      <c r="N8972" s="166"/>
    </row>
    <row r="8973" spans="1:14">
      <c r="A8973" s="166"/>
      <c r="H8973" s="1"/>
      <c r="N8973" s="166"/>
    </row>
    <row r="8974" spans="1:14">
      <c r="A8974" s="166"/>
      <c r="H8974" s="1"/>
      <c r="N8974" s="166"/>
    </row>
    <row r="8975" spans="1:14">
      <c r="A8975" s="166"/>
      <c r="H8975" s="1"/>
      <c r="N8975" s="166"/>
    </row>
    <row r="8976" spans="1:14">
      <c r="A8976" s="166"/>
      <c r="H8976" s="1"/>
      <c r="N8976" s="166"/>
    </row>
    <row r="8977" spans="1:14">
      <c r="A8977" s="166"/>
      <c r="H8977" s="1"/>
      <c r="N8977" s="166"/>
    </row>
    <row r="8978" spans="1:14">
      <c r="A8978" s="166"/>
      <c r="H8978" s="1"/>
      <c r="N8978" s="166"/>
    </row>
    <row r="8979" spans="1:14">
      <c r="A8979" s="166"/>
      <c r="H8979" s="1"/>
      <c r="N8979" s="166"/>
    </row>
    <row r="8980" spans="1:14">
      <c r="A8980" s="166"/>
      <c r="H8980" s="1"/>
      <c r="N8980" s="166"/>
    </row>
    <row r="8981" spans="1:14">
      <c r="A8981" s="166"/>
      <c r="H8981" s="1"/>
      <c r="N8981" s="166"/>
    </row>
    <row r="8982" spans="1:14">
      <c r="A8982" s="166"/>
      <c r="H8982" s="1"/>
      <c r="N8982" s="166"/>
    </row>
    <row r="8983" spans="1:14">
      <c r="A8983" s="166"/>
      <c r="H8983" s="1"/>
      <c r="N8983" s="166"/>
    </row>
    <row r="8984" spans="1:14">
      <c r="A8984" s="166"/>
      <c r="H8984" s="1"/>
      <c r="N8984" s="166"/>
    </row>
    <row r="8985" spans="1:14">
      <c r="A8985" s="166"/>
      <c r="H8985" s="1"/>
      <c r="N8985" s="166"/>
    </row>
    <row r="8986" spans="1:14">
      <c r="A8986" s="166"/>
      <c r="H8986" s="1"/>
      <c r="N8986" s="166"/>
    </row>
    <row r="8987" spans="1:14">
      <c r="A8987" s="166"/>
      <c r="H8987" s="1"/>
      <c r="N8987" s="166"/>
    </row>
    <row r="8988" spans="1:14">
      <c r="A8988" s="166"/>
      <c r="H8988" s="1"/>
      <c r="N8988" s="166"/>
    </row>
    <row r="8989" spans="1:14">
      <c r="A8989" s="166"/>
      <c r="H8989" s="1"/>
      <c r="N8989" s="166"/>
    </row>
    <row r="8990" spans="1:14">
      <c r="A8990" s="166"/>
      <c r="H8990" s="1"/>
      <c r="N8990" s="166"/>
    </row>
    <row r="8991" spans="1:14">
      <c r="A8991" s="166"/>
      <c r="H8991" s="1"/>
      <c r="N8991" s="166"/>
    </row>
    <row r="8992" spans="1:14">
      <c r="A8992" s="166"/>
      <c r="H8992" s="1"/>
      <c r="N8992" s="166"/>
    </row>
    <row r="8993" spans="1:14">
      <c r="A8993" s="166"/>
      <c r="H8993" s="1"/>
      <c r="N8993" s="166"/>
    </row>
    <row r="8994" spans="1:14">
      <c r="A8994" s="166"/>
      <c r="H8994" s="1"/>
      <c r="N8994" s="166"/>
    </row>
    <row r="8995" spans="1:14">
      <c r="A8995" s="166"/>
      <c r="H8995" s="1"/>
      <c r="N8995" s="166"/>
    </row>
    <row r="8996" spans="1:14">
      <c r="A8996" s="166"/>
      <c r="H8996" s="1"/>
      <c r="N8996" s="166"/>
    </row>
    <row r="8997" spans="1:14">
      <c r="A8997" s="166"/>
      <c r="H8997" s="1"/>
      <c r="N8997" s="166"/>
    </row>
    <row r="8998" spans="1:14">
      <c r="A8998" s="166"/>
      <c r="H8998" s="1"/>
      <c r="N8998" s="166"/>
    </row>
    <row r="8999" spans="1:14">
      <c r="A8999" s="166"/>
      <c r="H8999" s="1"/>
      <c r="N8999" s="166"/>
    </row>
    <row r="9000" spans="1:14">
      <c r="A9000" s="166"/>
      <c r="H9000" s="1"/>
      <c r="N9000" s="166"/>
    </row>
    <row r="9001" spans="1:14">
      <c r="A9001" s="166"/>
      <c r="H9001" s="1"/>
      <c r="N9001" s="166"/>
    </row>
    <row r="9002" spans="1:14">
      <c r="A9002" s="166"/>
      <c r="H9002" s="1"/>
      <c r="N9002" s="166"/>
    </row>
    <row r="9003" spans="1:14">
      <c r="A9003" s="166"/>
      <c r="H9003" s="1"/>
      <c r="N9003" s="166"/>
    </row>
    <row r="9004" spans="1:14">
      <c r="A9004" s="166"/>
      <c r="H9004" s="1"/>
      <c r="N9004" s="166"/>
    </row>
    <row r="9005" spans="1:14">
      <c r="A9005" s="166"/>
      <c r="H9005" s="1"/>
      <c r="N9005" s="166"/>
    </row>
    <row r="9006" spans="1:14">
      <c r="A9006" s="166"/>
      <c r="H9006" s="1"/>
      <c r="N9006" s="166"/>
    </row>
    <row r="9007" spans="1:14">
      <c r="A9007" s="166"/>
      <c r="H9007" s="1"/>
      <c r="N9007" s="166"/>
    </row>
    <row r="9008" spans="1:14">
      <c r="A9008" s="166"/>
      <c r="H9008" s="1"/>
      <c r="N9008" s="166"/>
    </row>
    <row r="9009" spans="1:14">
      <c r="A9009" s="166"/>
      <c r="H9009" s="1"/>
      <c r="N9009" s="166"/>
    </row>
    <row r="9010" spans="1:14">
      <c r="A9010" s="166"/>
      <c r="H9010" s="1"/>
      <c r="N9010" s="166"/>
    </row>
    <row r="9011" spans="1:14">
      <c r="A9011" s="166"/>
      <c r="H9011" s="1"/>
      <c r="N9011" s="166"/>
    </row>
    <row r="9012" spans="1:14">
      <c r="A9012" s="166"/>
      <c r="H9012" s="1"/>
      <c r="N9012" s="166"/>
    </row>
    <row r="9013" spans="1:14">
      <c r="A9013" s="166"/>
      <c r="H9013" s="1"/>
      <c r="N9013" s="166"/>
    </row>
    <row r="9014" spans="1:14">
      <c r="A9014" s="166"/>
      <c r="H9014" s="1"/>
      <c r="N9014" s="166"/>
    </row>
    <row r="9015" spans="1:14">
      <c r="A9015" s="166"/>
      <c r="H9015" s="1"/>
      <c r="N9015" s="166"/>
    </row>
    <row r="9016" spans="1:14">
      <c r="A9016" s="166"/>
      <c r="H9016" s="1"/>
      <c r="N9016" s="166"/>
    </row>
    <row r="9017" spans="1:14">
      <c r="A9017" s="166"/>
      <c r="H9017" s="1"/>
      <c r="N9017" s="166"/>
    </row>
    <row r="9018" spans="1:14">
      <c r="A9018" s="166"/>
      <c r="H9018" s="1"/>
      <c r="N9018" s="166"/>
    </row>
    <row r="9019" spans="1:14">
      <c r="A9019" s="166"/>
      <c r="H9019" s="1"/>
      <c r="N9019" s="166"/>
    </row>
    <row r="9020" spans="1:14">
      <c r="A9020" s="166"/>
      <c r="H9020" s="1"/>
      <c r="N9020" s="166"/>
    </row>
    <row r="9021" spans="1:14">
      <c r="A9021" s="166"/>
      <c r="H9021" s="1"/>
      <c r="N9021" s="166"/>
    </row>
    <row r="9022" spans="1:14">
      <c r="A9022" s="166"/>
      <c r="H9022" s="1"/>
      <c r="N9022" s="166"/>
    </row>
    <row r="9023" spans="1:14">
      <c r="A9023" s="166"/>
      <c r="H9023" s="1"/>
      <c r="N9023" s="166"/>
    </row>
    <row r="9024" spans="1:14">
      <c r="A9024" s="166"/>
      <c r="H9024" s="1"/>
      <c r="N9024" s="166"/>
    </row>
    <row r="9025" spans="1:14">
      <c r="A9025" s="166"/>
      <c r="H9025" s="1"/>
      <c r="N9025" s="166"/>
    </row>
    <row r="9026" spans="1:14">
      <c r="A9026" s="166"/>
      <c r="H9026" s="1"/>
      <c r="N9026" s="166"/>
    </row>
    <row r="9027" spans="1:14">
      <c r="A9027" s="166"/>
      <c r="H9027" s="1"/>
      <c r="N9027" s="166"/>
    </row>
    <row r="9028" spans="1:14">
      <c r="A9028" s="166"/>
      <c r="H9028" s="1"/>
      <c r="N9028" s="166"/>
    </row>
    <row r="9029" spans="1:14">
      <c r="A9029" s="166"/>
      <c r="H9029" s="1"/>
      <c r="N9029" s="166"/>
    </row>
    <row r="9030" spans="1:14">
      <c r="A9030" s="166"/>
      <c r="H9030" s="1"/>
      <c r="N9030" s="166"/>
    </row>
    <row r="9031" spans="1:14">
      <c r="A9031" s="166"/>
      <c r="H9031" s="1"/>
      <c r="N9031" s="166"/>
    </row>
    <row r="9032" spans="1:14">
      <c r="A9032" s="166"/>
      <c r="H9032" s="1"/>
      <c r="N9032" s="166"/>
    </row>
    <row r="9033" spans="1:14">
      <c r="A9033" s="166"/>
      <c r="H9033" s="1"/>
      <c r="N9033" s="166"/>
    </row>
    <row r="9034" spans="1:14">
      <c r="A9034" s="166"/>
      <c r="H9034" s="1"/>
      <c r="N9034" s="166"/>
    </row>
    <row r="9035" spans="1:14">
      <c r="A9035" s="166"/>
      <c r="H9035" s="1"/>
      <c r="N9035" s="166"/>
    </row>
    <row r="9036" spans="1:14">
      <c r="A9036" s="166"/>
      <c r="H9036" s="1"/>
      <c r="N9036" s="166"/>
    </row>
    <row r="9037" spans="1:14">
      <c r="A9037" s="166"/>
      <c r="H9037" s="1"/>
      <c r="N9037" s="166"/>
    </row>
    <row r="9038" spans="1:14">
      <c r="A9038" s="166"/>
      <c r="H9038" s="1"/>
      <c r="N9038" s="166"/>
    </row>
    <row r="9039" spans="1:14">
      <c r="A9039" s="166"/>
      <c r="H9039" s="1"/>
      <c r="N9039" s="166"/>
    </row>
    <row r="9040" spans="1:14">
      <c r="A9040" s="166"/>
      <c r="H9040" s="1"/>
      <c r="N9040" s="166"/>
    </row>
    <row r="9041" spans="1:14">
      <c r="A9041" s="166"/>
      <c r="H9041" s="1"/>
      <c r="N9041" s="166"/>
    </row>
    <row r="9042" spans="1:14">
      <c r="A9042" s="166"/>
      <c r="H9042" s="1"/>
      <c r="N9042" s="166"/>
    </row>
    <row r="9043" spans="1:14">
      <c r="A9043" s="166"/>
      <c r="H9043" s="1"/>
      <c r="N9043" s="166"/>
    </row>
    <row r="9044" spans="1:14">
      <c r="A9044" s="166"/>
      <c r="H9044" s="1"/>
      <c r="N9044" s="166"/>
    </row>
    <row r="9045" spans="1:14">
      <c r="A9045" s="166"/>
      <c r="H9045" s="1"/>
      <c r="N9045" s="166"/>
    </row>
    <row r="9046" spans="1:14">
      <c r="A9046" s="166"/>
      <c r="H9046" s="1"/>
      <c r="N9046" s="166"/>
    </row>
    <row r="9047" spans="1:14">
      <c r="A9047" s="166"/>
      <c r="H9047" s="1"/>
      <c r="N9047" s="166"/>
    </row>
    <row r="9048" spans="1:14">
      <c r="A9048" s="166"/>
      <c r="H9048" s="1"/>
      <c r="N9048" s="166"/>
    </row>
    <row r="9049" spans="1:14">
      <c r="A9049" s="166"/>
      <c r="H9049" s="1"/>
      <c r="N9049" s="166"/>
    </row>
    <row r="9050" spans="1:14">
      <c r="A9050" s="166"/>
      <c r="H9050" s="1"/>
      <c r="N9050" s="166"/>
    </row>
    <row r="9051" spans="1:14">
      <c r="A9051" s="166"/>
      <c r="H9051" s="1"/>
      <c r="N9051" s="166"/>
    </row>
    <row r="9052" spans="1:14">
      <c r="A9052" s="166"/>
      <c r="H9052" s="1"/>
      <c r="N9052" s="166"/>
    </row>
    <row r="9053" spans="1:14">
      <c r="A9053" s="166"/>
      <c r="H9053" s="1"/>
      <c r="N9053" s="166"/>
    </row>
    <row r="9054" spans="1:14">
      <c r="A9054" s="166"/>
      <c r="H9054" s="1"/>
      <c r="N9054" s="166"/>
    </row>
    <row r="9055" spans="1:14">
      <c r="A9055" s="166"/>
      <c r="H9055" s="1"/>
      <c r="N9055" s="166"/>
    </row>
    <row r="9056" spans="1:14">
      <c r="A9056" s="166"/>
      <c r="H9056" s="1"/>
      <c r="N9056" s="166"/>
    </row>
    <row r="9057" spans="1:14">
      <c r="A9057" s="166"/>
      <c r="H9057" s="1"/>
      <c r="N9057" s="166"/>
    </row>
    <row r="9058" spans="1:14">
      <c r="A9058" s="166"/>
      <c r="H9058" s="1"/>
      <c r="N9058" s="166"/>
    </row>
    <row r="9059" spans="1:14">
      <c r="A9059" s="166"/>
      <c r="H9059" s="1"/>
      <c r="N9059" s="166"/>
    </row>
    <row r="9060" spans="1:14">
      <c r="A9060" s="166"/>
      <c r="H9060" s="1"/>
      <c r="N9060" s="166"/>
    </row>
    <row r="9061" spans="1:14">
      <c r="A9061" s="166"/>
      <c r="H9061" s="1"/>
      <c r="N9061" s="166"/>
    </row>
    <row r="9062" spans="1:14">
      <c r="A9062" s="166"/>
      <c r="H9062" s="1"/>
      <c r="N9062" s="166"/>
    </row>
    <row r="9063" spans="1:14">
      <c r="A9063" s="166"/>
      <c r="H9063" s="1"/>
      <c r="N9063" s="166"/>
    </row>
    <row r="9064" spans="1:14">
      <c r="A9064" s="166"/>
      <c r="H9064" s="1"/>
      <c r="N9064" s="166"/>
    </row>
    <row r="9065" spans="1:14">
      <c r="A9065" s="166"/>
      <c r="H9065" s="1"/>
      <c r="N9065" s="166"/>
    </row>
    <row r="9066" spans="1:14">
      <c r="A9066" s="166"/>
      <c r="H9066" s="1"/>
      <c r="N9066" s="166"/>
    </row>
    <row r="9067" spans="1:14">
      <c r="A9067" s="166"/>
      <c r="H9067" s="1"/>
      <c r="N9067" s="166"/>
    </row>
    <row r="9068" spans="1:14">
      <c r="A9068" s="166"/>
      <c r="H9068" s="1"/>
      <c r="N9068" s="166"/>
    </row>
    <row r="9069" spans="1:14">
      <c r="A9069" s="166"/>
      <c r="H9069" s="1"/>
      <c r="N9069" s="166"/>
    </row>
    <row r="9070" spans="1:14">
      <c r="A9070" s="166"/>
      <c r="H9070" s="1"/>
      <c r="N9070" s="166"/>
    </row>
    <row r="9071" spans="1:14">
      <c r="A9071" s="166"/>
      <c r="H9071" s="1"/>
      <c r="N9071" s="166"/>
    </row>
    <row r="9072" spans="1:14">
      <c r="A9072" s="166"/>
      <c r="H9072" s="1"/>
      <c r="N9072" s="166"/>
    </row>
    <row r="9073" spans="1:14">
      <c r="A9073" s="166"/>
      <c r="H9073" s="1"/>
      <c r="N9073" s="166"/>
    </row>
    <row r="9074" spans="1:14">
      <c r="A9074" s="166"/>
      <c r="H9074" s="1"/>
      <c r="N9074" s="166"/>
    </row>
    <row r="9075" spans="1:14">
      <c r="A9075" s="166"/>
      <c r="H9075" s="1"/>
      <c r="N9075" s="166"/>
    </row>
    <row r="9076" spans="1:14">
      <c r="A9076" s="166"/>
      <c r="H9076" s="1"/>
      <c r="N9076" s="166"/>
    </row>
    <row r="9077" spans="1:14">
      <c r="A9077" s="166"/>
      <c r="H9077" s="1"/>
      <c r="N9077" s="166"/>
    </row>
    <row r="9078" spans="1:14">
      <c r="A9078" s="166"/>
      <c r="H9078" s="1"/>
      <c r="N9078" s="166"/>
    </row>
    <row r="9079" spans="1:14">
      <c r="A9079" s="166"/>
      <c r="H9079" s="1"/>
      <c r="N9079" s="166"/>
    </row>
    <row r="9080" spans="1:14">
      <c r="A9080" s="166"/>
      <c r="H9080" s="1"/>
      <c r="N9080" s="166"/>
    </row>
    <row r="9081" spans="1:14">
      <c r="A9081" s="166"/>
      <c r="H9081" s="1"/>
      <c r="N9081" s="166"/>
    </row>
    <row r="9082" spans="1:14">
      <c r="A9082" s="166"/>
      <c r="H9082" s="1"/>
      <c r="N9082" s="166"/>
    </row>
    <row r="9083" spans="1:14">
      <c r="A9083" s="166"/>
      <c r="H9083" s="1"/>
      <c r="N9083" s="166"/>
    </row>
    <row r="9084" spans="1:14">
      <c r="A9084" s="166"/>
      <c r="H9084" s="1"/>
      <c r="N9084" s="166"/>
    </row>
    <row r="9085" spans="1:14">
      <c r="A9085" s="166"/>
      <c r="H9085" s="1"/>
      <c r="N9085" s="166"/>
    </row>
    <row r="9086" spans="1:14">
      <c r="A9086" s="166"/>
      <c r="H9086" s="1"/>
      <c r="N9086" s="166"/>
    </row>
    <row r="9087" spans="1:14">
      <c r="A9087" s="166"/>
      <c r="H9087" s="1"/>
      <c r="N9087" s="166"/>
    </row>
    <row r="9088" spans="1:14">
      <c r="A9088" s="166"/>
      <c r="H9088" s="1"/>
      <c r="N9088" s="166"/>
    </row>
    <row r="9089" spans="1:14">
      <c r="A9089" s="166"/>
      <c r="H9089" s="1"/>
      <c r="N9089" s="166"/>
    </row>
    <row r="9090" spans="1:14">
      <c r="A9090" s="166"/>
      <c r="H9090" s="1"/>
      <c r="N9090" s="166"/>
    </row>
    <row r="9091" spans="1:14">
      <c r="A9091" s="166"/>
      <c r="H9091" s="1"/>
      <c r="N9091" s="166"/>
    </row>
    <row r="9092" spans="1:14">
      <c r="A9092" s="166"/>
      <c r="H9092" s="1"/>
      <c r="N9092" s="166"/>
    </row>
    <row r="9093" spans="1:14">
      <c r="A9093" s="166"/>
      <c r="H9093" s="1"/>
      <c r="N9093" s="166"/>
    </row>
    <row r="9094" spans="1:14">
      <c r="A9094" s="166"/>
      <c r="H9094" s="1"/>
      <c r="N9094" s="166"/>
    </row>
    <row r="9095" spans="1:14">
      <c r="A9095" s="166"/>
      <c r="H9095" s="1"/>
      <c r="N9095" s="166"/>
    </row>
    <row r="9096" spans="1:14">
      <c r="A9096" s="166"/>
      <c r="H9096" s="1"/>
      <c r="N9096" s="166"/>
    </row>
    <row r="9097" spans="1:14">
      <c r="A9097" s="166"/>
      <c r="H9097" s="1"/>
      <c r="N9097" s="166"/>
    </row>
    <row r="9098" spans="1:14">
      <c r="A9098" s="166"/>
      <c r="H9098" s="1"/>
      <c r="N9098" s="166"/>
    </row>
    <row r="9099" spans="1:14">
      <c r="A9099" s="166"/>
      <c r="H9099" s="1"/>
      <c r="N9099" s="166"/>
    </row>
    <row r="9100" spans="1:14">
      <c r="A9100" s="166"/>
      <c r="H9100" s="1"/>
      <c r="N9100" s="166"/>
    </row>
    <row r="9101" spans="1:14">
      <c r="A9101" s="166"/>
      <c r="H9101" s="1"/>
      <c r="N9101" s="166"/>
    </row>
    <row r="9102" spans="1:14">
      <c r="A9102" s="166"/>
      <c r="H9102" s="1"/>
      <c r="N9102" s="166"/>
    </row>
    <row r="9103" spans="1:14">
      <c r="A9103" s="166"/>
      <c r="H9103" s="1"/>
      <c r="N9103" s="166"/>
    </row>
    <row r="9104" spans="1:14">
      <c r="A9104" s="166"/>
      <c r="H9104" s="1"/>
      <c r="N9104" s="166"/>
    </row>
    <row r="9105" spans="1:14">
      <c r="A9105" s="166"/>
      <c r="H9105" s="1"/>
      <c r="N9105" s="166"/>
    </row>
    <row r="9106" spans="1:14">
      <c r="A9106" s="166"/>
      <c r="H9106" s="1"/>
      <c r="N9106" s="166"/>
    </row>
    <row r="9107" spans="1:14">
      <c r="A9107" s="166"/>
      <c r="H9107" s="1"/>
      <c r="N9107" s="166"/>
    </row>
    <row r="9108" spans="1:14">
      <c r="A9108" s="166"/>
      <c r="H9108" s="1"/>
      <c r="N9108" s="166"/>
    </row>
    <row r="9109" spans="1:14">
      <c r="A9109" s="166"/>
      <c r="H9109" s="1"/>
      <c r="N9109" s="166"/>
    </row>
    <row r="9110" spans="1:14">
      <c r="A9110" s="166"/>
      <c r="H9110" s="1"/>
      <c r="N9110" s="166"/>
    </row>
    <row r="9111" spans="1:14">
      <c r="A9111" s="166"/>
      <c r="H9111" s="1"/>
      <c r="N9111" s="166"/>
    </row>
    <row r="9112" spans="1:14">
      <c r="A9112" s="166"/>
      <c r="H9112" s="1"/>
      <c r="N9112" s="166"/>
    </row>
    <row r="9113" spans="1:14">
      <c r="A9113" s="166"/>
      <c r="H9113" s="1"/>
      <c r="N9113" s="166"/>
    </row>
    <row r="9114" spans="1:14">
      <c r="A9114" s="166"/>
      <c r="H9114" s="1"/>
      <c r="N9114" s="166"/>
    </row>
    <row r="9115" spans="1:14">
      <c r="A9115" s="166"/>
      <c r="H9115" s="1"/>
      <c r="N9115" s="166"/>
    </row>
    <row r="9116" spans="1:14">
      <c r="A9116" s="166"/>
      <c r="H9116" s="1"/>
      <c r="N9116" s="166"/>
    </row>
    <row r="9117" spans="1:14">
      <c r="A9117" s="166"/>
      <c r="H9117" s="1"/>
      <c r="N9117" s="166"/>
    </row>
    <row r="9118" spans="1:14">
      <c r="A9118" s="166"/>
      <c r="H9118" s="1"/>
      <c r="N9118" s="166"/>
    </row>
    <row r="9119" spans="1:14">
      <c r="A9119" s="166"/>
      <c r="H9119" s="1"/>
      <c r="N9119" s="166"/>
    </row>
    <row r="9120" spans="1:14">
      <c r="A9120" s="166"/>
      <c r="H9120" s="1"/>
      <c r="N9120" s="166"/>
    </row>
    <row r="9121" spans="1:14">
      <c r="A9121" s="166"/>
      <c r="H9121" s="1"/>
      <c r="N9121" s="166"/>
    </row>
    <row r="9122" spans="1:14">
      <c r="A9122" s="166"/>
      <c r="H9122" s="1"/>
      <c r="N9122" s="166"/>
    </row>
    <row r="9123" spans="1:14">
      <c r="A9123" s="166"/>
      <c r="H9123" s="1"/>
      <c r="N9123" s="166"/>
    </row>
    <row r="9124" spans="1:14">
      <c r="A9124" s="166"/>
      <c r="H9124" s="1"/>
      <c r="N9124" s="166"/>
    </row>
    <row r="9125" spans="1:14">
      <c r="A9125" s="166"/>
      <c r="H9125" s="1"/>
      <c r="N9125" s="166"/>
    </row>
    <row r="9126" spans="1:14">
      <c r="A9126" s="166"/>
      <c r="H9126" s="1"/>
      <c r="N9126" s="166"/>
    </row>
    <row r="9127" spans="1:14">
      <c r="A9127" s="166"/>
      <c r="H9127" s="1"/>
      <c r="N9127" s="166"/>
    </row>
    <row r="9128" spans="1:14">
      <c r="A9128" s="166"/>
      <c r="H9128" s="1"/>
      <c r="N9128" s="166"/>
    </row>
    <row r="9129" spans="1:14">
      <c r="A9129" s="166"/>
      <c r="H9129" s="1"/>
      <c r="N9129" s="166"/>
    </row>
    <row r="9130" spans="1:14">
      <c r="A9130" s="166"/>
      <c r="H9130" s="1"/>
      <c r="N9130" s="166"/>
    </row>
    <row r="9131" spans="1:14">
      <c r="A9131" s="166"/>
      <c r="H9131" s="1"/>
      <c r="N9131" s="166"/>
    </row>
    <row r="9132" spans="1:14">
      <c r="A9132" s="166"/>
      <c r="H9132" s="1"/>
      <c r="N9132" s="166"/>
    </row>
    <row r="9133" spans="1:14">
      <c r="A9133" s="166"/>
      <c r="H9133" s="1"/>
      <c r="N9133" s="166"/>
    </row>
    <row r="9134" spans="1:14">
      <c r="A9134" s="166"/>
      <c r="H9134" s="1"/>
      <c r="N9134" s="166"/>
    </row>
    <row r="9135" spans="1:14">
      <c r="A9135" s="166"/>
      <c r="H9135" s="1"/>
      <c r="N9135" s="166"/>
    </row>
    <row r="9136" spans="1:14">
      <c r="A9136" s="166"/>
      <c r="H9136" s="1"/>
      <c r="N9136" s="166"/>
    </row>
    <row r="9137" spans="1:14">
      <c r="A9137" s="166"/>
      <c r="H9137" s="1"/>
      <c r="N9137" s="166"/>
    </row>
    <row r="9138" spans="1:14">
      <c r="A9138" s="166"/>
      <c r="H9138" s="1"/>
      <c r="N9138" s="166"/>
    </row>
    <row r="9139" spans="1:14">
      <c r="A9139" s="166"/>
      <c r="H9139" s="1"/>
      <c r="N9139" s="166"/>
    </row>
    <row r="9140" spans="1:14">
      <c r="A9140" s="166"/>
      <c r="H9140" s="1"/>
      <c r="N9140" s="166"/>
    </row>
    <row r="9141" spans="1:14">
      <c r="A9141" s="166"/>
      <c r="H9141" s="1"/>
      <c r="N9141" s="166"/>
    </row>
    <row r="9142" spans="1:14">
      <c r="A9142" s="166"/>
      <c r="H9142" s="1"/>
      <c r="N9142" s="166"/>
    </row>
    <row r="9143" spans="1:14">
      <c r="A9143" s="166"/>
      <c r="H9143" s="1"/>
      <c r="N9143" s="166"/>
    </row>
    <row r="9144" spans="1:14">
      <c r="A9144" s="166"/>
      <c r="H9144" s="1"/>
      <c r="N9144" s="166"/>
    </row>
    <row r="9145" spans="1:14">
      <c r="A9145" s="166"/>
      <c r="H9145" s="1"/>
      <c r="N9145" s="166"/>
    </row>
    <row r="9146" spans="1:14">
      <c r="A9146" s="166"/>
      <c r="H9146" s="1"/>
      <c r="N9146" s="166"/>
    </row>
    <row r="9147" spans="1:14">
      <c r="A9147" s="166"/>
      <c r="H9147" s="1"/>
      <c r="N9147" s="166"/>
    </row>
    <row r="9148" spans="1:14">
      <c r="A9148" s="166"/>
      <c r="H9148" s="1"/>
      <c r="N9148" s="166"/>
    </row>
    <row r="9149" spans="1:14">
      <c r="A9149" s="166"/>
      <c r="H9149" s="1"/>
      <c r="N9149" s="166"/>
    </row>
    <row r="9150" spans="1:14">
      <c r="A9150" s="166"/>
      <c r="H9150" s="1"/>
      <c r="N9150" s="166"/>
    </row>
    <row r="9151" spans="1:14">
      <c r="A9151" s="166"/>
      <c r="H9151" s="1"/>
      <c r="N9151" s="166"/>
    </row>
    <row r="9152" spans="1:14">
      <c r="A9152" s="166"/>
      <c r="H9152" s="1"/>
      <c r="N9152" s="166"/>
    </row>
    <row r="9153" spans="1:14">
      <c r="A9153" s="166"/>
      <c r="H9153" s="1"/>
      <c r="N9153" s="166"/>
    </row>
    <row r="9154" spans="1:14">
      <c r="A9154" s="166"/>
      <c r="H9154" s="1"/>
      <c r="N9154" s="166"/>
    </row>
    <row r="9155" spans="1:14">
      <c r="A9155" s="166"/>
      <c r="H9155" s="1"/>
      <c r="N9155" s="166"/>
    </row>
    <row r="9156" spans="1:14">
      <c r="A9156" s="166"/>
      <c r="H9156" s="1"/>
      <c r="N9156" s="166"/>
    </row>
    <row r="9157" spans="1:14">
      <c r="A9157" s="166"/>
      <c r="H9157" s="1"/>
      <c r="N9157" s="166"/>
    </row>
    <row r="9158" spans="1:14">
      <c r="A9158" s="166"/>
      <c r="H9158" s="1"/>
      <c r="N9158" s="166"/>
    </row>
    <row r="9159" spans="1:14">
      <c r="A9159" s="166"/>
      <c r="H9159" s="1"/>
      <c r="N9159" s="166"/>
    </row>
    <row r="9160" spans="1:14">
      <c r="A9160" s="166"/>
      <c r="H9160" s="1"/>
      <c r="N9160" s="166"/>
    </row>
    <row r="9161" spans="1:14">
      <c r="A9161" s="166"/>
      <c r="H9161" s="1"/>
      <c r="N9161" s="166"/>
    </row>
    <row r="9162" spans="1:14">
      <c r="A9162" s="166"/>
      <c r="H9162" s="1"/>
      <c r="N9162" s="166"/>
    </row>
    <row r="9163" spans="1:14">
      <c r="A9163" s="166"/>
      <c r="H9163" s="1"/>
      <c r="N9163" s="166"/>
    </row>
    <row r="9164" spans="1:14">
      <c r="A9164" s="166"/>
      <c r="H9164" s="1"/>
      <c r="N9164" s="166"/>
    </row>
    <row r="9165" spans="1:14">
      <c r="A9165" s="166"/>
      <c r="H9165" s="1"/>
      <c r="N9165" s="166"/>
    </row>
    <row r="9166" spans="1:14">
      <c r="A9166" s="166"/>
      <c r="H9166" s="1"/>
      <c r="N9166" s="166"/>
    </row>
    <row r="9167" spans="1:14">
      <c r="A9167" s="166"/>
      <c r="H9167" s="1"/>
      <c r="N9167" s="166"/>
    </row>
    <row r="9168" spans="1:14">
      <c r="A9168" s="166"/>
      <c r="H9168" s="1"/>
      <c r="N9168" s="166"/>
    </row>
    <row r="9169" spans="1:14">
      <c r="A9169" s="166"/>
      <c r="H9169" s="1"/>
      <c r="N9169" s="166"/>
    </row>
    <row r="9170" spans="1:14">
      <c r="A9170" s="166"/>
      <c r="H9170" s="1"/>
      <c r="N9170" s="166"/>
    </row>
    <row r="9171" spans="1:14">
      <c r="A9171" s="166"/>
      <c r="H9171" s="1"/>
      <c r="N9171" s="166"/>
    </row>
    <row r="9172" spans="1:14">
      <c r="A9172" s="166"/>
      <c r="H9172" s="1"/>
      <c r="N9172" s="166"/>
    </row>
    <row r="9173" spans="1:14">
      <c r="A9173" s="166"/>
      <c r="H9173" s="1"/>
      <c r="N9173" s="166"/>
    </row>
    <row r="9174" spans="1:14">
      <c r="A9174" s="166"/>
      <c r="H9174" s="1"/>
      <c r="N9174" s="166"/>
    </row>
    <row r="9175" spans="1:14">
      <c r="A9175" s="166"/>
      <c r="H9175" s="1"/>
      <c r="N9175" s="166"/>
    </row>
    <row r="9176" spans="1:14">
      <c r="A9176" s="166"/>
      <c r="H9176" s="1"/>
      <c r="N9176" s="166"/>
    </row>
    <row r="9177" spans="1:14">
      <c r="A9177" s="166"/>
      <c r="H9177" s="1"/>
      <c r="N9177" s="166"/>
    </row>
    <row r="9178" spans="1:14">
      <c r="A9178" s="166"/>
      <c r="H9178" s="1"/>
      <c r="N9178" s="166"/>
    </row>
    <row r="9179" spans="1:14">
      <c r="A9179" s="166"/>
      <c r="H9179" s="1"/>
      <c r="N9179" s="166"/>
    </row>
    <row r="9180" spans="1:14">
      <c r="A9180" s="166"/>
      <c r="H9180" s="1"/>
      <c r="N9180" s="166"/>
    </row>
    <row r="9181" spans="1:14">
      <c r="A9181" s="166"/>
      <c r="H9181" s="1"/>
      <c r="N9181" s="166"/>
    </row>
    <row r="9182" spans="1:14">
      <c r="A9182" s="166"/>
      <c r="H9182" s="1"/>
      <c r="N9182" s="166"/>
    </row>
    <row r="9183" spans="1:14">
      <c r="A9183" s="166"/>
      <c r="H9183" s="1"/>
      <c r="N9183" s="166"/>
    </row>
    <row r="9184" spans="1:14">
      <c r="A9184" s="166"/>
      <c r="H9184" s="1"/>
      <c r="N9184" s="166"/>
    </row>
    <row r="9185" spans="1:14">
      <c r="A9185" s="166"/>
      <c r="H9185" s="1"/>
      <c r="N9185" s="166"/>
    </row>
    <row r="9186" spans="1:14">
      <c r="A9186" s="166"/>
      <c r="H9186" s="1"/>
      <c r="N9186" s="166"/>
    </row>
    <row r="9187" spans="1:14">
      <c r="A9187" s="166"/>
      <c r="H9187" s="1"/>
      <c r="N9187" s="166"/>
    </row>
    <row r="9188" spans="1:14">
      <c r="A9188" s="166"/>
      <c r="H9188" s="1"/>
      <c r="N9188" s="166"/>
    </row>
    <row r="9189" spans="1:14">
      <c r="A9189" s="166"/>
      <c r="H9189" s="1"/>
      <c r="N9189" s="166"/>
    </row>
    <row r="9190" spans="1:14">
      <c r="A9190" s="166"/>
      <c r="H9190" s="1"/>
      <c r="N9190" s="166"/>
    </row>
    <row r="9191" spans="1:14">
      <c r="A9191" s="166"/>
      <c r="H9191" s="1"/>
      <c r="N9191" s="166"/>
    </row>
    <row r="9192" spans="1:14">
      <c r="A9192" s="166"/>
      <c r="H9192" s="1"/>
      <c r="N9192" s="166"/>
    </row>
    <row r="9193" spans="1:14">
      <c r="A9193" s="166"/>
      <c r="H9193" s="1"/>
      <c r="N9193" s="166"/>
    </row>
    <row r="9194" spans="1:14">
      <c r="A9194" s="166"/>
      <c r="H9194" s="1"/>
      <c r="N9194" s="166"/>
    </row>
    <row r="9195" spans="1:14">
      <c r="A9195" s="166"/>
      <c r="H9195" s="1"/>
      <c r="N9195" s="166"/>
    </row>
    <row r="9196" spans="1:14">
      <c r="A9196" s="166"/>
      <c r="H9196" s="1"/>
      <c r="N9196" s="166"/>
    </row>
    <row r="9197" spans="1:14">
      <c r="A9197" s="166"/>
      <c r="H9197" s="1"/>
      <c r="N9197" s="166"/>
    </row>
    <row r="9198" spans="1:14">
      <c r="A9198" s="166"/>
      <c r="H9198" s="1"/>
      <c r="N9198" s="166"/>
    </row>
    <row r="9199" spans="1:14">
      <c r="A9199" s="166"/>
      <c r="H9199" s="1"/>
      <c r="N9199" s="166"/>
    </row>
    <row r="9200" spans="1:14">
      <c r="A9200" s="166"/>
      <c r="H9200" s="1"/>
      <c r="N9200" s="166"/>
    </row>
    <row r="9201" spans="1:14">
      <c r="A9201" s="166"/>
      <c r="H9201" s="1"/>
      <c r="N9201" s="166"/>
    </row>
    <row r="9202" spans="1:14">
      <c r="A9202" s="166"/>
      <c r="H9202" s="1"/>
      <c r="N9202" s="166"/>
    </row>
    <row r="9203" spans="1:14">
      <c r="A9203" s="166"/>
      <c r="H9203" s="1"/>
      <c r="N9203" s="166"/>
    </row>
    <row r="9204" spans="1:14">
      <c r="A9204" s="166"/>
      <c r="H9204" s="1"/>
      <c r="N9204" s="166"/>
    </row>
    <row r="9205" spans="1:14">
      <c r="A9205" s="166"/>
      <c r="H9205" s="1"/>
      <c r="N9205" s="166"/>
    </row>
    <row r="9206" spans="1:14">
      <c r="A9206" s="166"/>
      <c r="H9206" s="1"/>
      <c r="N9206" s="166"/>
    </row>
    <row r="9207" spans="1:14">
      <c r="A9207" s="166"/>
      <c r="H9207" s="1"/>
      <c r="N9207" s="166"/>
    </row>
    <row r="9208" spans="1:14">
      <c r="A9208" s="166"/>
      <c r="H9208" s="1"/>
      <c r="N9208" s="166"/>
    </row>
    <row r="9209" spans="1:14">
      <c r="A9209" s="166"/>
      <c r="H9209" s="1"/>
      <c r="N9209" s="166"/>
    </row>
    <row r="9210" spans="1:14">
      <c r="A9210" s="166"/>
      <c r="H9210" s="1"/>
      <c r="N9210" s="166"/>
    </row>
    <row r="9211" spans="1:14">
      <c r="A9211" s="166"/>
      <c r="H9211" s="1"/>
      <c r="N9211" s="166"/>
    </row>
    <row r="9212" spans="1:14">
      <c r="A9212" s="166"/>
      <c r="H9212" s="1"/>
      <c r="N9212" s="166"/>
    </row>
    <row r="9213" spans="1:14">
      <c r="A9213" s="166"/>
      <c r="H9213" s="1"/>
      <c r="N9213" s="166"/>
    </row>
    <row r="9214" spans="1:14">
      <c r="A9214" s="166"/>
      <c r="H9214" s="1"/>
      <c r="N9214" s="166"/>
    </row>
    <row r="9215" spans="1:14">
      <c r="A9215" s="166"/>
      <c r="H9215" s="1"/>
      <c r="N9215" s="166"/>
    </row>
    <row r="9216" spans="1:14">
      <c r="A9216" s="166"/>
      <c r="H9216" s="1"/>
      <c r="N9216" s="166"/>
    </row>
    <row r="9217" spans="1:14">
      <c r="A9217" s="166"/>
      <c r="H9217" s="1"/>
      <c r="N9217" s="166"/>
    </row>
    <row r="9218" spans="1:14">
      <c r="A9218" s="166"/>
      <c r="H9218" s="1"/>
      <c r="N9218" s="166"/>
    </row>
    <row r="9219" spans="1:14">
      <c r="A9219" s="166"/>
      <c r="H9219" s="1"/>
      <c r="N9219" s="166"/>
    </row>
    <row r="9220" spans="1:14">
      <c r="A9220" s="166"/>
      <c r="H9220" s="1"/>
      <c r="N9220" s="166"/>
    </row>
    <row r="9221" spans="1:14">
      <c r="A9221" s="166"/>
      <c r="H9221" s="1"/>
      <c r="N9221" s="166"/>
    </row>
    <row r="9222" spans="1:14">
      <c r="A9222" s="166"/>
      <c r="H9222" s="1"/>
      <c r="N9222" s="166"/>
    </row>
    <row r="9223" spans="1:14">
      <c r="A9223" s="166"/>
      <c r="H9223" s="1"/>
      <c r="N9223" s="166"/>
    </row>
    <row r="9224" spans="1:14">
      <c r="A9224" s="166"/>
      <c r="H9224" s="1"/>
      <c r="N9224" s="166"/>
    </row>
    <row r="9225" spans="1:14">
      <c r="A9225" s="166"/>
      <c r="H9225" s="1"/>
      <c r="N9225" s="166"/>
    </row>
    <row r="9226" spans="1:14">
      <c r="A9226" s="166"/>
      <c r="H9226" s="1"/>
      <c r="N9226" s="166"/>
    </row>
    <row r="9227" spans="1:14">
      <c r="A9227" s="166"/>
      <c r="H9227" s="1"/>
      <c r="N9227" s="166"/>
    </row>
    <row r="9228" spans="1:14">
      <c r="A9228" s="166"/>
      <c r="H9228" s="1"/>
      <c r="N9228" s="166"/>
    </row>
    <row r="9229" spans="1:14">
      <c r="A9229" s="166"/>
      <c r="H9229" s="1"/>
      <c r="N9229" s="166"/>
    </row>
    <row r="9230" spans="1:14">
      <c r="A9230" s="166"/>
      <c r="H9230" s="1"/>
      <c r="N9230" s="166"/>
    </row>
    <row r="9231" spans="1:14">
      <c r="A9231" s="166"/>
      <c r="H9231" s="1"/>
      <c r="N9231" s="166"/>
    </row>
    <row r="9232" spans="1:14">
      <c r="A9232" s="166"/>
      <c r="H9232" s="1"/>
      <c r="N9232" s="166"/>
    </row>
    <row r="9233" spans="1:14">
      <c r="A9233" s="166"/>
      <c r="H9233" s="1"/>
      <c r="N9233" s="166"/>
    </row>
    <row r="9234" spans="1:14">
      <c r="A9234" s="166"/>
      <c r="H9234" s="1"/>
      <c r="N9234" s="166"/>
    </row>
    <row r="9235" spans="1:14">
      <c r="A9235" s="166"/>
      <c r="H9235" s="1"/>
      <c r="N9235" s="166"/>
    </row>
    <row r="9236" spans="1:14">
      <c r="A9236" s="166"/>
      <c r="H9236" s="1"/>
      <c r="N9236" s="166"/>
    </row>
    <row r="9237" spans="1:14">
      <c r="A9237" s="166"/>
      <c r="H9237" s="1"/>
      <c r="N9237" s="166"/>
    </row>
    <row r="9238" spans="1:14">
      <c r="A9238" s="166"/>
      <c r="H9238" s="1"/>
      <c r="N9238" s="166"/>
    </row>
    <row r="9239" spans="1:14">
      <c r="A9239" s="166"/>
      <c r="H9239" s="1"/>
      <c r="N9239" s="166"/>
    </row>
    <row r="9240" spans="1:14">
      <c r="A9240" s="166"/>
      <c r="H9240" s="1"/>
      <c r="N9240" s="166"/>
    </row>
    <row r="9241" spans="1:14">
      <c r="A9241" s="166"/>
      <c r="H9241" s="1"/>
      <c r="N9241" s="166"/>
    </row>
    <row r="9242" spans="1:14">
      <c r="A9242" s="166"/>
      <c r="H9242" s="1"/>
      <c r="N9242" s="166"/>
    </row>
    <row r="9243" spans="1:14">
      <c r="A9243" s="166"/>
      <c r="H9243" s="1"/>
      <c r="N9243" s="166"/>
    </row>
    <row r="9244" spans="1:14">
      <c r="A9244" s="166"/>
      <c r="H9244" s="1"/>
      <c r="N9244" s="166"/>
    </row>
    <row r="9245" spans="1:14">
      <c r="A9245" s="166"/>
      <c r="H9245" s="1"/>
      <c r="N9245" s="166"/>
    </row>
    <row r="9246" spans="1:14">
      <c r="A9246" s="166"/>
      <c r="H9246" s="1"/>
      <c r="N9246" s="166"/>
    </row>
    <row r="9247" spans="1:14">
      <c r="A9247" s="166"/>
      <c r="H9247" s="1"/>
      <c r="N9247" s="166"/>
    </row>
    <row r="9248" spans="1:14">
      <c r="A9248" s="166"/>
      <c r="H9248" s="1"/>
      <c r="N9248" s="166"/>
    </row>
    <row r="9249" spans="1:14">
      <c r="A9249" s="166"/>
      <c r="H9249" s="1"/>
      <c r="N9249" s="166"/>
    </row>
    <row r="9250" spans="1:14">
      <c r="A9250" s="166"/>
      <c r="H9250" s="1"/>
      <c r="N9250" s="166"/>
    </row>
    <row r="9251" spans="1:14">
      <c r="A9251" s="166"/>
      <c r="H9251" s="1"/>
      <c r="N9251" s="166"/>
    </row>
    <row r="9252" spans="1:14">
      <c r="A9252" s="166"/>
      <c r="H9252" s="1"/>
      <c r="N9252" s="166"/>
    </row>
    <row r="9253" spans="1:14">
      <c r="A9253" s="166"/>
      <c r="H9253" s="1"/>
      <c r="N9253" s="166"/>
    </row>
    <row r="9254" spans="1:14">
      <c r="A9254" s="166"/>
      <c r="H9254" s="1"/>
      <c r="N9254" s="166"/>
    </row>
    <row r="9255" spans="1:14">
      <c r="A9255" s="166"/>
      <c r="H9255" s="1"/>
      <c r="N9255" s="166"/>
    </row>
    <row r="9256" spans="1:14">
      <c r="A9256" s="166"/>
      <c r="H9256" s="1"/>
      <c r="N9256" s="166"/>
    </row>
    <row r="9257" spans="1:14">
      <c r="A9257" s="166"/>
      <c r="H9257" s="1"/>
      <c r="N9257" s="166"/>
    </row>
    <row r="9258" spans="1:14">
      <c r="A9258" s="166"/>
      <c r="H9258" s="1"/>
      <c r="N9258" s="166"/>
    </row>
    <row r="9259" spans="1:14">
      <c r="A9259" s="166"/>
      <c r="H9259" s="1"/>
      <c r="N9259" s="166"/>
    </row>
    <row r="9260" spans="1:14">
      <c r="A9260" s="166"/>
      <c r="H9260" s="1"/>
      <c r="N9260" s="166"/>
    </row>
    <row r="9261" spans="1:14">
      <c r="A9261" s="166"/>
      <c r="H9261" s="1"/>
      <c r="N9261" s="166"/>
    </row>
    <row r="9262" spans="1:14">
      <c r="A9262" s="166"/>
      <c r="H9262" s="1"/>
      <c r="N9262" s="166"/>
    </row>
    <row r="9263" spans="1:14">
      <c r="A9263" s="166"/>
      <c r="H9263" s="1"/>
      <c r="N9263" s="166"/>
    </row>
    <row r="9264" spans="1:14">
      <c r="A9264" s="166"/>
      <c r="H9264" s="1"/>
      <c r="N9264" s="166"/>
    </row>
    <row r="9265" spans="1:14">
      <c r="A9265" s="166"/>
      <c r="H9265" s="1"/>
      <c r="N9265" s="166"/>
    </row>
    <row r="9266" spans="1:14">
      <c r="A9266" s="166"/>
      <c r="H9266" s="1"/>
      <c r="N9266" s="166"/>
    </row>
    <row r="9267" spans="1:14">
      <c r="A9267" s="166"/>
      <c r="H9267" s="1"/>
      <c r="N9267" s="166"/>
    </row>
    <row r="9268" spans="1:14">
      <c r="A9268" s="166"/>
      <c r="H9268" s="1"/>
      <c r="N9268" s="166"/>
    </row>
    <row r="9269" spans="1:14">
      <c r="A9269" s="166"/>
      <c r="H9269" s="1"/>
      <c r="N9269" s="166"/>
    </row>
    <row r="9270" spans="1:14">
      <c r="A9270" s="166"/>
      <c r="H9270" s="1"/>
      <c r="N9270" s="166"/>
    </row>
    <row r="9271" spans="1:14">
      <c r="A9271" s="166"/>
      <c r="H9271" s="1"/>
      <c r="N9271" s="166"/>
    </row>
    <row r="9272" spans="1:14">
      <c r="A9272" s="166"/>
      <c r="H9272" s="1"/>
      <c r="N9272" s="166"/>
    </row>
    <row r="9273" spans="1:14">
      <c r="A9273" s="166"/>
      <c r="H9273" s="1"/>
      <c r="N9273" s="166"/>
    </row>
    <row r="9274" spans="1:14">
      <c r="A9274" s="166"/>
      <c r="H9274" s="1"/>
      <c r="N9274" s="166"/>
    </row>
    <row r="9275" spans="1:14">
      <c r="A9275" s="166"/>
      <c r="H9275" s="1"/>
      <c r="N9275" s="166"/>
    </row>
    <row r="9276" spans="1:14">
      <c r="A9276" s="166"/>
      <c r="H9276" s="1"/>
      <c r="N9276" s="166"/>
    </row>
    <row r="9277" spans="1:14">
      <c r="A9277" s="166"/>
      <c r="H9277" s="1"/>
      <c r="N9277" s="166"/>
    </row>
    <row r="9278" spans="1:14">
      <c r="A9278" s="166"/>
      <c r="H9278" s="1"/>
      <c r="N9278" s="166"/>
    </row>
    <row r="9279" spans="1:14">
      <c r="A9279" s="166"/>
      <c r="H9279" s="1"/>
      <c r="N9279" s="166"/>
    </row>
    <row r="9280" spans="1:14">
      <c r="A9280" s="166"/>
      <c r="H9280" s="1"/>
      <c r="N9280" s="166"/>
    </row>
    <row r="9281" spans="1:14">
      <c r="A9281" s="166"/>
      <c r="H9281" s="1"/>
      <c r="N9281" s="166"/>
    </row>
    <row r="9282" spans="1:14">
      <c r="A9282" s="166"/>
      <c r="H9282" s="1"/>
      <c r="N9282" s="166"/>
    </row>
    <row r="9283" spans="1:14">
      <c r="A9283" s="166"/>
      <c r="H9283" s="1"/>
      <c r="N9283" s="166"/>
    </row>
    <row r="9284" spans="1:14">
      <c r="A9284" s="166"/>
      <c r="H9284" s="1"/>
      <c r="N9284" s="166"/>
    </row>
    <row r="9285" spans="1:14">
      <c r="A9285" s="166"/>
      <c r="H9285" s="1"/>
      <c r="N9285" s="166"/>
    </row>
    <row r="9286" spans="1:14">
      <c r="A9286" s="166"/>
      <c r="H9286" s="1"/>
      <c r="N9286" s="166"/>
    </row>
    <row r="9287" spans="1:14">
      <c r="A9287" s="166"/>
      <c r="H9287" s="1"/>
      <c r="N9287" s="166"/>
    </row>
    <row r="9288" spans="1:14">
      <c r="A9288" s="166"/>
      <c r="H9288" s="1"/>
      <c r="N9288" s="166"/>
    </row>
    <row r="9289" spans="1:14">
      <c r="A9289" s="166"/>
      <c r="H9289" s="1"/>
      <c r="N9289" s="166"/>
    </row>
    <row r="9290" spans="1:14">
      <c r="A9290" s="166"/>
      <c r="H9290" s="1"/>
      <c r="N9290" s="166"/>
    </row>
    <row r="9291" spans="1:14">
      <c r="A9291" s="166"/>
      <c r="H9291" s="1"/>
      <c r="N9291" s="166"/>
    </row>
    <row r="9292" spans="1:14">
      <c r="A9292" s="166"/>
      <c r="H9292" s="1"/>
      <c r="N9292" s="166"/>
    </row>
    <row r="9293" spans="1:14">
      <c r="A9293" s="166"/>
      <c r="H9293" s="1"/>
      <c r="N9293" s="166"/>
    </row>
    <row r="9294" spans="1:14">
      <c r="A9294" s="166"/>
      <c r="H9294" s="1"/>
      <c r="N9294" s="166"/>
    </row>
    <row r="9295" spans="1:14">
      <c r="A9295" s="166"/>
      <c r="H9295" s="1"/>
      <c r="N9295" s="166"/>
    </row>
    <row r="9296" spans="1:14">
      <c r="A9296" s="166"/>
      <c r="H9296" s="1"/>
      <c r="N9296" s="166"/>
    </row>
    <row r="9297" spans="1:14">
      <c r="A9297" s="166"/>
      <c r="H9297" s="1"/>
      <c r="N9297" s="166"/>
    </row>
    <row r="9298" spans="1:14">
      <c r="A9298" s="166"/>
      <c r="H9298" s="1"/>
      <c r="N9298" s="166"/>
    </row>
    <row r="9299" spans="1:14">
      <c r="A9299" s="166"/>
      <c r="H9299" s="1"/>
      <c r="N9299" s="166"/>
    </row>
    <row r="9300" spans="1:14">
      <c r="A9300" s="166"/>
      <c r="H9300" s="1"/>
      <c r="N9300" s="166"/>
    </row>
    <row r="9301" spans="1:14">
      <c r="A9301" s="166"/>
      <c r="H9301" s="1"/>
      <c r="N9301" s="166"/>
    </row>
    <row r="9302" spans="1:14">
      <c r="A9302" s="166"/>
      <c r="H9302" s="1"/>
      <c r="N9302" s="166"/>
    </row>
    <row r="9303" spans="1:14">
      <c r="A9303" s="166"/>
      <c r="H9303" s="1"/>
      <c r="N9303" s="166"/>
    </row>
    <row r="9304" spans="1:14">
      <c r="A9304" s="166"/>
      <c r="H9304" s="1"/>
      <c r="N9304" s="166"/>
    </row>
    <row r="9305" spans="1:14">
      <c r="A9305" s="166"/>
      <c r="H9305" s="1"/>
      <c r="N9305" s="166"/>
    </row>
    <row r="9306" spans="1:14">
      <c r="A9306" s="166"/>
      <c r="H9306" s="1"/>
      <c r="N9306" s="166"/>
    </row>
    <row r="9307" spans="1:14">
      <c r="A9307" s="166"/>
      <c r="H9307" s="1"/>
      <c r="N9307" s="166"/>
    </row>
    <row r="9308" spans="1:14">
      <c r="A9308" s="166"/>
      <c r="H9308" s="1"/>
      <c r="N9308" s="166"/>
    </row>
    <row r="9309" spans="1:14">
      <c r="A9309" s="166"/>
      <c r="H9309" s="1"/>
      <c r="N9309" s="166"/>
    </row>
    <row r="9310" spans="1:14">
      <c r="A9310" s="166"/>
      <c r="H9310" s="1"/>
      <c r="N9310" s="166"/>
    </row>
    <row r="9311" spans="1:14">
      <c r="A9311" s="166"/>
      <c r="H9311" s="1"/>
      <c r="N9311" s="166"/>
    </row>
    <row r="9312" spans="1:14">
      <c r="A9312" s="166"/>
      <c r="H9312" s="1"/>
      <c r="N9312" s="166"/>
    </row>
    <row r="9313" spans="1:14">
      <c r="A9313" s="166"/>
      <c r="H9313" s="1"/>
      <c r="N9313" s="166"/>
    </row>
    <row r="9314" spans="1:14">
      <c r="A9314" s="166"/>
      <c r="H9314" s="1"/>
      <c r="N9314" s="166"/>
    </row>
    <row r="9315" spans="1:14">
      <c r="A9315" s="166"/>
      <c r="H9315" s="1"/>
      <c r="N9315" s="166"/>
    </row>
    <row r="9316" spans="1:14">
      <c r="A9316" s="166"/>
      <c r="H9316" s="1"/>
      <c r="N9316" s="166"/>
    </row>
    <row r="9317" spans="1:14">
      <c r="A9317" s="166"/>
      <c r="H9317" s="1"/>
      <c r="N9317" s="166"/>
    </row>
    <row r="9318" spans="1:14">
      <c r="A9318" s="166"/>
      <c r="H9318" s="1"/>
      <c r="N9318" s="166"/>
    </row>
    <row r="9319" spans="1:14">
      <c r="A9319" s="166"/>
      <c r="H9319" s="1"/>
      <c r="N9319" s="166"/>
    </row>
    <row r="9320" spans="1:14">
      <c r="A9320" s="166"/>
      <c r="H9320" s="1"/>
      <c r="N9320" s="166"/>
    </row>
    <row r="9321" spans="1:14">
      <c r="A9321" s="166"/>
      <c r="H9321" s="1"/>
      <c r="N9321" s="166"/>
    </row>
    <row r="9322" spans="1:14">
      <c r="A9322" s="166"/>
      <c r="H9322" s="1"/>
      <c r="N9322" s="166"/>
    </row>
    <row r="9323" spans="1:14">
      <c r="A9323" s="166"/>
      <c r="H9323" s="1"/>
      <c r="N9323" s="166"/>
    </row>
    <row r="9324" spans="1:14">
      <c r="A9324" s="166"/>
      <c r="H9324" s="1"/>
      <c r="N9324" s="166"/>
    </row>
    <row r="9325" spans="1:14">
      <c r="A9325" s="166"/>
      <c r="H9325" s="1"/>
      <c r="N9325" s="166"/>
    </row>
    <row r="9326" spans="1:14">
      <c r="A9326" s="166"/>
      <c r="H9326" s="1"/>
      <c r="N9326" s="166"/>
    </row>
    <row r="9327" spans="1:14">
      <c r="A9327" s="166"/>
      <c r="H9327" s="1"/>
      <c r="N9327" s="166"/>
    </row>
    <row r="9328" spans="1:14">
      <c r="A9328" s="166"/>
      <c r="H9328" s="1"/>
      <c r="N9328" s="166"/>
    </row>
    <row r="9329" spans="1:14">
      <c r="A9329" s="166"/>
      <c r="H9329" s="1"/>
      <c r="N9329" s="166"/>
    </row>
    <row r="9330" spans="1:14">
      <c r="A9330" s="166"/>
      <c r="H9330" s="1"/>
      <c r="N9330" s="166"/>
    </row>
    <row r="9331" spans="1:14">
      <c r="A9331" s="166"/>
      <c r="H9331" s="1"/>
      <c r="N9331" s="166"/>
    </row>
    <row r="9332" spans="1:14">
      <c r="A9332" s="166"/>
      <c r="H9332" s="1"/>
      <c r="N9332" s="166"/>
    </row>
    <row r="9333" spans="1:14">
      <c r="A9333" s="166"/>
      <c r="H9333" s="1"/>
      <c r="N9333" s="166"/>
    </row>
    <row r="9334" spans="1:14">
      <c r="A9334" s="166"/>
      <c r="H9334" s="1"/>
      <c r="N9334" s="166"/>
    </row>
    <row r="9335" spans="1:14">
      <c r="A9335" s="166"/>
      <c r="H9335" s="1"/>
      <c r="N9335" s="166"/>
    </row>
    <row r="9336" spans="1:14">
      <c r="A9336" s="166"/>
      <c r="H9336" s="1"/>
      <c r="N9336" s="166"/>
    </row>
    <row r="9337" spans="1:14">
      <c r="A9337" s="166"/>
      <c r="H9337" s="1"/>
      <c r="N9337" s="166"/>
    </row>
    <row r="9338" spans="1:14">
      <c r="A9338" s="166"/>
      <c r="H9338" s="1"/>
      <c r="N9338" s="166"/>
    </row>
    <row r="9339" spans="1:14">
      <c r="A9339" s="166"/>
      <c r="H9339" s="1"/>
      <c r="N9339" s="166"/>
    </row>
    <row r="9340" spans="1:14">
      <c r="A9340" s="166"/>
      <c r="H9340" s="1"/>
      <c r="N9340" s="166"/>
    </row>
    <row r="9341" spans="1:14">
      <c r="A9341" s="166"/>
      <c r="H9341" s="1"/>
      <c r="N9341" s="166"/>
    </row>
    <row r="9342" spans="1:14">
      <c r="A9342" s="166"/>
      <c r="H9342" s="1"/>
      <c r="N9342" s="166"/>
    </row>
    <row r="9343" spans="1:14">
      <c r="A9343" s="166"/>
      <c r="H9343" s="1"/>
      <c r="N9343" s="166"/>
    </row>
    <row r="9344" spans="1:14">
      <c r="A9344" s="166"/>
      <c r="H9344" s="1"/>
      <c r="N9344" s="166"/>
    </row>
    <row r="9345" spans="1:14">
      <c r="A9345" s="166"/>
      <c r="H9345" s="1"/>
      <c r="N9345" s="166"/>
    </row>
    <row r="9346" spans="1:14">
      <c r="A9346" s="166"/>
      <c r="H9346" s="1"/>
      <c r="N9346" s="166"/>
    </row>
    <row r="9347" spans="1:14">
      <c r="A9347" s="166"/>
      <c r="H9347" s="1"/>
      <c r="N9347" s="166"/>
    </row>
    <row r="9348" spans="1:14">
      <c r="A9348" s="166"/>
      <c r="H9348" s="1"/>
      <c r="N9348" s="166"/>
    </row>
    <row r="9349" spans="1:14">
      <c r="A9349" s="166"/>
      <c r="H9349" s="1"/>
      <c r="N9349" s="166"/>
    </row>
    <row r="9350" spans="1:14">
      <c r="A9350" s="166"/>
      <c r="H9350" s="1"/>
      <c r="N9350" s="166"/>
    </row>
    <row r="9351" spans="1:14">
      <c r="A9351" s="166"/>
      <c r="H9351" s="1"/>
      <c r="N9351" s="166"/>
    </row>
    <row r="9352" spans="1:14">
      <c r="A9352" s="166"/>
      <c r="H9352" s="1"/>
      <c r="N9352" s="166"/>
    </row>
    <row r="9353" spans="1:14">
      <c r="A9353" s="166"/>
      <c r="H9353" s="1"/>
      <c r="N9353" s="166"/>
    </row>
    <row r="9354" spans="1:14">
      <c r="A9354" s="166"/>
      <c r="H9354" s="1"/>
      <c r="N9354" s="166"/>
    </row>
    <row r="9355" spans="1:14">
      <c r="A9355" s="166"/>
      <c r="H9355" s="1"/>
      <c r="N9355" s="166"/>
    </row>
    <row r="9356" spans="1:14">
      <c r="A9356" s="166"/>
      <c r="H9356" s="1"/>
      <c r="N9356" s="166"/>
    </row>
    <row r="9357" spans="1:14">
      <c r="A9357" s="166"/>
      <c r="H9357" s="1"/>
      <c r="N9357" s="166"/>
    </row>
    <row r="9358" spans="1:14">
      <c r="A9358" s="166"/>
      <c r="H9358" s="1"/>
      <c r="N9358" s="166"/>
    </row>
    <row r="9359" spans="1:14">
      <c r="A9359" s="166"/>
      <c r="H9359" s="1"/>
      <c r="N9359" s="166"/>
    </row>
    <row r="9360" spans="1:14">
      <c r="A9360" s="166"/>
      <c r="H9360" s="1"/>
      <c r="N9360" s="166"/>
    </row>
    <row r="9361" spans="1:14">
      <c r="A9361" s="166"/>
      <c r="H9361" s="1"/>
      <c r="N9361" s="166"/>
    </row>
    <row r="9362" spans="1:14">
      <c r="A9362" s="166"/>
      <c r="H9362" s="1"/>
      <c r="N9362" s="166"/>
    </row>
    <row r="9363" spans="1:14">
      <c r="A9363" s="166"/>
      <c r="H9363" s="1"/>
      <c r="N9363" s="166"/>
    </row>
    <row r="9364" spans="1:14">
      <c r="A9364" s="166"/>
      <c r="H9364" s="1"/>
      <c r="N9364" s="166"/>
    </row>
    <row r="9365" spans="1:14">
      <c r="A9365" s="166"/>
      <c r="H9365" s="1"/>
      <c r="N9365" s="166"/>
    </row>
    <row r="9366" spans="1:14">
      <c r="A9366" s="166"/>
      <c r="H9366" s="1"/>
      <c r="N9366" s="166"/>
    </row>
    <row r="9367" spans="1:14">
      <c r="A9367" s="166"/>
      <c r="H9367" s="1"/>
      <c r="N9367" s="166"/>
    </row>
    <row r="9368" spans="1:14">
      <c r="A9368" s="166"/>
      <c r="H9368" s="1"/>
      <c r="N9368" s="166"/>
    </row>
    <row r="9369" spans="1:14">
      <c r="A9369" s="166"/>
      <c r="H9369" s="1"/>
      <c r="N9369" s="166"/>
    </row>
    <row r="9370" spans="1:14">
      <c r="A9370" s="166"/>
      <c r="H9370" s="1"/>
      <c r="N9370" s="166"/>
    </row>
    <row r="9371" spans="1:14">
      <c r="A9371" s="166"/>
      <c r="H9371" s="1"/>
      <c r="N9371" s="166"/>
    </row>
    <row r="9372" spans="1:14">
      <c r="A9372" s="166"/>
      <c r="H9372" s="1"/>
      <c r="N9372" s="166"/>
    </row>
    <row r="9373" spans="1:14">
      <c r="A9373" s="166"/>
      <c r="H9373" s="1"/>
      <c r="N9373" s="166"/>
    </row>
    <row r="9374" spans="1:14">
      <c r="A9374" s="166"/>
      <c r="H9374" s="1"/>
      <c r="N9374" s="166"/>
    </row>
    <row r="9375" spans="1:14">
      <c r="A9375" s="166"/>
      <c r="H9375" s="1"/>
      <c r="N9375" s="166"/>
    </row>
    <row r="9376" spans="1:14">
      <c r="A9376" s="166"/>
      <c r="H9376" s="1"/>
      <c r="N9376" s="166"/>
    </row>
    <row r="9377" spans="1:14">
      <c r="A9377" s="166"/>
      <c r="H9377" s="1"/>
      <c r="N9377" s="166"/>
    </row>
    <row r="9378" spans="1:14">
      <c r="A9378" s="166"/>
      <c r="H9378" s="1"/>
      <c r="N9378" s="166"/>
    </row>
    <row r="9379" spans="1:14">
      <c r="A9379" s="166"/>
      <c r="H9379" s="1"/>
      <c r="N9379" s="166"/>
    </row>
    <row r="9380" spans="1:14">
      <c r="A9380" s="166"/>
      <c r="H9380" s="1"/>
      <c r="N9380" s="166"/>
    </row>
    <row r="9381" spans="1:14">
      <c r="A9381" s="166"/>
      <c r="H9381" s="1"/>
      <c r="N9381" s="166"/>
    </row>
    <row r="9382" spans="1:14">
      <c r="A9382" s="166"/>
      <c r="H9382" s="1"/>
      <c r="N9382" s="166"/>
    </row>
    <row r="9383" spans="1:14">
      <c r="A9383" s="166"/>
      <c r="H9383" s="1"/>
      <c r="N9383" s="166"/>
    </row>
    <row r="9384" spans="1:14">
      <c r="A9384" s="166"/>
      <c r="H9384" s="1"/>
      <c r="N9384" s="166"/>
    </row>
    <row r="9385" spans="1:14">
      <c r="A9385" s="166"/>
      <c r="H9385" s="1"/>
      <c r="N9385" s="166"/>
    </row>
    <row r="9386" spans="1:14">
      <c r="A9386" s="166"/>
      <c r="H9386" s="1"/>
      <c r="N9386" s="166"/>
    </row>
    <row r="9387" spans="1:14">
      <c r="A9387" s="166"/>
      <c r="H9387" s="1"/>
      <c r="N9387" s="166"/>
    </row>
    <row r="9388" spans="1:14">
      <c r="A9388" s="166"/>
      <c r="H9388" s="1"/>
      <c r="N9388" s="166"/>
    </row>
    <row r="9389" spans="1:14">
      <c r="A9389" s="166"/>
      <c r="H9389" s="1"/>
      <c r="N9389" s="166"/>
    </row>
    <row r="9390" spans="1:14">
      <c r="A9390" s="166"/>
      <c r="H9390" s="1"/>
      <c r="N9390" s="166"/>
    </row>
    <row r="9391" spans="1:14">
      <c r="A9391" s="166"/>
      <c r="H9391" s="1"/>
      <c r="N9391" s="166"/>
    </row>
    <row r="9392" spans="1:14">
      <c r="A9392" s="166"/>
      <c r="H9392" s="1"/>
      <c r="N9392" s="166"/>
    </row>
    <row r="9393" spans="1:14">
      <c r="A9393" s="166"/>
      <c r="H9393" s="1"/>
      <c r="N9393" s="166"/>
    </row>
    <row r="9394" spans="1:14">
      <c r="A9394" s="166"/>
      <c r="H9394" s="1"/>
      <c r="N9394" s="166"/>
    </row>
    <row r="9395" spans="1:14">
      <c r="A9395" s="166"/>
      <c r="H9395" s="1"/>
      <c r="N9395" s="166"/>
    </row>
    <row r="9396" spans="1:14">
      <c r="A9396" s="166"/>
      <c r="H9396" s="1"/>
      <c r="N9396" s="166"/>
    </row>
    <row r="9397" spans="1:14">
      <c r="A9397" s="166"/>
      <c r="H9397" s="1"/>
      <c r="N9397" s="166"/>
    </row>
    <row r="9398" spans="1:14">
      <c r="A9398" s="166"/>
      <c r="H9398" s="1"/>
      <c r="N9398" s="166"/>
    </row>
    <row r="9399" spans="1:14">
      <c r="A9399" s="166"/>
      <c r="H9399" s="1"/>
      <c r="N9399" s="166"/>
    </row>
    <row r="9400" spans="1:14">
      <c r="A9400" s="166"/>
      <c r="H9400" s="1"/>
      <c r="N9400" s="166"/>
    </row>
    <row r="9401" spans="1:14">
      <c r="A9401" s="166"/>
      <c r="H9401" s="1"/>
      <c r="N9401" s="166"/>
    </row>
    <row r="9402" spans="1:14">
      <c r="A9402" s="166"/>
      <c r="H9402" s="1"/>
      <c r="N9402" s="166"/>
    </row>
    <row r="9403" spans="1:14">
      <c r="A9403" s="166"/>
      <c r="H9403" s="1"/>
      <c r="N9403" s="166"/>
    </row>
    <row r="9404" spans="1:14">
      <c r="A9404" s="166"/>
      <c r="H9404" s="1"/>
      <c r="N9404" s="166"/>
    </row>
    <row r="9405" spans="1:14">
      <c r="A9405" s="166"/>
      <c r="H9405" s="1"/>
      <c r="N9405" s="166"/>
    </row>
    <row r="9406" spans="1:14">
      <c r="A9406" s="166"/>
      <c r="H9406" s="1"/>
      <c r="N9406" s="166"/>
    </row>
    <row r="9407" spans="1:14">
      <c r="A9407" s="166"/>
      <c r="H9407" s="1"/>
      <c r="N9407" s="166"/>
    </row>
    <row r="9408" spans="1:14">
      <c r="A9408" s="166"/>
      <c r="H9408" s="1"/>
      <c r="N9408" s="166"/>
    </row>
    <row r="9409" spans="1:14">
      <c r="A9409" s="166"/>
      <c r="H9409" s="1"/>
      <c r="N9409" s="166"/>
    </row>
    <row r="9410" spans="1:14">
      <c r="A9410" s="166"/>
      <c r="H9410" s="1"/>
      <c r="N9410" s="166"/>
    </row>
    <row r="9411" spans="1:14">
      <c r="A9411" s="166"/>
      <c r="H9411" s="1"/>
      <c r="N9411" s="166"/>
    </row>
    <row r="9412" spans="1:14">
      <c r="A9412" s="166"/>
      <c r="H9412" s="1"/>
      <c r="N9412" s="166"/>
    </row>
    <row r="9413" spans="1:14">
      <c r="A9413" s="166"/>
      <c r="H9413" s="1"/>
      <c r="N9413" s="166"/>
    </row>
    <row r="9414" spans="1:14">
      <c r="A9414" s="166"/>
      <c r="H9414" s="1"/>
      <c r="N9414" s="166"/>
    </row>
    <row r="9415" spans="1:14">
      <c r="A9415" s="166"/>
      <c r="H9415" s="1"/>
      <c r="N9415" s="166"/>
    </row>
    <row r="9416" spans="1:14">
      <c r="A9416" s="166"/>
      <c r="H9416" s="1"/>
      <c r="N9416" s="166"/>
    </row>
    <row r="9417" spans="1:14">
      <c r="A9417" s="166"/>
      <c r="H9417" s="1"/>
      <c r="N9417" s="166"/>
    </row>
    <row r="9418" spans="1:14">
      <c r="A9418" s="166"/>
      <c r="H9418" s="1"/>
      <c r="N9418" s="166"/>
    </row>
    <row r="9419" spans="1:14">
      <c r="A9419" s="166"/>
      <c r="H9419" s="1"/>
      <c r="N9419" s="166"/>
    </row>
    <row r="9420" spans="1:14">
      <c r="A9420" s="166"/>
      <c r="H9420" s="1"/>
      <c r="N9420" s="166"/>
    </row>
    <row r="9421" spans="1:14">
      <c r="A9421" s="166"/>
      <c r="H9421" s="1"/>
      <c r="N9421" s="166"/>
    </row>
    <row r="9422" spans="1:14">
      <c r="A9422" s="166"/>
      <c r="H9422" s="1"/>
      <c r="N9422" s="166"/>
    </row>
    <row r="9423" spans="1:14">
      <c r="A9423" s="166"/>
      <c r="H9423" s="1"/>
      <c r="N9423" s="166"/>
    </row>
    <row r="9424" spans="1:14">
      <c r="A9424" s="166"/>
      <c r="H9424" s="1"/>
      <c r="N9424" s="166"/>
    </row>
    <row r="9425" spans="1:14">
      <c r="A9425" s="166"/>
      <c r="H9425" s="1"/>
      <c r="N9425" s="166"/>
    </row>
    <row r="9426" spans="1:14">
      <c r="A9426" s="166"/>
      <c r="H9426" s="1"/>
      <c r="N9426" s="166"/>
    </row>
    <row r="9427" spans="1:14">
      <c r="A9427" s="166"/>
      <c r="H9427" s="1"/>
      <c r="N9427" s="166"/>
    </row>
    <row r="9428" spans="1:14">
      <c r="A9428" s="166"/>
      <c r="H9428" s="1"/>
      <c r="N9428" s="166"/>
    </row>
    <row r="9429" spans="1:14">
      <c r="A9429" s="166"/>
      <c r="H9429" s="1"/>
      <c r="N9429" s="166"/>
    </row>
    <row r="9430" spans="1:14">
      <c r="A9430" s="166"/>
      <c r="H9430" s="1"/>
      <c r="N9430" s="166"/>
    </row>
    <row r="9431" spans="1:14">
      <c r="A9431" s="166"/>
      <c r="H9431" s="1"/>
      <c r="N9431" s="166"/>
    </row>
    <row r="9432" spans="1:14">
      <c r="A9432" s="166"/>
      <c r="H9432" s="1"/>
      <c r="N9432" s="166"/>
    </row>
    <row r="9433" spans="1:14">
      <c r="A9433" s="166"/>
      <c r="H9433" s="1"/>
      <c r="N9433" s="166"/>
    </row>
    <row r="9434" spans="1:14">
      <c r="A9434" s="166"/>
      <c r="H9434" s="1"/>
      <c r="N9434" s="166"/>
    </row>
    <row r="9435" spans="1:14">
      <c r="A9435" s="166"/>
      <c r="H9435" s="1"/>
      <c r="N9435" s="166"/>
    </row>
    <row r="9436" spans="1:14">
      <c r="A9436" s="166"/>
      <c r="H9436" s="1"/>
      <c r="N9436" s="166"/>
    </row>
    <row r="9437" spans="1:14">
      <c r="A9437" s="166"/>
      <c r="H9437" s="1"/>
      <c r="N9437" s="166"/>
    </row>
    <row r="9438" spans="1:14">
      <c r="A9438" s="166"/>
      <c r="H9438" s="1"/>
      <c r="N9438" s="166"/>
    </row>
    <row r="9439" spans="1:14">
      <c r="A9439" s="166"/>
      <c r="H9439" s="1"/>
      <c r="N9439" s="166"/>
    </row>
    <row r="9440" spans="1:14">
      <c r="A9440" s="166"/>
      <c r="H9440" s="1"/>
      <c r="N9440" s="166"/>
    </row>
    <row r="9441" spans="1:14">
      <c r="A9441" s="166"/>
      <c r="H9441" s="1"/>
      <c r="N9441" s="166"/>
    </row>
    <row r="9442" spans="1:14">
      <c r="A9442" s="166"/>
      <c r="H9442" s="1"/>
      <c r="N9442" s="166"/>
    </row>
    <row r="9443" spans="1:14">
      <c r="A9443" s="166"/>
      <c r="H9443" s="1"/>
      <c r="N9443" s="166"/>
    </row>
    <row r="9444" spans="1:14">
      <c r="A9444" s="166"/>
      <c r="H9444" s="1"/>
      <c r="N9444" s="166"/>
    </row>
    <row r="9445" spans="1:14">
      <c r="A9445" s="166"/>
      <c r="H9445" s="1"/>
      <c r="N9445" s="166"/>
    </row>
    <row r="9446" spans="1:14">
      <c r="A9446" s="166"/>
      <c r="H9446" s="1"/>
      <c r="N9446" s="166"/>
    </row>
    <row r="9447" spans="1:14">
      <c r="A9447" s="166"/>
      <c r="H9447" s="1"/>
      <c r="N9447" s="166"/>
    </row>
    <row r="9448" spans="1:14">
      <c r="A9448" s="166"/>
      <c r="H9448" s="1"/>
      <c r="N9448" s="166"/>
    </row>
    <row r="9449" spans="1:14">
      <c r="A9449" s="166"/>
      <c r="H9449" s="1"/>
      <c r="N9449" s="166"/>
    </row>
    <row r="9450" spans="1:14">
      <c r="A9450" s="166"/>
      <c r="H9450" s="1"/>
      <c r="N9450" s="166"/>
    </row>
    <row r="9451" spans="1:14">
      <c r="A9451" s="166"/>
      <c r="H9451" s="1"/>
      <c r="N9451" s="166"/>
    </row>
    <row r="9452" spans="1:14">
      <c r="A9452" s="166"/>
      <c r="H9452" s="1"/>
      <c r="N9452" s="166"/>
    </row>
    <row r="9453" spans="1:14">
      <c r="A9453" s="166"/>
      <c r="H9453" s="1"/>
      <c r="N9453" s="166"/>
    </row>
    <row r="9454" spans="1:14">
      <c r="A9454" s="166"/>
      <c r="H9454" s="1"/>
      <c r="N9454" s="166"/>
    </row>
    <row r="9455" spans="1:14">
      <c r="A9455" s="166"/>
      <c r="H9455" s="1"/>
      <c r="N9455" s="166"/>
    </row>
    <row r="9456" spans="1:14">
      <c r="A9456" s="166"/>
      <c r="H9456" s="1"/>
      <c r="N9456" s="166"/>
    </row>
    <row r="9457" spans="1:14">
      <c r="A9457" s="166"/>
      <c r="H9457" s="1"/>
      <c r="N9457" s="166"/>
    </row>
    <row r="9458" spans="1:14">
      <c r="A9458" s="166"/>
      <c r="H9458" s="1"/>
      <c r="N9458" s="166"/>
    </row>
    <row r="9459" spans="1:14">
      <c r="A9459" s="166"/>
      <c r="H9459" s="1"/>
      <c r="N9459" s="166"/>
    </row>
    <row r="9460" spans="1:14">
      <c r="A9460" s="166"/>
      <c r="H9460" s="1"/>
      <c r="N9460" s="166"/>
    </row>
    <row r="9461" spans="1:14">
      <c r="A9461" s="166"/>
      <c r="H9461" s="1"/>
      <c r="N9461" s="166"/>
    </row>
    <row r="9462" spans="1:14">
      <c r="A9462" s="166"/>
      <c r="H9462" s="1"/>
      <c r="N9462" s="166"/>
    </row>
    <row r="9463" spans="1:14">
      <c r="A9463" s="166"/>
      <c r="H9463" s="1"/>
      <c r="N9463" s="166"/>
    </row>
    <row r="9464" spans="1:14">
      <c r="A9464" s="166"/>
      <c r="H9464" s="1"/>
      <c r="N9464" s="166"/>
    </row>
    <row r="9465" spans="1:14">
      <c r="A9465" s="166"/>
      <c r="H9465" s="1"/>
      <c r="N9465" s="166"/>
    </row>
    <row r="9466" spans="1:14">
      <c r="A9466" s="166"/>
      <c r="H9466" s="1"/>
      <c r="N9466" s="166"/>
    </row>
    <row r="9467" spans="1:14">
      <c r="A9467" s="166"/>
      <c r="H9467" s="1"/>
      <c r="N9467" s="166"/>
    </row>
    <row r="9468" spans="1:14">
      <c r="A9468" s="166"/>
      <c r="H9468" s="1"/>
      <c r="N9468" s="166"/>
    </row>
    <row r="9469" spans="1:14">
      <c r="A9469" s="166"/>
      <c r="H9469" s="1"/>
      <c r="N9469" s="166"/>
    </row>
    <row r="9470" spans="1:14">
      <c r="A9470" s="166"/>
      <c r="H9470" s="1"/>
      <c r="N9470" s="166"/>
    </row>
    <row r="9471" spans="1:14">
      <c r="A9471" s="166"/>
      <c r="H9471" s="1"/>
      <c r="N9471" s="166"/>
    </row>
    <row r="9472" spans="1:14">
      <c r="A9472" s="166"/>
      <c r="H9472" s="1"/>
      <c r="N9472" s="166"/>
    </row>
    <row r="9473" spans="1:14">
      <c r="A9473" s="166"/>
      <c r="H9473" s="1"/>
      <c r="N9473" s="166"/>
    </row>
    <row r="9474" spans="1:14">
      <c r="A9474" s="166"/>
      <c r="H9474" s="1"/>
      <c r="N9474" s="166"/>
    </row>
    <row r="9475" spans="1:14">
      <c r="A9475" s="166"/>
      <c r="H9475" s="1"/>
      <c r="N9475" s="166"/>
    </row>
    <row r="9476" spans="1:14">
      <c r="A9476" s="166"/>
      <c r="H9476" s="1"/>
      <c r="N9476" s="166"/>
    </row>
    <row r="9477" spans="1:14">
      <c r="A9477" s="166"/>
      <c r="H9477" s="1"/>
      <c r="N9477" s="166"/>
    </row>
    <row r="9478" spans="1:14">
      <c r="A9478" s="166"/>
      <c r="H9478" s="1"/>
      <c r="N9478" s="166"/>
    </row>
    <row r="9479" spans="1:14">
      <c r="A9479" s="166"/>
      <c r="H9479" s="1"/>
      <c r="N9479" s="166"/>
    </row>
    <row r="9480" spans="1:14">
      <c r="A9480" s="166"/>
      <c r="H9480" s="1"/>
      <c r="N9480" s="166"/>
    </row>
    <row r="9481" spans="1:14">
      <c r="A9481" s="166"/>
      <c r="H9481" s="1"/>
      <c r="N9481" s="166"/>
    </row>
    <row r="9482" spans="1:14">
      <c r="A9482" s="166"/>
      <c r="H9482" s="1"/>
      <c r="N9482" s="166"/>
    </row>
    <row r="9483" spans="1:14">
      <c r="A9483" s="166"/>
      <c r="H9483" s="1"/>
      <c r="N9483" s="166"/>
    </row>
    <row r="9484" spans="1:14">
      <c r="A9484" s="166"/>
      <c r="H9484" s="1"/>
      <c r="N9484" s="166"/>
    </row>
    <row r="9485" spans="1:14">
      <c r="A9485" s="166"/>
      <c r="H9485" s="1"/>
      <c r="N9485" s="166"/>
    </row>
    <row r="9486" spans="1:14">
      <c r="A9486" s="166"/>
      <c r="H9486" s="1"/>
      <c r="N9486" s="166"/>
    </row>
    <row r="9487" spans="1:14">
      <c r="A9487" s="166"/>
      <c r="H9487" s="1"/>
      <c r="N9487" s="166"/>
    </row>
    <row r="9488" spans="1:14">
      <c r="A9488" s="166"/>
      <c r="H9488" s="1"/>
      <c r="N9488" s="166"/>
    </row>
    <row r="9489" spans="1:14">
      <c r="A9489" s="166"/>
      <c r="H9489" s="1"/>
      <c r="N9489" s="166"/>
    </row>
    <row r="9490" spans="1:14">
      <c r="A9490" s="166"/>
      <c r="H9490" s="1"/>
      <c r="N9490" s="166"/>
    </row>
    <row r="9491" spans="1:14">
      <c r="A9491" s="166"/>
      <c r="H9491" s="1"/>
      <c r="N9491" s="166"/>
    </row>
    <row r="9492" spans="1:14">
      <c r="A9492" s="166"/>
      <c r="H9492" s="1"/>
      <c r="N9492" s="166"/>
    </row>
    <row r="9493" spans="1:14">
      <c r="A9493" s="166"/>
      <c r="H9493" s="1"/>
      <c r="N9493" s="166"/>
    </row>
    <row r="9494" spans="1:14">
      <c r="A9494" s="166"/>
      <c r="H9494" s="1"/>
      <c r="N9494" s="166"/>
    </row>
    <row r="9495" spans="1:14">
      <c r="A9495" s="166"/>
      <c r="H9495" s="1"/>
      <c r="N9495" s="166"/>
    </row>
    <row r="9496" spans="1:14">
      <c r="A9496" s="166"/>
      <c r="H9496" s="1"/>
      <c r="N9496" s="166"/>
    </row>
    <row r="9497" spans="1:14">
      <c r="A9497" s="166"/>
      <c r="H9497" s="1"/>
      <c r="N9497" s="166"/>
    </row>
    <row r="9498" spans="1:14">
      <c r="A9498" s="166"/>
      <c r="H9498" s="1"/>
      <c r="N9498" s="166"/>
    </row>
    <row r="9499" spans="1:14">
      <c r="A9499" s="166"/>
      <c r="H9499" s="1"/>
      <c r="N9499" s="166"/>
    </row>
    <row r="9500" spans="1:14">
      <c r="A9500" s="166"/>
      <c r="H9500" s="1"/>
      <c r="N9500" s="166"/>
    </row>
    <row r="9501" spans="1:14">
      <c r="A9501" s="166"/>
      <c r="H9501" s="1"/>
      <c r="N9501" s="166"/>
    </row>
    <row r="9502" spans="1:14">
      <c r="A9502" s="166"/>
      <c r="H9502" s="1"/>
      <c r="N9502" s="166"/>
    </row>
    <row r="9503" spans="1:14">
      <c r="A9503" s="166"/>
      <c r="H9503" s="1"/>
      <c r="N9503" s="166"/>
    </row>
    <row r="9504" spans="1:14">
      <c r="A9504" s="166"/>
      <c r="H9504" s="1"/>
      <c r="N9504" s="166"/>
    </row>
    <row r="9505" spans="1:14">
      <c r="A9505" s="166"/>
      <c r="H9505" s="1"/>
      <c r="N9505" s="166"/>
    </row>
    <row r="9506" spans="1:14">
      <c r="A9506" s="166"/>
      <c r="H9506" s="1"/>
      <c r="N9506" s="166"/>
    </row>
    <row r="9507" spans="1:14">
      <c r="A9507" s="166"/>
      <c r="H9507" s="1"/>
      <c r="N9507" s="166"/>
    </row>
    <row r="9508" spans="1:14">
      <c r="A9508" s="166"/>
      <c r="H9508" s="1"/>
      <c r="N9508" s="166"/>
    </row>
    <row r="9509" spans="1:14">
      <c r="A9509" s="166"/>
      <c r="H9509" s="1"/>
      <c r="N9509" s="166"/>
    </row>
    <row r="9510" spans="1:14">
      <c r="A9510" s="166"/>
      <c r="H9510" s="1"/>
      <c r="N9510" s="166"/>
    </row>
    <row r="9511" spans="1:14">
      <c r="A9511" s="166"/>
      <c r="H9511" s="1"/>
      <c r="N9511" s="166"/>
    </row>
    <row r="9512" spans="1:14">
      <c r="A9512" s="166"/>
      <c r="H9512" s="1"/>
      <c r="N9512" s="166"/>
    </row>
    <row r="9513" spans="1:14">
      <c r="A9513" s="166"/>
      <c r="H9513" s="1"/>
      <c r="N9513" s="166"/>
    </row>
    <row r="9514" spans="1:14">
      <c r="A9514" s="166"/>
      <c r="H9514" s="1"/>
      <c r="N9514" s="166"/>
    </row>
    <row r="9515" spans="1:14">
      <c r="A9515" s="166"/>
      <c r="H9515" s="1"/>
      <c r="N9515" s="166"/>
    </row>
    <row r="9516" spans="1:14">
      <c r="A9516" s="166"/>
      <c r="H9516" s="1"/>
      <c r="N9516" s="166"/>
    </row>
    <row r="9517" spans="1:14">
      <c r="A9517" s="166"/>
      <c r="H9517" s="1"/>
      <c r="N9517" s="166"/>
    </row>
    <row r="9518" spans="1:14">
      <c r="A9518" s="166"/>
      <c r="H9518" s="1"/>
      <c r="N9518" s="166"/>
    </row>
    <row r="9519" spans="1:14">
      <c r="A9519" s="166"/>
      <c r="H9519" s="1"/>
      <c r="N9519" s="166"/>
    </row>
    <row r="9520" spans="1:14">
      <c r="A9520" s="166"/>
      <c r="H9520" s="1"/>
      <c r="N9520" s="166"/>
    </row>
    <row r="9521" spans="1:14">
      <c r="A9521" s="166"/>
      <c r="H9521" s="1"/>
      <c r="N9521" s="166"/>
    </row>
    <row r="9522" spans="1:14">
      <c r="A9522" s="166"/>
      <c r="H9522" s="1"/>
      <c r="N9522" s="166"/>
    </row>
    <row r="9523" spans="1:14">
      <c r="A9523" s="166"/>
      <c r="H9523" s="1"/>
      <c r="N9523" s="166"/>
    </row>
    <row r="9524" spans="1:14">
      <c r="A9524" s="166"/>
      <c r="H9524" s="1"/>
      <c r="N9524" s="166"/>
    </row>
    <row r="9525" spans="1:14">
      <c r="A9525" s="166"/>
      <c r="H9525" s="1"/>
      <c r="N9525" s="166"/>
    </row>
    <row r="9526" spans="1:14">
      <c r="A9526" s="166"/>
      <c r="H9526" s="1"/>
      <c r="N9526" s="166"/>
    </row>
    <row r="9527" spans="1:14">
      <c r="A9527" s="166"/>
      <c r="H9527" s="1"/>
      <c r="N9527" s="166"/>
    </row>
    <row r="9528" spans="1:14">
      <c r="A9528" s="166"/>
      <c r="H9528" s="1"/>
      <c r="N9528" s="166"/>
    </row>
    <row r="9529" spans="1:14">
      <c r="A9529" s="166"/>
      <c r="H9529" s="1"/>
      <c r="N9529" s="166"/>
    </row>
    <row r="9530" spans="1:14">
      <c r="A9530" s="166"/>
      <c r="H9530" s="1"/>
      <c r="N9530" s="166"/>
    </row>
    <row r="9531" spans="1:14">
      <c r="A9531" s="166"/>
      <c r="H9531" s="1"/>
      <c r="N9531" s="166"/>
    </row>
    <row r="9532" spans="1:14">
      <c r="A9532" s="166"/>
      <c r="H9532" s="1"/>
      <c r="N9532" s="166"/>
    </row>
    <row r="9533" spans="1:14">
      <c r="A9533" s="166"/>
      <c r="H9533" s="1"/>
      <c r="N9533" s="166"/>
    </row>
    <row r="9534" spans="1:14">
      <c r="A9534" s="166"/>
      <c r="H9534" s="1"/>
      <c r="N9534" s="166"/>
    </row>
    <row r="9535" spans="1:14">
      <c r="A9535" s="166"/>
      <c r="H9535" s="1"/>
      <c r="N9535" s="166"/>
    </row>
    <row r="9536" spans="1:14">
      <c r="A9536" s="166"/>
      <c r="H9536" s="1"/>
      <c r="N9536" s="166"/>
    </row>
    <row r="9537" spans="1:14">
      <c r="A9537" s="166"/>
      <c r="H9537" s="1"/>
      <c r="N9537" s="166"/>
    </row>
    <row r="9538" spans="1:14">
      <c r="A9538" s="166"/>
      <c r="H9538" s="1"/>
      <c r="N9538" s="166"/>
    </row>
    <row r="9539" spans="1:14">
      <c r="A9539" s="166"/>
      <c r="H9539" s="1"/>
      <c r="N9539" s="166"/>
    </row>
    <row r="9540" spans="1:14">
      <c r="A9540" s="166"/>
      <c r="H9540" s="1"/>
      <c r="N9540" s="166"/>
    </row>
    <row r="9541" spans="1:14">
      <c r="A9541" s="166"/>
      <c r="H9541" s="1"/>
      <c r="N9541" s="166"/>
    </row>
    <row r="9542" spans="1:14">
      <c r="A9542" s="166"/>
      <c r="H9542" s="1"/>
      <c r="N9542" s="166"/>
    </row>
    <row r="9543" spans="1:14">
      <c r="A9543" s="166"/>
      <c r="H9543" s="1"/>
      <c r="N9543" s="166"/>
    </row>
    <row r="9544" spans="1:14">
      <c r="A9544" s="166"/>
      <c r="H9544" s="1"/>
      <c r="N9544" s="166"/>
    </row>
    <row r="9545" spans="1:14">
      <c r="A9545" s="166"/>
      <c r="H9545" s="1"/>
      <c r="N9545" s="166"/>
    </row>
    <row r="9546" spans="1:14">
      <c r="A9546" s="166"/>
      <c r="H9546" s="1"/>
      <c r="N9546" s="166"/>
    </row>
    <row r="9547" spans="1:14">
      <c r="A9547" s="166"/>
      <c r="H9547" s="1"/>
      <c r="N9547" s="166"/>
    </row>
    <row r="9548" spans="1:14">
      <c r="A9548" s="166"/>
      <c r="H9548" s="1"/>
      <c r="N9548" s="166"/>
    </row>
    <row r="9549" spans="1:14">
      <c r="A9549" s="166"/>
      <c r="H9549" s="1"/>
      <c r="N9549" s="166"/>
    </row>
    <row r="9550" spans="1:14">
      <c r="A9550" s="166"/>
      <c r="H9550" s="1"/>
      <c r="N9550" s="166"/>
    </row>
    <row r="9551" spans="1:14">
      <c r="A9551" s="166"/>
      <c r="H9551" s="1"/>
      <c r="N9551" s="166"/>
    </row>
    <row r="9552" spans="1:14">
      <c r="A9552" s="166"/>
      <c r="H9552" s="1"/>
      <c r="N9552" s="166"/>
    </row>
    <row r="9553" spans="1:14">
      <c r="A9553" s="166"/>
      <c r="H9553" s="1"/>
      <c r="N9553" s="166"/>
    </row>
    <row r="9554" spans="1:14">
      <c r="A9554" s="166"/>
      <c r="H9554" s="1"/>
      <c r="N9554" s="166"/>
    </row>
    <row r="9555" spans="1:14">
      <c r="A9555" s="166"/>
      <c r="H9555" s="1"/>
      <c r="N9555" s="166"/>
    </row>
    <row r="9556" spans="1:14">
      <c r="A9556" s="166"/>
      <c r="H9556" s="1"/>
      <c r="N9556" s="166"/>
    </row>
    <row r="9557" spans="1:14">
      <c r="A9557" s="166"/>
      <c r="H9557" s="1"/>
      <c r="N9557" s="166"/>
    </row>
    <row r="9558" spans="1:14">
      <c r="A9558" s="166"/>
      <c r="H9558" s="1"/>
      <c r="N9558" s="166"/>
    </row>
    <row r="9559" spans="1:14">
      <c r="A9559" s="166"/>
      <c r="H9559" s="1"/>
      <c r="N9559" s="166"/>
    </row>
    <row r="9560" spans="1:14">
      <c r="A9560" s="166"/>
      <c r="H9560" s="1"/>
      <c r="N9560" s="166"/>
    </row>
    <row r="9561" spans="1:14">
      <c r="A9561" s="166"/>
      <c r="H9561" s="1"/>
      <c r="N9561" s="166"/>
    </row>
    <row r="9562" spans="1:14">
      <c r="A9562" s="166"/>
      <c r="H9562" s="1"/>
      <c r="N9562" s="166"/>
    </row>
    <row r="9563" spans="1:14">
      <c r="A9563" s="166"/>
      <c r="H9563" s="1"/>
      <c r="N9563" s="166"/>
    </row>
    <row r="9564" spans="1:14">
      <c r="A9564" s="166"/>
      <c r="H9564" s="1"/>
      <c r="N9564" s="166"/>
    </row>
    <row r="9565" spans="1:14">
      <c r="A9565" s="166"/>
      <c r="H9565" s="1"/>
      <c r="N9565" s="166"/>
    </row>
    <row r="9566" spans="1:14">
      <c r="A9566" s="166"/>
      <c r="H9566" s="1"/>
      <c r="N9566" s="166"/>
    </row>
    <row r="9567" spans="1:14">
      <c r="A9567" s="166"/>
      <c r="H9567" s="1"/>
      <c r="N9567" s="166"/>
    </row>
    <row r="9568" spans="1:14">
      <c r="A9568" s="166"/>
      <c r="H9568" s="1"/>
      <c r="N9568" s="166"/>
    </row>
    <row r="9569" spans="1:14">
      <c r="A9569" s="166"/>
      <c r="H9569" s="1"/>
      <c r="N9569" s="166"/>
    </row>
    <row r="9570" spans="1:14">
      <c r="A9570" s="166"/>
      <c r="H9570" s="1"/>
      <c r="N9570" s="166"/>
    </row>
    <row r="9571" spans="1:14">
      <c r="A9571" s="166"/>
      <c r="H9571" s="1"/>
      <c r="N9571" s="166"/>
    </row>
    <row r="9572" spans="1:14">
      <c r="A9572" s="166"/>
      <c r="H9572" s="1"/>
      <c r="N9572" s="166"/>
    </row>
    <row r="9573" spans="1:14">
      <c r="A9573" s="166"/>
      <c r="H9573" s="1"/>
      <c r="N9573" s="166"/>
    </row>
    <row r="9574" spans="1:14">
      <c r="A9574" s="166"/>
      <c r="H9574" s="1"/>
      <c r="N9574" s="166"/>
    </row>
    <row r="9575" spans="1:14">
      <c r="A9575" s="166"/>
      <c r="H9575" s="1"/>
      <c r="N9575" s="166"/>
    </row>
    <row r="9576" spans="1:14">
      <c r="A9576" s="166"/>
      <c r="H9576" s="1"/>
      <c r="N9576" s="166"/>
    </row>
    <row r="9577" spans="1:14">
      <c r="A9577" s="166"/>
      <c r="H9577" s="1"/>
      <c r="N9577" s="166"/>
    </row>
    <row r="9578" spans="1:14">
      <c r="A9578" s="166"/>
      <c r="H9578" s="1"/>
      <c r="N9578" s="166"/>
    </row>
    <row r="9579" spans="1:14">
      <c r="A9579" s="166"/>
      <c r="H9579" s="1"/>
      <c r="N9579" s="166"/>
    </row>
    <row r="9580" spans="1:14">
      <c r="A9580" s="166"/>
      <c r="H9580" s="1"/>
      <c r="N9580" s="166"/>
    </row>
    <row r="9581" spans="1:14">
      <c r="A9581" s="166"/>
      <c r="H9581" s="1"/>
      <c r="N9581" s="166"/>
    </row>
    <row r="9582" spans="1:14">
      <c r="A9582" s="166"/>
      <c r="H9582" s="1"/>
      <c r="N9582" s="166"/>
    </row>
    <row r="9583" spans="1:14">
      <c r="A9583" s="166"/>
      <c r="H9583" s="1"/>
      <c r="N9583" s="166"/>
    </row>
    <row r="9584" spans="1:14">
      <c r="A9584" s="166"/>
      <c r="H9584" s="1"/>
      <c r="N9584" s="166"/>
    </row>
    <row r="9585" spans="1:14">
      <c r="A9585" s="166"/>
      <c r="H9585" s="1"/>
      <c r="N9585" s="166"/>
    </row>
    <row r="9586" spans="1:14">
      <c r="A9586" s="166"/>
      <c r="H9586" s="1"/>
      <c r="N9586" s="166"/>
    </row>
    <row r="9587" spans="1:14">
      <c r="A9587" s="166"/>
      <c r="H9587" s="1"/>
      <c r="N9587" s="166"/>
    </row>
    <row r="9588" spans="1:14">
      <c r="A9588" s="166"/>
      <c r="H9588" s="1"/>
      <c r="N9588" s="166"/>
    </row>
    <row r="9589" spans="1:14">
      <c r="A9589" s="166"/>
      <c r="H9589" s="1"/>
      <c r="N9589" s="166"/>
    </row>
    <row r="9590" spans="1:14">
      <c r="A9590" s="166"/>
      <c r="H9590" s="1"/>
      <c r="N9590" s="166"/>
    </row>
    <row r="9591" spans="1:14">
      <c r="A9591" s="166"/>
      <c r="H9591" s="1"/>
      <c r="N9591" s="166"/>
    </row>
    <row r="9592" spans="1:14">
      <c r="A9592" s="166"/>
      <c r="H9592" s="1"/>
      <c r="N9592" s="166"/>
    </row>
    <row r="9593" spans="1:14">
      <c r="A9593" s="166"/>
      <c r="H9593" s="1"/>
      <c r="N9593" s="166"/>
    </row>
    <row r="9594" spans="1:14">
      <c r="A9594" s="166"/>
      <c r="H9594" s="1"/>
      <c r="N9594" s="166"/>
    </row>
    <row r="9595" spans="1:14">
      <c r="A9595" s="166"/>
      <c r="H9595" s="1"/>
      <c r="N9595" s="166"/>
    </row>
    <row r="9596" spans="1:14">
      <c r="A9596" s="166"/>
      <c r="H9596" s="1"/>
      <c r="N9596" s="166"/>
    </row>
    <row r="9597" spans="1:14">
      <c r="A9597" s="166"/>
      <c r="H9597" s="1"/>
      <c r="N9597" s="166"/>
    </row>
    <row r="9598" spans="1:14">
      <c r="A9598" s="166"/>
      <c r="H9598" s="1"/>
      <c r="N9598" s="166"/>
    </row>
    <row r="9599" spans="1:14">
      <c r="A9599" s="166"/>
      <c r="H9599" s="1"/>
      <c r="N9599" s="166"/>
    </row>
    <row r="9600" spans="1:14">
      <c r="A9600" s="166"/>
      <c r="H9600" s="1"/>
      <c r="N9600" s="166"/>
    </row>
    <row r="9601" spans="1:14">
      <c r="A9601" s="166"/>
      <c r="H9601" s="1"/>
      <c r="N9601" s="166"/>
    </row>
    <row r="9602" spans="1:14">
      <c r="A9602" s="166"/>
      <c r="H9602" s="1"/>
      <c r="N9602" s="166"/>
    </row>
    <row r="9603" spans="1:14">
      <c r="A9603" s="166"/>
      <c r="H9603" s="1"/>
      <c r="N9603" s="166"/>
    </row>
    <row r="9604" spans="1:14">
      <c r="A9604" s="166"/>
      <c r="H9604" s="1"/>
      <c r="N9604" s="166"/>
    </row>
    <row r="9605" spans="1:14">
      <c r="A9605" s="166"/>
      <c r="H9605" s="1"/>
      <c r="N9605" s="166"/>
    </row>
    <row r="9606" spans="1:14">
      <c r="A9606" s="166"/>
      <c r="H9606" s="1"/>
      <c r="N9606" s="166"/>
    </row>
    <row r="9607" spans="1:14">
      <c r="A9607" s="166"/>
      <c r="H9607" s="1"/>
      <c r="N9607" s="166"/>
    </row>
    <row r="9608" spans="1:14">
      <c r="A9608" s="166"/>
      <c r="H9608" s="1"/>
      <c r="N9608" s="166"/>
    </row>
    <row r="9609" spans="1:14">
      <c r="A9609" s="166"/>
      <c r="H9609" s="1"/>
      <c r="N9609" s="166"/>
    </row>
    <row r="9610" spans="1:14">
      <c r="A9610" s="166"/>
      <c r="H9610" s="1"/>
      <c r="N9610" s="166"/>
    </row>
    <row r="9611" spans="1:14">
      <c r="A9611" s="166"/>
      <c r="H9611" s="1"/>
      <c r="N9611" s="166"/>
    </row>
    <row r="9612" spans="1:14">
      <c r="A9612" s="166"/>
      <c r="H9612" s="1"/>
      <c r="N9612" s="166"/>
    </row>
    <row r="9613" spans="1:14">
      <c r="A9613" s="166"/>
      <c r="H9613" s="1"/>
      <c r="N9613" s="166"/>
    </row>
    <row r="9614" spans="1:14">
      <c r="A9614" s="166"/>
      <c r="H9614" s="1"/>
      <c r="N9614" s="166"/>
    </row>
    <row r="9615" spans="1:14">
      <c r="A9615" s="166"/>
      <c r="H9615" s="1"/>
      <c r="N9615" s="166"/>
    </row>
    <row r="9616" spans="1:14">
      <c r="A9616" s="166"/>
      <c r="H9616" s="1"/>
      <c r="N9616" s="166"/>
    </row>
    <row r="9617" spans="1:14">
      <c r="A9617" s="166"/>
      <c r="H9617" s="1"/>
      <c r="N9617" s="166"/>
    </row>
    <row r="9618" spans="1:14">
      <c r="A9618" s="166"/>
      <c r="H9618" s="1"/>
      <c r="N9618" s="166"/>
    </row>
    <row r="9619" spans="1:14">
      <c r="A9619" s="166"/>
      <c r="H9619" s="1"/>
      <c r="N9619" s="166"/>
    </row>
    <row r="9620" spans="1:14">
      <c r="A9620" s="166"/>
      <c r="H9620" s="1"/>
      <c r="N9620" s="166"/>
    </row>
    <row r="9621" spans="1:14">
      <c r="A9621" s="166"/>
      <c r="H9621" s="1"/>
      <c r="N9621" s="166"/>
    </row>
    <row r="9622" spans="1:14">
      <c r="A9622" s="166"/>
      <c r="H9622" s="1"/>
      <c r="N9622" s="166"/>
    </row>
    <row r="9623" spans="1:14">
      <c r="A9623" s="166"/>
      <c r="H9623" s="1"/>
      <c r="N9623" s="166"/>
    </row>
    <row r="9624" spans="1:14">
      <c r="A9624" s="166"/>
      <c r="H9624" s="1"/>
      <c r="N9624" s="166"/>
    </row>
    <row r="9625" spans="1:14">
      <c r="A9625" s="166"/>
      <c r="H9625" s="1"/>
      <c r="N9625" s="166"/>
    </row>
    <row r="9626" spans="1:14">
      <c r="A9626" s="166"/>
      <c r="H9626" s="1"/>
      <c r="N9626" s="166"/>
    </row>
    <row r="9627" spans="1:14">
      <c r="A9627" s="166"/>
      <c r="H9627" s="1"/>
      <c r="N9627" s="166"/>
    </row>
    <row r="9628" spans="1:14">
      <c r="A9628" s="166"/>
      <c r="H9628" s="1"/>
      <c r="N9628" s="166"/>
    </row>
    <row r="9629" spans="1:14">
      <c r="A9629" s="166"/>
      <c r="H9629" s="1"/>
      <c r="N9629" s="166"/>
    </row>
    <row r="9630" spans="1:14">
      <c r="A9630" s="166"/>
      <c r="H9630" s="1"/>
      <c r="N9630" s="166"/>
    </row>
    <row r="9631" spans="1:14">
      <c r="A9631" s="166"/>
      <c r="H9631" s="1"/>
      <c r="N9631" s="166"/>
    </row>
    <row r="9632" spans="1:14">
      <c r="A9632" s="166"/>
      <c r="H9632" s="1"/>
      <c r="N9632" s="166"/>
    </row>
    <row r="9633" spans="1:14">
      <c r="A9633" s="166"/>
      <c r="H9633" s="1"/>
      <c r="N9633" s="166"/>
    </row>
    <row r="9634" spans="1:14">
      <c r="A9634" s="166"/>
      <c r="H9634" s="1"/>
      <c r="N9634" s="166"/>
    </row>
    <row r="9635" spans="1:14">
      <c r="A9635" s="166"/>
      <c r="H9635" s="1"/>
      <c r="N9635" s="166"/>
    </row>
    <row r="9636" spans="1:14">
      <c r="A9636" s="166"/>
      <c r="H9636" s="1"/>
      <c r="N9636" s="166"/>
    </row>
    <row r="9637" spans="1:14">
      <c r="A9637" s="166"/>
      <c r="H9637" s="1"/>
      <c r="N9637" s="166"/>
    </row>
    <row r="9638" spans="1:14">
      <c r="A9638" s="166"/>
      <c r="H9638" s="1"/>
      <c r="N9638" s="166"/>
    </row>
    <row r="9639" spans="1:14">
      <c r="A9639" s="166"/>
      <c r="H9639" s="1"/>
      <c r="N9639" s="166"/>
    </row>
    <row r="9640" spans="1:14">
      <c r="A9640" s="166"/>
      <c r="H9640" s="1"/>
      <c r="N9640" s="166"/>
    </row>
    <row r="9641" spans="1:14">
      <c r="A9641" s="166"/>
      <c r="H9641" s="1"/>
      <c r="N9641" s="166"/>
    </row>
    <row r="9642" spans="1:14">
      <c r="A9642" s="166"/>
      <c r="H9642" s="1"/>
      <c r="N9642" s="166"/>
    </row>
    <row r="9643" spans="1:14">
      <c r="A9643" s="166"/>
      <c r="H9643" s="1"/>
      <c r="N9643" s="166"/>
    </row>
    <row r="9644" spans="1:14">
      <c r="A9644" s="166"/>
      <c r="H9644" s="1"/>
      <c r="N9644" s="166"/>
    </row>
    <row r="9645" spans="1:14">
      <c r="A9645" s="166"/>
      <c r="H9645" s="1"/>
      <c r="N9645" s="166"/>
    </row>
    <row r="9646" spans="1:14">
      <c r="A9646" s="166"/>
      <c r="H9646" s="1"/>
      <c r="N9646" s="166"/>
    </row>
    <row r="9647" spans="1:14">
      <c r="A9647" s="166"/>
      <c r="H9647" s="1"/>
      <c r="N9647" s="166"/>
    </row>
    <row r="9648" spans="1:14">
      <c r="A9648" s="166"/>
      <c r="H9648" s="1"/>
      <c r="N9648" s="166"/>
    </row>
    <row r="9649" spans="1:14">
      <c r="A9649" s="166"/>
      <c r="H9649" s="1"/>
      <c r="N9649" s="166"/>
    </row>
    <row r="9650" spans="1:14">
      <c r="A9650" s="166"/>
      <c r="H9650" s="1"/>
      <c r="N9650" s="166"/>
    </row>
    <row r="9651" spans="1:14">
      <c r="A9651" s="166"/>
      <c r="H9651" s="1"/>
      <c r="N9651" s="166"/>
    </row>
    <row r="9652" spans="1:14">
      <c r="A9652" s="166"/>
      <c r="H9652" s="1"/>
      <c r="N9652" s="166"/>
    </row>
    <row r="9653" spans="1:14">
      <c r="A9653" s="166"/>
      <c r="H9653" s="1"/>
      <c r="N9653" s="166"/>
    </row>
    <row r="9654" spans="1:14">
      <c r="A9654" s="166"/>
      <c r="H9654" s="1"/>
      <c r="N9654" s="166"/>
    </row>
    <row r="9655" spans="1:14">
      <c r="A9655" s="166"/>
      <c r="H9655" s="1"/>
      <c r="N9655" s="166"/>
    </row>
    <row r="9656" spans="1:14">
      <c r="A9656" s="166"/>
      <c r="H9656" s="1"/>
      <c r="N9656" s="166"/>
    </row>
    <row r="9657" spans="1:14">
      <c r="A9657" s="166"/>
      <c r="H9657" s="1"/>
      <c r="N9657" s="166"/>
    </row>
    <row r="9658" spans="1:14">
      <c r="A9658" s="166"/>
      <c r="H9658" s="1"/>
      <c r="N9658" s="166"/>
    </row>
    <row r="9659" spans="1:14">
      <c r="A9659" s="166"/>
      <c r="H9659" s="1"/>
      <c r="N9659" s="166"/>
    </row>
    <row r="9660" spans="1:14">
      <c r="A9660" s="166"/>
      <c r="H9660" s="1"/>
      <c r="N9660" s="166"/>
    </row>
    <row r="9661" spans="1:14">
      <c r="A9661" s="166"/>
      <c r="H9661" s="1"/>
      <c r="N9661" s="166"/>
    </row>
    <row r="9662" spans="1:14">
      <c r="A9662" s="166"/>
      <c r="H9662" s="1"/>
      <c r="N9662" s="166"/>
    </row>
    <row r="9663" spans="1:14">
      <c r="A9663" s="166"/>
      <c r="H9663" s="1"/>
      <c r="N9663" s="166"/>
    </row>
    <row r="9664" spans="1:14">
      <c r="A9664" s="166"/>
      <c r="H9664" s="1"/>
      <c r="N9664" s="166"/>
    </row>
    <row r="9665" spans="1:14">
      <c r="A9665" s="166"/>
      <c r="H9665" s="1"/>
      <c r="N9665" s="166"/>
    </row>
    <row r="9666" spans="1:14">
      <c r="A9666" s="166"/>
      <c r="H9666" s="1"/>
      <c r="N9666" s="166"/>
    </row>
    <row r="9667" spans="1:14">
      <c r="A9667" s="166"/>
      <c r="H9667" s="1"/>
      <c r="N9667" s="166"/>
    </row>
    <row r="9668" spans="1:14">
      <c r="A9668" s="166"/>
      <c r="H9668" s="1"/>
      <c r="N9668" s="166"/>
    </row>
    <row r="9669" spans="1:14">
      <c r="A9669" s="166"/>
      <c r="H9669" s="1"/>
      <c r="N9669" s="166"/>
    </row>
    <row r="9670" spans="1:14">
      <c r="A9670" s="166"/>
      <c r="H9670" s="1"/>
      <c r="N9670" s="166"/>
    </row>
    <row r="9671" spans="1:14">
      <c r="A9671" s="166"/>
      <c r="H9671" s="1"/>
      <c r="N9671" s="166"/>
    </row>
    <row r="9672" spans="1:14">
      <c r="A9672" s="166"/>
      <c r="H9672" s="1"/>
      <c r="N9672" s="166"/>
    </row>
    <row r="9673" spans="1:14">
      <c r="A9673" s="166"/>
      <c r="H9673" s="1"/>
      <c r="N9673" s="166"/>
    </row>
    <row r="9674" spans="1:14">
      <c r="A9674" s="166"/>
      <c r="H9674" s="1"/>
      <c r="N9674" s="166"/>
    </row>
    <row r="9675" spans="1:14">
      <c r="A9675" s="166"/>
      <c r="H9675" s="1"/>
      <c r="N9675" s="166"/>
    </row>
    <row r="9676" spans="1:14">
      <c r="A9676" s="166"/>
      <c r="H9676" s="1"/>
      <c r="N9676" s="166"/>
    </row>
    <row r="9677" spans="1:14">
      <c r="A9677" s="166"/>
      <c r="H9677" s="1"/>
      <c r="N9677" s="166"/>
    </row>
    <row r="9678" spans="1:14">
      <c r="A9678" s="166"/>
      <c r="H9678" s="1"/>
      <c r="N9678" s="166"/>
    </row>
    <row r="9679" spans="1:14">
      <c r="A9679" s="166"/>
      <c r="H9679" s="1"/>
      <c r="N9679" s="166"/>
    </row>
    <row r="9680" spans="1:14">
      <c r="A9680" s="166"/>
      <c r="H9680" s="1"/>
      <c r="N9680" s="166"/>
    </row>
    <row r="9681" spans="1:14">
      <c r="A9681" s="166"/>
      <c r="H9681" s="1"/>
      <c r="N9681" s="166"/>
    </row>
    <row r="9682" spans="1:14">
      <c r="A9682" s="166"/>
      <c r="H9682" s="1"/>
      <c r="N9682" s="166"/>
    </row>
    <row r="9683" spans="1:14">
      <c r="A9683" s="166"/>
      <c r="H9683" s="1"/>
      <c r="N9683" s="166"/>
    </row>
    <row r="9684" spans="1:14">
      <c r="A9684" s="166"/>
      <c r="H9684" s="1"/>
      <c r="N9684" s="166"/>
    </row>
    <row r="9685" spans="1:14">
      <c r="A9685" s="166"/>
      <c r="H9685" s="1"/>
      <c r="N9685" s="166"/>
    </row>
    <row r="9686" spans="1:14">
      <c r="A9686" s="166"/>
      <c r="H9686" s="1"/>
      <c r="N9686" s="166"/>
    </row>
    <row r="9687" spans="1:14">
      <c r="A9687" s="166"/>
      <c r="H9687" s="1"/>
      <c r="N9687" s="166"/>
    </row>
    <row r="9688" spans="1:14">
      <c r="A9688" s="166"/>
      <c r="H9688" s="1"/>
      <c r="N9688" s="166"/>
    </row>
    <row r="9689" spans="1:14">
      <c r="A9689" s="166"/>
      <c r="H9689" s="1"/>
      <c r="N9689" s="166"/>
    </row>
    <row r="9690" spans="1:14">
      <c r="A9690" s="166"/>
      <c r="H9690" s="1"/>
      <c r="N9690" s="166"/>
    </row>
    <row r="9691" spans="1:14">
      <c r="A9691" s="166"/>
      <c r="H9691" s="1"/>
      <c r="N9691" s="166"/>
    </row>
    <row r="9692" spans="1:14">
      <c r="A9692" s="166"/>
      <c r="H9692" s="1"/>
      <c r="N9692" s="166"/>
    </row>
    <row r="9693" spans="1:14">
      <c r="A9693" s="166"/>
      <c r="H9693" s="1"/>
      <c r="N9693" s="166"/>
    </row>
    <row r="9694" spans="1:14">
      <c r="A9694" s="166"/>
      <c r="H9694" s="1"/>
      <c r="N9694" s="166"/>
    </row>
    <row r="9695" spans="1:14">
      <c r="A9695" s="166"/>
      <c r="H9695" s="1"/>
      <c r="N9695" s="166"/>
    </row>
    <row r="9696" spans="1:14">
      <c r="A9696" s="166"/>
      <c r="H9696" s="1"/>
      <c r="N9696" s="166"/>
    </row>
    <row r="9697" spans="1:14">
      <c r="A9697" s="166"/>
      <c r="H9697" s="1"/>
      <c r="N9697" s="166"/>
    </row>
    <row r="9698" spans="1:14">
      <c r="A9698" s="166"/>
      <c r="H9698" s="1"/>
      <c r="N9698" s="166"/>
    </row>
    <row r="9699" spans="1:14">
      <c r="A9699" s="166"/>
      <c r="H9699" s="1"/>
      <c r="N9699" s="166"/>
    </row>
    <row r="9700" spans="1:14">
      <c r="A9700" s="166"/>
      <c r="H9700" s="1"/>
      <c r="N9700" s="166"/>
    </row>
    <row r="9701" spans="1:14">
      <c r="A9701" s="166"/>
      <c r="H9701" s="1"/>
      <c r="N9701" s="166"/>
    </row>
    <row r="9702" spans="1:14">
      <c r="A9702" s="166"/>
      <c r="H9702" s="1"/>
      <c r="N9702" s="166"/>
    </row>
    <row r="9703" spans="1:14">
      <c r="A9703" s="166"/>
      <c r="H9703" s="1"/>
      <c r="N9703" s="166"/>
    </row>
    <row r="9704" spans="1:14">
      <c r="A9704" s="166"/>
      <c r="H9704" s="1"/>
      <c r="N9704" s="166"/>
    </row>
    <row r="9705" spans="1:14">
      <c r="A9705" s="166"/>
      <c r="H9705" s="1"/>
      <c r="N9705" s="166"/>
    </row>
    <row r="9706" spans="1:14">
      <c r="A9706" s="166"/>
      <c r="H9706" s="1"/>
      <c r="N9706" s="166"/>
    </row>
    <row r="9707" spans="1:14">
      <c r="A9707" s="166"/>
      <c r="H9707" s="1"/>
      <c r="N9707" s="166"/>
    </row>
    <row r="9708" spans="1:14">
      <c r="A9708" s="166"/>
      <c r="H9708" s="1"/>
      <c r="N9708" s="166"/>
    </row>
    <row r="9709" spans="1:14">
      <c r="A9709" s="166"/>
      <c r="H9709" s="1"/>
      <c r="N9709" s="166"/>
    </row>
    <row r="9710" spans="1:14">
      <c r="A9710" s="166"/>
      <c r="H9710" s="1"/>
      <c r="N9710" s="166"/>
    </row>
    <row r="9711" spans="1:14">
      <c r="A9711" s="166"/>
      <c r="H9711" s="1"/>
      <c r="N9711" s="166"/>
    </row>
    <row r="9712" spans="1:14">
      <c r="A9712" s="166"/>
      <c r="H9712" s="1"/>
      <c r="N9712" s="166"/>
    </row>
    <row r="9713" spans="1:14">
      <c r="A9713" s="166"/>
      <c r="H9713" s="1"/>
      <c r="N9713" s="166"/>
    </row>
    <row r="9714" spans="1:14">
      <c r="A9714" s="166"/>
      <c r="H9714" s="1"/>
      <c r="N9714" s="166"/>
    </row>
    <row r="9715" spans="1:14">
      <c r="A9715" s="166"/>
      <c r="H9715" s="1"/>
      <c r="N9715" s="166"/>
    </row>
    <row r="9716" spans="1:14">
      <c r="A9716" s="166"/>
      <c r="H9716" s="1"/>
      <c r="N9716" s="166"/>
    </row>
    <row r="9717" spans="1:14">
      <c r="A9717" s="166"/>
      <c r="H9717" s="1"/>
      <c r="N9717" s="166"/>
    </row>
    <row r="9718" spans="1:14">
      <c r="A9718" s="166"/>
      <c r="H9718" s="1"/>
      <c r="N9718" s="166"/>
    </row>
    <row r="9719" spans="1:14">
      <c r="A9719" s="166"/>
      <c r="H9719" s="1"/>
      <c r="N9719" s="166"/>
    </row>
    <row r="9720" spans="1:14">
      <c r="A9720" s="166"/>
      <c r="H9720" s="1"/>
      <c r="N9720" s="166"/>
    </row>
    <row r="9721" spans="1:14">
      <c r="A9721" s="166"/>
      <c r="H9721" s="1"/>
      <c r="N9721" s="166"/>
    </row>
    <row r="9722" spans="1:14">
      <c r="A9722" s="166"/>
      <c r="H9722" s="1"/>
      <c r="N9722" s="166"/>
    </row>
    <row r="9723" spans="1:14">
      <c r="A9723" s="166"/>
      <c r="H9723" s="1"/>
      <c r="N9723" s="166"/>
    </row>
    <row r="9724" spans="1:14">
      <c r="A9724" s="166"/>
      <c r="H9724" s="1"/>
      <c r="N9724" s="166"/>
    </row>
    <row r="9725" spans="1:14">
      <c r="A9725" s="166"/>
      <c r="H9725" s="1"/>
      <c r="N9725" s="166"/>
    </row>
    <row r="9726" spans="1:14">
      <c r="A9726" s="166"/>
      <c r="H9726" s="1"/>
      <c r="N9726" s="166"/>
    </row>
    <row r="9727" spans="1:14">
      <c r="A9727" s="166"/>
      <c r="H9727" s="1"/>
      <c r="N9727" s="166"/>
    </row>
    <row r="9728" spans="1:14">
      <c r="A9728" s="166"/>
      <c r="H9728" s="1"/>
      <c r="N9728" s="166"/>
    </row>
    <row r="9729" spans="1:14">
      <c r="A9729" s="166"/>
      <c r="H9729" s="1"/>
      <c r="N9729" s="166"/>
    </row>
    <row r="9730" spans="1:14">
      <c r="A9730" s="166"/>
      <c r="H9730" s="1"/>
      <c r="N9730" s="166"/>
    </row>
    <row r="9731" spans="1:14">
      <c r="A9731" s="166"/>
      <c r="H9731" s="1"/>
      <c r="N9731" s="166"/>
    </row>
    <row r="9732" spans="1:14">
      <c r="A9732" s="166"/>
      <c r="H9732" s="1"/>
      <c r="N9732" s="166"/>
    </row>
    <row r="9733" spans="1:14">
      <c r="A9733" s="166"/>
      <c r="H9733" s="1"/>
      <c r="N9733" s="166"/>
    </row>
    <row r="9734" spans="1:14">
      <c r="A9734" s="166"/>
      <c r="H9734" s="1"/>
      <c r="N9734" s="166"/>
    </row>
    <row r="9735" spans="1:14">
      <c r="A9735" s="166"/>
      <c r="H9735" s="1"/>
      <c r="N9735" s="166"/>
    </row>
    <row r="9736" spans="1:14">
      <c r="A9736" s="166"/>
      <c r="H9736" s="1"/>
      <c r="N9736" s="166"/>
    </row>
    <row r="9737" spans="1:14">
      <c r="A9737" s="166"/>
      <c r="H9737" s="1"/>
      <c r="N9737" s="166"/>
    </row>
    <row r="9738" spans="1:14">
      <c r="A9738" s="166"/>
      <c r="H9738" s="1"/>
      <c r="N9738" s="166"/>
    </row>
    <row r="9739" spans="1:14">
      <c r="A9739" s="166"/>
      <c r="H9739" s="1"/>
      <c r="N9739" s="166"/>
    </row>
    <row r="9740" spans="1:14">
      <c r="A9740" s="166"/>
      <c r="H9740" s="1"/>
      <c r="N9740" s="166"/>
    </row>
    <row r="9741" spans="1:14">
      <c r="A9741" s="166"/>
      <c r="H9741" s="1"/>
      <c r="N9741" s="166"/>
    </row>
    <row r="9742" spans="1:14">
      <c r="A9742" s="166"/>
      <c r="H9742" s="1"/>
      <c r="N9742" s="166"/>
    </row>
    <row r="9743" spans="1:14">
      <c r="A9743" s="166"/>
      <c r="H9743" s="1"/>
      <c r="N9743" s="166"/>
    </row>
    <row r="9744" spans="1:14">
      <c r="A9744" s="166"/>
      <c r="H9744" s="1"/>
      <c r="N9744" s="166"/>
    </row>
    <row r="9745" spans="1:14">
      <c r="A9745" s="166"/>
      <c r="H9745" s="1"/>
      <c r="N9745" s="166"/>
    </row>
    <row r="9746" spans="1:14">
      <c r="A9746" s="166"/>
      <c r="H9746" s="1"/>
      <c r="N9746" s="166"/>
    </row>
    <row r="9747" spans="1:14">
      <c r="A9747" s="166"/>
      <c r="H9747" s="1"/>
      <c r="N9747" s="166"/>
    </row>
    <row r="9748" spans="1:14">
      <c r="A9748" s="166"/>
      <c r="H9748" s="1"/>
      <c r="N9748" s="166"/>
    </row>
    <row r="9749" spans="1:14">
      <c r="A9749" s="166"/>
      <c r="H9749" s="1"/>
      <c r="N9749" s="166"/>
    </row>
    <row r="9750" spans="1:14">
      <c r="A9750" s="166"/>
      <c r="H9750" s="1"/>
      <c r="N9750" s="166"/>
    </row>
    <row r="9751" spans="1:14">
      <c r="A9751" s="166"/>
      <c r="H9751" s="1"/>
      <c r="N9751" s="166"/>
    </row>
    <row r="9752" spans="1:14">
      <c r="A9752" s="166"/>
      <c r="H9752" s="1"/>
      <c r="N9752" s="166"/>
    </row>
    <row r="9753" spans="1:14">
      <c r="A9753" s="166"/>
      <c r="H9753" s="1"/>
      <c r="N9753" s="166"/>
    </row>
    <row r="9754" spans="1:14">
      <c r="A9754" s="166"/>
      <c r="H9754" s="1"/>
      <c r="N9754" s="166"/>
    </row>
    <row r="9755" spans="1:14">
      <c r="A9755" s="166"/>
      <c r="H9755" s="1"/>
      <c r="N9755" s="166"/>
    </row>
    <row r="9756" spans="1:14">
      <c r="A9756" s="166"/>
      <c r="H9756" s="1"/>
      <c r="N9756" s="166"/>
    </row>
    <row r="9757" spans="1:14">
      <c r="A9757" s="166"/>
      <c r="H9757" s="1"/>
      <c r="N9757" s="166"/>
    </row>
    <row r="9758" spans="1:14">
      <c r="A9758" s="166"/>
      <c r="H9758" s="1"/>
      <c r="N9758" s="166"/>
    </row>
    <row r="9759" spans="1:14">
      <c r="A9759" s="166"/>
      <c r="H9759" s="1"/>
      <c r="N9759" s="166"/>
    </row>
    <row r="9760" spans="1:14">
      <c r="A9760" s="166"/>
      <c r="H9760" s="1"/>
      <c r="N9760" s="166"/>
    </row>
    <row r="9761" spans="1:14">
      <c r="A9761" s="166"/>
      <c r="H9761" s="1"/>
      <c r="N9761" s="166"/>
    </row>
    <row r="9762" spans="1:14">
      <c r="A9762" s="166"/>
      <c r="H9762" s="1"/>
      <c r="N9762" s="166"/>
    </row>
    <row r="9763" spans="1:14">
      <c r="A9763" s="166"/>
      <c r="H9763" s="1"/>
      <c r="N9763" s="166"/>
    </row>
    <row r="9764" spans="1:14">
      <c r="A9764" s="166"/>
      <c r="H9764" s="1"/>
      <c r="N9764" s="166"/>
    </row>
    <row r="9765" spans="1:14">
      <c r="A9765" s="166"/>
      <c r="H9765" s="1"/>
      <c r="N9765" s="166"/>
    </row>
    <row r="9766" spans="1:14">
      <c r="A9766" s="166"/>
      <c r="H9766" s="1"/>
      <c r="N9766" s="166"/>
    </row>
    <row r="9767" spans="1:14">
      <c r="A9767" s="166"/>
      <c r="H9767" s="1"/>
      <c r="N9767" s="166"/>
    </row>
    <row r="9768" spans="1:14">
      <c r="A9768" s="166"/>
      <c r="H9768" s="1"/>
      <c r="N9768" s="166"/>
    </row>
    <row r="9769" spans="1:14">
      <c r="A9769" s="166"/>
      <c r="H9769" s="1"/>
      <c r="N9769" s="166"/>
    </row>
    <row r="9770" spans="1:14">
      <c r="A9770" s="166"/>
      <c r="H9770" s="1"/>
      <c r="N9770" s="166"/>
    </row>
    <row r="9771" spans="1:14">
      <c r="A9771" s="166"/>
      <c r="H9771" s="1"/>
      <c r="N9771" s="166"/>
    </row>
    <row r="9772" spans="1:14">
      <c r="A9772" s="166"/>
      <c r="H9772" s="1"/>
      <c r="N9772" s="166"/>
    </row>
    <row r="9773" spans="1:14">
      <c r="A9773" s="166"/>
      <c r="H9773" s="1"/>
      <c r="N9773" s="166"/>
    </row>
    <row r="9774" spans="1:14">
      <c r="A9774" s="166"/>
      <c r="H9774" s="1"/>
      <c r="N9774" s="166"/>
    </row>
    <row r="9775" spans="1:14">
      <c r="A9775" s="166"/>
      <c r="H9775" s="1"/>
      <c r="N9775" s="166"/>
    </row>
    <row r="9776" spans="1:14">
      <c r="A9776" s="166"/>
      <c r="H9776" s="1"/>
      <c r="N9776" s="166"/>
    </row>
    <row r="9777" spans="1:14">
      <c r="A9777" s="166"/>
      <c r="H9777" s="1"/>
      <c r="N9777" s="166"/>
    </row>
    <row r="9778" spans="1:14">
      <c r="A9778" s="166"/>
      <c r="H9778" s="1"/>
      <c r="N9778" s="166"/>
    </row>
    <row r="9779" spans="1:14">
      <c r="A9779" s="166"/>
      <c r="H9779" s="1"/>
      <c r="N9779" s="166"/>
    </row>
    <row r="9780" spans="1:14">
      <c r="A9780" s="166"/>
      <c r="H9780" s="1"/>
      <c r="N9780" s="166"/>
    </row>
    <row r="9781" spans="1:14">
      <c r="A9781" s="166"/>
      <c r="H9781" s="1"/>
      <c r="N9781" s="166"/>
    </row>
    <row r="9782" spans="1:14">
      <c r="A9782" s="166"/>
      <c r="H9782" s="1"/>
      <c r="N9782" s="166"/>
    </row>
    <row r="9783" spans="1:14">
      <c r="A9783" s="166"/>
      <c r="H9783" s="1"/>
      <c r="N9783" s="166"/>
    </row>
    <row r="9784" spans="1:14">
      <c r="A9784" s="166"/>
      <c r="H9784" s="1"/>
      <c r="N9784" s="166"/>
    </row>
    <row r="9785" spans="1:14">
      <c r="A9785" s="166"/>
      <c r="H9785" s="1"/>
      <c r="N9785" s="166"/>
    </row>
    <row r="9786" spans="1:14">
      <c r="A9786" s="166"/>
      <c r="H9786" s="1"/>
      <c r="N9786" s="166"/>
    </row>
    <row r="9787" spans="1:14">
      <c r="A9787" s="166"/>
      <c r="H9787" s="1"/>
      <c r="N9787" s="166"/>
    </row>
    <row r="9788" spans="1:14">
      <c r="A9788" s="166"/>
      <c r="H9788" s="1"/>
      <c r="N9788" s="166"/>
    </row>
    <row r="9789" spans="1:14">
      <c r="A9789" s="166"/>
      <c r="H9789" s="1"/>
      <c r="N9789" s="166"/>
    </row>
    <row r="9790" spans="1:14">
      <c r="A9790" s="166"/>
      <c r="H9790" s="1"/>
      <c r="N9790" s="166"/>
    </row>
    <row r="9791" spans="1:14">
      <c r="A9791" s="166"/>
      <c r="H9791" s="1"/>
      <c r="N9791" s="166"/>
    </row>
    <row r="9792" spans="1:14">
      <c r="A9792" s="166"/>
      <c r="H9792" s="1"/>
      <c r="N9792" s="166"/>
    </row>
    <row r="9793" spans="1:14">
      <c r="A9793" s="166"/>
      <c r="H9793" s="1"/>
      <c r="N9793" s="166"/>
    </row>
    <row r="9794" spans="1:14">
      <c r="A9794" s="166"/>
      <c r="H9794" s="1"/>
      <c r="N9794" s="166"/>
    </row>
    <row r="9795" spans="1:14">
      <c r="A9795" s="166"/>
      <c r="H9795" s="1"/>
      <c r="N9795" s="166"/>
    </row>
    <row r="9796" spans="1:14">
      <c r="A9796" s="166"/>
      <c r="H9796" s="1"/>
      <c r="N9796" s="166"/>
    </row>
    <row r="9797" spans="1:14">
      <c r="A9797" s="166"/>
      <c r="H9797" s="1"/>
      <c r="N9797" s="166"/>
    </row>
    <row r="9798" spans="1:14">
      <c r="A9798" s="166"/>
      <c r="H9798" s="1"/>
      <c r="N9798" s="166"/>
    </row>
    <row r="9799" spans="1:14">
      <c r="A9799" s="166"/>
      <c r="H9799" s="1"/>
      <c r="N9799" s="166"/>
    </row>
    <row r="9800" spans="1:14">
      <c r="A9800" s="166"/>
      <c r="H9800" s="1"/>
      <c r="N9800" s="166"/>
    </row>
    <row r="9801" spans="1:14">
      <c r="A9801" s="166"/>
      <c r="H9801" s="1"/>
      <c r="N9801" s="166"/>
    </row>
    <row r="9802" spans="1:14">
      <c r="A9802" s="166"/>
      <c r="H9802" s="1"/>
      <c r="N9802" s="166"/>
    </row>
    <row r="9803" spans="1:14">
      <c r="A9803" s="166"/>
      <c r="H9803" s="1"/>
      <c r="N9803" s="166"/>
    </row>
    <row r="9804" spans="1:14">
      <c r="A9804" s="166"/>
      <c r="H9804" s="1"/>
      <c r="N9804" s="166"/>
    </row>
    <row r="9805" spans="1:14">
      <c r="A9805" s="166"/>
      <c r="H9805" s="1"/>
      <c r="N9805" s="166"/>
    </row>
    <row r="9806" spans="1:14">
      <c r="A9806" s="166"/>
      <c r="H9806" s="1"/>
      <c r="N9806" s="166"/>
    </row>
    <row r="9807" spans="1:14">
      <c r="A9807" s="166"/>
      <c r="H9807" s="1"/>
      <c r="N9807" s="166"/>
    </row>
    <row r="9808" spans="1:14">
      <c r="A9808" s="166"/>
      <c r="H9808" s="1"/>
      <c r="N9808" s="166"/>
    </row>
    <row r="9809" spans="1:14">
      <c r="A9809" s="166"/>
      <c r="H9809" s="1"/>
      <c r="N9809" s="166"/>
    </row>
    <row r="9810" spans="1:14">
      <c r="A9810" s="166"/>
      <c r="H9810" s="1"/>
      <c r="N9810" s="166"/>
    </row>
    <row r="9811" spans="1:14">
      <c r="A9811" s="166"/>
      <c r="H9811" s="1"/>
      <c r="N9811" s="166"/>
    </row>
    <row r="9812" spans="1:14">
      <c r="A9812" s="166"/>
      <c r="H9812" s="1"/>
      <c r="N9812" s="166"/>
    </row>
    <row r="9813" spans="1:14">
      <c r="A9813" s="166"/>
      <c r="H9813" s="1"/>
      <c r="N9813" s="166"/>
    </row>
    <row r="9814" spans="1:14">
      <c r="A9814" s="166"/>
      <c r="H9814" s="1"/>
      <c r="N9814" s="166"/>
    </row>
    <row r="9815" spans="1:14">
      <c r="A9815" s="166"/>
      <c r="H9815" s="1"/>
      <c r="N9815" s="166"/>
    </row>
    <row r="9816" spans="1:14">
      <c r="A9816" s="166"/>
      <c r="H9816" s="1"/>
      <c r="N9816" s="166"/>
    </row>
    <row r="9817" spans="1:14">
      <c r="A9817" s="166"/>
      <c r="H9817" s="1"/>
      <c r="N9817" s="166"/>
    </row>
    <row r="9818" spans="1:14">
      <c r="A9818" s="166"/>
      <c r="H9818" s="1"/>
      <c r="N9818" s="166"/>
    </row>
    <row r="9819" spans="1:14">
      <c r="A9819" s="166"/>
      <c r="H9819" s="1"/>
      <c r="N9819" s="166"/>
    </row>
    <row r="9820" spans="1:14">
      <c r="A9820" s="166"/>
      <c r="H9820" s="1"/>
      <c r="N9820" s="166"/>
    </row>
    <row r="9821" spans="1:14">
      <c r="A9821" s="166"/>
      <c r="H9821" s="1"/>
      <c r="N9821" s="166"/>
    </row>
    <row r="9822" spans="1:14">
      <c r="A9822" s="166"/>
      <c r="H9822" s="1"/>
      <c r="N9822" s="166"/>
    </row>
    <row r="9823" spans="1:14">
      <c r="A9823" s="166"/>
      <c r="H9823" s="1"/>
      <c r="N9823" s="166"/>
    </row>
    <row r="9824" spans="1:14">
      <c r="A9824" s="166"/>
      <c r="H9824" s="1"/>
      <c r="N9824" s="166"/>
    </row>
    <row r="9825" spans="1:14">
      <c r="A9825" s="166"/>
      <c r="H9825" s="1"/>
      <c r="N9825" s="166"/>
    </row>
    <row r="9826" spans="1:14">
      <c r="A9826" s="166"/>
      <c r="H9826" s="1"/>
      <c r="N9826" s="166"/>
    </row>
    <row r="9827" spans="1:14">
      <c r="A9827" s="166"/>
      <c r="H9827" s="1"/>
      <c r="N9827" s="166"/>
    </row>
    <row r="9828" spans="1:14">
      <c r="A9828" s="166"/>
      <c r="H9828" s="1"/>
      <c r="N9828" s="166"/>
    </row>
    <row r="9829" spans="1:14">
      <c r="A9829" s="166"/>
      <c r="H9829" s="1"/>
      <c r="N9829" s="166"/>
    </row>
    <row r="9830" spans="1:14">
      <c r="A9830" s="166"/>
      <c r="H9830" s="1"/>
      <c r="N9830" s="166"/>
    </row>
    <row r="9831" spans="1:14">
      <c r="A9831" s="166"/>
      <c r="H9831" s="1"/>
      <c r="N9831" s="166"/>
    </row>
    <row r="9832" spans="1:14">
      <c r="A9832" s="166"/>
      <c r="H9832" s="1"/>
      <c r="N9832" s="166"/>
    </row>
    <row r="9833" spans="1:14">
      <c r="A9833" s="166"/>
      <c r="H9833" s="1"/>
      <c r="N9833" s="166"/>
    </row>
    <row r="9834" spans="1:14">
      <c r="A9834" s="166"/>
      <c r="H9834" s="1"/>
      <c r="N9834" s="166"/>
    </row>
    <row r="9835" spans="1:14">
      <c r="A9835" s="166"/>
      <c r="H9835" s="1"/>
      <c r="N9835" s="166"/>
    </row>
    <row r="9836" spans="1:14">
      <c r="A9836" s="166"/>
      <c r="H9836" s="1"/>
      <c r="N9836" s="166"/>
    </row>
    <row r="9837" spans="1:14">
      <c r="A9837" s="166"/>
      <c r="H9837" s="1"/>
      <c r="N9837" s="166"/>
    </row>
    <row r="9838" spans="1:14">
      <c r="A9838" s="166"/>
      <c r="H9838" s="1"/>
      <c r="N9838" s="166"/>
    </row>
    <row r="9839" spans="1:14">
      <c r="A9839" s="166"/>
      <c r="H9839" s="1"/>
      <c r="N9839" s="166"/>
    </row>
    <row r="9840" spans="1:14">
      <c r="A9840" s="166"/>
      <c r="H9840" s="1"/>
      <c r="N9840" s="166"/>
    </row>
    <row r="9841" spans="1:14">
      <c r="A9841" s="166"/>
      <c r="H9841" s="1"/>
      <c r="N9841" s="166"/>
    </row>
    <row r="9842" spans="1:14">
      <c r="A9842" s="166"/>
      <c r="H9842" s="1"/>
      <c r="N9842" s="166"/>
    </row>
    <row r="9843" spans="1:14">
      <c r="A9843" s="166"/>
      <c r="H9843" s="1"/>
      <c r="N9843" s="166"/>
    </row>
    <row r="9844" spans="1:14">
      <c r="A9844" s="166"/>
      <c r="H9844" s="1"/>
      <c r="N9844" s="166"/>
    </row>
    <row r="9845" spans="1:14">
      <c r="A9845" s="166"/>
      <c r="H9845" s="1"/>
      <c r="N9845" s="166"/>
    </row>
    <row r="9846" spans="1:14">
      <c r="A9846" s="166"/>
      <c r="H9846" s="1"/>
      <c r="N9846" s="166"/>
    </row>
    <row r="9847" spans="1:14">
      <c r="A9847" s="166"/>
      <c r="H9847" s="1"/>
      <c r="N9847" s="166"/>
    </row>
    <row r="9848" spans="1:14">
      <c r="A9848" s="166"/>
      <c r="H9848" s="1"/>
      <c r="N9848" s="166"/>
    </row>
    <row r="9849" spans="1:14">
      <c r="A9849" s="166"/>
      <c r="H9849" s="1"/>
      <c r="N9849" s="166"/>
    </row>
    <row r="9850" spans="1:14">
      <c r="A9850" s="166"/>
      <c r="H9850" s="1"/>
      <c r="N9850" s="166"/>
    </row>
    <row r="9851" spans="1:14">
      <c r="A9851" s="166"/>
      <c r="H9851" s="1"/>
      <c r="N9851" s="166"/>
    </row>
    <row r="9852" spans="1:14">
      <c r="A9852" s="166"/>
      <c r="H9852" s="1"/>
      <c r="N9852" s="166"/>
    </row>
    <row r="9853" spans="1:14">
      <c r="A9853" s="166"/>
      <c r="H9853" s="1"/>
      <c r="N9853" s="166"/>
    </row>
    <row r="9854" spans="1:14">
      <c r="A9854" s="166"/>
      <c r="H9854" s="1"/>
      <c r="N9854" s="166"/>
    </row>
    <row r="9855" spans="1:14">
      <c r="A9855" s="166"/>
      <c r="H9855" s="1"/>
      <c r="N9855" s="166"/>
    </row>
    <row r="9856" spans="1:14">
      <c r="A9856" s="166"/>
      <c r="H9856" s="1"/>
      <c r="N9856" s="166"/>
    </row>
    <row r="9857" spans="1:14">
      <c r="A9857" s="166"/>
      <c r="H9857" s="1"/>
      <c r="N9857" s="166"/>
    </row>
    <row r="9858" spans="1:14">
      <c r="A9858" s="166"/>
      <c r="H9858" s="1"/>
      <c r="N9858" s="166"/>
    </row>
    <row r="9859" spans="1:14">
      <c r="A9859" s="166"/>
      <c r="H9859" s="1"/>
      <c r="N9859" s="166"/>
    </row>
    <row r="9860" spans="1:14">
      <c r="A9860" s="166"/>
      <c r="H9860" s="1"/>
      <c r="N9860" s="166"/>
    </row>
    <row r="9861" spans="1:14">
      <c r="A9861" s="166"/>
      <c r="H9861" s="1"/>
      <c r="N9861" s="166"/>
    </row>
    <row r="9862" spans="1:14">
      <c r="A9862" s="166"/>
      <c r="H9862" s="1"/>
      <c r="N9862" s="166"/>
    </row>
    <row r="9863" spans="1:14">
      <c r="A9863" s="166"/>
      <c r="H9863" s="1"/>
      <c r="N9863" s="166"/>
    </row>
    <row r="9864" spans="1:14">
      <c r="A9864" s="166"/>
      <c r="H9864" s="1"/>
      <c r="N9864" s="166"/>
    </row>
    <row r="9865" spans="1:14">
      <c r="A9865" s="166"/>
      <c r="H9865" s="1"/>
      <c r="N9865" s="166"/>
    </row>
    <row r="9866" spans="1:14">
      <c r="A9866" s="166"/>
      <c r="H9866" s="1"/>
      <c r="N9866" s="166"/>
    </row>
    <row r="9867" spans="1:14">
      <c r="A9867" s="166"/>
      <c r="H9867" s="1"/>
      <c r="N9867" s="166"/>
    </row>
    <row r="9868" spans="1:14">
      <c r="A9868" s="166"/>
      <c r="H9868" s="1"/>
      <c r="N9868" s="166"/>
    </row>
    <row r="9869" spans="1:14">
      <c r="A9869" s="166"/>
      <c r="H9869" s="1"/>
      <c r="N9869" s="166"/>
    </row>
    <row r="9870" spans="1:14">
      <c r="A9870" s="166"/>
      <c r="H9870" s="1"/>
      <c r="N9870" s="166"/>
    </row>
    <row r="9871" spans="1:14">
      <c r="A9871" s="166"/>
      <c r="H9871" s="1"/>
      <c r="N9871" s="166"/>
    </row>
    <row r="9872" spans="1:14">
      <c r="A9872" s="166"/>
      <c r="H9872" s="1"/>
      <c r="N9872" s="166"/>
    </row>
    <row r="9873" spans="1:14">
      <c r="A9873" s="166"/>
      <c r="H9873" s="1"/>
      <c r="N9873" s="166"/>
    </row>
    <row r="9874" spans="1:14">
      <c r="A9874" s="166"/>
      <c r="H9874" s="1"/>
      <c r="N9874" s="166"/>
    </row>
    <row r="9875" spans="1:14">
      <c r="A9875" s="166"/>
      <c r="H9875" s="1"/>
      <c r="N9875" s="166"/>
    </row>
    <row r="9876" spans="1:14">
      <c r="A9876" s="166"/>
      <c r="H9876" s="1"/>
      <c r="N9876" s="166"/>
    </row>
    <row r="9877" spans="1:14">
      <c r="A9877" s="166"/>
      <c r="H9877" s="1"/>
      <c r="N9877" s="166"/>
    </row>
    <row r="9878" spans="1:14">
      <c r="A9878" s="166"/>
      <c r="H9878" s="1"/>
      <c r="N9878" s="166"/>
    </row>
    <row r="9879" spans="1:14">
      <c r="A9879" s="166"/>
      <c r="H9879" s="1"/>
      <c r="N9879" s="166"/>
    </row>
    <row r="9880" spans="1:14">
      <c r="A9880" s="166"/>
      <c r="H9880" s="1"/>
      <c r="N9880" s="166"/>
    </row>
    <row r="9881" spans="1:14">
      <c r="A9881" s="166"/>
      <c r="H9881" s="1"/>
      <c r="N9881" s="166"/>
    </row>
    <row r="9882" spans="1:14">
      <c r="A9882" s="166"/>
      <c r="H9882" s="1"/>
      <c r="N9882" s="166"/>
    </row>
    <row r="9883" spans="1:14">
      <c r="A9883" s="166"/>
      <c r="H9883" s="1"/>
      <c r="N9883" s="166"/>
    </row>
    <row r="9884" spans="1:14">
      <c r="A9884" s="166"/>
      <c r="H9884" s="1"/>
      <c r="N9884" s="166"/>
    </row>
    <row r="9885" spans="1:14">
      <c r="A9885" s="166"/>
      <c r="H9885" s="1"/>
      <c r="N9885" s="166"/>
    </row>
    <row r="9886" spans="1:14">
      <c r="A9886" s="166"/>
      <c r="H9886" s="1"/>
      <c r="N9886" s="166"/>
    </row>
    <row r="9887" spans="1:14">
      <c r="A9887" s="166"/>
      <c r="H9887" s="1"/>
      <c r="N9887" s="166"/>
    </row>
    <row r="9888" spans="1:14">
      <c r="A9888" s="166"/>
      <c r="H9888" s="1"/>
      <c r="N9888" s="166"/>
    </row>
    <row r="9889" spans="1:14">
      <c r="A9889" s="166"/>
      <c r="H9889" s="1"/>
      <c r="N9889" s="166"/>
    </row>
    <row r="9890" spans="1:14">
      <c r="A9890" s="166"/>
      <c r="H9890" s="1"/>
      <c r="N9890" s="166"/>
    </row>
    <row r="9891" spans="1:14">
      <c r="A9891" s="166"/>
      <c r="H9891" s="1"/>
      <c r="N9891" s="166"/>
    </row>
    <row r="9892" spans="1:14">
      <c r="A9892" s="166"/>
      <c r="H9892" s="1"/>
      <c r="N9892" s="166"/>
    </row>
    <row r="9893" spans="1:14">
      <c r="A9893" s="166"/>
      <c r="H9893" s="1"/>
      <c r="N9893" s="166"/>
    </row>
    <row r="9894" spans="1:14">
      <c r="A9894" s="166"/>
      <c r="H9894" s="1"/>
      <c r="N9894" s="166"/>
    </row>
    <row r="9895" spans="1:14">
      <c r="A9895" s="166"/>
      <c r="H9895" s="1"/>
      <c r="N9895" s="166"/>
    </row>
    <row r="9896" spans="1:14">
      <c r="A9896" s="166"/>
      <c r="H9896" s="1"/>
      <c r="N9896" s="166"/>
    </row>
    <row r="9897" spans="1:14">
      <c r="A9897" s="166"/>
      <c r="H9897" s="1"/>
      <c r="N9897" s="166"/>
    </row>
    <row r="9898" spans="1:14">
      <c r="A9898" s="166"/>
      <c r="H9898" s="1"/>
      <c r="N9898" s="166"/>
    </row>
    <row r="9899" spans="1:14">
      <c r="A9899" s="166"/>
      <c r="H9899" s="1"/>
      <c r="N9899" s="166"/>
    </row>
    <row r="9900" spans="1:14">
      <c r="A9900" s="166"/>
      <c r="H9900" s="1"/>
      <c r="N9900" s="166"/>
    </row>
    <row r="9901" spans="1:14">
      <c r="A9901" s="166"/>
      <c r="H9901" s="1"/>
      <c r="N9901" s="166"/>
    </row>
    <row r="9902" spans="1:14">
      <c r="A9902" s="166"/>
      <c r="H9902" s="1"/>
      <c r="N9902" s="166"/>
    </row>
    <row r="9903" spans="1:14">
      <c r="A9903" s="166"/>
      <c r="H9903" s="1"/>
      <c r="N9903" s="166"/>
    </row>
    <row r="9904" spans="1:14">
      <c r="A9904" s="166"/>
      <c r="H9904" s="1"/>
      <c r="N9904" s="166"/>
    </row>
    <row r="9905" spans="1:14">
      <c r="A9905" s="166"/>
      <c r="H9905" s="1"/>
      <c r="N9905" s="166"/>
    </row>
    <row r="9906" spans="1:14">
      <c r="A9906" s="166"/>
      <c r="H9906" s="1"/>
      <c r="N9906" s="166"/>
    </row>
    <row r="9907" spans="1:14">
      <c r="A9907" s="166"/>
      <c r="H9907" s="1"/>
      <c r="N9907" s="166"/>
    </row>
    <row r="9908" spans="1:14">
      <c r="A9908" s="166"/>
      <c r="H9908" s="1"/>
      <c r="N9908" s="166"/>
    </row>
    <row r="9909" spans="1:14">
      <c r="A9909" s="166"/>
      <c r="H9909" s="1"/>
      <c r="N9909" s="166"/>
    </row>
    <row r="9910" spans="1:14">
      <c r="A9910" s="166"/>
      <c r="H9910" s="1"/>
      <c r="N9910" s="166"/>
    </row>
    <row r="9911" spans="1:14">
      <c r="A9911" s="166"/>
      <c r="H9911" s="1"/>
      <c r="N9911" s="166"/>
    </row>
    <row r="9912" spans="1:14">
      <c r="A9912" s="166"/>
      <c r="H9912" s="1"/>
      <c r="N9912" s="166"/>
    </row>
    <row r="9913" spans="1:14">
      <c r="A9913" s="166"/>
      <c r="H9913" s="1"/>
      <c r="N9913" s="166"/>
    </row>
    <row r="9914" spans="1:14">
      <c r="A9914" s="166"/>
      <c r="H9914" s="1"/>
      <c r="N9914" s="166"/>
    </row>
    <row r="9915" spans="1:14">
      <c r="A9915" s="166"/>
      <c r="H9915" s="1"/>
      <c r="N9915" s="166"/>
    </row>
    <row r="9916" spans="1:14">
      <c r="A9916" s="166"/>
      <c r="H9916" s="1"/>
      <c r="N9916" s="166"/>
    </row>
    <row r="9917" spans="1:14">
      <c r="A9917" s="166"/>
      <c r="H9917" s="1"/>
      <c r="N9917" s="166"/>
    </row>
    <row r="9918" spans="1:14">
      <c r="A9918" s="166"/>
      <c r="H9918" s="1"/>
      <c r="N9918" s="166"/>
    </row>
    <row r="9919" spans="1:14">
      <c r="A9919" s="166"/>
      <c r="H9919" s="1"/>
      <c r="N9919" s="166"/>
    </row>
    <row r="9920" spans="1:14">
      <c r="A9920" s="166"/>
      <c r="H9920" s="1"/>
      <c r="N9920" s="166"/>
    </row>
    <row r="9921" spans="1:14">
      <c r="A9921" s="166"/>
      <c r="H9921" s="1"/>
      <c r="N9921" s="166"/>
    </row>
    <row r="9922" spans="1:14">
      <c r="A9922" s="166"/>
      <c r="H9922" s="1"/>
      <c r="N9922" s="166"/>
    </row>
    <row r="9923" spans="1:14">
      <c r="A9923" s="166"/>
      <c r="H9923" s="1"/>
      <c r="N9923" s="166"/>
    </row>
    <row r="9924" spans="1:14">
      <c r="A9924" s="166"/>
      <c r="H9924" s="1"/>
      <c r="N9924" s="166"/>
    </row>
    <row r="9925" spans="1:14">
      <c r="A9925" s="166"/>
      <c r="H9925" s="1"/>
      <c r="N9925" s="166"/>
    </row>
    <row r="9926" spans="1:14">
      <c r="A9926" s="166"/>
      <c r="H9926" s="1"/>
      <c r="N9926" s="166"/>
    </row>
    <row r="9927" spans="1:14">
      <c r="A9927" s="166"/>
      <c r="H9927" s="1"/>
      <c r="N9927" s="166"/>
    </row>
    <row r="9928" spans="1:14">
      <c r="A9928" s="166"/>
      <c r="H9928" s="1"/>
      <c r="N9928" s="166"/>
    </row>
    <row r="9929" spans="1:14">
      <c r="A9929" s="166"/>
      <c r="H9929" s="1"/>
      <c r="N9929" s="166"/>
    </row>
    <row r="9930" spans="1:14">
      <c r="A9930" s="166"/>
      <c r="H9930" s="1"/>
      <c r="N9930" s="166"/>
    </row>
    <row r="9931" spans="1:14">
      <c r="A9931" s="166"/>
      <c r="H9931" s="1"/>
      <c r="N9931" s="166"/>
    </row>
    <row r="9932" spans="1:14">
      <c r="A9932" s="166"/>
      <c r="H9932" s="1"/>
      <c r="N9932" s="166"/>
    </row>
    <row r="9933" spans="1:14">
      <c r="A9933" s="166"/>
      <c r="H9933" s="1"/>
      <c r="N9933" s="166"/>
    </row>
    <row r="9934" spans="1:14">
      <c r="A9934" s="166"/>
      <c r="H9934" s="1"/>
      <c r="N9934" s="166"/>
    </row>
    <row r="9935" spans="1:14">
      <c r="A9935" s="166"/>
      <c r="H9935" s="1"/>
      <c r="N9935" s="166"/>
    </row>
    <row r="9936" spans="1:14">
      <c r="A9936" s="166"/>
      <c r="H9936" s="1"/>
      <c r="N9936" s="166"/>
    </row>
    <row r="9937" spans="1:14">
      <c r="A9937" s="166"/>
      <c r="H9937" s="1"/>
      <c r="N9937" s="166"/>
    </row>
    <row r="9938" spans="1:14">
      <c r="A9938" s="166"/>
      <c r="H9938" s="1"/>
      <c r="N9938" s="166"/>
    </row>
    <row r="9939" spans="1:14">
      <c r="A9939" s="166"/>
      <c r="H9939" s="1"/>
      <c r="N9939" s="166"/>
    </row>
    <row r="9940" spans="1:14">
      <c r="A9940" s="166"/>
      <c r="H9940" s="1"/>
      <c r="N9940" s="166"/>
    </row>
    <row r="9941" spans="1:14">
      <c r="A9941" s="166"/>
      <c r="H9941" s="1"/>
      <c r="N9941" s="166"/>
    </row>
    <row r="9942" spans="1:14">
      <c r="A9942" s="166"/>
      <c r="H9942" s="1"/>
      <c r="N9942" s="166"/>
    </row>
    <row r="9943" spans="1:14">
      <c r="A9943" s="166"/>
      <c r="H9943" s="1"/>
      <c r="N9943" s="166"/>
    </row>
    <row r="9944" spans="1:14">
      <c r="A9944" s="166"/>
      <c r="H9944" s="1"/>
      <c r="N9944" s="166"/>
    </row>
    <row r="9945" spans="1:14">
      <c r="A9945" s="166"/>
      <c r="H9945" s="1"/>
      <c r="N9945" s="166"/>
    </row>
    <row r="9946" spans="1:14">
      <c r="A9946" s="166"/>
      <c r="H9946" s="1"/>
      <c r="N9946" s="166"/>
    </row>
    <row r="9947" spans="1:14">
      <c r="A9947" s="166"/>
      <c r="H9947" s="1"/>
      <c r="N9947" s="166"/>
    </row>
    <row r="9948" spans="1:14">
      <c r="A9948" s="166"/>
      <c r="H9948" s="1"/>
      <c r="N9948" s="166"/>
    </row>
    <row r="9949" spans="1:14">
      <c r="A9949" s="166"/>
      <c r="H9949" s="1"/>
      <c r="N9949" s="166"/>
    </row>
    <row r="9950" spans="1:14">
      <c r="A9950" s="166"/>
      <c r="H9950" s="1"/>
      <c r="N9950" s="166"/>
    </row>
    <row r="9951" spans="1:14">
      <c r="A9951" s="166"/>
      <c r="H9951" s="1"/>
      <c r="N9951" s="166"/>
    </row>
    <row r="9952" spans="1:14">
      <c r="A9952" s="166"/>
      <c r="H9952" s="1"/>
      <c r="N9952" s="166"/>
    </row>
    <row r="9953" spans="1:14">
      <c r="A9953" s="166"/>
      <c r="H9953" s="1"/>
      <c r="N9953" s="166"/>
    </row>
    <row r="9954" spans="1:14">
      <c r="A9954" s="166"/>
      <c r="H9954" s="1"/>
      <c r="N9954" s="166"/>
    </row>
    <row r="9955" spans="1:14">
      <c r="A9955" s="166"/>
      <c r="H9955" s="1"/>
      <c r="N9955" s="166"/>
    </row>
    <row r="9956" spans="1:14">
      <c r="A9956" s="166"/>
      <c r="H9956" s="1"/>
      <c r="N9956" s="166"/>
    </row>
    <row r="9957" spans="1:14">
      <c r="A9957" s="166"/>
      <c r="H9957" s="1"/>
      <c r="N9957" s="166"/>
    </row>
    <row r="9958" spans="1:14">
      <c r="A9958" s="166"/>
      <c r="H9958" s="1"/>
      <c r="N9958" s="166"/>
    </row>
    <row r="9959" spans="1:14">
      <c r="A9959" s="166"/>
      <c r="H9959" s="1"/>
      <c r="N9959" s="166"/>
    </row>
    <row r="9960" spans="1:14">
      <c r="A9960" s="166"/>
      <c r="H9960" s="1"/>
      <c r="N9960" s="166"/>
    </row>
    <row r="9961" spans="1:14">
      <c r="A9961" s="166"/>
      <c r="H9961" s="1"/>
      <c r="N9961" s="166"/>
    </row>
    <row r="9962" spans="1:14">
      <c r="A9962" s="166"/>
      <c r="H9962" s="1"/>
      <c r="N9962" s="166"/>
    </row>
    <row r="9963" spans="1:14">
      <c r="A9963" s="166"/>
      <c r="H9963" s="1"/>
      <c r="N9963" s="166"/>
    </row>
    <row r="9964" spans="1:14">
      <c r="A9964" s="166"/>
      <c r="H9964" s="1"/>
      <c r="N9964" s="166"/>
    </row>
    <row r="9965" spans="1:14">
      <c r="A9965" s="166"/>
      <c r="H9965" s="1"/>
      <c r="N9965" s="166"/>
    </row>
    <row r="9966" spans="1:14">
      <c r="A9966" s="166"/>
      <c r="H9966" s="1"/>
      <c r="N9966" s="166"/>
    </row>
    <row r="9967" spans="1:14">
      <c r="A9967" s="166"/>
      <c r="H9967" s="1"/>
      <c r="N9967" s="166"/>
    </row>
    <row r="9968" spans="1:14">
      <c r="A9968" s="166"/>
      <c r="H9968" s="1"/>
      <c r="N9968" s="166"/>
    </row>
    <row r="9969" spans="1:14">
      <c r="A9969" s="166"/>
      <c r="H9969" s="1"/>
      <c r="N9969" s="166"/>
    </row>
    <row r="9970" spans="1:14">
      <c r="A9970" s="166"/>
      <c r="H9970" s="1"/>
      <c r="N9970" s="166"/>
    </row>
    <row r="9971" spans="1:14">
      <c r="A9971" s="166"/>
      <c r="H9971" s="1"/>
      <c r="N9971" s="166"/>
    </row>
    <row r="9972" spans="1:14">
      <c r="A9972" s="166"/>
      <c r="H9972" s="1"/>
      <c r="N9972" s="166"/>
    </row>
    <row r="9973" spans="1:14">
      <c r="A9973" s="166"/>
      <c r="H9973" s="1"/>
      <c r="N9973" s="166"/>
    </row>
    <row r="9974" spans="1:14">
      <c r="A9974" s="166"/>
      <c r="H9974" s="1"/>
      <c r="N9974" s="166"/>
    </row>
    <row r="9975" spans="1:14">
      <c r="A9975" s="166"/>
      <c r="H9975" s="1"/>
      <c r="N9975" s="166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allowEditUser xmlns="https://web.wps.cn/et/2018/main" xmlns:s="http://schemas.openxmlformats.org/spreadsheetml/2006/main" hasInvisiblePropRange="0">
  <rangeList sheetStid="18" master="" otherUserPermission="visible"/>
  <rangeList sheetStid="126" master="" otherUserPermission="visible"/>
  <rangeList sheetStid="162" master="" otherUserPermission="visible"/>
  <rangeList sheetStid="11" master="" otherUserPermission="visible"/>
  <rangeList sheetStid="155" master="" otherUserPermission="visible"/>
  <rangeList sheetStid="161" master="" otherUserPermission="visible"/>
  <rangeList sheetStid="160" master="" otherUserPermission="visible"/>
</allowEditUser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A146114-DCC2-4F71-92DF-3688FCA6C835}">
  <ds:schemaRefs/>
</ds:datastoreItem>
</file>

<file path=customXml/itemProps2.xml><?xml version="1.0" encoding="utf-8"?>
<ds:datastoreItem xmlns:ds="http://schemas.openxmlformats.org/officeDocument/2006/customXml" ds:itemID="{6EF8BBA8-CF82-42C9-B29A-8B3E4F803F1E}">
  <ds:schemaRefs/>
</ds:datastoreItem>
</file>

<file path=customXml/itemProps3.xml><?xml version="1.0" encoding="utf-8"?>
<ds:datastoreItem xmlns:ds="http://schemas.openxmlformats.org/officeDocument/2006/customXml" ds:itemID="{9A185569-F6A3-49A7-970C-C47D423BB35A}">
  <ds:schemaRefs/>
</ds:datastoreItem>
</file>

<file path=customXml/itemProps4.xml><?xml version="1.0" encoding="utf-8"?>
<ds:datastoreItem xmlns:ds="http://schemas.openxmlformats.org/officeDocument/2006/customXml" ds:itemID="{38529237-BF91-4D0A-ACA8-6797EAB898B4}">
  <ds:schemaRefs/>
</ds:datastoreItem>
</file>

<file path=customXml/itemProps5.xml><?xml version="1.0" encoding="utf-8"?>
<ds:datastoreItem xmlns:ds="http://schemas.openxmlformats.org/officeDocument/2006/customXml" ds:itemID="{B464BC47-4860-43AD-B72A-7CF080D35490}">
  <ds:schemaRefs/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7.xml><?xml version="1.0" encoding="utf-8"?>
<ds:datastoreItem xmlns:ds="http://schemas.openxmlformats.org/officeDocument/2006/customXml" ds:itemID="{E82F99D7-08D9-4035-AADE-E36301F15745}">
  <ds:schemaRefs/>
</ds:datastoreItem>
</file>

<file path=customXml/itemProps8.xml><?xml version="1.0" encoding="utf-8"?>
<ds:datastoreItem xmlns:ds="http://schemas.openxmlformats.org/officeDocument/2006/customXml" ds:itemID="{C4811BA4-8B53-4627-A40F-23C64101E9A3}">
  <ds:schemaRefs/>
</ds:datastoreItem>
</file>

<file path=customXml/itemProps9.xml><?xml version="1.0" encoding="utf-8"?>
<ds:datastoreItem xmlns:ds="http://schemas.openxmlformats.org/officeDocument/2006/customXml" ds:itemID="{CD209DA5-7099-4ADB-AE36-E92A3AFAEDC2}">
  <ds:schemaRefs/>
</ds:datastoreItem>
</file>

<file path=customXml/itemProps10.xml><?xml version="1.0" encoding="utf-8"?>
<ds:datastoreItem xmlns:ds="http://schemas.openxmlformats.org/officeDocument/2006/customXml" ds:itemID="{39B53B57-20A9-451E-9540-2A1D828FDDB7}">
  <ds:schemaRefs/>
</ds:datastoreItem>
</file>

<file path=customXml/itemProps11.xml><?xml version="1.0" encoding="utf-8"?>
<ds:datastoreItem xmlns:ds="http://schemas.openxmlformats.org/officeDocument/2006/customXml" ds:itemID="{F5E43E3A-0B57-4261-9A47-86185DE611C5}">
  <ds:schemaRefs/>
</ds:datastoreItem>
</file>

<file path=customXml/itemProps12.xml><?xml version="1.0" encoding="utf-8"?>
<ds:datastoreItem xmlns:ds="http://schemas.openxmlformats.org/officeDocument/2006/customXml" ds:itemID="{693B51F4-8576-4107-8313-A73CB3B29888}">
  <ds:schemaRefs/>
</ds:datastoreItem>
</file>

<file path=customXml/itemProps13.xml><?xml version="1.0" encoding="utf-8"?>
<ds:datastoreItem xmlns:ds="http://schemas.openxmlformats.org/officeDocument/2006/customXml" ds:itemID="{C8008C90-7B14-4E5E-99FC-4454C8A3A2B4}">
  <ds:schemaRefs/>
</ds:datastoreItem>
</file>

<file path=customXml/itemProps14.xml><?xml version="1.0" encoding="utf-8"?>
<ds:datastoreItem xmlns:ds="http://schemas.openxmlformats.org/officeDocument/2006/customXml" ds:itemID="{53898E90-1A0A-491C-BB30-BC3CA32909E2}">
  <ds:schemaRefs/>
</ds:datastoreItem>
</file>

<file path=customXml/itemProps15.xml><?xml version="1.0" encoding="utf-8"?>
<ds:datastoreItem xmlns:ds="http://schemas.openxmlformats.org/officeDocument/2006/customXml" ds:itemID="{A52D709B-149F-409C-9DC9-E5C18DD5CB04}">
  <ds:schemaRefs/>
</ds:datastoreItem>
</file>

<file path=customXml/itemProps16.xml><?xml version="1.0" encoding="utf-8"?>
<ds:datastoreItem xmlns:ds="http://schemas.openxmlformats.org/officeDocument/2006/customXml" ds:itemID="{49C5B4A1-44E0-43EE-A467-83F013D60CB3}">
  <ds:schemaRefs/>
</ds:datastoreItem>
</file>

<file path=customXml/itemProps17.xml><?xml version="1.0" encoding="utf-8"?>
<ds:datastoreItem xmlns:ds="http://schemas.openxmlformats.org/officeDocument/2006/customXml" ds:itemID="{2A4F8789-BC06-4E6F-A7C5-163DEAD07FE7}">
  <ds:schemaRefs/>
</ds:datastoreItem>
</file>

<file path=customXml/itemProps18.xml><?xml version="1.0" encoding="utf-8"?>
<ds:datastoreItem xmlns:ds="http://schemas.openxmlformats.org/officeDocument/2006/customXml" ds:itemID="{B7D05F63-6E83-4A25-88E4-2E65DAE92F10}">
  <ds:schemaRefs/>
</ds:datastoreItem>
</file>

<file path=customXml/itemProps19.xml><?xml version="1.0" encoding="utf-8"?>
<ds:datastoreItem xmlns:ds="http://schemas.openxmlformats.org/officeDocument/2006/customXml" ds:itemID="{7A25241E-49AB-44C1-A3D2-D91E9DA39156}">
  <ds:schemaRefs/>
</ds:datastoreItem>
</file>

<file path=customXml/itemProps20.xml><?xml version="1.0" encoding="utf-8"?>
<ds:datastoreItem xmlns:ds="http://schemas.openxmlformats.org/officeDocument/2006/customXml" ds:itemID="{6C6F4F19-CF38-4439-BE1A-9BDC42F8CBD9}">
  <ds:schemaRefs/>
</ds:datastoreItem>
</file>

<file path=customXml/itemProps21.xml><?xml version="1.0" encoding="utf-8"?>
<ds:datastoreItem xmlns:ds="http://schemas.openxmlformats.org/officeDocument/2006/customXml" ds:itemID="{21BD3852-07F1-431B-BC8F-006001AB6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Supply to date 2026</vt:lpstr>
      <vt:lpstr>MTD &amp; YTD for Supply (SOUTH)</vt:lpstr>
      <vt:lpstr>MTD &amp; YTD for Supply(NORTH)</vt:lpstr>
      <vt:lpstr>DAILY TMH April 2026</vt:lpstr>
      <vt:lpstr>MIS April 2026</vt:lpstr>
      <vt:lpstr>Movements Summary</vt:lpstr>
      <vt:lpstr>Uploaded_Data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CONTROL</dc:creator>
  <cp:lastModifiedBy>MARTIN</cp:lastModifiedBy>
  <cp:lastPrinted>2023-11-24T09:54:00Z</cp:lastPrinted>
  <dcterms:created xsi:type="dcterms:W3CDTF">2021-02-04T06:07:00Z</dcterms:created>
  <dcterms:modified xsi:type="dcterms:W3CDTF">2026-04-22T08:37:03Z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D1F8FA737D794949ADB2532F537B5BE0_12</vt:lpwstr>
  </property>
  <property fmtid="{D5CDD505-2E9C-101B-9397-08002B2CF9AE}" pid="3" name="KSOProductBuildVer">
    <vt:lpwstr>1033-12.2.0.23155</vt:lpwstr>
  </property>
</Properties>
</file>