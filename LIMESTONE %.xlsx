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92.xml" ContentType="application/vnd.ms-excel.person+xml"/>
  <Override PartName="/xl/persons/person42.xml" ContentType="application/vnd.ms-excel.person+xml"/>
  <Override PartName="/xl/persons/person61.xml" ContentType="application/vnd.ms-excel.person+xml"/>
  <Override PartName="/xl/persons/person112.xml" ContentType="application/vnd.ms-excel.person+xml"/>
  <Override PartName="/xl/persons/person131.xml" ContentType="application/vnd.ms-excel.person+xml"/>
  <Override PartName="/xl/persons/person144.xml" ContentType="application/vnd.ms-excel.person+xml"/>
  <Override PartName="/xl/persons/person163.xml" ContentType="application/vnd.ms-excel.person+xml"/>
  <Override PartName="/xl/persons/person177.xml" ContentType="application/vnd.ms-excel.person+xml"/>
  <Override PartName="/xl/persons/person198.xml" ContentType="application/vnd.ms-excel.person+xml"/>
  <Override PartName="/xl/persons/person219.xml" ContentType="application/vnd.ms-excel.person+xml"/>
  <Override PartName="/xl/persons/person81.xml" ContentType="application/vnd.ms-excel.person+xml"/>
  <Override PartName="/xl/persons/person26.xml" ContentType="application/vnd.ms-excel.person+xml"/>
  <Override PartName="/xl/persons/person51.xml" ContentType="application/vnd.ms-excel.person+xml"/>
  <Override PartName="/xl/persons/person3.xml" ContentType="application/vnd.ms-excel.person+xml"/>
  <Override PartName="/xl/persons/person123.xml" ContentType="application/vnd.ms-excel.person+xml"/>
  <Override PartName="/xl/persons/person72.xml" ContentType="application/vnd.ms-excel.person+xml"/>
  <Override PartName="/xl/persons/person135.xml" ContentType="application/vnd.ms-excel.person+xml"/>
  <Override PartName="/xl/persons/person155.xml" ContentType="application/vnd.ms-excel.person+xml"/>
  <Override PartName="/xl/persons/person188.xml" ContentType="application/vnd.ms-excel.person+xml"/>
  <Override PartName="/xl/persons/person209.xml" ContentType="application/vnd.ms-excel.person+xml"/>
  <Override PartName="/xl/persons/person9.xml" ContentType="application/vnd.ms-excel.person+xml"/>
  <Override PartName="/xl/persons/person29.xml" ContentType="application/vnd.ms-excel.person+xml"/>
  <Override PartName="/xl/persons/person20.xml" ContentType="application/vnd.ms-excel.person+xml"/>
  <Override PartName="/xl/persons/person120.xml" ContentType="application/vnd.ms-excel.person+xml"/>
  <Override PartName="/xl/persons/person45.xml" ContentType="application/vnd.ms-excel.person+xml"/>
  <Override PartName="/xl/persons/person129.xml" ContentType="application/vnd.ms-excel.person+xml"/>
  <Override PartName="/xl/persons/person63.xml" ContentType="application/vnd.ms-excel.person+xml"/>
  <Override PartName="/xl/persons/person146.xml" ContentType="application/vnd.ms-excel.person+xml"/>
  <Override PartName="/xl/persons/person166.xml" ContentType="application/vnd.ms-excel.person+xml"/>
  <Override PartName="/xl/persons/person179.xml" ContentType="application/vnd.ms-excel.person+xml"/>
  <Override PartName="/xl/persons/person200.xml" ContentType="application/vnd.ms-excel.person+xml"/>
  <Override PartName="/xl/persons/person31.xml" ContentType="application/vnd.ms-excel.person+xml"/>
  <Override PartName="/xl/persons/person10.xml" ContentType="application/vnd.ms-excel.person+xml"/>
  <Override PartName="/xl/persons/person109.xml" ContentType="application/vnd.ms-excel.person+xml"/>
  <Override PartName="/xl/persons/person86.xml" ContentType="application/vnd.ms-excel.person+xml"/>
  <Override PartName="/xl/persons/person36.xml" ContentType="application/vnd.ms-excel.person+xml"/>
  <Override PartName="/xl/persons/person119.xml" ContentType="application/vnd.ms-excel.person+xml"/>
  <Override PartName="/xl/persons/person7.xml" ContentType="application/vnd.ms-excel.person+xml"/>
  <Override PartName="/xl/persons/person54.xml" ContentType="application/vnd.ms-excel.person+xml"/>
  <Override PartName="/xl/persons/person136.xml" ContentType="application/vnd.ms-excel.person+xml"/>
  <Override PartName="/xl/persons/person156.xml" ContentType="application/vnd.ms-excel.person+xml"/>
  <Override PartName="/xl/persons/person190.xml" ContentType="application/vnd.ms-excel.person+xml"/>
  <Override PartName="/xl/persons/person25.xml" ContentType="application/vnd.ms-excel.person+xml"/>
  <Override PartName="/xl/persons/person211.xml" ContentType="application/vnd.ms-excel.person+xml"/>
  <Override PartName="/xl/persons/person33.xml" ContentType="application/vnd.ms-excel.person+xml"/>
  <Override PartName="/xl/persons/person99.xml" ContentType="application/vnd.ms-excel.person+xml"/>
  <Override PartName="/xl/persons/person128.xml" ContentType="application/vnd.ms-excel.person+xml"/>
  <Override PartName="/xl/persons/person108.xml" ContentType="application/vnd.ms-excel.person+xml"/>
  <Override PartName="/xl/persons/person65.xml" ContentType="application/vnd.ms-excel.person+xml"/>
  <Override PartName="/xl/persons/person43.xml" ContentType="application/vnd.ms-excel.person+xml"/>
  <Override PartName="/xl/persons/person11.xml" ContentType="application/vnd.ms-excel.person+xml"/>
  <Override PartName="/xl/persons/person149.xml" ContentType="application/vnd.ms-excel.person+xml"/>
  <Override PartName="/xl/persons/person167.xml" ContentType="application/vnd.ms-excel.person+xml"/>
  <Override PartName="/xl/persons/person176.xml" ContentType="application/vnd.ms-excel.person+xml"/>
  <Override PartName="/xl/persons/person180.xml" ContentType="application/vnd.ms-excel.person+xml"/>
  <Override PartName="/xl/persons/person196.xml" ContentType="application/vnd.ms-excel.person+xml"/>
  <Override PartName="/xl/persons/person201.xml" ContentType="application/vnd.ms-excel.person+xml"/>
  <Override PartName="/xl/persons/person217.xml" ContentType="application/vnd.ms-excel.person+xml"/>
  <Override PartName="/xl/persons/person21.xml" ContentType="application/vnd.ms-excel.person+xml"/>
  <Override PartName="/xl/persons/person85.xml" ContentType="application/vnd.ms-excel.person+xml"/>
  <Override PartName="/xl/persons/person18.xml" ContentType="application/vnd.ms-excel.person+xml"/>
  <Override PartName="/xl/persons/person35.xml" ContentType="application/vnd.ms-excel.person+xml"/>
  <Override PartName="/xl/persons/person145.xml" ContentType="application/vnd.ms-excel.person+xml"/>
  <Override PartName="/xl/persons/person124.xml" ContentType="application/vnd.ms-excel.person+xml"/>
  <Override PartName="/xl/persons/person116.xml" ContentType="application/vnd.ms-excel.person+xml"/>
  <Override PartName="/xl/persons/person101.xml" ContentType="application/vnd.ms-excel.person+xml"/>
  <Override PartName="/xl/persons/person96.xml" ContentType="application/vnd.ms-excel.person+xml"/>
  <Override PartName="/xl/persons/person80.xml" ContentType="application/vnd.ms-excel.person+xml"/>
  <Override PartName="/xl/persons/person52.xml" ContentType="application/vnd.ms-excel.person+xml"/>
  <Override PartName="/xl/persons/person74.xml" ContentType="application/vnd.ms-excel.person+xml"/>
  <Override PartName="/xl/persons/person162.xml" ContentType="application/vnd.ms-excel.person+xml"/>
  <Override PartName="/xl/persons/person140.xml" ContentType="application/vnd.ms-excel.person+xml"/>
  <Override PartName="/xl/persons/person48.xml" ContentType="application/vnd.ms-excel.person+xml"/>
  <Override PartName="/xl/persons/person69.xml" ContentType="application/vnd.ms-excel.person+xml"/>
  <Override PartName="/xl/persons/person157.xml" ContentType="application/vnd.ms-excel.person+xml"/>
  <Override PartName="/xl/persons/person186.xml" ContentType="application/vnd.ms-excel.person+xml"/>
  <Override PartName="/xl/persons/person191.xml" ContentType="application/vnd.ms-excel.person+xml"/>
  <Override PartName="/xl/persons/person207.xml" ContentType="application/vnd.ms-excel.person+xml"/>
  <Override PartName="/xl/persons/person212.xml" ContentType="application/vnd.ms-excel.person+xml"/>
  <Override PartName="/xl/persons/person34.xml" ContentType="application/vnd.ms-excel.person+xml"/>
  <Override PartName="/xl/persons/person221.xml" ContentType="application/vnd.ms-excel.person+xml"/>
  <Override PartName="/xl/persons/person222.xml" ContentType="application/vnd.ms-excel.person+xml"/>
  <Override PartName="/xl/persons/person27.xml" ContentType="application/vnd.ms-excel.person+xml"/>
  <Override PartName="/xl/persons/person154.xml" ContentType="application/vnd.ms-excel.person+xml"/>
  <Override PartName="/xl/persons/person133.xml" ContentType="application/vnd.ms-excel.person+xml"/>
  <Override PartName="/xl/persons/person111.xml" ContentType="application/vnd.ms-excel.person+xml"/>
  <Override PartName="/xl/persons/person106.xml" ContentType="application/vnd.ms-excel.person+xml"/>
  <Override PartName="/xl/persons/person44.xml" ContentType="application/vnd.ms-excel.person+xml"/>
  <Override PartName="/xl/persons/person64.xml" ContentType="application/vnd.ms-excel.person+xml"/>
  <Override PartName="/xl/persons/person84.xml" ContentType="application/vnd.ms-excel.person+xml"/>
  <Override PartName="/xl/persons/person89.xml" ContentType="application/vnd.ms-excel.person+xml"/>
  <Override PartName="/xl/persons/person174.xml" ContentType="application/vnd.ms-excel.person+xml"/>
  <Override PartName="/xl/persons/person170.xml" ContentType="application/vnd.ms-excel.person+xml"/>
  <Override PartName="/xl/persons/person148.xml" ContentType="application/vnd.ms-excel.person+xml"/>
  <Override PartName="/xl/persons/person127.xml" ContentType="application/vnd.ms-excel.person+xml"/>
  <Override PartName="/xl/persons/person39.xml" ContentType="application/vnd.ms-excel.person+xml"/>
  <Override PartName="/xl/persons/person60.xml" ContentType="application/vnd.ms-excel.person+xml"/>
  <Override PartName="/xl/persons/person6.xml" ContentType="application/vnd.ms-excel.person+xml"/>
  <Override PartName="/xl/persons/person181.xml" ContentType="application/vnd.ms-excel.person+xml"/>
  <Override PartName="/xl/persons/person202.xml" ContentType="application/vnd.ms-excel.person+xml"/>
  <Override PartName="/xl/persons/person104.xml" ContentType="application/vnd.ms-excel.person+xml"/>
  <Override PartName="/xl/persons/person16.xml" ContentType="application/vnd.ms-excel.person+xml"/>
  <Override PartName="/xl/persons/person197.xml" ContentType="application/vnd.ms-excel.person+xml"/>
  <Override PartName="/xl/persons/person213.xml" ContentType="application/vnd.ms-excel.person+xml"/>
  <Override PartName="/xl/persons/person218.xml" ContentType="application/vnd.ms-excel.person+xml"/>
  <Override PartName="/xl/persons/person143.xml" ContentType="application/vnd.ms-excel.person+xml"/>
  <Override PartName="/xl/persons/person122.xml" ContentType="application/vnd.ms-excel.person+xml"/>
  <Override PartName="/xl/persons/person55.xml" ContentType="application/vnd.ms-excel.person+xml"/>
  <Override PartName="/xl/persons/person12.xml" ContentType="application/vnd.ms-excel.person+xml"/>
  <Override PartName="/xl/persons/person79.xml" ContentType="application/vnd.ms-excel.person+xml"/>
  <Override PartName="/xl/persons/person100.xml" ContentType="application/vnd.ms-excel.person+xml"/>
  <Override PartName="/xl/persons/person37.xml" ContentType="application/vnd.ms-excel.person+xml"/>
  <Override PartName="/xl/persons/person165.xml" ContentType="application/vnd.ms-excel.person+xml"/>
  <Override PartName="/xl/persons/person160.xml" ContentType="application/vnd.ms-excel.person+xml"/>
  <Override PartName="/xl/persons/person138.xml" ContentType="application/vnd.ms-excel.person+xml"/>
  <Override PartName="/xl/persons/person78.xml" ContentType="application/vnd.ms-excel.person+xml"/>
  <Override PartName="/xl/persons/person1.xml" ContentType="application/vnd.ms-excel.person+xml"/>
  <Override PartName="/xl/persons/person71.xml" ContentType="application/vnd.ms-excel.person+xml"/>
  <Override PartName="/xl/persons/person95.xml" ContentType="application/vnd.ms-excel.person+xml"/>
  <Override PartName="/xl/persons/person115.xml" ContentType="application/vnd.ms-excel.person+xml"/>
  <Override PartName="/xl/persons/person192.xml" ContentType="application/vnd.ms-excel.person+xml"/>
  <Override PartName="/xl/persons/person13.xml" ContentType="application/vnd.ms-excel.person+xml"/>
  <Override PartName="/xl/persons/person0.xml" ContentType="application/vnd.ms-excel.person+xml"/>
  <Override PartName="/xl/persons/person187.xml" ContentType="application/vnd.ms-excel.person+xml"/>
  <Override PartName="/xl/persons/person203.xml" ContentType="application/vnd.ms-excel.person+xml"/>
  <Override PartName="/xl/persons/person208.xml" ContentType="application/vnd.ms-excel.person+xml"/>
  <Override PartName="/xl/persons/person32.xml" ContentType="application/vnd.ms-excel.person+xml"/>
  <Override PartName="/xl/persons/person23.xml" ContentType="application/vnd.ms-excel.person+xml"/>
  <Override PartName="/xl/persons/person132.xml" ContentType="application/vnd.ms-excel.person+xml"/>
  <Override PartName="/xl/persons/person93.xml" ContentType="application/vnd.ms-excel.person+xml"/>
  <Override PartName="/xl/persons/person47.xml" ContentType="application/vnd.ms-excel.person+xml"/>
  <Override PartName="/xl/persons/person110.xml" ContentType="application/vnd.ms-excel.person+xml"/>
  <Override PartName="/xl/persons/person184.xml" ContentType="application/vnd.ms-excel.person+xml"/>
  <Override PartName="/xl/persons/person169.xml" ContentType="application/vnd.ms-excel.person+xml"/>
  <Override PartName="/xl/persons/person153.xml" ContentType="application/vnd.ms-excel.person+xml"/>
  <Override PartName="/xl/persons/person147.xml" ContentType="application/vnd.ms-excel.person+xml"/>
  <Override PartName="/xl/persons/person88.xml" ContentType="application/vnd.ms-excel.person+xml"/>
  <Override PartName="/xl/persons/person67.xml" ContentType="application/vnd.ms-excel.person+xml"/>
  <Override PartName="/xl/persons/person62.xml" ContentType="application/vnd.ms-excel.person+xml"/>
  <Override PartName="/xl/persons/person41.xml" ContentType="application/vnd.ms-excel.person+xml"/>
  <Override PartName="/xl/persons/person105.xml" ContentType="application/vnd.ms-excel.person+xml"/>
  <Override PartName="/xl/persons/person4.xml" ContentType="application/vnd.ms-excel.person+xml"/>
  <Override PartName="/xl/persons/person17.xml" ContentType="application/vnd.ms-excel.person+xml"/>
  <Override PartName="/xl/persons/person220.xml" ContentType="application/vnd.ms-excel.person+xml"/>
  <Override PartName="/xl/persons/person216.xml" ContentType="application/vnd.ms-excel.person+xml"/>
  <Override PartName="/xl/persons/person199.xml" ContentType="application/vnd.ms-excel.person+xml"/>
  <Override PartName="/xl/persons/person195.xml" ContentType="application/vnd.ms-excel.person+xml"/>
  <Override PartName="/xl/persons/person178.xml" ContentType="application/vnd.ms-excel.person+xml"/>
  <Override PartName="/xl/persons/person164.xml" ContentType="application/vnd.ms-excel.person+xml"/>
  <Override PartName="/xl/persons/person19.xml" ContentType="application/vnd.ms-excel.person+xml"/>
  <Override PartName="/xl/persons/person102.xml" ContentType="application/vnd.ms-excel.person+xml"/>
  <Override PartName="/xl/persons/person82.xml" ContentType="application/vnd.ms-excel.person+xml"/>
  <Override PartName="/xl/persons/person159.xml" ContentType="application/vnd.ms-excel.person+xml"/>
  <Override PartName="/xl/persons/person118.xml" ContentType="application/vnd.ms-excel.person+xml"/>
  <Override PartName="/xl/persons/person98.xml" ContentType="application/vnd.ms-excel.person+xml"/>
  <Override PartName="/xl/persons/person77.xml" ContentType="application/vnd.ms-excel.person+xml"/>
  <Override PartName="/xl/persons/person75.xml" ContentType="application/vnd.ms-excel.person+xml"/>
  <Override PartName="/xl/persons/person73.xml" ContentType="application/vnd.ms-excel.person+xml"/>
  <Override PartName="/xl/persons/person53.xml" ContentType="application/vnd.ms-excel.person+xml"/>
  <Override PartName="/xl/persons/person56.xml" ContentType="application/vnd.ms-excel.person+xml"/>
  <Override PartName="/xl/persons/person121.xml" ContentType="application/vnd.ms-excel.person+xml"/>
  <Override PartName="/xl/persons/person137.xml" ContentType="application/vnd.ms-excel.person+xml"/>
  <Override PartName="/xl/persons/person142.xml" ContentType="application/vnd.ms-excel.person+xml"/>
  <Override PartName="/xl/persons/person22.xml" ContentType="application/vnd.ms-excel.person+xml"/>
  <Override PartName="/xl/persons/person8.xml" ContentType="application/vnd.ms-excel.person+xml"/>
  <Override PartName="/xl/persons/person210.xml" ContentType="application/vnd.ms-excel.person+xml"/>
  <Override PartName="/xl/persons/person189.xml" ContentType="application/vnd.ms-excel.person+xml"/>
  <Override PartName="/xl/persons/person183.xml" ContentType="application/vnd.ms-excel.person+xml"/>
  <Override PartName="/xl/persons/person152.xml" ContentType="application/vnd.ms-excel.person+xml"/>
  <Override PartName="/xl/persons/person30.xml" ContentType="application/vnd.ms-excel.person+xml"/>
  <Override PartName="/xl/persons/person2.xml" ContentType="application/vnd.ms-excel.person+xml"/>
  <Override PartName="/xl/persons/person206.xml" ContentType="application/vnd.ms-excel.person+xml"/>
  <Override PartName="/xl/persons/person46.xml" ContentType="application/vnd.ms-excel.person+xml"/>
  <Override PartName="/xl/persons/person66.xml" ContentType="application/vnd.ms-excel.person+xml"/>
  <Override PartName="/xl/persons/person87.xml" ContentType="application/vnd.ms-excel.person+xml"/>
  <Override PartName="/xl/persons/person107.xml" ContentType="application/vnd.ms-excel.person+xml"/>
  <Override PartName="/xl/persons/person126.xml" ContentType="application/vnd.ms-excel.person+xml"/>
  <Override PartName="/xl/persons/person5.xml" ContentType="application/vnd.ms-excel.person+xml"/>
  <Override PartName="/xl/persons/person168.xml" ContentType="application/vnd.ms-excel.person+xml"/>
  <Override PartName="/xl/persons/person173.xml" ContentType="application/vnd.ms-excel.person+xml"/>
  <Override PartName="/xl/persons/person15.xml" ContentType="application/vnd.ms-excel.person+xml"/>
  <Override PartName="/xl/persons/person215.xml" ContentType="application/vnd.ms-excel.person+xml"/>
  <Override PartName="/xl/persons/person194.xml" ContentType="application/vnd.ms-excel.person+xml"/>
  <Override PartName="/xl/persons/person57.xml" ContentType="application/vnd.ms-excel.person+xml"/>
  <Override PartName="/xl/persons/person76.xml" ContentType="application/vnd.ms-excel.person+xml"/>
  <Override PartName="/xl/persons/person97.xml" ContentType="application/vnd.ms-excel.person+xml"/>
  <Override PartName="/xl/persons/person117.xml" ContentType="application/vnd.ms-excel.person+xml"/>
  <Override PartName="/xl/persons/person68.xml" ContentType="application/vnd.ms-excel.person+xml"/>
  <Override PartName="/xl/persons/person139.xml" ContentType="application/vnd.ms-excel.person+xml"/>
  <Override PartName="/xl/persons/person158.xml" ContentType="application/vnd.ms-excel.person+xml"/>
  <Override PartName="/xl/persons/person24.xml" ContentType="application/vnd.ms-excel.person+xml"/>
  <Override PartName="/xl/persons/person.xml" ContentType="application/vnd.ms-excel.person+xml"/>
  <Override PartName="/xl/persons/person205.xml" ContentType="application/vnd.ms-excel.person+xml"/>
  <Override PartName="/xl/persons/person182.xml" ContentType="application/vnd.ms-excel.person+xml"/>
  <Override PartName="/xl/persons/person114.xml" ContentType="application/vnd.ms-excel.person+xml"/>
  <Override PartName="/xl/persons/person91.xml" ContentType="application/vnd.ms-excel.person+xml"/>
  <Override PartName="/xl/persons/person50.xml" ContentType="application/vnd.ms-excel.person+xml"/>
  <Override PartName="/xl/persons/person58.xml" ContentType="application/vnd.ms-excel.person+xml"/>
  <Override PartName="/xl/persons/person130.xml" ContentType="application/vnd.ms-excel.person+xml"/>
  <Override PartName="/xl/persons/person150.xml" ContentType="application/vnd.ms-excel.person+xml"/>
  <Override PartName="/xl/persons/person171.xml" ContentType="application/vnd.ms-excel.person+xml"/>
  <Override PartName="/xl/persons/person14.xml" ContentType="application/vnd.ms-excel.person+xml"/>
  <Override PartName="/xl/persons/person175.xml" ContentType="application/vnd.ms-excel.person+xml"/>
  <Override PartName="/xl/persons/person193.xml" ContentType="application/vnd.ms-excel.person+xml"/>
  <Override PartName="/xl/persons/person214.xml" ContentType="application/vnd.ms-excel.person+xml"/>
  <Override PartName="/xl/persons/person103.xml" ContentType="application/vnd.ms-excel.person+xml"/>
  <Override PartName="/xl/persons/person83.xml" ContentType="application/vnd.ms-excel.person+xml"/>
  <Override PartName="/xl/persons/person38.xml" ContentType="application/vnd.ms-excel.person+xml"/>
  <Override PartName="/xl/persons/person125.xml" ContentType="application/vnd.ms-excel.person+xml"/>
  <Override PartName="/xl/persons/person70.xml" ContentType="application/vnd.ms-excel.person+xml"/>
  <Override PartName="/xl/persons/person49.xml" ContentType="application/vnd.ms-excel.person+xml"/>
  <Override PartName="/xl/persons/person141.xml" ContentType="application/vnd.ms-excel.person+xml"/>
  <Override PartName="/xl/persons/person161.xml" ContentType="application/vnd.ms-excel.person+xml"/>
  <Override PartName="/xl/persons/person185.xml" ContentType="application/vnd.ms-excel.person+xml"/>
  <Override PartName="/xl/persons/person204.xml" ContentType="application/vnd.ms-excel.person+xml"/>
  <Override PartName="/xl/persons/person94.xml" ContentType="application/vnd.ms-excel.person+xml"/>
  <Override PartName="/xl/persons/person28.xml" ContentType="application/vnd.ms-excel.person+xml"/>
  <Override PartName="/xl/persons/person90.xml" ContentType="application/vnd.ms-excel.person+xml"/>
  <Override PartName="/xl/persons/person134.xml" ContentType="application/vnd.ms-excel.person+xml"/>
  <Override PartName="/xl/persons/person113.xml" ContentType="application/vnd.ms-excel.person+xml"/>
  <Override PartName="/xl/persons/person40.xml" ContentType="application/vnd.ms-excel.person+xml"/>
  <Override PartName="/xl/persons/person59.xml" ContentType="application/vnd.ms-excel.person+xml"/>
  <Override PartName="/xl/persons/person151.xml" ContentType="application/vnd.ms-excel.person+xml"/>
  <Override PartName="/xl/persons/person172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LCL PRODUCTION\OneDrive - LAKE CEMENT LIMITED\Desktop\"/>
    </mc:Choice>
  </mc:AlternateContent>
  <xr:revisionPtr revIDLastSave="409" documentId="6_{05E35DC1-854B-4910-B453-57A513F5AC6B}" xr6:coauthVersionLast="36" xr6:coauthVersionMax="36" xr10:uidLastSave="{18514A79-C4B6-4B0E-B907-2708B8838B56}"/>
  <bookViews>
    <workbookView xWindow="-120" yWindow="-120" windowWidth="20730" windowHeight="11160" firstSheet="47" activeTab="53" xr2:uid="{00000000-000D-0000-FFFF-FFFF00000000}"/>
  </bookViews>
  <sheets>
    <sheet name="ODOO VS ERP" sheetId="14" r:id="rId1"/>
    <sheet name="Feb 22" sheetId="1" r:id="rId2"/>
    <sheet name="March 22" sheetId="3" r:id="rId3"/>
    <sheet name="April 22" sheetId="4" r:id="rId4"/>
    <sheet name="May 2022" sheetId="5" r:id="rId5"/>
    <sheet name="JUNE 2022" sheetId="7" r:id="rId6"/>
    <sheet name="JULY 2022" sheetId="8" r:id="rId7"/>
    <sheet name="AUGUST 2022" sheetId="9" r:id="rId8"/>
    <sheet name="SEPTEMBER 2022" sheetId="10" r:id="rId9"/>
    <sheet name="OCT 2022" sheetId="11" r:id="rId10"/>
    <sheet name="NOV 2022" sheetId="12" r:id="rId11"/>
    <sheet name="DEC 2022" sheetId="13" r:id="rId12"/>
    <sheet name="JAN 2023" sheetId="15" r:id="rId13"/>
    <sheet name="FEB 2023" sheetId="16" r:id="rId14"/>
    <sheet name="MARCH 2023" sheetId="17" r:id="rId15"/>
    <sheet name="APRIL  2023" sheetId="18" r:id="rId16"/>
    <sheet name="MAY 2023" sheetId="19" r:id="rId17"/>
    <sheet name="JUNE 2023" sheetId="20" r:id="rId18"/>
    <sheet name="JULY 2023" sheetId="21" r:id="rId19"/>
    <sheet name="AUGUST 2023" sheetId="22" r:id="rId20"/>
    <sheet name="SEPTEMBER 2023" sheetId="23" r:id="rId21"/>
    <sheet name="OCT 2023" sheetId="24" r:id="rId22"/>
    <sheet name="NOV 2023" sheetId="25" r:id="rId23"/>
    <sheet name="DEC 2023" sheetId="27" r:id="rId24"/>
    <sheet name="JAN 2024" sheetId="29" r:id="rId25"/>
    <sheet name="FEB 2024" sheetId="30" r:id="rId26"/>
    <sheet name="MARCH 2024 " sheetId="32" r:id="rId27"/>
    <sheet name="APRIL 2024  " sheetId="33" r:id="rId28"/>
    <sheet name="MAY 2024" sheetId="35" r:id="rId29"/>
    <sheet name="JUNE" sheetId="34" r:id="rId30"/>
    <sheet name="JULY" sheetId="36" r:id="rId31"/>
    <sheet name="AUG" sheetId="37" r:id="rId32"/>
    <sheet name="AUG (NEW)" sheetId="38" r:id="rId33"/>
    <sheet name="SEPT" sheetId="39" r:id="rId34"/>
    <sheet name="OCT 2024" sheetId="40" r:id="rId35"/>
    <sheet name="NOV 2024" sheetId="41" r:id="rId36"/>
    <sheet name="DEC 2024" sheetId="42" r:id="rId37"/>
    <sheet name="JAN 2025" sheetId="43" r:id="rId38"/>
    <sheet name="FEB 2025" sheetId="44" r:id="rId39"/>
    <sheet name="MARCH 2025" sheetId="45" r:id="rId40"/>
    <sheet name="APRIL 2025" sheetId="46" r:id="rId41"/>
    <sheet name="MAY 2025" sheetId="47" r:id="rId42"/>
    <sheet name="JUNE 2025" sheetId="48" r:id="rId43"/>
    <sheet name="JULY 2025" sheetId="49" r:id="rId44"/>
    <sheet name="August 2025 " sheetId="50" r:id="rId45"/>
    <sheet name="SEPT 2025 " sheetId="52" r:id="rId46"/>
    <sheet name="OCT 2025" sheetId="53" r:id="rId47"/>
    <sheet name="NOV 2025" sheetId="54" r:id="rId48"/>
    <sheet name="DEC 2025" sheetId="55" r:id="rId49"/>
    <sheet name="JAN 2026" sheetId="56" r:id="rId50"/>
    <sheet name="Feb 2026" sheetId="57" r:id="rId51"/>
    <sheet name="March 2026" sheetId="58" r:id="rId52"/>
    <sheet name="APRIL 2026" sheetId="59" r:id="rId53"/>
    <sheet name="MAY 2026" sheetId="60" r:id="rId54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2" i="60" l="1"/>
  <c r="V2" i="60" l="1"/>
  <c r="U2" i="60" l="1"/>
  <c r="T2" i="60" l="1"/>
  <c r="S2" i="60" l="1"/>
  <c r="R2" i="60" l="1"/>
  <c r="Q2" i="60" l="1"/>
  <c r="P2" i="60" l="1"/>
  <c r="O2" i="60" l="1"/>
  <c r="N2" i="60" l="1"/>
  <c r="M2" i="60"/>
  <c r="L2" i="60"/>
  <c r="K2" i="60"/>
  <c r="J2" i="60"/>
  <c r="I2" i="60"/>
  <c r="H2" i="60"/>
  <c r="G2" i="60"/>
  <c r="F2" i="60"/>
  <c r="E2" i="60"/>
  <c r="D2" i="60"/>
  <c r="AG2" i="59" l="1"/>
  <c r="AF2" i="59" l="1"/>
  <c r="AE2" i="59" l="1"/>
  <c r="AD2" i="59" l="1"/>
  <c r="AC2" i="59" l="1"/>
  <c r="AB2" i="59" l="1"/>
  <c r="AA2" i="59" l="1"/>
  <c r="Z2" i="59" l="1"/>
  <c r="Y2" i="59" l="1"/>
  <c r="X2" i="59" l="1"/>
  <c r="W2" i="59" l="1"/>
  <c r="V2" i="59" l="1"/>
  <c r="U2" i="59" l="1"/>
  <c r="T2" i="59" l="1"/>
  <c r="S2" i="59" l="1"/>
  <c r="R2" i="59" l="1"/>
  <c r="Q2" i="59" l="1"/>
  <c r="P2" i="59" l="1"/>
  <c r="O2" i="59" l="1"/>
  <c r="N2" i="59" l="1"/>
  <c r="M2" i="59" l="1"/>
  <c r="L2" i="59" l="1"/>
  <c r="K2" i="59" l="1"/>
  <c r="J2" i="59" l="1"/>
  <c r="I2" i="59" l="1"/>
  <c r="H2" i="59"/>
  <c r="G2" i="59" l="1"/>
  <c r="F2" i="59" l="1"/>
  <c r="E2" i="59" l="1"/>
  <c r="D2" i="59" l="1"/>
  <c r="AG2" i="58" l="1"/>
  <c r="AF2" i="58" l="1"/>
  <c r="AE2" i="58" l="1"/>
  <c r="AD2" i="58"/>
  <c r="AC2" i="58" l="1"/>
  <c r="AB2" i="58" l="1"/>
  <c r="AA2" i="58" l="1"/>
  <c r="Z2" i="58" l="1"/>
  <c r="Y2" i="58" l="1"/>
  <c r="X2" i="58" l="1"/>
  <c r="W2" i="58" l="1"/>
  <c r="V2" i="58" l="1"/>
  <c r="U2" i="58" l="1"/>
  <c r="T2" i="58" l="1"/>
  <c r="S2" i="58" l="1"/>
  <c r="R2" i="58" l="1"/>
  <c r="Q2" i="58" l="1"/>
  <c r="P2" i="58" l="1"/>
  <c r="O2" i="58" l="1"/>
  <c r="N2" i="58" l="1"/>
  <c r="M2" i="58" l="1"/>
  <c r="L2" i="58" l="1"/>
  <c r="K2" i="58" l="1"/>
  <c r="J2" i="58"/>
  <c r="I2" i="58" l="1"/>
  <c r="H2" i="58" l="1"/>
  <c r="G2" i="58" l="1"/>
  <c r="F2" i="58" l="1"/>
  <c r="E2" i="58" l="1"/>
  <c r="D2" i="58" l="1"/>
  <c r="AE2" i="57" l="1"/>
  <c r="AD2" i="57" l="1"/>
  <c r="AC2" i="57" l="1"/>
  <c r="AB2" i="57" l="1"/>
  <c r="AA2" i="57" l="1"/>
  <c r="Z2" i="57" l="1"/>
  <c r="Y2" i="57" l="1"/>
  <c r="X2" i="57"/>
  <c r="W2" i="57" l="1"/>
  <c r="V2" i="57" l="1"/>
  <c r="U2" i="57" l="1"/>
  <c r="T2" i="57" l="1"/>
  <c r="S2" i="57" l="1"/>
  <c r="R2" i="57" l="1"/>
  <c r="Q2" i="57"/>
  <c r="P2" i="57" l="1"/>
  <c r="O2" i="57" l="1"/>
  <c r="N2" i="57" l="1"/>
  <c r="M2" i="57" l="1"/>
  <c r="L2" i="57" l="1"/>
  <c r="K2" i="57" l="1"/>
  <c r="J2" i="57"/>
  <c r="I2" i="57" l="1"/>
  <c r="H2" i="57" l="1"/>
  <c r="G2" i="57" l="1"/>
  <c r="F2" i="57" l="1"/>
  <c r="E2" i="57" l="1"/>
  <c r="D2" i="57" l="1"/>
  <c r="AH16" i="56" l="1"/>
  <c r="AG16" i="56" l="1"/>
  <c r="AF16" i="56" l="1"/>
  <c r="AE16" i="56" l="1"/>
  <c r="AD16" i="56" l="1"/>
  <c r="AC16" i="56" l="1"/>
  <c r="AB16" i="56" l="1"/>
  <c r="AA16" i="56" l="1"/>
  <c r="Z16" i="56" l="1"/>
  <c r="Y16" i="56" l="1"/>
  <c r="X16" i="56" l="1"/>
  <c r="W16" i="56" l="1"/>
  <c r="V16" i="56" l="1"/>
  <c r="U16" i="56" l="1"/>
  <c r="T16" i="56"/>
  <c r="S16" i="56" l="1"/>
  <c r="R16" i="56" l="1"/>
  <c r="Q16" i="56" l="1"/>
  <c r="P16" i="56" l="1"/>
  <c r="O16" i="56" l="1"/>
  <c r="N16" i="56"/>
  <c r="M16" i="56"/>
  <c r="L16" i="56" l="1"/>
  <c r="K16" i="56" l="1"/>
  <c r="J16" i="56" l="1"/>
  <c r="I16" i="56" l="1"/>
  <c r="H16" i="56"/>
  <c r="G16" i="56" l="1"/>
  <c r="F16" i="56"/>
  <c r="E16" i="56" l="1"/>
  <c r="D2" i="56" l="1"/>
  <c r="AH16" i="55"/>
  <c r="AG16" i="55" l="1"/>
  <c r="AF16" i="55" l="1"/>
  <c r="AE16" i="55"/>
  <c r="AD16" i="55"/>
  <c r="AC16" i="55" l="1"/>
  <c r="AB16" i="55"/>
  <c r="AA16" i="55"/>
  <c r="Z16" i="55" l="1"/>
  <c r="Y16" i="55" l="1"/>
  <c r="X16" i="55" l="1"/>
  <c r="W16" i="55" l="1"/>
  <c r="V16" i="55" l="1"/>
  <c r="U16" i="55" l="1"/>
  <c r="T16" i="55" l="1"/>
  <c r="S16" i="55" l="1"/>
  <c r="R16" i="55" l="1"/>
  <c r="Q16" i="55" l="1"/>
  <c r="P16" i="55"/>
  <c r="O16" i="55"/>
  <c r="N16" i="55" l="1"/>
  <c r="M16" i="55" l="1"/>
  <c r="L16" i="55" l="1"/>
  <c r="K16" i="55"/>
  <c r="J16" i="55"/>
  <c r="I16" i="55"/>
  <c r="H16" i="55"/>
  <c r="G16" i="55" l="1"/>
  <c r="F2" i="55" l="1"/>
  <c r="E2" i="55"/>
  <c r="D2" i="55" l="1"/>
  <c r="AG2" i="54" l="1"/>
  <c r="AF2" i="54"/>
  <c r="AE2" i="54"/>
  <c r="AD2" i="54" l="1"/>
  <c r="AC2" i="54" l="1"/>
  <c r="AB2" i="54" l="1"/>
  <c r="AA2" i="54" l="1"/>
  <c r="Z2" i="54"/>
  <c r="Y2" i="54"/>
  <c r="X2" i="54"/>
  <c r="W2" i="54" l="1"/>
  <c r="V2" i="54" l="1"/>
  <c r="U2" i="54" l="1"/>
  <c r="T2" i="54" l="1"/>
  <c r="S2" i="54" l="1"/>
  <c r="R2" i="54"/>
  <c r="Q2" i="54"/>
  <c r="P2" i="54" l="1"/>
  <c r="O2" i="54" l="1"/>
  <c r="N2" i="54" l="1"/>
  <c r="M2" i="54"/>
  <c r="L2" i="54"/>
  <c r="K2" i="54"/>
  <c r="J2" i="54"/>
  <c r="I2" i="54"/>
  <c r="H2" i="54"/>
  <c r="G2" i="54"/>
  <c r="F2" i="54"/>
  <c r="E2" i="54"/>
  <c r="D2" i="54"/>
  <c r="AH2" i="53" l="1"/>
  <c r="AG2" i="53"/>
  <c r="AF2" i="53"/>
  <c r="AE2" i="53"/>
  <c r="AD2" i="53" l="1"/>
  <c r="AC2" i="53" l="1"/>
  <c r="AB2" i="53"/>
  <c r="AA2" i="53"/>
  <c r="Z2" i="53" l="1"/>
  <c r="Y2" i="53" l="1"/>
  <c r="X2" i="53" l="1"/>
  <c r="W2" i="53" l="1"/>
  <c r="V2" i="53" l="1"/>
  <c r="U2" i="53"/>
  <c r="T2" i="53"/>
  <c r="S2" i="53" l="1"/>
  <c r="R2" i="53" l="1"/>
  <c r="Q2" i="53" l="1"/>
  <c r="P2" i="53"/>
  <c r="O2" i="53" l="1"/>
  <c r="N2" i="53"/>
  <c r="M2" i="53"/>
  <c r="L2" i="53" l="1"/>
  <c r="K2" i="53" l="1"/>
  <c r="J2" i="53" l="1"/>
  <c r="I2" i="53" l="1"/>
  <c r="H2" i="53"/>
  <c r="G2" i="53"/>
  <c r="F2" i="53"/>
  <c r="E2" i="53" l="1"/>
  <c r="D2" i="53" l="1"/>
  <c r="AG2" i="52" l="1"/>
  <c r="AF2" i="52" l="1"/>
  <c r="AE2" i="52"/>
  <c r="AD2" i="52"/>
  <c r="AC2" i="52"/>
  <c r="AB2" i="52" l="1"/>
  <c r="AA2" i="52" l="1"/>
  <c r="Z2" i="52" l="1"/>
  <c r="Y2" i="52" l="1"/>
  <c r="X2" i="52" l="1"/>
  <c r="W2" i="52"/>
  <c r="V2" i="52" l="1"/>
  <c r="U2" i="52" l="1"/>
  <c r="T2" i="52" l="1"/>
  <c r="S2" i="52" l="1"/>
  <c r="R2" i="52" l="1"/>
  <c r="Q2" i="52"/>
  <c r="P2" i="52"/>
  <c r="O2" i="52"/>
  <c r="N2" i="52" l="1"/>
  <c r="M2" i="52" l="1"/>
  <c r="L2" i="52" l="1"/>
  <c r="K2" i="52" l="1"/>
  <c r="J2" i="52" l="1"/>
  <c r="I2" i="52"/>
  <c r="H2" i="52"/>
  <c r="G2" i="52"/>
  <c r="F2" i="52" l="1"/>
  <c r="E2" i="52" l="1"/>
  <c r="D2" i="52"/>
  <c r="AH2" i="50" l="1"/>
  <c r="AG2" i="50"/>
  <c r="AF2" i="50"/>
  <c r="AE2" i="50" l="1"/>
  <c r="AD2" i="50"/>
  <c r="AC2" i="50"/>
  <c r="AB2" i="50"/>
  <c r="AA2" i="50"/>
  <c r="Z2" i="50"/>
  <c r="Y2" i="50"/>
  <c r="X2" i="50" l="1"/>
  <c r="W2" i="50" l="1"/>
  <c r="V2" i="50" l="1"/>
  <c r="U2" i="50" l="1"/>
  <c r="T2" i="50"/>
  <c r="S2" i="50"/>
  <c r="R2" i="50"/>
  <c r="Q2" i="50" l="1"/>
  <c r="P2" i="50" l="1"/>
  <c r="O2" i="50" l="1"/>
  <c r="N2" i="50" l="1"/>
  <c r="M2" i="50"/>
  <c r="L2" i="50"/>
  <c r="K2" i="50"/>
  <c r="J2" i="50"/>
  <c r="I2" i="50" l="1"/>
  <c r="H2" i="50" l="1"/>
  <c r="G2" i="50" l="1"/>
  <c r="F2" i="50" l="1"/>
  <c r="E2" i="50"/>
  <c r="D2" i="50"/>
  <c r="AH2" i="49" l="1"/>
  <c r="AG2" i="49" l="1"/>
  <c r="AF2" i="49" l="1"/>
  <c r="AE2" i="49" l="1"/>
  <c r="AD2" i="49"/>
  <c r="AC2" i="49"/>
  <c r="AB2" i="49"/>
  <c r="AA2" i="49" l="1"/>
  <c r="Z2" i="49" l="1"/>
  <c r="Y2" i="49"/>
  <c r="X2" i="49"/>
  <c r="W2" i="49"/>
  <c r="V2" i="49"/>
  <c r="U2" i="49"/>
  <c r="T2" i="49" l="1"/>
  <c r="S2" i="49" l="1"/>
  <c r="R2" i="49" l="1"/>
  <c r="Q2" i="49" l="1"/>
  <c r="P2" i="49" l="1"/>
  <c r="O2" i="49"/>
  <c r="N2" i="49" l="1"/>
  <c r="M2" i="49" l="1"/>
  <c r="L2" i="49" l="1"/>
  <c r="K2" i="49" l="1"/>
  <c r="J2" i="49" l="1"/>
  <c r="I2" i="49" l="1"/>
  <c r="H2" i="49"/>
  <c r="G2" i="49" l="1"/>
  <c r="F2" i="49" l="1"/>
  <c r="E2" i="49" l="1"/>
  <c r="AD2" i="48" l="1"/>
  <c r="AE2" i="48"/>
  <c r="AF2" i="48"/>
  <c r="AG2" i="48"/>
  <c r="D2" i="49" l="1"/>
  <c r="AC2" i="48" l="1"/>
  <c r="AB2" i="48" l="1"/>
  <c r="AA2" i="48" l="1"/>
  <c r="Z2" i="48" l="1"/>
  <c r="Y2" i="48"/>
  <c r="X2" i="48"/>
  <c r="W2" i="48"/>
  <c r="V2" i="48" l="1"/>
  <c r="U2" i="48" l="1"/>
  <c r="T2" i="48" l="1"/>
  <c r="S2" i="48" l="1"/>
  <c r="R2" i="48"/>
  <c r="Q2" i="48"/>
  <c r="P2" i="48"/>
  <c r="O2" i="48" l="1"/>
  <c r="N2" i="48" l="1"/>
  <c r="M2" i="48" l="1"/>
  <c r="L2" i="48" l="1"/>
  <c r="K2" i="48"/>
  <c r="J2" i="48"/>
  <c r="I2" i="48"/>
  <c r="H2" i="48" l="1"/>
  <c r="G2" i="48" l="1"/>
  <c r="F2" i="48" l="1"/>
  <c r="E2" i="48" l="1"/>
  <c r="D2" i="48"/>
  <c r="AJ2" i="47" l="1"/>
  <c r="AI2" i="47" l="1"/>
  <c r="AH2" i="47"/>
  <c r="AG2" i="47"/>
  <c r="AF2" i="47" l="1"/>
  <c r="AE2" i="47" l="1"/>
  <c r="AD2" i="47" l="1"/>
  <c r="AC2" i="47" l="1"/>
  <c r="AB2" i="47" l="1"/>
  <c r="AA2" i="47"/>
  <c r="Z2" i="47"/>
  <c r="Y2" i="47" l="1"/>
  <c r="X2" i="47" l="1"/>
  <c r="W2" i="47" l="1"/>
  <c r="V2" i="47" l="1"/>
  <c r="U2" i="47" l="1"/>
  <c r="T2" i="47"/>
  <c r="S2" i="47"/>
  <c r="R2" i="47" l="1"/>
  <c r="Q2" i="47" l="1"/>
  <c r="P2" i="47" l="1"/>
  <c r="O2" i="47" l="1"/>
  <c r="N2" i="47"/>
  <c r="M2" i="47"/>
  <c r="L2" i="47" l="1"/>
  <c r="K2" i="47" l="1"/>
  <c r="J2" i="47" l="1"/>
  <c r="I2" i="47" l="1"/>
  <c r="H2" i="47"/>
  <c r="G2" i="47"/>
  <c r="F2" i="47"/>
  <c r="E2" i="47"/>
  <c r="D2" i="47"/>
  <c r="AG2" i="46" l="1"/>
  <c r="AF2" i="46" l="1"/>
  <c r="AE2" i="46" l="1"/>
  <c r="AD2" i="46" l="1"/>
  <c r="AC2" i="46"/>
  <c r="AB2" i="46"/>
  <c r="AA2" i="46" l="1"/>
  <c r="Z2" i="46"/>
  <c r="Y2" i="46" l="1"/>
  <c r="X2" i="46"/>
  <c r="W2" i="46"/>
  <c r="V2" i="46"/>
  <c r="U2" i="46"/>
  <c r="T2" i="46"/>
  <c r="S2" i="46" l="1"/>
  <c r="R2" i="46"/>
  <c r="Q2" i="46"/>
  <c r="P2" i="46"/>
  <c r="O2" i="46"/>
  <c r="N2" i="46"/>
  <c r="M2" i="46"/>
  <c r="L2" i="46"/>
  <c r="K2" i="46"/>
  <c r="J2" i="46"/>
  <c r="I2" i="46"/>
  <c r="H2" i="46"/>
  <c r="G2" i="46" l="1"/>
  <c r="F2" i="46"/>
  <c r="E2" i="46"/>
  <c r="D2" i="46"/>
  <c r="AH2" i="45"/>
  <c r="AG2" i="45"/>
  <c r="AF2" i="45"/>
  <c r="AE2" i="45"/>
  <c r="AD2" i="45"/>
  <c r="AC2" i="45"/>
  <c r="AB2" i="45"/>
  <c r="AA2" i="45"/>
  <c r="Z2" i="45"/>
  <c r="Y2" i="45"/>
  <c r="X2" i="45"/>
  <c r="W2" i="45"/>
  <c r="V2" i="45"/>
  <c r="U2" i="45"/>
  <c r="T2" i="45"/>
  <c r="S2" i="45"/>
  <c r="R2" i="45"/>
  <c r="Q2" i="45"/>
  <c r="P2" i="45"/>
  <c r="O2" i="45"/>
  <c r="N2" i="45"/>
  <c r="M2" i="45"/>
  <c r="L2" i="45"/>
  <c r="K2" i="45"/>
  <c r="J2" i="45"/>
  <c r="I2" i="45"/>
  <c r="H2" i="45"/>
  <c r="G2" i="45"/>
  <c r="F2" i="45"/>
  <c r="E2" i="45"/>
  <c r="D2" i="45"/>
  <c r="AE2" i="44"/>
  <c r="AD2" i="44"/>
  <c r="AC2" i="44"/>
  <c r="AB2" i="44"/>
  <c r="AA2" i="44"/>
  <c r="Z2" i="44"/>
  <c r="Y2" i="44"/>
  <c r="X2" i="44"/>
  <c r="W2" i="44"/>
  <c r="V2" i="44"/>
  <c r="U2" i="44"/>
  <c r="T2" i="44"/>
  <c r="S2" i="44"/>
  <c r="R2" i="44"/>
  <c r="Q2" i="44"/>
  <c r="P2" i="44"/>
  <c r="O2" i="44"/>
  <c r="N2" i="44" l="1"/>
  <c r="M2" i="44"/>
  <c r="L2" i="44"/>
  <c r="K2" i="44"/>
  <c r="J2" i="44"/>
  <c r="I2" i="44"/>
  <c r="H2" i="44"/>
  <c r="G2" i="44"/>
  <c r="F2" i="44"/>
  <c r="E2" i="44"/>
  <c r="D2" i="44"/>
  <c r="AH2" i="43" l="1"/>
  <c r="AG2" i="43"/>
  <c r="AF2" i="43"/>
  <c r="AE2" i="43"/>
  <c r="AD2" i="43"/>
  <c r="AC2" i="43"/>
  <c r="AB2" i="43"/>
  <c r="AA2" i="43"/>
  <c r="Z2" i="43"/>
  <c r="Y2" i="43"/>
  <c r="X2" i="43"/>
  <c r="W2" i="43"/>
  <c r="V2" i="43"/>
  <c r="U2" i="43"/>
  <c r="T2" i="43"/>
  <c r="S2" i="43"/>
  <c r="R2" i="43"/>
  <c r="Q2" i="43"/>
  <c r="P2" i="43"/>
  <c r="O2" i="43"/>
  <c r="N2" i="43"/>
  <c r="M2" i="43"/>
  <c r="L2" i="43"/>
  <c r="K2" i="43"/>
  <c r="J2" i="43"/>
  <c r="I2" i="43"/>
  <c r="H2" i="43"/>
  <c r="G2" i="43"/>
  <c r="F2" i="43" l="1"/>
  <c r="E2" i="43"/>
  <c r="AH2" i="42"/>
  <c r="D2" i="43" l="1"/>
  <c r="AG2" i="42"/>
  <c r="AF2" i="42"/>
  <c r="AE2" i="42"/>
  <c r="AD2" i="42"/>
  <c r="AC2" i="42"/>
  <c r="AB2" i="42"/>
  <c r="AA2" i="42" l="1"/>
  <c r="Z2" i="42"/>
  <c r="Y2" i="42"/>
  <c r="X2" i="42"/>
  <c r="W2" i="42"/>
  <c r="V2" i="42"/>
  <c r="U2" i="42"/>
  <c r="T2" i="42"/>
  <c r="S2" i="42"/>
  <c r="R2" i="42"/>
  <c r="Q2" i="42"/>
  <c r="P2" i="42"/>
  <c r="O2" i="42"/>
  <c r="N2" i="42"/>
  <c r="M2" i="42"/>
  <c r="L2" i="42"/>
  <c r="K2" i="42"/>
  <c r="J2" i="42"/>
  <c r="I2" i="42"/>
  <c r="H2" i="42"/>
  <c r="G2" i="42"/>
  <c r="F2" i="42"/>
  <c r="E2" i="42"/>
  <c r="D2" i="42"/>
  <c r="AG2" i="41"/>
  <c r="AF2" i="41"/>
  <c r="AE2" i="41"/>
  <c r="AD2" i="41"/>
  <c r="AC2" i="41"/>
  <c r="AB2" i="41"/>
  <c r="AA2" i="41"/>
  <c r="Z2" i="41"/>
  <c r="Y2" i="41"/>
  <c r="X2" i="41"/>
  <c r="W2" i="41" l="1"/>
  <c r="V2" i="41" l="1"/>
  <c r="U2" i="41" l="1"/>
  <c r="T2" i="41" l="1"/>
  <c r="S2" i="41"/>
  <c r="R2" i="41"/>
  <c r="Q2" i="41" l="1"/>
  <c r="P2" i="41" l="1"/>
  <c r="O2" i="41" l="1"/>
  <c r="N2" i="41" l="1"/>
  <c r="M2" i="41" l="1"/>
  <c r="L2" i="41"/>
  <c r="K2" i="41"/>
  <c r="J2" i="41"/>
  <c r="I2" i="41"/>
  <c r="H2" i="41"/>
  <c r="G2" i="41"/>
  <c r="F2" i="41"/>
  <c r="E2" i="41"/>
  <c r="D2" i="41" l="1"/>
  <c r="AH2" i="40"/>
  <c r="AG2" i="40"/>
  <c r="AF2" i="40"/>
  <c r="AE2" i="40"/>
  <c r="AD2" i="40"/>
  <c r="AC2" i="40"/>
  <c r="AB2" i="40"/>
  <c r="AA2" i="40"/>
  <c r="Z2" i="40"/>
  <c r="Y2" i="40"/>
  <c r="X2" i="40"/>
  <c r="W2" i="40"/>
  <c r="V2" i="40"/>
  <c r="U2" i="40"/>
  <c r="T2" i="40"/>
  <c r="S2" i="40"/>
  <c r="R2" i="40" l="1"/>
  <c r="Q2" i="40"/>
  <c r="P2" i="40"/>
  <c r="O2" i="40"/>
  <c r="N2" i="40" l="1"/>
  <c r="M2" i="40"/>
  <c r="L2" i="40"/>
  <c r="K2" i="40"/>
  <c r="J2" i="40"/>
  <c r="I2" i="40"/>
  <c r="H2" i="40"/>
  <c r="G2" i="40"/>
  <c r="F2" i="40"/>
  <c r="E2" i="40"/>
  <c r="D2" i="40"/>
  <c r="AG2" i="39"/>
  <c r="AF2" i="39"/>
  <c r="AE2" i="39"/>
  <c r="AD2" i="39"/>
  <c r="AC2" i="39" l="1"/>
  <c r="AB2" i="39"/>
  <c r="AA2" i="39"/>
  <c r="Z2" i="39"/>
  <c r="Y2" i="39"/>
  <c r="X2" i="39"/>
  <c r="W2" i="39"/>
  <c r="V2" i="39"/>
  <c r="U2" i="39"/>
  <c r="T2" i="39"/>
  <c r="S2" i="39"/>
  <c r="R2" i="39"/>
  <c r="Q2" i="39"/>
  <c r="P2" i="39"/>
  <c r="O2" i="39"/>
  <c r="N2" i="39"/>
  <c r="M2" i="39"/>
  <c r="L2" i="39"/>
  <c r="K2" i="39"/>
  <c r="J2" i="39"/>
  <c r="I2" i="39"/>
  <c r="H2" i="39"/>
  <c r="G2" i="39"/>
  <c r="F2" i="39"/>
  <c r="E2" i="39"/>
  <c r="D2" i="39"/>
  <c r="H2" i="38"/>
  <c r="G2" i="38"/>
  <c r="F2" i="38" l="1"/>
  <c r="E2" i="38"/>
  <c r="E14" i="14"/>
  <c r="E12" i="14"/>
  <c r="E13" i="14"/>
  <c r="E11" i="14"/>
  <c r="E10" i="14"/>
  <c r="E9" i="14"/>
  <c r="E8" i="14"/>
  <c r="E5" i="14"/>
  <c r="E6" i="14"/>
  <c r="E7" i="14"/>
  <c r="E4" i="14"/>
</calcChain>
</file>

<file path=xl/sharedStrings.xml><?xml version="1.0" encoding="utf-8"?>
<sst xmlns="http://schemas.openxmlformats.org/spreadsheetml/2006/main" count="2723" uniqueCount="1599">
  <si>
    <t>31.01.2022</t>
  </si>
  <si>
    <t>Limestone in 42.5R</t>
  </si>
  <si>
    <t>Limestone2 (Hot dust) in 42.5R</t>
  </si>
  <si>
    <t>Limestone in 32.5 N</t>
  </si>
  <si>
    <t>Limestone2 (Hot dust) in 32.5N</t>
  </si>
  <si>
    <t>Limestone in 42.5 N</t>
  </si>
  <si>
    <t>Limestone2 (Hot dust) in 42.5N</t>
  </si>
  <si>
    <t>NCV</t>
  </si>
  <si>
    <t>01.02.2022</t>
  </si>
  <si>
    <t>02.02.2022</t>
  </si>
  <si>
    <t>03.02.2022</t>
  </si>
  <si>
    <t>04.02.2022</t>
  </si>
  <si>
    <t>05.02.2022</t>
  </si>
  <si>
    <t>06.02.2022</t>
  </si>
  <si>
    <t>07.02.2022</t>
  </si>
  <si>
    <t>08.02.2022</t>
  </si>
  <si>
    <t>09.02.2022</t>
  </si>
  <si>
    <t>10.02.2022</t>
  </si>
  <si>
    <t>11.02.2022</t>
  </si>
  <si>
    <t>12.02.2022</t>
  </si>
  <si>
    <t>13.02.2022</t>
  </si>
  <si>
    <t>14.02.2022</t>
  </si>
  <si>
    <t>15.02.2022</t>
  </si>
  <si>
    <t>16.02.2022</t>
  </si>
  <si>
    <t>17.02.2022</t>
  </si>
  <si>
    <t>18.02.2022</t>
  </si>
  <si>
    <t>19.02.2022</t>
  </si>
  <si>
    <t>20.02.2022</t>
  </si>
  <si>
    <t>21.02.2022</t>
  </si>
  <si>
    <t>22.02.2022</t>
  </si>
  <si>
    <t>23.02.2022</t>
  </si>
  <si>
    <t>24.02.2022</t>
  </si>
  <si>
    <t>25.02.2022</t>
  </si>
  <si>
    <t>26.02.2022</t>
  </si>
  <si>
    <t>27.02.2022</t>
  </si>
  <si>
    <t>28.02.2022</t>
  </si>
  <si>
    <t>01.03.2022</t>
  </si>
  <si>
    <t>02.03.2022</t>
  </si>
  <si>
    <t>03.03.2022</t>
  </si>
  <si>
    <t>04.03.2022</t>
  </si>
  <si>
    <t>05.03.2022</t>
  </si>
  <si>
    <t>06.03.2022</t>
  </si>
  <si>
    <t>07.03.2022</t>
  </si>
  <si>
    <t>08.03.2022</t>
  </si>
  <si>
    <t>09.03.2022</t>
  </si>
  <si>
    <t>10.03.2022</t>
  </si>
  <si>
    <t>11.03.2022</t>
  </si>
  <si>
    <t>12.03.2022</t>
  </si>
  <si>
    <t>13.03.2022</t>
  </si>
  <si>
    <t>14.03.2022</t>
  </si>
  <si>
    <t>15.03.2022</t>
  </si>
  <si>
    <t>16.03.2022</t>
  </si>
  <si>
    <t>17.03.2022</t>
  </si>
  <si>
    <t>18.03.2022</t>
  </si>
  <si>
    <t>19.03.2022</t>
  </si>
  <si>
    <t>20.03.2022</t>
  </si>
  <si>
    <t>21.03.2022</t>
  </si>
  <si>
    <t>22.03.2022</t>
  </si>
  <si>
    <t>23.03.2022</t>
  </si>
  <si>
    <t>24.03.2022</t>
  </si>
  <si>
    <t>25.03.2022</t>
  </si>
  <si>
    <t>27.03.2022</t>
  </si>
  <si>
    <t>26.03.2022</t>
  </si>
  <si>
    <t>28.03.2022</t>
  </si>
  <si>
    <t>29.03.2022</t>
  </si>
  <si>
    <t>30.03.2022</t>
  </si>
  <si>
    <t>31.03.2022</t>
  </si>
  <si>
    <t>01.04.2022</t>
  </si>
  <si>
    <t>02.04.2022</t>
  </si>
  <si>
    <t>03.04.2022</t>
  </si>
  <si>
    <t>04.04.2022</t>
  </si>
  <si>
    <t>05.04.2022</t>
  </si>
  <si>
    <t>06.04.2022</t>
  </si>
  <si>
    <t>07.04.2022</t>
  </si>
  <si>
    <t>08.04.2022</t>
  </si>
  <si>
    <t>09.04.2022</t>
  </si>
  <si>
    <t>10.04.2022</t>
  </si>
  <si>
    <t>11.04.2022</t>
  </si>
  <si>
    <t>12.04.2022</t>
  </si>
  <si>
    <t>13.04.2022</t>
  </si>
  <si>
    <t>14.04.2022</t>
  </si>
  <si>
    <t>15.04.2022</t>
  </si>
  <si>
    <t>16.04.2022</t>
  </si>
  <si>
    <t>17.04.2022</t>
  </si>
  <si>
    <t>18.04.2022</t>
  </si>
  <si>
    <t>19.04.2022</t>
  </si>
  <si>
    <t>20.04.2022</t>
  </si>
  <si>
    <t>21.04.2022</t>
  </si>
  <si>
    <t>22.04.2022</t>
  </si>
  <si>
    <t>23.04.2022</t>
  </si>
  <si>
    <t>24.04.2022</t>
  </si>
  <si>
    <t>25.04.2022</t>
  </si>
  <si>
    <t>26.04.2022</t>
  </si>
  <si>
    <t>27.04.2022</t>
  </si>
  <si>
    <t>28.04.2022</t>
  </si>
  <si>
    <t>29.04.2022</t>
  </si>
  <si>
    <t>30.04.2022</t>
  </si>
  <si>
    <t>01.05.2022</t>
  </si>
  <si>
    <t>02.05.2022</t>
  </si>
  <si>
    <t>03.05.2022</t>
  </si>
  <si>
    <t>04.05.2022</t>
  </si>
  <si>
    <t>05.05.2022</t>
  </si>
  <si>
    <t>06.05.2022</t>
  </si>
  <si>
    <t>07.05.2022</t>
  </si>
  <si>
    <t>08.05.2022</t>
  </si>
  <si>
    <t>09.05.2022</t>
  </si>
  <si>
    <t>10.05.2022</t>
  </si>
  <si>
    <t>11.05.2022</t>
  </si>
  <si>
    <t>12.05.2022</t>
  </si>
  <si>
    <t>13.05.2022</t>
  </si>
  <si>
    <t>14.05.2022</t>
  </si>
  <si>
    <t>15.05.2022</t>
  </si>
  <si>
    <t>16.05.2022</t>
  </si>
  <si>
    <t>17.05.2022</t>
  </si>
  <si>
    <t>18.05.2022</t>
  </si>
  <si>
    <t>19.05.2022</t>
  </si>
  <si>
    <t>20.05.2022</t>
  </si>
  <si>
    <t>21.05.2022</t>
  </si>
  <si>
    <t>22.05.2022</t>
  </si>
  <si>
    <t>23.05.2022</t>
  </si>
  <si>
    <t>24.05.2022</t>
  </si>
  <si>
    <t>25.05.2022</t>
  </si>
  <si>
    <t>26.05.2022</t>
  </si>
  <si>
    <t>27.05.2022</t>
  </si>
  <si>
    <t>28.05.2022</t>
  </si>
  <si>
    <t>29.05.2022</t>
  </si>
  <si>
    <t>30.05.2022</t>
  </si>
  <si>
    <t>31.05.2022</t>
  </si>
  <si>
    <t>13. 51%</t>
  </si>
  <si>
    <t>01.06.2022</t>
  </si>
  <si>
    <t>02.06.2022</t>
  </si>
  <si>
    <t>03.06.2022</t>
  </si>
  <si>
    <t>04.06.2022</t>
  </si>
  <si>
    <t>05.06.2022</t>
  </si>
  <si>
    <t>06.06.2022</t>
  </si>
  <si>
    <t>07.06.2022</t>
  </si>
  <si>
    <t>08.06.2022</t>
  </si>
  <si>
    <t>09.06.2022</t>
  </si>
  <si>
    <t>10.06.2022</t>
  </si>
  <si>
    <t>11.06.2022</t>
  </si>
  <si>
    <t>12.06.2022</t>
  </si>
  <si>
    <t>13.06.2022</t>
  </si>
  <si>
    <t>14.06.2022</t>
  </si>
  <si>
    <t>15.06.2022</t>
  </si>
  <si>
    <t>16.06.2022</t>
  </si>
  <si>
    <t>17.06.2022</t>
  </si>
  <si>
    <t>18.06.2022</t>
  </si>
  <si>
    <t>19.06.2022</t>
  </si>
  <si>
    <t>20.06.2022</t>
  </si>
  <si>
    <t>21.06.2022</t>
  </si>
  <si>
    <t>22.06.2022</t>
  </si>
  <si>
    <t>23.06.2022</t>
  </si>
  <si>
    <t>24.06.2022</t>
  </si>
  <si>
    <t>25.06.2022</t>
  </si>
  <si>
    <t>26.06.2022</t>
  </si>
  <si>
    <t>27.06.2022</t>
  </si>
  <si>
    <t>28.06.2022</t>
  </si>
  <si>
    <t>29.06.2022</t>
  </si>
  <si>
    <t>30.06.2022</t>
  </si>
  <si>
    <t>01.07.2022</t>
  </si>
  <si>
    <t>02.07.2022</t>
  </si>
  <si>
    <t>03.07.2022</t>
  </si>
  <si>
    <t>04.07.2022</t>
  </si>
  <si>
    <t>05.07.2022</t>
  </si>
  <si>
    <t>06.07.2022</t>
  </si>
  <si>
    <t>07.07.2022</t>
  </si>
  <si>
    <t>08.07.2022</t>
  </si>
  <si>
    <t>09.07.2022</t>
  </si>
  <si>
    <t>10.07.2022</t>
  </si>
  <si>
    <t>11.07.2022</t>
  </si>
  <si>
    <t>12.07.2022</t>
  </si>
  <si>
    <t>13.07.2022</t>
  </si>
  <si>
    <t>14.07.2022</t>
  </si>
  <si>
    <t>15.07.2022</t>
  </si>
  <si>
    <t>16.07.2022</t>
  </si>
  <si>
    <t>17.07.2022</t>
  </si>
  <si>
    <t>18.07.2022</t>
  </si>
  <si>
    <t>19.07.2022</t>
  </si>
  <si>
    <t>20.07.2022</t>
  </si>
  <si>
    <t>21.07.2022</t>
  </si>
  <si>
    <t>22.07.2022</t>
  </si>
  <si>
    <t>23.07.2022</t>
  </si>
  <si>
    <t>24.07.2022</t>
  </si>
  <si>
    <t>25.07.2022</t>
  </si>
  <si>
    <t>26.07.2022</t>
  </si>
  <si>
    <t>27.07.2022</t>
  </si>
  <si>
    <t>28.07.2022</t>
  </si>
  <si>
    <t>29.07.2022</t>
  </si>
  <si>
    <t>30.07.2022</t>
  </si>
  <si>
    <t>31.07.2022</t>
  </si>
  <si>
    <t>01.08.2022</t>
  </si>
  <si>
    <t>02.08.2022</t>
  </si>
  <si>
    <t>03.08.2022</t>
  </si>
  <si>
    <t>04.08.2022</t>
  </si>
  <si>
    <t>05.08.2022</t>
  </si>
  <si>
    <t>06.08.2022</t>
  </si>
  <si>
    <t>07.08.2022</t>
  </si>
  <si>
    <t>08.08.2022</t>
  </si>
  <si>
    <t>09.08.2022</t>
  </si>
  <si>
    <t>10.08.2022</t>
  </si>
  <si>
    <t>11.08.2022</t>
  </si>
  <si>
    <t>12.08.2022</t>
  </si>
  <si>
    <t>13.08.2022</t>
  </si>
  <si>
    <t>14.08.2022</t>
  </si>
  <si>
    <t>15.08.2022</t>
  </si>
  <si>
    <t>16.08.2022</t>
  </si>
  <si>
    <t>17.08.2022</t>
  </si>
  <si>
    <t>18.08.2022</t>
  </si>
  <si>
    <t>19.08.2022</t>
  </si>
  <si>
    <t>20.08.2022</t>
  </si>
  <si>
    <t>21.08.2022</t>
  </si>
  <si>
    <t>22.08.2022</t>
  </si>
  <si>
    <t>23.08.2022</t>
  </si>
  <si>
    <t>24.08.2022</t>
  </si>
  <si>
    <t>25.08.2022</t>
  </si>
  <si>
    <t>26.08.2022</t>
  </si>
  <si>
    <t>27.08.2022</t>
  </si>
  <si>
    <t>28.08.2022</t>
  </si>
  <si>
    <t>29.08.2022</t>
  </si>
  <si>
    <t>30.08.2022</t>
  </si>
  <si>
    <t>31.08.2022</t>
  </si>
  <si>
    <t>01.09.2022</t>
  </si>
  <si>
    <t>02.09.2022</t>
  </si>
  <si>
    <t>03.09.2022</t>
  </si>
  <si>
    <t>04.09.2022</t>
  </si>
  <si>
    <t>05.09.2022</t>
  </si>
  <si>
    <t>06.09.2022</t>
  </si>
  <si>
    <t>07.09.2022</t>
  </si>
  <si>
    <t>08.09.2022</t>
  </si>
  <si>
    <t>09.09.2022</t>
  </si>
  <si>
    <t>10.09.2022</t>
  </si>
  <si>
    <t>11.09.2022</t>
  </si>
  <si>
    <t>12.09.2022</t>
  </si>
  <si>
    <t>13.09.2022</t>
  </si>
  <si>
    <t>14.09.2022</t>
  </si>
  <si>
    <t>15.09.2022</t>
  </si>
  <si>
    <t>16.09.2022</t>
  </si>
  <si>
    <t>17.09.2022</t>
  </si>
  <si>
    <t>18.09.2022</t>
  </si>
  <si>
    <t>19.09.2022</t>
  </si>
  <si>
    <t>20.09.2022</t>
  </si>
  <si>
    <t>21.09.2022</t>
  </si>
  <si>
    <t>22.09.2022</t>
  </si>
  <si>
    <t>23.09.2022</t>
  </si>
  <si>
    <t>24.09.2022</t>
  </si>
  <si>
    <t>25.09.2022</t>
  </si>
  <si>
    <t>4:00%</t>
  </si>
  <si>
    <t>26.09.2022</t>
  </si>
  <si>
    <t>27.09.2022</t>
  </si>
  <si>
    <t>28.09.2022</t>
  </si>
  <si>
    <t>29.09.2022</t>
  </si>
  <si>
    <t>30.09.2022</t>
  </si>
  <si>
    <t>01.10.2022</t>
  </si>
  <si>
    <t>02.10.2022</t>
  </si>
  <si>
    <t>03.10.2022</t>
  </si>
  <si>
    <t>04.10.2022</t>
  </si>
  <si>
    <t>05.10.2022</t>
  </si>
  <si>
    <t>06.10.2022</t>
  </si>
  <si>
    <t>07.10.2022</t>
  </si>
  <si>
    <t>09.10.2022</t>
  </si>
  <si>
    <t>11.10.2022</t>
  </si>
  <si>
    <t>10.10.2022</t>
  </si>
  <si>
    <t>12.10.2022</t>
  </si>
  <si>
    <t>13.10.2022</t>
  </si>
  <si>
    <t>14.10.2022</t>
  </si>
  <si>
    <t>16.10.2022</t>
  </si>
  <si>
    <t>15.10.2022</t>
  </si>
  <si>
    <t>17.10.2022</t>
  </si>
  <si>
    <t>18.10.2022</t>
  </si>
  <si>
    <t>19.10.2022</t>
  </si>
  <si>
    <t>20.10.2022</t>
  </si>
  <si>
    <t>21.10.2022</t>
  </si>
  <si>
    <t>22.10.2022</t>
  </si>
  <si>
    <t>23.10.2022</t>
  </si>
  <si>
    <t>24.10.2022</t>
  </si>
  <si>
    <t>25.10.2022</t>
  </si>
  <si>
    <t>26.10.2022</t>
  </si>
  <si>
    <t>27.10.2022</t>
  </si>
  <si>
    <t>28.10.2022</t>
  </si>
  <si>
    <t>29.10.2022</t>
  </si>
  <si>
    <t>30.10.2022</t>
  </si>
  <si>
    <t>31.10.2022</t>
  </si>
  <si>
    <t>01.11.2022</t>
  </si>
  <si>
    <t>02.11.2022</t>
  </si>
  <si>
    <t>03.11.2022</t>
  </si>
  <si>
    <t>04.11.2022</t>
  </si>
  <si>
    <t>05.11.2022</t>
  </si>
  <si>
    <t>06.11.2022</t>
  </si>
  <si>
    <t>07.11.2022</t>
  </si>
  <si>
    <t>08.11.2022</t>
  </si>
  <si>
    <t>09.11.2022</t>
  </si>
  <si>
    <t>10.11.2022</t>
  </si>
  <si>
    <t>11.11.2022</t>
  </si>
  <si>
    <t>12.11.2022</t>
  </si>
  <si>
    <t>13.11.2022</t>
  </si>
  <si>
    <t>14.11.2022</t>
  </si>
  <si>
    <t>15.11.2022</t>
  </si>
  <si>
    <t>16.11.2022</t>
  </si>
  <si>
    <t>17.11.2022</t>
  </si>
  <si>
    <t>18.11.2022</t>
  </si>
  <si>
    <t>19.11.2022</t>
  </si>
  <si>
    <t>20.11.2022</t>
  </si>
  <si>
    <t>21.11.2022</t>
  </si>
  <si>
    <t>22.11.2022</t>
  </si>
  <si>
    <t>23.11.2022</t>
  </si>
  <si>
    <t>24.11.2022</t>
  </si>
  <si>
    <t>25.11.2022</t>
  </si>
  <si>
    <t>26.11.2022</t>
  </si>
  <si>
    <t>27.11.2022</t>
  </si>
  <si>
    <t>28.11.2022</t>
  </si>
  <si>
    <t>29.11.2022</t>
  </si>
  <si>
    <t>30.11.2022</t>
  </si>
  <si>
    <t>01.12.2022</t>
  </si>
  <si>
    <t>02.12.2022</t>
  </si>
  <si>
    <t>03.12.2022</t>
  </si>
  <si>
    <t>04.12.2022</t>
  </si>
  <si>
    <t>05.12.2022</t>
  </si>
  <si>
    <t>06.12.2022</t>
  </si>
  <si>
    <t>07.12.2022</t>
  </si>
  <si>
    <t>08.12.2022</t>
  </si>
  <si>
    <t>09.12.2022</t>
  </si>
  <si>
    <t>10.12.2022</t>
  </si>
  <si>
    <t>11.12.2022</t>
  </si>
  <si>
    <t>12.12.2022</t>
  </si>
  <si>
    <t>13.12.2022</t>
  </si>
  <si>
    <t>14.12.2022</t>
  </si>
  <si>
    <t>15.12.2022</t>
  </si>
  <si>
    <t>16.12.2022</t>
  </si>
  <si>
    <t>17.12.2022</t>
  </si>
  <si>
    <t>18.12.2022</t>
  </si>
  <si>
    <t>19.12.2022</t>
  </si>
  <si>
    <t>20.12.2022</t>
  </si>
  <si>
    <t>21.12.2022</t>
  </si>
  <si>
    <t>22.12.2022</t>
  </si>
  <si>
    <t>ERP STOCKS</t>
  </si>
  <si>
    <t>ODOO STOCKS</t>
  </si>
  <si>
    <t>IRON ORE</t>
  </si>
  <si>
    <t>COAL</t>
  </si>
  <si>
    <t>GYPSUM</t>
  </si>
  <si>
    <t>CLINKER</t>
  </si>
  <si>
    <t>42.5 R</t>
  </si>
  <si>
    <t>42.5 N</t>
  </si>
  <si>
    <t>32.5 N</t>
  </si>
  <si>
    <t>DIFFERENCE</t>
  </si>
  <si>
    <t>LIMESTONE</t>
  </si>
  <si>
    <t>CLAY</t>
  </si>
  <si>
    <t>SAND</t>
  </si>
  <si>
    <t>RAW POWDER</t>
  </si>
  <si>
    <t>23.12.2022</t>
  </si>
  <si>
    <t>24.12.2022</t>
  </si>
  <si>
    <t>25.12.2022</t>
  </si>
  <si>
    <t>26.12.2022</t>
  </si>
  <si>
    <t>27.12.2022</t>
  </si>
  <si>
    <t>28.12.2022</t>
  </si>
  <si>
    <t>29.12.2022</t>
  </si>
  <si>
    <t>30.12.2022</t>
  </si>
  <si>
    <t>31.12.2022</t>
  </si>
  <si>
    <t>01.01.2023</t>
  </si>
  <si>
    <t>02.01.2023</t>
  </si>
  <si>
    <t>03.01.2023</t>
  </si>
  <si>
    <t>04.01.2023</t>
  </si>
  <si>
    <t>05.01.2023</t>
  </si>
  <si>
    <t>06.01.2023</t>
  </si>
  <si>
    <t>07.01.2023</t>
  </si>
  <si>
    <t>08.01.2023</t>
  </si>
  <si>
    <t>09.01.2023</t>
  </si>
  <si>
    <t>10.01.2023</t>
  </si>
  <si>
    <t>11.01.2023</t>
  </si>
  <si>
    <t>12.01.2023</t>
  </si>
  <si>
    <t>13.01.2023</t>
  </si>
  <si>
    <t>14.01.2023</t>
  </si>
  <si>
    <t>15.01.2023</t>
  </si>
  <si>
    <t>16.01.2023</t>
  </si>
  <si>
    <t>17.01.2023</t>
  </si>
  <si>
    <t>18.01.2023</t>
  </si>
  <si>
    <t>19.01.2023</t>
  </si>
  <si>
    <t>20.01.2023</t>
  </si>
  <si>
    <t>21.01.2023</t>
  </si>
  <si>
    <t>22.01.2023</t>
  </si>
  <si>
    <t>23.01.2023</t>
  </si>
  <si>
    <t>24.01.2023</t>
  </si>
  <si>
    <t>25.01.2023</t>
  </si>
  <si>
    <t>26.01.2023</t>
  </si>
  <si>
    <t>27.01.2023</t>
  </si>
  <si>
    <t>28.01.2023</t>
  </si>
  <si>
    <t>29.01.2023</t>
  </si>
  <si>
    <t>30.01.2023</t>
  </si>
  <si>
    <t>31.01.2023</t>
  </si>
  <si>
    <t>01.02.2023</t>
  </si>
  <si>
    <t>02.02.2023</t>
  </si>
  <si>
    <t>03.02.2023</t>
  </si>
  <si>
    <t>04.02.2023</t>
  </si>
  <si>
    <t>05.02.2023</t>
  </si>
  <si>
    <t>06.02.2023</t>
  </si>
  <si>
    <t>07.02.2023</t>
  </si>
  <si>
    <t>08.02.2023</t>
  </si>
  <si>
    <t>09.02.2023</t>
  </si>
  <si>
    <t>10.02.2023</t>
  </si>
  <si>
    <t>11.02.2023</t>
  </si>
  <si>
    <t>12.02.2023</t>
  </si>
  <si>
    <t>13.02.2023</t>
  </si>
  <si>
    <t>14.02.2023</t>
  </si>
  <si>
    <t>15.02.2023</t>
  </si>
  <si>
    <t>16.02.2023</t>
  </si>
  <si>
    <t>17.02.2023</t>
  </si>
  <si>
    <t>18.02.2023</t>
  </si>
  <si>
    <t>19.02.2023</t>
  </si>
  <si>
    <t>20.02.2023</t>
  </si>
  <si>
    <t>21.02.2023</t>
  </si>
  <si>
    <t>22.02.2023</t>
  </si>
  <si>
    <t>23.02.2023</t>
  </si>
  <si>
    <t>24.02.2023</t>
  </si>
  <si>
    <t>25.02.2023</t>
  </si>
  <si>
    <t>26.02.2023</t>
  </si>
  <si>
    <t>27.02.2023</t>
  </si>
  <si>
    <t>28.02.2023</t>
  </si>
  <si>
    <t>01.03.2023</t>
  </si>
  <si>
    <t>02.03.2023</t>
  </si>
  <si>
    <t>03.03.2023</t>
  </si>
  <si>
    <t>04.03.2023</t>
  </si>
  <si>
    <t>05.03.2023</t>
  </si>
  <si>
    <t>06.03.2023</t>
  </si>
  <si>
    <t>07.03.2023</t>
  </si>
  <si>
    <t>08.03.2023</t>
  </si>
  <si>
    <t>09.03.2023</t>
  </si>
  <si>
    <t>10.03.2023</t>
  </si>
  <si>
    <t>11.03.2023</t>
  </si>
  <si>
    <t>12.03.2023</t>
  </si>
  <si>
    <t>13.03.2023</t>
  </si>
  <si>
    <t>14.03.2023</t>
  </si>
  <si>
    <t>15.03.2023</t>
  </si>
  <si>
    <t>16.03.2023</t>
  </si>
  <si>
    <t>17.03.2023</t>
  </si>
  <si>
    <t>19.03.2023</t>
  </si>
  <si>
    <t>18.03.2023</t>
  </si>
  <si>
    <t>20.03.2023</t>
  </si>
  <si>
    <t>21.03.2023</t>
  </si>
  <si>
    <t>22.03.2023</t>
  </si>
  <si>
    <t>23.03.2023</t>
  </si>
  <si>
    <t>24.03.2023</t>
  </si>
  <si>
    <t>25.03.2023</t>
  </si>
  <si>
    <t>26.03.2023</t>
  </si>
  <si>
    <t>27.03.2023</t>
  </si>
  <si>
    <t>28.03.2023</t>
  </si>
  <si>
    <t>29.03.2023</t>
  </si>
  <si>
    <t>30.03.2023</t>
  </si>
  <si>
    <t>31.03.2023</t>
  </si>
  <si>
    <t>01.04.2023</t>
  </si>
  <si>
    <t>02.04.2023</t>
  </si>
  <si>
    <t>03.04.2023</t>
  </si>
  <si>
    <t>04.04.2023</t>
  </si>
  <si>
    <t>05.04.2023</t>
  </si>
  <si>
    <t>06.04.2023</t>
  </si>
  <si>
    <t>08.04.2023</t>
  </si>
  <si>
    <t>09.04.2023</t>
  </si>
  <si>
    <t>10.04.2023</t>
  </si>
  <si>
    <t>11.04.2023</t>
  </si>
  <si>
    <t>12.04.2023</t>
  </si>
  <si>
    <t>13.04.2023</t>
  </si>
  <si>
    <t>14.04.2023</t>
  </si>
  <si>
    <t>15.04.2023</t>
  </si>
  <si>
    <t>16.04.2023</t>
  </si>
  <si>
    <t>17.04.2023</t>
  </si>
  <si>
    <t>18.04.2023</t>
  </si>
  <si>
    <t>19.04.2023</t>
  </si>
  <si>
    <t>20.04.2023</t>
  </si>
  <si>
    <t>21.04.2023</t>
  </si>
  <si>
    <t>22.04.2023</t>
  </si>
  <si>
    <t>23.04.2023</t>
  </si>
  <si>
    <t>24.04.2023</t>
  </si>
  <si>
    <t>25.04.2023</t>
  </si>
  <si>
    <t>26.04.2023</t>
  </si>
  <si>
    <t>27.04.2023</t>
  </si>
  <si>
    <t>28.04.2023</t>
  </si>
  <si>
    <t>29.04.2023</t>
  </si>
  <si>
    <t>30.04.2023</t>
  </si>
  <si>
    <t>01.05.2023</t>
  </si>
  <si>
    <t>02.05.2023</t>
  </si>
  <si>
    <t>03.05.2023</t>
  </si>
  <si>
    <t>04.05.2023</t>
  </si>
  <si>
    <t>05.05.2023</t>
  </si>
  <si>
    <t>06.05.2023</t>
  </si>
  <si>
    <t>07.05.2023</t>
  </si>
  <si>
    <t>08.05.2023</t>
  </si>
  <si>
    <t>09.05.2023</t>
  </si>
  <si>
    <t>10.05.2023</t>
  </si>
  <si>
    <t>11.05.2023</t>
  </si>
  <si>
    <t>12.05.2023</t>
  </si>
  <si>
    <t>13.05.2023</t>
  </si>
  <si>
    <t>14.05.2023</t>
  </si>
  <si>
    <t>15.05.2023</t>
  </si>
  <si>
    <t>16.05.2023</t>
  </si>
  <si>
    <t>17.05.2023</t>
  </si>
  <si>
    <t>18.05.2023</t>
  </si>
  <si>
    <t>19.05.2023</t>
  </si>
  <si>
    <t>20.05.2023</t>
  </si>
  <si>
    <t>21.05.2023</t>
  </si>
  <si>
    <t>22.05.2023</t>
  </si>
  <si>
    <t>23.05.2023</t>
  </si>
  <si>
    <t>24.05.2023</t>
  </si>
  <si>
    <t>25.05.2023</t>
  </si>
  <si>
    <t>26.05.2023</t>
  </si>
  <si>
    <t>27.05.2023</t>
  </si>
  <si>
    <t>28.05.2023</t>
  </si>
  <si>
    <t>29.05.2023</t>
  </si>
  <si>
    <t>30.05.2023</t>
  </si>
  <si>
    <t>31.05.2023</t>
  </si>
  <si>
    <t>01.06.2023</t>
  </si>
  <si>
    <t>02.06.2023</t>
  </si>
  <si>
    <t>03.06.2023</t>
  </si>
  <si>
    <t>04.06.2023</t>
  </si>
  <si>
    <t>05.06.2023</t>
  </si>
  <si>
    <t>06.06.2023</t>
  </si>
  <si>
    <t>07.06.2023</t>
  </si>
  <si>
    <t>08.06.2023</t>
  </si>
  <si>
    <t>09.06.2023</t>
  </si>
  <si>
    <t>10.06.2023</t>
  </si>
  <si>
    <t>11.06.2023</t>
  </si>
  <si>
    <t>12.06.2023</t>
  </si>
  <si>
    <t>13.06.2023</t>
  </si>
  <si>
    <t>14.06.2023</t>
  </si>
  <si>
    <t>15.06.2023</t>
  </si>
  <si>
    <t>16.06.2023</t>
  </si>
  <si>
    <t>17.06.2023</t>
  </si>
  <si>
    <t>18.06.2023</t>
  </si>
  <si>
    <t>19.06.2023</t>
  </si>
  <si>
    <t>20.06.2023</t>
  </si>
  <si>
    <t>21.06.2023</t>
  </si>
  <si>
    <t>22.06.2023</t>
  </si>
  <si>
    <t>23.06.2023</t>
  </si>
  <si>
    <t>24.06.2023</t>
  </si>
  <si>
    <t>25.06.2023</t>
  </si>
  <si>
    <t>26.06.2023</t>
  </si>
  <si>
    <t>27.06.2023</t>
  </si>
  <si>
    <t>28.06.2023</t>
  </si>
  <si>
    <t>29.06.2023</t>
  </si>
  <si>
    <t>30.06.2023</t>
  </si>
  <si>
    <t>01.07.2023</t>
  </si>
  <si>
    <t>02.07.2023</t>
  </si>
  <si>
    <t>03.07.2023</t>
  </si>
  <si>
    <t>04.07.2023</t>
  </si>
  <si>
    <t>05.07.2023</t>
  </si>
  <si>
    <t>06.07.2023</t>
  </si>
  <si>
    <t>07.07.2023</t>
  </si>
  <si>
    <t>08.07.2023</t>
  </si>
  <si>
    <t>09.07.2023</t>
  </si>
  <si>
    <t>10.07.2023</t>
  </si>
  <si>
    <t>11.07.2023</t>
  </si>
  <si>
    <t>12.07.2023</t>
  </si>
  <si>
    <t>13.07.2023</t>
  </si>
  <si>
    <t>14.07.2023</t>
  </si>
  <si>
    <t>15.07.2023</t>
  </si>
  <si>
    <t>16.07.2023</t>
  </si>
  <si>
    <t>17.07.2023</t>
  </si>
  <si>
    <t>18.07.2023</t>
  </si>
  <si>
    <t>19.07.2023</t>
  </si>
  <si>
    <t>20.07.2023</t>
  </si>
  <si>
    <t>21.07.2023</t>
  </si>
  <si>
    <t>22.07.2023</t>
  </si>
  <si>
    <t>23.07.2023</t>
  </si>
  <si>
    <t>24.07.2023</t>
  </si>
  <si>
    <t>25.07.2023</t>
  </si>
  <si>
    <t>26.07.2023</t>
  </si>
  <si>
    <t>27.07.2023</t>
  </si>
  <si>
    <t>28.07.2023</t>
  </si>
  <si>
    <t>29.07.2023</t>
  </si>
  <si>
    <t>30.07.2023</t>
  </si>
  <si>
    <t>31.07.2023</t>
  </si>
  <si>
    <t>01.08.2023</t>
  </si>
  <si>
    <t>02.08.2023</t>
  </si>
  <si>
    <t>03.08.2023</t>
  </si>
  <si>
    <t>04.08.2023</t>
  </si>
  <si>
    <t>05.08.2023</t>
  </si>
  <si>
    <t>06.08.2023</t>
  </si>
  <si>
    <t>07.08.2023</t>
  </si>
  <si>
    <t>08.08.2023</t>
  </si>
  <si>
    <t>09.08.2023</t>
  </si>
  <si>
    <t>10.08.2023</t>
  </si>
  <si>
    <t>11.08.2023</t>
  </si>
  <si>
    <t>12.08.2023</t>
  </si>
  <si>
    <t>13.08.2023</t>
  </si>
  <si>
    <t>14.08.2023</t>
  </si>
  <si>
    <t>15.08.2023</t>
  </si>
  <si>
    <t>16.08.2023</t>
  </si>
  <si>
    <t>17.08.2023</t>
  </si>
  <si>
    <t>18.08.2023</t>
  </si>
  <si>
    <t>19.08.2023</t>
  </si>
  <si>
    <t>20.08.2023</t>
  </si>
  <si>
    <t>21.08.2023</t>
  </si>
  <si>
    <t>22.08.2023</t>
  </si>
  <si>
    <t>23.08.2023</t>
  </si>
  <si>
    <t>24.08.2023</t>
  </si>
  <si>
    <t>25.08.2023</t>
  </si>
  <si>
    <t>27.08.2023</t>
  </si>
  <si>
    <t>28.08.2023</t>
  </si>
  <si>
    <t>29.08.2023</t>
  </si>
  <si>
    <t>30.08.2023</t>
  </si>
  <si>
    <t>31.08.2023</t>
  </si>
  <si>
    <t>01.09.2023</t>
  </si>
  <si>
    <t>02.09.2023</t>
  </si>
  <si>
    <t>03.09.2023</t>
  </si>
  <si>
    <t>04.09.2023</t>
  </si>
  <si>
    <t>05.09.2023</t>
  </si>
  <si>
    <t>06.09.2023</t>
  </si>
  <si>
    <t>07.09.2023</t>
  </si>
  <si>
    <t>08.09.2023</t>
  </si>
  <si>
    <t>10.09.2023</t>
  </si>
  <si>
    <t>11.09.2023</t>
  </si>
  <si>
    <t>12.09.2023</t>
  </si>
  <si>
    <t>13.09.2023</t>
  </si>
  <si>
    <t>14.09.2023</t>
  </si>
  <si>
    <t>15.09.2023</t>
  </si>
  <si>
    <t>17.09.2023</t>
  </si>
  <si>
    <t>16.09.2023</t>
  </si>
  <si>
    <t>18.09.2023</t>
  </si>
  <si>
    <t>19.09.2023</t>
  </si>
  <si>
    <t>20.09.2023</t>
  </si>
  <si>
    <t>21.09.2023</t>
  </si>
  <si>
    <t>22.09.2023</t>
  </si>
  <si>
    <t>23.09.2023</t>
  </si>
  <si>
    <t>24.09.2023</t>
  </si>
  <si>
    <t>25.09.2023</t>
  </si>
  <si>
    <t>26.09.2023</t>
  </si>
  <si>
    <t>27.09.2023</t>
  </si>
  <si>
    <t>28.09.2023</t>
  </si>
  <si>
    <t>29.09.2023</t>
  </si>
  <si>
    <t>30.09.2023</t>
  </si>
  <si>
    <t>01.10.2023</t>
  </si>
  <si>
    <t>02.10.2023</t>
  </si>
  <si>
    <t>03.10.2023</t>
  </si>
  <si>
    <t>04.10.2023</t>
  </si>
  <si>
    <t>05.10.2023</t>
  </si>
  <si>
    <t>06.10.2023</t>
  </si>
  <si>
    <t>07.10.2023</t>
  </si>
  <si>
    <t>08.10.2023</t>
  </si>
  <si>
    <t>09.10.2023</t>
  </si>
  <si>
    <t>10.10.2023</t>
  </si>
  <si>
    <t>11.10.2023</t>
  </si>
  <si>
    <t>12.10.2023</t>
  </si>
  <si>
    <t>13.10.2023</t>
  </si>
  <si>
    <t>14.10.2023</t>
  </si>
  <si>
    <t>15.10.2023</t>
  </si>
  <si>
    <t>16.10.2023</t>
  </si>
  <si>
    <t>17.10.2023</t>
  </si>
  <si>
    <t>18.10.2023</t>
  </si>
  <si>
    <t>19.10.2023</t>
  </si>
  <si>
    <t>20.10.2023</t>
  </si>
  <si>
    <t>21.10.2023</t>
  </si>
  <si>
    <t>22.10.2023</t>
  </si>
  <si>
    <t>23.10.2023</t>
  </si>
  <si>
    <t>24.10.2023</t>
  </si>
  <si>
    <t>25.10.2023</t>
  </si>
  <si>
    <t>26.10.2023</t>
  </si>
  <si>
    <t>27.10.2023</t>
  </si>
  <si>
    <t>28.10.2023</t>
  </si>
  <si>
    <t>29.10.2023</t>
  </si>
  <si>
    <t>30.10.2023</t>
  </si>
  <si>
    <t>31.10.2023</t>
  </si>
  <si>
    <t>01.11.2023</t>
  </si>
  <si>
    <t>02.11.2023</t>
  </si>
  <si>
    <t>03.11.2023</t>
  </si>
  <si>
    <t>04.11.2023</t>
  </si>
  <si>
    <t>05.11.2023</t>
  </si>
  <si>
    <t>06.11.2023</t>
  </si>
  <si>
    <t>07.11.2023</t>
  </si>
  <si>
    <t>08.11.2023</t>
  </si>
  <si>
    <t>09.11.2023</t>
  </si>
  <si>
    <t>10.11.2023</t>
  </si>
  <si>
    <t>11.11.2023</t>
  </si>
  <si>
    <t>12.11.2023</t>
  </si>
  <si>
    <t>13.11.2023</t>
  </si>
  <si>
    <t>14.11.2023</t>
  </si>
  <si>
    <t>15.11.2023</t>
  </si>
  <si>
    <t>16.11.2023</t>
  </si>
  <si>
    <t>17.11.2023</t>
  </si>
  <si>
    <t>18.11.2023</t>
  </si>
  <si>
    <t>19.11.2023</t>
  </si>
  <si>
    <t>20.11.2023</t>
  </si>
  <si>
    <t>21.11.2023</t>
  </si>
  <si>
    <t>22.11.2023</t>
  </si>
  <si>
    <t>23.11.2023</t>
  </si>
  <si>
    <t>24.11.2023</t>
  </si>
  <si>
    <t>25.11.2023</t>
  </si>
  <si>
    <t>26.11.2023</t>
  </si>
  <si>
    <t>27.11.2023</t>
  </si>
  <si>
    <t>28.11.2023</t>
  </si>
  <si>
    <t>29.11.2023</t>
  </si>
  <si>
    <t>30.11.2023</t>
  </si>
  <si>
    <t>01.12.2023</t>
  </si>
  <si>
    <t>02.12.2023</t>
  </si>
  <si>
    <t>03.12.2023</t>
  </si>
  <si>
    <t>04.12.2023</t>
  </si>
  <si>
    <t>05.12.2023</t>
  </si>
  <si>
    <t>06.12.2023</t>
  </si>
  <si>
    <t>07.12.2023</t>
  </si>
  <si>
    <t>08.12.2023</t>
  </si>
  <si>
    <t>09.12.2023</t>
  </si>
  <si>
    <t>10.12.2023</t>
  </si>
  <si>
    <t>11.12.2023</t>
  </si>
  <si>
    <t>12.12.2023</t>
  </si>
  <si>
    <t>13.12.2023</t>
  </si>
  <si>
    <t>14.12.2023</t>
  </si>
  <si>
    <t>15.12.2023</t>
  </si>
  <si>
    <t>16.12.2023</t>
  </si>
  <si>
    <t>17.12.2023</t>
  </si>
  <si>
    <t>18.12.2023</t>
  </si>
  <si>
    <t>19.12.2023</t>
  </si>
  <si>
    <t>20.12.2023</t>
  </si>
  <si>
    <t>21.12.2023</t>
  </si>
  <si>
    <t>22.12.2023</t>
  </si>
  <si>
    <t>23.12.2023</t>
  </si>
  <si>
    <t>24.12.2023</t>
  </si>
  <si>
    <t>25.12.2023</t>
  </si>
  <si>
    <t>26.12.2023</t>
  </si>
  <si>
    <t>27.12.2023</t>
  </si>
  <si>
    <t>28.12.2023</t>
  </si>
  <si>
    <t>29.12.2023</t>
  </si>
  <si>
    <t>30.12.2023</t>
  </si>
  <si>
    <t>31.12.2023</t>
  </si>
  <si>
    <t>01.01.2024</t>
  </si>
  <si>
    <t>02.01.2024</t>
  </si>
  <si>
    <t>03.01.2024</t>
  </si>
  <si>
    <t>04.01.2024</t>
  </si>
  <si>
    <t>05.01.2024</t>
  </si>
  <si>
    <t>06.01.2024</t>
  </si>
  <si>
    <t>07.01.2024</t>
  </si>
  <si>
    <t>08.01.2024</t>
  </si>
  <si>
    <t>09.01.2024</t>
  </si>
  <si>
    <t>10.01.2024</t>
  </si>
  <si>
    <t>11.01.2024</t>
  </si>
  <si>
    <t>12.01.2024</t>
  </si>
  <si>
    <t>13.01.2024</t>
  </si>
  <si>
    <t>14.01.2024</t>
  </si>
  <si>
    <t>15.01.2024</t>
  </si>
  <si>
    <t>16.01.2024</t>
  </si>
  <si>
    <t>17.01.2024</t>
  </si>
  <si>
    <t>18.01.2024</t>
  </si>
  <si>
    <t>19.01.2024</t>
  </si>
  <si>
    <t>20.01.2024</t>
  </si>
  <si>
    <t>21.01.2024</t>
  </si>
  <si>
    <t>22.01.2024</t>
  </si>
  <si>
    <t>23.01.2024</t>
  </si>
  <si>
    <t>24.01.2024</t>
  </si>
  <si>
    <t>25.01.2024</t>
  </si>
  <si>
    <t>26.01.2024</t>
  </si>
  <si>
    <t>27.01.2024</t>
  </si>
  <si>
    <t>28.01.2024</t>
  </si>
  <si>
    <t>29.01.2024</t>
  </si>
  <si>
    <t>30.01.2024</t>
  </si>
  <si>
    <t>31.01.2024</t>
  </si>
  <si>
    <t>01.02.2024</t>
  </si>
  <si>
    <t>02.02.2024</t>
  </si>
  <si>
    <t>03.02.2024</t>
  </si>
  <si>
    <t>04.02.2024</t>
  </si>
  <si>
    <t>05.02.2024</t>
  </si>
  <si>
    <t>06.02.2024</t>
  </si>
  <si>
    <t>07.02.2024</t>
  </si>
  <si>
    <t>08.02.2024</t>
  </si>
  <si>
    <t>09.02.2024</t>
  </si>
  <si>
    <t>10.02.2024</t>
  </si>
  <si>
    <t>11.02.2024</t>
  </si>
  <si>
    <t>12.02.2024</t>
  </si>
  <si>
    <t>13.02.2024</t>
  </si>
  <si>
    <t>14.02.2024</t>
  </si>
  <si>
    <t>15.02.2024</t>
  </si>
  <si>
    <t>16.02.2024</t>
  </si>
  <si>
    <t>17.02.2024</t>
  </si>
  <si>
    <t>18.02.2024</t>
  </si>
  <si>
    <t>19.02.2024</t>
  </si>
  <si>
    <t>20.02.2024</t>
  </si>
  <si>
    <t>21.02.2024</t>
  </si>
  <si>
    <t>22.02.2024</t>
  </si>
  <si>
    <t>23.02.2024</t>
  </si>
  <si>
    <t>24.02.2024</t>
  </si>
  <si>
    <t>25.02.2024</t>
  </si>
  <si>
    <t>26.02.2024</t>
  </si>
  <si>
    <t>27.02.2024</t>
  </si>
  <si>
    <t>28.02.2024</t>
  </si>
  <si>
    <t>29.02.2024</t>
  </si>
  <si>
    <t>01.03.2024</t>
  </si>
  <si>
    <t>02.03.2024</t>
  </si>
  <si>
    <t>03.03.2024</t>
  </si>
  <si>
    <t>04.03.2024</t>
  </si>
  <si>
    <t>05.03.2024</t>
  </si>
  <si>
    <t>06.03.2024</t>
  </si>
  <si>
    <t>07.03.2024</t>
  </si>
  <si>
    <t>08.03.2024</t>
  </si>
  <si>
    <t>09.03.2024</t>
  </si>
  <si>
    <t>10.03.2024</t>
  </si>
  <si>
    <t>11.03.2024</t>
  </si>
  <si>
    <t>12.03.2024</t>
  </si>
  <si>
    <t>13.03.2024</t>
  </si>
  <si>
    <t>14.03.2024</t>
  </si>
  <si>
    <t>15.03.2024</t>
  </si>
  <si>
    <t>16.03.2024</t>
  </si>
  <si>
    <t>17.03.2024</t>
  </si>
  <si>
    <t>18.03.2024</t>
  </si>
  <si>
    <t>19.03.2024</t>
  </si>
  <si>
    <t>20.03.2024</t>
  </si>
  <si>
    <t>21.03.2024</t>
  </si>
  <si>
    <t>22.03.2024</t>
  </si>
  <si>
    <t>23.03.2024</t>
  </si>
  <si>
    <t>24.03.2024</t>
  </si>
  <si>
    <t>25.03.2024</t>
  </si>
  <si>
    <t>26.03.2024</t>
  </si>
  <si>
    <t>27.03.2024</t>
  </si>
  <si>
    <t>28.03.2024</t>
  </si>
  <si>
    <t>29.03.2024</t>
  </si>
  <si>
    <t>30.03.2024</t>
  </si>
  <si>
    <t>01.04.2024</t>
  </si>
  <si>
    <t>02.04.2024</t>
  </si>
  <si>
    <t>03.04.2024</t>
  </si>
  <si>
    <t>04.04.2024</t>
  </si>
  <si>
    <t>05.04.2024</t>
  </si>
  <si>
    <t>06.04.2024</t>
  </si>
  <si>
    <t>07.04.2024</t>
  </si>
  <si>
    <t>08.04.2024</t>
  </si>
  <si>
    <t>09.04.2024</t>
  </si>
  <si>
    <t>10.04.2024</t>
  </si>
  <si>
    <t>11.04.2024</t>
  </si>
  <si>
    <t>12.04.2024</t>
  </si>
  <si>
    <t>13.04.2024</t>
  </si>
  <si>
    <t>14.04.2024</t>
  </si>
  <si>
    <t>15.04.2024</t>
  </si>
  <si>
    <t>16.04.2024</t>
  </si>
  <si>
    <t>17.04.2024</t>
  </si>
  <si>
    <t>18.04.2024</t>
  </si>
  <si>
    <t>19.04.2024</t>
  </si>
  <si>
    <t>20.04.2024</t>
  </si>
  <si>
    <t>21.04.2024</t>
  </si>
  <si>
    <t>22.04.2024</t>
  </si>
  <si>
    <t>24.04.2024</t>
  </si>
  <si>
    <t>25.04.2024</t>
  </si>
  <si>
    <t>26.04.2024</t>
  </si>
  <si>
    <t>27.04.2024</t>
  </si>
  <si>
    <t>28.04.2024</t>
  </si>
  <si>
    <t>29.04.2024</t>
  </si>
  <si>
    <t>30.04.2024</t>
  </si>
  <si>
    <t>01.05.2024</t>
  </si>
  <si>
    <t>02.05.2024</t>
  </si>
  <si>
    <t>03.05.2024</t>
  </si>
  <si>
    <t>04.05.2024</t>
  </si>
  <si>
    <t>05.05.2024</t>
  </si>
  <si>
    <t>06.05.2024</t>
  </si>
  <si>
    <t>07.05.2024</t>
  </si>
  <si>
    <t>08.05.2024</t>
  </si>
  <si>
    <t>12.05.2024</t>
  </si>
  <si>
    <t>13.05.2024</t>
  </si>
  <si>
    <t>14.05.2024</t>
  </si>
  <si>
    <t>09.05.2024</t>
  </si>
  <si>
    <t>10.05.2024.</t>
  </si>
  <si>
    <t>11.05.2024</t>
  </si>
  <si>
    <t>15.05.2024</t>
  </si>
  <si>
    <t>16.05.2024</t>
  </si>
  <si>
    <t>17.05.2024</t>
  </si>
  <si>
    <t>18.05.2024</t>
  </si>
  <si>
    <t>19.05.2024</t>
  </si>
  <si>
    <t>20.05.2024</t>
  </si>
  <si>
    <t>21.05.2024</t>
  </si>
  <si>
    <t>22.05.2024</t>
  </si>
  <si>
    <t>23.05.2024</t>
  </si>
  <si>
    <t>24.05.2024</t>
  </si>
  <si>
    <t>25.05.2024</t>
  </si>
  <si>
    <t>26.05.2024</t>
  </si>
  <si>
    <t>27.05.2024</t>
  </si>
  <si>
    <t>28.05.2024</t>
  </si>
  <si>
    <t>29.05.2024</t>
  </si>
  <si>
    <t>30.05.2024</t>
  </si>
  <si>
    <t>31.05.2024</t>
  </si>
  <si>
    <t>01.06.2024</t>
  </si>
  <si>
    <t>02.06.2024</t>
  </si>
  <si>
    <t>03.06.2024</t>
  </si>
  <si>
    <t>04.06.2024</t>
  </si>
  <si>
    <t>05.06.2024</t>
  </si>
  <si>
    <t>06.06.2024</t>
  </si>
  <si>
    <t>07.06.2024</t>
  </si>
  <si>
    <t>08.06.2024</t>
  </si>
  <si>
    <t>09.06.2024</t>
  </si>
  <si>
    <t>10.06.2024</t>
  </si>
  <si>
    <t>11.06.2024</t>
  </si>
  <si>
    <t>12.06.2024</t>
  </si>
  <si>
    <t>13.06.2024</t>
  </si>
  <si>
    <t>14.06.2024</t>
  </si>
  <si>
    <t>15.06.2024</t>
  </si>
  <si>
    <t>16.06.2024</t>
  </si>
  <si>
    <t>17.06.2024</t>
  </si>
  <si>
    <t>18.06.2024</t>
  </si>
  <si>
    <t>19.06.2024</t>
  </si>
  <si>
    <t>20.06.2024</t>
  </si>
  <si>
    <t>21.06.2024</t>
  </si>
  <si>
    <t>22.06.2024</t>
  </si>
  <si>
    <t>23.06.2024</t>
  </si>
  <si>
    <t>24.06.2024</t>
  </si>
  <si>
    <t>25.06.2024</t>
  </si>
  <si>
    <t>26.06.2024</t>
  </si>
  <si>
    <t>27.06.2024</t>
  </si>
  <si>
    <t>28.06.2024</t>
  </si>
  <si>
    <t>29.06.2024</t>
  </si>
  <si>
    <t>30.06.2025</t>
  </si>
  <si>
    <t>01.07.2024</t>
  </si>
  <si>
    <t>02.07.2024</t>
  </si>
  <si>
    <t>03.07.2024</t>
  </si>
  <si>
    <t>04.07.2024</t>
  </si>
  <si>
    <t>05.07.2024</t>
  </si>
  <si>
    <t>06.07.2024</t>
  </si>
  <si>
    <t>07.07.2024</t>
  </si>
  <si>
    <t>08.07.2024</t>
  </si>
  <si>
    <t>09.07.2024</t>
  </si>
  <si>
    <t>10.07.2024</t>
  </si>
  <si>
    <t>11.07.2024</t>
  </si>
  <si>
    <t>12.07.2024</t>
  </si>
  <si>
    <t>13.07.2024</t>
  </si>
  <si>
    <t>14.07.2024</t>
  </si>
  <si>
    <t>15.07.2024</t>
  </si>
  <si>
    <t>16.07.2024</t>
  </si>
  <si>
    <t>17.07.2024</t>
  </si>
  <si>
    <t>18.07.2024</t>
  </si>
  <si>
    <t>19.07.2024</t>
  </si>
  <si>
    <t>20.07.2024</t>
  </si>
  <si>
    <t>21.07.2024</t>
  </si>
  <si>
    <t>22.07.2024</t>
  </si>
  <si>
    <t>23.07.2024</t>
  </si>
  <si>
    <t>24.07.2024</t>
  </si>
  <si>
    <t>25.07.2024</t>
  </si>
  <si>
    <t>26.07.2024</t>
  </si>
  <si>
    <t>27.07.2024</t>
  </si>
  <si>
    <t>28.07.2024</t>
  </si>
  <si>
    <t>29.07.2024</t>
  </si>
  <si>
    <t>30.07.2024</t>
  </si>
  <si>
    <t>31.07.2024</t>
  </si>
  <si>
    <t>01.08.2024</t>
  </si>
  <si>
    <t>02.08.2024</t>
  </si>
  <si>
    <t>03.08.2024</t>
  </si>
  <si>
    <t>`</t>
  </si>
  <si>
    <t>04.08.2024</t>
  </si>
  <si>
    <t>05.08.2024</t>
  </si>
  <si>
    <t>06.08.2024</t>
  </si>
  <si>
    <t>07.08.2024</t>
  </si>
  <si>
    <t>08.08.2024</t>
  </si>
  <si>
    <t>09.08.2024</t>
  </si>
  <si>
    <t>10.08.2024</t>
  </si>
  <si>
    <t>11.08.2024</t>
  </si>
  <si>
    <t>12.08.2024</t>
  </si>
  <si>
    <t>13.08.2024</t>
  </si>
  <si>
    <t>14.08.2024</t>
  </si>
  <si>
    <t>15.08.2024</t>
  </si>
  <si>
    <t>16.08.2024</t>
  </si>
  <si>
    <t>17.08.2024</t>
  </si>
  <si>
    <t>18.08.2024</t>
  </si>
  <si>
    <t>19.08.2024</t>
  </si>
  <si>
    <t>20.08.2024</t>
  </si>
  <si>
    <t>21.08.2024</t>
  </si>
  <si>
    <t>22.08.2024</t>
  </si>
  <si>
    <t>23.08.2024</t>
  </si>
  <si>
    <t>24.08.2024</t>
  </si>
  <si>
    <t>25.08.2024</t>
  </si>
  <si>
    <t>26.08.2024</t>
  </si>
  <si>
    <t xml:space="preserve">Limestone </t>
  </si>
  <si>
    <t>42.5R</t>
  </si>
  <si>
    <t>42.5N</t>
  </si>
  <si>
    <t>32.5N</t>
  </si>
  <si>
    <t>CEMENT MILL 1</t>
  </si>
  <si>
    <t>27.08.2024</t>
  </si>
  <si>
    <t>CEMENT MILL 2</t>
  </si>
  <si>
    <t>GRADE</t>
  </si>
  <si>
    <t>28.08.2024</t>
  </si>
  <si>
    <t>29.08.2024</t>
  </si>
  <si>
    <t>30.08.2024</t>
  </si>
  <si>
    <t>31.08.2024</t>
  </si>
  <si>
    <t>01.09.2024</t>
  </si>
  <si>
    <t>02.09.2024</t>
  </si>
  <si>
    <t>03.09.2024</t>
  </si>
  <si>
    <t>04.09.2024</t>
  </si>
  <si>
    <t>05.09.2024</t>
  </si>
  <si>
    <t>06.09.2024</t>
  </si>
  <si>
    <t>07.09.2024</t>
  </si>
  <si>
    <t>08.09.2024</t>
  </si>
  <si>
    <t>09.09.2024</t>
  </si>
  <si>
    <t>10.09.2024</t>
  </si>
  <si>
    <t>11.09.2024</t>
  </si>
  <si>
    <t>12.09.2024</t>
  </si>
  <si>
    <t>13.09.2024</t>
  </si>
  <si>
    <t>14.09.2024</t>
  </si>
  <si>
    <t>15.09.2024</t>
  </si>
  <si>
    <t>16.09.2024</t>
  </si>
  <si>
    <t>17.09.2024</t>
  </si>
  <si>
    <t>18.09.2024</t>
  </si>
  <si>
    <t>19.09.2024</t>
  </si>
  <si>
    <t>20.09.2024</t>
  </si>
  <si>
    <t>21.09.2024</t>
  </si>
  <si>
    <t>22.09.2024</t>
  </si>
  <si>
    <t>23.09.2024</t>
  </si>
  <si>
    <t>24.09.2024</t>
  </si>
  <si>
    <t>25.09.2024</t>
  </si>
  <si>
    <t>26.09.2024</t>
  </si>
  <si>
    <t>27.09.2024</t>
  </si>
  <si>
    <t>28.09.2024</t>
  </si>
  <si>
    <t>29.09.2024</t>
  </si>
  <si>
    <t>30.09.2024</t>
  </si>
  <si>
    <t>01.10.2024</t>
  </si>
  <si>
    <t>2.10.2024</t>
  </si>
  <si>
    <t>03.10.2024</t>
  </si>
  <si>
    <t>AVERAGE CLINKER CONS % FOR CEM 1 &amp; CEM 2</t>
  </si>
  <si>
    <t>04.10.2024</t>
  </si>
  <si>
    <t>05.10.2024</t>
  </si>
  <si>
    <t>06.10.2024</t>
  </si>
  <si>
    <t>07.10.2024</t>
  </si>
  <si>
    <t>08.10.2024</t>
  </si>
  <si>
    <t>09.10.2024</t>
  </si>
  <si>
    <t>10.10.2024</t>
  </si>
  <si>
    <t>11.10.2024</t>
  </si>
  <si>
    <t>12.10.2024</t>
  </si>
  <si>
    <t>13.10.2024</t>
  </si>
  <si>
    <t>14.10.2024</t>
  </si>
  <si>
    <t>15.10.2024</t>
  </si>
  <si>
    <t>16.10.2024</t>
  </si>
  <si>
    <t>17.10.2024</t>
  </si>
  <si>
    <t>18.10.2024</t>
  </si>
  <si>
    <t>19.10.2024</t>
  </si>
  <si>
    <t>20.10.2024</t>
  </si>
  <si>
    <t>21.10.2024</t>
  </si>
  <si>
    <t>22.10.2024</t>
  </si>
  <si>
    <t>23.10.2024</t>
  </si>
  <si>
    <t>24.10.2024</t>
  </si>
  <si>
    <t>25.10.2024</t>
  </si>
  <si>
    <t>26.10.2024</t>
  </si>
  <si>
    <t>27.10.2024</t>
  </si>
  <si>
    <t>28.10.2024</t>
  </si>
  <si>
    <t>29.10.2024</t>
  </si>
  <si>
    <t>30.10.2024</t>
  </si>
  <si>
    <t>31.10.2024</t>
  </si>
  <si>
    <t>01.11.2024</t>
  </si>
  <si>
    <t>02.11.2024</t>
  </si>
  <si>
    <t>03.11.2024</t>
  </si>
  <si>
    <t>04.11.2024</t>
  </si>
  <si>
    <t>05.11.2024</t>
  </si>
  <si>
    <t>06.11.2024</t>
  </si>
  <si>
    <t>07.11.2024</t>
  </si>
  <si>
    <t>08.11.2024</t>
  </si>
  <si>
    <t>09.11.2024</t>
  </si>
  <si>
    <t>10.11.2024</t>
  </si>
  <si>
    <t>11.11.2024</t>
  </si>
  <si>
    <t>12.11.2024</t>
  </si>
  <si>
    <t>13.11.2024</t>
  </si>
  <si>
    <t>14.11.2024</t>
  </si>
  <si>
    <t>15.11.2024</t>
  </si>
  <si>
    <t>16.11.2024</t>
  </si>
  <si>
    <t>17.11.2024</t>
  </si>
  <si>
    <t>18.11.2024</t>
  </si>
  <si>
    <t>19.11.2024</t>
  </si>
  <si>
    <t>20.11.2024</t>
  </si>
  <si>
    <t>21.11.2024</t>
  </si>
  <si>
    <t>22.11.2024</t>
  </si>
  <si>
    <t>23.11.2024</t>
  </si>
  <si>
    <t>24.11.2024</t>
  </si>
  <si>
    <t>25.11.2024</t>
  </si>
  <si>
    <t xml:space="preserve"> </t>
  </si>
  <si>
    <t>26.11.2024</t>
  </si>
  <si>
    <t>27.11.2024</t>
  </si>
  <si>
    <t>28.11.2024</t>
  </si>
  <si>
    <t>29.11.2024</t>
  </si>
  <si>
    <t>30.11.2024</t>
  </si>
  <si>
    <t>01.12.2024</t>
  </si>
  <si>
    <t>02.12.2024</t>
  </si>
  <si>
    <t>03.12.2024</t>
  </si>
  <si>
    <t>04.12.2024</t>
  </si>
  <si>
    <t>05.12.2024</t>
  </si>
  <si>
    <t>06.12.2024</t>
  </si>
  <si>
    <t>07.12.2024</t>
  </si>
  <si>
    <t>08.12.2024</t>
  </si>
  <si>
    <t>09.12.2024</t>
  </si>
  <si>
    <t>10.12.2024</t>
  </si>
  <si>
    <t>11.12.2024</t>
  </si>
  <si>
    <t>12.12.2024</t>
  </si>
  <si>
    <t>13.12.2024</t>
  </si>
  <si>
    <t>14.12.2024</t>
  </si>
  <si>
    <t>15.12.2024</t>
  </si>
  <si>
    <t>16.12.2024</t>
  </si>
  <si>
    <t>17.12.2024</t>
  </si>
  <si>
    <t>18.12.2024</t>
  </si>
  <si>
    <t>19.12.2024</t>
  </si>
  <si>
    <t>20.12.2024</t>
  </si>
  <si>
    <t>21.12.2024</t>
  </si>
  <si>
    <t>22.12.2024</t>
  </si>
  <si>
    <t>23.12.2024</t>
  </si>
  <si>
    <t>24.12.2024</t>
  </si>
  <si>
    <t>OPC</t>
  </si>
  <si>
    <t>25.12.2024</t>
  </si>
  <si>
    <t>26.12.2024</t>
  </si>
  <si>
    <t>27.12.2024</t>
  </si>
  <si>
    <t>28.12.2024</t>
  </si>
  <si>
    <t>29.12.2024</t>
  </si>
  <si>
    <t>30.12.2024</t>
  </si>
  <si>
    <t>01.01.2025</t>
  </si>
  <si>
    <t>31.12.2024</t>
  </si>
  <si>
    <t>02.01.2025</t>
  </si>
  <si>
    <t>03.01.2025</t>
  </si>
  <si>
    <t>04.01.2025</t>
  </si>
  <si>
    <t>05.01.2025</t>
  </si>
  <si>
    <t>06.01.2025</t>
  </si>
  <si>
    <t>07.01.2025</t>
  </si>
  <si>
    <t>08.01.2025</t>
  </si>
  <si>
    <t>09.01.2025</t>
  </si>
  <si>
    <t>10.01.2025</t>
  </si>
  <si>
    <t>11.01.2025</t>
  </si>
  <si>
    <t>12.01.2025</t>
  </si>
  <si>
    <t>13.01.2025</t>
  </si>
  <si>
    <t>14.01.2025</t>
  </si>
  <si>
    <t>15.01.2025</t>
  </si>
  <si>
    <t>16.01.2025</t>
  </si>
  <si>
    <t>17.01.2025</t>
  </si>
  <si>
    <t>18.01.2025</t>
  </si>
  <si>
    <t>19.01.2025</t>
  </si>
  <si>
    <t>20.01.2025</t>
  </si>
  <si>
    <t>21.01.2025</t>
  </si>
  <si>
    <t>22.01.2025</t>
  </si>
  <si>
    <t>23.01.2025</t>
  </si>
  <si>
    <t>24.01.2025</t>
  </si>
  <si>
    <t>25.01.2025</t>
  </si>
  <si>
    <t>26.01.2025</t>
  </si>
  <si>
    <t>27.01.2025</t>
  </si>
  <si>
    <t>28.01.2025</t>
  </si>
  <si>
    <t>29.01.2025</t>
  </si>
  <si>
    <t>80.24.%</t>
  </si>
  <si>
    <t>30.01.2025</t>
  </si>
  <si>
    <t>31.01.2025</t>
  </si>
  <si>
    <t>01.02.2025</t>
  </si>
  <si>
    <t>02.02.2025</t>
  </si>
  <si>
    <t>03.02.2025</t>
  </si>
  <si>
    <t>04.02.2025</t>
  </si>
  <si>
    <t>05.02.2025</t>
  </si>
  <si>
    <t>06.02.2025</t>
  </si>
  <si>
    <t>07.02.2025</t>
  </si>
  <si>
    <t>08.02.2025</t>
  </si>
  <si>
    <t>09.02.2025</t>
  </si>
  <si>
    <t>10.02.2025</t>
  </si>
  <si>
    <t>11.02.2025</t>
  </si>
  <si>
    <t>12.02.2025</t>
  </si>
  <si>
    <t>13.02.2025</t>
  </si>
  <si>
    <t>14.02.2025</t>
  </si>
  <si>
    <t>15.02.2025</t>
  </si>
  <si>
    <t>16.02.2025</t>
  </si>
  <si>
    <t>17.02.2025</t>
  </si>
  <si>
    <t>18.02.2025</t>
  </si>
  <si>
    <t>19.02.2025</t>
  </si>
  <si>
    <t>20.02.2025</t>
  </si>
  <si>
    <t>21.02.2025</t>
  </si>
  <si>
    <t>22.02.2025</t>
  </si>
  <si>
    <t>23.02.2025</t>
  </si>
  <si>
    <t>24.02.2025</t>
  </si>
  <si>
    <t>25.02.2025</t>
  </si>
  <si>
    <t>26.02.2025</t>
  </si>
  <si>
    <t>27.02.2025</t>
  </si>
  <si>
    <t>28.02.2025</t>
  </si>
  <si>
    <t>01.03.2025</t>
  </si>
  <si>
    <t>02.03.2025</t>
  </si>
  <si>
    <t>03.03.2025</t>
  </si>
  <si>
    <t>04.03.2025</t>
  </si>
  <si>
    <t>05.03.2025</t>
  </si>
  <si>
    <t>06.03.2025</t>
  </si>
  <si>
    <t>07.03.2025</t>
  </si>
  <si>
    <t>08.03.2025</t>
  </si>
  <si>
    <t>09.03.2025</t>
  </si>
  <si>
    <t>10.03.2025</t>
  </si>
  <si>
    <t>11.03.2025</t>
  </si>
  <si>
    <t>12.03.2025</t>
  </si>
  <si>
    <t>13.03.2025</t>
  </si>
  <si>
    <t>14.03.2025</t>
  </si>
  <si>
    <t>15.03.2025</t>
  </si>
  <si>
    <t>16.03.2025</t>
  </si>
  <si>
    <t>17.03.2025</t>
  </si>
  <si>
    <t>18.03.2025</t>
  </si>
  <si>
    <t>19.03.2025</t>
  </si>
  <si>
    <t>20.03.2025</t>
  </si>
  <si>
    <t>21.03.2025</t>
  </si>
  <si>
    <t>22.03.2025</t>
  </si>
  <si>
    <t>23.03.2025</t>
  </si>
  <si>
    <t>24.03.2025</t>
  </si>
  <si>
    <t>25.03.2025</t>
  </si>
  <si>
    <t>26.03.2025</t>
  </si>
  <si>
    <t>27.03.2025</t>
  </si>
  <si>
    <t>28.03.2025</t>
  </si>
  <si>
    <t>29.03.2025</t>
  </si>
  <si>
    <t>30.03.2025</t>
  </si>
  <si>
    <t>31.03.2025</t>
  </si>
  <si>
    <t>01.04.2025</t>
  </si>
  <si>
    <t>02.04.2025</t>
  </si>
  <si>
    <t>03.04.2025</t>
  </si>
  <si>
    <t>04.04.2025</t>
  </si>
  <si>
    <t>05.04.2025</t>
  </si>
  <si>
    <t>06.04.2025</t>
  </si>
  <si>
    <t>07.04.2025</t>
  </si>
  <si>
    <t>08.04.2025</t>
  </si>
  <si>
    <t>09.04.2025</t>
  </si>
  <si>
    <t>10.04.2025</t>
  </si>
  <si>
    <t>11.04.2025</t>
  </si>
  <si>
    <t>12.04.2025</t>
  </si>
  <si>
    <t>13.04.2025</t>
  </si>
  <si>
    <t>14.04.2025</t>
  </si>
  <si>
    <t>15.04.2025</t>
  </si>
  <si>
    <t>16.04.2025</t>
  </si>
  <si>
    <t>17.04.2025</t>
  </si>
  <si>
    <t>18.04.2025</t>
  </si>
  <si>
    <t>19.04.2025</t>
  </si>
  <si>
    <t>20.04.2025</t>
  </si>
  <si>
    <t>21.04.2025</t>
  </si>
  <si>
    <t>22.04.2025</t>
  </si>
  <si>
    <t>23.04.2025</t>
  </si>
  <si>
    <t>24.04.2025</t>
  </si>
  <si>
    <t>25.04.2025</t>
  </si>
  <si>
    <t>26.04.2025</t>
  </si>
  <si>
    <t>27.04.2025</t>
  </si>
  <si>
    <t>28.04.2025</t>
  </si>
  <si>
    <t>29.04.2025</t>
  </si>
  <si>
    <t>30.04.2025</t>
  </si>
  <si>
    <t>01.05.2025</t>
  </si>
  <si>
    <t>02.05.2025</t>
  </si>
  <si>
    <t>03.05.2025</t>
  </si>
  <si>
    <t>04.05.2025</t>
  </si>
  <si>
    <t>05.05.2025</t>
  </si>
  <si>
    <t>06.05.2025</t>
  </si>
  <si>
    <t>07.05.2025</t>
  </si>
  <si>
    <t>08.05.2025</t>
  </si>
  <si>
    <t>09.05.2025</t>
  </si>
  <si>
    <t>10.05.2025</t>
  </si>
  <si>
    <t>11.05.2025</t>
  </si>
  <si>
    <t>12.05.2025</t>
  </si>
  <si>
    <t>13.05.2025</t>
  </si>
  <si>
    <t>14.05.2025</t>
  </si>
  <si>
    <t>15.05.2025</t>
  </si>
  <si>
    <t>16.05.2025</t>
  </si>
  <si>
    <t>17.05.2025</t>
  </si>
  <si>
    <t>18.05.2025</t>
  </si>
  <si>
    <t>19.05.2025</t>
  </si>
  <si>
    <t>20.05.2025</t>
  </si>
  <si>
    <t>21.05.2025</t>
  </si>
  <si>
    <t>22.05.2025</t>
  </si>
  <si>
    <t>23.05.2025</t>
  </si>
  <si>
    <t>24.05.2025</t>
  </si>
  <si>
    <t>25.05.2025</t>
  </si>
  <si>
    <t>26.05.2025</t>
  </si>
  <si>
    <t>27.05.2025</t>
  </si>
  <si>
    <t>28.05.2025</t>
  </si>
  <si>
    <t>29.05.2025</t>
  </si>
  <si>
    <t>30.05.2025</t>
  </si>
  <si>
    <t>31.05.2025</t>
  </si>
  <si>
    <t>01.06.2025</t>
  </si>
  <si>
    <t>02.06.2025</t>
  </si>
  <si>
    <t>03.06.2025</t>
  </si>
  <si>
    <t>04.06.2025</t>
  </si>
  <si>
    <t>05.06.2025</t>
  </si>
  <si>
    <t>06.06.2025</t>
  </si>
  <si>
    <t>07.06.2025</t>
  </si>
  <si>
    <t>08.06.2025</t>
  </si>
  <si>
    <t>09.06.2025</t>
  </si>
  <si>
    <t>10.06.2025</t>
  </si>
  <si>
    <t>11.06.2025</t>
  </si>
  <si>
    <t>12.06.2025</t>
  </si>
  <si>
    <t>13.06.2025</t>
  </si>
  <si>
    <t>14.06.2025</t>
  </si>
  <si>
    <t>15.06.2025</t>
  </si>
  <si>
    <t>16.06.2025</t>
  </si>
  <si>
    <t>17.06.2025</t>
  </si>
  <si>
    <t>18.06.2025</t>
  </si>
  <si>
    <t>19.06.2025</t>
  </si>
  <si>
    <t>20.06.2025</t>
  </si>
  <si>
    <t>21.06.2025</t>
  </si>
  <si>
    <t>22.06.2025</t>
  </si>
  <si>
    <t>23.06.2025</t>
  </si>
  <si>
    <t>24.06.2025</t>
  </si>
  <si>
    <t>25.06.2025</t>
  </si>
  <si>
    <t>26.06.2025</t>
  </si>
  <si>
    <t>27.06.2025</t>
  </si>
  <si>
    <t>28.06.2025</t>
  </si>
  <si>
    <t>29.06.2025</t>
  </si>
  <si>
    <t>01.07.2025</t>
  </si>
  <si>
    <t>02.07.2025</t>
  </si>
  <si>
    <t>03.07.2025</t>
  </si>
  <si>
    <t>04.07.2025</t>
  </si>
  <si>
    <t>05.07.2025</t>
  </si>
  <si>
    <t>06.07.2025</t>
  </si>
  <si>
    <t>07.07.2025</t>
  </si>
  <si>
    <t>08.07.2025</t>
  </si>
  <si>
    <t>09.07.2025</t>
  </si>
  <si>
    <t>10.07.2025</t>
  </si>
  <si>
    <t>11.07.2025</t>
  </si>
  <si>
    <t>12.07.2025</t>
  </si>
  <si>
    <t>13.07.2025</t>
  </si>
  <si>
    <t>14.07.2025</t>
  </si>
  <si>
    <t>15.07.2025</t>
  </si>
  <si>
    <t>16.07.2025</t>
  </si>
  <si>
    <t>17.07.2025</t>
  </si>
  <si>
    <t>18.07.2025</t>
  </si>
  <si>
    <t>19.07.2025</t>
  </si>
  <si>
    <t>20.07.2025</t>
  </si>
  <si>
    <t>21.07.2025</t>
  </si>
  <si>
    <t>22.07.2025</t>
  </si>
  <si>
    <t>23.07.2025</t>
  </si>
  <si>
    <t>24.07.2025</t>
  </si>
  <si>
    <t>25.07.2025</t>
  </si>
  <si>
    <t>26.07.2025</t>
  </si>
  <si>
    <t>27.07.2025</t>
  </si>
  <si>
    <t>28.07.2025</t>
  </si>
  <si>
    <t>29.07.2025</t>
  </si>
  <si>
    <t>30.07.2025</t>
  </si>
  <si>
    <t>31.07.2025</t>
  </si>
  <si>
    <t>01.08.2025</t>
  </si>
  <si>
    <t>02.08.2025</t>
  </si>
  <si>
    <t>03.08.2025</t>
  </si>
  <si>
    <t>04.08.2025</t>
  </si>
  <si>
    <t>05.08.2025</t>
  </si>
  <si>
    <t>06.08.2025</t>
  </si>
  <si>
    <t>07.08.2025</t>
  </si>
  <si>
    <t>08.08.2025</t>
  </si>
  <si>
    <t>09.08.2025</t>
  </si>
  <si>
    <t>10.08.2025</t>
  </si>
  <si>
    <t>11.08.2025</t>
  </si>
  <si>
    <t>12.08.2025</t>
  </si>
  <si>
    <t>13.08.2025</t>
  </si>
  <si>
    <t>14.08.2025</t>
  </si>
  <si>
    <t>15.08.2025</t>
  </si>
  <si>
    <t>16.08.2025</t>
  </si>
  <si>
    <t>17.08.2025</t>
  </si>
  <si>
    <t>18.08.2025</t>
  </si>
  <si>
    <t>19.08.2025</t>
  </si>
  <si>
    <t>20.08.2025</t>
  </si>
  <si>
    <t>21.08.2025</t>
  </si>
  <si>
    <t>22.08.2025</t>
  </si>
  <si>
    <t>23.08.2025</t>
  </si>
  <si>
    <t>24.08.2025</t>
  </si>
  <si>
    <t>25.08.2025</t>
  </si>
  <si>
    <t>26.08.2025</t>
  </si>
  <si>
    <t>27.08.2025</t>
  </si>
  <si>
    <t>28.08.2025</t>
  </si>
  <si>
    <t>29.08.2025</t>
  </si>
  <si>
    <t>30.08.2025</t>
  </si>
  <si>
    <t>31.08.2025</t>
  </si>
  <si>
    <t>01.09.2025</t>
  </si>
  <si>
    <t>02.09.2025</t>
  </si>
  <si>
    <t>03.09.2025</t>
  </si>
  <si>
    <t>04.09.2025</t>
  </si>
  <si>
    <t>05.09.2025</t>
  </si>
  <si>
    <t>06.09.2025</t>
  </si>
  <si>
    <t>07.09.2025</t>
  </si>
  <si>
    <t>08.09.2025</t>
  </si>
  <si>
    <t>09.09.2025</t>
  </si>
  <si>
    <t>10.09.2025</t>
  </si>
  <si>
    <t>11.09.2025</t>
  </si>
  <si>
    <t>12.09.2025</t>
  </si>
  <si>
    <t>13.09.2025</t>
  </si>
  <si>
    <t>14.09.2025</t>
  </si>
  <si>
    <t>15.09.2025</t>
  </si>
  <si>
    <t>16.09.2025</t>
  </si>
  <si>
    <t>17.09.2025</t>
  </si>
  <si>
    <t>18.09.2025</t>
  </si>
  <si>
    <t>19.09.2025</t>
  </si>
  <si>
    <t>20.09.2025</t>
  </si>
  <si>
    <t>21.09.2025</t>
  </si>
  <si>
    <t>22.09.2025</t>
  </si>
  <si>
    <t>23.09.2025</t>
  </si>
  <si>
    <t>24.09.2025</t>
  </si>
  <si>
    <t>25.09.2025</t>
  </si>
  <si>
    <t>26.09.2025</t>
  </si>
  <si>
    <t>27.09.2025</t>
  </si>
  <si>
    <t>28.09.2025</t>
  </si>
  <si>
    <t>29.09.2025</t>
  </si>
  <si>
    <t>30.09.2025</t>
  </si>
  <si>
    <t>01.10.2025</t>
  </si>
  <si>
    <t>02.10.2025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</si>
  <si>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</si>
  <si>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</si>
  <si>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</si>
  <si>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</si>
  <si>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</si>
  <si>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</si>
  <si>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</si>
  <si>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</si>
  <si>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</si>
  <si>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</si>
  <si>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</si>
  <si>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</si>
  <si>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</si>
  <si>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</si>
  <si>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</si>
  <si>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</si>
  <si>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</si>
  <si>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</si>
  <si>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</si>
  <si>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</si>
  <si>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</si>
  <si>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</si>
  <si>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</si>
  <si>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</si>
  <si>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</si>
  <si>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</si>
  <si>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</si>
  <si>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</si>
  <si>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</si>
  <si>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</si>
  <si>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</si>
  <si>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</si>
  <si>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</si>
  <si>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</si>
  <si>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</si>
  <si>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</si>
  <si>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</si>
  <si>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</si>
  <si>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</si>
  <si>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</si>
  <si>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</si>
  <si>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</si>
  <si>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</si>
  <si>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</si>
  <si>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</si>
  <si>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</si>
  <si>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</si>
  <si>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</si>
  <si>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</si>
  <si>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</si>
  <si>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</si>
  <si>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</si>
  <si>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</si>
  <si>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</si>
  <si>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</si>
  <si>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</si>
  <si>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</si>
  <si>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</si>
  <si>
    <t>30.11.2025</t>
  </si>
  <si>
    <t>01.12.2025</t>
  </si>
  <si>
    <t>02.12.2025</t>
  </si>
  <si>
    <t>03.12.2025</t>
  </si>
  <si>
    <t>04.12.2025</t>
  </si>
  <si>
    <t>05.12.2025</t>
  </si>
  <si>
    <t>06.12.2025</t>
  </si>
  <si>
    <t>07.12.2025</t>
  </si>
  <si>
    <t>08.12.2025</t>
  </si>
  <si>
    <t>09.12.2025</t>
  </si>
  <si>
    <t>10.12.2025</t>
  </si>
  <si>
    <t>11.12.2025</t>
  </si>
  <si>
    <t>12.12.2025</t>
  </si>
  <si>
    <t>13.12.2025</t>
  </si>
  <si>
    <t>14.12.2025</t>
  </si>
  <si>
    <t>15.12.2025</t>
  </si>
  <si>
    <t>16.12.2025</t>
  </si>
  <si>
    <t>17.12.2025</t>
  </si>
  <si>
    <t>18.12.2025</t>
  </si>
  <si>
    <t>19.12.2025</t>
  </si>
  <si>
    <t>20.12.2025</t>
  </si>
  <si>
    <t>21.12.2025</t>
  </si>
  <si>
    <t>22.12.2025</t>
  </si>
  <si>
    <t>23.12.2025</t>
  </si>
  <si>
    <t>24.12.2025</t>
  </si>
  <si>
    <t>25.12.2025</t>
  </si>
  <si>
    <t>26.12.2025</t>
  </si>
  <si>
    <t>27.12.2025</t>
  </si>
  <si>
    <t>28.12.2025</t>
  </si>
  <si>
    <t>29.12.2025</t>
  </si>
  <si>
    <t>30.12.2025</t>
  </si>
  <si>
    <t>31.12.2025</t>
  </si>
  <si>
    <t>01.01.2026</t>
  </si>
  <si>
    <t>02.01.2026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</si>
  <si>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</si>
  <si>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</si>
  <si>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</si>
  <si>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</si>
  <si>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</si>
  <si>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</si>
  <si>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</si>
  <si>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</si>
  <si>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</si>
  <si>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</si>
  <si>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</si>
  <si>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</si>
  <si>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</si>
  <si>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</si>
  <si>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</si>
  <si>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</si>
  <si>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</si>
  <si>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</si>
  <si>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</si>
  <si>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</si>
  <si>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</si>
  <si>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</si>
  <si>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</si>
  <si>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</si>
  <si>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</si>
  <si>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</si>
  <si>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</si>
  <si>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</si>
  <si>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</si>
  <si>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01.02.2026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</si>
  <si>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</si>
  <si>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</si>
  <si>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</si>
  <si>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</si>
  <si>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</si>
  <si>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</si>
  <si>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</si>
  <si>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</si>
  <si>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</si>
  <si>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</si>
  <si>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</si>
  <si>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</si>
  <si>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</si>
  <si>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</si>
  <si>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</si>
  <si>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</si>
  <si>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</si>
  <si>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</si>
  <si>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</si>
  <si>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</si>
  <si>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</si>
  <si>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</si>
  <si>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</si>
  <si>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</si>
  <si>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</si>
  <si>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</si>
  <si>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28.02.2026</t>
  </si>
  <si>
    <t>01.03.2026</t>
  </si>
  <si>
    <t>02.03.2026</t>
  </si>
  <si>
    <t>03.03.2026</t>
  </si>
  <si>
    <t>04.03.2026</t>
  </si>
  <si>
    <t>05.03.2026</t>
  </si>
  <si>
    <t>06.03.2026</t>
  </si>
  <si>
    <t>07.03.2026</t>
  </si>
  <si>
    <t>08.03.2026</t>
  </si>
  <si>
    <t>09.03.2026</t>
  </si>
  <si>
    <t>10.03.2026</t>
  </si>
  <si>
    <t>12.03.2026</t>
  </si>
  <si>
    <t>13.03.2026</t>
  </si>
  <si>
    <t>14.03.2026</t>
  </si>
  <si>
    <t>15.03.2026</t>
  </si>
  <si>
    <t>16.03.2026</t>
  </si>
  <si>
    <t>17.03.2026</t>
  </si>
  <si>
    <t>18.03.2026</t>
  </si>
  <si>
    <t>19.03.2026</t>
  </si>
  <si>
    <t>20.03.2026</t>
  </si>
  <si>
    <t>21.03.2026</t>
  </si>
  <si>
    <t>22.03.2026</t>
  </si>
  <si>
    <t>23.03.2026</t>
  </si>
  <si>
    <t>24.03.2026</t>
  </si>
  <si>
    <t>42.5N BLM</t>
  </si>
  <si>
    <t>25.03.2026</t>
  </si>
  <si>
    <t>26.03.2026</t>
  </si>
  <si>
    <t>27.03.2026</t>
  </si>
  <si>
    <t>28.03.2026</t>
  </si>
  <si>
    <t>29.03.2026</t>
  </si>
  <si>
    <t>30.03.2026</t>
  </si>
  <si>
    <t>31.03.2026</t>
  </si>
  <si>
    <t>01.04.2026</t>
  </si>
  <si>
    <t>02.04.2026</t>
  </si>
  <si>
    <t>03.04.2026</t>
  </si>
  <si>
    <t>04.04.2026</t>
  </si>
  <si>
    <t>05.04.2026</t>
  </si>
  <si>
    <t>06.04.2026</t>
  </si>
  <si>
    <t>07.04.2026</t>
  </si>
  <si>
    <t>08.04.2026</t>
  </si>
  <si>
    <t>09.04.2026</t>
  </si>
  <si>
    <t>10.04.2026</t>
  </si>
  <si>
    <t>11.04.2026</t>
  </si>
  <si>
    <t>12.04.2026</t>
  </si>
  <si>
    <t>13.04.2026</t>
  </si>
  <si>
    <t>14.04.2026</t>
  </si>
  <si>
    <t>15.04.2026</t>
  </si>
  <si>
    <t>16.04.2026</t>
  </si>
  <si>
    <t>17.04.2026</t>
  </si>
  <si>
    <t>18.04.2026</t>
  </si>
  <si>
    <t>19.04.2026</t>
  </si>
  <si>
    <t>20.04.2026</t>
  </si>
  <si>
    <t>21.04.2026</t>
  </si>
  <si>
    <t>22.04.2026</t>
  </si>
  <si>
    <t>23.04.2026</t>
  </si>
  <si>
    <t>24.04.2026</t>
  </si>
  <si>
    <t>25.04.2026</t>
  </si>
  <si>
    <t>26.04.2026</t>
  </si>
  <si>
    <t>27.04.2026</t>
  </si>
  <si>
    <t>28.04.2026</t>
  </si>
  <si>
    <t>29.04.2026</t>
  </si>
  <si>
    <t>30.04.2026</t>
  </si>
  <si>
    <t>01.05.2026</t>
  </si>
  <si>
    <t>02.05.2026</t>
  </si>
  <si>
    <t>03.05.2026</t>
  </si>
  <si>
    <t>04.05.2026</t>
  </si>
  <si>
    <t>05.05.2026</t>
  </si>
  <si>
    <t>06.05.2026</t>
  </si>
  <si>
    <t>07.05.2026</t>
  </si>
  <si>
    <t>08.05.2026</t>
  </si>
  <si>
    <t>09.05.2026</t>
  </si>
  <si>
    <t>10.05.2026</t>
  </si>
  <si>
    <t>11.05.2026</t>
  </si>
  <si>
    <t>12.05.2026</t>
  </si>
  <si>
    <t>13.05.2026</t>
  </si>
  <si>
    <t>14.05.2026</t>
  </si>
  <si>
    <t>15.05.2026</t>
  </si>
  <si>
    <t>16.05.2026</t>
  </si>
  <si>
    <t>17.05.2026</t>
  </si>
  <si>
    <t>18.05.2026</t>
  </si>
  <si>
    <t>19.05.2026</t>
  </si>
  <si>
    <t>20.05.2026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</si>
</sst>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8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37">
    <xf numFmtId="0" fontId="0" fillId="0" borderId="0"/>
    <xf numFmtId="9" fontId="6" fillId="0" borderId="0" applyFont="0" applyFill="0" applyBorder="0" applyAlignment="0" applyProtection="0"/>
    <xf numFmtId="0" fontId="7" fillId="0" borderId="0"/>
    <xf numFmtId="0" fontId="7" fillId="0" borderId="0"/>
    <xf numFmtId="165" fontId="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233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3" xfId="0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10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/>
    <xf numFmtId="10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6" xfId="0" applyBorder="1"/>
    <xf numFmtId="10" fontId="0" fillId="0" borderId="7" xfId="0" applyNumberFormat="1" applyBorder="1" applyAlignment="1">
      <alignment horizontal="center"/>
    </xf>
    <xf numFmtId="9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10" fontId="0" fillId="0" borderId="9" xfId="0" applyNumberFormat="1" applyBorder="1"/>
    <xf numFmtId="10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5" xfId="0" applyBorder="1"/>
    <xf numFmtId="10" fontId="0" fillId="0" borderId="4" xfId="0" applyNumberFormat="1" applyBorder="1"/>
    <xf numFmtId="0" fontId="0" fillId="0" borderId="14" xfId="0" applyBorder="1"/>
    <xf numFmtId="10" fontId="0" fillId="0" borderId="14" xfId="0" applyNumberFormat="1" applyBorder="1"/>
    <xf numFmtId="10" fontId="0" fillId="0" borderId="14" xfId="0" applyNumberFormat="1" applyBorder="1" applyAlignment="1">
      <alignment horizontal="right"/>
    </xf>
    <xf numFmtId="10" fontId="0" fillId="0" borderId="15" xfId="0" applyNumberFormat="1" applyBorder="1"/>
    <xf numFmtId="0" fontId="0" fillId="0" borderId="3" xfId="0" applyBorder="1"/>
    <xf numFmtId="0" fontId="0" fillId="0" borderId="16" xfId="0" applyBorder="1"/>
    <xf numFmtId="10" fontId="0" fillId="0" borderId="16" xfId="0" applyNumberFormat="1" applyBorder="1" applyAlignment="1">
      <alignment horizontal="right"/>
    </xf>
    <xf numFmtId="10" fontId="0" fillId="0" borderId="16" xfId="0" applyNumberFormat="1" applyBorder="1"/>
    <xf numFmtId="10" fontId="0" fillId="0" borderId="17" xfId="0" applyNumberFormat="1" applyBorder="1" applyAlignment="1">
      <alignment horizontal="right"/>
    </xf>
    <xf numFmtId="10" fontId="0" fillId="0" borderId="17" xfId="0" applyNumberFormat="1" applyBorder="1"/>
    <xf numFmtId="10" fontId="0" fillId="0" borderId="15" xfId="0" applyNumberFormat="1" applyBorder="1" applyAlignment="1">
      <alignment horizontal="right"/>
    </xf>
    <xf numFmtId="0" fontId="0" fillId="0" borderId="18" xfId="0" applyBorder="1"/>
    <xf numFmtId="0" fontId="0" fillId="0" borderId="19" xfId="0" applyBorder="1"/>
    <xf numFmtId="10" fontId="0" fillId="0" borderId="19" xfId="0" applyNumberFormat="1" applyBorder="1"/>
    <xf numFmtId="0" fontId="0" fillId="0" borderId="20" xfId="0" applyBorder="1"/>
    <xf numFmtId="0" fontId="0" fillId="0" borderId="4" xfId="0" applyBorder="1" applyAlignment="1">
      <alignment horizontal="right"/>
    </xf>
    <xf numFmtId="10" fontId="0" fillId="0" borderId="4" xfId="0" applyNumberFormat="1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10" fontId="0" fillId="0" borderId="25" xfId="0" applyNumberFormat="1" applyBorder="1"/>
    <xf numFmtId="10" fontId="0" fillId="0" borderId="26" xfId="0" applyNumberFormat="1" applyBorder="1"/>
    <xf numFmtId="10" fontId="0" fillId="0" borderId="21" xfId="0" applyNumberFormat="1" applyBorder="1"/>
    <xf numFmtId="10" fontId="0" fillId="0" borderId="22" xfId="0" applyNumberFormat="1" applyBorder="1"/>
    <xf numFmtId="10" fontId="0" fillId="0" borderId="23" xfId="0" applyNumberFormat="1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10" fontId="0" fillId="0" borderId="29" xfId="0" applyNumberFormat="1" applyBorder="1"/>
    <xf numFmtId="10" fontId="0" fillId="0" borderId="30" xfId="0" applyNumberFormat="1" applyBorder="1"/>
    <xf numFmtId="10" fontId="0" fillId="0" borderId="31" xfId="0" applyNumberFormat="1" applyBorder="1"/>
    <xf numFmtId="0" fontId="3" fillId="0" borderId="16" xfId="0" applyFont="1" applyBorder="1" applyAlignment="1">
      <alignment horizontal="center"/>
    </xf>
    <xf numFmtId="0" fontId="3" fillId="0" borderId="16" xfId="0" applyFont="1" applyBorder="1" applyAlignment="1">
      <alignment horizontal="left"/>
    </xf>
    <xf numFmtId="0" fontId="0" fillId="0" borderId="0" xfId="0" applyAlignment="1">
      <alignment horizontal="left"/>
    </xf>
    <xf numFmtId="10" fontId="0" fillId="0" borderId="5" xfId="0" applyNumberFormat="1" applyBorder="1"/>
    <xf numFmtId="10" fontId="0" fillId="2" borderId="4" xfId="0" applyNumberFormat="1" applyFill="1" applyBorder="1"/>
    <xf numFmtId="10" fontId="0" fillId="0" borderId="20" xfId="0" applyNumberFormat="1" applyBorder="1"/>
    <xf numFmtId="0" fontId="0" fillId="0" borderId="32" xfId="0" applyBorder="1"/>
    <xf numFmtId="0" fontId="0" fillId="0" borderId="15" xfId="0" applyBorder="1"/>
    <xf numFmtId="10" fontId="0" fillId="0" borderId="38" xfId="0" applyNumberFormat="1" applyBorder="1"/>
    <xf numFmtId="0" fontId="1" fillId="0" borderId="34" xfId="0" applyFont="1" applyBorder="1" applyAlignment="1">
      <alignment vertical="center" wrapText="1"/>
    </xf>
    <xf numFmtId="10" fontId="0" fillId="0" borderId="39" xfId="0" applyNumberFormat="1" applyBorder="1"/>
    <xf numFmtId="0" fontId="0" fillId="0" borderId="34" xfId="0" applyBorder="1"/>
    <xf numFmtId="0" fontId="0" fillId="0" borderId="40" xfId="0" applyBorder="1"/>
    <xf numFmtId="0" fontId="1" fillId="0" borderId="40" xfId="0" applyFont="1" applyBorder="1" applyAlignment="1">
      <alignment vertical="center" wrapText="1"/>
    </xf>
    <xf numFmtId="0" fontId="0" fillId="0" borderId="33" xfId="0" applyBorder="1"/>
    <xf numFmtId="0" fontId="1" fillId="0" borderId="35" xfId="0" applyFont="1" applyBorder="1" applyAlignment="1">
      <alignment vertical="center" wrapText="1"/>
    </xf>
    <xf numFmtId="0" fontId="0" fillId="0" borderId="31" xfId="0" applyBorder="1"/>
    <xf numFmtId="0" fontId="0" fillId="3" borderId="42" xfId="0" applyFill="1" applyBorder="1"/>
    <xf numFmtId="10" fontId="0" fillId="3" borderId="43" xfId="0" applyNumberFormat="1" applyFill="1" applyBorder="1"/>
    <xf numFmtId="0" fontId="1" fillId="3" borderId="40" xfId="0" applyFont="1" applyFill="1" applyBorder="1" applyAlignment="1">
      <alignment vertical="center" wrapText="1"/>
    </xf>
    <xf numFmtId="10" fontId="0" fillId="3" borderId="39" xfId="0" applyNumberFormat="1" applyFill="1" applyBorder="1"/>
    <xf numFmtId="0" fontId="0" fillId="4" borderId="40" xfId="0" applyFill="1" applyBorder="1"/>
    <xf numFmtId="10" fontId="0" fillId="4" borderId="39" xfId="0" applyNumberFormat="1" applyFill="1" applyBorder="1"/>
    <xf numFmtId="0" fontId="1" fillId="4" borderId="40" xfId="0" applyFont="1" applyFill="1" applyBorder="1" applyAlignment="1">
      <alignment vertical="center" wrapText="1"/>
    </xf>
    <xf numFmtId="0" fontId="0" fillId="5" borderId="40" xfId="0" applyFill="1" applyBorder="1"/>
    <xf numFmtId="10" fontId="0" fillId="5" borderId="39" xfId="0" applyNumberFormat="1" applyFill="1" applyBorder="1"/>
    <xf numFmtId="0" fontId="1" fillId="5" borderId="40" xfId="0" applyFont="1" applyFill="1" applyBorder="1" applyAlignment="1">
      <alignment vertical="center" wrapText="1"/>
    </xf>
    <xf numFmtId="9" fontId="0" fillId="5" borderId="39" xfId="0" applyNumberFormat="1" applyFill="1" applyBorder="1"/>
    <xf numFmtId="0" fontId="1" fillId="5" borderId="41" xfId="0" applyFont="1" applyFill="1" applyBorder="1" applyAlignment="1">
      <alignment vertical="center" wrapText="1"/>
    </xf>
    <xf numFmtId="10" fontId="0" fillId="5" borderId="31" xfId="0" applyNumberFormat="1" applyFill="1" applyBorder="1"/>
    <xf numFmtId="0" fontId="3" fillId="0" borderId="4" xfId="0" applyFont="1" applyBorder="1"/>
    <xf numFmtId="0" fontId="3" fillId="0" borderId="14" xfId="0" applyFont="1" applyBorder="1"/>
    <xf numFmtId="0" fontId="3" fillId="0" borderId="37" xfId="0" applyFont="1" applyBorder="1"/>
    <xf numFmtId="0" fontId="3" fillId="0" borderId="20" xfId="0" applyFont="1" applyBorder="1"/>
    <xf numFmtId="10" fontId="0" fillId="5" borderId="17" xfId="0" applyNumberFormat="1" applyFill="1" applyBorder="1"/>
    <xf numFmtId="10" fontId="0" fillId="3" borderId="44" xfId="0" applyNumberFormat="1" applyFill="1" applyBorder="1"/>
    <xf numFmtId="10" fontId="0" fillId="3" borderId="17" xfId="0" applyNumberFormat="1" applyFill="1" applyBorder="1"/>
    <xf numFmtId="10" fontId="0" fillId="4" borderId="17" xfId="0" applyNumberFormat="1" applyFill="1" applyBorder="1"/>
    <xf numFmtId="10" fontId="0" fillId="3" borderId="45" xfId="0" applyNumberFormat="1" applyFill="1" applyBorder="1"/>
    <xf numFmtId="10" fontId="0" fillId="3" borderId="46" xfId="0" applyNumberFormat="1" applyFill="1" applyBorder="1"/>
    <xf numFmtId="10" fontId="0" fillId="4" borderId="46" xfId="0" applyNumberFormat="1" applyFill="1" applyBorder="1"/>
    <xf numFmtId="0" fontId="0" fillId="0" borderId="46" xfId="0" applyBorder="1"/>
    <xf numFmtId="10" fontId="0" fillId="0" borderId="46" xfId="0" applyNumberFormat="1" applyBorder="1"/>
    <xf numFmtId="10" fontId="0" fillId="4" borderId="30" xfId="0" applyNumberFormat="1" applyFill="1" applyBorder="1"/>
    <xf numFmtId="0" fontId="1" fillId="5" borderId="48" xfId="0" applyFont="1" applyFill="1" applyBorder="1" applyAlignment="1">
      <alignment vertical="center" wrapText="1"/>
    </xf>
    <xf numFmtId="10" fontId="0" fillId="5" borderId="49" xfId="0" applyNumberFormat="1" applyFill="1" applyBorder="1"/>
    <xf numFmtId="10" fontId="0" fillId="5" borderId="50" xfId="0" applyNumberFormat="1" applyFill="1" applyBorder="1"/>
    <xf numFmtId="0" fontId="0" fillId="0" borderId="51" xfId="0" applyBorder="1"/>
    <xf numFmtId="2" fontId="0" fillId="0" borderId="51" xfId="0" applyNumberFormat="1" applyBorder="1"/>
    <xf numFmtId="10" fontId="0" fillId="0" borderId="51" xfId="0" applyNumberFormat="1" applyBorder="1"/>
    <xf numFmtId="2" fontId="0" fillId="0" borderId="0" xfId="0" applyNumberFormat="1"/>
    <xf numFmtId="0" fontId="0" fillId="0" borderId="17" xfId="0" applyBorder="1"/>
    <xf numFmtId="0" fontId="0" fillId="3" borderId="15" xfId="0" applyFill="1" applyBorder="1"/>
    <xf numFmtId="10" fontId="0" fillId="3" borderId="38" xfId="0" applyNumberFormat="1" applyFill="1" applyBorder="1"/>
    <xf numFmtId="0" fontId="1" fillId="3" borderId="34" xfId="0" applyFont="1" applyFill="1" applyBorder="1" applyAlignment="1">
      <alignment vertical="center" wrapText="1"/>
    </xf>
    <xf numFmtId="0" fontId="0" fillId="4" borderId="34" xfId="0" applyFill="1" applyBorder="1"/>
    <xf numFmtId="0" fontId="1" fillId="4" borderId="34" xfId="0" applyFont="1" applyFill="1" applyBorder="1" applyAlignment="1">
      <alignment vertical="center" wrapText="1"/>
    </xf>
    <xf numFmtId="0" fontId="0" fillId="6" borderId="40" xfId="0" applyFill="1" applyBorder="1"/>
    <xf numFmtId="0" fontId="0" fillId="6" borderId="32" xfId="0" applyFill="1" applyBorder="1"/>
    <xf numFmtId="0" fontId="1" fillId="6" borderId="40" xfId="0" applyFont="1" applyFill="1" applyBorder="1" applyAlignment="1">
      <alignment vertical="center" wrapText="1"/>
    </xf>
    <xf numFmtId="0" fontId="0" fillId="6" borderId="33" xfId="0" applyFill="1" applyBorder="1"/>
    <xf numFmtId="0" fontId="1" fillId="6" borderId="35" xfId="0" applyFont="1" applyFill="1" applyBorder="1" applyAlignment="1">
      <alignment vertical="center" wrapText="1"/>
    </xf>
    <xf numFmtId="0" fontId="0" fillId="6" borderId="31" xfId="0" applyFill="1" applyBorder="1"/>
    <xf numFmtId="2" fontId="0" fillId="0" borderId="14" xfId="0" applyNumberFormat="1" applyBorder="1"/>
    <xf numFmtId="2" fontId="0" fillId="0" borderId="4" xfId="0" applyNumberFormat="1" applyBorder="1"/>
    <xf numFmtId="2" fontId="0" fillId="0" borderId="19" xfId="0" applyNumberFormat="1" applyBorder="1"/>
    <xf numFmtId="2" fontId="5" fillId="0" borderId="4" xfId="0" applyNumberFormat="1" applyFont="1" applyBorder="1" applyAlignment="1">
      <alignment horizontal="center" vertical="center" wrapText="1"/>
    </xf>
    <xf numFmtId="1" fontId="5" fillId="0" borderId="39" xfId="0" applyNumberFormat="1" applyFont="1" applyBorder="1" applyAlignment="1">
      <alignment horizontal="center" vertical="center" wrapText="1"/>
    </xf>
    <xf numFmtId="10" fontId="0" fillId="4" borderId="38" xfId="0" applyNumberFormat="1" applyFill="1" applyBorder="1"/>
    <xf numFmtId="9" fontId="0" fillId="6" borderId="33" xfId="0" applyNumberFormat="1" applyFill="1" applyBorder="1"/>
    <xf numFmtId="10" fontId="0" fillId="6" borderId="33" xfId="0" applyNumberFormat="1" applyFill="1" applyBorder="1"/>
    <xf numFmtId="10" fontId="0" fillId="6" borderId="32" xfId="0" applyNumberFormat="1" applyFill="1" applyBorder="1"/>
    <xf numFmtId="10" fontId="0" fillId="6" borderId="31" xfId="0" applyNumberFormat="1" applyFill="1" applyBorder="1"/>
    <xf numFmtId="0" fontId="0" fillId="6" borderId="49" xfId="0" applyFill="1" applyBorder="1"/>
    <xf numFmtId="10" fontId="0" fillId="6" borderId="49" xfId="0" applyNumberFormat="1" applyFill="1" applyBorder="1"/>
    <xf numFmtId="9" fontId="0" fillId="6" borderId="49" xfId="1" applyFont="1" applyFill="1" applyBorder="1"/>
    <xf numFmtId="9" fontId="0" fillId="6" borderId="49" xfId="0" applyNumberFormat="1" applyFill="1" applyBorder="1"/>
    <xf numFmtId="9" fontId="0" fillId="6" borderId="31" xfId="0" applyNumberFormat="1" applyFill="1" applyBorder="1"/>
    <xf numFmtId="9" fontId="0" fillId="6" borderId="32" xfId="0" applyNumberFormat="1" applyFill="1" applyBorder="1"/>
    <xf numFmtId="2" fontId="5" fillId="0" borderId="14" xfId="0" applyNumberFormat="1" applyFont="1" applyBorder="1" applyAlignment="1">
      <alignment horizontal="center" vertical="center" wrapText="1"/>
    </xf>
    <xf numFmtId="10" fontId="0" fillId="3" borderId="39" xfId="0" applyNumberFormat="1" applyFill="1" applyBorder="1" applyAlignment="1">
      <alignment horizontal="right"/>
    </xf>
    <xf numFmtId="164" fontId="0" fillId="6" borderId="32" xfId="0" applyNumberFormat="1" applyFill="1" applyBorder="1"/>
    <xf numFmtId="164" fontId="0" fillId="6" borderId="33" xfId="0" applyNumberFormat="1" applyFill="1" applyBorder="1"/>
    <xf numFmtId="164" fontId="0" fillId="6" borderId="31" xfId="0" applyNumberFormat="1" applyFill="1" applyBorder="1"/>
    <xf numFmtId="164" fontId="0" fillId="6" borderId="49" xfId="1" applyNumberFormat="1" applyFont="1" applyFill="1" applyBorder="1"/>
    <xf numFmtId="9" fontId="0" fillId="6" borderId="16" xfId="0" applyNumberFormat="1" applyFill="1" applyBorder="1"/>
    <xf numFmtId="9" fontId="0" fillId="6" borderId="56" xfId="0" applyNumberFormat="1" applyFill="1" applyBorder="1"/>
    <xf numFmtId="0" fontId="0" fillId="5" borderId="42" xfId="0" applyFill="1" applyBorder="1"/>
    <xf numFmtId="9" fontId="0" fillId="6" borderId="55" xfId="0" applyNumberFormat="1" applyFill="1" applyBorder="1"/>
    <xf numFmtId="10" fontId="0" fillId="6" borderId="16" xfId="0" applyNumberFormat="1" applyFill="1" applyBorder="1"/>
    <xf numFmtId="10" fontId="0" fillId="6" borderId="55" xfId="0" applyNumberFormat="1" applyFill="1" applyBorder="1"/>
    <xf numFmtId="10" fontId="0" fillId="6" borderId="56" xfId="0" applyNumberFormat="1" applyFill="1" applyBorder="1"/>
    <xf numFmtId="10" fontId="0" fillId="6" borderId="49" xfId="1" applyNumberFormat="1" applyFont="1" applyFill="1" applyBorder="1"/>
    <xf numFmtId="2" fontId="5" fillId="0" borderId="58" xfId="0" applyNumberFormat="1" applyFont="1" applyBorder="1" applyAlignment="1">
      <alignment horizontal="center" vertical="center" wrapText="1"/>
    </xf>
    <xf numFmtId="2" fontId="5" fillId="0" borderId="59" xfId="0" applyNumberFormat="1" applyFont="1" applyBorder="1" applyAlignment="1">
      <alignment horizontal="center" vertical="center" wrapText="1"/>
    </xf>
    <xf numFmtId="2" fontId="5" fillId="0" borderId="60" xfId="0" applyNumberFormat="1" applyFont="1" applyBorder="1" applyAlignment="1">
      <alignment horizontal="center" vertical="center" wrapText="1"/>
    </xf>
    <xf numFmtId="1" fontId="5" fillId="0" borderId="39" xfId="0" applyNumberFormat="1" applyFont="1" applyBorder="1" applyAlignment="1">
      <alignment horizontal="right" vertical="center" wrapText="1"/>
    </xf>
    <xf numFmtId="1" fontId="8" fillId="0" borderId="56" xfId="6" applyNumberFormat="1" applyBorder="1" applyAlignment="1">
      <alignment horizontal="center" vertical="center"/>
    </xf>
    <xf numFmtId="0" fontId="0" fillId="0" borderId="0" xfId="0" applyAlignment="1">
      <alignment horizontal="center"/>
    </xf>
    <xf numFmtId="2" fontId="5" fillId="0" borderId="4" xfId="0" applyNumberFormat="1" applyFont="1" applyBorder="1" applyAlignment="1">
      <alignment horizontal="right" vertical="center" wrapText="1"/>
    </xf>
    <xf numFmtId="0" fontId="0" fillId="0" borderId="0" xfId="0" applyAlignment="1">
      <alignment horizontal="right"/>
    </xf>
    <xf numFmtId="10" fontId="0" fillId="4" borderId="38" xfId="0" applyNumberFormat="1" applyFill="1" applyBorder="1" applyAlignment="1">
      <alignment horizontal="right"/>
    </xf>
    <xf numFmtId="10" fontId="0" fillId="4" borderId="39" xfId="0" applyNumberFormat="1" applyFill="1" applyBorder="1" applyAlignment="1">
      <alignment horizontal="right"/>
    </xf>
    <xf numFmtId="10" fontId="0" fillId="6" borderId="0" xfId="0" applyNumberFormat="1" applyFill="1" applyBorder="1"/>
    <xf numFmtId="10" fontId="0" fillId="6" borderId="61" xfId="0" applyNumberFormat="1" applyFill="1" applyBorder="1"/>
    <xf numFmtId="0" fontId="1" fillId="6" borderId="47" xfId="0" applyFont="1" applyFill="1" applyBorder="1" applyAlignment="1">
      <alignment vertical="center" wrapText="1"/>
    </xf>
    <xf numFmtId="10" fontId="0" fillId="7" borderId="16" xfId="0" applyNumberFormat="1" applyFill="1" applyBorder="1"/>
    <xf numFmtId="0" fontId="1" fillId="7" borderId="62" xfId="0" applyFont="1" applyFill="1" applyBorder="1" applyAlignment="1">
      <alignment vertical="center" wrapText="1"/>
    </xf>
    <xf numFmtId="0" fontId="0" fillId="5" borderId="62" xfId="0" applyFill="1" applyBorder="1"/>
    <xf numFmtId="0" fontId="1" fillId="5" borderId="62" xfId="0" applyFont="1" applyFill="1" applyBorder="1" applyAlignment="1">
      <alignment vertical="center" wrapText="1"/>
    </xf>
    <xf numFmtId="0" fontId="1" fillId="5" borderId="63" xfId="0" applyFont="1" applyFill="1" applyBorder="1" applyAlignment="1">
      <alignment vertical="center" wrapText="1"/>
    </xf>
    <xf numFmtId="0" fontId="0" fillId="0" borderId="55" xfId="0" applyBorder="1"/>
    <xf numFmtId="10" fontId="0" fillId="6" borderId="39" xfId="0" applyNumberFormat="1" applyFill="1" applyBorder="1"/>
    <xf numFmtId="10" fontId="0" fillId="7" borderId="39" xfId="0" applyNumberFormat="1" applyFill="1" applyBorder="1"/>
    <xf numFmtId="0" fontId="3" fillId="0" borderId="15" xfId="0" applyFont="1" applyBorder="1"/>
    <xf numFmtId="10" fontId="0" fillId="3" borderId="65" xfId="0" applyNumberFormat="1" applyFill="1" applyBorder="1"/>
    <xf numFmtId="10" fontId="0" fillId="6" borderId="50" xfId="0" applyNumberFormat="1" applyFill="1" applyBorder="1"/>
    <xf numFmtId="10" fontId="0" fillId="7" borderId="17" xfId="0" applyNumberFormat="1" applyFill="1" applyBorder="1"/>
    <xf numFmtId="9" fontId="0" fillId="6" borderId="44" xfId="0" applyNumberFormat="1" applyFill="1" applyBorder="1"/>
    <xf numFmtId="9" fontId="0" fillId="6" borderId="17" xfId="0" applyNumberFormat="1" applyFill="1" applyBorder="1"/>
    <xf numFmtId="9" fontId="0" fillId="6" borderId="66" xfId="0" applyNumberFormat="1" applyFill="1" applyBorder="1"/>
    <xf numFmtId="10" fontId="0" fillId="3" borderId="64" xfId="0" applyNumberFormat="1" applyFill="1" applyBorder="1"/>
    <xf numFmtId="10" fontId="0" fillId="6" borderId="57" xfId="0" applyNumberFormat="1" applyFill="1" applyBorder="1"/>
    <xf numFmtId="10" fontId="0" fillId="6" borderId="46" xfId="0" applyNumberFormat="1" applyFill="1" applyBorder="1"/>
    <xf numFmtId="10" fontId="0" fillId="6" borderId="51" xfId="0" applyNumberFormat="1" applyFill="1" applyBorder="1"/>
    <xf numFmtId="10" fontId="0" fillId="7" borderId="46" xfId="0" applyNumberFormat="1" applyFill="1" applyBorder="1"/>
    <xf numFmtId="9" fontId="0" fillId="6" borderId="45" xfId="0" applyNumberFormat="1" applyFill="1" applyBorder="1"/>
    <xf numFmtId="9" fontId="0" fillId="6" borderId="46" xfId="0" applyNumberFormat="1" applyFill="1" applyBorder="1"/>
    <xf numFmtId="9" fontId="0" fillId="6" borderId="30" xfId="0" applyNumberFormat="1" applyFill="1" applyBorder="1"/>
    <xf numFmtId="10" fontId="0" fillId="4" borderId="45" xfId="0" applyNumberFormat="1" applyFill="1" applyBorder="1"/>
    <xf numFmtId="10" fontId="0" fillId="3" borderId="30" xfId="0" applyNumberFormat="1" applyFill="1" applyBorder="1"/>
    <xf numFmtId="10" fontId="0" fillId="3" borderId="31" xfId="0" applyNumberFormat="1" applyFill="1" applyBorder="1"/>
    <xf numFmtId="10" fontId="0" fillId="6" borderId="67" xfId="1" applyNumberFormat="1" applyFont="1" applyFill="1" applyBorder="1"/>
    <xf numFmtId="10" fontId="0" fillId="7" borderId="64" xfId="0" applyNumberFormat="1" applyFill="1" applyBorder="1"/>
    <xf numFmtId="10" fontId="0" fillId="7" borderId="30" xfId="0" applyNumberFormat="1" applyFill="1" applyBorder="1"/>
    <xf numFmtId="10" fontId="0" fillId="6" borderId="30" xfId="0" applyNumberFormat="1" applyFill="1" applyBorder="1"/>
    <xf numFmtId="0" fontId="0" fillId="5" borderId="36" xfId="0" applyFill="1" applyBorder="1" applyAlignment="1">
      <alignment horizontal="center" vertical="center" wrapText="1"/>
    </xf>
    <xf numFmtId="0" fontId="0" fillId="5" borderId="34" xfId="0" applyFill="1" applyBorder="1" applyAlignment="1">
      <alignment horizontal="center" vertical="center" wrapText="1"/>
    </xf>
    <xf numFmtId="0" fontId="0" fillId="5" borderId="35" xfId="0" applyFill="1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3" borderId="36" xfId="0" applyFill="1" applyBorder="1" applyAlignment="1">
      <alignment horizontal="center" vertical="center" wrapText="1"/>
    </xf>
    <xf numFmtId="0" fontId="0" fillId="3" borderId="34" xfId="0" applyFill="1" applyBorder="1" applyAlignment="1">
      <alignment horizontal="center" vertical="center" wrapText="1"/>
    </xf>
    <xf numFmtId="0" fontId="0" fillId="3" borderId="35" xfId="0" applyFill="1" applyBorder="1" applyAlignment="1">
      <alignment horizontal="center" vertical="center" wrapText="1"/>
    </xf>
    <xf numFmtId="0" fontId="0" fillId="4" borderId="36" xfId="0" applyFill="1" applyBorder="1" applyAlignment="1">
      <alignment horizontal="center" vertical="center" wrapText="1"/>
    </xf>
    <xf numFmtId="0" fontId="0" fillId="4" borderId="34" xfId="0" applyFill="1" applyBorder="1" applyAlignment="1">
      <alignment horizontal="center" vertical="center" wrapText="1"/>
    </xf>
    <xf numFmtId="0" fontId="0" fillId="4" borderId="35" xfId="0" applyFill="1" applyBorder="1" applyAlignment="1">
      <alignment horizontal="center" vertical="center" wrapText="1"/>
    </xf>
    <xf numFmtId="0" fontId="0" fillId="5" borderId="47" xfId="0" applyFill="1" applyBorder="1" applyAlignment="1">
      <alignment horizontal="center" vertical="center" wrapText="1"/>
    </xf>
    <xf numFmtId="0" fontId="4" fillId="0" borderId="27" xfId="0" applyFont="1" applyBorder="1" applyAlignment="1">
      <alignment horizontal="left"/>
    </xf>
    <xf numFmtId="0" fontId="4" fillId="0" borderId="52" xfId="0" applyFont="1" applyBorder="1" applyAlignment="1">
      <alignment horizontal="left"/>
    </xf>
    <xf numFmtId="0" fontId="0" fillId="6" borderId="36" xfId="0" applyFill="1" applyBorder="1" applyAlignment="1">
      <alignment horizontal="center" vertical="center" wrapText="1"/>
    </xf>
    <xf numFmtId="0" fontId="0" fillId="6" borderId="34" xfId="0" applyFill="1" applyBorder="1" applyAlignment="1">
      <alignment horizontal="center" vertical="center" wrapText="1"/>
    </xf>
    <xf numFmtId="0" fontId="0" fillId="6" borderId="35" xfId="0" applyFill="1" applyBorder="1" applyAlignment="1">
      <alignment horizontal="center" vertical="center" wrapText="1"/>
    </xf>
    <xf numFmtId="0" fontId="0" fillId="5" borderId="53" xfId="0" applyFill="1" applyBorder="1" applyAlignment="1">
      <alignment horizontal="center" vertical="center" wrapText="1"/>
    </xf>
    <xf numFmtId="0" fontId="0" fillId="5" borderId="54" xfId="0" applyFill="1" applyBorder="1" applyAlignment="1">
      <alignment horizontal="center" vertical="center" wrapText="1"/>
    </xf>
    <xf numFmtId="0" fontId="0" fillId="5" borderId="55" xfId="0" applyFill="1" applyBorder="1" applyAlignment="1">
      <alignment horizontal="center" vertical="center" wrapText="1"/>
    </xf>
    <xf numFmtId="0" fontId="0" fillId="6" borderId="47" xfId="0" applyFill="1" applyBorder="1" applyAlignment="1">
      <alignment horizontal="center" vertical="center" wrapText="1"/>
    </xf>
    <xf numFmtId="0" fontId="0" fillId="5" borderId="20" xfId="0" applyFill="1" applyBorder="1" applyAlignment="1">
      <alignment horizontal="center" vertical="center" wrapText="1"/>
    </xf>
    <xf numFmtId="0" fontId="0" fillId="5" borderId="57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/>
    </xf>
    <xf numFmtId="0" fontId="4" fillId="0" borderId="52" xfId="0" applyFont="1" applyBorder="1" applyAlignment="1">
      <alignment horizontal="center"/>
    </xf>
    <xf numFmtId="0" fontId="4" fillId="0" borderId="27" xfId="0" applyFont="1" applyBorder="1" applyAlignment="1">
      <alignment horizontal="right"/>
    </xf>
    <xf numFmtId="0" fontId="4" fillId="0" borderId="52" xfId="0" applyFont="1" applyBorder="1" applyAlignment="1">
      <alignment horizontal="right"/>
    </xf>
    <xf numFmtId="0" fontId="0" fillId="5" borderId="51" xfId="0" applyFill="1" applyBorder="1" applyAlignment="1">
      <alignment horizontal="center" vertical="center" wrapText="1"/>
    </xf>
    <xf numFmtId="0" fontId="0" fillId="7" borderId="64" xfId="0" applyFill="1" applyBorder="1" applyAlignment="1">
      <alignment horizontal="center" vertical="center" wrapText="1"/>
    </xf>
    <xf numFmtId="0" fontId="0" fillId="7" borderId="46" xfId="0" applyFill="1" applyBorder="1" applyAlignment="1">
      <alignment horizontal="center" vertical="center" wrapText="1"/>
    </xf>
    <xf numFmtId="0" fontId="0" fillId="7" borderId="30" xfId="0" applyFill="1" applyBorder="1" applyAlignment="1">
      <alignment horizontal="center" vertical="center" wrapText="1"/>
    </xf>
  </cellXfs>
  <cellStyles count="37">
    <cellStyle name="Comma 2" xfId="5" xr:uid="{00000000-0005-0000-0000-000001000000}"/>
    <cellStyle name="Comma 2 2" xfId="20" xr:uid="{00000000-0005-0000-0000-00003C000000}"/>
    <cellStyle name="Comma 3" xfId="4" xr:uid="{00000000-0005-0000-0000-00002F000000}"/>
    <cellStyle name="Normal" xfId="0" builtinId="0"/>
    <cellStyle name="Normal 10" xfId="15" xr:uid="{A9A0422D-4C22-4BE3-831B-E52113384777}"/>
    <cellStyle name="Normal 10 2" xfId="29" xr:uid="{A9A0422D-4C22-4BE3-831B-E52113384777}"/>
    <cellStyle name="Normal 11" xfId="16" xr:uid="{08774FBD-794C-4255-B2B4-DE5CFA5BCF3C}"/>
    <cellStyle name="Normal 11 2" xfId="30" xr:uid="{08774FBD-794C-4255-B2B4-DE5CFA5BCF3C}"/>
    <cellStyle name="Normal 12" xfId="17" xr:uid="{D7355A25-25CF-4B2E-96E0-EF3A40B3A5C8}"/>
    <cellStyle name="Normal 12 2" xfId="31" xr:uid="{D7355A25-25CF-4B2E-96E0-EF3A40B3A5C8}"/>
    <cellStyle name="Normal 13" xfId="18" xr:uid="{20F595B1-7AE1-498B-B8BF-8ED6DAD48F8D}"/>
    <cellStyle name="Normal 13 2" xfId="32" xr:uid="{20F595B1-7AE1-498B-B8BF-8ED6DAD48F8D}"/>
    <cellStyle name="Normal 14" xfId="19" xr:uid="{00000000-0005-0000-0000-00003B000000}"/>
    <cellStyle name="Normal 15" xfId="33" xr:uid="{2F6FB945-FFD1-46AF-9FFF-2871405F166B}"/>
    <cellStyle name="Normal 16" xfId="34" xr:uid="{B97EA01E-E05F-450D-82C5-913707C96EDF}"/>
    <cellStyle name="Normal 17" xfId="35" xr:uid="{7DF22F3F-CBF9-4621-9924-5B85A026904A}"/>
    <cellStyle name="Normal 18" xfId="36" xr:uid="{7D5ADA18-BEBC-4A6F-85A7-AAE128788614}"/>
    <cellStyle name="Normal 19" xfId="6" xr:uid="{00000000-0005-0000-0000-000034000000}"/>
    <cellStyle name="Normal 2" xfId="3" xr:uid="{00000000-0005-0000-0000-000004000000}"/>
    <cellStyle name="Normal 2 2" xfId="21" xr:uid="{B44CDD90-C8FA-4A27-9019-DFD8EE838E07}"/>
    <cellStyle name="Normal 2 3" xfId="7" xr:uid="{B44CDD90-C8FA-4A27-9019-DFD8EE838E07}"/>
    <cellStyle name="Normal 3" xfId="2" xr:uid="{00000000-0005-0000-0000-000005000000}"/>
    <cellStyle name="Normal 3 2" xfId="22" xr:uid="{D60E0A68-3415-4C2B-9EE5-017BE74AED31}"/>
    <cellStyle name="Normal 3 3" xfId="8" xr:uid="{D60E0A68-3415-4C2B-9EE5-017BE74AED31}"/>
    <cellStyle name="Normal 4" xfId="9" xr:uid="{A748D44D-38BC-457A-9F5F-3CADF2E60CA5}"/>
    <cellStyle name="Normal 4 2" xfId="23" xr:uid="{A748D44D-38BC-457A-9F5F-3CADF2E60CA5}"/>
    <cellStyle name="Normal 5" xfId="10" xr:uid="{A7FE541B-C886-42AE-AB10-0558B5ECF460}"/>
    <cellStyle name="Normal 5 2" xfId="24" xr:uid="{A7FE541B-C886-42AE-AB10-0558B5ECF460}"/>
    <cellStyle name="Normal 6" xfId="11" xr:uid="{CACAB0DC-1BC6-4DC5-8341-52593BC5FFC8}"/>
    <cellStyle name="Normal 6 2" xfId="25" xr:uid="{CACAB0DC-1BC6-4DC5-8341-52593BC5FFC8}"/>
    <cellStyle name="Normal 7" xfId="12" xr:uid="{95535686-240E-480C-A480-CEA3CBCF4AAB}"/>
    <cellStyle name="Normal 7 2" xfId="26" xr:uid="{95535686-240E-480C-A480-CEA3CBCF4AAB}"/>
    <cellStyle name="Normal 8" xfId="13" xr:uid="{5F0134EB-FCA4-4ACC-A281-63D0AE4CFA74}"/>
    <cellStyle name="Normal 8 2" xfId="27" xr:uid="{5F0134EB-FCA4-4ACC-A281-63D0AE4CFA74}"/>
    <cellStyle name="Normal 9" xfId="14" xr:uid="{AADFF6AB-4226-4BE2-BEF5-4962F3395958}"/>
    <cellStyle name="Normal 9 2" xfId="28" xr:uid="{AADFF6AB-4226-4BE2-BEF5-4962F3395958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microsoft.com/office/2017/10/relationships/person" Target="persons/person92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microsoft.com/office/2017/10/relationships/person" Target="persons/person42.xml"/><Relationship Id="rId84" Type="http://schemas.microsoft.com/office/2017/10/relationships/person" Target="persons/person61.xml"/><Relationship Id="rId138" Type="http://schemas.microsoft.com/office/2017/10/relationships/person" Target="persons/person112.xml"/><Relationship Id="rId159" Type="http://schemas.microsoft.com/office/2017/10/relationships/person" Target="persons/person131.xml"/><Relationship Id="rId170" Type="http://schemas.microsoft.com/office/2017/10/relationships/person" Target="persons/person144.xml"/><Relationship Id="rId191" Type="http://schemas.microsoft.com/office/2017/10/relationships/person" Target="persons/person163.xml"/><Relationship Id="rId205" Type="http://schemas.microsoft.com/office/2017/10/relationships/person" Target="persons/person177.xml"/><Relationship Id="rId226" Type="http://schemas.microsoft.com/office/2017/10/relationships/person" Target="persons/person198.xml"/><Relationship Id="rId247" Type="http://schemas.microsoft.com/office/2017/10/relationships/person" Target="persons/person219.xml"/><Relationship Id="rId107" Type="http://schemas.microsoft.com/office/2017/10/relationships/person" Target="persons/person81.xml"/><Relationship Id="rId268" Type="http://schemas.microsoft.com/office/2017/10/relationships/person" Target="persons/person2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microsoft.com/office/2017/10/relationships/person" Target="persons/person51.xml"/><Relationship Id="rId128" Type="http://schemas.microsoft.com/office/2017/10/relationships/person" Target="persons/person3.xml"/><Relationship Id="rId149" Type="http://schemas.microsoft.com/office/2017/10/relationships/person" Target="persons/person123.xml"/><Relationship Id="rId5" Type="http://schemas.openxmlformats.org/officeDocument/2006/relationships/worksheet" Target="worksheets/sheet5.xml"/><Relationship Id="rId95" Type="http://schemas.microsoft.com/office/2017/10/relationships/person" Target="persons/person72.xml"/><Relationship Id="rId160" Type="http://schemas.microsoft.com/office/2017/10/relationships/person" Target="persons/person135.xml"/><Relationship Id="rId181" Type="http://schemas.microsoft.com/office/2017/10/relationships/person" Target="persons/person155.xml"/><Relationship Id="rId216" Type="http://schemas.microsoft.com/office/2017/10/relationships/person" Target="persons/person188.xml"/><Relationship Id="rId237" Type="http://schemas.microsoft.com/office/2017/10/relationships/person" Target="persons/person209.xml"/><Relationship Id="rId258" Type="http://schemas.microsoft.com/office/2017/10/relationships/person" Target="persons/person9.xml"/><Relationship Id="rId279" Type="http://schemas.microsoft.com/office/2017/10/relationships/person" Target="persons/person29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118" Type="http://schemas.microsoft.com/office/2017/10/relationships/person" Target="persons/person20.xml"/><Relationship Id="rId139" Type="http://schemas.microsoft.com/office/2017/10/relationships/person" Target="persons/person120.xml"/><Relationship Id="rId64" Type="http://schemas.microsoft.com/office/2017/10/relationships/person" Target="persons/person45.xml"/><Relationship Id="rId150" Type="http://schemas.microsoft.com/office/2017/10/relationships/person" Target="persons/person129.xml"/><Relationship Id="rId85" Type="http://schemas.microsoft.com/office/2017/10/relationships/person" Target="persons/person63.xml"/><Relationship Id="rId171" Type="http://schemas.microsoft.com/office/2017/10/relationships/person" Target="persons/person146.xml"/><Relationship Id="rId192" Type="http://schemas.microsoft.com/office/2017/10/relationships/person" Target="persons/person166.xml"/><Relationship Id="rId206" Type="http://schemas.microsoft.com/office/2017/10/relationships/person" Target="persons/person179.xml"/><Relationship Id="rId227" Type="http://schemas.microsoft.com/office/2017/10/relationships/person" Target="persons/person200.xml"/><Relationship Id="rId269" Type="http://schemas.microsoft.com/office/2017/10/relationships/person" Target="persons/person31.xml"/><Relationship Id="rId248" Type="http://schemas.microsoft.com/office/2017/10/relationships/person" Target="persons/person10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29" Type="http://schemas.microsoft.com/office/2017/10/relationships/person" Target="persons/person109.xml"/><Relationship Id="rId108" Type="http://schemas.microsoft.com/office/2017/10/relationships/person" Target="persons/person86.xml"/><Relationship Id="rId280" Type="http://schemas.microsoft.com/office/2017/10/relationships/person" Target="persons/person36.xml"/><Relationship Id="rId54" Type="http://schemas.openxmlformats.org/officeDocument/2006/relationships/worksheet" Target="worksheets/sheet54.xml"/><Relationship Id="rId140" Type="http://schemas.microsoft.com/office/2017/10/relationships/person" Target="persons/person119.xml"/><Relationship Id="rId96" Type="http://schemas.microsoft.com/office/2017/10/relationships/person" Target="persons/person7.xml"/><Relationship Id="rId75" Type="http://schemas.microsoft.com/office/2017/10/relationships/person" Target="persons/person54.xml"/><Relationship Id="rId161" Type="http://schemas.microsoft.com/office/2017/10/relationships/person" Target="persons/person136.xml"/><Relationship Id="rId182" Type="http://schemas.microsoft.com/office/2017/10/relationships/person" Target="persons/person156.xml"/><Relationship Id="rId217" Type="http://schemas.microsoft.com/office/2017/10/relationships/person" Target="persons/person190.xml"/><Relationship Id="rId6" Type="http://schemas.openxmlformats.org/officeDocument/2006/relationships/worksheet" Target="worksheets/sheet6.xml"/><Relationship Id="rId259" Type="http://schemas.microsoft.com/office/2017/10/relationships/person" Target="persons/person25.xml"/><Relationship Id="rId238" Type="http://schemas.microsoft.com/office/2017/10/relationships/person" Target="persons/person211.xml"/><Relationship Id="rId23" Type="http://schemas.openxmlformats.org/officeDocument/2006/relationships/worksheet" Target="worksheets/sheet23.xml"/><Relationship Id="rId270" Type="http://schemas.microsoft.com/office/2017/10/relationships/person" Target="persons/person33.xml"/><Relationship Id="rId119" Type="http://schemas.microsoft.com/office/2017/10/relationships/person" Target="persons/person99.xml"/><Relationship Id="rId44" Type="http://schemas.openxmlformats.org/officeDocument/2006/relationships/worksheet" Target="worksheets/sheet44.xml"/><Relationship Id="rId151" Type="http://schemas.microsoft.com/office/2017/10/relationships/person" Target="persons/person128.xml"/><Relationship Id="rId130" Type="http://schemas.microsoft.com/office/2017/10/relationships/person" Target="persons/person108.xml"/><Relationship Id="rId86" Type="http://schemas.microsoft.com/office/2017/10/relationships/person" Target="persons/person65.xml"/><Relationship Id="rId65" Type="http://schemas.microsoft.com/office/2017/10/relationships/person" Target="persons/person43.xml"/><Relationship Id="rId249" Type="http://schemas.microsoft.com/office/2017/10/relationships/person" Target="persons/person11.xml"/><Relationship Id="rId172" Type="http://schemas.microsoft.com/office/2017/10/relationships/person" Target="persons/person149.xml"/><Relationship Id="rId193" Type="http://schemas.microsoft.com/office/2017/10/relationships/person" Target="persons/person167.xml"/><Relationship Id="rId202" Type="http://schemas.microsoft.com/office/2017/10/relationships/person" Target="persons/person176.xml"/><Relationship Id="rId207" Type="http://schemas.microsoft.com/office/2017/10/relationships/person" Target="persons/person180.xml"/><Relationship Id="rId223" Type="http://schemas.microsoft.com/office/2017/10/relationships/person" Target="persons/person196.xml"/><Relationship Id="rId228" Type="http://schemas.microsoft.com/office/2017/10/relationships/person" Target="persons/person201.xml"/><Relationship Id="rId244" Type="http://schemas.microsoft.com/office/2017/10/relationships/person" Target="persons/person217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260" Type="http://schemas.microsoft.com/office/2017/10/relationships/person" Target="persons/person21.xml"/><Relationship Id="rId109" Type="http://schemas.microsoft.com/office/2017/10/relationships/person" Target="persons/person85.xml"/><Relationship Id="rId265" Type="http://schemas.microsoft.com/office/2017/10/relationships/person" Target="persons/person18.xml"/><Relationship Id="rId281" Type="http://schemas.microsoft.com/office/2017/10/relationships/person" Target="persons/person35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theme" Target="theme/theme1.xml"/><Relationship Id="rId167" Type="http://schemas.microsoft.com/office/2017/10/relationships/person" Target="persons/person145.xml"/><Relationship Id="rId146" Type="http://schemas.microsoft.com/office/2017/10/relationships/person" Target="persons/person124.xml"/><Relationship Id="rId141" Type="http://schemas.microsoft.com/office/2017/10/relationships/person" Target="persons/person116.xml"/><Relationship Id="rId125" Type="http://schemas.microsoft.com/office/2017/10/relationships/person" Target="persons/person101.xml"/><Relationship Id="rId120" Type="http://schemas.microsoft.com/office/2017/10/relationships/person" Target="persons/person96.xml"/><Relationship Id="rId104" Type="http://schemas.microsoft.com/office/2017/10/relationships/person" Target="persons/person80.xml"/><Relationship Id="rId76" Type="http://schemas.microsoft.com/office/2017/10/relationships/person" Target="persons/person52.xml"/><Relationship Id="rId97" Type="http://schemas.microsoft.com/office/2017/10/relationships/person" Target="persons/person74.xml"/><Relationship Id="rId188" Type="http://schemas.microsoft.com/office/2017/10/relationships/person" Target="persons/person162.xml"/><Relationship Id="rId7" Type="http://schemas.openxmlformats.org/officeDocument/2006/relationships/worksheet" Target="worksheets/sheet7.xml"/><Relationship Id="rId162" Type="http://schemas.microsoft.com/office/2017/10/relationships/person" Target="persons/person140.xml"/><Relationship Id="rId71" Type="http://schemas.microsoft.com/office/2017/10/relationships/person" Target="persons/person48.xml"/><Relationship Id="rId92" Type="http://schemas.microsoft.com/office/2017/10/relationships/person" Target="persons/person69.xml"/><Relationship Id="rId183" Type="http://schemas.microsoft.com/office/2017/10/relationships/person" Target="persons/person157.xml"/><Relationship Id="rId213" Type="http://schemas.microsoft.com/office/2017/10/relationships/person" Target="persons/person186.xml"/><Relationship Id="rId218" Type="http://schemas.microsoft.com/office/2017/10/relationships/person" Target="persons/person191.xml"/><Relationship Id="rId234" Type="http://schemas.microsoft.com/office/2017/10/relationships/person" Target="persons/person207.xml"/><Relationship Id="rId239" Type="http://schemas.microsoft.com/office/2017/10/relationships/person" Target="persons/person21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71" Type="http://schemas.microsoft.com/office/2017/10/relationships/person" Target="persons/person34.xml"/><Relationship Id="rId255" Type="http://schemas.microsoft.com/office/2017/10/relationships/person" Target="persons/person221.xml"/><Relationship Id="rId250" Type="http://schemas.microsoft.com/office/2017/10/relationships/person" Target="persons/person222.xml"/><Relationship Id="rId276" Type="http://schemas.microsoft.com/office/2017/10/relationships/person" Target="persons/person27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178" Type="http://schemas.microsoft.com/office/2017/10/relationships/person" Target="persons/person154.xml"/><Relationship Id="rId157" Type="http://schemas.microsoft.com/office/2017/10/relationships/person" Target="persons/person133.xml"/><Relationship Id="rId136" Type="http://schemas.microsoft.com/office/2017/10/relationships/person" Target="persons/person111.xml"/><Relationship Id="rId131" Type="http://schemas.microsoft.com/office/2017/10/relationships/person" Target="persons/person106.xml"/><Relationship Id="rId66" Type="http://schemas.microsoft.com/office/2017/10/relationships/person" Target="persons/person44.xml"/><Relationship Id="rId87" Type="http://schemas.microsoft.com/office/2017/10/relationships/person" Target="persons/person64.xml"/><Relationship Id="rId110" Type="http://schemas.microsoft.com/office/2017/10/relationships/person" Target="persons/person84.xml"/><Relationship Id="rId115" Type="http://schemas.microsoft.com/office/2017/10/relationships/person" Target="persons/person89.xml"/><Relationship Id="rId199" Type="http://schemas.microsoft.com/office/2017/10/relationships/person" Target="persons/person174.xml"/><Relationship Id="rId194" Type="http://schemas.microsoft.com/office/2017/10/relationships/person" Target="persons/person170.xml"/><Relationship Id="rId173" Type="http://schemas.microsoft.com/office/2017/10/relationships/person" Target="persons/person148.xml"/><Relationship Id="rId152" Type="http://schemas.microsoft.com/office/2017/10/relationships/person" Target="persons/person127.xml"/><Relationship Id="rId61" Type="http://schemas.microsoft.com/office/2017/10/relationships/person" Target="persons/person39.xml"/><Relationship Id="rId82" Type="http://schemas.microsoft.com/office/2017/10/relationships/person" Target="persons/person60.xml"/><Relationship Id="rId203" Type="http://schemas.microsoft.com/office/2017/10/relationships/person" Target="persons/person6.xml"/><Relationship Id="rId208" Type="http://schemas.microsoft.com/office/2017/10/relationships/person" Target="persons/person181.xml"/><Relationship Id="rId229" Type="http://schemas.microsoft.com/office/2017/10/relationships/person" Target="persons/person202.xml"/><Relationship Id="rId19" Type="http://schemas.openxmlformats.org/officeDocument/2006/relationships/worksheet" Target="worksheets/sheet19.xml"/><Relationship Id="rId261" Type="http://schemas.microsoft.com/office/2017/10/relationships/person" Target="persons/person104.xml"/><Relationship Id="rId266" Type="http://schemas.microsoft.com/office/2017/10/relationships/person" Target="persons/person16.xml"/><Relationship Id="rId224" Type="http://schemas.microsoft.com/office/2017/10/relationships/person" Target="persons/person197.xml"/><Relationship Id="rId240" Type="http://schemas.microsoft.com/office/2017/10/relationships/person" Target="persons/person213.xml"/><Relationship Id="rId245" Type="http://schemas.microsoft.com/office/2017/10/relationships/person" Target="persons/person218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styles" Target="styles.xml"/><Relationship Id="rId168" Type="http://schemas.microsoft.com/office/2017/10/relationships/person" Target="persons/person143.xml"/><Relationship Id="rId147" Type="http://schemas.microsoft.com/office/2017/10/relationships/person" Target="persons/person122.xml"/><Relationship Id="rId77" Type="http://schemas.microsoft.com/office/2017/10/relationships/person" Target="persons/person55.xml"/><Relationship Id="rId100" Type="http://schemas.microsoft.com/office/2017/10/relationships/person" Target="persons/person12.xml"/><Relationship Id="rId105" Type="http://schemas.microsoft.com/office/2017/10/relationships/person" Target="persons/person79.xml"/><Relationship Id="rId126" Type="http://schemas.microsoft.com/office/2017/10/relationships/person" Target="persons/person100.xml"/><Relationship Id="rId282" Type="http://schemas.microsoft.com/office/2017/10/relationships/person" Target="persons/person3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189" Type="http://schemas.microsoft.com/office/2017/10/relationships/person" Target="persons/person165.xml"/><Relationship Id="rId184" Type="http://schemas.microsoft.com/office/2017/10/relationships/person" Target="persons/person160.xml"/><Relationship Id="rId163" Type="http://schemas.microsoft.com/office/2017/10/relationships/person" Target="persons/person138.xml"/><Relationship Id="rId98" Type="http://schemas.microsoft.com/office/2017/10/relationships/person" Target="persons/person78.xml"/><Relationship Id="rId72" Type="http://schemas.microsoft.com/office/2017/10/relationships/person" Target="persons/person1.xml"/><Relationship Id="rId93" Type="http://schemas.microsoft.com/office/2017/10/relationships/person" Target="persons/person71.xml"/><Relationship Id="rId121" Type="http://schemas.microsoft.com/office/2017/10/relationships/person" Target="persons/person95.xml"/><Relationship Id="rId142" Type="http://schemas.microsoft.com/office/2017/10/relationships/person" Target="persons/person115.xml"/><Relationship Id="rId219" Type="http://schemas.microsoft.com/office/2017/10/relationships/person" Target="persons/person192.xml"/><Relationship Id="rId3" Type="http://schemas.openxmlformats.org/officeDocument/2006/relationships/worksheet" Target="worksheets/sheet3.xml"/><Relationship Id="rId256" Type="http://schemas.microsoft.com/office/2017/10/relationships/person" Target="persons/person13.xml"/><Relationship Id="rId251" Type="http://schemas.microsoft.com/office/2017/10/relationships/person" Target="persons/person0.xml"/><Relationship Id="rId214" Type="http://schemas.microsoft.com/office/2017/10/relationships/person" Target="persons/person187.xml"/><Relationship Id="rId230" Type="http://schemas.microsoft.com/office/2017/10/relationships/person" Target="persons/person203.xml"/><Relationship Id="rId235" Type="http://schemas.microsoft.com/office/2017/10/relationships/person" Target="persons/person208.xml"/><Relationship Id="rId277" Type="http://schemas.microsoft.com/office/2017/10/relationships/person" Target="persons/person32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272" Type="http://schemas.microsoft.com/office/2017/10/relationships/person" Target="persons/person23.xml"/><Relationship Id="rId158" Type="http://schemas.microsoft.com/office/2017/10/relationships/person" Target="persons/person132.xml"/><Relationship Id="rId116" Type="http://schemas.microsoft.com/office/2017/10/relationships/person" Target="persons/person93.xml"/><Relationship Id="rId67" Type="http://schemas.microsoft.com/office/2017/10/relationships/person" Target="persons/person47.xml"/><Relationship Id="rId137" Type="http://schemas.microsoft.com/office/2017/10/relationships/person" Target="persons/person110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209" Type="http://schemas.microsoft.com/office/2017/10/relationships/person" Target="persons/person184.xml"/><Relationship Id="rId195" Type="http://schemas.microsoft.com/office/2017/10/relationships/person" Target="persons/person169.xml"/><Relationship Id="rId179" Type="http://schemas.microsoft.com/office/2017/10/relationships/person" Target="persons/person153.xml"/><Relationship Id="rId174" Type="http://schemas.microsoft.com/office/2017/10/relationships/person" Target="persons/person147.xml"/><Relationship Id="rId111" Type="http://schemas.microsoft.com/office/2017/10/relationships/person" Target="persons/person88.xml"/><Relationship Id="rId88" Type="http://schemas.microsoft.com/office/2017/10/relationships/person" Target="persons/person67.xml"/><Relationship Id="rId83" Type="http://schemas.microsoft.com/office/2017/10/relationships/person" Target="persons/person62.xml"/><Relationship Id="rId62" Type="http://schemas.microsoft.com/office/2017/10/relationships/person" Target="persons/person41.xml"/><Relationship Id="rId132" Type="http://schemas.microsoft.com/office/2017/10/relationships/person" Target="persons/person105.xml"/><Relationship Id="rId153" Type="http://schemas.microsoft.com/office/2017/10/relationships/person" Target="persons/person4.xml"/><Relationship Id="rId267" Type="http://schemas.microsoft.com/office/2017/10/relationships/person" Target="persons/person17.xml"/><Relationship Id="rId246" Type="http://schemas.microsoft.com/office/2017/10/relationships/person" Target="persons/person220.xml"/><Relationship Id="rId241" Type="http://schemas.microsoft.com/office/2017/10/relationships/person" Target="persons/person216.xml"/><Relationship Id="rId225" Type="http://schemas.microsoft.com/office/2017/10/relationships/person" Target="persons/person199.xml"/><Relationship Id="rId220" Type="http://schemas.microsoft.com/office/2017/10/relationships/person" Target="persons/person195.xml"/><Relationship Id="rId204" Type="http://schemas.microsoft.com/office/2017/10/relationships/person" Target="persons/person178.xml"/><Relationship Id="rId190" Type="http://schemas.microsoft.com/office/2017/10/relationships/person" Target="persons/person164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sharedStrings" Target="sharedStrings.xml"/><Relationship Id="rId262" Type="http://schemas.microsoft.com/office/2017/10/relationships/person" Target="persons/person19.xml"/><Relationship Id="rId127" Type="http://schemas.microsoft.com/office/2017/10/relationships/person" Target="persons/person102.xml"/><Relationship Id="rId106" Type="http://schemas.microsoft.com/office/2017/10/relationships/person" Target="persons/person82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185" Type="http://schemas.microsoft.com/office/2017/10/relationships/person" Target="persons/person159.xml"/><Relationship Id="rId143" Type="http://schemas.microsoft.com/office/2017/10/relationships/person" Target="persons/person118.xml"/><Relationship Id="rId122" Type="http://schemas.microsoft.com/office/2017/10/relationships/person" Target="persons/person98.xml"/><Relationship Id="rId101" Type="http://schemas.microsoft.com/office/2017/10/relationships/person" Target="persons/person77.xml"/><Relationship Id="rId99" Type="http://schemas.microsoft.com/office/2017/10/relationships/person" Target="persons/person75.xml"/><Relationship Id="rId94" Type="http://schemas.microsoft.com/office/2017/10/relationships/person" Target="persons/person73.xml"/><Relationship Id="rId73" Type="http://schemas.microsoft.com/office/2017/10/relationships/person" Target="persons/person53.xml"/><Relationship Id="rId78" Type="http://schemas.microsoft.com/office/2017/10/relationships/person" Target="persons/person56.xml"/><Relationship Id="rId148" Type="http://schemas.microsoft.com/office/2017/10/relationships/person" Target="persons/person121.xml"/><Relationship Id="rId164" Type="http://schemas.microsoft.com/office/2017/10/relationships/person" Target="persons/person137.xml"/><Relationship Id="rId169" Type="http://schemas.microsoft.com/office/2017/10/relationships/person" Target="persons/person14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78" Type="http://schemas.microsoft.com/office/2017/10/relationships/person" Target="persons/person22.xml"/><Relationship Id="rId257" Type="http://schemas.microsoft.com/office/2017/10/relationships/person" Target="persons/person8.xml"/><Relationship Id="rId236" Type="http://schemas.microsoft.com/office/2017/10/relationships/person" Target="persons/person210.xml"/><Relationship Id="rId215" Type="http://schemas.microsoft.com/office/2017/10/relationships/person" Target="persons/person189.xml"/><Relationship Id="rId210" Type="http://schemas.microsoft.com/office/2017/10/relationships/person" Target="persons/person183.xml"/><Relationship Id="rId180" Type="http://schemas.microsoft.com/office/2017/10/relationships/person" Target="persons/person152.xml"/><Relationship Id="rId26" Type="http://schemas.openxmlformats.org/officeDocument/2006/relationships/worksheet" Target="worksheets/sheet26.xml"/><Relationship Id="rId273" Type="http://schemas.microsoft.com/office/2017/10/relationships/person" Target="persons/person30.xml"/><Relationship Id="rId252" Type="http://schemas.microsoft.com/office/2017/10/relationships/person" Target="persons/person2.xml"/><Relationship Id="rId231" Type="http://schemas.microsoft.com/office/2017/10/relationships/person" Target="persons/person206.xml"/><Relationship Id="rId47" Type="http://schemas.openxmlformats.org/officeDocument/2006/relationships/worksheet" Target="worksheets/sheet47.xml"/><Relationship Id="rId68" Type="http://schemas.microsoft.com/office/2017/10/relationships/person" Target="persons/person46.xml"/><Relationship Id="rId89" Type="http://schemas.microsoft.com/office/2017/10/relationships/person" Target="persons/person66.xml"/><Relationship Id="rId112" Type="http://schemas.microsoft.com/office/2017/10/relationships/person" Target="persons/person87.xml"/><Relationship Id="rId133" Type="http://schemas.microsoft.com/office/2017/10/relationships/person" Target="persons/person107.xml"/><Relationship Id="rId154" Type="http://schemas.microsoft.com/office/2017/10/relationships/person" Target="persons/person126.xml"/><Relationship Id="rId175" Type="http://schemas.microsoft.com/office/2017/10/relationships/person" Target="persons/person5.xml"/><Relationship Id="rId196" Type="http://schemas.microsoft.com/office/2017/10/relationships/person" Target="persons/person168.xml"/><Relationship Id="rId200" Type="http://schemas.microsoft.com/office/2017/10/relationships/person" Target="persons/person173.xml"/><Relationship Id="rId16" Type="http://schemas.openxmlformats.org/officeDocument/2006/relationships/worksheet" Target="worksheets/sheet16.xml"/><Relationship Id="rId263" Type="http://schemas.microsoft.com/office/2017/10/relationships/person" Target="persons/person15.xml"/><Relationship Id="rId242" Type="http://schemas.microsoft.com/office/2017/10/relationships/person" Target="persons/person215.xml"/><Relationship Id="rId221" Type="http://schemas.microsoft.com/office/2017/10/relationships/person" Target="persons/person194.xml"/><Relationship Id="rId37" Type="http://schemas.openxmlformats.org/officeDocument/2006/relationships/worksheet" Target="worksheets/sheet37.xml"/><Relationship Id="rId58" Type="http://schemas.openxmlformats.org/officeDocument/2006/relationships/calcChain" Target="calcChain.xml"/><Relationship Id="rId79" Type="http://schemas.microsoft.com/office/2017/10/relationships/person" Target="persons/person57.xml"/><Relationship Id="rId102" Type="http://schemas.microsoft.com/office/2017/10/relationships/person" Target="persons/person76.xml"/><Relationship Id="rId123" Type="http://schemas.microsoft.com/office/2017/10/relationships/person" Target="persons/person97.xml"/><Relationship Id="rId144" Type="http://schemas.microsoft.com/office/2017/10/relationships/person" Target="persons/person117.xml"/><Relationship Id="rId90" Type="http://schemas.microsoft.com/office/2017/10/relationships/person" Target="persons/person68.xml"/><Relationship Id="rId165" Type="http://schemas.microsoft.com/office/2017/10/relationships/person" Target="persons/person139.xml"/><Relationship Id="rId186" Type="http://schemas.microsoft.com/office/2017/10/relationships/person" Target="persons/person158.xml"/><Relationship Id="rId274" Type="http://schemas.microsoft.com/office/2017/10/relationships/person" Target="persons/person24.xml"/><Relationship Id="rId253" Type="http://schemas.microsoft.com/office/2017/10/relationships/person" Target="persons/person.xml"/><Relationship Id="rId232" Type="http://schemas.microsoft.com/office/2017/10/relationships/person" Target="persons/person205.xml"/><Relationship Id="rId211" Type="http://schemas.microsoft.com/office/2017/10/relationships/person" Target="persons/person182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134" Type="http://schemas.microsoft.com/office/2017/10/relationships/person" Target="persons/person114.xml"/><Relationship Id="rId113" Type="http://schemas.microsoft.com/office/2017/10/relationships/person" Target="persons/person91.xml"/><Relationship Id="rId69" Type="http://schemas.microsoft.com/office/2017/10/relationships/person" Target="persons/person50.xml"/><Relationship Id="rId80" Type="http://schemas.microsoft.com/office/2017/10/relationships/person" Target="persons/person58.xml"/><Relationship Id="rId155" Type="http://schemas.microsoft.com/office/2017/10/relationships/person" Target="persons/person130.xml"/><Relationship Id="rId176" Type="http://schemas.microsoft.com/office/2017/10/relationships/person" Target="persons/person150.xml"/><Relationship Id="rId197" Type="http://schemas.microsoft.com/office/2017/10/relationships/person" Target="persons/person171.xml"/><Relationship Id="rId264" Type="http://schemas.microsoft.com/office/2017/10/relationships/person" Target="persons/person14.xml"/><Relationship Id="rId201" Type="http://schemas.microsoft.com/office/2017/10/relationships/person" Target="persons/person175.xml"/><Relationship Id="rId222" Type="http://schemas.microsoft.com/office/2017/10/relationships/person" Target="persons/person193.xml"/><Relationship Id="rId243" Type="http://schemas.microsoft.com/office/2017/10/relationships/person" Target="persons/person214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124" Type="http://schemas.microsoft.com/office/2017/10/relationships/person" Target="persons/person103.xml"/><Relationship Id="rId103" Type="http://schemas.microsoft.com/office/2017/10/relationships/person" Target="persons/person83.xml"/><Relationship Id="rId59" Type="http://schemas.microsoft.com/office/2017/10/relationships/person" Target="persons/person38.xml"/><Relationship Id="rId145" Type="http://schemas.microsoft.com/office/2017/10/relationships/person" Target="persons/person125.xml"/><Relationship Id="rId91" Type="http://schemas.microsoft.com/office/2017/10/relationships/person" Target="persons/person70.xml"/><Relationship Id="rId70" Type="http://schemas.microsoft.com/office/2017/10/relationships/person" Target="persons/person49.xml"/><Relationship Id="rId166" Type="http://schemas.microsoft.com/office/2017/10/relationships/person" Target="persons/person141.xml"/><Relationship Id="rId187" Type="http://schemas.microsoft.com/office/2017/10/relationships/person" Target="persons/person161.xml"/><Relationship Id="rId1" Type="http://schemas.openxmlformats.org/officeDocument/2006/relationships/worksheet" Target="worksheets/sheet1.xml"/><Relationship Id="rId212" Type="http://schemas.microsoft.com/office/2017/10/relationships/person" Target="persons/person185.xml"/><Relationship Id="rId233" Type="http://schemas.microsoft.com/office/2017/10/relationships/person" Target="persons/person204.xml"/><Relationship Id="rId254" Type="http://schemas.microsoft.com/office/2017/10/relationships/person" Target="persons/person9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275" Type="http://schemas.microsoft.com/office/2017/10/relationships/person" Target="persons/person28.xml"/><Relationship Id="rId114" Type="http://schemas.microsoft.com/office/2017/10/relationships/person" Target="persons/person90.xml"/><Relationship Id="rId156" Type="http://schemas.microsoft.com/office/2017/10/relationships/person" Target="persons/person134.xml"/><Relationship Id="rId135" Type="http://schemas.microsoft.com/office/2017/10/relationships/person" Target="persons/person113.xml"/><Relationship Id="rId60" Type="http://schemas.microsoft.com/office/2017/10/relationships/person" Target="persons/person40.xml"/><Relationship Id="rId81" Type="http://schemas.microsoft.com/office/2017/10/relationships/person" Target="persons/person59.xml"/><Relationship Id="rId177" Type="http://schemas.microsoft.com/office/2017/10/relationships/person" Target="persons/person151.xml"/><Relationship Id="rId198" Type="http://schemas.microsoft.com/office/2017/10/relationships/person" Target="persons/person17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persons/person5.xml><?xml version="1.0" encoding="utf-8"?>
<personList xmlns="http://schemas.microsoft.com/office/spreadsheetml/2018/threadedcomments" xmlns:x="http://schemas.openxmlformats.org/spreadsheetml/2006/main"/>
</file>

<file path=xl/persons/person6.xml><?xml version="1.0" encoding="utf-8"?>
<personList xmlns="http://schemas.microsoft.com/office/spreadsheetml/2018/threadedcomments" xmlns:x="http://schemas.openxmlformats.org/spreadsheetml/2006/main"/>
</file>

<file path=xl/persons/person7.xml><?xml version="1.0" encoding="utf-8"?>
<personList xmlns="http://schemas.microsoft.com/office/spreadsheetml/2018/threadedcomments" xmlns:x="http://schemas.openxmlformats.org/spreadsheetml/2006/main"/>
</file>

<file path=xl/persons/person8.xml><?xml version="1.0" encoding="utf-8"?>
<personList xmlns="http://schemas.microsoft.com/office/spreadsheetml/2018/threadedcomments" xmlns:x="http://schemas.openxmlformats.org/spreadsheetml/2006/main"/>
</file>

<file path=xl/persons/person9.xml><?xml version="1.0" encoding="utf-8"?>
<personList xmlns="http://schemas.microsoft.com/office/spreadsheetml/2018/threadedcomments" xmlns:x="http://schemas.openxmlformats.org/spreadsheetml/2006/main"/>
</file>

<file path=xl/persons/person10.xml><?xml version="1.0" encoding="utf-8"?>
<personList xmlns="http://schemas.microsoft.com/office/spreadsheetml/2018/threadedcomments" xmlns:x="http://schemas.openxmlformats.org/spreadsheetml/2006/main"/>
</file>

<file path=xl/persons/person11.xml><?xml version="1.0" encoding="utf-8"?>
<personList xmlns="http://schemas.microsoft.com/office/spreadsheetml/2018/threadedcomments" xmlns:x="http://schemas.openxmlformats.org/spreadsheetml/2006/main"/>
</file>

<file path=xl/persons/person12.xml><?xml version="1.0" encoding="utf-8"?>
<personList xmlns="http://schemas.microsoft.com/office/spreadsheetml/2018/threadedcomments" xmlns:x="http://schemas.openxmlformats.org/spreadsheetml/2006/main"/>
</file>

<file path=xl/persons/person13.xml><?xml version="1.0" encoding="utf-8"?>
<personList xmlns="http://schemas.microsoft.com/office/spreadsheetml/2018/threadedcomments" xmlns:x="http://schemas.openxmlformats.org/spreadsheetml/2006/main"/>
</file>

<file path=xl/persons/person14.xml><?xml version="1.0" encoding="utf-8"?>
<personList xmlns="http://schemas.microsoft.com/office/spreadsheetml/2018/threadedcomments" xmlns:x="http://schemas.openxmlformats.org/spreadsheetml/2006/main"/>
</file>

<file path=xl/persons/person15.xml><?xml version="1.0" encoding="utf-8"?>
<personList xmlns="http://schemas.microsoft.com/office/spreadsheetml/2018/threadedcomments" xmlns:x="http://schemas.openxmlformats.org/spreadsheetml/2006/main"/>
</file>

<file path=xl/persons/person16.xml><?xml version="1.0" encoding="utf-8"?>
<personList xmlns="http://schemas.microsoft.com/office/spreadsheetml/2018/threadedcomments" xmlns:x="http://schemas.openxmlformats.org/spreadsheetml/2006/main"/>
</file>

<file path=xl/persons/person17.xml><?xml version="1.0" encoding="utf-8"?>
<personList xmlns="http://schemas.microsoft.com/office/spreadsheetml/2018/threadedcomments" xmlns:x="http://schemas.openxmlformats.org/spreadsheetml/2006/main"/>
</file>

<file path=xl/persons/person18.xml><?xml version="1.0" encoding="utf-8"?>
<personList xmlns="http://schemas.microsoft.com/office/spreadsheetml/2018/threadedcomments" xmlns:x="http://schemas.openxmlformats.org/spreadsheetml/2006/main"/>
</file>

<file path=xl/persons/person19.xml><?xml version="1.0" encoding="utf-8"?>
<personList xmlns="http://schemas.microsoft.com/office/spreadsheetml/2018/threadedcomments" xmlns:x="http://schemas.openxmlformats.org/spreadsheetml/2006/main"/>
</file>

<file path=xl/persons/person20.xml><?xml version="1.0" encoding="utf-8"?>
<personList xmlns="http://schemas.microsoft.com/office/spreadsheetml/2018/threadedcomments" xmlns:x="http://schemas.openxmlformats.org/spreadsheetml/2006/main"/>
</file>

<file path=xl/persons/person21.xml><?xml version="1.0" encoding="utf-8"?>
<personList xmlns="http://schemas.microsoft.com/office/spreadsheetml/2018/threadedcomments" xmlns:x="http://schemas.openxmlformats.org/spreadsheetml/2006/main"/>
</file>

<file path=xl/persons/person22.xml><?xml version="1.0" encoding="utf-8"?>
<personList xmlns="http://schemas.microsoft.com/office/spreadsheetml/2018/threadedcomments" xmlns:x="http://schemas.openxmlformats.org/spreadsheetml/2006/main"/>
</file>

<file path=xl/persons/person23.xml><?xml version="1.0" encoding="utf-8"?>
<personList xmlns="http://schemas.microsoft.com/office/spreadsheetml/2018/threadedcomments" xmlns:x="http://schemas.openxmlformats.org/spreadsheetml/2006/main"/>
</file>

<file path=xl/persons/person24.xml><?xml version="1.0" encoding="utf-8"?>
<personList xmlns="http://schemas.microsoft.com/office/spreadsheetml/2018/threadedcomments" xmlns:x="http://schemas.openxmlformats.org/spreadsheetml/2006/main"/>
</file>

<file path=xl/persons/person25.xml><?xml version="1.0" encoding="utf-8"?>
<personList xmlns="http://schemas.microsoft.com/office/spreadsheetml/2018/threadedcomments" xmlns:x="http://schemas.openxmlformats.org/spreadsheetml/2006/main"/>
</file>

<file path=xl/persons/person26.xml><?xml version="1.0" encoding="utf-8"?>
<personList xmlns="http://schemas.microsoft.com/office/spreadsheetml/2018/threadedcomments" xmlns:x="http://schemas.openxmlformats.org/spreadsheetml/2006/main"/>
</file>

<file path=xl/persons/person27.xml><?xml version="1.0" encoding="utf-8"?>
<personList xmlns="http://schemas.microsoft.com/office/spreadsheetml/2018/threadedcomments" xmlns:x="http://schemas.openxmlformats.org/spreadsheetml/2006/main"/>
</file>

<file path=xl/persons/person28.xml><?xml version="1.0" encoding="utf-8"?>
<personList xmlns="http://schemas.microsoft.com/office/spreadsheetml/2018/threadedcomments" xmlns:x="http://schemas.openxmlformats.org/spreadsheetml/2006/main"/>
</file>

<file path=xl/persons/person29.xml><?xml version="1.0" encoding="utf-8"?>
<personList xmlns="http://schemas.microsoft.com/office/spreadsheetml/2018/threadedcomments" xmlns:x="http://schemas.openxmlformats.org/spreadsheetml/2006/main"/>
</file>

<file path=xl/persons/person30.xml><?xml version="1.0" encoding="utf-8"?>
<personList xmlns="http://schemas.microsoft.com/office/spreadsheetml/2018/threadedcomments" xmlns:x="http://schemas.openxmlformats.org/spreadsheetml/2006/main"/>
</file>

<file path=xl/persons/person31.xml><?xml version="1.0" encoding="utf-8"?>
<personList xmlns="http://schemas.microsoft.com/office/spreadsheetml/2018/threadedcomments" xmlns:x="http://schemas.openxmlformats.org/spreadsheetml/2006/main"/>
</file>

<file path=xl/persons/person32.xml><?xml version="1.0" encoding="utf-8"?>
<personList xmlns="http://schemas.microsoft.com/office/spreadsheetml/2018/threadedcomments" xmlns:x="http://schemas.openxmlformats.org/spreadsheetml/2006/main"/>
</file>

<file path=xl/persons/person33.xml><?xml version="1.0" encoding="utf-8"?>
<personList xmlns="http://schemas.microsoft.com/office/spreadsheetml/2018/threadedcomments" xmlns:x="http://schemas.openxmlformats.org/spreadsheetml/2006/main"/>
</file>

<file path=xl/persons/person34.xml><?xml version="1.0" encoding="utf-8"?>
<personList xmlns="http://schemas.microsoft.com/office/spreadsheetml/2018/threadedcomments" xmlns:x="http://schemas.openxmlformats.org/spreadsheetml/2006/main"/>
</file>

<file path=xl/persons/person35.xml><?xml version="1.0" encoding="utf-8"?>
<personList xmlns="http://schemas.microsoft.com/office/spreadsheetml/2018/threadedcomments" xmlns:x="http://schemas.openxmlformats.org/spreadsheetml/2006/main"/>
</file>

<file path=xl/persons/person36.xml><?xml version="1.0" encoding="utf-8"?>
<personList xmlns="http://schemas.microsoft.com/office/spreadsheetml/2018/threadedcomments" xmlns:x="http://schemas.openxmlformats.org/spreadsheetml/2006/main"/>
</file>

<file path=xl/persons/person37.xml><?xml version="1.0" encoding="utf-8"?>
<personList xmlns="http://schemas.microsoft.com/office/spreadsheetml/2018/threadedcomments" xmlns:x="http://schemas.openxmlformats.org/spreadsheetml/2006/main"/>
</file>

<file path=xl/persons/person38.xml><?xml version="1.0" encoding="utf-8"?>
<personList xmlns="http://schemas.microsoft.com/office/spreadsheetml/2018/threadedcomments" xmlns:x="http://schemas.openxmlformats.org/spreadsheetml/2006/main"/>
</file>

<file path=xl/persons/person39.xml><?xml version="1.0" encoding="utf-8"?>
<personList xmlns="http://schemas.microsoft.com/office/spreadsheetml/2018/threadedcomments" xmlns:x="http://schemas.openxmlformats.org/spreadsheetml/2006/main"/>
</file>

<file path=xl/persons/person40.xml><?xml version="1.0" encoding="utf-8"?>
<personList xmlns="http://schemas.microsoft.com/office/spreadsheetml/2018/threadedcomments" xmlns:x="http://schemas.openxmlformats.org/spreadsheetml/2006/main"/>
</file>

<file path=xl/persons/person41.xml><?xml version="1.0" encoding="utf-8"?>
<personList xmlns="http://schemas.microsoft.com/office/spreadsheetml/2018/threadedcomments" xmlns:x="http://schemas.openxmlformats.org/spreadsheetml/2006/main"/>
</file>

<file path=xl/persons/person42.xml><?xml version="1.0" encoding="utf-8"?>
<personList xmlns="http://schemas.microsoft.com/office/spreadsheetml/2018/threadedcomments" xmlns:x="http://schemas.openxmlformats.org/spreadsheetml/2006/main"/>
</file>

<file path=xl/persons/person43.xml><?xml version="1.0" encoding="utf-8"?>
<personList xmlns="http://schemas.microsoft.com/office/spreadsheetml/2018/threadedcomments" xmlns:x="http://schemas.openxmlformats.org/spreadsheetml/2006/main"/>
</file>

<file path=xl/persons/person44.xml><?xml version="1.0" encoding="utf-8"?>
<personList xmlns="http://schemas.microsoft.com/office/spreadsheetml/2018/threadedcomments" xmlns:x="http://schemas.openxmlformats.org/spreadsheetml/2006/main"/>
</file>

<file path=xl/persons/person45.xml><?xml version="1.0" encoding="utf-8"?>
<personList xmlns="http://schemas.microsoft.com/office/spreadsheetml/2018/threadedcomments" xmlns:x="http://schemas.openxmlformats.org/spreadsheetml/2006/main"/>
</file>

<file path=xl/persons/person46.xml><?xml version="1.0" encoding="utf-8"?>
<personList xmlns="http://schemas.microsoft.com/office/spreadsheetml/2018/threadedcomments" xmlns:x="http://schemas.openxmlformats.org/spreadsheetml/2006/main"/>
</file>

<file path=xl/persons/person47.xml><?xml version="1.0" encoding="utf-8"?>
<personList xmlns="http://schemas.microsoft.com/office/spreadsheetml/2018/threadedcomments" xmlns:x="http://schemas.openxmlformats.org/spreadsheetml/2006/main"/>
</file>

<file path=xl/persons/person48.xml><?xml version="1.0" encoding="utf-8"?>
<personList xmlns="http://schemas.microsoft.com/office/spreadsheetml/2018/threadedcomments" xmlns:x="http://schemas.openxmlformats.org/spreadsheetml/2006/main"/>
</file>

<file path=xl/persons/person49.xml><?xml version="1.0" encoding="utf-8"?>
<personList xmlns="http://schemas.microsoft.com/office/spreadsheetml/2018/threadedcomments" xmlns:x="http://schemas.openxmlformats.org/spreadsheetml/2006/main"/>
</file>

<file path=xl/persons/person50.xml><?xml version="1.0" encoding="utf-8"?>
<personList xmlns="http://schemas.microsoft.com/office/spreadsheetml/2018/threadedcomments" xmlns:x="http://schemas.openxmlformats.org/spreadsheetml/2006/main"/>
</file>

<file path=xl/persons/person51.xml><?xml version="1.0" encoding="utf-8"?>
<personList xmlns="http://schemas.microsoft.com/office/spreadsheetml/2018/threadedcomments" xmlns:x="http://schemas.openxmlformats.org/spreadsheetml/2006/main"/>
</file>

<file path=xl/persons/person52.xml><?xml version="1.0" encoding="utf-8"?>
<personList xmlns="http://schemas.microsoft.com/office/spreadsheetml/2018/threadedcomments" xmlns:x="http://schemas.openxmlformats.org/spreadsheetml/2006/main"/>
</file>

<file path=xl/persons/person53.xml><?xml version="1.0" encoding="utf-8"?>
<personList xmlns="http://schemas.microsoft.com/office/spreadsheetml/2018/threadedcomments" xmlns:x="http://schemas.openxmlformats.org/spreadsheetml/2006/main"/>
</file>

<file path=xl/persons/person54.xml><?xml version="1.0" encoding="utf-8"?>
<personList xmlns="http://schemas.microsoft.com/office/spreadsheetml/2018/threadedcomments" xmlns:x="http://schemas.openxmlformats.org/spreadsheetml/2006/main"/>
</file>

<file path=xl/persons/person55.xml><?xml version="1.0" encoding="utf-8"?>
<personList xmlns="http://schemas.microsoft.com/office/spreadsheetml/2018/threadedcomments" xmlns:x="http://schemas.openxmlformats.org/spreadsheetml/2006/main"/>
</file>

<file path=xl/persons/person56.xml><?xml version="1.0" encoding="utf-8"?>
<personList xmlns="http://schemas.microsoft.com/office/spreadsheetml/2018/threadedcomments" xmlns:x="http://schemas.openxmlformats.org/spreadsheetml/2006/main"/>
</file>

<file path=xl/persons/person57.xml><?xml version="1.0" encoding="utf-8"?>
<personList xmlns="http://schemas.microsoft.com/office/spreadsheetml/2018/threadedcomments" xmlns:x="http://schemas.openxmlformats.org/spreadsheetml/2006/main"/>
</file>

<file path=xl/persons/person58.xml><?xml version="1.0" encoding="utf-8"?>
<personList xmlns="http://schemas.microsoft.com/office/spreadsheetml/2018/threadedcomments" xmlns:x="http://schemas.openxmlformats.org/spreadsheetml/2006/main"/>
</file>

<file path=xl/persons/person59.xml><?xml version="1.0" encoding="utf-8"?>
<personList xmlns="http://schemas.microsoft.com/office/spreadsheetml/2018/threadedcomments" xmlns:x="http://schemas.openxmlformats.org/spreadsheetml/2006/main"/>
</file>

<file path=xl/persons/person60.xml><?xml version="1.0" encoding="utf-8"?>
<personList xmlns="http://schemas.microsoft.com/office/spreadsheetml/2018/threadedcomments" xmlns:x="http://schemas.openxmlformats.org/spreadsheetml/2006/main"/>
</file>

<file path=xl/persons/person61.xml><?xml version="1.0" encoding="utf-8"?>
<personList xmlns="http://schemas.microsoft.com/office/spreadsheetml/2018/threadedcomments" xmlns:x="http://schemas.openxmlformats.org/spreadsheetml/2006/main"/>
</file>

<file path=xl/persons/person62.xml><?xml version="1.0" encoding="utf-8"?>
<personList xmlns="http://schemas.microsoft.com/office/spreadsheetml/2018/threadedcomments" xmlns:x="http://schemas.openxmlformats.org/spreadsheetml/2006/main"/>
</file>

<file path=xl/persons/person63.xml><?xml version="1.0" encoding="utf-8"?>
<personList xmlns="http://schemas.microsoft.com/office/spreadsheetml/2018/threadedcomments" xmlns:x="http://schemas.openxmlformats.org/spreadsheetml/2006/main"/>
</file>

<file path=xl/persons/person64.xml><?xml version="1.0" encoding="utf-8"?>
<personList xmlns="http://schemas.microsoft.com/office/spreadsheetml/2018/threadedcomments" xmlns:x="http://schemas.openxmlformats.org/spreadsheetml/2006/main"/>
</file>

<file path=xl/persons/person65.xml><?xml version="1.0" encoding="utf-8"?>
<personList xmlns="http://schemas.microsoft.com/office/spreadsheetml/2018/threadedcomments" xmlns:x="http://schemas.openxmlformats.org/spreadsheetml/2006/main"/>
</file>

<file path=xl/persons/person66.xml><?xml version="1.0" encoding="utf-8"?>
<personList xmlns="http://schemas.microsoft.com/office/spreadsheetml/2018/threadedcomments" xmlns:x="http://schemas.openxmlformats.org/spreadsheetml/2006/main"/>
</file>

<file path=xl/persons/person67.xml><?xml version="1.0" encoding="utf-8"?>
<personList xmlns="http://schemas.microsoft.com/office/spreadsheetml/2018/threadedcomments" xmlns:x="http://schemas.openxmlformats.org/spreadsheetml/2006/main"/>
</file>

<file path=xl/persons/person68.xml><?xml version="1.0" encoding="utf-8"?>
<personList xmlns="http://schemas.microsoft.com/office/spreadsheetml/2018/threadedcomments" xmlns:x="http://schemas.openxmlformats.org/spreadsheetml/2006/main"/>
</file>

<file path=xl/persons/person69.xml><?xml version="1.0" encoding="utf-8"?>
<personList xmlns="http://schemas.microsoft.com/office/spreadsheetml/2018/threadedcomments" xmlns:x="http://schemas.openxmlformats.org/spreadsheetml/2006/main"/>
</file>

<file path=xl/persons/person70.xml><?xml version="1.0" encoding="utf-8"?>
<personList xmlns="http://schemas.microsoft.com/office/spreadsheetml/2018/threadedcomments" xmlns:x="http://schemas.openxmlformats.org/spreadsheetml/2006/main"/>
</file>

<file path=xl/persons/person71.xml><?xml version="1.0" encoding="utf-8"?>
<personList xmlns="http://schemas.microsoft.com/office/spreadsheetml/2018/threadedcomments" xmlns:x="http://schemas.openxmlformats.org/spreadsheetml/2006/main"/>
</file>

<file path=xl/persons/person72.xml><?xml version="1.0" encoding="utf-8"?>
<personList xmlns="http://schemas.microsoft.com/office/spreadsheetml/2018/threadedcomments" xmlns:x="http://schemas.openxmlformats.org/spreadsheetml/2006/main"/>
</file>

<file path=xl/persons/person73.xml><?xml version="1.0" encoding="utf-8"?>
<personList xmlns="http://schemas.microsoft.com/office/spreadsheetml/2018/threadedcomments" xmlns:x="http://schemas.openxmlformats.org/spreadsheetml/2006/main"/>
</file>

<file path=xl/persons/person74.xml><?xml version="1.0" encoding="utf-8"?>
<personList xmlns="http://schemas.microsoft.com/office/spreadsheetml/2018/threadedcomments" xmlns:x="http://schemas.openxmlformats.org/spreadsheetml/2006/main"/>
</file>

<file path=xl/persons/person75.xml><?xml version="1.0" encoding="utf-8"?>
<personList xmlns="http://schemas.microsoft.com/office/spreadsheetml/2018/threadedcomments" xmlns:x="http://schemas.openxmlformats.org/spreadsheetml/2006/main"/>
</file>

<file path=xl/persons/person76.xml><?xml version="1.0" encoding="utf-8"?>
<personList xmlns="http://schemas.microsoft.com/office/spreadsheetml/2018/threadedcomments" xmlns:x="http://schemas.openxmlformats.org/spreadsheetml/2006/main"/>
</file>

<file path=xl/persons/person77.xml><?xml version="1.0" encoding="utf-8"?>
<personList xmlns="http://schemas.microsoft.com/office/spreadsheetml/2018/threadedcomments" xmlns:x="http://schemas.openxmlformats.org/spreadsheetml/2006/main"/>
</file>

<file path=xl/persons/person78.xml><?xml version="1.0" encoding="utf-8"?>
<personList xmlns="http://schemas.microsoft.com/office/spreadsheetml/2018/threadedcomments" xmlns:x="http://schemas.openxmlformats.org/spreadsheetml/2006/main"/>
</file>

<file path=xl/persons/person79.xml><?xml version="1.0" encoding="utf-8"?>
<personList xmlns="http://schemas.microsoft.com/office/spreadsheetml/2018/threadedcomments" xmlns:x="http://schemas.openxmlformats.org/spreadsheetml/2006/main"/>
</file>

<file path=xl/persons/person80.xml><?xml version="1.0" encoding="utf-8"?>
<personList xmlns="http://schemas.microsoft.com/office/spreadsheetml/2018/threadedcomments" xmlns:x="http://schemas.openxmlformats.org/spreadsheetml/2006/main"/>
</file>

<file path=xl/persons/person81.xml><?xml version="1.0" encoding="utf-8"?>
<personList xmlns="http://schemas.microsoft.com/office/spreadsheetml/2018/threadedcomments" xmlns:x="http://schemas.openxmlformats.org/spreadsheetml/2006/main"/>
</file>

<file path=xl/persons/person82.xml><?xml version="1.0" encoding="utf-8"?>
<personList xmlns="http://schemas.microsoft.com/office/spreadsheetml/2018/threadedcomments" xmlns:x="http://schemas.openxmlformats.org/spreadsheetml/2006/main"/>
</file>

<file path=xl/persons/person83.xml><?xml version="1.0" encoding="utf-8"?>
<personList xmlns="http://schemas.microsoft.com/office/spreadsheetml/2018/threadedcomments" xmlns:x="http://schemas.openxmlformats.org/spreadsheetml/2006/main"/>
</file>

<file path=xl/persons/person84.xml><?xml version="1.0" encoding="utf-8"?>
<personList xmlns="http://schemas.microsoft.com/office/spreadsheetml/2018/threadedcomments" xmlns:x="http://schemas.openxmlformats.org/spreadsheetml/2006/main"/>
</file>

<file path=xl/persons/person85.xml><?xml version="1.0" encoding="utf-8"?>
<personList xmlns="http://schemas.microsoft.com/office/spreadsheetml/2018/threadedcomments" xmlns:x="http://schemas.openxmlformats.org/spreadsheetml/2006/main"/>
</file>

<file path=xl/persons/person86.xml><?xml version="1.0" encoding="utf-8"?>
<personList xmlns="http://schemas.microsoft.com/office/spreadsheetml/2018/threadedcomments" xmlns:x="http://schemas.openxmlformats.org/spreadsheetml/2006/main"/>
</file>

<file path=xl/persons/person87.xml><?xml version="1.0" encoding="utf-8"?>
<personList xmlns="http://schemas.microsoft.com/office/spreadsheetml/2018/threadedcomments" xmlns:x="http://schemas.openxmlformats.org/spreadsheetml/2006/main"/>
</file>

<file path=xl/persons/person88.xml><?xml version="1.0" encoding="utf-8"?>
<personList xmlns="http://schemas.microsoft.com/office/spreadsheetml/2018/threadedcomments" xmlns:x="http://schemas.openxmlformats.org/spreadsheetml/2006/main"/>
</file>

<file path=xl/persons/person89.xml><?xml version="1.0" encoding="utf-8"?>
<personList xmlns="http://schemas.microsoft.com/office/spreadsheetml/2018/threadedcomments" xmlns:x="http://schemas.openxmlformats.org/spreadsheetml/2006/main"/>
</file>

<file path=xl/persons/person90.xml><?xml version="1.0" encoding="utf-8"?>
<personList xmlns="http://schemas.microsoft.com/office/spreadsheetml/2018/threadedcomments" xmlns:x="http://schemas.openxmlformats.org/spreadsheetml/2006/main"/>
</file>

<file path=xl/persons/person91.xml><?xml version="1.0" encoding="utf-8"?>
<personList xmlns="http://schemas.microsoft.com/office/spreadsheetml/2018/threadedcomments" xmlns:x="http://schemas.openxmlformats.org/spreadsheetml/2006/main"/>
</file>

<file path=xl/persons/person92.xml><?xml version="1.0" encoding="utf-8"?>
<personList xmlns="http://schemas.microsoft.com/office/spreadsheetml/2018/threadedcomments" xmlns:x="http://schemas.openxmlformats.org/spreadsheetml/2006/main"/>
</file>

<file path=xl/persons/person93.xml><?xml version="1.0" encoding="utf-8"?>
<personList xmlns="http://schemas.microsoft.com/office/spreadsheetml/2018/threadedcomments" xmlns:x="http://schemas.openxmlformats.org/spreadsheetml/2006/main"/>
</file>

<file path=xl/persons/person94.xml><?xml version="1.0" encoding="utf-8"?>
<personList xmlns="http://schemas.microsoft.com/office/spreadsheetml/2018/threadedcomments" xmlns:x="http://schemas.openxmlformats.org/spreadsheetml/2006/main"/>
</file>

<file path=xl/persons/person95.xml><?xml version="1.0" encoding="utf-8"?>
<personList xmlns="http://schemas.microsoft.com/office/spreadsheetml/2018/threadedcomments" xmlns:x="http://schemas.openxmlformats.org/spreadsheetml/2006/main"/>
</file>

<file path=xl/persons/person96.xml><?xml version="1.0" encoding="utf-8"?>
<personList xmlns="http://schemas.microsoft.com/office/spreadsheetml/2018/threadedcomments" xmlns:x="http://schemas.openxmlformats.org/spreadsheetml/2006/main"/>
</file>

<file path=xl/persons/person97.xml><?xml version="1.0" encoding="utf-8"?>
<personList xmlns="http://schemas.microsoft.com/office/spreadsheetml/2018/threadedcomments" xmlns:x="http://schemas.openxmlformats.org/spreadsheetml/2006/main"/>
</file>

<file path=xl/persons/person98.xml><?xml version="1.0" encoding="utf-8"?>
<personList xmlns="http://schemas.microsoft.com/office/spreadsheetml/2018/threadedcomments" xmlns:x="http://schemas.openxmlformats.org/spreadsheetml/2006/main"/>
</file>

<file path=xl/persons/person99.xml><?xml version="1.0" encoding="utf-8"?>
<personList xmlns="http://schemas.microsoft.com/office/spreadsheetml/2018/threadedcomments" xmlns:x="http://schemas.openxmlformats.org/spreadsheetml/2006/main"/>
</file>

<file path=xl/persons/person100.xml><?xml version="1.0" encoding="utf-8"?>
<personList xmlns="http://schemas.microsoft.com/office/spreadsheetml/2018/threadedcomments" xmlns:x="http://schemas.openxmlformats.org/spreadsheetml/2006/main"/>
</file>

<file path=xl/persons/person101.xml><?xml version="1.0" encoding="utf-8"?>
<personList xmlns="http://schemas.microsoft.com/office/spreadsheetml/2018/threadedcomments" xmlns:x="http://schemas.openxmlformats.org/spreadsheetml/2006/main"/>
</file>

<file path=xl/persons/person102.xml><?xml version="1.0" encoding="utf-8"?>
<personList xmlns="http://schemas.microsoft.com/office/spreadsheetml/2018/threadedcomments" xmlns:x="http://schemas.openxmlformats.org/spreadsheetml/2006/main"/>
</file>

<file path=xl/persons/person103.xml><?xml version="1.0" encoding="utf-8"?>
<personList xmlns="http://schemas.microsoft.com/office/spreadsheetml/2018/threadedcomments" xmlns:x="http://schemas.openxmlformats.org/spreadsheetml/2006/main"/>
</file>

<file path=xl/persons/person104.xml><?xml version="1.0" encoding="utf-8"?>
<personList xmlns="http://schemas.microsoft.com/office/spreadsheetml/2018/threadedcomments" xmlns:x="http://schemas.openxmlformats.org/spreadsheetml/2006/main"/>
</file>

<file path=xl/persons/person105.xml><?xml version="1.0" encoding="utf-8"?>
<personList xmlns="http://schemas.microsoft.com/office/spreadsheetml/2018/threadedcomments" xmlns:x="http://schemas.openxmlformats.org/spreadsheetml/2006/main"/>
</file>

<file path=xl/persons/person106.xml><?xml version="1.0" encoding="utf-8"?>
<personList xmlns="http://schemas.microsoft.com/office/spreadsheetml/2018/threadedcomments" xmlns:x="http://schemas.openxmlformats.org/spreadsheetml/2006/main"/>
</file>

<file path=xl/persons/person107.xml><?xml version="1.0" encoding="utf-8"?>
<personList xmlns="http://schemas.microsoft.com/office/spreadsheetml/2018/threadedcomments" xmlns:x="http://schemas.openxmlformats.org/spreadsheetml/2006/main"/>
</file>

<file path=xl/persons/person108.xml><?xml version="1.0" encoding="utf-8"?>
<personList xmlns="http://schemas.microsoft.com/office/spreadsheetml/2018/threadedcomments" xmlns:x="http://schemas.openxmlformats.org/spreadsheetml/2006/main"/>
</file>

<file path=xl/persons/person109.xml><?xml version="1.0" encoding="utf-8"?>
<personList xmlns="http://schemas.microsoft.com/office/spreadsheetml/2018/threadedcomments" xmlns:x="http://schemas.openxmlformats.org/spreadsheetml/2006/main"/>
</file>

<file path=xl/persons/person110.xml><?xml version="1.0" encoding="utf-8"?>
<personList xmlns="http://schemas.microsoft.com/office/spreadsheetml/2018/threadedcomments" xmlns:x="http://schemas.openxmlformats.org/spreadsheetml/2006/main"/>
</file>

<file path=xl/persons/person111.xml><?xml version="1.0" encoding="utf-8"?>
<personList xmlns="http://schemas.microsoft.com/office/spreadsheetml/2018/threadedcomments" xmlns:x="http://schemas.openxmlformats.org/spreadsheetml/2006/main"/>
</file>

<file path=xl/persons/person112.xml><?xml version="1.0" encoding="utf-8"?>
<personList xmlns="http://schemas.microsoft.com/office/spreadsheetml/2018/threadedcomments" xmlns:x="http://schemas.openxmlformats.org/spreadsheetml/2006/main"/>
</file>

<file path=xl/persons/person113.xml><?xml version="1.0" encoding="utf-8"?>
<personList xmlns="http://schemas.microsoft.com/office/spreadsheetml/2018/threadedcomments" xmlns:x="http://schemas.openxmlformats.org/spreadsheetml/2006/main"/>
</file>

<file path=xl/persons/person114.xml><?xml version="1.0" encoding="utf-8"?>
<personList xmlns="http://schemas.microsoft.com/office/spreadsheetml/2018/threadedcomments" xmlns:x="http://schemas.openxmlformats.org/spreadsheetml/2006/main"/>
</file>

<file path=xl/persons/person115.xml><?xml version="1.0" encoding="utf-8"?>
<personList xmlns="http://schemas.microsoft.com/office/spreadsheetml/2018/threadedcomments" xmlns:x="http://schemas.openxmlformats.org/spreadsheetml/2006/main"/>
</file>

<file path=xl/persons/person116.xml><?xml version="1.0" encoding="utf-8"?>
<personList xmlns="http://schemas.microsoft.com/office/spreadsheetml/2018/threadedcomments" xmlns:x="http://schemas.openxmlformats.org/spreadsheetml/2006/main"/>
</file>

<file path=xl/persons/person117.xml><?xml version="1.0" encoding="utf-8"?>
<personList xmlns="http://schemas.microsoft.com/office/spreadsheetml/2018/threadedcomments" xmlns:x="http://schemas.openxmlformats.org/spreadsheetml/2006/main"/>
</file>

<file path=xl/persons/person118.xml><?xml version="1.0" encoding="utf-8"?>
<personList xmlns="http://schemas.microsoft.com/office/spreadsheetml/2018/threadedcomments" xmlns:x="http://schemas.openxmlformats.org/spreadsheetml/2006/main"/>
</file>

<file path=xl/persons/person119.xml><?xml version="1.0" encoding="utf-8"?>
<personList xmlns="http://schemas.microsoft.com/office/spreadsheetml/2018/threadedcomments" xmlns:x="http://schemas.openxmlformats.org/spreadsheetml/2006/main"/>
</file>

<file path=xl/persons/person120.xml><?xml version="1.0" encoding="utf-8"?>
<personList xmlns="http://schemas.microsoft.com/office/spreadsheetml/2018/threadedcomments" xmlns:x="http://schemas.openxmlformats.org/spreadsheetml/2006/main"/>
</file>

<file path=xl/persons/person121.xml><?xml version="1.0" encoding="utf-8"?>
<personList xmlns="http://schemas.microsoft.com/office/spreadsheetml/2018/threadedcomments" xmlns:x="http://schemas.openxmlformats.org/spreadsheetml/2006/main"/>
</file>

<file path=xl/persons/person122.xml><?xml version="1.0" encoding="utf-8"?>
<personList xmlns="http://schemas.microsoft.com/office/spreadsheetml/2018/threadedcomments" xmlns:x="http://schemas.openxmlformats.org/spreadsheetml/2006/main"/>
</file>

<file path=xl/persons/person123.xml><?xml version="1.0" encoding="utf-8"?>
<personList xmlns="http://schemas.microsoft.com/office/spreadsheetml/2018/threadedcomments" xmlns:x="http://schemas.openxmlformats.org/spreadsheetml/2006/main"/>
</file>

<file path=xl/persons/person124.xml><?xml version="1.0" encoding="utf-8"?>
<personList xmlns="http://schemas.microsoft.com/office/spreadsheetml/2018/threadedcomments" xmlns:x="http://schemas.openxmlformats.org/spreadsheetml/2006/main"/>
</file>

<file path=xl/persons/person125.xml><?xml version="1.0" encoding="utf-8"?>
<personList xmlns="http://schemas.microsoft.com/office/spreadsheetml/2018/threadedcomments" xmlns:x="http://schemas.openxmlformats.org/spreadsheetml/2006/main"/>
</file>

<file path=xl/persons/person126.xml><?xml version="1.0" encoding="utf-8"?>
<personList xmlns="http://schemas.microsoft.com/office/spreadsheetml/2018/threadedcomments" xmlns:x="http://schemas.openxmlformats.org/spreadsheetml/2006/main"/>
</file>

<file path=xl/persons/person127.xml><?xml version="1.0" encoding="utf-8"?>
<personList xmlns="http://schemas.microsoft.com/office/spreadsheetml/2018/threadedcomments" xmlns:x="http://schemas.openxmlformats.org/spreadsheetml/2006/main"/>
</file>

<file path=xl/persons/person128.xml><?xml version="1.0" encoding="utf-8"?>
<personList xmlns="http://schemas.microsoft.com/office/spreadsheetml/2018/threadedcomments" xmlns:x="http://schemas.openxmlformats.org/spreadsheetml/2006/main"/>
</file>

<file path=xl/persons/person129.xml><?xml version="1.0" encoding="utf-8"?>
<personList xmlns="http://schemas.microsoft.com/office/spreadsheetml/2018/threadedcomments" xmlns:x="http://schemas.openxmlformats.org/spreadsheetml/2006/main"/>
</file>

<file path=xl/persons/person130.xml><?xml version="1.0" encoding="utf-8"?>
<personList xmlns="http://schemas.microsoft.com/office/spreadsheetml/2018/threadedcomments" xmlns:x="http://schemas.openxmlformats.org/spreadsheetml/2006/main"/>
</file>

<file path=xl/persons/person131.xml><?xml version="1.0" encoding="utf-8"?>
<personList xmlns="http://schemas.microsoft.com/office/spreadsheetml/2018/threadedcomments" xmlns:x="http://schemas.openxmlformats.org/spreadsheetml/2006/main"/>
</file>

<file path=xl/persons/person132.xml><?xml version="1.0" encoding="utf-8"?>
<personList xmlns="http://schemas.microsoft.com/office/spreadsheetml/2018/threadedcomments" xmlns:x="http://schemas.openxmlformats.org/spreadsheetml/2006/main"/>
</file>

<file path=xl/persons/person133.xml><?xml version="1.0" encoding="utf-8"?>
<personList xmlns="http://schemas.microsoft.com/office/spreadsheetml/2018/threadedcomments" xmlns:x="http://schemas.openxmlformats.org/spreadsheetml/2006/main"/>
</file>

<file path=xl/persons/person134.xml><?xml version="1.0" encoding="utf-8"?>
<personList xmlns="http://schemas.microsoft.com/office/spreadsheetml/2018/threadedcomments" xmlns:x="http://schemas.openxmlformats.org/spreadsheetml/2006/main"/>
</file>

<file path=xl/persons/person135.xml><?xml version="1.0" encoding="utf-8"?>
<personList xmlns="http://schemas.microsoft.com/office/spreadsheetml/2018/threadedcomments" xmlns:x="http://schemas.openxmlformats.org/spreadsheetml/2006/main"/>
</file>

<file path=xl/persons/person136.xml><?xml version="1.0" encoding="utf-8"?>
<personList xmlns="http://schemas.microsoft.com/office/spreadsheetml/2018/threadedcomments" xmlns:x="http://schemas.openxmlformats.org/spreadsheetml/2006/main"/>
</file>

<file path=xl/persons/person137.xml><?xml version="1.0" encoding="utf-8"?>
<personList xmlns="http://schemas.microsoft.com/office/spreadsheetml/2018/threadedcomments" xmlns:x="http://schemas.openxmlformats.org/spreadsheetml/2006/main"/>
</file>

<file path=xl/persons/person138.xml><?xml version="1.0" encoding="utf-8"?>
<personList xmlns="http://schemas.microsoft.com/office/spreadsheetml/2018/threadedcomments" xmlns:x="http://schemas.openxmlformats.org/spreadsheetml/2006/main"/>
</file>

<file path=xl/persons/person139.xml><?xml version="1.0" encoding="utf-8"?>
<personList xmlns="http://schemas.microsoft.com/office/spreadsheetml/2018/threadedcomments" xmlns:x="http://schemas.openxmlformats.org/spreadsheetml/2006/main"/>
</file>

<file path=xl/persons/person140.xml><?xml version="1.0" encoding="utf-8"?>
<personList xmlns="http://schemas.microsoft.com/office/spreadsheetml/2018/threadedcomments" xmlns:x="http://schemas.openxmlformats.org/spreadsheetml/2006/main"/>
</file>

<file path=xl/persons/person141.xml><?xml version="1.0" encoding="utf-8"?>
<personList xmlns="http://schemas.microsoft.com/office/spreadsheetml/2018/threadedcomments" xmlns:x="http://schemas.openxmlformats.org/spreadsheetml/2006/main"/>
</file>

<file path=xl/persons/person142.xml><?xml version="1.0" encoding="utf-8"?>
<personList xmlns="http://schemas.microsoft.com/office/spreadsheetml/2018/threadedcomments" xmlns:x="http://schemas.openxmlformats.org/spreadsheetml/2006/main"/>
</file>

<file path=xl/persons/person143.xml><?xml version="1.0" encoding="utf-8"?>
<personList xmlns="http://schemas.microsoft.com/office/spreadsheetml/2018/threadedcomments" xmlns:x="http://schemas.openxmlformats.org/spreadsheetml/2006/main"/>
</file>

<file path=xl/persons/person144.xml><?xml version="1.0" encoding="utf-8"?>
<personList xmlns="http://schemas.microsoft.com/office/spreadsheetml/2018/threadedcomments" xmlns:x="http://schemas.openxmlformats.org/spreadsheetml/2006/main"/>
</file>

<file path=xl/persons/person145.xml><?xml version="1.0" encoding="utf-8"?>
<personList xmlns="http://schemas.microsoft.com/office/spreadsheetml/2018/threadedcomments" xmlns:x="http://schemas.openxmlformats.org/spreadsheetml/2006/main"/>
</file>

<file path=xl/persons/person146.xml><?xml version="1.0" encoding="utf-8"?>
<personList xmlns="http://schemas.microsoft.com/office/spreadsheetml/2018/threadedcomments" xmlns:x="http://schemas.openxmlformats.org/spreadsheetml/2006/main"/>
</file>

<file path=xl/persons/person147.xml><?xml version="1.0" encoding="utf-8"?>
<personList xmlns="http://schemas.microsoft.com/office/spreadsheetml/2018/threadedcomments" xmlns:x="http://schemas.openxmlformats.org/spreadsheetml/2006/main"/>
</file>

<file path=xl/persons/person148.xml><?xml version="1.0" encoding="utf-8"?>
<personList xmlns="http://schemas.microsoft.com/office/spreadsheetml/2018/threadedcomments" xmlns:x="http://schemas.openxmlformats.org/spreadsheetml/2006/main"/>
</file>

<file path=xl/persons/person149.xml><?xml version="1.0" encoding="utf-8"?>
<personList xmlns="http://schemas.microsoft.com/office/spreadsheetml/2018/threadedcomments" xmlns:x="http://schemas.openxmlformats.org/spreadsheetml/2006/main"/>
</file>

<file path=xl/persons/person150.xml><?xml version="1.0" encoding="utf-8"?>
<personList xmlns="http://schemas.microsoft.com/office/spreadsheetml/2018/threadedcomments" xmlns:x="http://schemas.openxmlformats.org/spreadsheetml/2006/main"/>
</file>

<file path=xl/persons/person151.xml><?xml version="1.0" encoding="utf-8"?>
<personList xmlns="http://schemas.microsoft.com/office/spreadsheetml/2018/threadedcomments" xmlns:x="http://schemas.openxmlformats.org/spreadsheetml/2006/main"/>
</file>

<file path=xl/persons/person152.xml><?xml version="1.0" encoding="utf-8"?>
<personList xmlns="http://schemas.microsoft.com/office/spreadsheetml/2018/threadedcomments" xmlns:x="http://schemas.openxmlformats.org/spreadsheetml/2006/main"/>
</file>

<file path=xl/persons/person153.xml><?xml version="1.0" encoding="utf-8"?>
<personList xmlns="http://schemas.microsoft.com/office/spreadsheetml/2018/threadedcomments" xmlns:x="http://schemas.openxmlformats.org/spreadsheetml/2006/main"/>
</file>

<file path=xl/persons/person154.xml><?xml version="1.0" encoding="utf-8"?>
<personList xmlns="http://schemas.microsoft.com/office/spreadsheetml/2018/threadedcomments" xmlns:x="http://schemas.openxmlformats.org/spreadsheetml/2006/main"/>
</file>

<file path=xl/persons/person155.xml><?xml version="1.0" encoding="utf-8"?>
<personList xmlns="http://schemas.microsoft.com/office/spreadsheetml/2018/threadedcomments" xmlns:x="http://schemas.openxmlformats.org/spreadsheetml/2006/main"/>
</file>

<file path=xl/persons/person156.xml><?xml version="1.0" encoding="utf-8"?>
<personList xmlns="http://schemas.microsoft.com/office/spreadsheetml/2018/threadedcomments" xmlns:x="http://schemas.openxmlformats.org/spreadsheetml/2006/main"/>
</file>

<file path=xl/persons/person157.xml><?xml version="1.0" encoding="utf-8"?>
<personList xmlns="http://schemas.microsoft.com/office/spreadsheetml/2018/threadedcomments" xmlns:x="http://schemas.openxmlformats.org/spreadsheetml/2006/main"/>
</file>

<file path=xl/persons/person158.xml><?xml version="1.0" encoding="utf-8"?>
<personList xmlns="http://schemas.microsoft.com/office/spreadsheetml/2018/threadedcomments" xmlns:x="http://schemas.openxmlformats.org/spreadsheetml/2006/main"/>
</file>

<file path=xl/persons/person159.xml><?xml version="1.0" encoding="utf-8"?>
<personList xmlns="http://schemas.microsoft.com/office/spreadsheetml/2018/threadedcomments" xmlns:x="http://schemas.openxmlformats.org/spreadsheetml/2006/main"/>
</file>

<file path=xl/persons/person160.xml><?xml version="1.0" encoding="utf-8"?>
<personList xmlns="http://schemas.microsoft.com/office/spreadsheetml/2018/threadedcomments" xmlns:x="http://schemas.openxmlformats.org/spreadsheetml/2006/main"/>
</file>

<file path=xl/persons/person161.xml><?xml version="1.0" encoding="utf-8"?>
<personList xmlns="http://schemas.microsoft.com/office/spreadsheetml/2018/threadedcomments" xmlns:x="http://schemas.openxmlformats.org/spreadsheetml/2006/main"/>
</file>

<file path=xl/persons/person162.xml><?xml version="1.0" encoding="utf-8"?>
<personList xmlns="http://schemas.microsoft.com/office/spreadsheetml/2018/threadedcomments" xmlns:x="http://schemas.openxmlformats.org/spreadsheetml/2006/main"/>
</file>

<file path=xl/persons/person163.xml><?xml version="1.0" encoding="utf-8"?>
<personList xmlns="http://schemas.microsoft.com/office/spreadsheetml/2018/threadedcomments" xmlns:x="http://schemas.openxmlformats.org/spreadsheetml/2006/main"/>
</file>

<file path=xl/persons/person164.xml><?xml version="1.0" encoding="utf-8"?>
<personList xmlns="http://schemas.microsoft.com/office/spreadsheetml/2018/threadedcomments" xmlns:x="http://schemas.openxmlformats.org/spreadsheetml/2006/main"/>
</file>

<file path=xl/persons/person165.xml><?xml version="1.0" encoding="utf-8"?>
<personList xmlns="http://schemas.microsoft.com/office/spreadsheetml/2018/threadedcomments" xmlns:x="http://schemas.openxmlformats.org/spreadsheetml/2006/main"/>
</file>

<file path=xl/persons/person166.xml><?xml version="1.0" encoding="utf-8"?>
<personList xmlns="http://schemas.microsoft.com/office/spreadsheetml/2018/threadedcomments" xmlns:x="http://schemas.openxmlformats.org/spreadsheetml/2006/main"/>
</file>

<file path=xl/persons/person167.xml><?xml version="1.0" encoding="utf-8"?>
<personList xmlns="http://schemas.microsoft.com/office/spreadsheetml/2018/threadedcomments" xmlns:x="http://schemas.openxmlformats.org/spreadsheetml/2006/main"/>
</file>

<file path=xl/persons/person168.xml><?xml version="1.0" encoding="utf-8"?>
<personList xmlns="http://schemas.microsoft.com/office/spreadsheetml/2018/threadedcomments" xmlns:x="http://schemas.openxmlformats.org/spreadsheetml/2006/main"/>
</file>

<file path=xl/persons/person169.xml><?xml version="1.0" encoding="utf-8"?>
<personList xmlns="http://schemas.microsoft.com/office/spreadsheetml/2018/threadedcomments" xmlns:x="http://schemas.openxmlformats.org/spreadsheetml/2006/main"/>
</file>

<file path=xl/persons/person170.xml><?xml version="1.0" encoding="utf-8"?>
<personList xmlns="http://schemas.microsoft.com/office/spreadsheetml/2018/threadedcomments" xmlns:x="http://schemas.openxmlformats.org/spreadsheetml/2006/main"/>
</file>

<file path=xl/persons/person171.xml><?xml version="1.0" encoding="utf-8"?>
<personList xmlns="http://schemas.microsoft.com/office/spreadsheetml/2018/threadedcomments" xmlns:x="http://schemas.openxmlformats.org/spreadsheetml/2006/main"/>
</file>

<file path=xl/persons/person172.xml><?xml version="1.0" encoding="utf-8"?>
<personList xmlns="http://schemas.microsoft.com/office/spreadsheetml/2018/threadedcomments" xmlns:x="http://schemas.openxmlformats.org/spreadsheetml/2006/main"/>
</file>

<file path=xl/persons/person173.xml><?xml version="1.0" encoding="utf-8"?>
<personList xmlns="http://schemas.microsoft.com/office/spreadsheetml/2018/threadedcomments" xmlns:x="http://schemas.openxmlformats.org/spreadsheetml/2006/main"/>
</file>

<file path=xl/persons/person174.xml><?xml version="1.0" encoding="utf-8"?>
<personList xmlns="http://schemas.microsoft.com/office/spreadsheetml/2018/threadedcomments" xmlns:x="http://schemas.openxmlformats.org/spreadsheetml/2006/main"/>
</file>

<file path=xl/persons/person175.xml><?xml version="1.0" encoding="utf-8"?>
<personList xmlns="http://schemas.microsoft.com/office/spreadsheetml/2018/threadedcomments" xmlns:x="http://schemas.openxmlformats.org/spreadsheetml/2006/main"/>
</file>

<file path=xl/persons/person176.xml><?xml version="1.0" encoding="utf-8"?>
<personList xmlns="http://schemas.microsoft.com/office/spreadsheetml/2018/threadedcomments" xmlns:x="http://schemas.openxmlformats.org/spreadsheetml/2006/main"/>
</file>

<file path=xl/persons/person177.xml><?xml version="1.0" encoding="utf-8"?>
<personList xmlns="http://schemas.microsoft.com/office/spreadsheetml/2018/threadedcomments" xmlns:x="http://schemas.openxmlformats.org/spreadsheetml/2006/main"/>
</file>

<file path=xl/persons/person178.xml><?xml version="1.0" encoding="utf-8"?>
<personList xmlns="http://schemas.microsoft.com/office/spreadsheetml/2018/threadedcomments" xmlns:x="http://schemas.openxmlformats.org/spreadsheetml/2006/main"/>
</file>

<file path=xl/persons/person179.xml><?xml version="1.0" encoding="utf-8"?>
<personList xmlns="http://schemas.microsoft.com/office/spreadsheetml/2018/threadedcomments" xmlns:x="http://schemas.openxmlformats.org/spreadsheetml/2006/main"/>
</file>

<file path=xl/persons/person180.xml><?xml version="1.0" encoding="utf-8"?>
<personList xmlns="http://schemas.microsoft.com/office/spreadsheetml/2018/threadedcomments" xmlns:x="http://schemas.openxmlformats.org/spreadsheetml/2006/main"/>
</file>

<file path=xl/persons/person181.xml><?xml version="1.0" encoding="utf-8"?>
<personList xmlns="http://schemas.microsoft.com/office/spreadsheetml/2018/threadedcomments" xmlns:x="http://schemas.openxmlformats.org/spreadsheetml/2006/main"/>
</file>

<file path=xl/persons/person182.xml><?xml version="1.0" encoding="utf-8"?>
<personList xmlns="http://schemas.microsoft.com/office/spreadsheetml/2018/threadedcomments" xmlns:x="http://schemas.openxmlformats.org/spreadsheetml/2006/main"/>
</file>

<file path=xl/persons/person183.xml><?xml version="1.0" encoding="utf-8"?>
<personList xmlns="http://schemas.microsoft.com/office/spreadsheetml/2018/threadedcomments" xmlns:x="http://schemas.openxmlformats.org/spreadsheetml/2006/main"/>
</file>

<file path=xl/persons/person184.xml><?xml version="1.0" encoding="utf-8"?>
<personList xmlns="http://schemas.microsoft.com/office/spreadsheetml/2018/threadedcomments" xmlns:x="http://schemas.openxmlformats.org/spreadsheetml/2006/main"/>
</file>

<file path=xl/persons/person185.xml><?xml version="1.0" encoding="utf-8"?>
<personList xmlns="http://schemas.microsoft.com/office/spreadsheetml/2018/threadedcomments" xmlns:x="http://schemas.openxmlformats.org/spreadsheetml/2006/main"/>
</file>

<file path=xl/persons/person186.xml><?xml version="1.0" encoding="utf-8"?>
<personList xmlns="http://schemas.microsoft.com/office/spreadsheetml/2018/threadedcomments" xmlns:x="http://schemas.openxmlformats.org/spreadsheetml/2006/main"/>
</file>

<file path=xl/persons/person187.xml><?xml version="1.0" encoding="utf-8"?>
<personList xmlns="http://schemas.microsoft.com/office/spreadsheetml/2018/threadedcomments" xmlns:x="http://schemas.openxmlformats.org/spreadsheetml/2006/main"/>
</file>

<file path=xl/persons/person188.xml><?xml version="1.0" encoding="utf-8"?>
<personList xmlns="http://schemas.microsoft.com/office/spreadsheetml/2018/threadedcomments" xmlns:x="http://schemas.openxmlformats.org/spreadsheetml/2006/main"/>
</file>

<file path=xl/persons/person189.xml><?xml version="1.0" encoding="utf-8"?>
<personList xmlns="http://schemas.microsoft.com/office/spreadsheetml/2018/threadedcomments" xmlns:x="http://schemas.openxmlformats.org/spreadsheetml/2006/main"/>
</file>

<file path=xl/persons/person190.xml><?xml version="1.0" encoding="utf-8"?>
<personList xmlns="http://schemas.microsoft.com/office/spreadsheetml/2018/threadedcomments" xmlns:x="http://schemas.openxmlformats.org/spreadsheetml/2006/main"/>
</file>

<file path=xl/persons/person191.xml><?xml version="1.0" encoding="utf-8"?>
<personList xmlns="http://schemas.microsoft.com/office/spreadsheetml/2018/threadedcomments" xmlns:x="http://schemas.openxmlformats.org/spreadsheetml/2006/main"/>
</file>

<file path=xl/persons/person192.xml><?xml version="1.0" encoding="utf-8"?>
<personList xmlns="http://schemas.microsoft.com/office/spreadsheetml/2018/threadedcomments" xmlns:x="http://schemas.openxmlformats.org/spreadsheetml/2006/main"/>
</file>

<file path=xl/persons/person193.xml><?xml version="1.0" encoding="utf-8"?>
<personList xmlns="http://schemas.microsoft.com/office/spreadsheetml/2018/threadedcomments" xmlns:x="http://schemas.openxmlformats.org/spreadsheetml/2006/main"/>
</file>

<file path=xl/persons/person194.xml><?xml version="1.0" encoding="utf-8"?>
<personList xmlns="http://schemas.microsoft.com/office/spreadsheetml/2018/threadedcomments" xmlns:x="http://schemas.openxmlformats.org/spreadsheetml/2006/main"/>
</file>

<file path=xl/persons/person195.xml><?xml version="1.0" encoding="utf-8"?>
<personList xmlns="http://schemas.microsoft.com/office/spreadsheetml/2018/threadedcomments" xmlns:x="http://schemas.openxmlformats.org/spreadsheetml/2006/main"/>
</file>

<file path=xl/persons/person196.xml><?xml version="1.0" encoding="utf-8"?>
<personList xmlns="http://schemas.microsoft.com/office/spreadsheetml/2018/threadedcomments" xmlns:x="http://schemas.openxmlformats.org/spreadsheetml/2006/main"/>
</file>

<file path=xl/persons/person197.xml><?xml version="1.0" encoding="utf-8"?>
<personList xmlns="http://schemas.microsoft.com/office/spreadsheetml/2018/threadedcomments" xmlns:x="http://schemas.openxmlformats.org/spreadsheetml/2006/main"/>
</file>

<file path=xl/persons/person198.xml><?xml version="1.0" encoding="utf-8"?>
<personList xmlns="http://schemas.microsoft.com/office/spreadsheetml/2018/threadedcomments" xmlns:x="http://schemas.openxmlformats.org/spreadsheetml/2006/main"/>
</file>

<file path=xl/persons/person199.xml><?xml version="1.0" encoding="utf-8"?>
<personList xmlns="http://schemas.microsoft.com/office/spreadsheetml/2018/threadedcomments" xmlns:x="http://schemas.openxmlformats.org/spreadsheetml/2006/main"/>
</file>

<file path=xl/persons/person200.xml><?xml version="1.0" encoding="utf-8"?>
<personList xmlns="http://schemas.microsoft.com/office/spreadsheetml/2018/threadedcomments" xmlns:x="http://schemas.openxmlformats.org/spreadsheetml/2006/main"/>
</file>

<file path=xl/persons/person201.xml><?xml version="1.0" encoding="utf-8"?>
<personList xmlns="http://schemas.microsoft.com/office/spreadsheetml/2018/threadedcomments" xmlns:x="http://schemas.openxmlformats.org/spreadsheetml/2006/main"/>
</file>

<file path=xl/persons/person202.xml><?xml version="1.0" encoding="utf-8"?>
<personList xmlns="http://schemas.microsoft.com/office/spreadsheetml/2018/threadedcomments" xmlns:x="http://schemas.openxmlformats.org/spreadsheetml/2006/main"/>
</file>

<file path=xl/persons/person203.xml><?xml version="1.0" encoding="utf-8"?>
<personList xmlns="http://schemas.microsoft.com/office/spreadsheetml/2018/threadedcomments" xmlns:x="http://schemas.openxmlformats.org/spreadsheetml/2006/main"/>
</file>

<file path=xl/persons/person204.xml><?xml version="1.0" encoding="utf-8"?>
<personList xmlns="http://schemas.microsoft.com/office/spreadsheetml/2018/threadedcomments" xmlns:x="http://schemas.openxmlformats.org/spreadsheetml/2006/main"/>
</file>

<file path=xl/persons/person205.xml><?xml version="1.0" encoding="utf-8"?>
<personList xmlns="http://schemas.microsoft.com/office/spreadsheetml/2018/threadedcomments" xmlns:x="http://schemas.openxmlformats.org/spreadsheetml/2006/main"/>
</file>

<file path=xl/persons/person206.xml><?xml version="1.0" encoding="utf-8"?>
<personList xmlns="http://schemas.microsoft.com/office/spreadsheetml/2018/threadedcomments" xmlns:x="http://schemas.openxmlformats.org/spreadsheetml/2006/main"/>
</file>

<file path=xl/persons/person207.xml><?xml version="1.0" encoding="utf-8"?>
<personList xmlns="http://schemas.microsoft.com/office/spreadsheetml/2018/threadedcomments" xmlns:x="http://schemas.openxmlformats.org/spreadsheetml/2006/main"/>
</file>

<file path=xl/persons/person208.xml><?xml version="1.0" encoding="utf-8"?>
<personList xmlns="http://schemas.microsoft.com/office/spreadsheetml/2018/threadedcomments" xmlns:x="http://schemas.openxmlformats.org/spreadsheetml/2006/main"/>
</file>

<file path=xl/persons/person209.xml><?xml version="1.0" encoding="utf-8"?>
<personList xmlns="http://schemas.microsoft.com/office/spreadsheetml/2018/threadedcomments" xmlns:x="http://schemas.openxmlformats.org/spreadsheetml/2006/main"/>
</file>

<file path=xl/persons/person210.xml><?xml version="1.0" encoding="utf-8"?>
<personList xmlns="http://schemas.microsoft.com/office/spreadsheetml/2018/threadedcomments" xmlns:x="http://schemas.openxmlformats.org/spreadsheetml/2006/main"/>
</file>

<file path=xl/persons/person211.xml><?xml version="1.0" encoding="utf-8"?>
<personList xmlns="http://schemas.microsoft.com/office/spreadsheetml/2018/threadedcomments" xmlns:x="http://schemas.openxmlformats.org/spreadsheetml/2006/main"/>
</file>

<file path=xl/persons/person212.xml><?xml version="1.0" encoding="utf-8"?>
<personList xmlns="http://schemas.microsoft.com/office/spreadsheetml/2018/threadedcomments" xmlns:x="http://schemas.openxmlformats.org/spreadsheetml/2006/main"/>
</file>

<file path=xl/persons/person213.xml><?xml version="1.0" encoding="utf-8"?>
<personList xmlns="http://schemas.microsoft.com/office/spreadsheetml/2018/threadedcomments" xmlns:x="http://schemas.openxmlformats.org/spreadsheetml/2006/main"/>
</file>

<file path=xl/persons/person214.xml><?xml version="1.0" encoding="utf-8"?>
<personList xmlns="http://schemas.microsoft.com/office/spreadsheetml/2018/threadedcomments" xmlns:x="http://schemas.openxmlformats.org/spreadsheetml/2006/main"/>
</file>

<file path=xl/persons/person215.xml><?xml version="1.0" encoding="utf-8"?>
<personList xmlns="http://schemas.microsoft.com/office/spreadsheetml/2018/threadedcomments" xmlns:x="http://schemas.openxmlformats.org/spreadsheetml/2006/main"/>
</file>

<file path=xl/persons/person216.xml><?xml version="1.0" encoding="utf-8"?>
<personList xmlns="http://schemas.microsoft.com/office/spreadsheetml/2018/threadedcomments" xmlns:x="http://schemas.openxmlformats.org/spreadsheetml/2006/main"/>
</file>

<file path=xl/persons/person217.xml><?xml version="1.0" encoding="utf-8"?>
<personList xmlns="http://schemas.microsoft.com/office/spreadsheetml/2018/threadedcomments" xmlns:x="http://schemas.openxmlformats.org/spreadsheetml/2006/main"/>
</file>

<file path=xl/persons/person218.xml><?xml version="1.0" encoding="utf-8"?>
<personList xmlns="http://schemas.microsoft.com/office/spreadsheetml/2018/threadedcomments" xmlns:x="http://schemas.openxmlformats.org/spreadsheetml/2006/main"/>
</file>

<file path=xl/persons/person219.xml><?xml version="1.0" encoding="utf-8"?>
<personList xmlns="http://schemas.microsoft.com/office/spreadsheetml/2018/threadedcomments" xmlns:x="http://schemas.openxmlformats.org/spreadsheetml/2006/main"/>
</file>

<file path=xl/persons/person220.xml><?xml version="1.0" encoding="utf-8"?>
<personList xmlns="http://schemas.microsoft.com/office/spreadsheetml/2018/threadedcomments" xmlns:x="http://schemas.openxmlformats.org/spreadsheetml/2006/main"/>
</file>

<file path=xl/persons/person221.xml><?xml version="1.0" encoding="utf-8"?>
<personList xmlns="http://schemas.microsoft.com/office/spreadsheetml/2018/threadedcomments" xmlns:x="http://schemas.openxmlformats.org/spreadsheetml/2006/main"/>
</file>

<file path=xl/persons/person222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E14"/>
  <sheetViews>
    <sheetView workbookViewId="0">
      <selection activeCell="K4" sqref="K4"/>
    </sheetView>
  </sheetViews>
  <sheetFormatPr defaultRowHeight="15" x14ac:dyDescent="0.25"/>
  <cols>
    <col min="2" max="2" width="13" style="66" customWidth="1"/>
    <col min="3" max="3" width="17.42578125" customWidth="1"/>
    <col min="4" max="4" width="18.28515625" customWidth="1"/>
    <col min="5" max="5" width="14.85546875" customWidth="1"/>
  </cols>
  <sheetData>
    <row r="3" spans="2:5" x14ac:dyDescent="0.25">
      <c r="B3" s="65"/>
      <c r="C3" s="64" t="s">
        <v>334</v>
      </c>
      <c r="D3" s="64" t="s">
        <v>335</v>
      </c>
      <c r="E3" s="64" t="s">
        <v>343</v>
      </c>
    </row>
    <row r="4" spans="2:5" x14ac:dyDescent="0.25">
      <c r="B4" s="65" t="s">
        <v>336</v>
      </c>
      <c r="C4" s="64">
        <v>5167.1930000000002</v>
      </c>
      <c r="D4" s="64">
        <v>3052.53</v>
      </c>
      <c r="E4" s="64">
        <f>C4-D4</f>
        <v>2114.663</v>
      </c>
    </row>
    <row r="5" spans="2:5" x14ac:dyDescent="0.25">
      <c r="B5" s="65" t="s">
        <v>337</v>
      </c>
      <c r="C5" s="64">
        <v>17675.370999999999</v>
      </c>
      <c r="D5" s="64">
        <v>17433.740000000002</v>
      </c>
      <c r="E5" s="64">
        <f t="shared" ref="E5:E14" si="0">C5-D5</f>
        <v>241.63099999999758</v>
      </c>
    </row>
    <row r="6" spans="2:5" x14ac:dyDescent="0.25">
      <c r="B6" s="65" t="s">
        <v>338</v>
      </c>
      <c r="C6" s="64">
        <v>3860.9540000000002</v>
      </c>
      <c r="D6" s="64">
        <v>1244.3</v>
      </c>
      <c r="E6" s="64">
        <f t="shared" si="0"/>
        <v>2616.6540000000005</v>
      </c>
    </row>
    <row r="7" spans="2:5" x14ac:dyDescent="0.25">
      <c r="B7" s="65" t="s">
        <v>339</v>
      </c>
      <c r="C7" s="64">
        <v>1639.1610000000001</v>
      </c>
      <c r="D7" s="64">
        <v>3180.85</v>
      </c>
      <c r="E7" s="64">
        <f t="shared" si="0"/>
        <v>-1541.6889999999999</v>
      </c>
    </row>
    <row r="8" spans="2:5" x14ac:dyDescent="0.25">
      <c r="B8" s="65" t="s">
        <v>340</v>
      </c>
      <c r="C8" s="64">
        <v>2633.59</v>
      </c>
      <c r="D8" s="64">
        <v>795.5</v>
      </c>
      <c r="E8" s="64">
        <f t="shared" si="0"/>
        <v>1838.0900000000001</v>
      </c>
    </row>
    <row r="9" spans="2:5" x14ac:dyDescent="0.25">
      <c r="B9" s="65" t="s">
        <v>341</v>
      </c>
      <c r="C9" s="64">
        <v>395.86</v>
      </c>
      <c r="D9" s="64">
        <v>461.21</v>
      </c>
      <c r="E9" s="64">
        <f t="shared" si="0"/>
        <v>-65.349999999999966</v>
      </c>
    </row>
    <row r="10" spans="2:5" x14ac:dyDescent="0.25">
      <c r="B10" s="65" t="s">
        <v>342</v>
      </c>
      <c r="C10" s="64">
        <v>933.952</v>
      </c>
      <c r="D10" s="64">
        <v>137</v>
      </c>
      <c r="E10" s="64">
        <f t="shared" si="0"/>
        <v>796.952</v>
      </c>
    </row>
    <row r="11" spans="2:5" x14ac:dyDescent="0.25">
      <c r="B11" s="65" t="s">
        <v>344</v>
      </c>
      <c r="C11" s="64">
        <v>37165</v>
      </c>
      <c r="D11" s="64">
        <v>4200.6499999999996</v>
      </c>
      <c r="E11" s="64">
        <f t="shared" si="0"/>
        <v>32964.35</v>
      </c>
    </row>
    <row r="12" spans="2:5" x14ac:dyDescent="0.25">
      <c r="B12" s="65" t="s">
        <v>345</v>
      </c>
      <c r="C12" s="64">
        <v>20457</v>
      </c>
      <c r="D12" s="64">
        <v>8.36</v>
      </c>
      <c r="E12" s="64">
        <f t="shared" si="0"/>
        <v>20448.64</v>
      </c>
    </row>
    <row r="13" spans="2:5" x14ac:dyDescent="0.25">
      <c r="B13" s="65" t="s">
        <v>346</v>
      </c>
      <c r="C13" s="64">
        <v>314.58999999999997</v>
      </c>
      <c r="D13" s="64">
        <v>326</v>
      </c>
      <c r="E13" s="64">
        <f t="shared" si="0"/>
        <v>-11.410000000000025</v>
      </c>
    </row>
    <row r="14" spans="2:5" x14ac:dyDescent="0.25">
      <c r="B14" s="65" t="s">
        <v>347</v>
      </c>
      <c r="C14" s="64">
        <v>3475.3490000000002</v>
      </c>
      <c r="D14" s="64">
        <v>5357.55</v>
      </c>
      <c r="E14" s="64">
        <f t="shared" si="0"/>
        <v>-1882.201</v>
      </c>
    </row>
  </sheetData>
  <pageMargins left="0.7" right="0.7" top="0.75" bottom="0.75" header="0.3" footer="0.3"/>
  <pageSetup paperSize="1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E9"/>
  <sheetViews>
    <sheetView topLeftCell="N1" workbookViewId="0">
      <selection activeCell="N1" sqref="A1:XFD1048576"/>
    </sheetView>
  </sheetViews>
  <sheetFormatPr defaultRowHeight="15" x14ac:dyDescent="0.25"/>
  <cols>
    <col min="2" max="2" width="28.5703125" customWidth="1"/>
    <col min="3" max="5" width="11.140625" customWidth="1"/>
    <col min="6" max="6" width="9.5703125" customWidth="1"/>
    <col min="7" max="7" width="10" customWidth="1"/>
    <col min="8" max="8" width="9.7109375" customWidth="1"/>
    <col min="9" max="9" width="9.85546875" customWidth="1"/>
    <col min="10" max="10" width="10.42578125" customWidth="1"/>
    <col min="11" max="11" width="10.5703125" customWidth="1"/>
    <col min="12" max="12" width="10.28515625" customWidth="1"/>
    <col min="13" max="31" width="10" customWidth="1"/>
  </cols>
  <sheetData>
    <row r="1" spans="2:31" ht="15.75" thickBot="1" x14ac:dyDescent="0.3"/>
    <row r="2" spans="2:31" ht="16.5" thickTop="1" thickBot="1" x14ac:dyDescent="0.3">
      <c r="C2" s="1" t="s">
        <v>0</v>
      </c>
      <c r="D2" s="1" t="s">
        <v>8</v>
      </c>
      <c r="E2" s="2" t="s">
        <v>9</v>
      </c>
      <c r="F2" s="10" t="s">
        <v>10</v>
      </c>
      <c r="G2" s="10" t="s">
        <v>11</v>
      </c>
      <c r="H2" s="10" t="s">
        <v>12</v>
      </c>
      <c r="I2" s="10" t="s">
        <v>13</v>
      </c>
      <c r="J2" s="10" t="s">
        <v>14</v>
      </c>
      <c r="K2" s="10" t="s">
        <v>15</v>
      </c>
      <c r="L2" s="10" t="s">
        <v>16</v>
      </c>
      <c r="M2" s="10" t="s">
        <v>17</v>
      </c>
      <c r="N2" s="10" t="s">
        <v>18</v>
      </c>
      <c r="O2" s="10" t="s">
        <v>19</v>
      </c>
      <c r="P2" s="10" t="s">
        <v>20</v>
      </c>
      <c r="Q2" s="10" t="s">
        <v>21</v>
      </c>
      <c r="R2" s="10" t="s">
        <v>22</v>
      </c>
      <c r="S2" s="10" t="s">
        <v>23</v>
      </c>
      <c r="T2" s="10" t="s">
        <v>24</v>
      </c>
      <c r="U2" s="10" t="s">
        <v>25</v>
      </c>
      <c r="V2" s="10" t="s">
        <v>26</v>
      </c>
      <c r="W2" s="10" t="s">
        <v>27</v>
      </c>
      <c r="X2" s="10" t="s">
        <v>28</v>
      </c>
      <c r="Y2" s="10" t="s">
        <v>29</v>
      </c>
      <c r="Z2" s="10" t="s">
        <v>30</v>
      </c>
      <c r="AA2" s="10" t="s">
        <v>31</v>
      </c>
      <c r="AB2" s="10" t="s">
        <v>32</v>
      </c>
      <c r="AC2" s="10" t="s">
        <v>33</v>
      </c>
      <c r="AD2" s="10" t="s">
        <v>34</v>
      </c>
      <c r="AE2" s="10" t="s">
        <v>35</v>
      </c>
    </row>
    <row r="3" spans="2:31" ht="16.5" thickTop="1" thickBot="1" x14ac:dyDescent="0.3">
      <c r="B3" s="2" t="s">
        <v>1</v>
      </c>
      <c r="C3" s="5">
        <v>0.1507</v>
      </c>
      <c r="D3" s="5">
        <v>0.1643</v>
      </c>
      <c r="E3" s="7">
        <v>0.1709</v>
      </c>
      <c r="F3" s="11">
        <v>0.1623</v>
      </c>
      <c r="G3" s="11">
        <v>0.16139999999999999</v>
      </c>
      <c r="H3" s="11">
        <v>0.17100000000000001</v>
      </c>
      <c r="I3" s="11">
        <v>0.16950000000000001</v>
      </c>
      <c r="J3" s="11">
        <v>0.1734</v>
      </c>
      <c r="K3" s="11">
        <v>0.1673</v>
      </c>
      <c r="L3" s="11">
        <v>0.1668</v>
      </c>
      <c r="M3" s="11">
        <v>0.15179999999999999</v>
      </c>
      <c r="N3" s="11">
        <v>0.1636</v>
      </c>
      <c r="O3" s="11">
        <v>0.16059999999999999</v>
      </c>
      <c r="P3" s="11">
        <v>0.15279999999999999</v>
      </c>
      <c r="Q3" s="11">
        <v>0.14829999999999999</v>
      </c>
      <c r="R3" s="11">
        <v>0.15590000000000001</v>
      </c>
      <c r="S3" s="11">
        <v>0.1517</v>
      </c>
      <c r="T3" s="11">
        <v>9.8299999999999998E-2</v>
      </c>
      <c r="U3" s="11"/>
      <c r="V3" s="11"/>
      <c r="W3" s="11"/>
      <c r="X3" s="11"/>
      <c r="Y3" s="11"/>
      <c r="Z3" s="11"/>
      <c r="AA3" s="11"/>
      <c r="AB3" s="11"/>
      <c r="AC3" s="11">
        <v>8.1199999999999994E-2</v>
      </c>
      <c r="AD3" s="11">
        <v>0.1459</v>
      </c>
      <c r="AE3" s="11">
        <v>0.15989999999999999</v>
      </c>
    </row>
    <row r="4" spans="2:31" ht="16.5" thickTop="1" thickBot="1" x14ac:dyDescent="0.3">
      <c r="B4" s="3" t="s">
        <v>2</v>
      </c>
      <c r="C4" s="5">
        <v>4.4200000000000003E-2</v>
      </c>
      <c r="D4" s="5">
        <v>3.9800000000000002E-2</v>
      </c>
      <c r="E4" s="7">
        <v>3.8899999999999997E-2</v>
      </c>
      <c r="F4" s="11">
        <v>4.7699999999999999E-2</v>
      </c>
      <c r="G4" s="11">
        <v>5.1400000000000001E-2</v>
      </c>
      <c r="H4" s="11">
        <v>2.3400000000000001E-2</v>
      </c>
      <c r="I4" s="11">
        <v>3.8399999999999997E-2</v>
      </c>
      <c r="J4" s="11">
        <v>2.92E-2</v>
      </c>
      <c r="K4" s="11">
        <v>4.1000000000000002E-2</v>
      </c>
      <c r="L4" s="11">
        <v>3.3500000000000002E-2</v>
      </c>
      <c r="M4" s="11">
        <v>3.32E-2</v>
      </c>
      <c r="N4" s="11">
        <v>3.7600000000000001E-2</v>
      </c>
      <c r="O4" s="11">
        <v>4.7800000000000002E-2</v>
      </c>
      <c r="P4" s="11">
        <v>4.5499999999999999E-2</v>
      </c>
      <c r="Q4" s="11">
        <v>0.05</v>
      </c>
      <c r="R4" s="11">
        <v>4.6300000000000001E-2</v>
      </c>
      <c r="S4" s="11">
        <v>5.1499999999999997E-2</v>
      </c>
      <c r="T4" s="11">
        <v>3.6200000000000003E-2</v>
      </c>
      <c r="U4" s="11"/>
      <c r="V4" s="11"/>
      <c r="W4" s="11"/>
      <c r="X4" s="11"/>
      <c r="Y4" s="11"/>
      <c r="Z4" s="11"/>
      <c r="AA4" s="11"/>
      <c r="AB4" s="11"/>
      <c r="AC4" s="11">
        <v>8.5000000000000006E-3</v>
      </c>
      <c r="AD4" s="11">
        <v>5.6000000000000001E-2</v>
      </c>
      <c r="AE4" s="11">
        <v>6.0499999999999998E-2</v>
      </c>
    </row>
    <row r="5" spans="2:31" ht="24.75" customHeight="1" thickTop="1" thickBot="1" x14ac:dyDescent="0.3">
      <c r="B5" s="3" t="s">
        <v>3</v>
      </c>
      <c r="C5" s="6">
        <v>0.27</v>
      </c>
      <c r="D5" s="6"/>
      <c r="E5" s="8"/>
      <c r="F5" s="10"/>
      <c r="G5" s="12"/>
      <c r="H5" s="10"/>
      <c r="I5" s="10"/>
      <c r="J5" s="12"/>
      <c r="K5" s="12"/>
      <c r="L5" s="12"/>
      <c r="M5" s="12"/>
      <c r="N5" s="12"/>
      <c r="O5" s="12"/>
      <c r="P5" s="12"/>
      <c r="Q5" s="12"/>
      <c r="R5" s="12"/>
      <c r="S5" s="12"/>
      <c r="T5" s="11">
        <v>9.8299999999999998E-2</v>
      </c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</row>
    <row r="6" spans="2:31" ht="24.75" customHeight="1" thickTop="1" thickBot="1" x14ac:dyDescent="0.3">
      <c r="B6" s="3" t="s">
        <v>4</v>
      </c>
      <c r="C6" s="5">
        <v>4.3299999999999998E-2</v>
      </c>
      <c r="D6" s="5"/>
      <c r="E6" s="7"/>
      <c r="F6" s="10"/>
      <c r="G6" s="12"/>
      <c r="H6" s="10"/>
      <c r="I6" s="10"/>
      <c r="J6" s="12"/>
      <c r="K6" s="12"/>
      <c r="L6" s="12"/>
      <c r="M6" s="12"/>
      <c r="N6" s="12"/>
      <c r="O6" s="12"/>
      <c r="P6" s="12"/>
      <c r="Q6" s="12"/>
      <c r="R6" s="12"/>
      <c r="S6" s="12"/>
      <c r="T6" s="11">
        <v>3.6200000000000003E-2</v>
      </c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</row>
    <row r="7" spans="2:31" ht="24.75" customHeight="1" thickTop="1" thickBot="1" x14ac:dyDescent="0.3">
      <c r="B7" s="3" t="s">
        <v>5</v>
      </c>
      <c r="C7" s="4"/>
      <c r="D7" s="4"/>
      <c r="E7" s="9"/>
      <c r="F7" s="10"/>
      <c r="G7" s="12"/>
      <c r="H7" s="10"/>
      <c r="I7" s="10"/>
      <c r="J7" s="11">
        <v>0.2</v>
      </c>
      <c r="K7" s="11">
        <v>0.2</v>
      </c>
      <c r="L7" s="12"/>
      <c r="M7" s="11">
        <v>0.2</v>
      </c>
      <c r="N7" s="11"/>
      <c r="O7" s="11"/>
      <c r="P7" s="11">
        <v>0.15279999999999999</v>
      </c>
      <c r="Q7" s="11"/>
      <c r="R7" s="11"/>
      <c r="S7" s="11">
        <v>0.1517</v>
      </c>
      <c r="T7" s="11">
        <v>9.8299999999999998E-2</v>
      </c>
      <c r="U7" s="11"/>
      <c r="V7" s="11"/>
      <c r="W7" s="11"/>
      <c r="X7" s="11"/>
      <c r="Y7" s="11"/>
      <c r="Z7" s="11"/>
      <c r="AA7" s="11"/>
      <c r="AB7" s="11"/>
      <c r="AC7" s="11"/>
      <c r="AD7" s="11">
        <v>0.1459</v>
      </c>
      <c r="AE7" s="11"/>
    </row>
    <row r="8" spans="2:31" ht="24.75" customHeight="1" thickTop="1" thickBot="1" x14ac:dyDescent="0.3">
      <c r="B8" s="3" t="s">
        <v>6</v>
      </c>
      <c r="C8" s="4"/>
      <c r="D8" s="4"/>
      <c r="E8" s="9"/>
      <c r="F8" s="10"/>
      <c r="G8" s="12"/>
      <c r="H8" s="10"/>
      <c r="I8" s="10"/>
      <c r="J8" s="11">
        <v>2.92E-2</v>
      </c>
      <c r="K8" s="11">
        <v>4.1000000000000002E-2</v>
      </c>
      <c r="L8" s="12"/>
      <c r="M8" s="11">
        <v>3.32E-2</v>
      </c>
      <c r="N8" s="11"/>
      <c r="O8" s="11"/>
      <c r="P8" s="11">
        <v>4.5499999999999999E-2</v>
      </c>
      <c r="Q8" s="11"/>
      <c r="R8" s="11"/>
      <c r="S8" s="11">
        <v>5.1499999999999997E-2</v>
      </c>
      <c r="T8" s="11">
        <v>3.6200000000000003E-2</v>
      </c>
      <c r="U8" s="11"/>
      <c r="V8" s="11"/>
      <c r="W8" s="11"/>
      <c r="X8" s="11"/>
      <c r="Y8" s="11"/>
      <c r="Z8" s="11"/>
      <c r="AA8" s="11"/>
      <c r="AB8" s="11"/>
      <c r="AC8" s="11"/>
      <c r="AD8" s="11">
        <v>5.6000000000000001E-2</v>
      </c>
      <c r="AE8" s="11"/>
    </row>
    <row r="9" spans="2:31" ht="16.5" thickTop="1" thickBot="1" x14ac:dyDescent="0.3">
      <c r="B9" s="3" t="s">
        <v>7</v>
      </c>
      <c r="C9" s="4">
        <v>4760</v>
      </c>
      <c r="D9" s="4">
        <v>4596</v>
      </c>
      <c r="E9" s="9">
        <v>4677</v>
      </c>
      <c r="F9" s="12">
        <v>4631</v>
      </c>
      <c r="G9" s="13">
        <v>4702</v>
      </c>
      <c r="H9" s="12">
        <v>4672</v>
      </c>
      <c r="I9" s="12">
        <v>4694</v>
      </c>
      <c r="J9" s="12">
        <v>4649</v>
      </c>
      <c r="K9" s="13">
        <v>4430</v>
      </c>
      <c r="L9" s="12">
        <v>4527</v>
      </c>
      <c r="M9" s="12">
        <v>4643</v>
      </c>
      <c r="N9" s="12">
        <v>4526</v>
      </c>
      <c r="O9" s="12">
        <v>4661</v>
      </c>
      <c r="P9" s="12">
        <v>4597</v>
      </c>
      <c r="Q9" s="12">
        <v>4507</v>
      </c>
      <c r="R9" s="12">
        <v>4519</v>
      </c>
      <c r="S9" s="12">
        <v>4766</v>
      </c>
      <c r="T9" s="12">
        <v>4690</v>
      </c>
      <c r="U9" s="12">
        <v>4712</v>
      </c>
      <c r="V9" s="12">
        <v>4736</v>
      </c>
      <c r="W9" s="12">
        <v>4727</v>
      </c>
      <c r="X9" s="12">
        <v>4736</v>
      </c>
      <c r="Y9" s="12">
        <v>4756</v>
      </c>
      <c r="Z9" s="12">
        <v>4709</v>
      </c>
      <c r="AA9" s="12">
        <v>4820</v>
      </c>
      <c r="AB9" s="12">
        <v>4621</v>
      </c>
      <c r="AC9" s="12">
        <v>4600</v>
      </c>
      <c r="AD9" s="12">
        <v>4550</v>
      </c>
      <c r="AE9" s="12">
        <v>4536</v>
      </c>
    </row>
  </sheetData>
  <phoneticPr fontId="2" type="noConversion"/>
  <pageMargins left="0.7" right="0.7" top="0.75" bottom="0.75" header="0.3" footer="0.3"/>
  <pageSetup paperSize="11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H9"/>
  <sheetViews>
    <sheetView topLeftCell="R1" workbookViewId="0">
      <selection activeCell="AH2" sqref="AH2:AH9"/>
    </sheetView>
  </sheetViews>
  <sheetFormatPr defaultRowHeight="15" x14ac:dyDescent="0.25"/>
  <cols>
    <col min="2" max="2" width="28.5703125" customWidth="1"/>
    <col min="3" max="30" width="11.140625" customWidth="1"/>
    <col min="31" max="31" width="10.28515625" customWidth="1"/>
  </cols>
  <sheetData>
    <row r="1" spans="2:34" ht="15.75" thickBot="1" x14ac:dyDescent="0.3">
      <c r="AF1" s="14"/>
      <c r="AG1" s="14"/>
      <c r="AH1" s="14"/>
    </row>
    <row r="2" spans="2:34" ht="16.5" thickTop="1" thickBot="1" x14ac:dyDescent="0.3">
      <c r="C2" s="1" t="s">
        <v>36</v>
      </c>
      <c r="D2" s="1" t="s">
        <v>37</v>
      </c>
      <c r="E2" s="1" t="s">
        <v>38</v>
      </c>
      <c r="F2" s="1" t="s">
        <v>39</v>
      </c>
      <c r="G2" s="1" t="s">
        <v>40</v>
      </c>
      <c r="H2" s="1" t="s">
        <v>41</v>
      </c>
      <c r="I2" s="1" t="s">
        <v>42</v>
      </c>
      <c r="J2" s="1" t="s">
        <v>43</v>
      </c>
      <c r="K2" s="1" t="s">
        <v>44</v>
      </c>
      <c r="L2" s="1" t="s">
        <v>45</v>
      </c>
      <c r="M2" s="1" t="s">
        <v>46</v>
      </c>
      <c r="N2" s="1" t="s">
        <v>47</v>
      </c>
      <c r="O2" s="1" t="s">
        <v>48</v>
      </c>
      <c r="P2" s="1" t="s">
        <v>49</v>
      </c>
      <c r="Q2" s="1" t="s">
        <v>50</v>
      </c>
      <c r="R2" s="1" t="s">
        <v>51</v>
      </c>
      <c r="S2" s="1" t="s">
        <v>52</v>
      </c>
      <c r="T2" s="1" t="s">
        <v>53</v>
      </c>
      <c r="U2" s="1" t="s">
        <v>54</v>
      </c>
      <c r="V2" s="1" t="s">
        <v>55</v>
      </c>
      <c r="W2" s="1" t="s">
        <v>56</v>
      </c>
      <c r="X2" s="1" t="s">
        <v>57</v>
      </c>
      <c r="Y2" s="1" t="s">
        <v>58</v>
      </c>
      <c r="Z2" s="1" t="s">
        <v>59</v>
      </c>
      <c r="AA2" s="1" t="s">
        <v>60</v>
      </c>
      <c r="AB2" s="1" t="s">
        <v>62</v>
      </c>
      <c r="AC2" s="2" t="s">
        <v>61</v>
      </c>
      <c r="AD2" s="15" t="s">
        <v>63</v>
      </c>
      <c r="AE2" s="19" t="s">
        <v>64</v>
      </c>
      <c r="AF2" s="1" t="s">
        <v>65</v>
      </c>
      <c r="AG2" s="1" t="s">
        <v>66</v>
      </c>
      <c r="AH2" s="20" t="s">
        <v>67</v>
      </c>
    </row>
    <row r="3" spans="2:34" ht="16.5" thickTop="1" thickBot="1" x14ac:dyDescent="0.3">
      <c r="B3" s="2" t="s">
        <v>1</v>
      </c>
      <c r="C3" s="5">
        <v>0.1893</v>
      </c>
      <c r="D3" s="5">
        <v>0.16869999999999999</v>
      </c>
      <c r="E3" s="5">
        <v>0.17730000000000001</v>
      </c>
      <c r="F3" s="5">
        <v>0.1832</v>
      </c>
      <c r="G3" s="5">
        <v>0.16120000000000001</v>
      </c>
      <c r="H3" s="5">
        <v>0.17</v>
      </c>
      <c r="I3" s="5">
        <v>0.16719999999999999</v>
      </c>
      <c r="J3" s="5">
        <v>0.15920000000000001</v>
      </c>
      <c r="K3" s="5">
        <v>0.16270000000000001</v>
      </c>
      <c r="L3" s="5">
        <v>0.14879999999999999</v>
      </c>
      <c r="M3" s="5">
        <v>0.1643</v>
      </c>
      <c r="N3" s="5">
        <v>0.16239999999999999</v>
      </c>
      <c r="O3" s="5">
        <v>0.17849999999999999</v>
      </c>
      <c r="P3" s="5">
        <v>0.17710000000000001</v>
      </c>
      <c r="Q3" s="5">
        <v>0.1734</v>
      </c>
      <c r="R3" s="5">
        <v>0.20799999999999999</v>
      </c>
      <c r="S3" s="5">
        <v>0.1678</v>
      </c>
      <c r="T3" s="5">
        <v>0.1638</v>
      </c>
      <c r="U3" s="5">
        <v>0.1474</v>
      </c>
      <c r="V3" s="5">
        <v>0.16589999999999999</v>
      </c>
      <c r="W3" s="5">
        <v>0.16220000000000001</v>
      </c>
      <c r="X3" s="5">
        <v>0.15620000000000001</v>
      </c>
      <c r="Y3" s="5">
        <v>0.14280000000000001</v>
      </c>
      <c r="Z3" s="5">
        <v>0.17549999999999999</v>
      </c>
      <c r="AA3" s="5">
        <v>0.13150000000000001</v>
      </c>
      <c r="AB3" s="5">
        <v>0.12809999999999999</v>
      </c>
      <c r="AC3" s="7">
        <v>0.1216</v>
      </c>
      <c r="AD3" s="16">
        <v>0.13139999999999999</v>
      </c>
      <c r="AE3" s="21">
        <v>0.125</v>
      </c>
      <c r="AF3" s="5">
        <v>0.1265</v>
      </c>
      <c r="AG3" s="5">
        <v>0.13139999999999999</v>
      </c>
      <c r="AH3" s="22">
        <v>0.1074</v>
      </c>
    </row>
    <row r="4" spans="2:34" ht="16.5" thickTop="1" thickBot="1" x14ac:dyDescent="0.3">
      <c r="B4" s="3" t="s">
        <v>2</v>
      </c>
      <c r="C4" s="5">
        <v>3.73E-2</v>
      </c>
      <c r="D4" s="5">
        <v>5.2999999999999999E-2</v>
      </c>
      <c r="E4" s="5">
        <v>4.3200000000000002E-2</v>
      </c>
      <c r="F4" s="5">
        <v>1.9199999999999998E-2</v>
      </c>
      <c r="G4" s="5">
        <v>5.79E-2</v>
      </c>
      <c r="H4" s="5">
        <v>4.36E-2</v>
      </c>
      <c r="I4" s="5">
        <v>4.7500000000000001E-2</v>
      </c>
      <c r="J4" s="5">
        <v>5.7799999999999997E-2</v>
      </c>
      <c r="K4" s="5">
        <v>4.4999999999999998E-2</v>
      </c>
      <c r="L4" s="5">
        <v>7.0999999999999994E-2</v>
      </c>
      <c r="M4" s="5">
        <v>5.8200000000000002E-2</v>
      </c>
      <c r="N4" s="5">
        <v>4.99E-2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6.1899999999999997E-2</v>
      </c>
      <c r="V4" s="5">
        <v>3.4599999999999999E-2</v>
      </c>
      <c r="W4" s="5">
        <v>5.8799999999999998E-2</v>
      </c>
      <c r="X4" s="5">
        <v>5.8299999999999998E-2</v>
      </c>
      <c r="Y4" s="5">
        <v>6.6500000000000004E-2</v>
      </c>
      <c r="Z4" s="5">
        <v>4.3099999999999999E-2</v>
      </c>
      <c r="AA4" s="5">
        <v>8.1000000000000003E-2</v>
      </c>
      <c r="AB4" s="5">
        <v>5.2299999999999999E-2</v>
      </c>
      <c r="AC4" s="7">
        <v>7.4499999999999997E-2</v>
      </c>
      <c r="AD4" s="16">
        <v>4.5400000000000003E-2</v>
      </c>
      <c r="AE4" s="21">
        <v>3.4099999999999998E-2</v>
      </c>
      <c r="AF4" s="5">
        <v>4.0099999999999997E-2</v>
      </c>
      <c r="AG4" s="5">
        <v>4.4999999999999998E-2</v>
      </c>
      <c r="AH4" s="22">
        <v>5.3699999999999998E-2</v>
      </c>
    </row>
    <row r="5" spans="2:34" ht="24.75" customHeight="1" thickTop="1" thickBot="1" x14ac:dyDescent="0.3">
      <c r="B5" s="3" t="s">
        <v>3</v>
      </c>
      <c r="C5" s="6">
        <v>0.17330000000000001</v>
      </c>
      <c r="D5" s="6"/>
      <c r="E5" s="6"/>
      <c r="F5" s="6"/>
      <c r="G5" s="6">
        <v>0.2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>
        <v>0.14330000000000001</v>
      </c>
      <c r="X5" s="6"/>
      <c r="Y5" s="6"/>
      <c r="Z5" s="6">
        <v>0.11</v>
      </c>
      <c r="AA5" s="6"/>
      <c r="AB5" s="5">
        <v>0.1709</v>
      </c>
      <c r="AC5" s="8"/>
      <c r="AD5" s="17"/>
      <c r="AE5" s="19"/>
      <c r="AF5" s="4"/>
      <c r="AG5" s="4"/>
      <c r="AH5" s="23"/>
    </row>
    <row r="6" spans="2:34" ht="24.75" customHeight="1" thickTop="1" thickBot="1" x14ac:dyDescent="0.3">
      <c r="B6" s="3" t="s">
        <v>4</v>
      </c>
      <c r="C6" s="5">
        <v>0.1133</v>
      </c>
      <c r="D6" s="5"/>
      <c r="E6" s="5"/>
      <c r="F6" s="5"/>
      <c r="G6" s="5">
        <v>0.06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>
        <v>5.8299999999999998E-2</v>
      </c>
      <c r="X6" s="5"/>
      <c r="Y6" s="5"/>
      <c r="Z6" s="5">
        <v>4.3299999999999998E-2</v>
      </c>
      <c r="AA6" s="5"/>
      <c r="AB6" s="5">
        <v>6.3799999999999996E-2</v>
      </c>
      <c r="AC6" s="7"/>
      <c r="AD6" s="16"/>
      <c r="AE6" s="19"/>
      <c r="AF6" s="4"/>
      <c r="AG6" s="4"/>
      <c r="AH6" s="23"/>
    </row>
    <row r="7" spans="2:34" ht="24.75" customHeight="1" thickTop="1" thickBot="1" x14ac:dyDescent="0.3">
      <c r="B7" s="3" t="s">
        <v>5</v>
      </c>
      <c r="C7" s="5">
        <v>0.1893</v>
      </c>
      <c r="D7" s="5">
        <v>0.16869999999999999</v>
      </c>
      <c r="E7" s="5">
        <v>0.17730000000000001</v>
      </c>
      <c r="F7" s="5">
        <v>0.1832</v>
      </c>
      <c r="G7" s="5">
        <v>0.16120000000000001</v>
      </c>
      <c r="H7" s="5"/>
      <c r="I7" s="5">
        <v>0.16719999999999999</v>
      </c>
      <c r="J7" s="5">
        <v>0.15920000000000001</v>
      </c>
      <c r="K7" s="5">
        <v>0.16270000000000001</v>
      </c>
      <c r="L7" s="5">
        <v>0.20669999999999999</v>
      </c>
      <c r="M7" s="5"/>
      <c r="N7" s="5"/>
      <c r="O7" s="5"/>
      <c r="P7" s="5"/>
      <c r="Q7" s="5"/>
      <c r="R7" s="5"/>
      <c r="S7" s="5">
        <v>0.1678</v>
      </c>
      <c r="T7" s="5">
        <v>0.1638</v>
      </c>
      <c r="U7" s="5"/>
      <c r="V7" s="5"/>
      <c r="W7" s="5">
        <v>0.16220000000000001</v>
      </c>
      <c r="X7" s="5"/>
      <c r="Y7" s="5"/>
      <c r="Z7" s="5">
        <v>0.17549999999999999</v>
      </c>
      <c r="AA7" s="5"/>
      <c r="AB7" s="5"/>
      <c r="AC7" s="7"/>
      <c r="AD7" s="16"/>
      <c r="AE7" s="21">
        <v>0.2</v>
      </c>
      <c r="AF7" s="5">
        <v>0.1265</v>
      </c>
      <c r="AG7" s="5"/>
      <c r="AH7" s="22">
        <v>0.1074</v>
      </c>
    </row>
    <row r="8" spans="2:34" ht="24.75" customHeight="1" thickTop="1" thickBot="1" x14ac:dyDescent="0.3">
      <c r="B8" s="3" t="s">
        <v>6</v>
      </c>
      <c r="C8" s="5">
        <v>3.73E-2</v>
      </c>
      <c r="D8" s="5">
        <v>5.2999999999999999E-2</v>
      </c>
      <c r="E8" s="5">
        <v>4.3200000000000002E-2</v>
      </c>
      <c r="F8" s="5">
        <v>1.9199999999999998E-2</v>
      </c>
      <c r="G8" s="5">
        <v>5.79E-2</v>
      </c>
      <c r="H8" s="5"/>
      <c r="I8" s="5">
        <v>4.7500000000000001E-2</v>
      </c>
      <c r="J8" s="5">
        <v>5.7799999999999997E-2</v>
      </c>
      <c r="K8" s="5">
        <v>4.4999999999999998E-2</v>
      </c>
      <c r="L8" s="5">
        <v>0.1</v>
      </c>
      <c r="M8" s="5"/>
      <c r="N8" s="5"/>
      <c r="O8" s="5"/>
      <c r="P8" s="5"/>
      <c r="Q8" s="5"/>
      <c r="R8" s="5"/>
      <c r="S8" s="5">
        <v>0</v>
      </c>
      <c r="T8" s="5">
        <v>0</v>
      </c>
      <c r="U8" s="5"/>
      <c r="V8" s="5"/>
      <c r="W8" s="5">
        <v>5.8799999999999998E-2</v>
      </c>
      <c r="X8" s="5"/>
      <c r="Y8" s="5"/>
      <c r="Z8" s="5">
        <v>4.3099999999999999E-2</v>
      </c>
      <c r="AA8" s="5"/>
      <c r="AB8" s="5"/>
      <c r="AC8" s="7"/>
      <c r="AD8" s="16"/>
      <c r="AE8" s="21">
        <v>3.4099999999999998E-2</v>
      </c>
      <c r="AF8" s="5">
        <v>4.0099999999999997E-2</v>
      </c>
      <c r="AG8" s="5"/>
      <c r="AH8" s="22">
        <v>5.3699999999999998E-2</v>
      </c>
    </row>
    <row r="9" spans="2:34" ht="16.5" thickTop="1" thickBot="1" x14ac:dyDescent="0.3">
      <c r="B9" s="3" t="s">
        <v>7</v>
      </c>
      <c r="C9" s="4">
        <v>4500</v>
      </c>
      <c r="D9" s="4">
        <v>4644</v>
      </c>
      <c r="E9" s="4">
        <v>4538</v>
      </c>
      <c r="F9" s="4">
        <v>4150</v>
      </c>
      <c r="G9" s="4">
        <v>4360</v>
      </c>
      <c r="H9" s="4">
        <v>4625</v>
      </c>
      <c r="I9" s="4">
        <v>4754</v>
      </c>
      <c r="J9" s="4">
        <v>4615</v>
      </c>
      <c r="K9" s="4">
        <v>4690</v>
      </c>
      <c r="L9" s="4">
        <v>4690</v>
      </c>
      <c r="M9" s="4">
        <v>4520</v>
      </c>
      <c r="N9" s="4">
        <v>4480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4498</v>
      </c>
      <c r="V9" s="4">
        <v>4612</v>
      </c>
      <c r="W9" s="4">
        <v>4530</v>
      </c>
      <c r="X9" s="4">
        <v>4639</v>
      </c>
      <c r="Y9" s="4">
        <v>4494</v>
      </c>
      <c r="Z9" s="4">
        <v>4700</v>
      </c>
      <c r="AA9" s="4">
        <v>4703</v>
      </c>
      <c r="AB9" s="4">
        <v>4615</v>
      </c>
      <c r="AC9" s="9">
        <v>4701</v>
      </c>
      <c r="AD9" s="18">
        <v>4756</v>
      </c>
      <c r="AE9" s="24">
        <v>4768</v>
      </c>
      <c r="AF9" s="25">
        <v>4778</v>
      </c>
      <c r="AG9" s="25">
        <v>4539</v>
      </c>
      <c r="AH9" s="26">
        <v>4695</v>
      </c>
    </row>
  </sheetData>
  <phoneticPr fontId="2" type="noConversion"/>
  <pageMargins left="0.7" right="0.7" top="0.75" bottom="0.75" header="0.3" footer="0.3"/>
  <pageSetup paperSize="11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F9"/>
  <sheetViews>
    <sheetView workbookViewId="0">
      <pane xSplit="2" topLeftCell="V1" activePane="topRight" state="frozen"/>
      <selection pane="topRight" activeCell="W14" sqref="W14"/>
    </sheetView>
  </sheetViews>
  <sheetFormatPr defaultRowHeight="15" x14ac:dyDescent="0.25"/>
  <cols>
    <col min="2" max="2" width="28.5703125" customWidth="1"/>
    <col min="3" max="3" width="11.140625" customWidth="1"/>
    <col min="4" max="29" width="10.7109375" customWidth="1"/>
    <col min="30" max="32" width="10.28515625" customWidth="1"/>
  </cols>
  <sheetData>
    <row r="1" spans="2:32" ht="15.75" thickBot="1" x14ac:dyDescent="0.3"/>
    <row r="2" spans="2:32" ht="16.5" thickTop="1" thickBot="1" x14ac:dyDescent="0.3">
      <c r="C2" s="20" t="s">
        <v>67</v>
      </c>
      <c r="D2" s="20" t="s">
        <v>68</v>
      </c>
      <c r="E2" s="20" t="s">
        <v>69</v>
      </c>
      <c r="F2" s="20" t="s">
        <v>70</v>
      </c>
      <c r="G2" s="20" t="s">
        <v>71</v>
      </c>
      <c r="H2" s="20" t="s">
        <v>72</v>
      </c>
      <c r="I2" s="20" t="s">
        <v>73</v>
      </c>
      <c r="J2" s="20" t="s">
        <v>74</v>
      </c>
      <c r="K2" s="20" t="s">
        <v>75</v>
      </c>
      <c r="L2" s="20" t="s">
        <v>76</v>
      </c>
      <c r="M2" s="20" t="s">
        <v>77</v>
      </c>
      <c r="N2" s="20" t="s">
        <v>78</v>
      </c>
      <c r="O2" s="20" t="s">
        <v>79</v>
      </c>
      <c r="P2" s="20" t="s">
        <v>80</v>
      </c>
      <c r="Q2" s="20" t="s">
        <v>81</v>
      </c>
      <c r="R2" s="20" t="s">
        <v>82</v>
      </c>
      <c r="S2" s="20" t="s">
        <v>83</v>
      </c>
      <c r="T2" s="20" t="s">
        <v>84</v>
      </c>
      <c r="U2" s="20" t="s">
        <v>85</v>
      </c>
      <c r="V2" s="20" t="s">
        <v>86</v>
      </c>
      <c r="W2" s="20" t="s">
        <v>87</v>
      </c>
      <c r="X2" s="20" t="s">
        <v>88</v>
      </c>
      <c r="Y2" s="20" t="s">
        <v>89</v>
      </c>
      <c r="Z2" s="20" t="s">
        <v>90</v>
      </c>
      <c r="AA2" s="20" t="s">
        <v>91</v>
      </c>
      <c r="AB2" s="20" t="s">
        <v>92</v>
      </c>
      <c r="AC2" s="20" t="s">
        <v>93</v>
      </c>
      <c r="AD2" s="10" t="s">
        <v>94</v>
      </c>
      <c r="AE2" s="10" t="s">
        <v>95</v>
      </c>
      <c r="AF2" s="10" t="s">
        <v>96</v>
      </c>
    </row>
    <row r="3" spans="2:32" ht="16.5" thickTop="1" thickBot="1" x14ac:dyDescent="0.3">
      <c r="B3" s="2" t="s">
        <v>1</v>
      </c>
      <c r="C3" s="22">
        <v>0.1074</v>
      </c>
      <c r="D3" s="22">
        <v>8.2900000000000001E-2</v>
      </c>
      <c r="E3" s="22">
        <v>0.1018</v>
      </c>
      <c r="F3" s="22">
        <v>8.9899999999999994E-2</v>
      </c>
      <c r="G3" s="22">
        <v>6.2199999999999998E-2</v>
      </c>
      <c r="H3" s="22">
        <v>1.54E-2</v>
      </c>
      <c r="I3" s="22">
        <v>2.29E-2</v>
      </c>
      <c r="J3" s="22">
        <v>8.7099999999999997E-2</v>
      </c>
      <c r="K3" s="22">
        <v>9.01E-2</v>
      </c>
      <c r="L3" s="22">
        <v>8.9399999999999993E-2</v>
      </c>
      <c r="M3" s="22">
        <v>5.7799999999999997E-2</v>
      </c>
      <c r="N3" s="22">
        <v>3.7999999999999999E-2</v>
      </c>
      <c r="O3" s="22">
        <v>7.3599999999999999E-2</v>
      </c>
      <c r="P3" s="22">
        <v>0.1115</v>
      </c>
      <c r="Q3" s="22">
        <v>0</v>
      </c>
      <c r="R3" s="22">
        <v>0.1333</v>
      </c>
      <c r="S3" s="22">
        <v>0.13669999999999999</v>
      </c>
      <c r="T3" s="22">
        <v>0.1343</v>
      </c>
      <c r="U3" s="22">
        <v>0.1173</v>
      </c>
      <c r="V3" s="22">
        <v>0.1404</v>
      </c>
      <c r="W3" s="22">
        <v>0.13009999999999999</v>
      </c>
      <c r="X3" s="22">
        <v>0.1091</v>
      </c>
      <c r="Y3" s="22">
        <v>9.7500000000000003E-2</v>
      </c>
      <c r="Z3" s="22">
        <v>0.1024</v>
      </c>
      <c r="AA3" s="22">
        <v>0.1055</v>
      </c>
      <c r="AB3" s="22">
        <v>9.6799999999999997E-2</v>
      </c>
      <c r="AC3" s="22">
        <v>9.4600000000000004E-2</v>
      </c>
      <c r="AD3" s="28">
        <v>0.1062</v>
      </c>
      <c r="AE3" s="28">
        <v>0.12709999999999999</v>
      </c>
      <c r="AF3" s="28">
        <v>0.12989999999999999</v>
      </c>
    </row>
    <row r="4" spans="2:32" ht="16.5" thickTop="1" thickBot="1" x14ac:dyDescent="0.3">
      <c r="B4" s="3" t="s">
        <v>2</v>
      </c>
      <c r="C4" s="22">
        <v>5.3699999999999998E-2</v>
      </c>
      <c r="D4" s="22">
        <v>0.10489999999999999</v>
      </c>
      <c r="E4" s="22">
        <v>9.4700000000000006E-2</v>
      </c>
      <c r="F4" s="22">
        <v>4.65E-2</v>
      </c>
      <c r="G4" s="22">
        <v>4.1099999999999998E-2</v>
      </c>
      <c r="H4" s="22">
        <v>4.36E-2</v>
      </c>
      <c r="I4" s="22">
        <v>4.2799999999999998E-2</v>
      </c>
      <c r="J4" s="22">
        <v>1.89E-2</v>
      </c>
      <c r="K4" s="22">
        <v>0</v>
      </c>
      <c r="L4" s="22">
        <v>0</v>
      </c>
      <c r="M4" s="22">
        <v>1.4800000000000001E-2</v>
      </c>
      <c r="N4" s="22">
        <v>4.3999999999999997E-2</v>
      </c>
      <c r="O4" s="22">
        <v>5.4899999999999997E-2</v>
      </c>
      <c r="P4" s="22">
        <v>4.6399999999999997E-2</v>
      </c>
      <c r="Q4" s="22">
        <v>0</v>
      </c>
      <c r="R4" s="22">
        <v>2.2599999999999999E-2</v>
      </c>
      <c r="S4" s="22">
        <v>1.17E-2</v>
      </c>
      <c r="T4" s="22">
        <v>4.53E-2</v>
      </c>
      <c r="U4" s="22">
        <v>4.8399999999999999E-2</v>
      </c>
      <c r="V4" s="22">
        <v>6.2E-2</v>
      </c>
      <c r="W4" s="22">
        <v>5.0200000000000002E-2</v>
      </c>
      <c r="X4" s="22">
        <v>0.04</v>
      </c>
      <c r="Y4" s="22">
        <v>6.13E-2</v>
      </c>
      <c r="Z4" s="22">
        <v>2.7199999999999998E-2</v>
      </c>
      <c r="AA4" s="22">
        <v>4.8599999999999997E-2</v>
      </c>
      <c r="AB4" s="22">
        <v>5.3400000000000003E-2</v>
      </c>
      <c r="AC4" s="22">
        <v>5.3999999999999999E-2</v>
      </c>
      <c r="AD4" s="28">
        <v>3.8100000000000002E-2</v>
      </c>
      <c r="AE4" s="28">
        <v>3.5499999999999997E-2</v>
      </c>
      <c r="AF4" s="28">
        <v>4.6800000000000001E-2</v>
      </c>
    </row>
    <row r="5" spans="2:32" ht="16.5" thickTop="1" thickBot="1" x14ac:dyDescent="0.3">
      <c r="B5" s="3" t="s">
        <v>3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>
        <v>23.72</v>
      </c>
      <c r="R5" s="23"/>
      <c r="S5" s="23"/>
      <c r="T5" s="23"/>
      <c r="U5" s="23"/>
      <c r="V5" s="23"/>
      <c r="W5" s="23"/>
      <c r="X5" s="23"/>
      <c r="Y5" s="22">
        <v>0.1278</v>
      </c>
      <c r="Z5" s="23"/>
      <c r="AA5" s="22">
        <v>0.1158</v>
      </c>
      <c r="AB5" s="23"/>
      <c r="AC5" s="23"/>
      <c r="AD5" s="10"/>
      <c r="AE5" s="10">
        <v>12.71</v>
      </c>
      <c r="AF5" s="10"/>
    </row>
    <row r="6" spans="2:32" ht="31.5" thickTop="1" thickBot="1" x14ac:dyDescent="0.3">
      <c r="B6" s="3" t="s">
        <v>4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2">
        <v>5.5500000000000001E-2</v>
      </c>
      <c r="Z6" s="23"/>
      <c r="AA6" s="22">
        <v>3.8600000000000002E-2</v>
      </c>
      <c r="AB6" s="23"/>
      <c r="AC6" s="23"/>
      <c r="AD6" s="10"/>
      <c r="AE6" s="10">
        <v>3.55</v>
      </c>
      <c r="AF6" s="10"/>
    </row>
    <row r="7" spans="2:32" ht="16.5" thickTop="1" thickBot="1" x14ac:dyDescent="0.3">
      <c r="B7" s="3" t="s">
        <v>5</v>
      </c>
      <c r="C7" s="22">
        <v>0.1074</v>
      </c>
      <c r="D7" s="22"/>
      <c r="E7" s="22"/>
      <c r="F7" s="22"/>
      <c r="G7" s="22"/>
      <c r="H7" s="22"/>
      <c r="I7" s="22">
        <v>2.29E-2</v>
      </c>
      <c r="J7" s="22"/>
      <c r="K7" s="22"/>
      <c r="L7" s="22"/>
      <c r="M7" s="22">
        <v>5.7799999999999997E-2</v>
      </c>
      <c r="N7" s="22"/>
      <c r="O7" s="22"/>
      <c r="P7" s="22"/>
      <c r="Q7" s="22">
        <v>6.4299999999999996E-2</v>
      </c>
      <c r="R7" s="22">
        <v>0.1333</v>
      </c>
      <c r="S7" s="22">
        <v>0.13669999999999999</v>
      </c>
      <c r="T7" s="22">
        <v>0.1343</v>
      </c>
      <c r="U7" s="22">
        <v>0.1173</v>
      </c>
      <c r="V7" s="22"/>
      <c r="W7" s="22">
        <v>0.13009999999999999</v>
      </c>
      <c r="X7" s="22"/>
      <c r="Y7" s="22"/>
      <c r="Z7" s="22"/>
      <c r="AA7" s="22"/>
      <c r="AB7" s="22"/>
      <c r="AC7" s="22"/>
      <c r="AD7" s="10"/>
      <c r="AE7" s="10"/>
      <c r="AF7" s="10"/>
    </row>
    <row r="8" spans="2:32" ht="31.5" thickTop="1" thickBot="1" x14ac:dyDescent="0.3">
      <c r="B8" s="3" t="s">
        <v>6</v>
      </c>
      <c r="C8" s="22">
        <v>5.3699999999999998E-2</v>
      </c>
      <c r="D8" s="22"/>
      <c r="E8" s="22"/>
      <c r="F8" s="22"/>
      <c r="G8" s="22"/>
      <c r="H8" s="22"/>
      <c r="I8" s="22">
        <v>4.2799999999999998E-2</v>
      </c>
      <c r="J8" s="22"/>
      <c r="K8" s="22"/>
      <c r="L8" s="22"/>
      <c r="M8" s="22">
        <v>1.4800000000000001E-2</v>
      </c>
      <c r="N8" s="22"/>
      <c r="O8" s="22"/>
      <c r="P8" s="22"/>
      <c r="Q8" s="22">
        <v>0.03</v>
      </c>
      <c r="R8" s="22">
        <v>2.2599999999999999E-2</v>
      </c>
      <c r="S8" s="22">
        <v>1.17E-2</v>
      </c>
      <c r="T8" s="22">
        <v>4.53E-2</v>
      </c>
      <c r="U8" s="22">
        <v>4.8399999999999999E-2</v>
      </c>
      <c r="V8" s="22"/>
      <c r="W8" s="22">
        <v>5.0200000000000002E-2</v>
      </c>
      <c r="X8" s="22"/>
      <c r="Y8" s="22"/>
      <c r="Z8" s="22"/>
      <c r="AA8" s="22"/>
      <c r="AB8" s="22"/>
      <c r="AC8" s="22"/>
      <c r="AD8" s="10"/>
      <c r="AE8" s="10"/>
      <c r="AF8" s="10"/>
    </row>
    <row r="9" spans="2:32" ht="16.5" thickTop="1" thickBot="1" x14ac:dyDescent="0.3">
      <c r="B9" s="3" t="s">
        <v>7</v>
      </c>
      <c r="C9" s="26">
        <v>4695</v>
      </c>
      <c r="D9" s="26">
        <v>4605</v>
      </c>
      <c r="E9" s="26">
        <v>4880</v>
      </c>
      <c r="F9" s="26">
        <v>4800</v>
      </c>
      <c r="G9" s="26">
        <v>4900</v>
      </c>
      <c r="H9" s="26">
        <v>4831</v>
      </c>
      <c r="I9" s="26">
        <v>4655</v>
      </c>
      <c r="J9" s="26">
        <v>4356</v>
      </c>
      <c r="K9" s="26">
        <v>4528</v>
      </c>
      <c r="L9" s="26">
        <v>4512</v>
      </c>
      <c r="M9" s="26">
        <v>4512</v>
      </c>
      <c r="N9" s="26">
        <v>4620</v>
      </c>
      <c r="O9" s="26">
        <v>4580</v>
      </c>
      <c r="P9" s="26">
        <v>4726</v>
      </c>
      <c r="Q9" s="26">
        <v>4974</v>
      </c>
      <c r="R9" s="26">
        <v>5012</v>
      </c>
      <c r="S9" s="26">
        <v>5124</v>
      </c>
      <c r="T9" s="26">
        <v>5102</v>
      </c>
      <c r="U9" s="26">
        <v>4892</v>
      </c>
      <c r="V9" s="26">
        <v>4949</v>
      </c>
      <c r="W9" s="26">
        <v>4946</v>
      </c>
      <c r="X9" s="26">
        <v>4925</v>
      </c>
      <c r="Y9" s="26">
        <v>4899</v>
      </c>
      <c r="Z9" s="26">
        <v>4806</v>
      </c>
      <c r="AA9" s="26">
        <v>4840</v>
      </c>
      <c r="AB9" s="26">
        <v>4690</v>
      </c>
      <c r="AC9" s="26">
        <v>4860</v>
      </c>
      <c r="AD9" s="27">
        <v>4847</v>
      </c>
      <c r="AE9" s="27">
        <v>4903</v>
      </c>
      <c r="AF9" s="27">
        <v>4925</v>
      </c>
    </row>
  </sheetData>
  <pageMargins left="0.7" right="0.7" top="0.75" bottom="0.75" header="0.3" footer="0.3"/>
  <pageSetup paperSize="11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J9"/>
  <sheetViews>
    <sheetView topLeftCell="V1" workbookViewId="0">
      <selection activeCell="AD15" sqref="AD15"/>
    </sheetView>
  </sheetViews>
  <sheetFormatPr defaultRowHeight="15" x14ac:dyDescent="0.25"/>
  <cols>
    <col min="2" max="2" width="28.5703125" customWidth="1"/>
    <col min="3" max="36" width="10.28515625" customWidth="1"/>
  </cols>
  <sheetData>
    <row r="1" spans="2:36" ht="15.75" thickBot="1" x14ac:dyDescent="0.3"/>
    <row r="2" spans="2:36" ht="15.75" thickBot="1" x14ac:dyDescent="0.3">
      <c r="C2" s="10" t="s">
        <v>97</v>
      </c>
      <c r="D2" s="10" t="s">
        <v>98</v>
      </c>
      <c r="E2" s="10" t="s">
        <v>99</v>
      </c>
      <c r="F2" s="10" t="s">
        <v>100</v>
      </c>
      <c r="G2" s="10" t="s">
        <v>101</v>
      </c>
      <c r="H2" s="10" t="s">
        <v>102</v>
      </c>
      <c r="I2" s="10" t="s">
        <v>103</v>
      </c>
      <c r="J2" s="10" t="s">
        <v>104</v>
      </c>
      <c r="K2" s="10" t="s">
        <v>105</v>
      </c>
      <c r="L2" s="10" t="s">
        <v>106</v>
      </c>
      <c r="M2" s="10" t="s">
        <v>107</v>
      </c>
      <c r="N2" s="10" t="s">
        <v>108</v>
      </c>
      <c r="O2" s="10" t="s">
        <v>109</v>
      </c>
      <c r="P2" s="10" t="s">
        <v>110</v>
      </c>
      <c r="Q2" s="10" t="s">
        <v>111</v>
      </c>
      <c r="R2" s="10" t="s">
        <v>112</v>
      </c>
      <c r="S2" s="10" t="s">
        <v>113</v>
      </c>
      <c r="T2" s="10" t="s">
        <v>114</v>
      </c>
      <c r="U2" s="10" t="s">
        <v>115</v>
      </c>
      <c r="V2" s="10" t="s">
        <v>116</v>
      </c>
      <c r="W2" s="10" t="s">
        <v>117</v>
      </c>
      <c r="X2" s="29" t="s">
        <v>118</v>
      </c>
      <c r="Y2" s="29" t="s">
        <v>119</v>
      </c>
      <c r="Z2" s="29" t="s">
        <v>120</v>
      </c>
      <c r="AA2" s="29" t="s">
        <v>121</v>
      </c>
      <c r="AB2" s="29" t="s">
        <v>122</v>
      </c>
      <c r="AC2" s="29" t="s">
        <v>123</v>
      </c>
      <c r="AD2" s="29" t="s">
        <v>124</v>
      </c>
      <c r="AE2" s="29" t="s">
        <v>125</v>
      </c>
      <c r="AF2" s="29" t="s">
        <v>126</v>
      </c>
      <c r="AG2" s="29" t="s">
        <v>127</v>
      </c>
      <c r="AH2" s="29" t="s">
        <v>129</v>
      </c>
      <c r="AI2" s="29" t="s">
        <v>130</v>
      </c>
      <c r="AJ2" s="29" t="s">
        <v>131</v>
      </c>
    </row>
    <row r="3" spans="2:36" ht="16.5" thickTop="1" thickBot="1" x14ac:dyDescent="0.3">
      <c r="B3" s="2" t="s">
        <v>1</v>
      </c>
      <c r="C3" s="28">
        <v>0.1278</v>
      </c>
      <c r="D3" s="28">
        <v>0.1409</v>
      </c>
      <c r="E3" s="28">
        <v>0.13589999999999999</v>
      </c>
      <c r="F3" s="28"/>
      <c r="G3" s="28">
        <v>0.13439999999999999</v>
      </c>
      <c r="H3" s="28">
        <v>0.12770000000000001</v>
      </c>
      <c r="I3" s="28">
        <v>0.14580000000000001</v>
      </c>
      <c r="J3" s="28">
        <v>0.1159</v>
      </c>
      <c r="K3" s="28">
        <v>0.12540000000000001</v>
      </c>
      <c r="L3" s="28">
        <v>0.1363</v>
      </c>
      <c r="M3" s="28">
        <v>0.14810000000000001</v>
      </c>
      <c r="N3" s="28">
        <v>0.14710000000000001</v>
      </c>
      <c r="O3" s="28">
        <v>0.15359999999999999</v>
      </c>
      <c r="P3" s="28">
        <v>0.1464</v>
      </c>
      <c r="Q3" s="28">
        <v>0.15049999999999999</v>
      </c>
      <c r="R3" s="28">
        <v>0.1474</v>
      </c>
      <c r="S3" s="28">
        <v>0.14580000000000001</v>
      </c>
      <c r="T3" s="28">
        <v>0.1537</v>
      </c>
      <c r="U3" s="28">
        <v>0.15759999999999999</v>
      </c>
      <c r="V3" s="28">
        <v>0.13739999999999999</v>
      </c>
      <c r="W3" s="28">
        <v>0.11840000000000001</v>
      </c>
      <c r="X3" s="30">
        <v>0.124</v>
      </c>
      <c r="Y3" s="30">
        <v>0.13289999999999999</v>
      </c>
      <c r="Z3" s="30">
        <v>0.14599999999999999</v>
      </c>
      <c r="AA3" s="30">
        <v>0.14149999999999999</v>
      </c>
      <c r="AB3" s="30">
        <v>0.15429999999999999</v>
      </c>
      <c r="AC3" s="30">
        <v>0.1421</v>
      </c>
      <c r="AD3" s="30">
        <v>0.1469</v>
      </c>
      <c r="AE3" s="30">
        <v>0.14580000000000001</v>
      </c>
      <c r="AF3" s="30">
        <v>0.13070000000000001</v>
      </c>
      <c r="AG3" s="31" t="s">
        <v>128</v>
      </c>
      <c r="AH3" s="31">
        <v>0.12759999999999999</v>
      </c>
      <c r="AI3" s="31">
        <v>0.1283</v>
      </c>
      <c r="AJ3" s="31">
        <v>0.13039999999999999</v>
      </c>
    </row>
    <row r="4" spans="2:36" ht="16.5" thickTop="1" thickBot="1" x14ac:dyDescent="0.3">
      <c r="B4" s="3" t="s">
        <v>2</v>
      </c>
      <c r="C4" s="28">
        <v>4.0399999999999998E-2</v>
      </c>
      <c r="D4" s="28">
        <v>5.0999999999999997E-2</v>
      </c>
      <c r="E4" s="28">
        <v>3.5099999999999999E-2</v>
      </c>
      <c r="F4" s="28"/>
      <c r="G4" s="28">
        <v>4.6199999999999998E-2</v>
      </c>
      <c r="H4" s="28">
        <v>2.3400000000000001E-2</v>
      </c>
      <c r="I4" s="28">
        <v>4.0599999999999997E-2</v>
      </c>
      <c r="J4" s="28">
        <v>6.5699999999999995E-2</v>
      </c>
      <c r="K4" s="28">
        <v>5.5E-2</v>
      </c>
      <c r="L4" s="28">
        <v>5.9200000000000003E-2</v>
      </c>
      <c r="M4" s="28">
        <v>4.2200000000000001E-2</v>
      </c>
      <c r="N4" s="28">
        <v>6.2799999999999995E-2</v>
      </c>
      <c r="O4" s="28">
        <v>5.57E-2</v>
      </c>
      <c r="P4" s="28">
        <v>6.5799999999999997E-2</v>
      </c>
      <c r="Q4" s="28">
        <v>6.0400000000000002E-2</v>
      </c>
      <c r="R4" s="28">
        <v>7.0800000000000002E-2</v>
      </c>
      <c r="S4" s="28">
        <v>6.0900000000000003E-2</v>
      </c>
      <c r="T4" s="28">
        <v>5.62E-2</v>
      </c>
      <c r="U4" s="28">
        <v>4.7100000000000003E-2</v>
      </c>
      <c r="V4" s="28">
        <v>6.8699999999999997E-2</v>
      </c>
      <c r="W4" s="28">
        <v>4.4999999999999998E-2</v>
      </c>
      <c r="X4" s="30">
        <v>4.53E-2</v>
      </c>
      <c r="Y4" s="30">
        <v>5.1200000000000002E-2</v>
      </c>
      <c r="Z4" s="30">
        <v>5.0299999999999997E-2</v>
      </c>
      <c r="AA4" s="30">
        <v>5.04E-2</v>
      </c>
      <c r="AB4" s="30">
        <v>4.9399999999999999E-2</v>
      </c>
      <c r="AC4" s="30">
        <v>5.5E-2</v>
      </c>
      <c r="AD4" s="30">
        <v>4.9799999999999997E-2</v>
      </c>
      <c r="AE4" s="30">
        <v>5.21E-2</v>
      </c>
      <c r="AF4" s="30">
        <v>5.0900000000000001E-2</v>
      </c>
      <c r="AG4" s="30">
        <v>5.2900000000000003E-2</v>
      </c>
      <c r="AH4" s="30">
        <v>6.5600000000000006E-2</v>
      </c>
      <c r="AI4" s="30">
        <v>5.2699999999999997E-2</v>
      </c>
      <c r="AJ4" s="30">
        <v>3.6299999999999999E-2</v>
      </c>
    </row>
    <row r="5" spans="2:36" ht="15.75" thickBot="1" x14ac:dyDescent="0.3">
      <c r="B5" s="3" t="s">
        <v>3</v>
      </c>
      <c r="C5" s="10"/>
      <c r="D5" s="10"/>
      <c r="E5" s="28">
        <v>0.14879999999999999</v>
      </c>
      <c r="F5" s="10"/>
      <c r="G5" s="10">
        <v>13.73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31">
        <v>0.12759999999999999</v>
      </c>
      <c r="AI5" s="31"/>
      <c r="AJ5" s="31"/>
    </row>
    <row r="6" spans="2:36" ht="30.75" thickBot="1" x14ac:dyDescent="0.3">
      <c r="B6" s="3" t="s">
        <v>4</v>
      </c>
      <c r="C6" s="10"/>
      <c r="D6" s="10"/>
      <c r="E6" s="28">
        <v>2.7900000000000001E-2</v>
      </c>
      <c r="F6" s="10"/>
      <c r="G6" s="10">
        <v>2.33</v>
      </c>
      <c r="H6" s="10"/>
      <c r="I6" s="10"/>
      <c r="J6" s="10"/>
      <c r="K6" s="28">
        <v>0.12540000000000001</v>
      </c>
      <c r="L6" s="28"/>
      <c r="M6" s="28"/>
      <c r="N6" s="28"/>
      <c r="O6" s="28"/>
      <c r="P6" s="28"/>
      <c r="Q6" s="28"/>
      <c r="R6" s="28"/>
      <c r="S6" s="28"/>
      <c r="T6" s="10"/>
      <c r="U6" s="10"/>
      <c r="V6" s="10"/>
      <c r="W6" s="10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30">
        <v>6.5600000000000006E-2</v>
      </c>
      <c r="AI6" s="30"/>
      <c r="AJ6" s="30"/>
    </row>
    <row r="7" spans="2:36" ht="15.75" thickBot="1" x14ac:dyDescent="0.3">
      <c r="B7" s="3" t="s">
        <v>5</v>
      </c>
      <c r="C7" s="10"/>
      <c r="D7" s="28">
        <v>0.1409</v>
      </c>
      <c r="E7" s="10"/>
      <c r="F7" s="28">
        <v>0.1293</v>
      </c>
      <c r="G7" s="28"/>
      <c r="H7" s="28"/>
      <c r="I7" s="28"/>
      <c r="J7" s="28"/>
      <c r="K7" s="28">
        <v>5.5E-2</v>
      </c>
      <c r="L7" s="28"/>
      <c r="M7" s="28"/>
      <c r="N7" s="28">
        <v>0.14710000000000001</v>
      </c>
      <c r="O7" s="28"/>
      <c r="P7" s="28"/>
      <c r="Q7" s="28">
        <v>0.15049999999999999</v>
      </c>
      <c r="R7" s="28">
        <v>0.1474</v>
      </c>
      <c r="S7" s="28"/>
      <c r="T7" s="28">
        <v>0.16669999999999999</v>
      </c>
      <c r="U7" s="28">
        <v>0.15759999999999999</v>
      </c>
      <c r="V7" s="28"/>
      <c r="W7" s="28"/>
      <c r="X7" s="30">
        <v>0.124</v>
      </c>
      <c r="Y7" s="30">
        <v>0.13289999999999999</v>
      </c>
      <c r="Z7" s="30">
        <v>0.14599999999999999</v>
      </c>
      <c r="AA7" s="30"/>
      <c r="AB7" s="30">
        <v>0.15429999999999999</v>
      </c>
      <c r="AC7" s="30">
        <v>0</v>
      </c>
      <c r="AD7" s="30"/>
      <c r="AE7" s="30"/>
      <c r="AF7" s="30"/>
      <c r="AG7" s="30"/>
      <c r="AH7" s="31">
        <v>0.12759999999999999</v>
      </c>
      <c r="AI7" s="31"/>
      <c r="AJ7" s="31">
        <v>0.13039999999999999</v>
      </c>
    </row>
    <row r="8" spans="2:36" ht="30.75" thickBot="1" x14ac:dyDescent="0.3">
      <c r="B8" s="3" t="s">
        <v>6</v>
      </c>
      <c r="C8" s="10"/>
      <c r="D8" s="28">
        <v>5.0999999999999997E-2</v>
      </c>
      <c r="E8" s="10"/>
      <c r="F8" s="28">
        <v>4.4999999999999998E-2</v>
      </c>
      <c r="G8" s="28"/>
      <c r="H8" s="28"/>
      <c r="I8" s="28"/>
      <c r="J8" s="28"/>
      <c r="K8" s="28"/>
      <c r="L8" s="28"/>
      <c r="M8" s="28"/>
      <c r="N8" s="28">
        <v>6.2799999999999995E-2</v>
      </c>
      <c r="O8" s="28"/>
      <c r="P8" s="28"/>
      <c r="Q8" s="28">
        <v>6.0400000000000002E-2</v>
      </c>
      <c r="R8" s="28">
        <v>7.0800000000000002E-2</v>
      </c>
      <c r="S8" s="28"/>
      <c r="T8" s="28">
        <v>5.62E-2</v>
      </c>
      <c r="U8" s="28">
        <v>4.7100000000000003E-2</v>
      </c>
      <c r="V8" s="28"/>
      <c r="W8" s="28"/>
      <c r="X8" s="30">
        <v>4.53E-2</v>
      </c>
      <c r="Y8" s="30">
        <v>5.1200000000000002E-2</v>
      </c>
      <c r="Z8" s="30">
        <v>5.0299999999999997E-2</v>
      </c>
      <c r="AA8" s="30"/>
      <c r="AB8" s="30">
        <v>4.9399999999999999E-2</v>
      </c>
      <c r="AC8" s="30">
        <v>0</v>
      </c>
      <c r="AD8" s="30"/>
      <c r="AE8" s="30"/>
      <c r="AF8" s="30"/>
      <c r="AG8" s="30"/>
      <c r="AH8" s="30">
        <v>6.5600000000000006E-2</v>
      </c>
      <c r="AI8" s="30"/>
      <c r="AJ8" s="30">
        <v>3.6299999999999999E-2</v>
      </c>
    </row>
    <row r="9" spans="2:36" ht="15.75" thickBot="1" x14ac:dyDescent="0.3">
      <c r="B9" s="3" t="s">
        <v>7</v>
      </c>
      <c r="C9" s="27">
        <v>4800</v>
      </c>
      <c r="D9" s="27">
        <v>4884</v>
      </c>
      <c r="E9" s="27">
        <v>4480</v>
      </c>
      <c r="F9" s="27">
        <v>4652</v>
      </c>
      <c r="G9" s="27">
        <v>4601</v>
      </c>
      <c r="H9" s="27">
        <v>4764</v>
      </c>
      <c r="I9" s="27">
        <v>4805</v>
      </c>
      <c r="J9" s="27">
        <v>4767</v>
      </c>
      <c r="K9" s="27">
        <v>4807</v>
      </c>
      <c r="L9" s="27">
        <v>4718</v>
      </c>
      <c r="M9" s="27">
        <v>4703</v>
      </c>
      <c r="N9" s="27">
        <v>4571</v>
      </c>
      <c r="O9" s="27">
        <v>4409</v>
      </c>
      <c r="P9" s="27">
        <v>4385</v>
      </c>
      <c r="Q9" s="27">
        <v>4529</v>
      </c>
      <c r="R9" s="27">
        <v>4623</v>
      </c>
      <c r="S9" s="27">
        <v>4547</v>
      </c>
      <c r="T9" s="10">
        <v>4621</v>
      </c>
      <c r="U9" s="10">
        <v>4680</v>
      </c>
      <c r="V9" s="10">
        <v>4586</v>
      </c>
      <c r="W9" s="10">
        <v>4690</v>
      </c>
      <c r="X9" s="29">
        <v>4605</v>
      </c>
      <c r="Y9" s="29">
        <v>4654</v>
      </c>
      <c r="Z9" s="29">
        <v>4697</v>
      </c>
      <c r="AA9" s="29">
        <v>4609</v>
      </c>
      <c r="AB9" s="29">
        <v>4679</v>
      </c>
      <c r="AC9" s="29">
        <v>4665</v>
      </c>
      <c r="AD9" s="29">
        <v>4670</v>
      </c>
      <c r="AE9" s="29">
        <v>4693</v>
      </c>
      <c r="AF9" s="29">
        <v>4648</v>
      </c>
      <c r="AG9" s="29">
        <v>4729</v>
      </c>
      <c r="AH9" s="29">
        <v>4771</v>
      </c>
      <c r="AI9" s="29">
        <v>4729</v>
      </c>
      <c r="AJ9" s="29">
        <v>4677</v>
      </c>
    </row>
  </sheetData>
  <pageMargins left="0.7" right="0.7" top="0.75" bottom="0.75" header="0.3" footer="0.3"/>
  <pageSetup paperSize="11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F9"/>
  <sheetViews>
    <sheetView workbookViewId="0">
      <selection activeCell="C6" sqref="C6:C7"/>
    </sheetView>
  </sheetViews>
  <sheetFormatPr defaultRowHeight="15" x14ac:dyDescent="0.25"/>
  <cols>
    <col min="2" max="2" width="28.5703125" customWidth="1"/>
    <col min="3" max="32" width="10.28515625" customWidth="1"/>
  </cols>
  <sheetData>
    <row r="1" spans="2:32" ht="15.75" thickBot="1" x14ac:dyDescent="0.3"/>
    <row r="2" spans="2:32" ht="15.75" thickBot="1" x14ac:dyDescent="0.3">
      <c r="C2" s="29" t="s">
        <v>129</v>
      </c>
      <c r="D2" s="29" t="s">
        <v>130</v>
      </c>
      <c r="E2" s="29" t="s">
        <v>131</v>
      </c>
      <c r="F2" s="29" t="s">
        <v>132</v>
      </c>
      <c r="G2" s="29" t="s">
        <v>133</v>
      </c>
      <c r="H2" s="29" t="s">
        <v>134</v>
      </c>
      <c r="I2" s="29" t="s">
        <v>135</v>
      </c>
      <c r="J2" s="29" t="s">
        <v>136</v>
      </c>
      <c r="K2" s="29" t="s">
        <v>137</v>
      </c>
      <c r="L2" s="29" t="s">
        <v>138</v>
      </c>
      <c r="M2" s="29" t="s">
        <v>139</v>
      </c>
      <c r="N2" s="29" t="s">
        <v>140</v>
      </c>
      <c r="O2" s="29" t="s">
        <v>141</v>
      </c>
      <c r="P2" s="29" t="s">
        <v>142</v>
      </c>
      <c r="Q2" s="29" t="s">
        <v>143</v>
      </c>
      <c r="R2" s="29" t="s">
        <v>144</v>
      </c>
      <c r="S2" s="29" t="s">
        <v>145</v>
      </c>
      <c r="T2" s="29" t="s">
        <v>146</v>
      </c>
      <c r="U2" s="29" t="s">
        <v>147</v>
      </c>
      <c r="V2" s="29" t="s">
        <v>148</v>
      </c>
      <c r="W2" s="29" t="s">
        <v>149</v>
      </c>
      <c r="X2" s="29" t="s">
        <v>150</v>
      </c>
      <c r="Y2" s="29" t="s">
        <v>151</v>
      </c>
      <c r="Z2" s="29" t="s">
        <v>152</v>
      </c>
      <c r="AA2" s="29" t="s">
        <v>153</v>
      </c>
      <c r="AB2" s="29" t="s">
        <v>154</v>
      </c>
      <c r="AC2" s="29" t="s">
        <v>155</v>
      </c>
      <c r="AD2" s="29" t="s">
        <v>156</v>
      </c>
      <c r="AE2" s="29" t="s">
        <v>157</v>
      </c>
      <c r="AF2" s="29" t="s">
        <v>158</v>
      </c>
    </row>
    <row r="3" spans="2:32" ht="16.5" thickTop="1" thickBot="1" x14ac:dyDescent="0.3">
      <c r="B3" s="2" t="s">
        <v>1</v>
      </c>
      <c r="C3" s="31">
        <v>0.12759999999999999</v>
      </c>
      <c r="D3" s="31">
        <v>0.1283</v>
      </c>
      <c r="E3" s="31">
        <v>0.13039999999999999</v>
      </c>
      <c r="F3" s="31">
        <v>0.1153</v>
      </c>
      <c r="G3" s="31">
        <v>0.13250000000000001</v>
      </c>
      <c r="H3" s="31">
        <v>0.107</v>
      </c>
      <c r="I3" s="31">
        <v>0.112</v>
      </c>
      <c r="J3" s="31">
        <v>0.1108</v>
      </c>
      <c r="K3" s="31">
        <v>0.11310000000000001</v>
      </c>
      <c r="L3" s="31">
        <v>0.107</v>
      </c>
      <c r="M3" s="31">
        <v>8.9300000000000004E-2</v>
      </c>
      <c r="N3" s="31">
        <v>0.11899999999999999</v>
      </c>
      <c r="O3" s="31">
        <v>0.11210000000000001</v>
      </c>
      <c r="P3" s="31">
        <v>0.13969999999999999</v>
      </c>
      <c r="Q3" s="39">
        <v>0.14180000000000001</v>
      </c>
      <c r="R3" s="39">
        <v>0.14990000000000001</v>
      </c>
      <c r="S3" s="39">
        <v>0.1139</v>
      </c>
      <c r="T3" s="39">
        <v>0.1351</v>
      </c>
      <c r="U3" s="39">
        <v>0.13320000000000001</v>
      </c>
      <c r="V3" s="39">
        <v>0.19989999999999999</v>
      </c>
      <c r="W3" s="39">
        <v>0.15</v>
      </c>
      <c r="X3" s="39">
        <v>0.11210000000000001</v>
      </c>
      <c r="Y3" s="39">
        <v>0.1226</v>
      </c>
      <c r="Z3" s="39">
        <v>0.13059999999999999</v>
      </c>
      <c r="AA3" s="39">
        <v>0.10639999999999999</v>
      </c>
      <c r="AB3" s="39">
        <v>0.1178</v>
      </c>
      <c r="AC3" s="39">
        <v>0.10009999999999999</v>
      </c>
      <c r="AD3" s="39">
        <v>0.10780000000000001</v>
      </c>
      <c r="AE3" s="39">
        <v>9.9199999999999997E-2</v>
      </c>
      <c r="AF3" s="39">
        <v>0.15029999999999999</v>
      </c>
    </row>
    <row r="4" spans="2:32" ht="16.5" thickTop="1" thickBot="1" x14ac:dyDescent="0.3">
      <c r="B4" s="3" t="s">
        <v>2</v>
      </c>
      <c r="C4" s="30">
        <v>6.5600000000000006E-2</v>
      </c>
      <c r="D4" s="30">
        <v>5.2699999999999997E-2</v>
      </c>
      <c r="E4" s="30">
        <v>3.6299999999999999E-2</v>
      </c>
      <c r="F4" s="30">
        <v>4.4200000000000003E-2</v>
      </c>
      <c r="G4" s="30">
        <v>4.4400000000000002E-2</v>
      </c>
      <c r="H4" s="30">
        <v>5.5300000000000002E-2</v>
      </c>
      <c r="I4" s="30">
        <v>4.9299999999999997E-2</v>
      </c>
      <c r="J4" s="30">
        <v>5.7000000000000002E-2</v>
      </c>
      <c r="K4" s="30">
        <v>4.8500000000000001E-2</v>
      </c>
      <c r="L4" s="30">
        <v>6.4299999999999996E-2</v>
      </c>
      <c r="M4" s="30">
        <v>5.04E-2</v>
      </c>
      <c r="N4" s="30">
        <v>4.9799999999999997E-2</v>
      </c>
      <c r="O4" s="30">
        <v>6.6799999999999998E-2</v>
      </c>
      <c r="P4" s="30"/>
      <c r="Q4" s="36"/>
      <c r="R4" s="36"/>
      <c r="S4" s="36"/>
      <c r="T4" s="36"/>
      <c r="U4" s="36"/>
      <c r="V4" s="36"/>
      <c r="W4" s="36"/>
      <c r="X4" s="36"/>
      <c r="Y4" s="36"/>
      <c r="Z4" s="36"/>
      <c r="AA4" s="36">
        <v>3.0099999999999998E-2</v>
      </c>
      <c r="AB4" s="36">
        <v>3.7400000000000003E-2</v>
      </c>
      <c r="AC4" s="36">
        <v>5.4899999999999997E-2</v>
      </c>
      <c r="AD4" s="36">
        <v>5.8900000000000001E-2</v>
      </c>
      <c r="AE4" s="36">
        <v>5.0700000000000002E-2</v>
      </c>
      <c r="AF4" s="36">
        <v>2.4500000000000001E-2</v>
      </c>
    </row>
    <row r="5" spans="2:32" ht="15.75" thickBot="1" x14ac:dyDescent="0.3">
      <c r="B5" s="3" t="s">
        <v>3</v>
      </c>
      <c r="C5" s="31">
        <v>0.12759999999999999</v>
      </c>
      <c r="D5" s="31"/>
      <c r="E5" s="31"/>
      <c r="F5" s="31">
        <v>0.1153</v>
      </c>
      <c r="G5" s="31"/>
      <c r="H5" s="31">
        <v>0.107</v>
      </c>
      <c r="I5" s="31">
        <v>0.2</v>
      </c>
      <c r="J5" s="31"/>
      <c r="K5" s="31"/>
      <c r="L5" s="31"/>
      <c r="M5" s="31">
        <v>0.2</v>
      </c>
      <c r="N5" s="31"/>
      <c r="O5" s="31"/>
      <c r="P5" s="31">
        <v>0.24340000000000001</v>
      </c>
      <c r="Q5" s="35"/>
      <c r="R5" s="35">
        <v>0.25</v>
      </c>
      <c r="S5" s="35"/>
      <c r="T5" s="35"/>
      <c r="U5" s="35">
        <v>0.16950000000000001</v>
      </c>
      <c r="V5" s="35"/>
      <c r="W5" s="35"/>
      <c r="X5" s="35">
        <v>0.14119999999999999</v>
      </c>
      <c r="Y5" s="35"/>
      <c r="Z5" s="35">
        <v>0.13930000000000001</v>
      </c>
      <c r="AA5" s="35"/>
      <c r="AB5" s="35"/>
      <c r="AC5" s="35"/>
      <c r="AD5" s="35"/>
      <c r="AE5" s="35">
        <v>0.26</v>
      </c>
      <c r="AF5" s="35">
        <v>0.27329999999999999</v>
      </c>
    </row>
    <row r="6" spans="2:32" ht="30.75" thickBot="1" x14ac:dyDescent="0.3">
      <c r="B6" s="3" t="s">
        <v>4</v>
      </c>
      <c r="C6" s="30">
        <v>6.5600000000000006E-2</v>
      </c>
      <c r="D6" s="30"/>
      <c r="E6" s="30"/>
      <c r="F6" s="32">
        <v>4.4200000000000003E-2</v>
      </c>
      <c r="G6" s="32"/>
      <c r="H6" s="32">
        <v>5.5300000000000002E-2</v>
      </c>
      <c r="I6" s="32">
        <v>4.9299999999999997E-2</v>
      </c>
      <c r="J6" s="32"/>
      <c r="K6" s="32"/>
      <c r="L6" s="32"/>
      <c r="M6" s="32">
        <v>5.1700000000000003E-2</v>
      </c>
      <c r="N6" s="32"/>
      <c r="O6" s="32"/>
      <c r="P6" s="32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>
        <v>0.04</v>
      </c>
      <c r="AF6" s="36">
        <v>2.8000000000000001E-2</v>
      </c>
    </row>
    <row r="7" spans="2:32" ht="15.75" thickBot="1" x14ac:dyDescent="0.3">
      <c r="B7" s="3" t="s">
        <v>5</v>
      </c>
      <c r="C7" s="31">
        <v>0.12759999999999999</v>
      </c>
      <c r="D7" s="31"/>
      <c r="E7" s="31">
        <v>0.13039999999999999</v>
      </c>
      <c r="F7" s="34"/>
      <c r="G7" s="35"/>
      <c r="H7" s="35"/>
      <c r="I7" s="35">
        <v>0.112</v>
      </c>
      <c r="J7" s="35">
        <v>0.1108</v>
      </c>
      <c r="K7" s="35">
        <v>0.11310000000000001</v>
      </c>
      <c r="L7" s="35">
        <v>0.107</v>
      </c>
      <c r="M7" s="35">
        <v>8.9300000000000004E-2</v>
      </c>
      <c r="N7" s="35">
        <v>0.11899999999999999</v>
      </c>
      <c r="O7" s="35">
        <v>0.11210000000000001</v>
      </c>
      <c r="P7" s="37">
        <v>0.13969999999999999</v>
      </c>
      <c r="Q7" s="35">
        <v>0.14180000000000001</v>
      </c>
      <c r="R7" s="35">
        <v>0.14990000000000001</v>
      </c>
      <c r="S7" s="35">
        <v>0.1139</v>
      </c>
      <c r="T7" s="35"/>
      <c r="U7" s="35">
        <v>0.13320000000000001</v>
      </c>
      <c r="V7" s="35">
        <v>0.19989999999999999</v>
      </c>
      <c r="W7" s="35">
        <v>0.15</v>
      </c>
      <c r="X7" s="35">
        <v>0.11210000000000001</v>
      </c>
      <c r="Y7" s="35">
        <v>0.1226</v>
      </c>
      <c r="Z7" s="35">
        <v>0.13059999999999999</v>
      </c>
      <c r="AA7" s="35">
        <v>0.10639999999999999</v>
      </c>
      <c r="AB7" s="35"/>
      <c r="AC7" s="35">
        <v>0.10009999999999999</v>
      </c>
      <c r="AD7" s="35">
        <v>0.10780000000000001</v>
      </c>
      <c r="AE7" s="35"/>
      <c r="AF7" s="35">
        <v>0.15029999999999999</v>
      </c>
    </row>
    <row r="8" spans="2:32" ht="30.75" thickBot="1" x14ac:dyDescent="0.3">
      <c r="B8" s="3" t="s">
        <v>6</v>
      </c>
      <c r="C8" s="30">
        <v>6.5600000000000006E-2</v>
      </c>
      <c r="D8" s="30"/>
      <c r="E8" s="30">
        <v>3.6299999999999999E-2</v>
      </c>
      <c r="F8" s="34"/>
      <c r="G8" s="36"/>
      <c r="H8" s="36"/>
      <c r="I8" s="36">
        <v>4.9299999999999997E-2</v>
      </c>
      <c r="J8" s="36">
        <v>5.7000000000000002E-2</v>
      </c>
      <c r="K8" s="36">
        <v>4.8500000000000001E-2</v>
      </c>
      <c r="L8" s="36">
        <v>6.4299999999999996E-2</v>
      </c>
      <c r="M8" s="36">
        <v>5.04E-2</v>
      </c>
      <c r="N8" s="36">
        <v>4.9799999999999997E-2</v>
      </c>
      <c r="O8" s="36">
        <v>6.6799999999999998E-2</v>
      </c>
      <c r="P8" s="38"/>
      <c r="Q8" s="36"/>
      <c r="R8" s="36"/>
      <c r="S8" s="36"/>
      <c r="T8" s="36"/>
      <c r="U8" s="36"/>
      <c r="V8" s="36"/>
      <c r="W8" s="36"/>
      <c r="X8" s="36"/>
      <c r="Y8" s="36"/>
      <c r="Z8" s="36"/>
      <c r="AA8" s="36">
        <v>3.0099999999999998E-2</v>
      </c>
      <c r="AB8" s="36"/>
      <c r="AC8" s="36">
        <v>5.4899999999999997E-2</v>
      </c>
      <c r="AD8" s="36">
        <v>5.8900000000000001E-2</v>
      </c>
      <c r="AE8" s="36"/>
      <c r="AF8" s="36">
        <v>2.4500000000000001E-2</v>
      </c>
    </row>
    <row r="9" spans="2:32" ht="15.75" thickBot="1" x14ac:dyDescent="0.3">
      <c r="B9" s="3" t="s">
        <v>7</v>
      </c>
      <c r="C9" s="29">
        <v>4771</v>
      </c>
      <c r="D9" s="29">
        <v>4729</v>
      </c>
      <c r="E9" s="29">
        <v>4677</v>
      </c>
      <c r="F9" s="33">
        <v>4726</v>
      </c>
      <c r="G9" s="33">
        <v>4780</v>
      </c>
      <c r="H9" s="33">
        <v>4758</v>
      </c>
      <c r="I9" s="33">
        <v>4812</v>
      </c>
      <c r="J9" s="33">
        <v>4860</v>
      </c>
      <c r="K9" s="33">
        <v>4766</v>
      </c>
      <c r="L9" s="33">
        <v>4780</v>
      </c>
      <c r="M9" s="33">
        <v>4783</v>
      </c>
      <c r="N9" s="33">
        <v>4785</v>
      </c>
      <c r="O9" s="33">
        <v>4630</v>
      </c>
      <c r="P9" s="33"/>
      <c r="Q9" s="34"/>
      <c r="R9" s="34"/>
      <c r="S9" s="34"/>
      <c r="T9" s="34"/>
      <c r="U9" s="34"/>
      <c r="V9" s="34"/>
      <c r="W9" s="34"/>
      <c r="X9" s="34"/>
      <c r="Y9" s="34"/>
      <c r="Z9" s="34"/>
      <c r="AA9" s="34">
        <v>4996</v>
      </c>
      <c r="AB9" s="34">
        <v>5029</v>
      </c>
      <c r="AC9" s="34">
        <v>5018</v>
      </c>
      <c r="AD9" s="34">
        <v>4894</v>
      </c>
      <c r="AE9" s="34">
        <v>5030</v>
      </c>
      <c r="AF9" s="34">
        <v>5030</v>
      </c>
    </row>
  </sheetData>
  <pageMargins left="0.7" right="0.7" top="0.75" bottom="0.75" header="0.3" footer="0.3"/>
  <pageSetup paperSize="11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-0.249977111117893"/>
  </sheetPr>
  <dimension ref="B1:AO9"/>
  <sheetViews>
    <sheetView topLeftCell="T1" workbookViewId="0">
      <selection activeCell="AF18" sqref="AF18"/>
    </sheetView>
  </sheetViews>
  <sheetFormatPr defaultRowHeight="15" x14ac:dyDescent="0.25"/>
  <cols>
    <col min="2" max="2" width="28.5703125" customWidth="1"/>
    <col min="3" max="7" width="10.28515625" customWidth="1"/>
    <col min="8" max="8" width="10.140625" customWidth="1"/>
    <col min="9" max="9" width="9.85546875" customWidth="1"/>
    <col min="10" max="41" width="11" customWidth="1"/>
  </cols>
  <sheetData>
    <row r="1" spans="2:41" ht="15.75" thickBot="1" x14ac:dyDescent="0.3"/>
    <row r="2" spans="2:41" ht="15.75" thickBot="1" x14ac:dyDescent="0.3">
      <c r="C2" s="29" t="s">
        <v>159</v>
      </c>
      <c r="D2" s="29" t="s">
        <v>160</v>
      </c>
      <c r="E2" s="29" t="s">
        <v>161</v>
      </c>
      <c r="F2" s="29" t="s">
        <v>162</v>
      </c>
      <c r="G2" s="29" t="s">
        <v>163</v>
      </c>
      <c r="H2" s="10" t="s">
        <v>164</v>
      </c>
      <c r="I2" s="41" t="s">
        <v>165</v>
      </c>
      <c r="J2" s="10" t="s">
        <v>166</v>
      </c>
      <c r="K2" s="10" t="s">
        <v>167</v>
      </c>
      <c r="L2" s="10" t="s">
        <v>168</v>
      </c>
      <c r="M2" s="10" t="s">
        <v>169</v>
      </c>
      <c r="N2" s="10" t="s">
        <v>170</v>
      </c>
      <c r="O2" s="10" t="s">
        <v>171</v>
      </c>
      <c r="P2" s="10" t="s">
        <v>172</v>
      </c>
      <c r="Q2" s="10" t="s">
        <v>173</v>
      </c>
      <c r="R2" s="10" t="s">
        <v>174</v>
      </c>
      <c r="S2" s="10" t="s">
        <v>175</v>
      </c>
      <c r="T2" s="10" t="s">
        <v>176</v>
      </c>
      <c r="U2" s="10" t="s">
        <v>177</v>
      </c>
      <c r="V2" s="10" t="s">
        <v>178</v>
      </c>
      <c r="W2" s="10" t="s">
        <v>179</v>
      </c>
      <c r="X2" s="10" t="s">
        <v>180</v>
      </c>
      <c r="Y2" s="10" t="s">
        <v>181</v>
      </c>
      <c r="Z2" s="10" t="s">
        <v>182</v>
      </c>
      <c r="AA2" s="10" t="s">
        <v>183</v>
      </c>
      <c r="AB2" s="10" t="s">
        <v>184</v>
      </c>
      <c r="AC2" s="10" t="s">
        <v>185</v>
      </c>
      <c r="AD2" s="10" t="s">
        <v>186</v>
      </c>
      <c r="AE2" s="10" t="s">
        <v>187</v>
      </c>
      <c r="AF2" s="10" t="s">
        <v>188</v>
      </c>
      <c r="AG2" s="10" t="s">
        <v>189</v>
      </c>
      <c r="AH2" s="10" t="s">
        <v>190</v>
      </c>
      <c r="AI2" s="10" t="s">
        <v>191</v>
      </c>
      <c r="AJ2" s="10" t="s">
        <v>192</v>
      </c>
      <c r="AK2" s="10" t="s">
        <v>193</v>
      </c>
      <c r="AL2" s="10" t="s">
        <v>194</v>
      </c>
      <c r="AM2" s="10" t="s">
        <v>195</v>
      </c>
      <c r="AN2" s="10" t="s">
        <v>196</v>
      </c>
      <c r="AO2" s="10" t="s">
        <v>197</v>
      </c>
    </row>
    <row r="3" spans="2:41" ht="16.5" thickTop="1" thickBot="1" x14ac:dyDescent="0.3">
      <c r="B3" s="2" t="s">
        <v>1</v>
      </c>
      <c r="C3" s="31">
        <v>6.9900000000000004E-2</v>
      </c>
      <c r="D3" s="31">
        <v>6.7400000000000002E-2</v>
      </c>
      <c r="E3" s="31">
        <v>7.7899999999999997E-2</v>
      </c>
      <c r="F3" s="31">
        <v>6.8400000000000002E-2</v>
      </c>
      <c r="G3" s="31">
        <v>8.1299999999999997E-2</v>
      </c>
      <c r="H3" s="28">
        <v>7.3300000000000004E-2</v>
      </c>
      <c r="I3" s="42">
        <v>8.09E-2</v>
      </c>
      <c r="J3" s="28">
        <v>8.0799999999999997E-2</v>
      </c>
      <c r="K3" s="28">
        <v>8.3299999999999999E-2</v>
      </c>
      <c r="L3" s="28">
        <v>9.64E-2</v>
      </c>
      <c r="M3" s="28">
        <v>9.3799999999999994E-2</v>
      </c>
      <c r="N3" s="28">
        <v>7.8799999999999995E-2</v>
      </c>
      <c r="O3" s="28">
        <v>9.2299999999999993E-2</v>
      </c>
      <c r="P3" s="28">
        <v>9.7600000000000006E-2</v>
      </c>
      <c r="Q3" s="28">
        <v>8.1799999999999998E-2</v>
      </c>
      <c r="R3" s="28">
        <v>8.7999999999999995E-2</v>
      </c>
      <c r="S3" s="28">
        <v>9.3100000000000002E-2</v>
      </c>
      <c r="T3" s="28">
        <v>8.0500000000000002E-2</v>
      </c>
      <c r="U3" s="28">
        <v>0.10489999999999999</v>
      </c>
      <c r="V3" s="28">
        <v>9.0300000000000005E-2</v>
      </c>
      <c r="W3" s="28">
        <v>9.2700000000000005E-2</v>
      </c>
      <c r="X3" s="28">
        <v>0.1183</v>
      </c>
      <c r="Y3" s="28">
        <v>0.1082</v>
      </c>
      <c r="Z3" s="28">
        <v>0.1163</v>
      </c>
      <c r="AA3" s="28">
        <v>0.14460000000000001</v>
      </c>
      <c r="AB3" s="28">
        <v>0.1396</v>
      </c>
      <c r="AC3" s="28">
        <v>0.1391</v>
      </c>
      <c r="AD3" s="28">
        <v>0.1318</v>
      </c>
      <c r="AE3" s="28">
        <v>0.1313</v>
      </c>
      <c r="AF3" s="28">
        <v>0.14000000000000001</v>
      </c>
      <c r="AG3" s="28">
        <v>0.13159999999999999</v>
      </c>
      <c r="AH3" s="28">
        <v>0.13420000000000001</v>
      </c>
      <c r="AI3" s="28">
        <v>0.13239999999999999</v>
      </c>
      <c r="AJ3" s="28">
        <v>0.1234</v>
      </c>
      <c r="AK3" s="28">
        <v>0.1229</v>
      </c>
      <c r="AL3" s="28">
        <v>0.13009999999999999</v>
      </c>
      <c r="AM3" s="28">
        <v>0.128</v>
      </c>
      <c r="AN3" s="28">
        <v>0.1305</v>
      </c>
      <c r="AO3" s="28">
        <v>0.1245</v>
      </c>
    </row>
    <row r="4" spans="2:41" ht="16.5" thickTop="1" thickBot="1" x14ac:dyDescent="0.3">
      <c r="B4" s="3" t="s">
        <v>2</v>
      </c>
      <c r="C4" s="30">
        <v>1.9900000000000001E-2</v>
      </c>
      <c r="D4" s="30">
        <v>0.04</v>
      </c>
      <c r="E4" s="30">
        <v>3.3500000000000002E-2</v>
      </c>
      <c r="F4" s="30">
        <v>4.5600000000000002E-2</v>
      </c>
      <c r="G4" s="30">
        <v>6.3500000000000001E-2</v>
      </c>
      <c r="H4" s="10">
        <v>6.49</v>
      </c>
      <c r="I4" s="42">
        <v>6.6699999999999995E-2</v>
      </c>
      <c r="J4" s="28">
        <v>6.1199999999999997E-2</v>
      </c>
      <c r="K4" s="28">
        <v>6.8400000000000002E-2</v>
      </c>
      <c r="L4" s="28">
        <v>5.1400000000000001E-2</v>
      </c>
      <c r="M4" s="28">
        <v>5.8299999999999998E-2</v>
      </c>
      <c r="N4" s="28">
        <v>6.4299999999999996E-2</v>
      </c>
      <c r="O4" s="28">
        <v>6.1699999999999998E-2</v>
      </c>
      <c r="P4" s="28">
        <v>6.7500000000000004E-2</v>
      </c>
      <c r="Q4" s="28">
        <v>5.4300000000000001E-2</v>
      </c>
      <c r="R4" s="28">
        <v>5.9200000000000003E-2</v>
      </c>
      <c r="S4" s="28">
        <v>5.2900000000000003E-2</v>
      </c>
      <c r="T4" s="28">
        <v>7.3200000000000001E-2</v>
      </c>
      <c r="U4" s="28">
        <v>7.0999999999999994E-2</v>
      </c>
      <c r="V4" s="28">
        <v>6.1600000000000002E-2</v>
      </c>
      <c r="W4" s="28">
        <v>4.8300000000000003E-2</v>
      </c>
      <c r="X4" s="28">
        <v>3.27E-2</v>
      </c>
      <c r="Y4" s="28">
        <v>6.0699999999999997E-2</v>
      </c>
      <c r="Z4" s="28">
        <v>5.7700000000000001E-2</v>
      </c>
      <c r="AA4" s="28">
        <v>4.4900000000000002E-2</v>
      </c>
      <c r="AB4" s="28">
        <v>5.8900000000000001E-2</v>
      </c>
      <c r="AC4" s="28">
        <v>6.3E-2</v>
      </c>
      <c r="AD4" s="28">
        <v>6.4600000000000005E-2</v>
      </c>
      <c r="AE4" s="28">
        <v>5.3100000000000001E-2</v>
      </c>
      <c r="AF4" s="28">
        <v>5.0299999999999997E-2</v>
      </c>
      <c r="AG4" s="28">
        <v>5.74E-2</v>
      </c>
      <c r="AH4" s="28">
        <v>5.7500000000000002E-2</v>
      </c>
      <c r="AI4" s="28">
        <v>5.0999999999999997E-2</v>
      </c>
      <c r="AJ4" s="28">
        <v>6.6100000000000006E-2</v>
      </c>
      <c r="AK4" s="28">
        <v>6.88E-2</v>
      </c>
      <c r="AL4" s="28">
        <v>5.9200000000000003E-2</v>
      </c>
      <c r="AM4" s="28">
        <v>6.2799999999999995E-2</v>
      </c>
      <c r="AN4" s="28">
        <v>4.7699999999999999E-2</v>
      </c>
      <c r="AO4" s="28">
        <v>6.4000000000000001E-2</v>
      </c>
    </row>
    <row r="5" spans="2:41" ht="15.75" thickBot="1" x14ac:dyDescent="0.3">
      <c r="B5" s="3" t="s">
        <v>3</v>
      </c>
      <c r="C5" s="31">
        <v>0.26250000000000001</v>
      </c>
      <c r="D5" s="31"/>
      <c r="E5" s="31"/>
      <c r="F5" s="31"/>
      <c r="G5" s="31">
        <v>0.1169</v>
      </c>
      <c r="H5" s="10"/>
      <c r="I5" s="41"/>
      <c r="J5" s="10"/>
      <c r="K5" s="10"/>
      <c r="L5" s="10">
        <v>11.76</v>
      </c>
      <c r="M5" s="10"/>
      <c r="N5" s="10"/>
      <c r="O5" s="10">
        <v>22.33</v>
      </c>
      <c r="P5" s="10"/>
      <c r="Q5" s="10">
        <v>25.1</v>
      </c>
      <c r="R5" s="10"/>
      <c r="S5" s="10"/>
      <c r="T5" s="28">
        <v>0.252</v>
      </c>
      <c r="U5" s="28">
        <v>0.25879999999999997</v>
      </c>
      <c r="V5" s="28">
        <v>0.25879999999999997</v>
      </c>
      <c r="W5" s="28"/>
      <c r="X5" s="28"/>
      <c r="Y5" s="28"/>
      <c r="Z5" s="28"/>
      <c r="AA5" s="28">
        <v>0.18029999999999999</v>
      </c>
      <c r="AB5" s="28"/>
      <c r="AC5" s="28">
        <v>0.12590000000000001</v>
      </c>
      <c r="AD5" s="28"/>
      <c r="AE5" s="28"/>
      <c r="AF5" s="28"/>
      <c r="AG5" s="28"/>
      <c r="AH5" s="28">
        <v>0.20169999999999999</v>
      </c>
      <c r="AI5" s="28"/>
      <c r="AJ5" s="28"/>
      <c r="AK5" s="28"/>
      <c r="AL5" s="28"/>
      <c r="AM5" s="28"/>
      <c r="AN5" s="28"/>
      <c r="AO5" s="28"/>
    </row>
    <row r="6" spans="2:41" ht="30.75" thickBot="1" x14ac:dyDescent="0.3">
      <c r="B6" s="3" t="s">
        <v>4</v>
      </c>
      <c r="C6" s="30">
        <v>1.8800000000000001E-2</v>
      </c>
      <c r="D6" s="30"/>
      <c r="E6" s="30"/>
      <c r="F6" s="30"/>
      <c r="G6" s="30">
        <v>1.43E-2</v>
      </c>
      <c r="H6" s="10"/>
      <c r="I6" s="41"/>
      <c r="J6" s="10"/>
      <c r="K6" s="10"/>
      <c r="L6" s="10">
        <v>5.88</v>
      </c>
      <c r="M6" s="10"/>
      <c r="N6" s="10"/>
      <c r="O6" s="10">
        <v>6.98</v>
      </c>
      <c r="P6" s="10"/>
      <c r="Q6" s="10">
        <v>5.88</v>
      </c>
      <c r="R6" s="10"/>
      <c r="S6" s="10"/>
      <c r="T6" s="28">
        <v>5.8000000000000003E-2</v>
      </c>
      <c r="U6" s="28">
        <v>4.7100000000000003E-2</v>
      </c>
      <c r="V6" s="28">
        <v>4.7100000000000003E-2</v>
      </c>
      <c r="W6" s="28"/>
      <c r="X6" s="28"/>
      <c r="Y6" s="28"/>
      <c r="Z6" s="28"/>
      <c r="AA6" s="28">
        <v>4.6300000000000001E-2</v>
      </c>
      <c r="AB6" s="28"/>
      <c r="AC6" s="28">
        <v>0.16300000000000001</v>
      </c>
      <c r="AD6" s="28"/>
      <c r="AF6" s="28"/>
      <c r="AG6" s="28"/>
      <c r="AH6" s="28">
        <v>4.4999999999999998E-2</v>
      </c>
      <c r="AI6" s="28"/>
      <c r="AJ6" s="28"/>
      <c r="AK6" s="28"/>
      <c r="AL6" s="28"/>
      <c r="AM6" s="28"/>
      <c r="AN6" s="28"/>
      <c r="AO6" s="28"/>
    </row>
    <row r="7" spans="2:41" ht="15.75" thickBot="1" x14ac:dyDescent="0.3">
      <c r="B7" s="3" t="s">
        <v>5</v>
      </c>
      <c r="C7" s="31">
        <v>6.9900000000000004E-2</v>
      </c>
      <c r="D7" s="31">
        <v>6.7400000000000002E-2</v>
      </c>
      <c r="E7" s="31">
        <v>7.7899999999999997E-2</v>
      </c>
      <c r="F7" s="31">
        <v>6.8400000000000002E-2</v>
      </c>
      <c r="G7" s="31"/>
      <c r="H7" s="28">
        <v>7.3300000000000004E-2</v>
      </c>
      <c r="I7" s="42">
        <v>8.09E-2</v>
      </c>
      <c r="J7" s="28">
        <v>8.0799999999999997E-2</v>
      </c>
      <c r="K7" s="28">
        <v>8.3299999999999999E-2</v>
      </c>
      <c r="L7" s="28">
        <v>9.64E-2</v>
      </c>
      <c r="M7" s="28">
        <v>9.3799999999999994E-2</v>
      </c>
      <c r="N7" s="28">
        <v>0.15179999999999999</v>
      </c>
      <c r="O7" s="28">
        <v>9.2299999999999993E-2</v>
      </c>
      <c r="P7" s="28">
        <v>9.7600000000000006E-2</v>
      </c>
      <c r="Q7" s="28">
        <v>8.1799999999999998E-2</v>
      </c>
      <c r="R7" s="28">
        <v>8.7999999999999995E-2</v>
      </c>
      <c r="S7" s="28">
        <v>9.3100000000000002E-2</v>
      </c>
      <c r="T7" s="28">
        <v>8.0500000000000002E-2</v>
      </c>
      <c r="U7" s="28">
        <v>0.10489999999999999</v>
      </c>
      <c r="V7" s="28">
        <v>9.0300000000000005E-2</v>
      </c>
      <c r="W7" s="28">
        <v>9.2700000000000005E-2</v>
      </c>
      <c r="X7" s="28">
        <v>0.1183</v>
      </c>
      <c r="Y7" s="28">
        <v>0.1082</v>
      </c>
      <c r="Z7" s="28">
        <v>0.1163</v>
      </c>
      <c r="AA7" s="28">
        <v>0.14460000000000001</v>
      </c>
      <c r="AB7" s="28">
        <v>0.1396</v>
      </c>
      <c r="AC7" s="28"/>
      <c r="AD7" s="28"/>
      <c r="AE7" s="28">
        <v>0.1313</v>
      </c>
      <c r="AF7" s="28">
        <v>0.14000000000000001</v>
      </c>
      <c r="AG7" s="28"/>
      <c r="AH7" s="28"/>
      <c r="AI7" s="28">
        <v>0.13239999999999999</v>
      </c>
      <c r="AJ7" s="28">
        <v>0.1234</v>
      </c>
      <c r="AK7" s="28"/>
      <c r="AL7" s="28">
        <v>0.13009999999999999</v>
      </c>
      <c r="AM7" s="28"/>
      <c r="AN7" s="28"/>
      <c r="AO7" s="28">
        <v>0.1245</v>
      </c>
    </row>
    <row r="8" spans="2:41" ht="30.75" thickBot="1" x14ac:dyDescent="0.3">
      <c r="B8" s="3" t="s">
        <v>6</v>
      </c>
      <c r="C8" s="30">
        <v>1.9900000000000001E-2</v>
      </c>
      <c r="D8" s="30">
        <v>0.04</v>
      </c>
      <c r="E8" s="30">
        <v>3.3500000000000002E-2</v>
      </c>
      <c r="F8" s="30">
        <v>4.5600000000000002E-2</v>
      </c>
      <c r="G8" s="30"/>
      <c r="H8" s="10">
        <v>6.49</v>
      </c>
      <c r="I8" s="42">
        <v>6.6699999999999995E-2</v>
      </c>
      <c r="J8" s="28">
        <v>6.1199999999999997E-2</v>
      </c>
      <c r="K8" s="28">
        <v>6.8400000000000002E-2</v>
      </c>
      <c r="L8" s="28">
        <v>5.1400000000000001E-2</v>
      </c>
      <c r="M8" s="28">
        <v>5.8299999999999998E-2</v>
      </c>
      <c r="N8" s="28">
        <v>6.2300000000000001E-2</v>
      </c>
      <c r="O8" s="28">
        <v>6.1699999999999998E-2</v>
      </c>
      <c r="P8" s="28">
        <v>6.7500000000000004E-2</v>
      </c>
      <c r="Q8" s="28">
        <v>5.4300000000000001E-2</v>
      </c>
      <c r="R8" s="28">
        <v>5.9200000000000003E-2</v>
      </c>
      <c r="S8" s="28">
        <v>5.2900000000000003E-2</v>
      </c>
      <c r="T8" s="28">
        <v>7.3200000000000001E-2</v>
      </c>
      <c r="U8" s="28">
        <v>7.0999999999999994E-2</v>
      </c>
      <c r="V8" s="28">
        <v>6.1600000000000002E-2</v>
      </c>
      <c r="W8" s="28">
        <v>4.8300000000000003E-2</v>
      </c>
      <c r="X8" s="28">
        <v>3.27E-2</v>
      </c>
      <c r="Y8" s="28">
        <v>6.0699999999999997E-2</v>
      </c>
      <c r="Z8" s="28">
        <v>5.7700000000000001E-2</v>
      </c>
      <c r="AA8" s="28">
        <v>4.4900000000000002E-2</v>
      </c>
      <c r="AB8" s="28">
        <v>5.8900000000000001E-2</v>
      </c>
      <c r="AC8" s="28"/>
      <c r="AD8" s="28"/>
      <c r="AE8" s="28">
        <v>5.3100000000000001E-2</v>
      </c>
      <c r="AF8" s="28">
        <v>5.0299999999999997E-2</v>
      </c>
      <c r="AG8" s="28"/>
      <c r="AH8" s="28"/>
      <c r="AI8" s="28">
        <v>5.0999999999999997E-2</v>
      </c>
      <c r="AJ8" s="28">
        <v>6.6100000000000006E-2</v>
      </c>
      <c r="AK8" s="28"/>
      <c r="AL8" s="28">
        <v>5.9200000000000003E-2</v>
      </c>
      <c r="AM8" s="28"/>
      <c r="AN8" s="28"/>
      <c r="AO8" s="28">
        <v>6.4000000000000001E-2</v>
      </c>
    </row>
    <row r="9" spans="2:41" ht="15.75" thickBot="1" x14ac:dyDescent="0.3">
      <c r="B9" s="3" t="s">
        <v>7</v>
      </c>
      <c r="C9" s="29">
        <v>4771</v>
      </c>
      <c r="D9" s="29">
        <v>4893</v>
      </c>
      <c r="E9" s="29">
        <v>4877</v>
      </c>
      <c r="F9" s="29">
        <v>4928</v>
      </c>
      <c r="G9" s="29">
        <v>4910</v>
      </c>
      <c r="H9" s="27">
        <v>4954</v>
      </c>
      <c r="I9" s="40">
        <v>4904</v>
      </c>
      <c r="J9" s="10">
        <v>4930</v>
      </c>
      <c r="K9" s="10">
        <v>4999</v>
      </c>
      <c r="L9" s="10">
        <v>4928</v>
      </c>
      <c r="M9" s="10">
        <v>4867</v>
      </c>
      <c r="N9" s="10">
        <v>4890</v>
      </c>
      <c r="O9" s="10">
        <v>4950</v>
      </c>
      <c r="P9" s="10">
        <v>4926</v>
      </c>
      <c r="Q9" s="10">
        <v>4963</v>
      </c>
      <c r="R9" s="10">
        <v>4981</v>
      </c>
      <c r="S9" s="10">
        <v>5006</v>
      </c>
      <c r="T9" s="10">
        <v>4943</v>
      </c>
      <c r="U9" s="10">
        <v>4834</v>
      </c>
      <c r="V9" s="10">
        <v>4843</v>
      </c>
      <c r="W9" s="10">
        <v>4901</v>
      </c>
      <c r="X9" s="10">
        <v>4910</v>
      </c>
      <c r="Y9" s="10">
        <v>4917</v>
      </c>
      <c r="Z9" s="10">
        <v>4911</v>
      </c>
      <c r="AA9" s="10">
        <v>5026</v>
      </c>
      <c r="AB9" s="10">
        <v>5015</v>
      </c>
      <c r="AC9" s="10">
        <v>4905</v>
      </c>
      <c r="AD9" s="10">
        <v>4959</v>
      </c>
      <c r="AE9" s="10">
        <v>5006</v>
      </c>
      <c r="AF9" s="10">
        <v>5006</v>
      </c>
      <c r="AG9" s="10">
        <v>5006</v>
      </c>
      <c r="AH9" s="10">
        <v>4938</v>
      </c>
      <c r="AI9" s="10">
        <v>5001</v>
      </c>
      <c r="AJ9" s="10">
        <v>4867</v>
      </c>
      <c r="AK9" s="10">
        <v>4998</v>
      </c>
      <c r="AL9" s="10">
        <v>5001</v>
      </c>
      <c r="AM9" s="10">
        <v>4935</v>
      </c>
      <c r="AN9" s="10">
        <v>4875</v>
      </c>
      <c r="AO9" s="10">
        <v>4876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-0.249977111117893"/>
  </sheetPr>
  <dimension ref="B1:AG9"/>
  <sheetViews>
    <sheetView workbookViewId="0">
      <selection activeCell="B1" sqref="B1:C1048576"/>
    </sheetView>
  </sheetViews>
  <sheetFormatPr defaultRowHeight="15" x14ac:dyDescent="0.25"/>
  <cols>
    <col min="2" max="2" width="28.5703125" customWidth="1"/>
    <col min="3" max="33" width="11" customWidth="1"/>
  </cols>
  <sheetData>
    <row r="1" spans="2:33" ht="15.75" thickBot="1" x14ac:dyDescent="0.3"/>
    <row r="2" spans="2:33" ht="15.75" thickBot="1" x14ac:dyDescent="0.3">
      <c r="C2" s="10" t="s">
        <v>190</v>
      </c>
      <c r="D2" s="10" t="s">
        <v>191</v>
      </c>
      <c r="E2" s="10" t="s">
        <v>192</v>
      </c>
      <c r="F2" s="10" t="s">
        <v>193</v>
      </c>
      <c r="G2" s="10" t="s">
        <v>194</v>
      </c>
      <c r="H2" s="10" t="s">
        <v>195</v>
      </c>
      <c r="I2" s="10" t="s">
        <v>196</v>
      </c>
      <c r="J2" s="10" t="s">
        <v>197</v>
      </c>
      <c r="K2" s="10" t="s">
        <v>198</v>
      </c>
      <c r="L2" s="10" t="s">
        <v>199</v>
      </c>
      <c r="M2" s="10" t="s">
        <v>200</v>
      </c>
      <c r="N2" s="10" t="s">
        <v>201</v>
      </c>
      <c r="O2" s="10" t="s">
        <v>202</v>
      </c>
      <c r="P2" s="10" t="s">
        <v>203</v>
      </c>
      <c r="Q2" s="10" t="s">
        <v>204</v>
      </c>
      <c r="R2" s="10" t="s">
        <v>205</v>
      </c>
      <c r="S2" s="10" t="s">
        <v>206</v>
      </c>
      <c r="T2" s="10" t="s">
        <v>207</v>
      </c>
      <c r="U2" s="10" t="s">
        <v>208</v>
      </c>
      <c r="V2" s="10" t="s">
        <v>209</v>
      </c>
      <c r="W2" s="10" t="s">
        <v>210</v>
      </c>
      <c r="X2" s="10" t="s">
        <v>211</v>
      </c>
      <c r="Y2" s="10" t="s">
        <v>212</v>
      </c>
      <c r="Z2" s="10" t="s">
        <v>213</v>
      </c>
      <c r="AA2" s="10" t="s">
        <v>214</v>
      </c>
      <c r="AB2" s="10" t="s">
        <v>215</v>
      </c>
      <c r="AC2" s="10" t="s">
        <v>216</v>
      </c>
      <c r="AD2" s="10" t="s">
        <v>217</v>
      </c>
      <c r="AE2" s="10" t="s">
        <v>218</v>
      </c>
      <c r="AF2" s="10" t="s">
        <v>219</v>
      </c>
      <c r="AG2" s="10" t="s">
        <v>220</v>
      </c>
    </row>
    <row r="3" spans="2:33" ht="16.5" thickTop="1" thickBot="1" x14ac:dyDescent="0.3">
      <c r="B3" s="2" t="s">
        <v>1</v>
      </c>
      <c r="C3" s="28">
        <v>0.13420000000000001</v>
      </c>
      <c r="D3" s="28">
        <v>0.13239999999999999</v>
      </c>
      <c r="E3" s="28">
        <v>0.1234</v>
      </c>
      <c r="F3" s="28">
        <v>0.1229</v>
      </c>
      <c r="G3" s="28">
        <v>0.13009999999999999</v>
      </c>
      <c r="H3" s="28">
        <v>0.128</v>
      </c>
      <c r="I3" s="28">
        <v>0.1305</v>
      </c>
      <c r="J3" s="28">
        <v>0.1245</v>
      </c>
      <c r="K3" s="28">
        <v>0.13089999999999999</v>
      </c>
      <c r="L3" s="28">
        <v>0.14510000000000001</v>
      </c>
      <c r="M3" s="28">
        <v>0.15090000000000001</v>
      </c>
      <c r="N3" s="28">
        <v>0.13869999999999999</v>
      </c>
      <c r="O3" s="28">
        <v>0.1573</v>
      </c>
      <c r="P3" s="28">
        <v>0.15559999999999999</v>
      </c>
      <c r="Q3" s="28">
        <v>0.1358</v>
      </c>
      <c r="R3" s="28">
        <v>0.14499999999999999</v>
      </c>
      <c r="S3" s="28">
        <v>0.15</v>
      </c>
      <c r="T3" s="28">
        <v>0.15310000000000001</v>
      </c>
      <c r="U3" s="28">
        <v>0.15310000000000001</v>
      </c>
      <c r="V3" s="28">
        <v>0.13669999999999999</v>
      </c>
      <c r="W3" s="28">
        <v>0.1234</v>
      </c>
      <c r="X3" s="28">
        <v>0.11700000000000001</v>
      </c>
      <c r="Y3" s="28">
        <v>0.14169999999999999</v>
      </c>
      <c r="Z3" s="28">
        <v>0.1328</v>
      </c>
      <c r="AA3" s="28">
        <v>0.13500000000000001</v>
      </c>
      <c r="AB3" s="28">
        <v>0.13639999999999999</v>
      </c>
      <c r="AC3" s="28">
        <v>0.13819999999999999</v>
      </c>
      <c r="AD3" s="28">
        <v>0.1409</v>
      </c>
      <c r="AE3" s="28">
        <v>0.1348</v>
      </c>
      <c r="AF3" s="28">
        <v>0.13250000000000001</v>
      </c>
      <c r="AG3" s="28">
        <v>0.127</v>
      </c>
    </row>
    <row r="4" spans="2:33" ht="16.5" thickTop="1" thickBot="1" x14ac:dyDescent="0.3">
      <c r="B4" s="3" t="s">
        <v>2</v>
      </c>
      <c r="C4" s="28">
        <v>5.7500000000000002E-2</v>
      </c>
      <c r="D4" s="28">
        <v>5.0999999999999997E-2</v>
      </c>
      <c r="E4" s="28">
        <v>6.6100000000000006E-2</v>
      </c>
      <c r="F4" s="28">
        <v>6.88E-2</v>
      </c>
      <c r="G4" s="28">
        <v>5.9200000000000003E-2</v>
      </c>
      <c r="H4" s="28">
        <v>6.2799999999999995E-2</v>
      </c>
      <c r="I4" s="28">
        <v>4.7699999999999999E-2</v>
      </c>
      <c r="J4" s="28">
        <v>6.4000000000000001E-2</v>
      </c>
      <c r="K4" s="28">
        <v>4.2999999999999997E-2</v>
      </c>
      <c r="L4" s="28">
        <v>2.2100000000000002E-2</v>
      </c>
      <c r="M4" s="28">
        <v>3.56E-2</v>
      </c>
      <c r="N4" s="28">
        <v>4.4200000000000003E-2</v>
      </c>
      <c r="O4" s="28">
        <v>4.4600000000000001E-2</v>
      </c>
      <c r="P4" s="28">
        <v>3.5900000000000001E-2</v>
      </c>
      <c r="Q4" s="28">
        <v>4.2599999999999999E-2</v>
      </c>
      <c r="R4" s="28">
        <v>4.1700000000000001E-2</v>
      </c>
      <c r="S4" s="28">
        <v>5.6800000000000003E-2</v>
      </c>
      <c r="T4" s="28">
        <v>4.07E-2</v>
      </c>
      <c r="U4" s="28">
        <v>5.21E-2</v>
      </c>
      <c r="V4" s="28">
        <v>4.4699999999999997E-2</v>
      </c>
      <c r="W4" s="28">
        <v>5.9900000000000002E-2</v>
      </c>
      <c r="X4" s="28">
        <v>7.2499999999999995E-2</v>
      </c>
      <c r="Y4" s="28">
        <v>3.9800000000000002E-2</v>
      </c>
      <c r="Z4" s="28">
        <v>4.8000000000000001E-2</v>
      </c>
      <c r="AA4" s="28">
        <v>3.7400000000000003E-2</v>
      </c>
      <c r="AB4" s="28">
        <v>3.9699999999999999E-2</v>
      </c>
      <c r="AC4" s="28">
        <v>4.2200000000000001E-2</v>
      </c>
      <c r="AD4" s="28">
        <v>3.9100000000000003E-2</v>
      </c>
      <c r="AE4" s="28">
        <v>3.9600000000000003E-2</v>
      </c>
      <c r="AF4" s="28">
        <v>4.07E-2</v>
      </c>
      <c r="AG4" s="28">
        <v>4.4699999999999997E-2</v>
      </c>
    </row>
    <row r="5" spans="2:33" ht="15.75" thickBot="1" x14ac:dyDescent="0.3">
      <c r="B5" s="3" t="s">
        <v>3</v>
      </c>
      <c r="C5" s="28">
        <v>0.20169999999999999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>
        <v>0.15459999999999999</v>
      </c>
      <c r="O5" s="28"/>
      <c r="P5" s="28"/>
      <c r="Q5" s="28"/>
      <c r="R5" s="28"/>
      <c r="S5" s="28"/>
      <c r="T5" s="28">
        <v>0.16669999999999999</v>
      </c>
      <c r="U5" s="28"/>
      <c r="V5" s="28"/>
      <c r="W5" s="28"/>
      <c r="X5" s="28"/>
      <c r="Y5" s="28"/>
      <c r="Z5" s="28"/>
      <c r="AA5" s="28"/>
      <c r="AB5" s="28"/>
      <c r="AC5" s="28"/>
      <c r="AD5" s="28"/>
      <c r="AE5" s="28">
        <v>0.1348</v>
      </c>
      <c r="AF5" s="28">
        <v>0.13250000000000001</v>
      </c>
      <c r="AG5" s="28"/>
    </row>
    <row r="6" spans="2:33" ht="30.75" thickBot="1" x14ac:dyDescent="0.3">
      <c r="B6" s="3" t="s">
        <v>4</v>
      </c>
      <c r="C6" s="28">
        <v>4.4999999999999998E-2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>
        <v>4.4299999999999999E-2</v>
      </c>
      <c r="O6" s="28"/>
      <c r="P6" s="28"/>
      <c r="Q6" s="28"/>
      <c r="R6" s="28"/>
      <c r="S6" s="28"/>
      <c r="T6" s="28">
        <v>5.67E-2</v>
      </c>
      <c r="U6" s="28"/>
      <c r="V6" s="28"/>
      <c r="W6" s="28"/>
      <c r="X6" s="28"/>
      <c r="Y6" s="28"/>
      <c r="Z6" s="28"/>
      <c r="AA6" s="28"/>
      <c r="AB6" s="28"/>
      <c r="AC6" s="28"/>
      <c r="AD6" s="28"/>
      <c r="AE6" s="28">
        <v>3.9600000000000003E-2</v>
      </c>
      <c r="AF6" s="28">
        <v>4.07E-2</v>
      </c>
      <c r="AG6" s="28"/>
    </row>
    <row r="7" spans="2:33" ht="15.75" thickBot="1" x14ac:dyDescent="0.3">
      <c r="B7" s="3" t="s">
        <v>5</v>
      </c>
      <c r="C7" s="28"/>
      <c r="D7" s="28">
        <v>0.13239999999999999</v>
      </c>
      <c r="E7" s="28">
        <v>0.1234</v>
      </c>
      <c r="F7" s="28"/>
      <c r="G7" s="28">
        <v>0.13009999999999999</v>
      </c>
      <c r="H7" s="28"/>
      <c r="I7" s="28"/>
      <c r="J7" s="28">
        <v>0.1245</v>
      </c>
      <c r="K7" s="28">
        <v>0.13089999999999999</v>
      </c>
      <c r="L7" s="28">
        <v>0.14510000000000001</v>
      </c>
      <c r="M7" s="28">
        <v>0.15090000000000001</v>
      </c>
      <c r="N7" s="28">
        <v>0.13869999999999999</v>
      </c>
      <c r="O7" s="28">
        <v>0.1573</v>
      </c>
      <c r="P7" s="28"/>
      <c r="Q7" s="28">
        <v>0.1358</v>
      </c>
      <c r="R7" s="28">
        <v>0.14499999999999999</v>
      </c>
      <c r="S7" s="28">
        <v>0.15</v>
      </c>
      <c r="T7" s="28"/>
      <c r="U7" s="28">
        <v>0.15310000000000001</v>
      </c>
      <c r="V7" s="28"/>
      <c r="W7" s="28">
        <v>0.1234</v>
      </c>
      <c r="X7" s="28"/>
      <c r="Y7" s="28">
        <v>0.14169999999999999</v>
      </c>
      <c r="Z7" s="28"/>
      <c r="AA7" s="28">
        <v>0.13500000000000001</v>
      </c>
      <c r="AB7" s="28">
        <v>0.13639999999999999</v>
      </c>
      <c r="AC7" s="28"/>
      <c r="AD7" s="28">
        <v>0.1409</v>
      </c>
      <c r="AE7" s="28">
        <v>0.1348</v>
      </c>
      <c r="AF7" s="28">
        <v>0.13250000000000001</v>
      </c>
      <c r="AG7" s="28">
        <v>0.127</v>
      </c>
    </row>
    <row r="8" spans="2:33" ht="30.75" thickBot="1" x14ac:dyDescent="0.3">
      <c r="B8" s="3" t="s">
        <v>6</v>
      </c>
      <c r="C8" s="28"/>
      <c r="D8" s="28">
        <v>5.0999999999999997E-2</v>
      </c>
      <c r="E8" s="28">
        <v>6.6100000000000006E-2</v>
      </c>
      <c r="F8" s="28"/>
      <c r="G8" s="28">
        <v>5.9200000000000003E-2</v>
      </c>
      <c r="H8" s="28"/>
      <c r="I8" s="28"/>
      <c r="J8" s="28">
        <v>6.4000000000000001E-2</v>
      </c>
      <c r="K8" s="28">
        <v>4.2999999999999997E-2</v>
      </c>
      <c r="L8" s="28">
        <v>2.2100000000000002E-2</v>
      </c>
      <c r="M8" s="28">
        <v>3.56E-2</v>
      </c>
      <c r="N8" s="28">
        <v>4.4200000000000003E-2</v>
      </c>
      <c r="O8" s="28">
        <v>4.4600000000000001E-2</v>
      </c>
      <c r="P8" s="28"/>
      <c r="Q8" s="28">
        <v>4.2599999999999999E-2</v>
      </c>
      <c r="R8" s="28">
        <v>4.1700000000000001E-2</v>
      </c>
      <c r="S8" s="28">
        <v>5.6800000000000003E-2</v>
      </c>
      <c r="T8" s="28"/>
      <c r="U8" s="28">
        <v>5.21E-2</v>
      </c>
      <c r="V8" s="28"/>
      <c r="W8" s="28">
        <v>5.9900000000000002E-2</v>
      </c>
      <c r="X8" s="28"/>
      <c r="Y8" s="28">
        <v>3.9800000000000002E-2</v>
      </c>
      <c r="Z8" s="28"/>
      <c r="AA8" s="28">
        <v>3.7400000000000003E-2</v>
      </c>
      <c r="AB8" s="28">
        <v>3.9699999999999999E-2</v>
      </c>
      <c r="AC8" s="28"/>
      <c r="AD8" s="28">
        <v>3.9100000000000003E-2</v>
      </c>
      <c r="AE8" s="28">
        <v>3.9600000000000003E-2</v>
      </c>
      <c r="AF8" s="28">
        <v>4.07E-2</v>
      </c>
      <c r="AG8" s="28">
        <v>4.4699999999999997E-2</v>
      </c>
    </row>
    <row r="9" spans="2:33" ht="15.75" thickBot="1" x14ac:dyDescent="0.3">
      <c r="B9" s="3" t="s">
        <v>7</v>
      </c>
      <c r="C9" s="10">
        <v>4938</v>
      </c>
      <c r="D9" s="10">
        <v>5001</v>
      </c>
      <c r="E9" s="10">
        <v>4867</v>
      </c>
      <c r="F9" s="10">
        <v>4998</v>
      </c>
      <c r="G9" s="10">
        <v>5001</v>
      </c>
      <c r="H9" s="10">
        <v>4935</v>
      </c>
      <c r="I9" s="10">
        <v>4875</v>
      </c>
      <c r="J9" s="10">
        <v>4876</v>
      </c>
      <c r="K9" s="10">
        <v>4816</v>
      </c>
      <c r="L9" s="10">
        <v>4809</v>
      </c>
      <c r="M9" s="10">
        <v>4887</v>
      </c>
      <c r="N9" s="10">
        <v>4781</v>
      </c>
      <c r="O9" s="10">
        <v>4870</v>
      </c>
      <c r="P9" s="10">
        <v>4913</v>
      </c>
      <c r="Q9" s="10">
        <v>4922</v>
      </c>
      <c r="R9" s="10">
        <v>4845</v>
      </c>
      <c r="S9" s="10">
        <v>4847</v>
      </c>
      <c r="T9" s="10">
        <v>4824</v>
      </c>
      <c r="U9" s="10">
        <v>4850</v>
      </c>
      <c r="V9" s="10">
        <v>4805</v>
      </c>
      <c r="W9" s="10">
        <v>4812</v>
      </c>
      <c r="X9" s="10">
        <v>4775</v>
      </c>
      <c r="Y9" s="10">
        <v>4814</v>
      </c>
      <c r="Z9" s="10">
        <v>4852</v>
      </c>
      <c r="AA9" s="10">
        <v>5101</v>
      </c>
      <c r="AB9" s="10">
        <v>5012</v>
      </c>
      <c r="AC9" s="10">
        <v>5099</v>
      </c>
      <c r="AD9" s="10">
        <v>5097</v>
      </c>
      <c r="AE9" s="10">
        <v>5108</v>
      </c>
      <c r="AF9" s="10">
        <v>5050</v>
      </c>
      <c r="AG9" s="10">
        <v>5108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F9"/>
  <sheetViews>
    <sheetView topLeftCell="O1" workbookViewId="0">
      <selection activeCell="AD12" sqref="AD12"/>
    </sheetView>
  </sheetViews>
  <sheetFormatPr defaultRowHeight="15" x14ac:dyDescent="0.25"/>
  <cols>
    <col min="2" max="2" width="28.5703125" customWidth="1"/>
    <col min="3" max="6" width="11" customWidth="1"/>
    <col min="7" max="8" width="9.5703125" customWidth="1"/>
    <col min="10" max="10" width="9.7109375" customWidth="1"/>
    <col min="11" max="11" width="9.5703125" customWidth="1"/>
  </cols>
  <sheetData>
    <row r="1" spans="2:32" ht="15.75" thickBot="1" x14ac:dyDescent="0.3"/>
    <row r="2" spans="2:32" ht="15.75" thickBot="1" x14ac:dyDescent="0.3">
      <c r="C2" s="10" t="s">
        <v>221</v>
      </c>
      <c r="D2" s="10" t="s">
        <v>222</v>
      </c>
      <c r="E2" s="10" t="s">
        <v>223</v>
      </c>
      <c r="F2" s="10" t="s">
        <v>224</v>
      </c>
      <c r="G2" s="10" t="s">
        <v>225</v>
      </c>
      <c r="H2" s="10" t="s">
        <v>226</v>
      </c>
      <c r="I2" s="10" t="s">
        <v>227</v>
      </c>
      <c r="J2" s="10" t="s">
        <v>228</v>
      </c>
      <c r="K2" s="43" t="s">
        <v>229</v>
      </c>
      <c r="L2" s="10" t="s">
        <v>230</v>
      </c>
      <c r="M2" s="41" t="s">
        <v>231</v>
      </c>
      <c r="N2" s="10" t="s">
        <v>232</v>
      </c>
      <c r="O2" s="10" t="s">
        <v>233</v>
      </c>
      <c r="P2" s="10" t="s">
        <v>234</v>
      </c>
      <c r="Q2" s="10" t="s">
        <v>235</v>
      </c>
      <c r="R2" s="10" t="s">
        <v>236</v>
      </c>
      <c r="S2" s="10" t="s">
        <v>237</v>
      </c>
      <c r="T2" s="41" t="s">
        <v>238</v>
      </c>
      <c r="U2" s="10" t="s">
        <v>239</v>
      </c>
      <c r="V2" s="10" t="s">
        <v>240</v>
      </c>
      <c r="W2" s="10" t="s">
        <v>241</v>
      </c>
      <c r="X2" s="10" t="s">
        <v>242</v>
      </c>
      <c r="Y2" s="10" t="s">
        <v>243</v>
      </c>
      <c r="Z2" s="10" t="s">
        <v>244</v>
      </c>
      <c r="AA2" s="41" t="s">
        <v>245</v>
      </c>
      <c r="AB2" s="10" t="s">
        <v>247</v>
      </c>
      <c r="AC2" s="10" t="s">
        <v>248</v>
      </c>
      <c r="AD2" s="10" t="s">
        <v>249</v>
      </c>
      <c r="AE2" s="10" t="s">
        <v>250</v>
      </c>
      <c r="AF2" s="10" t="s">
        <v>251</v>
      </c>
    </row>
    <row r="3" spans="2:32" ht="16.5" thickTop="1" thickBot="1" x14ac:dyDescent="0.3">
      <c r="B3" s="2" t="s">
        <v>1</v>
      </c>
      <c r="C3" s="28">
        <v>0.12239999999999999</v>
      </c>
      <c r="D3" s="28">
        <v>0.13339999999999999</v>
      </c>
      <c r="E3" s="28">
        <v>0.11840000000000001</v>
      </c>
      <c r="F3" s="28">
        <v>0.1164</v>
      </c>
      <c r="G3" s="10"/>
      <c r="H3" s="28">
        <v>0.1212</v>
      </c>
      <c r="I3" s="28">
        <v>0.124</v>
      </c>
      <c r="J3" s="28">
        <v>0.12189999999999999</v>
      </c>
      <c r="K3" s="28">
        <v>0.11650000000000001</v>
      </c>
      <c r="L3" s="28">
        <v>0.1295</v>
      </c>
      <c r="M3" s="42">
        <v>0.125</v>
      </c>
      <c r="N3" s="28">
        <v>0.1235</v>
      </c>
      <c r="O3" s="28">
        <v>0.1235</v>
      </c>
      <c r="P3" s="28">
        <v>0.11</v>
      </c>
      <c r="Q3" s="28">
        <v>0.1169</v>
      </c>
      <c r="R3" s="28">
        <v>0.1179</v>
      </c>
      <c r="S3" s="28">
        <v>0.1258</v>
      </c>
      <c r="T3" s="42">
        <v>0.12</v>
      </c>
      <c r="U3" s="28">
        <v>0.13100000000000001</v>
      </c>
      <c r="V3" s="28">
        <v>0.12809999999999999</v>
      </c>
      <c r="W3" s="28">
        <v>0.13059999999999999</v>
      </c>
      <c r="X3" s="28">
        <v>0.1201</v>
      </c>
      <c r="Y3" s="28">
        <v>0.13739999999999999</v>
      </c>
      <c r="Z3" s="45">
        <v>0.13569999999999999</v>
      </c>
      <c r="AA3" s="42">
        <v>0.125</v>
      </c>
      <c r="AB3" s="28">
        <v>0.1326</v>
      </c>
      <c r="AC3" s="28">
        <v>0.13370000000000001</v>
      </c>
      <c r="AD3" s="28">
        <v>0.12280000000000001</v>
      </c>
      <c r="AE3" s="28">
        <v>0.13769999999999999</v>
      </c>
      <c r="AF3" s="28">
        <v>0.12770000000000001</v>
      </c>
    </row>
    <row r="4" spans="2:32" ht="16.5" thickTop="1" thickBot="1" x14ac:dyDescent="0.3">
      <c r="B4" s="3" t="s">
        <v>2</v>
      </c>
      <c r="C4" s="28">
        <v>4.6300000000000001E-2</v>
      </c>
      <c r="D4" s="28">
        <v>2.4500000000000001E-2</v>
      </c>
      <c r="E4" s="28">
        <v>4.2200000000000001E-2</v>
      </c>
      <c r="F4" s="28">
        <v>5.1799999999999999E-2</v>
      </c>
      <c r="G4" s="10"/>
      <c r="H4" s="28">
        <v>4.82E-2</v>
      </c>
      <c r="I4" s="28">
        <v>4.8300000000000003E-2</v>
      </c>
      <c r="J4" s="28">
        <v>5.7799999999999997E-2</v>
      </c>
      <c r="K4" s="28">
        <v>5.62E-2</v>
      </c>
      <c r="L4" s="28">
        <v>5.0799999999999998E-2</v>
      </c>
      <c r="M4" s="42">
        <v>5.0200000000000002E-2</v>
      </c>
      <c r="N4" s="28">
        <v>4.9200000000000001E-2</v>
      </c>
      <c r="O4" s="28">
        <v>4.87E-2</v>
      </c>
      <c r="P4" s="28">
        <v>5.3900000000000003E-2</v>
      </c>
      <c r="Q4" s="28">
        <v>4.8800000000000003E-2</v>
      </c>
      <c r="R4" s="28">
        <v>4.4200000000000003E-2</v>
      </c>
      <c r="S4" s="28">
        <v>4.5199999999999997E-2</v>
      </c>
      <c r="T4" s="42">
        <v>5.3100000000000001E-2</v>
      </c>
      <c r="U4" s="28">
        <v>5.2299999999999999E-2</v>
      </c>
      <c r="V4" s="28">
        <v>4.1700000000000001E-2</v>
      </c>
      <c r="W4" s="28">
        <v>4.1200000000000001E-2</v>
      </c>
      <c r="X4" s="28">
        <v>4.7600000000000003E-2</v>
      </c>
      <c r="Y4" s="28">
        <v>4.7600000000000003E-2</v>
      </c>
      <c r="Z4" s="45">
        <v>4.19E-2</v>
      </c>
      <c r="AA4" s="42">
        <v>5.2600000000000001E-2</v>
      </c>
      <c r="AB4" s="28">
        <v>4.1099999999999998E-2</v>
      </c>
      <c r="AC4" s="28">
        <v>4.3799999999999999E-2</v>
      </c>
      <c r="AD4" s="28">
        <v>5.6500000000000002E-2</v>
      </c>
      <c r="AE4" s="28">
        <v>4.9299999999999997E-2</v>
      </c>
      <c r="AF4" s="28">
        <v>5.3699999999999998E-2</v>
      </c>
    </row>
    <row r="5" spans="2:32" ht="15.75" thickBot="1" x14ac:dyDescent="0.3">
      <c r="B5" s="3" t="s">
        <v>3</v>
      </c>
      <c r="C5" s="28"/>
      <c r="D5" s="28"/>
      <c r="E5" s="28"/>
      <c r="F5" s="28"/>
      <c r="G5" s="28">
        <v>0.11600000000000001</v>
      </c>
      <c r="H5" s="28"/>
      <c r="I5" s="10"/>
      <c r="J5" s="10"/>
      <c r="K5" s="10"/>
      <c r="L5" s="10"/>
      <c r="M5" s="42">
        <v>0.125</v>
      </c>
      <c r="N5" s="10"/>
      <c r="O5" s="10"/>
      <c r="P5" s="28">
        <v>0.12</v>
      </c>
      <c r="Q5" s="10"/>
      <c r="R5" s="28">
        <v>0.1179</v>
      </c>
      <c r="S5" s="28">
        <v>0.11</v>
      </c>
      <c r="T5" s="42">
        <v>0.17330000000000001</v>
      </c>
      <c r="U5" s="28">
        <v>0.13100000000000001</v>
      </c>
      <c r="V5" s="10"/>
      <c r="W5" s="10"/>
      <c r="X5" s="10"/>
      <c r="Y5" s="10"/>
      <c r="Z5" s="44"/>
      <c r="AA5" s="41"/>
      <c r="AB5" s="10"/>
      <c r="AC5" s="10"/>
      <c r="AD5" s="10"/>
      <c r="AE5" s="10">
        <v>13.77</v>
      </c>
      <c r="AF5" s="10">
        <v>12.77</v>
      </c>
    </row>
    <row r="6" spans="2:32" ht="30.75" thickBot="1" x14ac:dyDescent="0.3">
      <c r="B6" s="3" t="s">
        <v>4</v>
      </c>
      <c r="C6" s="28"/>
      <c r="D6" s="28"/>
      <c r="E6" s="28"/>
      <c r="F6" s="28"/>
      <c r="G6" s="28">
        <v>5.4600000000000003E-2</v>
      </c>
      <c r="H6" s="28"/>
      <c r="I6" s="10"/>
      <c r="J6" s="10"/>
      <c r="K6" s="10"/>
      <c r="L6" s="10"/>
      <c r="M6" s="42">
        <v>5.0200000000000002E-2</v>
      </c>
      <c r="N6" s="10"/>
      <c r="O6" s="10"/>
      <c r="P6" s="28">
        <v>0.08</v>
      </c>
      <c r="Q6" s="10"/>
      <c r="R6" s="28">
        <v>4.4200000000000003E-2</v>
      </c>
      <c r="S6" s="28">
        <v>4.6699999999999998E-2</v>
      </c>
      <c r="T6" s="42">
        <v>5.5599999999999997E-2</v>
      </c>
      <c r="U6" s="28">
        <v>5.2299999999999999E-2</v>
      </c>
      <c r="V6" s="10"/>
      <c r="W6" s="10"/>
      <c r="X6" s="10"/>
      <c r="Y6" s="10"/>
      <c r="Z6" s="44"/>
      <c r="AA6" s="41"/>
      <c r="AB6" s="10"/>
      <c r="AC6" s="10"/>
      <c r="AD6" s="10"/>
      <c r="AE6" s="10">
        <v>4.93</v>
      </c>
      <c r="AF6" s="10">
        <v>5.37</v>
      </c>
    </row>
    <row r="7" spans="2:32" ht="15.75" thickBot="1" x14ac:dyDescent="0.3">
      <c r="B7" s="3" t="s">
        <v>5</v>
      </c>
      <c r="C7" s="28">
        <v>0.12239999999999999</v>
      </c>
      <c r="D7" s="28">
        <v>0.13339999999999999</v>
      </c>
      <c r="E7" s="28"/>
      <c r="F7" s="28">
        <v>0.1164</v>
      </c>
      <c r="G7" s="28">
        <v>0.11600000000000001</v>
      </c>
      <c r="H7" s="28">
        <v>0.1212</v>
      </c>
      <c r="I7" s="10"/>
      <c r="J7" s="28">
        <v>0.12189999999999999</v>
      </c>
      <c r="K7" s="28">
        <v>0.11650000000000001</v>
      </c>
      <c r="L7" s="10"/>
      <c r="M7" s="42">
        <v>0.125</v>
      </c>
      <c r="N7" s="28">
        <v>0.1235</v>
      </c>
      <c r="O7" s="28">
        <v>0.1235</v>
      </c>
      <c r="P7" s="10"/>
      <c r="Q7" s="28">
        <v>0.1169</v>
      </c>
      <c r="R7" s="10"/>
      <c r="S7" s="28">
        <v>0.18</v>
      </c>
      <c r="T7" s="42">
        <v>0.1222</v>
      </c>
      <c r="U7" s="10"/>
      <c r="V7" s="10"/>
      <c r="W7" s="10"/>
      <c r="X7" s="10"/>
      <c r="Y7" s="10"/>
      <c r="Z7" s="45">
        <v>0.1333</v>
      </c>
      <c r="AA7" s="42">
        <v>0.12670000000000001</v>
      </c>
      <c r="AB7" s="10"/>
      <c r="AC7" s="28">
        <v>0.13370000000000001</v>
      </c>
      <c r="AD7" s="10"/>
      <c r="AE7" s="10">
        <v>13.77</v>
      </c>
      <c r="AF7" s="10">
        <v>12.77</v>
      </c>
    </row>
    <row r="8" spans="2:32" ht="30.75" thickBot="1" x14ac:dyDescent="0.3">
      <c r="B8" s="3" t="s">
        <v>6</v>
      </c>
      <c r="C8" s="28">
        <v>4.6300000000000001E-2</v>
      </c>
      <c r="D8" s="28">
        <v>2.4500000000000001E-2</v>
      </c>
      <c r="E8" s="28"/>
      <c r="F8" s="28">
        <v>5.1799999999999999E-2</v>
      </c>
      <c r="G8" s="28">
        <v>5.4600000000000003E-2</v>
      </c>
      <c r="H8" s="28">
        <v>4.82E-2</v>
      </c>
      <c r="I8" s="10"/>
      <c r="J8" s="28">
        <v>5.7799999999999997E-2</v>
      </c>
      <c r="K8" s="28">
        <v>5.62E-2</v>
      </c>
      <c r="L8" s="10"/>
      <c r="M8" s="42">
        <v>5.0200000000000002E-2</v>
      </c>
      <c r="N8" s="28">
        <v>4.9200000000000001E-2</v>
      </c>
      <c r="O8" s="28">
        <v>4.87E-2</v>
      </c>
      <c r="P8" s="10"/>
      <c r="Q8" s="28">
        <v>4.8800000000000003E-2</v>
      </c>
      <c r="R8" s="10"/>
      <c r="S8" s="28">
        <v>4.3999999999999997E-2</v>
      </c>
      <c r="T8" s="42">
        <v>5.33E-2</v>
      </c>
      <c r="U8" s="10"/>
      <c r="V8" s="10"/>
      <c r="W8" s="10"/>
      <c r="X8" s="10"/>
      <c r="Y8" s="10"/>
      <c r="Z8" s="44" t="s">
        <v>246</v>
      </c>
      <c r="AA8" s="42">
        <v>5.33E-2</v>
      </c>
      <c r="AB8" s="10"/>
      <c r="AC8" s="28">
        <v>4.3799999999999999E-2</v>
      </c>
      <c r="AD8" s="10"/>
      <c r="AE8" s="10">
        <v>4.93</v>
      </c>
      <c r="AF8" s="10">
        <v>5.37</v>
      </c>
    </row>
    <row r="9" spans="2:32" ht="15.75" thickBot="1" x14ac:dyDescent="0.3">
      <c r="B9" s="3" t="s">
        <v>7</v>
      </c>
      <c r="C9" s="10">
        <v>5011</v>
      </c>
      <c r="D9" s="10">
        <v>5085</v>
      </c>
      <c r="E9" s="10">
        <v>5099</v>
      </c>
      <c r="F9" s="10">
        <v>5050</v>
      </c>
      <c r="G9" s="10">
        <v>4949</v>
      </c>
      <c r="H9" s="10">
        <v>4938</v>
      </c>
      <c r="I9" s="10">
        <v>4956</v>
      </c>
      <c r="J9" s="27">
        <v>4951</v>
      </c>
      <c r="K9" s="27">
        <v>4987</v>
      </c>
      <c r="L9" s="27">
        <v>5064</v>
      </c>
      <c r="M9" s="40">
        <v>5011</v>
      </c>
      <c r="N9" s="10">
        <v>4989</v>
      </c>
      <c r="O9" s="10">
        <v>4928</v>
      </c>
      <c r="P9" s="27">
        <v>4911</v>
      </c>
      <c r="Q9" s="27">
        <v>4954</v>
      </c>
      <c r="R9" s="10">
        <v>4933</v>
      </c>
      <c r="S9" s="10">
        <v>4989</v>
      </c>
      <c r="T9" s="40">
        <v>4952</v>
      </c>
      <c r="U9" s="27">
        <v>5025</v>
      </c>
      <c r="V9" s="27">
        <v>4968</v>
      </c>
      <c r="W9" s="27">
        <v>4986</v>
      </c>
      <c r="X9" s="27">
        <v>4929</v>
      </c>
      <c r="Y9" s="27">
        <v>4934</v>
      </c>
      <c r="Z9" s="46">
        <v>4986</v>
      </c>
      <c r="AA9" s="40">
        <v>4879</v>
      </c>
      <c r="AB9" s="27">
        <v>4998</v>
      </c>
      <c r="AC9" s="10">
        <v>5008</v>
      </c>
      <c r="AD9" s="27">
        <v>5005</v>
      </c>
      <c r="AE9" s="27">
        <v>5102</v>
      </c>
      <c r="AF9" s="27">
        <v>5012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AG9"/>
  <sheetViews>
    <sheetView topLeftCell="X1" workbookViewId="0">
      <selection activeCell="AJ10" sqref="AJ10"/>
    </sheetView>
  </sheetViews>
  <sheetFormatPr defaultRowHeight="15" x14ac:dyDescent="0.25"/>
  <cols>
    <col min="2" max="2" width="28.5703125" customWidth="1"/>
    <col min="27" max="33" width="10.5703125" customWidth="1"/>
  </cols>
  <sheetData>
    <row r="1" spans="2:33" ht="15.75" thickBot="1" x14ac:dyDescent="0.3"/>
    <row r="2" spans="2:33" ht="15.75" thickBot="1" x14ac:dyDescent="0.3">
      <c r="C2" s="10" t="s">
        <v>252</v>
      </c>
      <c r="D2" s="10" t="s">
        <v>253</v>
      </c>
      <c r="E2" s="10" t="s">
        <v>254</v>
      </c>
      <c r="F2" s="29" t="s">
        <v>255</v>
      </c>
      <c r="G2" s="47" t="s">
        <v>256</v>
      </c>
      <c r="H2" s="48" t="s">
        <v>257</v>
      </c>
      <c r="I2" s="49" t="s">
        <v>258</v>
      </c>
      <c r="J2" s="49" t="s">
        <v>259</v>
      </c>
      <c r="K2" s="49" t="s">
        <v>259</v>
      </c>
      <c r="L2" s="49" t="s">
        <v>261</v>
      </c>
      <c r="M2" s="49" t="s">
        <v>260</v>
      </c>
      <c r="N2" s="49" t="s">
        <v>262</v>
      </c>
      <c r="O2" s="49" t="s">
        <v>263</v>
      </c>
      <c r="P2" s="49" t="s">
        <v>264</v>
      </c>
      <c r="Q2" s="49" t="s">
        <v>266</v>
      </c>
      <c r="R2" s="49" t="s">
        <v>265</v>
      </c>
      <c r="S2" s="49" t="s">
        <v>267</v>
      </c>
      <c r="T2" s="49" t="s">
        <v>268</v>
      </c>
      <c r="U2" s="49" t="s">
        <v>269</v>
      </c>
      <c r="V2" s="49" t="s">
        <v>270</v>
      </c>
      <c r="W2" s="49" t="s">
        <v>271</v>
      </c>
      <c r="X2" s="49" t="s">
        <v>272</v>
      </c>
      <c r="Y2" s="49" t="s">
        <v>273</v>
      </c>
      <c r="Z2" s="49" t="s">
        <v>274</v>
      </c>
      <c r="AA2" s="49" t="s">
        <v>275</v>
      </c>
      <c r="AB2" s="49" t="s">
        <v>276</v>
      </c>
      <c r="AC2" s="49" t="s">
        <v>277</v>
      </c>
      <c r="AD2" s="49" t="s">
        <v>278</v>
      </c>
      <c r="AE2" s="49" t="s">
        <v>279</v>
      </c>
      <c r="AF2" s="49" t="s">
        <v>280</v>
      </c>
      <c r="AG2" s="49" t="s">
        <v>281</v>
      </c>
    </row>
    <row r="3" spans="2:33" ht="16.5" thickTop="1" thickBot="1" x14ac:dyDescent="0.3">
      <c r="B3" s="2" t="s">
        <v>1</v>
      </c>
      <c r="C3" s="28">
        <v>0.1515</v>
      </c>
      <c r="D3" s="28">
        <v>0.14799999999999999</v>
      </c>
      <c r="E3" s="28">
        <v>0.1696</v>
      </c>
      <c r="F3" s="30">
        <v>0.14269999999999999</v>
      </c>
      <c r="G3" s="55">
        <v>0.1638</v>
      </c>
      <c r="H3" s="56">
        <v>0.17599999999999999</v>
      </c>
      <c r="I3" s="57">
        <v>0.18240000000000001</v>
      </c>
      <c r="J3" s="57">
        <v>0.1552</v>
      </c>
      <c r="K3" s="57">
        <v>0.17979999999999999</v>
      </c>
      <c r="L3" s="57">
        <v>0.16719999999999999</v>
      </c>
      <c r="M3" s="57">
        <v>0.15570000000000001</v>
      </c>
      <c r="N3" s="57">
        <v>0.15989999999999999</v>
      </c>
      <c r="O3" s="57">
        <v>0.14549999999999999</v>
      </c>
      <c r="P3" s="57">
        <v>0.151</v>
      </c>
      <c r="Q3" s="57">
        <v>0.16950000000000001</v>
      </c>
      <c r="R3" s="57">
        <v>0.1628</v>
      </c>
      <c r="S3" s="57">
        <v>0.1593</v>
      </c>
      <c r="T3" s="57">
        <v>0.1384</v>
      </c>
      <c r="U3" s="57">
        <v>0.14660000000000001</v>
      </c>
      <c r="V3" s="57">
        <v>0.14299999999999999</v>
      </c>
      <c r="W3" s="57">
        <v>0.1593</v>
      </c>
      <c r="X3" s="57">
        <v>0.13450000000000001</v>
      </c>
      <c r="Y3" s="57">
        <v>0.1234</v>
      </c>
      <c r="Z3" s="57">
        <v>0.13200000000000001</v>
      </c>
      <c r="AA3" s="57">
        <v>0.12330000000000001</v>
      </c>
      <c r="AB3" s="57">
        <v>0.1168</v>
      </c>
      <c r="AC3" s="57">
        <v>0.12620000000000001</v>
      </c>
      <c r="AD3" s="57">
        <v>0.12839999999999999</v>
      </c>
      <c r="AE3" s="57">
        <v>0.1318</v>
      </c>
      <c r="AF3" s="57">
        <v>0.12330000000000001</v>
      </c>
      <c r="AG3" s="57">
        <v>0.12180000000000001</v>
      </c>
    </row>
    <row r="4" spans="2:33" ht="16.5" thickTop="1" thickBot="1" x14ac:dyDescent="0.3">
      <c r="B4" s="3" t="s">
        <v>2</v>
      </c>
      <c r="C4" s="28">
        <v>3.9E-2</v>
      </c>
      <c r="D4" s="28">
        <v>4.8099999999999997E-2</v>
      </c>
      <c r="E4" s="28">
        <v>3.5900000000000001E-2</v>
      </c>
      <c r="F4" s="30">
        <v>6.4399999999999999E-2</v>
      </c>
      <c r="G4" s="55">
        <v>3.9800000000000002E-2</v>
      </c>
      <c r="H4" s="56">
        <v>3.2899999999999999E-2</v>
      </c>
      <c r="I4" s="57">
        <v>2.3800000000000002E-2</v>
      </c>
      <c r="J4" s="57">
        <v>4.7500000000000001E-2</v>
      </c>
      <c r="K4" s="57">
        <v>3.8399999999999997E-2</v>
      </c>
      <c r="L4" s="57">
        <v>4.2700000000000002E-2</v>
      </c>
      <c r="M4" s="57">
        <v>5.21E-2</v>
      </c>
      <c r="N4" s="57">
        <v>4.6899999999999997E-2</v>
      </c>
      <c r="O4" s="57">
        <v>6.1699999999999998E-2</v>
      </c>
      <c r="P4" s="57">
        <v>5.8999999999999997E-2</v>
      </c>
      <c r="Q4" s="57">
        <v>4.1700000000000001E-2</v>
      </c>
      <c r="R4" s="57">
        <v>4.6600000000000003E-2</v>
      </c>
      <c r="S4" s="57">
        <v>4.7300000000000002E-2</v>
      </c>
      <c r="T4" s="57">
        <v>3.8100000000000002E-2</v>
      </c>
      <c r="U4" s="57">
        <v>4.2700000000000002E-2</v>
      </c>
      <c r="V4" s="57">
        <v>5.8000000000000003E-2</v>
      </c>
      <c r="W4" s="57">
        <v>4.0599999999999997E-2</v>
      </c>
      <c r="X4" s="57">
        <v>3.4799999999999998E-2</v>
      </c>
      <c r="Y4" s="57">
        <v>4.3900000000000002E-2</v>
      </c>
      <c r="Z4" s="57">
        <v>3.61E-2</v>
      </c>
      <c r="AA4" s="57">
        <v>4.3400000000000001E-2</v>
      </c>
      <c r="AB4" s="57">
        <v>4.6399999999999997E-2</v>
      </c>
      <c r="AC4" s="57">
        <v>4.1099999999999998E-2</v>
      </c>
      <c r="AD4" s="57">
        <v>3.8199999999999998E-2</v>
      </c>
      <c r="AE4" s="57">
        <v>3.8199999999999998E-2</v>
      </c>
      <c r="AF4" s="57">
        <v>4.5100000000000001E-2</v>
      </c>
      <c r="AG4" s="57">
        <v>4.6199999999999998E-2</v>
      </c>
    </row>
    <row r="5" spans="2:33" ht="15.75" thickBot="1" x14ac:dyDescent="0.3">
      <c r="B5" s="3" t="s">
        <v>3</v>
      </c>
      <c r="C5" s="10">
        <v>17.350000000000001</v>
      </c>
      <c r="D5" s="10"/>
      <c r="E5" s="10"/>
      <c r="F5" s="29"/>
      <c r="G5" s="58"/>
      <c r="H5" s="59"/>
      <c r="I5" s="60"/>
      <c r="J5" s="61">
        <v>0.1862</v>
      </c>
      <c r="K5" s="60"/>
      <c r="L5" s="60"/>
      <c r="M5" s="60"/>
      <c r="N5" s="60"/>
      <c r="O5" s="60"/>
      <c r="P5" s="60"/>
      <c r="Q5" s="57">
        <v>0.16950000000000001</v>
      </c>
      <c r="R5" s="60"/>
      <c r="S5" s="60"/>
      <c r="T5" s="60"/>
      <c r="U5" s="60"/>
      <c r="V5" s="60"/>
      <c r="W5" s="60"/>
      <c r="X5" s="60"/>
      <c r="Y5" s="60"/>
      <c r="Z5" s="60"/>
      <c r="AA5" s="60"/>
      <c r="AB5" s="57">
        <v>0.1168</v>
      </c>
      <c r="AC5" s="57"/>
      <c r="AD5" s="57"/>
      <c r="AE5" s="57">
        <v>0.1318</v>
      </c>
      <c r="AF5" s="57"/>
      <c r="AG5" s="57"/>
    </row>
    <row r="6" spans="2:33" ht="30.75" thickBot="1" x14ac:dyDescent="0.3">
      <c r="B6" s="3" t="s">
        <v>4</v>
      </c>
      <c r="C6" s="10">
        <v>5.0199999999999996</v>
      </c>
      <c r="D6" s="10"/>
      <c r="E6" s="10"/>
      <c r="F6" s="29"/>
      <c r="G6" s="50"/>
      <c r="H6" s="51"/>
      <c r="I6" s="52"/>
      <c r="J6" s="54">
        <v>3.95E-2</v>
      </c>
      <c r="K6" s="52"/>
      <c r="L6" s="52"/>
      <c r="M6" s="52"/>
      <c r="N6" s="52"/>
      <c r="O6" s="52"/>
      <c r="P6" s="52"/>
      <c r="Q6" s="57">
        <v>4.1700000000000001E-2</v>
      </c>
      <c r="R6" s="52"/>
      <c r="S6" s="52"/>
      <c r="T6" s="52"/>
      <c r="U6" s="52"/>
      <c r="V6" s="52"/>
      <c r="W6" s="52"/>
      <c r="X6" s="52"/>
      <c r="Y6" s="52"/>
      <c r="Z6" s="52"/>
      <c r="AA6" s="52"/>
      <c r="AB6" s="57">
        <v>4.6399999999999997E-2</v>
      </c>
      <c r="AC6" s="57"/>
      <c r="AD6" s="57"/>
      <c r="AE6" s="57">
        <v>3.8199999999999998E-2</v>
      </c>
      <c r="AF6" s="57"/>
      <c r="AG6" s="57"/>
    </row>
    <row r="7" spans="2:33" ht="15.75" thickBot="1" x14ac:dyDescent="0.3">
      <c r="B7" s="3" t="s">
        <v>5</v>
      </c>
      <c r="C7" s="10"/>
      <c r="D7" s="10"/>
      <c r="E7" s="10">
        <v>16.96</v>
      </c>
      <c r="F7" s="29">
        <v>14.27</v>
      </c>
      <c r="G7" s="50"/>
      <c r="H7" s="53">
        <v>0.17599999999999999</v>
      </c>
      <c r="I7" s="54">
        <v>0.18240000000000001</v>
      </c>
      <c r="J7" s="54"/>
      <c r="K7" s="54">
        <v>0.17979999999999999</v>
      </c>
      <c r="L7" s="57">
        <v>0.16719999999999999</v>
      </c>
      <c r="M7" s="57">
        <v>0.15570000000000001</v>
      </c>
      <c r="N7" s="57"/>
      <c r="O7" s="57"/>
      <c r="P7" s="57"/>
      <c r="Q7" s="57"/>
      <c r="R7" s="57">
        <v>0.1628</v>
      </c>
      <c r="S7" s="57">
        <v>0.1593</v>
      </c>
      <c r="T7" s="57"/>
      <c r="U7" s="57">
        <v>0.14660000000000001</v>
      </c>
      <c r="V7" s="57">
        <v>0.14299999999999999</v>
      </c>
      <c r="W7" s="57">
        <v>0.1593</v>
      </c>
      <c r="X7" s="57"/>
      <c r="Y7" s="57">
        <v>0.1234</v>
      </c>
      <c r="Z7" s="57">
        <v>0.13200000000000001</v>
      </c>
      <c r="AA7" s="57"/>
      <c r="AB7" s="57">
        <v>0.1168</v>
      </c>
      <c r="AC7" s="57">
        <v>0.12620000000000001</v>
      </c>
      <c r="AD7" s="57">
        <v>0.12839999999999999</v>
      </c>
      <c r="AE7" s="57"/>
      <c r="AF7" s="57"/>
      <c r="AG7" s="57"/>
    </row>
    <row r="8" spans="2:33" ht="30.75" thickBot="1" x14ac:dyDescent="0.3">
      <c r="B8" s="3" t="s">
        <v>6</v>
      </c>
      <c r="C8" s="10"/>
      <c r="D8" s="10"/>
      <c r="E8" s="10">
        <v>3.59</v>
      </c>
      <c r="F8" s="29">
        <v>6.44</v>
      </c>
      <c r="G8" s="50"/>
      <c r="H8" s="53">
        <v>3.2899999999999999E-2</v>
      </c>
      <c r="I8" s="54">
        <v>2.3800000000000002E-2</v>
      </c>
      <c r="J8" s="54"/>
      <c r="K8" s="54">
        <v>3.8399999999999997E-2</v>
      </c>
      <c r="L8" s="62">
        <v>4.2700000000000002E-2</v>
      </c>
      <c r="M8" s="63">
        <v>5.21E-2</v>
      </c>
      <c r="N8" s="63"/>
      <c r="O8" s="63"/>
      <c r="P8" s="63"/>
      <c r="Q8" s="63"/>
      <c r="R8" s="63">
        <v>4.6600000000000003E-2</v>
      </c>
      <c r="S8" s="63">
        <v>4.7300000000000002E-2</v>
      </c>
      <c r="T8" s="63"/>
      <c r="U8" s="63">
        <v>4.2700000000000002E-2</v>
      </c>
      <c r="V8" s="63">
        <v>5.8000000000000003E-2</v>
      </c>
      <c r="W8" s="63">
        <v>4.0599999999999997E-2</v>
      </c>
      <c r="X8" s="63"/>
      <c r="Y8" s="63">
        <v>4.3900000000000002E-2</v>
      </c>
      <c r="Z8" s="28">
        <v>3.61E-2</v>
      </c>
      <c r="AA8" s="28"/>
      <c r="AB8" s="28">
        <v>4.6399999999999997E-2</v>
      </c>
      <c r="AC8" s="61">
        <v>4.1099999999999998E-2</v>
      </c>
      <c r="AD8" s="57">
        <v>3.8199999999999998E-2</v>
      </c>
      <c r="AE8" s="57"/>
      <c r="AF8" s="57"/>
      <c r="AG8" s="57"/>
    </row>
    <row r="9" spans="2:33" ht="15.75" thickBot="1" x14ac:dyDescent="0.3">
      <c r="B9" s="3" t="s">
        <v>7</v>
      </c>
      <c r="C9" s="27">
        <v>5031</v>
      </c>
      <c r="D9" s="27">
        <v>4986</v>
      </c>
      <c r="E9" s="27">
        <v>4986</v>
      </c>
      <c r="F9" s="33">
        <v>5053</v>
      </c>
      <c r="G9" s="50">
        <v>5061</v>
      </c>
      <c r="H9" s="51">
        <v>5061</v>
      </c>
      <c r="I9" s="52">
        <v>5058</v>
      </c>
      <c r="J9" s="52">
        <v>5072</v>
      </c>
      <c r="K9" s="52">
        <v>5061</v>
      </c>
      <c r="L9" s="52">
        <v>5079</v>
      </c>
      <c r="M9" s="52">
        <v>5047</v>
      </c>
      <c r="N9" s="52">
        <v>5062</v>
      </c>
      <c r="O9" s="52">
        <v>5068</v>
      </c>
      <c r="P9" s="52">
        <v>5040</v>
      </c>
      <c r="Q9" s="52">
        <v>5087</v>
      </c>
      <c r="R9" s="52">
        <v>5077</v>
      </c>
      <c r="S9" s="52">
        <v>5089</v>
      </c>
      <c r="T9" s="52">
        <v>5091</v>
      </c>
      <c r="U9" s="52">
        <v>5110</v>
      </c>
      <c r="V9" s="52">
        <v>5119</v>
      </c>
      <c r="W9" s="52">
        <v>5120</v>
      </c>
      <c r="X9" s="52">
        <v>5128</v>
      </c>
      <c r="Y9" s="52">
        <v>4585</v>
      </c>
      <c r="Z9" s="52">
        <v>5024</v>
      </c>
      <c r="AA9" s="52">
        <v>5014</v>
      </c>
      <c r="AB9" s="52">
        <v>4817</v>
      </c>
      <c r="AC9" s="52">
        <v>4978</v>
      </c>
      <c r="AD9" s="52">
        <v>4859</v>
      </c>
      <c r="AE9" s="52">
        <v>4652</v>
      </c>
      <c r="AF9" s="52">
        <v>4584</v>
      </c>
      <c r="AG9" s="52">
        <v>4805</v>
      </c>
    </row>
  </sheetData>
  <pageMargins left="0.7" right="0.7" top="0.75" bottom="0.75" header="0.3" footer="0.3"/>
  <pageSetup paperSize="11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AF9"/>
  <sheetViews>
    <sheetView topLeftCell="P1" workbookViewId="0">
      <selection activeCell="X14" sqref="X14"/>
    </sheetView>
  </sheetViews>
  <sheetFormatPr defaultRowHeight="15" x14ac:dyDescent="0.25"/>
  <cols>
    <col min="2" max="2" width="28.5703125" customWidth="1"/>
  </cols>
  <sheetData>
    <row r="1" spans="2:32" ht="15.75" thickBot="1" x14ac:dyDescent="0.3"/>
    <row r="2" spans="2:32" ht="15.75" thickBot="1" x14ac:dyDescent="0.3">
      <c r="C2" s="10" t="s">
        <v>282</v>
      </c>
      <c r="D2" s="10" t="s">
        <v>283</v>
      </c>
      <c r="E2" s="10" t="s">
        <v>284</v>
      </c>
      <c r="F2" s="10" t="s">
        <v>285</v>
      </c>
      <c r="G2" s="10" t="s">
        <v>286</v>
      </c>
      <c r="H2" s="10" t="s">
        <v>287</v>
      </c>
      <c r="I2" s="10" t="s">
        <v>288</v>
      </c>
      <c r="J2" s="10" t="s">
        <v>289</v>
      </c>
      <c r="K2" s="10" t="s">
        <v>290</v>
      </c>
      <c r="L2" s="10" t="s">
        <v>291</v>
      </c>
      <c r="M2" s="10" t="s">
        <v>292</v>
      </c>
      <c r="N2" s="10" t="s">
        <v>293</v>
      </c>
      <c r="O2" s="10" t="s">
        <v>294</v>
      </c>
      <c r="P2" s="10" t="s">
        <v>295</v>
      </c>
      <c r="Q2" s="10" t="s">
        <v>296</v>
      </c>
      <c r="R2" s="10" t="s">
        <v>297</v>
      </c>
      <c r="S2" s="10" t="s">
        <v>298</v>
      </c>
      <c r="T2" s="10" t="s">
        <v>299</v>
      </c>
      <c r="U2" s="10" t="s">
        <v>300</v>
      </c>
      <c r="V2" s="10" t="s">
        <v>301</v>
      </c>
      <c r="W2" s="10" t="s">
        <v>302</v>
      </c>
      <c r="X2" s="10" t="s">
        <v>303</v>
      </c>
      <c r="Y2" s="10" t="s">
        <v>304</v>
      </c>
      <c r="Z2" s="10" t="s">
        <v>305</v>
      </c>
      <c r="AA2" s="10" t="s">
        <v>306</v>
      </c>
      <c r="AB2" s="10" t="s">
        <v>307</v>
      </c>
      <c r="AC2" s="10" t="s">
        <v>308</v>
      </c>
      <c r="AD2" s="10" t="s">
        <v>309</v>
      </c>
      <c r="AE2" s="10" t="s">
        <v>310</v>
      </c>
      <c r="AF2" s="10" t="s">
        <v>311</v>
      </c>
    </row>
    <row r="3" spans="2:32" ht="16.5" thickTop="1" thickBot="1" x14ac:dyDescent="0.3">
      <c r="B3" s="2" t="s">
        <v>1</v>
      </c>
      <c r="C3" s="28">
        <v>0.1193</v>
      </c>
      <c r="D3" s="28">
        <v>0.13700000000000001</v>
      </c>
      <c r="E3" s="28">
        <v>0.14399999999999999</v>
      </c>
      <c r="F3" s="28">
        <v>0.1424</v>
      </c>
      <c r="G3" s="28">
        <v>0.13389999999999999</v>
      </c>
      <c r="H3" s="28">
        <v>0.11559999999999999</v>
      </c>
      <c r="I3" s="28">
        <v>0.1231</v>
      </c>
      <c r="J3" s="28">
        <v>0.14249999999999999</v>
      </c>
      <c r="K3" s="28">
        <v>0.1547</v>
      </c>
      <c r="L3" s="28">
        <v>0.1605</v>
      </c>
      <c r="M3" s="28">
        <v>0.1706</v>
      </c>
      <c r="N3" s="28">
        <v>0.1784</v>
      </c>
      <c r="O3" s="28">
        <v>0.1804</v>
      </c>
      <c r="P3" s="28">
        <v>0.18279999999999999</v>
      </c>
      <c r="Q3" s="28">
        <v>0.1812</v>
      </c>
      <c r="R3" s="28">
        <v>0.1822</v>
      </c>
      <c r="S3" s="28">
        <v>0.1817</v>
      </c>
      <c r="T3" s="28">
        <v>0.1734</v>
      </c>
      <c r="U3" s="28">
        <v>0.17749999999999999</v>
      </c>
      <c r="V3" s="28">
        <v>0.17280000000000001</v>
      </c>
      <c r="W3" s="28">
        <v>0.1734</v>
      </c>
      <c r="X3" s="28">
        <v>0.1764</v>
      </c>
      <c r="Y3" s="28">
        <v>0.1648</v>
      </c>
      <c r="Z3" s="28">
        <v>0.1699</v>
      </c>
      <c r="AA3" s="28">
        <v>0.1719</v>
      </c>
      <c r="AB3" s="28">
        <v>0.1694</v>
      </c>
      <c r="AC3" s="28">
        <v>0.17319999999999999</v>
      </c>
      <c r="AD3" s="28">
        <v>0.18260000000000001</v>
      </c>
      <c r="AE3" s="28">
        <v>0.10349999999999999</v>
      </c>
      <c r="AF3" s="28">
        <v>0.16041</v>
      </c>
    </row>
    <row r="4" spans="2:32" ht="16.5" thickTop="1" thickBot="1" x14ac:dyDescent="0.3">
      <c r="B4" s="3" t="s">
        <v>2</v>
      </c>
      <c r="C4" s="28">
        <v>3.7699999999999997E-2</v>
      </c>
      <c r="D4" s="28">
        <v>0</v>
      </c>
      <c r="E4" s="28">
        <v>0</v>
      </c>
      <c r="F4" s="28">
        <v>0</v>
      </c>
      <c r="G4" s="28">
        <v>1.41E-2</v>
      </c>
      <c r="H4" s="28">
        <v>3.27E-2</v>
      </c>
      <c r="I4" s="28">
        <v>2.1100000000000001E-2</v>
      </c>
      <c r="J4" s="28">
        <v>3.8600000000000002E-2</v>
      </c>
      <c r="K4" s="28">
        <v>4.1099999999999998E-2</v>
      </c>
      <c r="L4" s="28">
        <v>3.6499999999999998E-2</v>
      </c>
      <c r="M4" s="28">
        <v>4.1200000000000001E-2</v>
      </c>
      <c r="N4" s="28">
        <v>3.8199999999999998E-2</v>
      </c>
      <c r="O4" s="28">
        <v>3.5299999999999998E-2</v>
      </c>
      <c r="P4" s="28">
        <v>2.23E-2</v>
      </c>
      <c r="Q4" s="28">
        <v>4.02E-2</v>
      </c>
      <c r="R4" s="28">
        <v>3.49E-2</v>
      </c>
      <c r="S4" s="28">
        <v>3.5299999999999998E-2</v>
      </c>
      <c r="T4" s="28">
        <v>4.1799999999999997E-2</v>
      </c>
      <c r="U4" s="28">
        <v>3.4500000000000003E-2</v>
      </c>
      <c r="V4" s="28">
        <v>3.9100000000000003E-2</v>
      </c>
      <c r="W4" s="28">
        <v>3.9100000000000003E-2</v>
      </c>
      <c r="X4" s="28">
        <v>3.61E-2</v>
      </c>
      <c r="Y4" s="28">
        <v>3.4799999999999998E-2</v>
      </c>
      <c r="Z4" s="28">
        <v>3.2099999999999997E-2</v>
      </c>
      <c r="AA4" s="28">
        <v>2.81E-2</v>
      </c>
      <c r="AB4" s="28">
        <v>3.1099999999999999E-2</v>
      </c>
      <c r="AC4" s="28">
        <v>2.6599999999999999E-2</v>
      </c>
      <c r="AD4" s="28">
        <v>2.47E-2</v>
      </c>
      <c r="AE4" s="28">
        <v>3.3099999999999997E-2</v>
      </c>
      <c r="AF4" s="28">
        <v>3.5900000000000001E-2</v>
      </c>
    </row>
    <row r="5" spans="2:32" ht="15.75" thickBot="1" x14ac:dyDescent="0.3">
      <c r="B5" s="3" t="s">
        <v>3</v>
      </c>
      <c r="C5" s="10">
        <v>0</v>
      </c>
      <c r="D5" s="10">
        <v>0</v>
      </c>
      <c r="E5" s="28">
        <v>0.14399999999999999</v>
      </c>
      <c r="F5" s="28">
        <v>0</v>
      </c>
      <c r="G5" s="28">
        <v>0</v>
      </c>
      <c r="H5" s="28">
        <v>0</v>
      </c>
      <c r="I5" s="28">
        <v>0</v>
      </c>
      <c r="J5" s="28">
        <v>0</v>
      </c>
      <c r="K5" s="28">
        <v>0.1547</v>
      </c>
      <c r="L5" s="28">
        <v>0.1605</v>
      </c>
      <c r="M5" s="28"/>
      <c r="N5" s="28"/>
      <c r="O5" s="28">
        <v>0.1804</v>
      </c>
      <c r="P5" s="28">
        <v>0.2485</v>
      </c>
      <c r="Q5" s="28"/>
      <c r="R5" s="28"/>
      <c r="S5" s="10"/>
      <c r="T5" s="10"/>
      <c r="U5" s="10"/>
      <c r="V5" s="10"/>
      <c r="W5" s="10"/>
      <c r="X5" s="10"/>
      <c r="Y5" s="10">
        <v>21.9</v>
      </c>
      <c r="Z5" s="10"/>
      <c r="AA5" s="10"/>
      <c r="AB5" s="10"/>
      <c r="AC5" s="10"/>
      <c r="AD5" s="10"/>
      <c r="AE5" s="10"/>
      <c r="AF5" s="10"/>
    </row>
    <row r="6" spans="2:32" ht="30.75" thickBot="1" x14ac:dyDescent="0.3">
      <c r="B6" s="3" t="s">
        <v>4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28">
        <v>4.1099999999999998E-2</v>
      </c>
      <c r="L6" s="28">
        <v>3.6499999999999998E-2</v>
      </c>
      <c r="M6" s="28"/>
      <c r="N6" s="28"/>
      <c r="O6" s="28">
        <v>3.5299999999999998E-2</v>
      </c>
      <c r="P6" s="28">
        <v>2.23E-2</v>
      </c>
      <c r="Q6" s="28"/>
      <c r="R6" s="28"/>
      <c r="S6" s="10"/>
      <c r="T6" s="10"/>
      <c r="U6" s="10"/>
      <c r="V6" s="10"/>
      <c r="W6" s="10"/>
      <c r="X6" s="10"/>
      <c r="Y6" s="10">
        <v>3.43</v>
      </c>
      <c r="Z6" s="10"/>
      <c r="AA6" s="10"/>
      <c r="AB6" s="10"/>
      <c r="AC6" s="10"/>
      <c r="AD6" s="10"/>
      <c r="AE6" s="10"/>
      <c r="AF6" s="10"/>
    </row>
    <row r="7" spans="2:32" ht="15.75" thickBot="1" x14ac:dyDescent="0.3">
      <c r="B7" s="3" t="s">
        <v>5</v>
      </c>
      <c r="C7" s="10"/>
      <c r="D7" s="28">
        <v>0.13700000000000001</v>
      </c>
      <c r="E7" s="28">
        <v>0.14399999999999999</v>
      </c>
      <c r="F7" s="28">
        <v>0</v>
      </c>
      <c r="G7" s="28">
        <v>0.13389999999999999</v>
      </c>
      <c r="H7" s="28">
        <v>0</v>
      </c>
      <c r="I7" s="28">
        <v>0.1231</v>
      </c>
      <c r="J7" s="28">
        <v>0.14249999999999999</v>
      </c>
      <c r="K7" s="28"/>
      <c r="L7" s="28"/>
      <c r="M7" s="28"/>
      <c r="N7" s="28"/>
      <c r="O7" s="28">
        <v>0.1804</v>
      </c>
      <c r="P7" s="28">
        <v>0.18279999999999999</v>
      </c>
      <c r="Q7" s="28"/>
      <c r="R7" s="28">
        <v>0.1822</v>
      </c>
      <c r="S7" s="10"/>
      <c r="T7" s="28">
        <v>0.1734</v>
      </c>
      <c r="U7" s="28"/>
      <c r="V7" s="28">
        <v>0.17280000000000001</v>
      </c>
      <c r="W7" s="28"/>
      <c r="X7" s="28">
        <v>0.1764</v>
      </c>
      <c r="Y7" s="28">
        <v>0.1648</v>
      </c>
      <c r="Z7" s="28">
        <v>0.1699</v>
      </c>
      <c r="AA7" s="28">
        <v>0.1719</v>
      </c>
      <c r="AB7" s="28">
        <v>0.1694</v>
      </c>
      <c r="AC7" s="28">
        <v>0.17319999999999999</v>
      </c>
      <c r="AD7" s="28">
        <v>0.18260000000000001</v>
      </c>
      <c r="AE7" s="28">
        <v>0.23050000000000001</v>
      </c>
      <c r="AF7" s="28">
        <v>0.16041</v>
      </c>
    </row>
    <row r="8" spans="2:32" ht="30.75" thickBot="1" x14ac:dyDescent="0.3">
      <c r="B8" s="3" t="s">
        <v>6</v>
      </c>
      <c r="C8" s="10"/>
      <c r="D8" s="10"/>
      <c r="E8" s="10"/>
      <c r="F8" s="10"/>
      <c r="G8" s="28">
        <v>1.41E-2</v>
      </c>
      <c r="H8" s="10"/>
      <c r="I8" s="28">
        <v>2.1100000000000001E-2</v>
      </c>
      <c r="J8" s="28">
        <v>3.8600000000000002E-2</v>
      </c>
      <c r="K8" s="28"/>
      <c r="L8" s="28"/>
      <c r="M8" s="28"/>
      <c r="N8" s="28"/>
      <c r="O8" s="28">
        <v>3.5299999999999998E-2</v>
      </c>
      <c r="P8" s="28">
        <v>2.23E-2</v>
      </c>
      <c r="Q8" s="28"/>
      <c r="R8" s="28">
        <v>3.49E-2</v>
      </c>
      <c r="S8" s="10"/>
      <c r="T8" s="28">
        <v>4.1799999999999997E-2</v>
      </c>
      <c r="U8" s="28"/>
      <c r="V8" s="28">
        <v>3.9100000000000003E-2</v>
      </c>
      <c r="W8" s="28"/>
      <c r="X8" s="28">
        <v>3.61E-2</v>
      </c>
      <c r="Y8" s="28">
        <v>3.4799999999999998E-2</v>
      </c>
      <c r="Z8" s="28">
        <v>3.2099999999999997E-2</v>
      </c>
      <c r="AA8" s="28">
        <v>2.81E-2</v>
      </c>
      <c r="AB8" s="28">
        <v>3.1099999999999999E-2</v>
      </c>
      <c r="AC8" s="28">
        <v>2.6599999999999999E-2</v>
      </c>
      <c r="AD8" s="28">
        <v>2.47E-2</v>
      </c>
      <c r="AE8" s="28">
        <v>3.5000000000000003E-2</v>
      </c>
      <c r="AF8" s="28">
        <v>3.5900000000000001E-2</v>
      </c>
    </row>
    <row r="9" spans="2:32" ht="15.75" thickBot="1" x14ac:dyDescent="0.3">
      <c r="B9" s="3" t="s">
        <v>7</v>
      </c>
      <c r="C9" s="27">
        <v>0</v>
      </c>
      <c r="D9" s="27">
        <v>0</v>
      </c>
      <c r="E9" s="27">
        <v>0</v>
      </c>
      <c r="F9" s="27">
        <v>0</v>
      </c>
      <c r="G9" s="27">
        <v>5125</v>
      </c>
      <c r="H9" s="27">
        <v>5167</v>
      </c>
      <c r="I9" s="27">
        <v>5138</v>
      </c>
      <c r="J9" s="27">
        <v>5265</v>
      </c>
      <c r="K9" s="27">
        <v>5224</v>
      </c>
      <c r="L9" s="27">
        <v>5189</v>
      </c>
      <c r="M9" s="27">
        <v>5188</v>
      </c>
      <c r="N9" s="27">
        <v>5189</v>
      </c>
      <c r="O9" s="27">
        <v>5199</v>
      </c>
      <c r="P9" s="27">
        <v>5189</v>
      </c>
      <c r="Q9" s="27">
        <v>5199</v>
      </c>
      <c r="R9" s="27">
        <v>5209</v>
      </c>
      <c r="S9" s="27">
        <v>5211</v>
      </c>
      <c r="T9" s="27">
        <v>5178</v>
      </c>
      <c r="U9" s="27">
        <v>5198</v>
      </c>
      <c r="V9" s="27">
        <v>5184</v>
      </c>
      <c r="W9" s="27">
        <v>5210</v>
      </c>
      <c r="X9" s="27">
        <v>5200</v>
      </c>
      <c r="Y9" s="27">
        <v>4988</v>
      </c>
      <c r="Z9" s="27">
        <v>5011</v>
      </c>
      <c r="AA9" s="27">
        <v>5175</v>
      </c>
      <c r="AB9" s="27">
        <v>5147</v>
      </c>
      <c r="AC9" s="27">
        <v>5125</v>
      </c>
      <c r="AD9" s="27">
        <v>5159</v>
      </c>
      <c r="AE9" s="27">
        <v>5210</v>
      </c>
      <c r="AF9" s="27">
        <v>5148</v>
      </c>
    </row>
  </sheetData>
  <phoneticPr fontId="2" type="noConversion"/>
  <pageMargins left="0.7" right="0.7" top="0.75" bottom="0.75" header="0.3" footer="0.3"/>
  <pageSetup paperSize="11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AH9"/>
  <sheetViews>
    <sheetView workbookViewId="0">
      <selection activeCell="AH7" sqref="AH7"/>
    </sheetView>
  </sheetViews>
  <sheetFormatPr defaultRowHeight="15" x14ac:dyDescent="0.25"/>
  <cols>
    <col min="2" max="2" width="28.5703125" customWidth="1"/>
    <col min="11" max="11" width="11.28515625" customWidth="1"/>
  </cols>
  <sheetData>
    <row r="1" spans="2:34" ht="15.75" thickBot="1" x14ac:dyDescent="0.3"/>
    <row r="2" spans="2:34" ht="15.75" thickBot="1" x14ac:dyDescent="0.3">
      <c r="C2" s="10" t="s">
        <v>312</v>
      </c>
      <c r="D2" s="10" t="s">
        <v>313</v>
      </c>
      <c r="E2" s="10" t="s">
        <v>314</v>
      </c>
      <c r="F2" s="10" t="s">
        <v>315</v>
      </c>
      <c r="G2" s="10" t="s">
        <v>316</v>
      </c>
      <c r="H2" s="10" t="s">
        <v>317</v>
      </c>
      <c r="I2" s="10" t="s">
        <v>318</v>
      </c>
      <c r="J2" s="10" t="s">
        <v>319</v>
      </c>
      <c r="K2" s="10" t="s">
        <v>320</v>
      </c>
      <c r="L2" s="10" t="s">
        <v>321</v>
      </c>
      <c r="M2" s="10" t="s">
        <v>322</v>
      </c>
      <c r="N2" s="10" t="s">
        <v>323</v>
      </c>
      <c r="O2" s="10" t="s">
        <v>324</v>
      </c>
      <c r="P2" s="10" t="s">
        <v>325</v>
      </c>
      <c r="Q2" s="10" t="s">
        <v>326</v>
      </c>
      <c r="R2" s="10" t="s">
        <v>327</v>
      </c>
      <c r="S2" s="10" t="s">
        <v>328</v>
      </c>
      <c r="T2" s="10" t="s">
        <v>329</v>
      </c>
      <c r="U2" s="10" t="s">
        <v>330</v>
      </c>
      <c r="V2" s="10" t="s">
        <v>331</v>
      </c>
      <c r="W2" s="10" t="s">
        <v>332</v>
      </c>
      <c r="X2" s="10" t="s">
        <v>333</v>
      </c>
      <c r="Y2" s="10" t="s">
        <v>348</v>
      </c>
      <c r="Z2" s="10" t="s">
        <v>349</v>
      </c>
      <c r="AA2" s="10" t="s">
        <v>350</v>
      </c>
      <c r="AB2" s="10" t="s">
        <v>351</v>
      </c>
      <c r="AC2" s="10" t="s">
        <v>352</v>
      </c>
      <c r="AD2" s="10" t="s">
        <v>353</v>
      </c>
      <c r="AE2" s="10" t="s">
        <v>354</v>
      </c>
      <c r="AF2" s="10" t="s">
        <v>355</v>
      </c>
      <c r="AG2" s="10" t="s">
        <v>356</v>
      </c>
      <c r="AH2" s="10" t="s">
        <v>357</v>
      </c>
    </row>
    <row r="3" spans="2:34" ht="16.5" thickTop="1" thickBot="1" x14ac:dyDescent="0.3">
      <c r="B3" s="2" t="s">
        <v>1</v>
      </c>
      <c r="C3" s="28">
        <v>0.16389999999999999</v>
      </c>
      <c r="D3" s="28">
        <v>0.16819999999999999</v>
      </c>
      <c r="E3" s="28">
        <v>0.1608</v>
      </c>
      <c r="F3" s="28">
        <v>0.16520000000000001</v>
      </c>
      <c r="G3" s="28">
        <v>0.16289999999999999</v>
      </c>
      <c r="H3" s="28">
        <v>0.1532</v>
      </c>
      <c r="I3" s="28">
        <v>0.16889999999999999</v>
      </c>
      <c r="J3" s="28">
        <v>0.15310000000000001</v>
      </c>
      <c r="K3" s="28">
        <v>0.1633</v>
      </c>
      <c r="L3" s="28">
        <v>0.15390000000000001</v>
      </c>
      <c r="M3" s="28">
        <v>0.154</v>
      </c>
      <c r="N3" s="28">
        <v>0.1226</v>
      </c>
      <c r="O3" s="28">
        <v>0.14000000000000001</v>
      </c>
      <c r="P3" s="28">
        <v>0.13750000000000001</v>
      </c>
      <c r="Q3" s="28">
        <v>0.14330000000000001</v>
      </c>
      <c r="R3" s="28">
        <v>0.13250000000000001</v>
      </c>
      <c r="S3" s="28">
        <v>0.13730000000000001</v>
      </c>
      <c r="T3" s="28">
        <v>0.12909999999999999</v>
      </c>
      <c r="U3" s="28">
        <v>0.15359999999999999</v>
      </c>
      <c r="V3" s="28">
        <v>0.13522000000000001</v>
      </c>
      <c r="W3" s="28">
        <v>0.15060000000000001</v>
      </c>
      <c r="X3" s="28">
        <v>0.15679999999999999</v>
      </c>
      <c r="Y3" s="28">
        <v>0.15559999999999999</v>
      </c>
      <c r="Z3" s="28">
        <v>0.15049999999999999</v>
      </c>
      <c r="AA3" s="28">
        <v>0.1535</v>
      </c>
      <c r="AB3" s="28">
        <v>0.15870000000000001</v>
      </c>
      <c r="AC3" s="28">
        <v>0.14779999999999999</v>
      </c>
      <c r="AD3" s="28">
        <v>0.14000000000000001</v>
      </c>
      <c r="AE3" s="28">
        <v>0.155</v>
      </c>
      <c r="AF3" s="28">
        <v>0.15559999999999999</v>
      </c>
      <c r="AG3" s="28">
        <v>0.191</v>
      </c>
      <c r="AH3" s="28">
        <v>0.151</v>
      </c>
    </row>
    <row r="4" spans="2:34" ht="16.5" thickTop="1" thickBot="1" x14ac:dyDescent="0.3">
      <c r="B4" s="3" t="s">
        <v>2</v>
      </c>
      <c r="C4" s="28">
        <v>3.8899999999999997E-2</v>
      </c>
      <c r="D4" s="28">
        <v>2.6599999999999999E-2</v>
      </c>
      <c r="E4" s="28">
        <v>3.4299999999999997E-2</v>
      </c>
      <c r="F4" s="28">
        <v>3.0800000000000001E-2</v>
      </c>
      <c r="G4" s="28">
        <v>2.9899999999999999E-2</v>
      </c>
      <c r="H4" s="28">
        <v>2.6499999999999999E-2</v>
      </c>
      <c r="I4" s="28">
        <v>1.6899999999999998E-2</v>
      </c>
      <c r="J4" s="28">
        <v>3.4700000000000002E-2</v>
      </c>
      <c r="K4" s="28">
        <v>2.98E-2</v>
      </c>
      <c r="L4" s="28">
        <v>4.0599999999999997E-2</v>
      </c>
      <c r="M4" s="28">
        <v>3.9E-2</v>
      </c>
      <c r="N4" s="28">
        <v>4.4200000000000003E-2</v>
      </c>
      <c r="O4" s="28">
        <v>3.2199999999999999E-2</v>
      </c>
      <c r="P4" s="28">
        <v>3.1899999999999998E-2</v>
      </c>
      <c r="Q4" s="28">
        <v>3.78E-2</v>
      </c>
      <c r="R4" s="28">
        <v>4.1399999999999999E-2</v>
      </c>
      <c r="S4" s="28">
        <v>5.7000000000000002E-2</v>
      </c>
      <c r="T4" s="28">
        <v>5.1950000000000003E-2</v>
      </c>
      <c r="U4" s="28">
        <v>3.95E-2</v>
      </c>
      <c r="V4" s="28">
        <v>4.0099999999999997E-2</v>
      </c>
      <c r="W4" s="28">
        <v>3.4000000000000002E-2</v>
      </c>
      <c r="X4" s="28">
        <v>3.3300000000000003E-2</v>
      </c>
      <c r="Y4" s="28">
        <v>4.0599999999999997E-2</v>
      </c>
      <c r="Z4" s="28">
        <v>4.3799999999999999E-2</v>
      </c>
      <c r="AA4" s="28">
        <v>4.2200000000000001E-2</v>
      </c>
      <c r="AB4" s="28">
        <v>3.6900000000000002E-2</v>
      </c>
      <c r="AC4" s="28">
        <v>4.0500000000000001E-2</v>
      </c>
      <c r="AD4" s="28">
        <v>3.9100000000000003E-2</v>
      </c>
      <c r="AE4" s="28">
        <v>3.5099999999999999E-2</v>
      </c>
      <c r="AF4" s="28">
        <v>3.4299999999999997E-2</v>
      </c>
      <c r="AG4" s="28"/>
      <c r="AH4" s="28">
        <v>4.4600000000000001E-2</v>
      </c>
    </row>
    <row r="5" spans="2:34" ht="15.75" thickBot="1" x14ac:dyDescent="0.3">
      <c r="B5" s="3" t="s">
        <v>3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28">
        <v>0.1323</v>
      </c>
      <c r="O5" s="10"/>
      <c r="P5" s="10"/>
      <c r="Q5" s="10"/>
      <c r="R5" s="10"/>
      <c r="S5" s="10">
        <v>19.760999999999999</v>
      </c>
      <c r="T5" s="10">
        <v>19.923999999999999</v>
      </c>
      <c r="U5" s="28">
        <v>0.15359999999999999</v>
      </c>
      <c r="V5" s="28">
        <v>0.20399999999999999</v>
      </c>
      <c r="W5" s="28">
        <v>0.216</v>
      </c>
      <c r="X5" s="28"/>
      <c r="Y5" s="28">
        <v>0.21</v>
      </c>
      <c r="Z5" s="28">
        <v>0.18679999999999999</v>
      </c>
      <c r="AA5" s="28"/>
      <c r="AB5" s="28"/>
      <c r="AC5" s="28"/>
      <c r="AD5" s="28">
        <v>0.21229999999999999</v>
      </c>
      <c r="AE5" s="28"/>
      <c r="AF5" s="28"/>
      <c r="AG5" s="28"/>
      <c r="AH5" s="28"/>
    </row>
    <row r="6" spans="2:34" ht="30.75" thickBot="1" x14ac:dyDescent="0.3">
      <c r="B6" s="3" t="s">
        <v>4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28">
        <v>4.3299999999999998E-2</v>
      </c>
      <c r="O6" s="10"/>
      <c r="P6" s="10"/>
      <c r="Q6" s="10"/>
      <c r="R6" s="10"/>
      <c r="S6" s="10">
        <v>5.7</v>
      </c>
      <c r="T6" s="10">
        <v>5.1950000000000003</v>
      </c>
      <c r="U6" s="28">
        <v>3.95E-2</v>
      </c>
      <c r="V6" s="28">
        <v>4.0099999999999997E-2</v>
      </c>
      <c r="W6" s="28">
        <v>3.4000000000000002E-2</v>
      </c>
      <c r="X6" s="28"/>
      <c r="Y6" s="28">
        <v>0.04</v>
      </c>
      <c r="Z6" s="28">
        <v>4.3999999999999997E-2</v>
      </c>
      <c r="AA6" s="28"/>
      <c r="AB6" s="28"/>
      <c r="AC6" s="28"/>
      <c r="AD6" s="28">
        <v>3.9100000000000003E-2</v>
      </c>
      <c r="AE6" s="28"/>
      <c r="AF6" s="28"/>
      <c r="AG6" s="28"/>
      <c r="AH6" s="28"/>
    </row>
    <row r="7" spans="2:34" ht="15.75" thickBot="1" x14ac:dyDescent="0.3">
      <c r="B7" s="3" t="s">
        <v>5</v>
      </c>
      <c r="C7" s="10"/>
      <c r="D7" s="10"/>
      <c r="E7" s="10">
        <v>16.66</v>
      </c>
      <c r="F7" s="10"/>
      <c r="G7" s="10"/>
      <c r="H7" s="10"/>
      <c r="I7" s="28">
        <v>0.16889999999999999</v>
      </c>
      <c r="J7" s="28">
        <v>0.1938</v>
      </c>
      <c r="K7" s="28"/>
      <c r="L7" s="10"/>
      <c r="M7" s="28">
        <v>0.1613</v>
      </c>
      <c r="N7" s="10"/>
      <c r="O7" s="10"/>
      <c r="P7" s="28">
        <v>0.13850000000000001</v>
      </c>
      <c r="Q7" s="28">
        <v>0.18</v>
      </c>
      <c r="R7" s="28">
        <v>0.13039999999999999</v>
      </c>
      <c r="S7" s="28">
        <v>0.18</v>
      </c>
      <c r="T7" s="28"/>
      <c r="U7" s="28"/>
      <c r="V7" s="28"/>
      <c r="W7" s="28"/>
      <c r="X7" s="28"/>
      <c r="Y7" s="28"/>
      <c r="Z7" s="28"/>
      <c r="AA7" s="28">
        <v>0.14779999999999999</v>
      </c>
      <c r="AB7" s="28"/>
      <c r="AC7" s="28">
        <v>0.14779999999999999</v>
      </c>
      <c r="AD7" s="28"/>
      <c r="AE7" s="28"/>
      <c r="AF7" s="28">
        <v>0.15559999999999999</v>
      </c>
      <c r="AG7" s="28"/>
      <c r="AH7" s="28"/>
    </row>
    <row r="8" spans="2:34" ht="30.75" thickBot="1" x14ac:dyDescent="0.3">
      <c r="B8" s="3" t="s">
        <v>6</v>
      </c>
      <c r="C8" s="10"/>
      <c r="D8" s="10"/>
      <c r="E8" s="10">
        <v>2.67</v>
      </c>
      <c r="F8" s="10"/>
      <c r="G8" s="10"/>
      <c r="H8" s="10"/>
      <c r="I8" s="28">
        <v>1.6899999999999998E-2</v>
      </c>
      <c r="J8" s="28">
        <v>0</v>
      </c>
      <c r="K8" s="10"/>
      <c r="L8" s="10"/>
      <c r="M8" s="28">
        <v>2.3800000000000002E-2</v>
      </c>
      <c r="N8" s="10"/>
      <c r="O8" s="10"/>
      <c r="P8" s="28">
        <v>3.04E-2</v>
      </c>
      <c r="Q8" s="28">
        <v>0</v>
      </c>
      <c r="R8" s="28">
        <v>4.3499999999999997E-2</v>
      </c>
      <c r="S8" s="28"/>
      <c r="T8" s="28"/>
      <c r="U8" s="28"/>
      <c r="V8" s="28"/>
      <c r="W8" s="28"/>
      <c r="X8" s="28"/>
      <c r="Y8" s="28"/>
      <c r="Z8" s="28"/>
      <c r="AA8" s="28">
        <v>4.0500000000000001E-2</v>
      </c>
      <c r="AB8" s="28"/>
      <c r="AC8" s="28">
        <v>4.0500000000000001E-2</v>
      </c>
      <c r="AD8" s="28"/>
      <c r="AE8" s="28"/>
      <c r="AF8" s="28">
        <v>3.4299999999999997E-2</v>
      </c>
      <c r="AG8" s="28"/>
      <c r="AH8" s="28"/>
    </row>
    <row r="9" spans="2:34" ht="15.75" thickBot="1" x14ac:dyDescent="0.3">
      <c r="B9" s="3" t="s">
        <v>7</v>
      </c>
      <c r="C9" s="27">
        <v>5152</v>
      </c>
      <c r="D9" s="27">
        <v>5152</v>
      </c>
      <c r="E9" s="27">
        <v>5159</v>
      </c>
      <c r="F9" s="27">
        <v>5148</v>
      </c>
      <c r="G9" s="27">
        <v>5138</v>
      </c>
      <c r="H9" s="27">
        <v>5131</v>
      </c>
      <c r="I9" s="27">
        <v>5211</v>
      </c>
      <c r="J9" s="10">
        <v>5234</v>
      </c>
      <c r="K9" s="40">
        <v>5127</v>
      </c>
      <c r="L9" s="10">
        <v>5185</v>
      </c>
      <c r="M9" s="41">
        <v>5207</v>
      </c>
      <c r="N9" s="27">
        <v>5151</v>
      </c>
      <c r="O9" s="27">
        <v>5225</v>
      </c>
      <c r="P9" s="27">
        <v>5220</v>
      </c>
      <c r="Q9" s="27">
        <v>5240</v>
      </c>
      <c r="R9" s="27">
        <v>5191</v>
      </c>
      <c r="S9" s="27">
        <v>5203</v>
      </c>
      <c r="T9" s="27">
        <v>5254</v>
      </c>
      <c r="U9" s="27">
        <v>5198</v>
      </c>
      <c r="V9" s="27">
        <v>5189</v>
      </c>
      <c r="W9" s="27">
        <v>5211</v>
      </c>
      <c r="X9" s="27">
        <v>5164</v>
      </c>
      <c r="Y9" s="27">
        <v>5050</v>
      </c>
      <c r="Z9" s="27">
        <v>5085</v>
      </c>
      <c r="AA9" s="27">
        <v>5102</v>
      </c>
      <c r="AB9" s="27">
        <v>5057</v>
      </c>
      <c r="AC9" s="27">
        <v>5098</v>
      </c>
      <c r="AD9" s="27">
        <v>5057</v>
      </c>
      <c r="AE9" s="27">
        <v>5002</v>
      </c>
      <c r="AF9" s="27">
        <v>5010</v>
      </c>
      <c r="AG9" s="27">
        <v>5021</v>
      </c>
      <c r="AH9" s="27">
        <v>5147</v>
      </c>
    </row>
  </sheetData>
  <phoneticPr fontId="2" type="noConversion"/>
  <pageMargins left="0.7" right="0.7" top="0.75" bottom="0.75" header="0.3" footer="0.3"/>
  <pageSetup paperSize="11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AG9"/>
  <sheetViews>
    <sheetView topLeftCell="P1" workbookViewId="0">
      <selection activeCell="AC15" sqref="AC15"/>
    </sheetView>
  </sheetViews>
  <sheetFormatPr defaultRowHeight="15" x14ac:dyDescent="0.25"/>
  <cols>
    <col min="2" max="2" width="28.5703125" customWidth="1"/>
    <col min="3" max="11" width="9.28515625" customWidth="1"/>
    <col min="12" max="12" width="9.7109375" customWidth="1"/>
    <col min="13" max="33" width="9.28515625" customWidth="1"/>
  </cols>
  <sheetData>
    <row r="1" spans="2:33" ht="15.75" thickBot="1" x14ac:dyDescent="0.3"/>
    <row r="2" spans="2:33" ht="15.75" thickBot="1" x14ac:dyDescent="0.3">
      <c r="C2" s="10" t="s">
        <v>357</v>
      </c>
      <c r="D2" s="10" t="s">
        <v>358</v>
      </c>
      <c r="E2" s="10" t="s">
        <v>359</v>
      </c>
      <c r="F2" s="10" t="s">
        <v>360</v>
      </c>
      <c r="G2" s="10" t="s">
        <v>361</v>
      </c>
      <c r="H2" s="10" t="s">
        <v>362</v>
      </c>
      <c r="I2" s="10" t="s">
        <v>363</v>
      </c>
      <c r="J2" s="10" t="s">
        <v>364</v>
      </c>
      <c r="K2" s="10" t="s">
        <v>365</v>
      </c>
      <c r="L2" s="10" t="s">
        <v>366</v>
      </c>
      <c r="M2" s="10" t="s">
        <v>367</v>
      </c>
      <c r="N2" s="10" t="s">
        <v>368</v>
      </c>
      <c r="O2" s="10" t="s">
        <v>369</v>
      </c>
      <c r="P2" s="10" t="s">
        <v>370</v>
      </c>
      <c r="Q2" s="10" t="s">
        <v>371</v>
      </c>
      <c r="R2" s="10" t="s">
        <v>372</v>
      </c>
      <c r="S2" s="10" t="s">
        <v>373</v>
      </c>
      <c r="T2" s="10" t="s">
        <v>374</v>
      </c>
      <c r="U2" s="10" t="s">
        <v>375</v>
      </c>
      <c r="V2" s="10" t="s">
        <v>376</v>
      </c>
      <c r="W2" s="10" t="s">
        <v>377</v>
      </c>
      <c r="X2" s="10" t="s">
        <v>378</v>
      </c>
      <c r="Y2" s="10" t="s">
        <v>379</v>
      </c>
      <c r="Z2" s="10" t="s">
        <v>380</v>
      </c>
      <c r="AA2" s="10" t="s">
        <v>381</v>
      </c>
      <c r="AB2" s="10" t="s">
        <v>382</v>
      </c>
      <c r="AC2" s="10" t="s">
        <v>383</v>
      </c>
      <c r="AD2" s="10" t="s">
        <v>384</v>
      </c>
      <c r="AE2" s="10" t="s">
        <v>385</v>
      </c>
      <c r="AF2" s="10" t="s">
        <v>386</v>
      </c>
      <c r="AG2" s="10" t="s">
        <v>387</v>
      </c>
    </row>
    <row r="3" spans="2:33" ht="16.5" thickTop="1" thickBot="1" x14ac:dyDescent="0.3">
      <c r="B3" s="2" t="s">
        <v>1</v>
      </c>
      <c r="C3" s="28">
        <v>0.151</v>
      </c>
      <c r="D3" s="28">
        <v>0.15790000000000001</v>
      </c>
      <c r="E3" s="28">
        <v>0.1598</v>
      </c>
      <c r="F3" s="28">
        <v>0.1444</v>
      </c>
      <c r="G3" s="28">
        <v>0.14000000000000001</v>
      </c>
      <c r="H3" s="28">
        <v>0.15340000000000001</v>
      </c>
      <c r="I3" s="28">
        <v>0.1943</v>
      </c>
      <c r="J3" s="28">
        <v>0.14946000000000001</v>
      </c>
      <c r="K3" s="28">
        <v>0.15579999999999999</v>
      </c>
      <c r="L3" s="28">
        <v>0.16070000000000001</v>
      </c>
      <c r="M3" s="28">
        <v>0.153</v>
      </c>
      <c r="N3" s="28">
        <v>0.15040000000000001</v>
      </c>
      <c r="O3" s="28">
        <v>0.15809999999999999</v>
      </c>
      <c r="P3" s="28">
        <v>0.15640000000000001</v>
      </c>
      <c r="Q3" s="28">
        <v>0.1464</v>
      </c>
      <c r="R3" s="28">
        <v>0.1605</v>
      </c>
      <c r="S3" s="28">
        <v>0.15720000000000001</v>
      </c>
      <c r="T3" s="28">
        <v>0.15640000000000001</v>
      </c>
      <c r="U3" s="28">
        <v>0.15190000000000001</v>
      </c>
      <c r="V3" s="28">
        <v>0.152</v>
      </c>
      <c r="W3" s="28">
        <v>0.15939999999999999</v>
      </c>
      <c r="X3" s="28">
        <v>0.15390000000000001</v>
      </c>
      <c r="Y3" s="28">
        <v>0.15010000000000001</v>
      </c>
      <c r="Z3" s="28">
        <v>0.1641</v>
      </c>
      <c r="AA3" s="28">
        <v>0.14530000000000001</v>
      </c>
      <c r="AB3" s="28">
        <v>0.1542</v>
      </c>
      <c r="AC3" s="28">
        <v>0.16239999999999999</v>
      </c>
      <c r="AD3" s="28">
        <v>0.16020000000000001</v>
      </c>
      <c r="AE3" s="28">
        <v>0.14349999999999999</v>
      </c>
      <c r="AF3" s="28">
        <v>0.1583</v>
      </c>
      <c r="AG3" s="28">
        <v>0.15570000000000001</v>
      </c>
    </row>
    <row r="4" spans="2:33" ht="16.5" thickTop="1" thickBot="1" x14ac:dyDescent="0.3">
      <c r="B4" s="3" t="s">
        <v>2</v>
      </c>
      <c r="C4" s="28">
        <v>4.4600000000000001E-2</v>
      </c>
      <c r="D4" s="28">
        <v>3.6799999999999999E-2</v>
      </c>
      <c r="E4" s="28">
        <v>0.04</v>
      </c>
      <c r="F4" s="28">
        <v>5.0599999999999999E-2</v>
      </c>
      <c r="G4" s="28">
        <v>4.5499999999999999E-2</v>
      </c>
      <c r="H4" s="28">
        <v>3.5799999999999998E-2</v>
      </c>
      <c r="I4" s="28"/>
      <c r="J4" s="28">
        <v>3.8649999999999997E-2</v>
      </c>
      <c r="K4" s="28">
        <v>4.1200000000000001E-2</v>
      </c>
      <c r="L4" s="28">
        <v>3.5200000000000002E-2</v>
      </c>
      <c r="M4" s="28">
        <v>4.1000000000000002E-2</v>
      </c>
      <c r="N4" s="28">
        <v>5.2600000000000001E-2</v>
      </c>
      <c r="O4" s="28">
        <v>3.7499999999999999E-2</v>
      </c>
      <c r="P4" s="28">
        <v>3.9600000000000003E-2</v>
      </c>
      <c r="Q4" s="28">
        <v>4.1000000000000002E-2</v>
      </c>
      <c r="R4" s="28">
        <v>4.1700000000000001E-2</v>
      </c>
      <c r="S4" s="28">
        <v>4.4499999999999998E-2</v>
      </c>
      <c r="T4" s="28">
        <v>3.5299999999999998E-2</v>
      </c>
      <c r="U4" s="28">
        <v>4.9299999999999997E-2</v>
      </c>
      <c r="V4" s="28">
        <v>4.5699999999999998E-2</v>
      </c>
      <c r="W4" s="28">
        <v>4.2999999999999997E-2</v>
      </c>
      <c r="X4" s="28">
        <v>4.4999999999999998E-2</v>
      </c>
      <c r="Y4" s="28">
        <v>4.7300000000000002E-2</v>
      </c>
      <c r="Z4" s="28">
        <v>3.5499999999999997E-2</v>
      </c>
      <c r="AA4" s="28">
        <v>4.7699999999999999E-2</v>
      </c>
      <c r="AB4" s="28">
        <v>4.7699999999999999E-2</v>
      </c>
      <c r="AC4" s="28">
        <v>4.02E-2</v>
      </c>
      <c r="AD4" s="28">
        <v>3.9800000000000002E-2</v>
      </c>
      <c r="AE4" s="28">
        <v>4.41E-2</v>
      </c>
      <c r="AF4" s="28">
        <v>3.1399999999999997E-2</v>
      </c>
      <c r="AG4" s="28">
        <v>4.5499999999999999E-2</v>
      </c>
    </row>
    <row r="5" spans="2:33" ht="15.75" thickBot="1" x14ac:dyDescent="0.3">
      <c r="B5" s="3" t="s">
        <v>3</v>
      </c>
      <c r="C5" s="28"/>
      <c r="D5" s="28"/>
      <c r="E5" s="28"/>
      <c r="F5" s="28"/>
      <c r="G5" s="28"/>
      <c r="H5" s="28"/>
      <c r="I5" s="28">
        <v>0.21074999999999999</v>
      </c>
      <c r="J5" s="28">
        <v>0.21074999999999999</v>
      </c>
      <c r="K5" s="28"/>
      <c r="L5" s="28">
        <v>0.216</v>
      </c>
      <c r="M5" s="28"/>
      <c r="N5" s="28">
        <v>0.19769999999999999</v>
      </c>
      <c r="O5" s="28"/>
      <c r="P5" s="28">
        <v>0.16</v>
      </c>
      <c r="Q5" s="28">
        <v>0.20599999999999999</v>
      </c>
      <c r="R5" s="28"/>
      <c r="S5" s="28"/>
      <c r="T5" s="28">
        <v>0.21110000000000001</v>
      </c>
      <c r="U5" s="28"/>
      <c r="V5" s="28">
        <v>0.20499999999999999</v>
      </c>
      <c r="W5" s="28"/>
      <c r="X5" s="28"/>
      <c r="Y5" s="28"/>
      <c r="Z5" s="28"/>
      <c r="AA5" s="28">
        <v>0.19500000000000001</v>
      </c>
      <c r="AB5" s="28"/>
      <c r="AC5" s="28"/>
      <c r="AD5" s="28"/>
      <c r="AE5" s="28">
        <v>0.20330000000000001</v>
      </c>
      <c r="AF5" s="28"/>
      <c r="AG5" s="28">
        <v>0.20669999999999999</v>
      </c>
    </row>
    <row r="6" spans="2:33" ht="30.75" thickBot="1" x14ac:dyDescent="0.3">
      <c r="B6" s="3" t="s">
        <v>4</v>
      </c>
      <c r="C6" s="28"/>
      <c r="D6" s="28"/>
      <c r="E6" s="28"/>
      <c r="F6" s="28"/>
      <c r="G6" s="28"/>
      <c r="H6" s="28"/>
      <c r="I6" s="28"/>
      <c r="J6" s="28">
        <v>6.4399999999999999E-2</v>
      </c>
      <c r="K6" s="28"/>
      <c r="L6" s="28">
        <v>3.5200000000000002E-2</v>
      </c>
      <c r="M6" s="28"/>
      <c r="N6" s="28">
        <v>5.2600000000000001E-2</v>
      </c>
      <c r="O6" s="28"/>
      <c r="P6" s="28">
        <v>0.04</v>
      </c>
      <c r="Q6" s="28">
        <v>0.04</v>
      </c>
      <c r="R6" s="28"/>
      <c r="S6" s="28"/>
      <c r="T6" s="28">
        <v>3.6999999999999998E-2</v>
      </c>
      <c r="U6" s="28"/>
      <c r="V6" s="28">
        <v>4.4999999999999998E-2</v>
      </c>
      <c r="W6" s="28"/>
      <c r="X6" s="28"/>
      <c r="Y6" s="28"/>
      <c r="Z6" s="28"/>
      <c r="AA6" s="28">
        <v>0.05</v>
      </c>
      <c r="AB6" s="28"/>
      <c r="AC6" s="28"/>
      <c r="AD6" s="28"/>
      <c r="AE6" s="28">
        <v>4.3299999999999998E-2</v>
      </c>
      <c r="AF6" s="28"/>
      <c r="AG6" s="28">
        <v>4.6699999999999998E-2</v>
      </c>
    </row>
    <row r="7" spans="2:33" ht="15.75" thickBot="1" x14ac:dyDescent="0.3">
      <c r="B7" s="3" t="s">
        <v>5</v>
      </c>
      <c r="C7" s="28">
        <v>0.151</v>
      </c>
      <c r="D7" s="28"/>
      <c r="E7" s="28">
        <v>0.1598</v>
      </c>
      <c r="F7" s="28">
        <v>0.16</v>
      </c>
      <c r="G7" s="28">
        <v>0.14000000000000001</v>
      </c>
      <c r="H7" s="28">
        <v>0.15340000000000001</v>
      </c>
      <c r="I7" s="28"/>
      <c r="J7" s="28">
        <v>0.14946000000000001</v>
      </c>
      <c r="K7" s="28">
        <v>0.15579999999999999</v>
      </c>
      <c r="L7" s="28">
        <v>0.16070000000000001</v>
      </c>
      <c r="M7" s="28"/>
      <c r="N7" s="28"/>
      <c r="O7" s="28"/>
      <c r="P7" s="28">
        <v>0.15429999999999999</v>
      </c>
      <c r="Q7" s="28"/>
      <c r="R7" s="28"/>
      <c r="S7" s="28"/>
      <c r="T7" s="28">
        <v>0.15640000000000001</v>
      </c>
      <c r="U7" s="28"/>
      <c r="V7" s="28">
        <v>0.152</v>
      </c>
      <c r="W7" s="28"/>
      <c r="X7" s="28"/>
      <c r="Y7" s="28">
        <v>0.15010000000000001</v>
      </c>
      <c r="Z7" s="28">
        <v>0.1641</v>
      </c>
      <c r="AA7" s="28"/>
      <c r="AB7" s="28"/>
      <c r="AC7" s="28">
        <v>0.16239999999999999</v>
      </c>
      <c r="AD7" s="28"/>
      <c r="AE7" s="28"/>
      <c r="AF7" s="28">
        <v>0.1583</v>
      </c>
      <c r="AG7" s="28">
        <v>0.15570000000000001</v>
      </c>
    </row>
    <row r="8" spans="2:33" ht="30.75" thickBot="1" x14ac:dyDescent="0.3">
      <c r="B8" s="3" t="s">
        <v>6</v>
      </c>
      <c r="C8" s="28">
        <v>4.4600000000000001E-2</v>
      </c>
      <c r="D8" s="28"/>
      <c r="E8" s="28">
        <v>0.04</v>
      </c>
      <c r="F8" s="28">
        <v>4.7E-2</v>
      </c>
      <c r="G8" s="28">
        <v>4.5499999999999999E-2</v>
      </c>
      <c r="H8" s="28">
        <v>3.5799999999999998E-2</v>
      </c>
      <c r="I8" s="28"/>
      <c r="J8" s="28">
        <v>3.8649999999999997E-2</v>
      </c>
      <c r="K8" s="28">
        <v>4.1200000000000001E-2</v>
      </c>
      <c r="L8" s="28">
        <v>3.5200000000000002E-2</v>
      </c>
      <c r="M8" s="28"/>
      <c r="N8" s="28"/>
      <c r="O8" s="28"/>
      <c r="P8" s="28">
        <v>0.04</v>
      </c>
      <c r="Q8" s="28"/>
      <c r="R8" s="28"/>
      <c r="S8" s="28"/>
      <c r="T8" s="28">
        <v>3.5299999999999998E-2</v>
      </c>
      <c r="U8" s="28"/>
      <c r="V8" s="28">
        <v>4.5699999999999998E-2</v>
      </c>
      <c r="W8" s="28"/>
      <c r="X8" s="28"/>
      <c r="Y8" s="28">
        <v>4.7300000000000002E-2</v>
      </c>
      <c r="Z8" s="28">
        <v>3.5499999999999997E-2</v>
      </c>
      <c r="AA8" s="28"/>
      <c r="AB8" s="28"/>
      <c r="AC8" s="28">
        <v>4.02E-2</v>
      </c>
      <c r="AD8" s="28"/>
      <c r="AE8" s="28"/>
      <c r="AF8" s="28">
        <v>3.1399999999999997E-2</v>
      </c>
      <c r="AG8" s="28">
        <v>4.5499999999999999E-2</v>
      </c>
    </row>
    <row r="9" spans="2:33" ht="15.75" thickBot="1" x14ac:dyDescent="0.3">
      <c r="B9" s="3" t="s">
        <v>7</v>
      </c>
      <c r="C9" s="27">
        <v>5147</v>
      </c>
      <c r="D9" s="27">
        <v>5115</v>
      </c>
      <c r="E9" s="27">
        <v>5180</v>
      </c>
      <c r="F9" s="27">
        <v>5109</v>
      </c>
      <c r="G9" s="27">
        <v>5140</v>
      </c>
      <c r="H9" s="27">
        <v>5211</v>
      </c>
      <c r="I9" s="27">
        <v>5158</v>
      </c>
      <c r="J9" s="27">
        <v>5133</v>
      </c>
      <c r="K9" s="27">
        <v>5135</v>
      </c>
      <c r="L9" s="27">
        <v>5215</v>
      </c>
      <c r="M9" s="27">
        <v>5245</v>
      </c>
      <c r="N9" s="27">
        <v>5235</v>
      </c>
      <c r="O9" s="27">
        <v>5264</v>
      </c>
      <c r="P9" s="27">
        <v>5142</v>
      </c>
      <c r="Q9" s="27">
        <v>5164</v>
      </c>
      <c r="R9" s="27">
        <v>5184</v>
      </c>
      <c r="S9" s="27">
        <v>5136</v>
      </c>
      <c r="T9" s="27">
        <v>5147</v>
      </c>
      <c r="U9" s="27">
        <v>5140</v>
      </c>
      <c r="V9" s="27">
        <v>5184</v>
      </c>
      <c r="W9" s="27">
        <v>5215</v>
      </c>
      <c r="X9" s="27">
        <v>5203</v>
      </c>
      <c r="Y9" s="27">
        <v>5179</v>
      </c>
      <c r="Z9" s="27">
        <v>5211</v>
      </c>
      <c r="AA9" s="27">
        <v>5111</v>
      </c>
      <c r="AB9" s="27">
        <v>5161</v>
      </c>
      <c r="AC9" s="27">
        <v>5177</v>
      </c>
      <c r="AD9" s="27">
        <v>5145</v>
      </c>
      <c r="AE9" s="27">
        <v>5176</v>
      </c>
      <c r="AF9" s="27">
        <v>5148</v>
      </c>
      <c r="AG9" s="27">
        <v>5134</v>
      </c>
    </row>
  </sheetData>
  <pageMargins left="0.7" right="0.7" top="0.75" bottom="0.75" header="0.3" footer="0.3"/>
  <pageSetup paperSize="11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AD9"/>
  <sheetViews>
    <sheetView topLeftCell="K1" workbookViewId="0">
      <selection activeCell="T12" sqref="T12"/>
    </sheetView>
  </sheetViews>
  <sheetFormatPr defaultRowHeight="15" x14ac:dyDescent="0.25"/>
  <cols>
    <col min="2" max="2" width="28.5703125" customWidth="1"/>
    <col min="3" max="5" width="10.140625" customWidth="1"/>
  </cols>
  <sheetData>
    <row r="1" spans="2:30" ht="15.75" thickBot="1" x14ac:dyDescent="0.3"/>
    <row r="2" spans="2:30" ht="15.75" thickBot="1" x14ac:dyDescent="0.3">
      <c r="C2" s="10" t="s">
        <v>388</v>
      </c>
      <c r="D2" s="10" t="s">
        <v>389</v>
      </c>
      <c r="E2" s="10" t="s">
        <v>390</v>
      </c>
      <c r="F2" s="10" t="s">
        <v>391</v>
      </c>
      <c r="G2" s="10" t="s">
        <v>392</v>
      </c>
      <c r="H2" s="10" t="s">
        <v>393</v>
      </c>
      <c r="I2" s="10" t="s">
        <v>394</v>
      </c>
      <c r="J2" s="10" t="s">
        <v>395</v>
      </c>
      <c r="K2" s="10" t="s">
        <v>396</v>
      </c>
      <c r="L2" s="10" t="s">
        <v>397</v>
      </c>
      <c r="M2" s="10" t="s">
        <v>398</v>
      </c>
      <c r="N2" s="10" t="s">
        <v>399</v>
      </c>
      <c r="O2" s="10" t="s">
        <v>400</v>
      </c>
      <c r="P2" s="10" t="s">
        <v>401</v>
      </c>
      <c r="Q2" s="10" t="s">
        <v>402</v>
      </c>
      <c r="R2" s="10" t="s">
        <v>403</v>
      </c>
      <c r="S2" s="10" t="s">
        <v>404</v>
      </c>
      <c r="T2" s="10" t="s">
        <v>405</v>
      </c>
      <c r="U2" s="10" t="s">
        <v>406</v>
      </c>
      <c r="V2" s="10" t="s">
        <v>407</v>
      </c>
      <c r="W2" s="10" t="s">
        <v>408</v>
      </c>
      <c r="X2" s="10" t="s">
        <v>409</v>
      </c>
      <c r="Y2" s="10" t="s">
        <v>410</v>
      </c>
      <c r="Z2" s="10" t="s">
        <v>411</v>
      </c>
      <c r="AA2" s="10" t="s">
        <v>412</v>
      </c>
      <c r="AB2" s="10" t="s">
        <v>413</v>
      </c>
      <c r="AC2" s="10" t="s">
        <v>414</v>
      </c>
      <c r="AD2" s="10" t="s">
        <v>415</v>
      </c>
    </row>
    <row r="3" spans="2:30" ht="16.5" thickTop="1" thickBot="1" x14ac:dyDescent="0.3">
      <c r="B3" s="2" t="s">
        <v>1</v>
      </c>
      <c r="C3" s="28">
        <v>0.1595</v>
      </c>
      <c r="D3" s="28">
        <v>0.17080000000000001</v>
      </c>
      <c r="E3" s="28">
        <v>0.1525</v>
      </c>
      <c r="F3" s="28">
        <v>0.16039999999999999</v>
      </c>
      <c r="G3" s="28">
        <v>0.16420000000000001</v>
      </c>
      <c r="H3" s="28">
        <v>0.1661</v>
      </c>
      <c r="I3" s="28">
        <v>0.1565</v>
      </c>
      <c r="J3" s="28">
        <v>0.14799999999999999</v>
      </c>
      <c r="K3" s="67">
        <v>0.16200000000000001</v>
      </c>
      <c r="L3" s="28">
        <v>0.16819999999999999</v>
      </c>
      <c r="M3" s="28">
        <v>0.16400000000000001</v>
      </c>
      <c r="N3" s="28">
        <v>0.15759999999999999</v>
      </c>
      <c r="O3" s="28">
        <v>0.1633</v>
      </c>
      <c r="P3" s="28">
        <v>0.14249999999999999</v>
      </c>
      <c r="Q3" s="28"/>
      <c r="R3" s="28"/>
      <c r="S3" s="28"/>
      <c r="T3" s="28"/>
      <c r="U3" s="28"/>
      <c r="V3" s="28"/>
      <c r="W3" s="28">
        <v>0.1003</v>
      </c>
      <c r="X3" s="28">
        <v>0.1014</v>
      </c>
      <c r="Y3" s="28">
        <v>0.1229</v>
      </c>
      <c r="Z3" s="28">
        <v>9.8699999999999996E-2</v>
      </c>
      <c r="AA3" s="28">
        <v>0.12740000000000001</v>
      </c>
      <c r="AB3" s="28">
        <v>0.1234</v>
      </c>
      <c r="AC3" s="28">
        <v>0.124</v>
      </c>
      <c r="AD3" s="28">
        <v>0.14180000000000001</v>
      </c>
    </row>
    <row r="4" spans="2:30" ht="16.5" thickTop="1" thickBot="1" x14ac:dyDescent="0.3">
      <c r="B4" s="3" t="s">
        <v>2</v>
      </c>
      <c r="C4" s="28">
        <v>4.5100000000000001E-2</v>
      </c>
      <c r="D4" s="28">
        <v>3.4599999999999999E-2</v>
      </c>
      <c r="E4" s="28">
        <v>5.5E-2</v>
      </c>
      <c r="F4" s="28">
        <v>5.45E-2</v>
      </c>
      <c r="G4" s="28">
        <v>5.0299999999999997E-2</v>
      </c>
      <c r="H4" s="28">
        <v>4.4600000000000001E-2</v>
      </c>
      <c r="I4" s="28">
        <v>4.8300000000000003E-2</v>
      </c>
      <c r="J4" s="28">
        <v>5.6099999999999997E-2</v>
      </c>
      <c r="K4" s="28">
        <v>4.1300000000000003E-2</v>
      </c>
      <c r="L4" s="28">
        <v>3.5499999999999997E-2</v>
      </c>
      <c r="M4" s="28">
        <v>4.3299999999999998E-2</v>
      </c>
      <c r="N4" s="28">
        <v>0.05</v>
      </c>
      <c r="O4" s="28">
        <v>4.2500000000000003E-2</v>
      </c>
      <c r="P4" s="28">
        <v>5.8900000000000001E-2</v>
      </c>
      <c r="Q4" s="28"/>
      <c r="R4" s="28"/>
      <c r="S4" s="28"/>
      <c r="T4" s="28"/>
      <c r="U4" s="28"/>
      <c r="V4" s="28"/>
      <c r="W4" s="28"/>
      <c r="X4" s="28">
        <v>2.9000000000000001E-2</v>
      </c>
      <c r="Y4" s="28">
        <v>4.3499999999999997E-2</v>
      </c>
      <c r="Z4" s="28">
        <v>4.24E-2</v>
      </c>
      <c r="AA4" s="28">
        <v>4.3999999999999997E-2</v>
      </c>
      <c r="AB4" s="28">
        <v>4.87E-2</v>
      </c>
      <c r="AC4" s="28">
        <v>3.61E-2</v>
      </c>
      <c r="AD4" s="28">
        <v>2.3099999999999999E-2</v>
      </c>
    </row>
    <row r="5" spans="2:30" ht="15.75" thickBot="1" x14ac:dyDescent="0.3">
      <c r="B5" s="3" t="s">
        <v>3</v>
      </c>
      <c r="C5" s="28"/>
      <c r="D5" s="28"/>
      <c r="E5" s="28">
        <v>0.19</v>
      </c>
      <c r="F5" s="10"/>
      <c r="G5" s="28">
        <v>0.16</v>
      </c>
      <c r="H5" s="28"/>
      <c r="I5" s="28">
        <v>0.20330000000000001</v>
      </c>
      <c r="J5" s="28">
        <v>0.19670000000000001</v>
      </c>
      <c r="K5" s="67">
        <v>0.1633</v>
      </c>
      <c r="L5" s="28">
        <v>0.17</v>
      </c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>
        <v>0.2</v>
      </c>
      <c r="AA5" s="28"/>
      <c r="AB5" s="28"/>
      <c r="AC5" s="28"/>
      <c r="AD5" s="28"/>
    </row>
    <row r="6" spans="2:30" ht="30.75" thickBot="1" x14ac:dyDescent="0.3">
      <c r="B6" s="3" t="s">
        <v>4</v>
      </c>
      <c r="C6" s="28"/>
      <c r="D6" s="28"/>
      <c r="E6" s="28">
        <v>0.06</v>
      </c>
      <c r="F6" s="10"/>
      <c r="G6" s="28">
        <v>0.05</v>
      </c>
      <c r="H6" s="28"/>
      <c r="I6" s="28">
        <v>0.05</v>
      </c>
      <c r="J6" s="28">
        <v>5.67E-2</v>
      </c>
      <c r="K6" s="28">
        <v>0.04</v>
      </c>
      <c r="L6" s="28">
        <v>3.6700000000000003E-2</v>
      </c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>
        <v>4.24E-2</v>
      </c>
      <c r="AA6" s="28"/>
      <c r="AB6" s="28"/>
      <c r="AC6" s="28"/>
      <c r="AD6" s="28"/>
    </row>
    <row r="7" spans="2:30" ht="15.75" thickBot="1" x14ac:dyDescent="0.3">
      <c r="B7" s="3" t="s">
        <v>5</v>
      </c>
      <c r="C7" s="28"/>
      <c r="D7" s="28">
        <v>0.17080000000000001</v>
      </c>
      <c r="E7" s="28">
        <v>0.1525</v>
      </c>
      <c r="F7" s="10"/>
      <c r="G7" s="10"/>
      <c r="H7" s="28">
        <v>0.1661</v>
      </c>
      <c r="I7" s="28"/>
      <c r="J7" s="28">
        <v>0.14799999999999999</v>
      </c>
      <c r="K7" s="67">
        <v>0.16</v>
      </c>
      <c r="L7" s="28">
        <v>0.17</v>
      </c>
      <c r="M7" s="28"/>
      <c r="N7" s="28">
        <v>0.1467</v>
      </c>
      <c r="O7" s="28">
        <v>0.1633</v>
      </c>
      <c r="P7" s="28"/>
      <c r="Q7" s="28"/>
      <c r="R7" s="28"/>
      <c r="S7" s="28"/>
      <c r="T7" s="28"/>
      <c r="U7" s="28"/>
      <c r="V7" s="28"/>
      <c r="W7" s="28"/>
      <c r="X7" s="28">
        <v>0.1014</v>
      </c>
      <c r="Y7" s="28">
        <v>0.1</v>
      </c>
      <c r="Z7" s="28">
        <v>9.8699999999999996E-2</v>
      </c>
      <c r="AA7" s="28"/>
      <c r="AB7" s="28">
        <v>0.1234</v>
      </c>
      <c r="AC7" s="28">
        <v>0.124</v>
      </c>
      <c r="AD7" s="28">
        <v>0.14180000000000001</v>
      </c>
    </row>
    <row r="8" spans="2:30" ht="30.75" thickBot="1" x14ac:dyDescent="0.3">
      <c r="B8" s="3" t="s">
        <v>6</v>
      </c>
      <c r="C8" s="28"/>
      <c r="D8" s="28">
        <v>3.4599999999999999E-2</v>
      </c>
      <c r="E8" s="28">
        <v>5.5E-2</v>
      </c>
      <c r="F8" s="10"/>
      <c r="G8" s="10"/>
      <c r="H8" s="28">
        <v>4.4600000000000001E-2</v>
      </c>
      <c r="I8" s="28"/>
      <c r="J8" s="28">
        <v>5.6099999999999997E-2</v>
      </c>
      <c r="K8" s="28">
        <v>0.04</v>
      </c>
      <c r="L8" s="28">
        <v>3.5000000000000003E-2</v>
      </c>
      <c r="M8" s="28"/>
      <c r="N8" s="28">
        <v>5.67E-2</v>
      </c>
      <c r="O8" s="28">
        <v>4.1700000000000001E-2</v>
      </c>
      <c r="P8" s="28"/>
      <c r="Q8" s="28"/>
      <c r="R8" s="28"/>
      <c r="S8" s="28"/>
      <c r="T8" s="28"/>
      <c r="U8" s="28"/>
      <c r="V8" s="28"/>
      <c r="W8" s="28"/>
      <c r="X8" s="28">
        <v>2.9000000000000001E-2</v>
      </c>
      <c r="Y8" s="28">
        <v>2.8000000000000001E-2</v>
      </c>
      <c r="Z8" s="28">
        <v>4.24E-2</v>
      </c>
      <c r="AA8" s="28"/>
      <c r="AB8" s="28">
        <v>4.87E-2</v>
      </c>
      <c r="AC8" s="28">
        <v>3.61E-2</v>
      </c>
      <c r="AD8" s="28">
        <v>2.3099999999999999E-2</v>
      </c>
    </row>
    <row r="9" spans="2:30" ht="15.75" thickBot="1" x14ac:dyDescent="0.3">
      <c r="B9" s="3" t="s">
        <v>7</v>
      </c>
      <c r="C9" s="27">
        <v>5109</v>
      </c>
      <c r="D9" s="27">
        <v>5135</v>
      </c>
      <c r="E9" s="27">
        <v>5128</v>
      </c>
      <c r="F9" s="10">
        <v>5150</v>
      </c>
      <c r="G9" s="10">
        <v>5099</v>
      </c>
      <c r="H9" s="10">
        <v>5185</v>
      </c>
      <c r="I9" s="10">
        <v>5110</v>
      </c>
      <c r="J9" s="10">
        <v>5153</v>
      </c>
      <c r="K9" s="27">
        <v>5089</v>
      </c>
      <c r="L9" s="27">
        <v>5201</v>
      </c>
      <c r="M9" s="27">
        <v>5199</v>
      </c>
      <c r="N9" s="27">
        <v>5180</v>
      </c>
      <c r="O9" s="27">
        <v>5231</v>
      </c>
      <c r="P9" s="27">
        <v>5172</v>
      </c>
      <c r="Q9" s="27">
        <v>5050</v>
      </c>
      <c r="R9" s="27">
        <v>5094</v>
      </c>
      <c r="S9" s="27">
        <v>5088</v>
      </c>
      <c r="T9" s="27">
        <v>5075</v>
      </c>
      <c r="U9" s="27">
        <v>5062</v>
      </c>
      <c r="V9" s="27">
        <v>5014</v>
      </c>
      <c r="W9" s="27">
        <v>5027</v>
      </c>
      <c r="X9" s="27">
        <v>4859</v>
      </c>
      <c r="Y9" s="27">
        <v>4805</v>
      </c>
      <c r="Z9" s="27">
        <v>4905</v>
      </c>
      <c r="AA9" s="27">
        <v>5103</v>
      </c>
      <c r="AB9" s="27">
        <v>5130</v>
      </c>
      <c r="AC9" s="27">
        <v>5115</v>
      </c>
      <c r="AD9" s="27">
        <v>5189</v>
      </c>
    </row>
  </sheetData>
  <phoneticPr fontId="2" type="noConversion"/>
  <pageMargins left="0.7" right="0.7" top="0.75" bottom="0.75" header="0.3" footer="0.3"/>
  <pageSetup paperSize="11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AG9"/>
  <sheetViews>
    <sheetView topLeftCell="O1" workbookViewId="0">
      <selection activeCell="AE11" sqref="AE11"/>
    </sheetView>
  </sheetViews>
  <sheetFormatPr defaultRowHeight="15" x14ac:dyDescent="0.25"/>
  <cols>
    <col min="2" max="2" width="28.5703125" customWidth="1"/>
    <col min="3" max="6" width="10.140625" customWidth="1"/>
    <col min="7" max="33" width="9.42578125" customWidth="1"/>
  </cols>
  <sheetData>
    <row r="1" spans="2:33" ht="15.75" thickBot="1" x14ac:dyDescent="0.3"/>
    <row r="2" spans="2:33" ht="15.75" thickBot="1" x14ac:dyDescent="0.3">
      <c r="C2" s="10" t="s">
        <v>416</v>
      </c>
      <c r="D2" s="10" t="s">
        <v>417</v>
      </c>
      <c r="E2" s="10" t="s">
        <v>418</v>
      </c>
      <c r="F2" s="29" t="s">
        <v>419</v>
      </c>
      <c r="G2" s="29" t="s">
        <v>420</v>
      </c>
      <c r="H2" s="29" t="s">
        <v>421</v>
      </c>
      <c r="I2" s="29" t="s">
        <v>422</v>
      </c>
      <c r="J2" s="29" t="s">
        <v>423</v>
      </c>
      <c r="K2" s="29" t="s">
        <v>424</v>
      </c>
      <c r="L2" s="29" t="s">
        <v>425</v>
      </c>
      <c r="M2" s="29" t="s">
        <v>426</v>
      </c>
      <c r="N2" s="29" t="s">
        <v>427</v>
      </c>
      <c r="O2" s="29" t="s">
        <v>428</v>
      </c>
      <c r="P2" s="29" t="s">
        <v>429</v>
      </c>
      <c r="Q2" s="29" t="s">
        <v>430</v>
      </c>
      <c r="R2" s="29" t="s">
        <v>431</v>
      </c>
      <c r="S2" s="29" t="s">
        <v>432</v>
      </c>
      <c r="T2" s="29" t="s">
        <v>434</v>
      </c>
      <c r="U2" s="29" t="s">
        <v>433</v>
      </c>
      <c r="V2" s="29" t="s">
        <v>435</v>
      </c>
      <c r="W2" s="29" t="s">
        <v>436</v>
      </c>
      <c r="X2" s="29" t="s">
        <v>437</v>
      </c>
      <c r="Y2" s="29" t="s">
        <v>438</v>
      </c>
      <c r="Z2" s="29" t="s">
        <v>439</v>
      </c>
      <c r="AA2" s="29" t="s">
        <v>440</v>
      </c>
      <c r="AB2" s="29" t="s">
        <v>441</v>
      </c>
      <c r="AC2" s="29" t="s">
        <v>442</v>
      </c>
      <c r="AD2" s="29" t="s">
        <v>443</v>
      </c>
      <c r="AE2" s="29" t="s">
        <v>444</v>
      </c>
      <c r="AF2" s="29" t="s">
        <v>445</v>
      </c>
      <c r="AG2" s="29" t="s">
        <v>446</v>
      </c>
    </row>
    <row r="3" spans="2:33" ht="16.5" thickTop="1" thickBot="1" x14ac:dyDescent="0.3">
      <c r="B3" s="2" t="s">
        <v>1</v>
      </c>
      <c r="C3" s="28">
        <v>0.1116</v>
      </c>
      <c r="D3" s="28">
        <v>0.12820000000000001</v>
      </c>
      <c r="E3" s="28">
        <v>0.1343</v>
      </c>
      <c r="F3" s="30">
        <v>0.10780000000000001</v>
      </c>
      <c r="G3" s="30">
        <v>0.1371</v>
      </c>
      <c r="H3" s="30">
        <v>0.15579999999999999</v>
      </c>
      <c r="I3" s="30">
        <v>0.18190000000000001</v>
      </c>
      <c r="J3" s="30">
        <v>0.1651</v>
      </c>
      <c r="K3" s="30">
        <v>0.13669999999999999</v>
      </c>
      <c r="L3" s="30">
        <v>0.15310000000000001</v>
      </c>
      <c r="M3" s="30">
        <v>0.15679999999999999</v>
      </c>
      <c r="N3" s="30">
        <v>0.1305</v>
      </c>
      <c r="O3" s="30">
        <v>0.14860000000000001</v>
      </c>
      <c r="P3" s="30">
        <v>0.16109999999999999</v>
      </c>
      <c r="Q3" s="30">
        <v>0.1104</v>
      </c>
      <c r="R3" s="30">
        <v>0.17449999999999999</v>
      </c>
      <c r="S3" s="30">
        <v>0.1694</v>
      </c>
      <c r="T3" s="30">
        <v>0.17130000000000001</v>
      </c>
      <c r="U3" s="30">
        <v>0.1784</v>
      </c>
      <c r="V3" s="30">
        <v>0.1822</v>
      </c>
      <c r="W3" s="30">
        <v>0.1673</v>
      </c>
      <c r="X3" s="30">
        <v>0.15959999999999999</v>
      </c>
      <c r="Y3" s="30">
        <v>0.16669999999999999</v>
      </c>
      <c r="Z3" s="30">
        <v>0.14130000000000001</v>
      </c>
      <c r="AA3" s="30">
        <v>0.1585</v>
      </c>
      <c r="AB3" s="30">
        <v>0.13880000000000001</v>
      </c>
      <c r="AC3" s="30">
        <v>0.15759999999999999</v>
      </c>
      <c r="AD3" s="30">
        <v>0.15359999999999999</v>
      </c>
      <c r="AE3" s="30">
        <v>0.159</v>
      </c>
      <c r="AF3" s="30">
        <v>0.1489</v>
      </c>
      <c r="AG3" s="30">
        <v>0.1283</v>
      </c>
    </row>
    <row r="4" spans="2:33" ht="16.5" thickTop="1" thickBot="1" x14ac:dyDescent="0.3">
      <c r="B4" s="3" t="s">
        <v>2</v>
      </c>
      <c r="C4" s="28">
        <v>4.6899999999999997E-2</v>
      </c>
      <c r="D4" s="28">
        <v>3.9E-2</v>
      </c>
      <c r="E4" s="28">
        <v>4.02E-2</v>
      </c>
      <c r="F4" s="30">
        <v>4.7E-2</v>
      </c>
      <c r="G4" s="30">
        <v>4.9099999999999998E-2</v>
      </c>
      <c r="H4" s="30"/>
      <c r="I4" s="30"/>
      <c r="J4" s="30">
        <v>1.18E-2</v>
      </c>
      <c r="K4" s="30">
        <v>4.2799999999999998E-2</v>
      </c>
      <c r="L4" s="30">
        <v>3.9899999999999998E-2</v>
      </c>
      <c r="M4" s="30">
        <v>3.2099999999999997E-2</v>
      </c>
      <c r="N4" s="30">
        <v>3.9399999999999998E-2</v>
      </c>
      <c r="O4" s="30">
        <v>3.5999999999999997E-2</v>
      </c>
      <c r="P4" s="30">
        <v>3.56E-2</v>
      </c>
      <c r="Q4" s="30">
        <v>3.61E-2</v>
      </c>
      <c r="R4" s="30">
        <v>3.7699999999999997E-2</v>
      </c>
      <c r="S4" s="30">
        <v>3.9600000000000003E-2</v>
      </c>
      <c r="T4" s="30">
        <v>3.0200000000000001E-2</v>
      </c>
      <c r="U4" s="30">
        <v>1.9E-2</v>
      </c>
      <c r="V4" s="30">
        <v>2.5100000000000001E-2</v>
      </c>
      <c r="W4" s="30">
        <v>2.35E-2</v>
      </c>
      <c r="X4" s="30">
        <v>3.5799999999999998E-2</v>
      </c>
      <c r="Y4" s="30">
        <v>3.9E-2</v>
      </c>
      <c r="Z4" s="30">
        <v>4.82E-2</v>
      </c>
      <c r="AA4" s="30">
        <v>3.6499999999999998E-2</v>
      </c>
      <c r="AB4" s="30">
        <v>4.2200000000000001E-2</v>
      </c>
      <c r="AC4" s="30">
        <v>3.5900000000000001E-2</v>
      </c>
      <c r="AD4" s="30">
        <v>3.4099999999999998E-2</v>
      </c>
      <c r="AE4" s="30">
        <v>2.1399999999999999E-2</v>
      </c>
      <c r="AF4" s="30">
        <v>2.7400000000000001E-2</v>
      </c>
      <c r="AG4" s="30">
        <v>3.6499999999999998E-2</v>
      </c>
    </row>
    <row r="5" spans="2:33" ht="15.75" thickBot="1" x14ac:dyDescent="0.3">
      <c r="B5" s="3" t="s">
        <v>3</v>
      </c>
      <c r="C5" s="28">
        <v>0.1976</v>
      </c>
      <c r="D5" s="28">
        <v>0</v>
      </c>
      <c r="E5" s="28">
        <v>0.20130000000000001</v>
      </c>
      <c r="F5" s="30"/>
      <c r="G5" s="30"/>
      <c r="H5" s="30">
        <v>0.23749999999999999</v>
      </c>
      <c r="I5" s="30"/>
      <c r="J5" s="30"/>
      <c r="K5" s="30"/>
      <c r="L5" s="30"/>
      <c r="M5" s="30"/>
      <c r="N5" s="30">
        <v>0.20200000000000001</v>
      </c>
      <c r="O5" s="30"/>
      <c r="P5" s="30"/>
      <c r="Q5" s="30"/>
      <c r="R5" s="30"/>
      <c r="S5" s="30"/>
      <c r="T5" s="30"/>
      <c r="U5" s="30"/>
      <c r="V5" s="30"/>
      <c r="W5" s="30">
        <v>0.22220000000000001</v>
      </c>
      <c r="X5" s="30"/>
      <c r="Y5" s="30"/>
      <c r="Z5" s="30"/>
      <c r="AA5" s="30"/>
      <c r="AB5" s="30">
        <v>0.20250000000000001</v>
      </c>
      <c r="AC5" s="30"/>
      <c r="AD5" s="30">
        <v>0.21820000000000001</v>
      </c>
      <c r="AE5" s="30"/>
      <c r="AF5" s="30"/>
      <c r="AG5" s="30">
        <v>0.21210000000000001</v>
      </c>
    </row>
    <row r="6" spans="2:33" ht="30.75" thickBot="1" x14ac:dyDescent="0.3">
      <c r="B6" s="3" t="s">
        <v>4</v>
      </c>
      <c r="C6" s="28">
        <v>4.6899999999999997E-2</v>
      </c>
      <c r="D6" s="28">
        <v>0</v>
      </c>
      <c r="E6" s="28">
        <v>4.02E-2</v>
      </c>
      <c r="F6" s="30"/>
      <c r="G6" s="30"/>
      <c r="H6" s="30"/>
      <c r="I6" s="30"/>
      <c r="J6" s="30"/>
      <c r="K6" s="30"/>
      <c r="L6" s="30"/>
      <c r="M6" s="30"/>
      <c r="N6" s="30">
        <v>0.04</v>
      </c>
      <c r="O6" s="30"/>
      <c r="P6" s="30"/>
      <c r="Q6" s="30"/>
      <c r="R6" s="30"/>
      <c r="S6" s="30"/>
      <c r="T6" s="30"/>
      <c r="U6" s="30"/>
      <c r="V6" s="30"/>
      <c r="W6" s="30">
        <v>2.35E-2</v>
      </c>
      <c r="X6" s="30"/>
      <c r="Y6" s="30"/>
      <c r="Z6" s="30"/>
      <c r="AA6" s="30"/>
      <c r="AB6" s="30">
        <v>4.2200000000000001E-2</v>
      </c>
      <c r="AC6" s="30"/>
      <c r="AD6" s="30">
        <v>3.4099999999999998E-2</v>
      </c>
      <c r="AE6" s="30"/>
      <c r="AF6" s="30"/>
      <c r="AG6" s="30">
        <v>3.6499999999999998E-2</v>
      </c>
    </row>
    <row r="7" spans="2:33" ht="15.75" thickBot="1" x14ac:dyDescent="0.3">
      <c r="B7" s="3" t="s">
        <v>5</v>
      </c>
      <c r="C7" s="28">
        <v>0.1116</v>
      </c>
      <c r="D7" s="28">
        <v>0.12820000000000001</v>
      </c>
      <c r="E7" s="28">
        <v>0.1343</v>
      </c>
      <c r="F7" s="30">
        <v>0.17</v>
      </c>
      <c r="G7" s="30">
        <v>0.1371</v>
      </c>
      <c r="H7" s="30"/>
      <c r="I7" s="30">
        <v>0.18190000000000001</v>
      </c>
      <c r="J7" s="30"/>
      <c r="K7" s="30"/>
      <c r="L7" s="30">
        <v>0.15310000000000001</v>
      </c>
      <c r="M7" s="30">
        <v>0.15679999999999999</v>
      </c>
      <c r="N7" s="30"/>
      <c r="O7" s="30"/>
      <c r="P7" s="30">
        <v>0.16109999999999999</v>
      </c>
      <c r="Q7" s="30">
        <v>0.1104</v>
      </c>
      <c r="R7" s="30">
        <v>0.17449999999999999</v>
      </c>
      <c r="S7" s="30">
        <v>0.1694</v>
      </c>
      <c r="T7" s="30">
        <v>0.17130000000000001</v>
      </c>
      <c r="U7" s="30">
        <v>0.1784</v>
      </c>
      <c r="V7" s="30">
        <v>0.1822</v>
      </c>
      <c r="W7" s="30">
        <v>0.1673</v>
      </c>
      <c r="X7" s="30">
        <v>0.15959999999999999</v>
      </c>
      <c r="Y7" s="30">
        <v>0.16669999999999999</v>
      </c>
      <c r="Z7" s="30">
        <v>0.14130000000000001</v>
      </c>
      <c r="AA7" s="30"/>
      <c r="AB7" s="30">
        <v>0.13880000000000001</v>
      </c>
      <c r="AC7" s="30">
        <v>0.15759999999999999</v>
      </c>
      <c r="AD7" s="30"/>
      <c r="AE7" s="30"/>
      <c r="AF7" s="30"/>
      <c r="AG7" s="30">
        <v>0.1283</v>
      </c>
    </row>
    <row r="8" spans="2:33" ht="30.75" thickBot="1" x14ac:dyDescent="0.3">
      <c r="B8" s="3" t="s">
        <v>6</v>
      </c>
      <c r="C8" s="28">
        <v>4.6899999999999997E-2</v>
      </c>
      <c r="D8" s="28">
        <v>3.9E-2</v>
      </c>
      <c r="E8" s="28">
        <v>4.02E-2</v>
      </c>
      <c r="F8" s="30">
        <v>0.04</v>
      </c>
      <c r="G8" s="30">
        <v>4.9099999999999998E-2</v>
      </c>
      <c r="H8" s="30"/>
      <c r="I8" s="30"/>
      <c r="J8" s="30"/>
      <c r="K8" s="30"/>
      <c r="L8" s="30">
        <v>3.9899999999999998E-2</v>
      </c>
      <c r="M8" s="30">
        <v>3.2099999999999997E-2</v>
      </c>
      <c r="N8" s="30"/>
      <c r="O8" s="30"/>
      <c r="P8" s="30">
        <v>3.56E-2</v>
      </c>
      <c r="Q8" s="30">
        <v>3.61E-2</v>
      </c>
      <c r="R8" s="30">
        <v>3.7699999999999997E-2</v>
      </c>
      <c r="S8" s="30">
        <v>3.9600000000000003E-2</v>
      </c>
      <c r="T8" s="30">
        <v>3.0200000000000001E-2</v>
      </c>
      <c r="U8" s="30">
        <v>2.58E-2</v>
      </c>
      <c r="V8" s="30">
        <v>2.5100000000000001E-2</v>
      </c>
      <c r="W8" s="30">
        <v>2.35E-2</v>
      </c>
      <c r="X8" s="30">
        <v>3.5799999999999998E-2</v>
      </c>
      <c r="Y8" s="30">
        <v>3.9E-2</v>
      </c>
      <c r="Z8" s="30">
        <v>4.82E-2</v>
      </c>
      <c r="AA8" s="30"/>
      <c r="AB8" s="30">
        <v>4.2200000000000001E-2</v>
      </c>
      <c r="AC8" s="30">
        <v>3.5900000000000001E-2</v>
      </c>
      <c r="AD8" s="30"/>
      <c r="AE8" s="30"/>
      <c r="AF8" s="30"/>
      <c r="AG8" s="30">
        <v>3.6499999999999998E-2</v>
      </c>
    </row>
    <row r="9" spans="2:33" ht="15.75" thickBot="1" x14ac:dyDescent="0.3">
      <c r="B9" s="3" t="s">
        <v>7</v>
      </c>
      <c r="C9" s="27">
        <v>5168</v>
      </c>
      <c r="D9" s="27">
        <v>5139</v>
      </c>
      <c r="E9" s="27">
        <v>5196</v>
      </c>
      <c r="F9" s="33">
        <v>5186</v>
      </c>
      <c r="G9" s="33">
        <v>5136</v>
      </c>
      <c r="H9" s="33">
        <v>5179</v>
      </c>
      <c r="I9" s="33"/>
      <c r="J9" s="33"/>
      <c r="K9" s="33">
        <v>5130</v>
      </c>
      <c r="L9" s="33">
        <v>5252</v>
      </c>
      <c r="M9" s="33">
        <v>5211</v>
      </c>
      <c r="N9" s="33">
        <v>5268</v>
      </c>
      <c r="O9" s="33">
        <v>5205</v>
      </c>
      <c r="P9" s="33">
        <v>5212</v>
      </c>
      <c r="Q9" s="33">
        <v>5194</v>
      </c>
      <c r="R9" s="33">
        <v>5225</v>
      </c>
      <c r="S9" s="33">
        <v>5219</v>
      </c>
      <c r="T9" s="33">
        <v>5205</v>
      </c>
      <c r="U9" s="33">
        <v>5195</v>
      </c>
      <c r="V9" s="33">
        <v>5000</v>
      </c>
      <c r="W9" s="33">
        <v>5025</v>
      </c>
      <c r="X9" s="33">
        <v>5007</v>
      </c>
      <c r="Y9" s="33">
        <v>4989</v>
      </c>
      <c r="Z9" s="33">
        <v>4980</v>
      </c>
      <c r="AA9" s="33">
        <v>4864</v>
      </c>
      <c r="AB9" s="33">
        <v>4942</v>
      </c>
      <c r="AC9" s="33">
        <v>4985</v>
      </c>
      <c r="AD9" s="33">
        <v>4950</v>
      </c>
      <c r="AE9" s="33">
        <v>4948</v>
      </c>
      <c r="AF9" s="33">
        <v>4928</v>
      </c>
      <c r="AG9" s="33">
        <v>4895</v>
      </c>
    </row>
  </sheetData>
  <pageMargins left="0.7" right="0.7" top="0.75" bottom="0.75" header="0.3" footer="0.3"/>
  <pageSetup paperSize="11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AE9"/>
  <sheetViews>
    <sheetView topLeftCell="U1" workbookViewId="0">
      <selection activeCell="AH8" sqref="AH8"/>
    </sheetView>
  </sheetViews>
  <sheetFormatPr defaultRowHeight="15" x14ac:dyDescent="0.25"/>
  <cols>
    <col min="2" max="2" width="28.5703125" customWidth="1"/>
    <col min="3" max="31" width="10.140625" customWidth="1"/>
  </cols>
  <sheetData>
    <row r="1" spans="2:31" ht="15.75" thickBot="1" x14ac:dyDescent="0.3"/>
    <row r="2" spans="2:31" ht="15.75" thickBot="1" x14ac:dyDescent="0.3">
      <c r="C2" s="10" t="s">
        <v>447</v>
      </c>
      <c r="D2" s="10" t="s">
        <v>448</v>
      </c>
      <c r="E2" s="10" t="s">
        <v>449</v>
      </c>
      <c r="F2" s="10" t="s">
        <v>450</v>
      </c>
      <c r="G2" s="10" t="s">
        <v>451</v>
      </c>
      <c r="H2" s="10" t="s">
        <v>452</v>
      </c>
      <c r="I2" s="10" t="s">
        <v>453</v>
      </c>
      <c r="J2" s="10" t="s">
        <v>454</v>
      </c>
      <c r="K2" s="10" t="s">
        <v>455</v>
      </c>
      <c r="L2" s="10" t="s">
        <v>456</v>
      </c>
      <c r="M2" s="10" t="s">
        <v>457</v>
      </c>
      <c r="N2" s="10" t="s">
        <v>458</v>
      </c>
      <c r="O2" s="10" t="s">
        <v>459</v>
      </c>
      <c r="P2" s="10" t="s">
        <v>460</v>
      </c>
      <c r="Q2" s="10" t="s">
        <v>461</v>
      </c>
      <c r="R2" s="10" t="s">
        <v>462</v>
      </c>
      <c r="S2" s="10" t="s">
        <v>463</v>
      </c>
      <c r="T2" s="10" t="s">
        <v>464</v>
      </c>
      <c r="U2" s="10" t="s">
        <v>465</v>
      </c>
      <c r="V2" s="10" t="s">
        <v>466</v>
      </c>
      <c r="W2" s="10" t="s">
        <v>467</v>
      </c>
      <c r="X2" s="10" t="s">
        <v>468</v>
      </c>
      <c r="Y2" s="10" t="s">
        <v>469</v>
      </c>
      <c r="Z2" s="10" t="s">
        <v>470</v>
      </c>
      <c r="AA2" s="10" t="s">
        <v>471</v>
      </c>
      <c r="AB2" s="10" t="s">
        <v>472</v>
      </c>
      <c r="AC2" s="10" t="s">
        <v>473</v>
      </c>
      <c r="AD2" s="10" t="s">
        <v>474</v>
      </c>
      <c r="AE2" s="10" t="s">
        <v>475</v>
      </c>
    </row>
    <row r="3" spans="2:31" ht="16.5" thickTop="1" thickBot="1" x14ac:dyDescent="0.3">
      <c r="B3" s="2" t="s">
        <v>1</v>
      </c>
      <c r="C3" s="28">
        <v>0.1875</v>
      </c>
      <c r="D3" s="28">
        <v>0.15870000000000001</v>
      </c>
      <c r="E3" s="28">
        <v>0.16619999999999999</v>
      </c>
      <c r="F3" s="28">
        <v>0.18640000000000001</v>
      </c>
      <c r="G3" s="28">
        <v>0.19159999999999999</v>
      </c>
      <c r="H3" s="28">
        <v>0.1792</v>
      </c>
      <c r="I3" s="28">
        <v>0.184</v>
      </c>
      <c r="J3" s="28">
        <v>0.18129999999999999</v>
      </c>
      <c r="K3" s="28">
        <v>0.1055</v>
      </c>
      <c r="L3" s="28"/>
      <c r="M3" s="28">
        <v>0.17480000000000001</v>
      </c>
      <c r="N3" s="28">
        <v>0.17879999999999999</v>
      </c>
      <c r="O3" s="28">
        <v>0.1661</v>
      </c>
      <c r="P3" s="28">
        <v>0.1704</v>
      </c>
      <c r="Q3" s="28">
        <v>0.14599999999999999</v>
      </c>
      <c r="R3" s="28">
        <v>0.17899999999999999</v>
      </c>
      <c r="S3" s="28">
        <v>0.1106</v>
      </c>
      <c r="T3" s="28">
        <v>0.1167</v>
      </c>
      <c r="U3" s="28">
        <v>0.11700000000000001</v>
      </c>
      <c r="V3" s="28">
        <v>0.1167</v>
      </c>
      <c r="W3" s="28">
        <v>0.12670000000000001</v>
      </c>
      <c r="X3" s="28">
        <v>0.1321</v>
      </c>
      <c r="Y3" s="28">
        <v>9.9000000000000005E-2</v>
      </c>
      <c r="Z3" s="28">
        <v>0.11509999999999999</v>
      </c>
      <c r="AA3" s="28">
        <v>0.115</v>
      </c>
      <c r="AB3" s="28">
        <v>0.1007</v>
      </c>
      <c r="AC3" s="28">
        <v>0.1084</v>
      </c>
      <c r="AD3" s="28">
        <v>0.11990000000000001</v>
      </c>
      <c r="AE3" s="28">
        <v>0.121</v>
      </c>
    </row>
    <row r="4" spans="2:31" ht="16.5" thickTop="1" thickBot="1" x14ac:dyDescent="0.3">
      <c r="B4" s="3" t="s">
        <v>2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</row>
    <row r="5" spans="2:31" ht="15.75" thickBot="1" x14ac:dyDescent="0.3">
      <c r="B5" s="3" t="s">
        <v>3</v>
      </c>
      <c r="C5" s="28"/>
      <c r="D5" s="28">
        <v>0.245</v>
      </c>
      <c r="E5" s="28"/>
      <c r="F5" s="28"/>
      <c r="G5" s="28"/>
      <c r="H5" s="28"/>
      <c r="I5" s="28"/>
      <c r="J5" s="28"/>
      <c r="K5" s="28">
        <v>0.24399999999999999</v>
      </c>
      <c r="L5" s="28"/>
      <c r="M5" s="28"/>
      <c r="N5" s="28"/>
      <c r="O5" s="28"/>
      <c r="P5" s="28"/>
      <c r="Q5" s="28">
        <v>0.25409999999999999</v>
      </c>
      <c r="R5" s="28"/>
      <c r="S5" s="28"/>
      <c r="T5" s="28"/>
      <c r="U5" s="28"/>
      <c r="V5" s="28"/>
      <c r="W5" s="28"/>
      <c r="X5" s="28"/>
      <c r="Y5" s="28">
        <v>0.1694</v>
      </c>
      <c r="Z5" s="28"/>
      <c r="AA5" s="28"/>
      <c r="AB5" s="28"/>
      <c r="AC5" s="28"/>
      <c r="AD5" s="28"/>
      <c r="AE5" s="28"/>
    </row>
    <row r="6" spans="2:31" ht="30.75" thickBot="1" x14ac:dyDescent="0.3">
      <c r="B6" s="3" t="s">
        <v>4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</row>
    <row r="7" spans="2:31" ht="15.75" thickBot="1" x14ac:dyDescent="0.3">
      <c r="B7" s="3" t="s">
        <v>5</v>
      </c>
      <c r="C7" s="28"/>
      <c r="D7" s="28">
        <v>0.15870000000000001</v>
      </c>
      <c r="E7" s="28">
        <v>0.16619999999999999</v>
      </c>
      <c r="F7" s="28">
        <v>0.18640000000000001</v>
      </c>
      <c r="G7" s="28">
        <v>0.19159999999999999</v>
      </c>
      <c r="H7" s="28">
        <v>0.1792</v>
      </c>
      <c r="I7" s="28"/>
      <c r="J7" s="28"/>
      <c r="K7" s="28"/>
      <c r="L7" s="28">
        <v>0.18429999999999999</v>
      </c>
      <c r="M7" s="28"/>
      <c r="N7" s="28">
        <v>0.17879999999999999</v>
      </c>
      <c r="O7" s="28"/>
      <c r="P7" s="28"/>
      <c r="Q7" s="28">
        <v>0.16600000000000001</v>
      </c>
      <c r="R7" s="28">
        <v>0.17899999999999999</v>
      </c>
      <c r="S7" s="28"/>
      <c r="T7" s="28"/>
      <c r="U7" s="28">
        <v>0.11700000000000001</v>
      </c>
      <c r="V7" s="28"/>
      <c r="W7" s="28"/>
      <c r="X7" s="28"/>
      <c r="Y7" s="28"/>
      <c r="Z7" s="28"/>
      <c r="AA7" s="28"/>
      <c r="AB7" s="28"/>
      <c r="AC7" s="28"/>
      <c r="AD7" s="28">
        <v>0.11990000000000001</v>
      </c>
      <c r="AE7" s="28"/>
    </row>
    <row r="8" spans="2:31" ht="30.75" thickBot="1" x14ac:dyDescent="0.3">
      <c r="B8" s="3" t="s">
        <v>6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</row>
    <row r="9" spans="2:31" ht="15.75" thickBot="1" x14ac:dyDescent="0.3">
      <c r="B9" s="3" t="s">
        <v>7</v>
      </c>
      <c r="C9" s="27">
        <v>4757</v>
      </c>
      <c r="D9" s="27">
        <v>4513</v>
      </c>
      <c r="E9" s="27">
        <v>4667</v>
      </c>
      <c r="F9" s="27">
        <v>4655</v>
      </c>
      <c r="G9" s="27">
        <v>4713</v>
      </c>
      <c r="H9" s="27">
        <v>4427</v>
      </c>
      <c r="I9" s="27">
        <v>4609</v>
      </c>
      <c r="J9" s="27">
        <v>4610</v>
      </c>
      <c r="K9" s="27">
        <v>4781</v>
      </c>
      <c r="L9" s="27">
        <v>5108</v>
      </c>
      <c r="M9" s="27">
        <v>5005</v>
      </c>
      <c r="N9" s="27">
        <v>4958</v>
      </c>
      <c r="O9" s="27">
        <v>4975</v>
      </c>
      <c r="P9" s="27">
        <v>5085</v>
      </c>
      <c r="Q9" s="27">
        <v>0</v>
      </c>
      <c r="R9" s="27">
        <v>0</v>
      </c>
      <c r="S9" s="27">
        <v>0</v>
      </c>
      <c r="T9" s="27">
        <v>0</v>
      </c>
      <c r="U9" s="27">
        <v>0</v>
      </c>
      <c r="V9" s="27">
        <v>0</v>
      </c>
      <c r="W9" s="27">
        <v>4899</v>
      </c>
      <c r="X9" s="27">
        <v>4905</v>
      </c>
      <c r="Y9" s="27">
        <v>4970</v>
      </c>
      <c r="Z9" s="27">
        <v>4895</v>
      </c>
      <c r="AA9" s="27">
        <v>4909</v>
      </c>
      <c r="AB9" s="27">
        <v>4850</v>
      </c>
      <c r="AC9" s="27">
        <v>4905</v>
      </c>
      <c r="AD9" s="27">
        <v>4861</v>
      </c>
      <c r="AE9" s="27">
        <v>4870</v>
      </c>
    </row>
  </sheetData>
  <pageMargins left="0.7" right="0.7" top="0.75" bottom="0.75" header="0.3" footer="0.3"/>
  <pageSetup paperSize="11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AG9"/>
  <sheetViews>
    <sheetView topLeftCell="P1" workbookViewId="0">
      <selection activeCell="Y15" sqref="Y15"/>
    </sheetView>
  </sheetViews>
  <sheetFormatPr defaultRowHeight="15" x14ac:dyDescent="0.25"/>
  <cols>
    <col min="2" max="2" width="28.5703125" customWidth="1"/>
    <col min="3" max="9" width="10.140625" customWidth="1"/>
    <col min="18" max="33" width="9.28515625" customWidth="1"/>
  </cols>
  <sheetData>
    <row r="1" spans="2:33" ht="15.75" thickBot="1" x14ac:dyDescent="0.3"/>
    <row r="2" spans="2:33" ht="15.75" thickBot="1" x14ac:dyDescent="0.3">
      <c r="C2" s="10" t="s">
        <v>476</v>
      </c>
      <c r="D2" s="10" t="s">
        <v>477</v>
      </c>
      <c r="E2" s="10" t="s">
        <v>478</v>
      </c>
      <c r="F2" s="10" t="s">
        <v>479</v>
      </c>
      <c r="G2" s="10" t="s">
        <v>480</v>
      </c>
      <c r="H2" s="10" t="s">
        <v>481</v>
      </c>
      <c r="I2" s="10" t="s">
        <v>482</v>
      </c>
      <c r="J2" s="10" t="s">
        <v>483</v>
      </c>
      <c r="K2" s="10" t="s">
        <v>484</v>
      </c>
      <c r="L2" s="10" t="s">
        <v>485</v>
      </c>
      <c r="M2" s="10" t="s">
        <v>486</v>
      </c>
      <c r="N2" s="10" t="s">
        <v>487</v>
      </c>
      <c r="O2" s="10" t="s">
        <v>488</v>
      </c>
      <c r="P2" s="10" t="s">
        <v>489</v>
      </c>
      <c r="Q2" s="10" t="s">
        <v>490</v>
      </c>
      <c r="R2" s="10" t="s">
        <v>491</v>
      </c>
      <c r="S2" s="10" t="s">
        <v>492</v>
      </c>
      <c r="T2" s="10" t="s">
        <v>493</v>
      </c>
      <c r="U2" s="10" t="s">
        <v>494</v>
      </c>
      <c r="V2" s="10" t="s">
        <v>495</v>
      </c>
      <c r="W2" s="10" t="s">
        <v>496</v>
      </c>
      <c r="X2" s="10" t="s">
        <v>497</v>
      </c>
      <c r="Y2" s="10" t="s">
        <v>498</v>
      </c>
      <c r="Z2" s="10" t="s">
        <v>499</v>
      </c>
      <c r="AA2" s="10" t="s">
        <v>500</v>
      </c>
      <c r="AB2" s="10" t="s">
        <v>501</v>
      </c>
      <c r="AC2" s="10" t="s">
        <v>502</v>
      </c>
      <c r="AD2" s="10" t="s">
        <v>503</v>
      </c>
      <c r="AE2" s="10" t="s">
        <v>504</v>
      </c>
      <c r="AF2" s="10" t="s">
        <v>505</v>
      </c>
      <c r="AG2" s="10" t="s">
        <v>506</v>
      </c>
    </row>
    <row r="3" spans="2:33" ht="16.5" thickTop="1" thickBot="1" x14ac:dyDescent="0.3">
      <c r="B3" s="2" t="s">
        <v>1</v>
      </c>
      <c r="C3" s="28">
        <v>0.1132</v>
      </c>
      <c r="D3" s="28">
        <v>0.1152</v>
      </c>
      <c r="E3" s="28">
        <v>0.1147</v>
      </c>
      <c r="F3" s="28">
        <v>0.12180000000000001</v>
      </c>
      <c r="G3" s="28">
        <v>0.1749</v>
      </c>
      <c r="H3" s="28">
        <v>0.1067</v>
      </c>
      <c r="I3" s="28">
        <v>0.11020000000000001</v>
      </c>
      <c r="J3" s="28">
        <v>0.10050000000000001</v>
      </c>
      <c r="K3" s="28">
        <v>0.1139</v>
      </c>
      <c r="L3" s="28">
        <v>0.1176</v>
      </c>
      <c r="M3" s="28">
        <v>0.1053</v>
      </c>
      <c r="N3" s="28">
        <v>0.11840000000000001</v>
      </c>
      <c r="O3" s="28">
        <v>0.1076</v>
      </c>
      <c r="P3" s="28">
        <v>0.1333</v>
      </c>
      <c r="Q3" s="28">
        <v>0.1341</v>
      </c>
      <c r="R3" s="28">
        <v>0.1583</v>
      </c>
      <c r="S3" s="28">
        <v>0.1389</v>
      </c>
      <c r="T3" s="28">
        <v>0.15920000000000001</v>
      </c>
      <c r="U3" s="28">
        <v>0.15790000000000001</v>
      </c>
      <c r="V3" s="28">
        <v>0.16489999999999999</v>
      </c>
      <c r="W3" s="28">
        <v>0.1638</v>
      </c>
      <c r="X3" s="28">
        <v>0.14399999999999999</v>
      </c>
      <c r="Y3" s="28">
        <v>0.15970000000000001</v>
      </c>
      <c r="Z3" s="28">
        <v>0.16950000000000001</v>
      </c>
      <c r="AA3" s="28">
        <v>0.18099000000000001</v>
      </c>
      <c r="AB3" s="28">
        <v>0.19120000000000001</v>
      </c>
      <c r="AC3" s="28">
        <v>0.16830000000000001</v>
      </c>
      <c r="AD3" s="28">
        <v>0.18690000000000001</v>
      </c>
      <c r="AE3" s="28">
        <v>0.18709999999999999</v>
      </c>
      <c r="AF3" s="28">
        <v>0.1588</v>
      </c>
      <c r="AG3" s="28">
        <v>0.17349999999999999</v>
      </c>
    </row>
    <row r="4" spans="2:33" ht="16.5" thickTop="1" thickBot="1" x14ac:dyDescent="0.3">
      <c r="B4" s="3" t="s">
        <v>2</v>
      </c>
      <c r="C4" s="28"/>
      <c r="D4" s="28"/>
      <c r="E4" s="28"/>
      <c r="F4" s="28"/>
      <c r="G4" s="28"/>
      <c r="H4" s="28"/>
      <c r="I4" s="28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</row>
    <row r="5" spans="2:33" ht="15.75" thickBot="1" x14ac:dyDescent="0.3">
      <c r="B5" s="3" t="s">
        <v>3</v>
      </c>
      <c r="C5" s="28"/>
      <c r="D5" s="28"/>
      <c r="E5" s="28"/>
      <c r="F5" s="28"/>
      <c r="G5" s="28"/>
      <c r="H5" s="28"/>
      <c r="I5" s="28"/>
      <c r="J5" s="28">
        <v>0.1217</v>
      </c>
      <c r="K5" s="28"/>
      <c r="L5" s="28"/>
      <c r="M5" s="28">
        <v>0.125</v>
      </c>
      <c r="N5" s="28"/>
      <c r="O5" s="28">
        <v>0.1318</v>
      </c>
      <c r="P5" s="28"/>
      <c r="Q5" s="28"/>
      <c r="R5" s="28"/>
      <c r="S5" s="28"/>
      <c r="T5" s="28"/>
      <c r="U5" s="28"/>
      <c r="V5" s="28"/>
      <c r="W5" s="28"/>
      <c r="X5" s="28">
        <v>0.23219999999999999</v>
      </c>
      <c r="Y5" s="28"/>
      <c r="Z5" s="28"/>
      <c r="AA5" s="28"/>
      <c r="AB5" s="28"/>
      <c r="AC5" s="28">
        <v>0.23</v>
      </c>
      <c r="AD5" s="28"/>
      <c r="AE5" s="28"/>
      <c r="AF5" s="28">
        <v>0.24229999999999999</v>
      </c>
      <c r="AG5" s="28"/>
    </row>
    <row r="6" spans="2:33" ht="30.75" thickBot="1" x14ac:dyDescent="0.3">
      <c r="B6" s="3" t="s">
        <v>4</v>
      </c>
      <c r="C6" s="28"/>
      <c r="D6" s="28"/>
      <c r="E6" s="28"/>
      <c r="F6" s="28"/>
      <c r="G6" s="28"/>
      <c r="H6" s="28"/>
      <c r="I6" s="28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</row>
    <row r="7" spans="2:33" ht="15.75" thickBot="1" x14ac:dyDescent="0.3">
      <c r="B7" s="3" t="s">
        <v>5</v>
      </c>
      <c r="C7" s="28"/>
      <c r="D7" s="28"/>
      <c r="E7" s="28"/>
      <c r="F7" s="28">
        <v>0.12180000000000001</v>
      </c>
      <c r="G7" s="28">
        <v>0.1749</v>
      </c>
      <c r="H7" s="28"/>
      <c r="I7" s="28"/>
      <c r="J7" s="28">
        <v>0.12</v>
      </c>
      <c r="K7" s="28"/>
      <c r="L7" s="28">
        <v>0.115</v>
      </c>
      <c r="M7" s="28">
        <v>0.1053</v>
      </c>
      <c r="N7" s="28"/>
      <c r="O7" s="28"/>
      <c r="P7" s="28">
        <v>0.1333</v>
      </c>
      <c r="Q7" s="28"/>
      <c r="R7" s="28">
        <v>0.1583</v>
      </c>
      <c r="S7" s="28"/>
      <c r="T7" s="28">
        <v>0.15920000000000001</v>
      </c>
      <c r="U7" s="28">
        <v>0.15790000000000001</v>
      </c>
      <c r="V7" s="28"/>
      <c r="W7" s="28">
        <v>0.1638</v>
      </c>
      <c r="X7" s="28">
        <v>0.14399999999999999</v>
      </c>
      <c r="Y7" s="28">
        <v>0.15970000000000001</v>
      </c>
      <c r="Z7" s="28"/>
      <c r="AA7" s="28">
        <v>0.17</v>
      </c>
      <c r="AB7" s="28">
        <v>0.19120000000000001</v>
      </c>
      <c r="AC7" s="28"/>
      <c r="AD7" s="28">
        <v>0.18690000000000001</v>
      </c>
      <c r="AE7" s="28">
        <v>0.18709999999999999</v>
      </c>
      <c r="AF7" s="28"/>
      <c r="AG7" s="28">
        <v>0.17349999999999999</v>
      </c>
    </row>
    <row r="8" spans="2:33" ht="30.75" thickBot="1" x14ac:dyDescent="0.3">
      <c r="B8" s="3" t="s">
        <v>6</v>
      </c>
      <c r="C8" s="28"/>
      <c r="D8" s="28"/>
      <c r="E8" s="28"/>
      <c r="F8" s="28"/>
      <c r="G8" s="28"/>
      <c r="H8" s="28"/>
      <c r="I8" s="28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spans="2:33" ht="15.75" thickBot="1" x14ac:dyDescent="0.3">
      <c r="B9" s="3" t="s">
        <v>7</v>
      </c>
      <c r="C9" s="27">
        <v>4865</v>
      </c>
      <c r="D9" s="27">
        <v>4866</v>
      </c>
      <c r="E9" s="27">
        <v>4905</v>
      </c>
      <c r="F9" s="27">
        <v>4850</v>
      </c>
      <c r="G9" s="27">
        <v>4905</v>
      </c>
      <c r="H9" s="27">
        <v>4900</v>
      </c>
      <c r="I9" s="27">
        <v>4911</v>
      </c>
      <c r="J9" s="27">
        <v>4880</v>
      </c>
      <c r="K9" s="27">
        <v>4896</v>
      </c>
      <c r="L9" s="27">
        <v>4868</v>
      </c>
      <c r="M9" s="27">
        <v>4850</v>
      </c>
      <c r="N9" s="27">
        <v>4875</v>
      </c>
      <c r="O9" s="27">
        <v>4875</v>
      </c>
      <c r="P9" s="27">
        <v>4892</v>
      </c>
      <c r="Q9" s="27"/>
      <c r="R9" s="27">
        <v>4895</v>
      </c>
      <c r="S9" s="27">
        <v>4909</v>
      </c>
      <c r="T9" s="27">
        <v>4868</v>
      </c>
      <c r="U9" s="27">
        <v>4904</v>
      </c>
      <c r="V9" s="27">
        <v>4819</v>
      </c>
      <c r="W9" s="27">
        <v>4885</v>
      </c>
      <c r="X9" s="27">
        <v>4891</v>
      </c>
      <c r="Y9" s="27">
        <v>4869</v>
      </c>
      <c r="Z9" s="27">
        <v>4886</v>
      </c>
      <c r="AA9" s="27">
        <v>4860</v>
      </c>
      <c r="AB9" s="27">
        <v>4859</v>
      </c>
      <c r="AC9" s="27">
        <v>4928</v>
      </c>
      <c r="AD9" s="27">
        <v>4875</v>
      </c>
      <c r="AE9" s="27">
        <v>4896</v>
      </c>
      <c r="AF9" s="27">
        <v>4889</v>
      </c>
      <c r="AG9" s="27">
        <v>4890</v>
      </c>
    </row>
  </sheetData>
  <phoneticPr fontId="2" type="noConversion"/>
  <pageMargins left="0.7" right="0.7" top="0.75" bottom="0.75" header="0.3" footer="0.3"/>
  <pageSetup paperSize="11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AF9"/>
  <sheetViews>
    <sheetView workbookViewId="0">
      <pane xSplit="2" topLeftCell="Z1" activePane="topRight" state="frozen"/>
      <selection pane="topRight" activeCell="AI15" sqref="AI15"/>
    </sheetView>
  </sheetViews>
  <sheetFormatPr defaultRowHeight="15" x14ac:dyDescent="0.25"/>
  <cols>
    <col min="2" max="2" width="28.5703125" customWidth="1"/>
    <col min="3" max="32" width="10.140625" customWidth="1"/>
  </cols>
  <sheetData>
    <row r="1" spans="2:32" ht="15.75" thickBot="1" x14ac:dyDescent="0.3"/>
    <row r="2" spans="2:32" ht="15.75" thickBot="1" x14ac:dyDescent="0.3">
      <c r="C2" s="10" t="s">
        <v>507</v>
      </c>
      <c r="D2" s="10" t="s">
        <v>508</v>
      </c>
      <c r="E2" s="10" t="s">
        <v>509</v>
      </c>
      <c r="F2" s="10" t="s">
        <v>510</v>
      </c>
      <c r="G2" s="10" t="s">
        <v>511</v>
      </c>
      <c r="H2" s="10" t="s">
        <v>512</v>
      </c>
      <c r="I2" s="10" t="s">
        <v>513</v>
      </c>
      <c r="J2" s="10" t="s">
        <v>514</v>
      </c>
      <c r="K2" s="10" t="s">
        <v>515</v>
      </c>
      <c r="L2" s="10" t="s">
        <v>516</v>
      </c>
      <c r="M2" s="10" t="s">
        <v>517</v>
      </c>
      <c r="N2" s="10" t="s">
        <v>518</v>
      </c>
      <c r="O2" s="10" t="s">
        <v>519</v>
      </c>
      <c r="P2" s="10" t="s">
        <v>520</v>
      </c>
      <c r="Q2" s="10" t="s">
        <v>521</v>
      </c>
      <c r="R2" s="10" t="s">
        <v>522</v>
      </c>
      <c r="S2" s="10" t="s">
        <v>523</v>
      </c>
      <c r="T2" s="10" t="s">
        <v>524</v>
      </c>
      <c r="U2" s="10" t="s">
        <v>525</v>
      </c>
      <c r="V2" s="10" t="s">
        <v>526</v>
      </c>
      <c r="W2" s="10" t="s">
        <v>527</v>
      </c>
      <c r="X2" s="10" t="s">
        <v>528</v>
      </c>
      <c r="Y2" s="10" t="s">
        <v>529</v>
      </c>
      <c r="Z2" s="10" t="s">
        <v>530</v>
      </c>
      <c r="AA2" s="10" t="s">
        <v>531</v>
      </c>
      <c r="AB2" s="10" t="s">
        <v>532</v>
      </c>
      <c r="AC2" s="10" t="s">
        <v>533</v>
      </c>
      <c r="AD2" s="10" t="s">
        <v>534</v>
      </c>
      <c r="AE2" s="10" t="s">
        <v>535</v>
      </c>
      <c r="AF2" s="10" t="s">
        <v>536</v>
      </c>
    </row>
    <row r="3" spans="2:32" ht="16.5" thickTop="1" thickBot="1" x14ac:dyDescent="0.3">
      <c r="B3" s="2" t="s">
        <v>1</v>
      </c>
      <c r="C3" s="28">
        <v>0.18940000000000001</v>
      </c>
      <c r="D3" s="28">
        <v>0.18260000000000001</v>
      </c>
      <c r="E3" s="28">
        <v>0.1948</v>
      </c>
      <c r="F3" s="28">
        <v>0.1867</v>
      </c>
      <c r="G3" s="28">
        <v>0.1789</v>
      </c>
      <c r="H3" s="28">
        <v>0.1822</v>
      </c>
      <c r="I3" s="28">
        <v>0.18809999999999999</v>
      </c>
      <c r="J3" s="28">
        <v>0.1953</v>
      </c>
      <c r="K3" s="28">
        <v>0.19070000000000001</v>
      </c>
      <c r="L3" s="28">
        <v>0.2157</v>
      </c>
      <c r="M3" s="28">
        <v>0.1855</v>
      </c>
      <c r="N3" s="28">
        <v>0.19309999999999999</v>
      </c>
      <c r="O3" s="28">
        <v>0.19389999999999999</v>
      </c>
      <c r="P3" s="28">
        <v>0.19359999999999999</v>
      </c>
      <c r="Q3" s="28">
        <v>0.19259999999999999</v>
      </c>
      <c r="R3" s="28">
        <v>0.19309999999999999</v>
      </c>
      <c r="S3" s="28">
        <v>0.19339999999999999</v>
      </c>
      <c r="T3" s="28">
        <v>0.18679999999999999</v>
      </c>
      <c r="U3" s="28">
        <v>0.1749</v>
      </c>
      <c r="V3" s="28">
        <v>0.1794</v>
      </c>
      <c r="W3" s="28">
        <v>0.1714</v>
      </c>
      <c r="X3" s="28">
        <v>0.16200000000000001</v>
      </c>
      <c r="Y3" s="28">
        <v>0.12659999999999999</v>
      </c>
      <c r="Z3" s="28">
        <v>0.15490000000000001</v>
      </c>
      <c r="AA3" s="28">
        <v>0.13139999999999999</v>
      </c>
      <c r="AB3" s="28">
        <v>8.0799999999999997E-2</v>
      </c>
      <c r="AC3" s="28">
        <v>7.6899999999999996E-2</v>
      </c>
      <c r="AD3" s="28">
        <v>8.9499999999999996E-2</v>
      </c>
      <c r="AE3" s="28">
        <v>0.1089</v>
      </c>
      <c r="AF3" s="28">
        <v>0.1012</v>
      </c>
    </row>
    <row r="4" spans="2:32" ht="16.5" thickTop="1" thickBot="1" x14ac:dyDescent="0.3">
      <c r="B4" s="3" t="s">
        <v>2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</row>
    <row r="5" spans="2:32" ht="15.75" thickBot="1" x14ac:dyDescent="0.3">
      <c r="B5" s="3" t="s">
        <v>3</v>
      </c>
      <c r="C5" s="28"/>
      <c r="D5" s="28"/>
      <c r="E5" s="28"/>
      <c r="F5" s="28"/>
      <c r="G5" s="28">
        <v>0.24</v>
      </c>
      <c r="H5" s="28">
        <v>0.24</v>
      </c>
      <c r="I5" s="28">
        <v>0.24</v>
      </c>
      <c r="J5" s="28"/>
      <c r="K5" s="28">
        <v>0.24</v>
      </c>
      <c r="L5" s="28"/>
      <c r="M5" s="28"/>
      <c r="N5" s="28">
        <v>0.23499999999999999</v>
      </c>
      <c r="O5" s="28">
        <v>0.23499999999999999</v>
      </c>
      <c r="P5" s="28"/>
      <c r="Q5" s="28"/>
      <c r="R5" s="28"/>
      <c r="S5" s="28"/>
      <c r="T5" s="28">
        <v>0.24399999999999999</v>
      </c>
      <c r="U5" s="28"/>
      <c r="V5" s="28"/>
      <c r="W5" s="28">
        <v>0.24</v>
      </c>
      <c r="X5" s="28"/>
      <c r="Y5" s="28"/>
      <c r="Z5" s="28"/>
      <c r="AA5" s="28">
        <v>0.24</v>
      </c>
      <c r="AB5" s="28"/>
      <c r="AC5" s="28"/>
      <c r="AD5" s="28">
        <v>0.23749999999999999</v>
      </c>
      <c r="AE5" s="28"/>
      <c r="AF5" s="28">
        <v>0.24</v>
      </c>
    </row>
    <row r="6" spans="2:32" ht="30.75" thickBot="1" x14ac:dyDescent="0.3">
      <c r="B6" s="3" t="s">
        <v>4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</row>
    <row r="7" spans="2:32" ht="15.75" thickBot="1" x14ac:dyDescent="0.3">
      <c r="B7" s="3" t="s">
        <v>5</v>
      </c>
      <c r="C7" s="28">
        <v>0.18940000000000001</v>
      </c>
      <c r="D7" s="28"/>
      <c r="E7" s="28">
        <v>0.1817</v>
      </c>
      <c r="F7" s="28">
        <v>0.1867</v>
      </c>
      <c r="G7" s="28">
        <v>0.1789</v>
      </c>
      <c r="H7" s="28">
        <v>0.1822</v>
      </c>
      <c r="I7" s="28">
        <v>0.18809999999999999</v>
      </c>
      <c r="J7" s="28"/>
      <c r="K7" s="28"/>
      <c r="L7" s="28">
        <v>0.19670000000000001</v>
      </c>
      <c r="M7" s="28">
        <v>0.1855</v>
      </c>
      <c r="N7" s="28">
        <v>0.19309999999999999</v>
      </c>
      <c r="O7" s="28">
        <v>0.19389999999999999</v>
      </c>
      <c r="P7" s="28">
        <v>0.19359999999999999</v>
      </c>
      <c r="Q7" s="28">
        <v>0.19259999999999999</v>
      </c>
      <c r="R7" s="28">
        <v>0.1933</v>
      </c>
      <c r="S7" s="28">
        <v>0.19400000000000001</v>
      </c>
      <c r="T7" s="28"/>
      <c r="U7" s="28">
        <v>0.1749</v>
      </c>
      <c r="V7" s="28">
        <v>0.1749</v>
      </c>
      <c r="W7" s="28"/>
      <c r="X7" s="28">
        <v>0.17499999999999999</v>
      </c>
      <c r="Y7" s="28"/>
      <c r="Z7" s="28">
        <v>0.15490000000000001</v>
      </c>
      <c r="AA7" s="28">
        <v>0.13139999999999999</v>
      </c>
      <c r="AB7" s="28">
        <v>8.0799999999999997E-2</v>
      </c>
      <c r="AC7" s="28">
        <v>7.6899999999999996E-2</v>
      </c>
      <c r="AD7" s="28">
        <v>8.9499999999999996E-2</v>
      </c>
      <c r="AE7" s="28">
        <v>0.1089</v>
      </c>
      <c r="AF7" s="28">
        <v>0.1012</v>
      </c>
    </row>
    <row r="8" spans="2:32" ht="30.75" thickBot="1" x14ac:dyDescent="0.3">
      <c r="B8" s="3" t="s">
        <v>6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</row>
    <row r="9" spans="2:32" ht="15.75" thickBot="1" x14ac:dyDescent="0.3">
      <c r="B9" s="3" t="s">
        <v>7</v>
      </c>
      <c r="C9" s="27">
        <v>4829</v>
      </c>
      <c r="D9" s="27">
        <v>4883</v>
      </c>
      <c r="E9" s="27">
        <v>4811</v>
      </c>
      <c r="F9" s="27">
        <v>4865</v>
      </c>
      <c r="G9" s="27">
        <v>4833</v>
      </c>
      <c r="H9" s="27">
        <v>4905</v>
      </c>
      <c r="I9" s="27">
        <v>4900</v>
      </c>
      <c r="J9" s="27">
        <v>4852</v>
      </c>
      <c r="K9" s="27">
        <v>4911</v>
      </c>
      <c r="L9" s="27">
        <v>4999</v>
      </c>
      <c r="M9" s="27">
        <v>4986</v>
      </c>
      <c r="N9" s="27">
        <v>4997</v>
      </c>
      <c r="O9" s="27">
        <v>4991</v>
      </c>
      <c r="P9" s="27">
        <v>4979</v>
      </c>
      <c r="Q9" s="27">
        <v>4968</v>
      </c>
      <c r="R9" s="27">
        <v>4952</v>
      </c>
      <c r="S9" s="27">
        <v>4915</v>
      </c>
      <c r="T9" s="27">
        <v>4966</v>
      </c>
      <c r="U9" s="27">
        <v>4953</v>
      </c>
      <c r="V9" s="27">
        <v>4985</v>
      </c>
      <c r="W9" s="27">
        <v>4948</v>
      </c>
      <c r="X9" s="27">
        <v>4908</v>
      </c>
      <c r="Y9" s="27">
        <v>4902</v>
      </c>
      <c r="Z9" s="27">
        <v>4889</v>
      </c>
      <c r="AA9" s="27">
        <v>4850</v>
      </c>
      <c r="AB9" s="27">
        <v>4857</v>
      </c>
      <c r="AC9" s="27">
        <v>4867</v>
      </c>
      <c r="AD9" s="27">
        <v>4819</v>
      </c>
      <c r="AE9" s="27">
        <v>4834</v>
      </c>
      <c r="AF9" s="27">
        <v>0</v>
      </c>
    </row>
  </sheetData>
  <pageMargins left="0.7" right="0.7" top="0.75" bottom="0.75" header="0.3" footer="0.3"/>
  <pageSetup paperSize="11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AG9"/>
  <sheetViews>
    <sheetView workbookViewId="0">
      <pane xSplit="2" topLeftCell="C1" activePane="topRight" state="frozen"/>
      <selection pane="topRight" activeCell="AH1" sqref="AH1:AI1048576"/>
    </sheetView>
  </sheetViews>
  <sheetFormatPr defaultRowHeight="15" x14ac:dyDescent="0.25"/>
  <cols>
    <col min="2" max="2" width="28.5703125" customWidth="1"/>
    <col min="3" max="33" width="10.140625" customWidth="1"/>
  </cols>
  <sheetData>
    <row r="1" spans="2:33" ht="15.75" thickBot="1" x14ac:dyDescent="0.3"/>
    <row r="2" spans="2:33" ht="15.75" thickBot="1" x14ac:dyDescent="0.3">
      <c r="C2" s="10" t="s">
        <v>537</v>
      </c>
      <c r="D2" s="10" t="s">
        <v>538</v>
      </c>
      <c r="E2" s="10" t="s">
        <v>539</v>
      </c>
      <c r="F2" s="10" t="s">
        <v>540</v>
      </c>
      <c r="G2" s="10" t="s">
        <v>541</v>
      </c>
      <c r="H2" s="10" t="s">
        <v>542</v>
      </c>
      <c r="I2" s="10" t="s">
        <v>543</v>
      </c>
      <c r="J2" s="10" t="s">
        <v>544</v>
      </c>
      <c r="K2" s="10" t="s">
        <v>545</v>
      </c>
      <c r="L2" s="10" t="s">
        <v>546</v>
      </c>
      <c r="M2" s="10" t="s">
        <v>547</v>
      </c>
      <c r="N2" s="10" t="s">
        <v>548</v>
      </c>
      <c r="O2" s="10" t="s">
        <v>549</v>
      </c>
      <c r="P2" s="10" t="s">
        <v>550</v>
      </c>
      <c r="Q2" s="10" t="s">
        <v>551</v>
      </c>
      <c r="R2" s="10" t="s">
        <v>552</v>
      </c>
      <c r="S2" s="10" t="s">
        <v>553</v>
      </c>
      <c r="T2" s="10" t="s">
        <v>554</v>
      </c>
      <c r="U2" s="10" t="s">
        <v>555</v>
      </c>
      <c r="V2" s="10" t="s">
        <v>556</v>
      </c>
      <c r="W2" s="10" t="s">
        <v>557</v>
      </c>
      <c r="X2" s="10" t="s">
        <v>558</v>
      </c>
      <c r="Y2" s="10" t="s">
        <v>559</v>
      </c>
      <c r="Z2" s="10" t="s">
        <v>560</v>
      </c>
      <c r="AA2" s="10" t="s">
        <v>561</v>
      </c>
      <c r="AB2" s="10" t="s">
        <v>562</v>
      </c>
      <c r="AC2" s="10" t="s">
        <v>563</v>
      </c>
      <c r="AD2" s="10" t="s">
        <v>564</v>
      </c>
      <c r="AE2" s="10" t="s">
        <v>565</v>
      </c>
      <c r="AF2" s="10" t="s">
        <v>566</v>
      </c>
      <c r="AG2" s="10" t="s">
        <v>567</v>
      </c>
    </row>
    <row r="3" spans="2:33" ht="16.5" thickTop="1" thickBot="1" x14ac:dyDescent="0.3">
      <c r="B3" s="2" t="s">
        <v>1</v>
      </c>
      <c r="C3" s="28">
        <v>0.122</v>
      </c>
      <c r="D3" s="28">
        <v>0.1181</v>
      </c>
      <c r="E3" s="28">
        <v>9.5799999999999996E-2</v>
      </c>
      <c r="F3" s="28">
        <v>0.124</v>
      </c>
      <c r="G3" s="28">
        <v>0.11119999999999999</v>
      </c>
      <c r="H3" s="28">
        <v>0.1211</v>
      </c>
      <c r="I3" s="28">
        <v>0.17460000000000001</v>
      </c>
      <c r="J3" s="28">
        <v>0.15090000000000001</v>
      </c>
      <c r="K3" s="28">
        <v>0.13739999999999999</v>
      </c>
      <c r="L3" s="28">
        <v>0.18609999999999999</v>
      </c>
      <c r="M3" s="28">
        <v>0.2324</v>
      </c>
      <c r="N3" s="28">
        <v>0.17</v>
      </c>
      <c r="O3" s="28">
        <v>0.1862</v>
      </c>
      <c r="P3" s="28">
        <v>0.19950000000000001</v>
      </c>
      <c r="Q3" s="28">
        <v>0.19639999999999999</v>
      </c>
      <c r="R3" s="28">
        <v>0.19409999999999999</v>
      </c>
      <c r="S3" s="28">
        <v>0.20930000000000001</v>
      </c>
      <c r="T3" s="28">
        <v>0.18809999999999999</v>
      </c>
      <c r="U3" s="28">
        <v>0.17199999999999999</v>
      </c>
      <c r="V3" s="28">
        <v>0.19739999999999999</v>
      </c>
      <c r="W3" s="28">
        <v>0.1958</v>
      </c>
      <c r="X3" s="28">
        <v>0.1953</v>
      </c>
      <c r="Y3" s="28">
        <v>0.19789999999999999</v>
      </c>
      <c r="Z3" s="28">
        <v>0.19550000000000001</v>
      </c>
      <c r="AA3" s="28">
        <v>0.15770000000000001</v>
      </c>
      <c r="AB3" s="28">
        <v>0.17780000000000001</v>
      </c>
      <c r="AC3" s="28">
        <v>0.19650000000000001</v>
      </c>
      <c r="AD3" s="28">
        <v>0.19439999999999999</v>
      </c>
      <c r="AE3" s="28">
        <v>0.20085</v>
      </c>
      <c r="AF3" s="28">
        <v>0.19589999999999999</v>
      </c>
      <c r="AG3" s="28">
        <v>0.19980000000000001</v>
      </c>
    </row>
    <row r="4" spans="2:33" ht="16.5" thickTop="1" thickBot="1" x14ac:dyDescent="0.3">
      <c r="B4" s="3" t="s">
        <v>2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</row>
    <row r="5" spans="2:33" ht="15.75" thickBot="1" x14ac:dyDescent="0.3">
      <c r="B5" s="3" t="s">
        <v>3</v>
      </c>
      <c r="C5" s="28"/>
      <c r="D5" s="28"/>
      <c r="E5" s="28"/>
      <c r="F5" s="28">
        <v>0.23150000000000001</v>
      </c>
      <c r="G5" s="28"/>
      <c r="H5" s="28">
        <v>0.2</v>
      </c>
      <c r="I5" s="28"/>
      <c r="J5" s="28">
        <v>9.5000000000000001E-2</v>
      </c>
      <c r="K5" s="28"/>
      <c r="L5" s="28"/>
      <c r="M5" s="28"/>
      <c r="N5" s="28"/>
      <c r="O5" s="28">
        <v>0.2278</v>
      </c>
      <c r="P5" s="28"/>
      <c r="Q5" s="28">
        <v>0.24</v>
      </c>
      <c r="R5" s="28">
        <v>0.25</v>
      </c>
      <c r="S5" s="28"/>
      <c r="T5" s="28">
        <v>0.25</v>
      </c>
      <c r="U5" s="28">
        <v>0.23</v>
      </c>
      <c r="V5" s="28"/>
      <c r="W5" s="28"/>
      <c r="X5" s="28"/>
      <c r="Y5" s="28"/>
      <c r="Z5" s="28"/>
      <c r="AA5" s="28"/>
      <c r="AB5" s="28"/>
      <c r="AC5" s="28"/>
      <c r="AD5" s="28">
        <v>0.22</v>
      </c>
      <c r="AE5" s="28"/>
      <c r="AF5" s="28">
        <v>0.23</v>
      </c>
      <c r="AG5" s="28"/>
    </row>
    <row r="6" spans="2:33" ht="30.75" thickBot="1" x14ac:dyDescent="0.3">
      <c r="B6" s="3" t="s">
        <v>4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</row>
    <row r="7" spans="2:33" ht="15.75" thickBot="1" x14ac:dyDescent="0.3">
      <c r="B7" s="3" t="s">
        <v>5</v>
      </c>
      <c r="C7" s="28"/>
      <c r="D7" s="28"/>
      <c r="E7" s="28"/>
      <c r="F7" s="28">
        <v>0.124</v>
      </c>
      <c r="G7" s="28">
        <v>0.11119999999999999</v>
      </c>
      <c r="H7" s="28">
        <v>0.1211</v>
      </c>
      <c r="I7" s="28">
        <v>0.12559999999999999</v>
      </c>
      <c r="J7" s="28"/>
      <c r="K7" s="28">
        <v>0.15</v>
      </c>
      <c r="L7" s="28">
        <v>0.15</v>
      </c>
      <c r="M7" s="28">
        <v>0.18</v>
      </c>
      <c r="N7" s="28">
        <v>0.19</v>
      </c>
      <c r="O7" s="28"/>
      <c r="P7" s="28">
        <v>0.1933</v>
      </c>
      <c r="Q7" s="28">
        <v>0.19800000000000001</v>
      </c>
      <c r="R7" s="28">
        <v>0.19409999999999999</v>
      </c>
      <c r="S7" s="28">
        <v>0.20930000000000001</v>
      </c>
      <c r="T7" s="28">
        <v>0.18809999999999999</v>
      </c>
      <c r="U7" s="28">
        <v>0.17199999999999999</v>
      </c>
      <c r="V7" s="28">
        <v>0.19739999999999999</v>
      </c>
      <c r="W7" s="28">
        <v>0.1958</v>
      </c>
      <c r="X7" s="28">
        <v>0.19600000000000001</v>
      </c>
      <c r="Y7" s="28">
        <v>0.19789999999999999</v>
      </c>
      <c r="Z7" s="28">
        <v>0.19550000000000001</v>
      </c>
      <c r="AA7" s="28">
        <v>0.15770000000000001</v>
      </c>
      <c r="AB7" s="28">
        <v>0.17780000000000001</v>
      </c>
      <c r="AC7" s="28">
        <v>0.19650000000000001</v>
      </c>
      <c r="AD7" s="28">
        <v>0.19439999999999999</v>
      </c>
      <c r="AE7" s="28">
        <v>0.20085</v>
      </c>
      <c r="AF7" s="28">
        <v>0.19589999999999999</v>
      </c>
      <c r="AG7" s="28"/>
    </row>
    <row r="8" spans="2:33" ht="30.75" thickBot="1" x14ac:dyDescent="0.3">
      <c r="B8" s="3" t="s">
        <v>6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</row>
    <row r="9" spans="2:33" ht="15.75" thickBot="1" x14ac:dyDescent="0.3">
      <c r="B9" s="3" t="s">
        <v>7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>
        <v>4760</v>
      </c>
      <c r="P9" s="27">
        <v>4860</v>
      </c>
      <c r="Q9" s="27"/>
      <c r="R9" s="27">
        <v>4800</v>
      </c>
      <c r="S9" s="27">
        <v>4750</v>
      </c>
      <c r="T9" s="27">
        <v>4723</v>
      </c>
      <c r="U9" s="27">
        <v>4733</v>
      </c>
      <c r="V9" s="27">
        <v>4685</v>
      </c>
      <c r="W9" s="27">
        <v>4679</v>
      </c>
      <c r="X9" s="27">
        <v>4750</v>
      </c>
      <c r="Y9" s="27">
        <v>4793</v>
      </c>
      <c r="Z9" s="27">
        <v>4776</v>
      </c>
      <c r="AA9" s="27">
        <v>4788</v>
      </c>
      <c r="AB9" s="27">
        <v>4749</v>
      </c>
      <c r="AC9" s="27">
        <v>4784</v>
      </c>
      <c r="AD9" s="27">
        <v>4713</v>
      </c>
      <c r="AE9" s="27">
        <v>4723</v>
      </c>
      <c r="AF9" s="27">
        <v>4742</v>
      </c>
      <c r="AG9" s="27">
        <v>4734</v>
      </c>
    </row>
  </sheetData>
  <pageMargins left="0.7" right="0.7" top="0.75" bottom="0.75" header="0.3" footer="0.3"/>
  <pageSetup paperSize="11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BL9"/>
  <sheetViews>
    <sheetView workbookViewId="0">
      <pane xSplit="2" topLeftCell="AZ1" activePane="topRight" state="frozen"/>
      <selection pane="topRight" activeCell="BK8" sqref="BK8"/>
    </sheetView>
  </sheetViews>
  <sheetFormatPr defaultRowHeight="15" x14ac:dyDescent="0.25"/>
  <cols>
    <col min="2" max="2" width="28.5703125" customWidth="1"/>
    <col min="3" max="53" width="10.140625" customWidth="1"/>
    <col min="54" max="64" width="10.28515625" customWidth="1"/>
  </cols>
  <sheetData>
    <row r="1" spans="2:64" ht="15.75" thickBot="1" x14ac:dyDescent="0.3"/>
    <row r="2" spans="2:64" ht="15.75" thickBot="1" x14ac:dyDescent="0.3">
      <c r="C2" s="10" t="s">
        <v>537</v>
      </c>
      <c r="D2" s="10" t="s">
        <v>538</v>
      </c>
      <c r="E2" s="10" t="s">
        <v>539</v>
      </c>
      <c r="F2" s="10" t="s">
        <v>540</v>
      </c>
      <c r="G2" s="10" t="s">
        <v>541</v>
      </c>
      <c r="H2" s="10" t="s">
        <v>542</v>
      </c>
      <c r="I2" s="10" t="s">
        <v>543</v>
      </c>
      <c r="J2" s="10" t="s">
        <v>544</v>
      </c>
      <c r="K2" s="10" t="s">
        <v>545</v>
      </c>
      <c r="L2" s="10" t="s">
        <v>546</v>
      </c>
      <c r="M2" s="10" t="s">
        <v>547</v>
      </c>
      <c r="N2" s="10" t="s">
        <v>548</v>
      </c>
      <c r="O2" s="10" t="s">
        <v>549</v>
      </c>
      <c r="P2" s="10" t="s">
        <v>550</v>
      </c>
      <c r="Q2" s="10" t="s">
        <v>551</v>
      </c>
      <c r="R2" s="10" t="s">
        <v>552</v>
      </c>
      <c r="S2" s="10" t="s">
        <v>553</v>
      </c>
      <c r="T2" s="10" t="s">
        <v>554</v>
      </c>
      <c r="U2" s="10" t="s">
        <v>555</v>
      </c>
      <c r="V2" s="10" t="s">
        <v>556</v>
      </c>
      <c r="W2" s="10" t="s">
        <v>557</v>
      </c>
      <c r="X2" s="10" t="s">
        <v>558</v>
      </c>
      <c r="Y2" s="10" t="s">
        <v>559</v>
      </c>
      <c r="Z2" s="10" t="s">
        <v>560</v>
      </c>
      <c r="AA2" s="10" t="s">
        <v>561</v>
      </c>
      <c r="AB2" s="10" t="s">
        <v>562</v>
      </c>
      <c r="AC2" s="10" t="s">
        <v>563</v>
      </c>
      <c r="AD2" s="10" t="s">
        <v>564</v>
      </c>
      <c r="AE2" s="10" t="s">
        <v>565</v>
      </c>
      <c r="AF2" s="10" t="s">
        <v>566</v>
      </c>
      <c r="AG2" s="10" t="s">
        <v>567</v>
      </c>
      <c r="AH2" s="10" t="s">
        <v>568</v>
      </c>
      <c r="AI2" s="10" t="s">
        <v>569</v>
      </c>
      <c r="AJ2" s="10" t="s">
        <v>570</v>
      </c>
      <c r="AK2" s="10" t="s">
        <v>571</v>
      </c>
      <c r="AL2" s="10" t="s">
        <v>572</v>
      </c>
      <c r="AM2" s="10" t="s">
        <v>573</v>
      </c>
      <c r="AN2" s="10" t="s">
        <v>574</v>
      </c>
      <c r="AO2" s="10" t="s">
        <v>575</v>
      </c>
      <c r="AP2" s="10" t="s">
        <v>576</v>
      </c>
      <c r="AQ2" s="10" t="s">
        <v>577</v>
      </c>
      <c r="AR2" s="10" t="s">
        <v>578</v>
      </c>
      <c r="AS2" s="10" t="s">
        <v>579</v>
      </c>
      <c r="AT2" s="10" t="s">
        <v>580</v>
      </c>
      <c r="AU2" s="10" t="s">
        <v>581</v>
      </c>
      <c r="AV2" s="10" t="s">
        <v>582</v>
      </c>
      <c r="AW2" s="10" t="s">
        <v>583</v>
      </c>
      <c r="AX2" s="10" t="s">
        <v>584</v>
      </c>
      <c r="AY2" s="10" t="s">
        <v>585</v>
      </c>
      <c r="AZ2" s="10" t="s">
        <v>586</v>
      </c>
      <c r="BA2" s="10" t="s">
        <v>587</v>
      </c>
      <c r="BB2" s="10" t="s">
        <v>588</v>
      </c>
      <c r="BC2" s="10" t="s">
        <v>589</v>
      </c>
      <c r="BD2" s="10" t="s">
        <v>590</v>
      </c>
      <c r="BE2" s="10" t="s">
        <v>591</v>
      </c>
      <c r="BF2" s="10" t="s">
        <v>592</v>
      </c>
      <c r="BG2" s="10" t="s">
        <v>592</v>
      </c>
      <c r="BH2" s="10" t="s">
        <v>593</v>
      </c>
      <c r="BI2" s="10" t="s">
        <v>594</v>
      </c>
      <c r="BJ2" s="10" t="s">
        <v>595</v>
      </c>
      <c r="BK2" s="10" t="s">
        <v>596</v>
      </c>
      <c r="BL2" s="10" t="s">
        <v>597</v>
      </c>
    </row>
    <row r="3" spans="2:64" ht="16.5" thickTop="1" thickBot="1" x14ac:dyDescent="0.3">
      <c r="B3" s="2" t="s">
        <v>1</v>
      </c>
      <c r="C3" s="28">
        <v>0.122</v>
      </c>
      <c r="D3" s="28">
        <v>0.1181</v>
      </c>
      <c r="E3" s="28">
        <v>9.5799999999999996E-2</v>
      </c>
      <c r="F3" s="28">
        <v>0.124</v>
      </c>
      <c r="G3" s="28">
        <v>0.11119999999999999</v>
      </c>
      <c r="H3" s="28">
        <v>0.1211</v>
      </c>
      <c r="I3" s="28">
        <v>0.17460000000000001</v>
      </c>
      <c r="J3" s="28">
        <v>0.15090000000000001</v>
      </c>
      <c r="K3" s="28">
        <v>0.13739999999999999</v>
      </c>
      <c r="L3" s="28">
        <v>0.18609999999999999</v>
      </c>
      <c r="M3" s="28">
        <v>0.2324</v>
      </c>
      <c r="N3" s="28">
        <v>0.17</v>
      </c>
      <c r="O3" s="28">
        <v>0.1862</v>
      </c>
      <c r="P3" s="28">
        <v>0.19950000000000001</v>
      </c>
      <c r="Q3" s="28">
        <v>0.19639999999999999</v>
      </c>
      <c r="R3" s="28">
        <v>0.19409999999999999</v>
      </c>
      <c r="S3" s="28">
        <v>0.20930000000000001</v>
      </c>
      <c r="T3" s="28">
        <v>0.18809999999999999</v>
      </c>
      <c r="U3" s="28">
        <v>0.17199999999999999</v>
      </c>
      <c r="V3" s="28">
        <v>0.19739999999999999</v>
      </c>
      <c r="W3" s="28">
        <v>0.1958</v>
      </c>
      <c r="X3" s="28">
        <v>0.1953</v>
      </c>
      <c r="Y3" s="28">
        <v>0.19789999999999999</v>
      </c>
      <c r="Z3" s="28">
        <v>0.19550000000000001</v>
      </c>
      <c r="AA3" s="28">
        <v>0.15770000000000001</v>
      </c>
      <c r="AB3" s="28">
        <v>0.17780000000000001</v>
      </c>
      <c r="AC3" s="28">
        <v>0.19650000000000001</v>
      </c>
      <c r="AD3" s="28">
        <v>0.19439999999999999</v>
      </c>
      <c r="AE3" s="28">
        <v>0.20085</v>
      </c>
      <c r="AF3" s="28">
        <v>0.19589999999999999</v>
      </c>
      <c r="AG3" s="28">
        <v>0.19980000000000001</v>
      </c>
      <c r="AH3" s="28">
        <v>0.19639999999999999</v>
      </c>
      <c r="AI3" s="28">
        <v>0.1837</v>
      </c>
      <c r="AJ3" s="28">
        <v>0.19009999999999999</v>
      </c>
      <c r="AK3" s="28">
        <v>0.16039999999999999</v>
      </c>
      <c r="AL3" s="28">
        <v>0.18140000000000001</v>
      </c>
      <c r="AM3" s="28">
        <v>0.17516000000000001</v>
      </c>
      <c r="AN3" s="28">
        <v>0.16228999999999999</v>
      </c>
      <c r="AO3" s="28">
        <v>0.18476999999999999</v>
      </c>
      <c r="AP3" s="28">
        <v>0.18909999999999999</v>
      </c>
      <c r="AQ3" s="28">
        <v>0.19217999999999999</v>
      </c>
      <c r="AR3" s="28">
        <v>0.19286</v>
      </c>
      <c r="AS3" s="28">
        <v>0.17369000000000001</v>
      </c>
      <c r="AT3" s="28">
        <v>0.18429000000000001</v>
      </c>
      <c r="AU3" s="28">
        <v>0.17269999999999999</v>
      </c>
      <c r="AV3" s="28">
        <v>0.16769999999999999</v>
      </c>
      <c r="AW3" s="28">
        <v>0.1749</v>
      </c>
      <c r="AX3" s="28">
        <v>0.18379999999999999</v>
      </c>
      <c r="AY3" s="28">
        <v>0.185</v>
      </c>
      <c r="AZ3" s="28">
        <v>0.18540000000000001</v>
      </c>
      <c r="BA3" s="28">
        <v>0.17630000000000001</v>
      </c>
      <c r="BB3" s="28">
        <v>0.14549999999999999</v>
      </c>
      <c r="BC3" s="28">
        <v>0.1827</v>
      </c>
      <c r="BD3" s="28">
        <v>0.15740000000000001</v>
      </c>
      <c r="BE3" s="28">
        <v>0.1603</v>
      </c>
      <c r="BF3" s="28">
        <v>0.17899999999999999</v>
      </c>
      <c r="BG3" s="28">
        <v>0.18890000000000001</v>
      </c>
      <c r="BH3" s="28">
        <v>0.1875</v>
      </c>
      <c r="BI3" s="28">
        <v>0.18809999999999999</v>
      </c>
      <c r="BJ3" s="28">
        <v>0.18820000000000001</v>
      </c>
      <c r="BK3" s="28">
        <v>0.19350000000000001</v>
      </c>
      <c r="BL3" s="28">
        <v>0.1905</v>
      </c>
    </row>
    <row r="4" spans="2:64" ht="16.5" thickTop="1" thickBot="1" x14ac:dyDescent="0.3">
      <c r="B4" s="3" t="s">
        <v>2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</row>
    <row r="5" spans="2:64" ht="15.75" thickBot="1" x14ac:dyDescent="0.3">
      <c r="B5" s="3" t="s">
        <v>3</v>
      </c>
      <c r="C5" s="28"/>
      <c r="D5" s="28"/>
      <c r="E5" s="28"/>
      <c r="F5" s="28">
        <v>0.23150000000000001</v>
      </c>
      <c r="G5" s="28"/>
      <c r="H5" s="28">
        <v>0.2</v>
      </c>
      <c r="I5" s="28"/>
      <c r="J5" s="28">
        <v>9.5000000000000001E-2</v>
      </c>
      <c r="K5" s="28"/>
      <c r="L5" s="28"/>
      <c r="M5" s="28"/>
      <c r="N5" s="28"/>
      <c r="O5" s="28">
        <v>0.2278</v>
      </c>
      <c r="P5" s="28"/>
      <c r="Q5" s="28">
        <v>0.24</v>
      </c>
      <c r="R5" s="28">
        <v>0.25</v>
      </c>
      <c r="S5" s="28"/>
      <c r="T5" s="28">
        <v>0.25</v>
      </c>
      <c r="U5" s="28">
        <v>0.23</v>
      </c>
      <c r="V5" s="28"/>
      <c r="W5" s="28"/>
      <c r="X5" s="28"/>
      <c r="Y5" s="28"/>
      <c r="Z5" s="28"/>
      <c r="AA5" s="28"/>
      <c r="AB5" s="28"/>
      <c r="AC5" s="28"/>
      <c r="AD5" s="28">
        <v>0.22</v>
      </c>
      <c r="AE5" s="28"/>
      <c r="AF5" s="28">
        <v>0.23</v>
      </c>
      <c r="AG5" s="28"/>
      <c r="AH5" s="28">
        <v>0.2316</v>
      </c>
      <c r="AI5" s="28">
        <v>0.24</v>
      </c>
      <c r="AJ5" s="28"/>
      <c r="AK5" s="28">
        <v>0.23</v>
      </c>
      <c r="AL5" s="28"/>
      <c r="AM5" s="28">
        <v>0.23</v>
      </c>
      <c r="AN5" s="68">
        <v>0.23</v>
      </c>
      <c r="AO5" s="68"/>
      <c r="AP5" s="68"/>
      <c r="AQ5" s="68"/>
      <c r="AR5" s="68">
        <v>0.22999</v>
      </c>
      <c r="AS5" s="68">
        <v>0.23</v>
      </c>
      <c r="AT5" s="68"/>
      <c r="AU5" s="68">
        <v>0.23</v>
      </c>
      <c r="AV5" s="68">
        <v>0.24</v>
      </c>
      <c r="AW5" s="68"/>
      <c r="AX5" s="68"/>
      <c r="AY5" s="68"/>
      <c r="AZ5" s="68"/>
      <c r="BA5" s="68">
        <v>0.23</v>
      </c>
      <c r="BB5" s="68"/>
      <c r="BC5" s="68"/>
      <c r="BD5" s="68"/>
      <c r="BE5" s="68">
        <v>0.23810000000000001</v>
      </c>
      <c r="BF5" s="68">
        <v>0.23</v>
      </c>
      <c r="BG5" s="68">
        <v>0.23077</v>
      </c>
      <c r="BH5" s="68"/>
      <c r="BI5" s="68"/>
      <c r="BJ5" s="68">
        <v>0.23</v>
      </c>
      <c r="BK5" s="68">
        <v>0.23</v>
      </c>
      <c r="BL5" s="68">
        <v>0.24</v>
      </c>
    </row>
    <row r="6" spans="2:64" ht="30.75" thickBot="1" x14ac:dyDescent="0.3">
      <c r="B6" s="3" t="s">
        <v>4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</row>
    <row r="7" spans="2:64" ht="15.75" thickBot="1" x14ac:dyDescent="0.3">
      <c r="B7" s="3" t="s">
        <v>5</v>
      </c>
      <c r="C7" s="28"/>
      <c r="D7" s="28"/>
      <c r="E7" s="28"/>
      <c r="F7" s="28">
        <v>0.124</v>
      </c>
      <c r="G7" s="28">
        <v>0.11119999999999999</v>
      </c>
      <c r="H7" s="28">
        <v>0.1211</v>
      </c>
      <c r="I7" s="28">
        <v>0.12559999999999999</v>
      </c>
      <c r="J7" s="28"/>
      <c r="K7" s="28">
        <v>0.15</v>
      </c>
      <c r="L7" s="28">
        <v>0.15</v>
      </c>
      <c r="M7" s="28">
        <v>0.18</v>
      </c>
      <c r="N7" s="28">
        <v>0.19</v>
      </c>
      <c r="O7" s="28"/>
      <c r="P7" s="28">
        <v>0.1933</v>
      </c>
      <c r="Q7" s="28">
        <v>0.19800000000000001</v>
      </c>
      <c r="R7" s="28">
        <v>0.19409999999999999</v>
      </c>
      <c r="S7" s="28">
        <v>0.20930000000000001</v>
      </c>
      <c r="T7" s="28">
        <v>0.18809999999999999</v>
      </c>
      <c r="U7" s="28">
        <v>0.17199999999999999</v>
      </c>
      <c r="V7" s="28">
        <v>0.19739999999999999</v>
      </c>
      <c r="W7" s="28">
        <v>0.1958</v>
      </c>
      <c r="X7" s="28">
        <v>0.19600000000000001</v>
      </c>
      <c r="Y7" s="28">
        <v>0.19789999999999999</v>
      </c>
      <c r="Z7" s="28">
        <v>0.19550000000000001</v>
      </c>
      <c r="AA7" s="28">
        <v>0.15770000000000001</v>
      </c>
      <c r="AB7" s="28">
        <v>0.17780000000000001</v>
      </c>
      <c r="AC7" s="28">
        <v>0.19650000000000001</v>
      </c>
      <c r="AD7" s="28">
        <v>0.19439999999999999</v>
      </c>
      <c r="AE7" s="28">
        <v>0.20085</v>
      </c>
      <c r="AF7" s="28">
        <v>0.19589999999999999</v>
      </c>
      <c r="AG7" s="28"/>
      <c r="AH7" s="28">
        <v>0.19639999999999999</v>
      </c>
      <c r="AI7" s="28">
        <v>0.1837</v>
      </c>
      <c r="AJ7" s="28">
        <v>0.19009999999999999</v>
      </c>
      <c r="AK7" s="28">
        <v>0.16039999999999999</v>
      </c>
      <c r="AL7" s="28">
        <v>0.16500000000000001</v>
      </c>
      <c r="AM7" s="28">
        <v>0.17516000000000001</v>
      </c>
      <c r="AN7" s="68">
        <v>0.17799999999999999</v>
      </c>
      <c r="AO7" s="68">
        <v>0.18476999999999999</v>
      </c>
      <c r="AP7" s="68">
        <v>0.18909999999999999</v>
      </c>
      <c r="AQ7" s="68">
        <v>0.19217999999999999</v>
      </c>
      <c r="AR7" s="28">
        <v>0.19286</v>
      </c>
      <c r="AS7" s="28">
        <v>0.19400000000000001</v>
      </c>
      <c r="AT7" s="28">
        <v>0.18429000000000001</v>
      </c>
      <c r="AU7" s="28">
        <v>0.17269999999999999</v>
      </c>
      <c r="AV7" s="28">
        <v>0.16769999999999999</v>
      </c>
      <c r="AW7" s="28">
        <v>0.1749</v>
      </c>
      <c r="AX7" s="28">
        <v>0.18379999999999999</v>
      </c>
      <c r="AY7" s="28">
        <v>0.185</v>
      </c>
      <c r="AZ7" s="28">
        <v>0.185</v>
      </c>
      <c r="BA7" s="28">
        <v>0.17630000000000001</v>
      </c>
      <c r="BB7" s="28"/>
      <c r="BC7" s="28"/>
      <c r="BD7" s="28">
        <v>0.17630000000000001</v>
      </c>
      <c r="BE7" s="28">
        <v>0.1603</v>
      </c>
      <c r="BF7" s="28">
        <v>0.17899999999999999</v>
      </c>
      <c r="BG7" s="28">
        <v>0.16</v>
      </c>
      <c r="BH7" s="28">
        <v>0.1875</v>
      </c>
      <c r="BI7" s="28">
        <v>0.18809999999999999</v>
      </c>
      <c r="BJ7" s="28">
        <v>0.18820000000000001</v>
      </c>
      <c r="BK7" s="28">
        <v>0.19350000000000001</v>
      </c>
      <c r="BL7" s="28">
        <v>0.1905</v>
      </c>
    </row>
    <row r="8" spans="2:64" ht="30.75" thickBot="1" x14ac:dyDescent="0.3">
      <c r="B8" s="3" t="s">
        <v>6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</row>
    <row r="9" spans="2:64" ht="15.75" thickBot="1" x14ac:dyDescent="0.3">
      <c r="B9" s="3" t="s">
        <v>7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>
        <v>4760</v>
      </c>
      <c r="P9" s="27">
        <v>4860</v>
      </c>
      <c r="Q9" s="27"/>
      <c r="R9" s="27">
        <v>4800</v>
      </c>
      <c r="S9" s="27">
        <v>4750</v>
      </c>
      <c r="T9" s="27">
        <v>4723</v>
      </c>
      <c r="U9" s="27">
        <v>4733</v>
      </c>
      <c r="V9" s="27">
        <v>4685</v>
      </c>
      <c r="W9" s="27">
        <v>4679</v>
      </c>
      <c r="X9" s="27">
        <v>4750</v>
      </c>
      <c r="Y9" s="27">
        <v>4793</v>
      </c>
      <c r="Z9" s="27">
        <v>4776</v>
      </c>
      <c r="AA9" s="27">
        <v>4788</v>
      </c>
      <c r="AB9" s="27">
        <v>4749</v>
      </c>
      <c r="AC9" s="27">
        <v>4784</v>
      </c>
      <c r="AD9" s="27">
        <v>4713</v>
      </c>
      <c r="AE9" s="27">
        <v>4723</v>
      </c>
      <c r="AF9" s="27">
        <v>4742</v>
      </c>
      <c r="AG9" s="27">
        <v>4734</v>
      </c>
      <c r="AH9" s="27">
        <v>4703</v>
      </c>
      <c r="AI9" s="27">
        <v>4712</v>
      </c>
      <c r="AJ9" s="27">
        <v>4721</v>
      </c>
      <c r="AK9" s="27">
        <v>4738</v>
      </c>
      <c r="AL9" s="27">
        <v>4724</v>
      </c>
      <c r="AM9" s="27">
        <v>4736</v>
      </c>
      <c r="AN9" s="27">
        <v>4765</v>
      </c>
      <c r="AO9" s="27">
        <v>4777</v>
      </c>
      <c r="AP9" s="27">
        <v>4827</v>
      </c>
      <c r="AQ9" s="27">
        <v>4803</v>
      </c>
      <c r="AR9" s="27">
        <v>4788</v>
      </c>
      <c r="AS9" s="27">
        <v>4707</v>
      </c>
      <c r="AT9" s="27">
        <v>4733</v>
      </c>
      <c r="AU9" s="27">
        <v>4721</v>
      </c>
      <c r="AV9" s="27">
        <v>4740</v>
      </c>
      <c r="AW9" s="27">
        <v>4703</v>
      </c>
      <c r="AX9" s="27">
        <v>4719</v>
      </c>
      <c r="AY9" s="27">
        <v>4728</v>
      </c>
      <c r="AZ9" s="27">
        <v>4739</v>
      </c>
      <c r="BA9" s="27">
        <v>4732</v>
      </c>
      <c r="BB9" s="27">
        <v>4723</v>
      </c>
      <c r="BC9" s="27">
        <v>4714</v>
      </c>
      <c r="BD9" s="27">
        <v>4621</v>
      </c>
      <c r="BE9" s="27">
        <v>4643</v>
      </c>
      <c r="BF9" s="27">
        <v>4681</v>
      </c>
      <c r="BG9" s="27">
        <v>4683</v>
      </c>
      <c r="BH9" s="27">
        <v>4694</v>
      </c>
      <c r="BI9" s="27">
        <v>4683</v>
      </c>
      <c r="BJ9" s="27">
        <v>4671</v>
      </c>
      <c r="BK9" s="27">
        <v>4611</v>
      </c>
      <c r="BL9" s="27">
        <v>4643</v>
      </c>
    </row>
  </sheetData>
  <pageMargins left="0.7" right="0.7" top="0.75" bottom="0.75" header="0.3" footer="0.3"/>
  <pageSetup paperSize="11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AF9"/>
  <sheetViews>
    <sheetView workbookViewId="0">
      <pane xSplit="2" topLeftCell="Z1" activePane="topRight" state="frozen"/>
      <selection pane="topRight" activeCell="AD8" sqref="AD8"/>
    </sheetView>
  </sheetViews>
  <sheetFormatPr defaultRowHeight="15" x14ac:dyDescent="0.25"/>
  <cols>
    <col min="2" max="2" width="28.5703125" customWidth="1"/>
    <col min="3" max="32" width="10.140625" customWidth="1"/>
  </cols>
  <sheetData>
    <row r="1" spans="2:32" ht="15.75" thickBot="1" x14ac:dyDescent="0.3"/>
    <row r="2" spans="2:32" ht="15.75" thickBot="1" x14ac:dyDescent="0.3">
      <c r="C2" s="10" t="s">
        <v>598</v>
      </c>
      <c r="D2" s="10" t="s">
        <v>599</v>
      </c>
      <c r="E2" s="10" t="s">
        <v>600</v>
      </c>
      <c r="F2" s="10" t="s">
        <v>601</v>
      </c>
      <c r="G2" s="10" t="s">
        <v>602</v>
      </c>
      <c r="H2" s="10" t="s">
        <v>603</v>
      </c>
      <c r="I2" s="10" t="s">
        <v>604</v>
      </c>
      <c r="J2" s="10" t="s">
        <v>605</v>
      </c>
      <c r="K2" s="10" t="s">
        <v>605</v>
      </c>
      <c r="L2" s="10" t="s">
        <v>606</v>
      </c>
      <c r="M2" s="10" t="s">
        <v>607</v>
      </c>
      <c r="N2" s="10" t="s">
        <v>608</v>
      </c>
      <c r="O2" s="10" t="s">
        <v>609</v>
      </c>
      <c r="P2" s="10" t="s">
        <v>610</v>
      </c>
      <c r="Q2" s="10" t="s">
        <v>611</v>
      </c>
      <c r="R2" s="10" t="s">
        <v>613</v>
      </c>
      <c r="S2" s="10" t="s">
        <v>612</v>
      </c>
      <c r="T2" s="10" t="s">
        <v>614</v>
      </c>
      <c r="U2" s="10" t="s">
        <v>615</v>
      </c>
      <c r="V2" s="10" t="s">
        <v>616</v>
      </c>
      <c r="W2" s="10" t="s">
        <v>617</v>
      </c>
      <c r="X2" s="10" t="s">
        <v>618</v>
      </c>
      <c r="Y2" s="10" t="s">
        <v>619</v>
      </c>
      <c r="Z2" s="10" t="s">
        <v>620</v>
      </c>
      <c r="AA2" s="10" t="s">
        <v>621</v>
      </c>
      <c r="AB2" s="10" t="s">
        <v>622</v>
      </c>
      <c r="AC2" s="10" t="s">
        <v>623</v>
      </c>
      <c r="AD2" s="10" t="s">
        <v>624</v>
      </c>
      <c r="AE2" s="10" t="s">
        <v>625</v>
      </c>
      <c r="AF2" s="10" t="s">
        <v>626</v>
      </c>
    </row>
    <row r="3" spans="2:32" ht="16.5" thickTop="1" thickBot="1" x14ac:dyDescent="0.3">
      <c r="B3" s="2" t="s">
        <v>1</v>
      </c>
      <c r="C3" s="28">
        <v>0.15970000000000001</v>
      </c>
      <c r="D3" s="28">
        <v>0.18495</v>
      </c>
      <c r="E3" s="28">
        <v>0.17509</v>
      </c>
      <c r="F3" s="28">
        <v>0.20807</v>
      </c>
      <c r="G3" s="28">
        <v>0.17730000000000001</v>
      </c>
      <c r="H3" s="28">
        <v>0.20200000000000001</v>
      </c>
      <c r="I3" s="28">
        <v>0.19724</v>
      </c>
      <c r="J3" s="28">
        <v>0.16055</v>
      </c>
      <c r="K3" s="28">
        <v>0.21560000000000001</v>
      </c>
      <c r="L3" s="28">
        <v>0.19320000000000001</v>
      </c>
      <c r="M3" s="28">
        <v>0.15679999999999999</v>
      </c>
      <c r="N3" s="28">
        <v>0.20630000000000001</v>
      </c>
      <c r="O3" s="28">
        <v>0.2049</v>
      </c>
      <c r="P3" s="28">
        <v>0.2099</v>
      </c>
      <c r="Q3" s="28">
        <v>0.21010000000000001</v>
      </c>
      <c r="R3" s="28">
        <v>0.20960000000000001</v>
      </c>
      <c r="S3" s="28">
        <v>0.2074</v>
      </c>
      <c r="T3" s="28">
        <v>0.21590000000000001</v>
      </c>
      <c r="U3" s="28">
        <v>0.21870000000000001</v>
      </c>
      <c r="V3" s="28">
        <v>0.215</v>
      </c>
      <c r="W3" s="28">
        <v>0.214</v>
      </c>
      <c r="X3" s="28">
        <v>0.21099999999999999</v>
      </c>
      <c r="Y3" s="28">
        <v>0.21160000000000001</v>
      </c>
      <c r="Z3" s="28">
        <v>0.2198</v>
      </c>
      <c r="AA3" s="28">
        <v>0.21940000000000001</v>
      </c>
      <c r="AB3" s="28">
        <v>0.21590000000000001</v>
      </c>
      <c r="AC3" s="28">
        <v>0.2177</v>
      </c>
      <c r="AD3" s="28">
        <v>0.22120000000000001</v>
      </c>
      <c r="AE3" s="28">
        <v>0.2213</v>
      </c>
      <c r="AF3" s="28">
        <v>0.21909999999999999</v>
      </c>
    </row>
    <row r="4" spans="2:32" ht="16.5" thickTop="1" thickBot="1" x14ac:dyDescent="0.3">
      <c r="B4" s="3" t="s">
        <v>2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</row>
    <row r="5" spans="2:32" ht="15.75" thickBot="1" x14ac:dyDescent="0.3">
      <c r="B5" s="3" t="s">
        <v>3</v>
      </c>
      <c r="C5" s="28">
        <v>0.22</v>
      </c>
      <c r="D5" s="28"/>
      <c r="E5" s="28"/>
      <c r="F5" s="28"/>
      <c r="G5" s="28">
        <v>0.24</v>
      </c>
      <c r="H5" s="28">
        <v>0.25</v>
      </c>
      <c r="I5" s="28">
        <v>0.26</v>
      </c>
      <c r="J5" s="28"/>
      <c r="K5" s="28">
        <v>0.24</v>
      </c>
      <c r="L5" s="28"/>
      <c r="M5" s="28"/>
      <c r="N5" s="28"/>
      <c r="O5" s="28">
        <v>0.26</v>
      </c>
      <c r="P5" s="28"/>
      <c r="Q5" s="28"/>
      <c r="R5" s="28">
        <v>0.27</v>
      </c>
      <c r="S5" s="28"/>
      <c r="T5" s="28">
        <v>0.25359999999999999</v>
      </c>
      <c r="U5" s="28">
        <v>0.26</v>
      </c>
      <c r="V5" s="28">
        <v>0.2873</v>
      </c>
      <c r="W5" s="28">
        <v>0.26090000000000002</v>
      </c>
      <c r="X5" s="28">
        <v>0.25829999999999997</v>
      </c>
      <c r="Y5" s="28">
        <v>0.26500000000000001</v>
      </c>
      <c r="Z5" s="28"/>
      <c r="AA5" s="28"/>
      <c r="AB5" s="28"/>
      <c r="AC5" s="28"/>
      <c r="AD5" s="28"/>
      <c r="AE5" s="28">
        <v>0.28000000000000003</v>
      </c>
      <c r="AF5" s="28">
        <v>0.27</v>
      </c>
    </row>
    <row r="6" spans="2:32" ht="30.75" thickBot="1" x14ac:dyDescent="0.3">
      <c r="B6" s="3" t="s">
        <v>4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</row>
    <row r="7" spans="2:32" ht="15.75" thickBot="1" x14ac:dyDescent="0.3">
      <c r="B7" s="3" t="s">
        <v>5</v>
      </c>
      <c r="C7" s="28">
        <v>0.1905</v>
      </c>
      <c r="D7" s="28">
        <v>0.18484999999999999</v>
      </c>
      <c r="E7" s="28">
        <v>0.18484999999999999</v>
      </c>
      <c r="F7" s="28">
        <v>0.17680000000000001</v>
      </c>
      <c r="G7" s="28">
        <v>0.17680000000000001</v>
      </c>
      <c r="H7" s="28">
        <v>0.17499999999999999</v>
      </c>
      <c r="I7" s="28">
        <v>0.19</v>
      </c>
      <c r="J7" s="28">
        <v>0.18290000000000001</v>
      </c>
      <c r="K7" s="28">
        <v>0.17</v>
      </c>
      <c r="L7" s="28"/>
      <c r="M7" s="28">
        <v>0.192</v>
      </c>
      <c r="N7" s="28">
        <v>0.17</v>
      </c>
      <c r="O7" s="28">
        <v>0.19600000000000001</v>
      </c>
      <c r="P7" s="28">
        <v>0.2</v>
      </c>
      <c r="Q7" s="28">
        <v>0.2</v>
      </c>
      <c r="R7" s="28">
        <v>0.21</v>
      </c>
      <c r="S7" s="28"/>
      <c r="T7" s="28">
        <v>0.21590000000000001</v>
      </c>
      <c r="U7" s="28">
        <v>0.215</v>
      </c>
      <c r="V7" s="28">
        <v>0.215</v>
      </c>
      <c r="W7" s="28">
        <v>0.215</v>
      </c>
      <c r="X7" s="28">
        <v>0.21299999999999999</v>
      </c>
      <c r="Y7" s="28">
        <v>0.21199999999999999</v>
      </c>
      <c r="Z7" s="28">
        <v>0.2198</v>
      </c>
      <c r="AA7" s="28">
        <v>0.2198</v>
      </c>
      <c r="AB7" s="28">
        <v>0.2185</v>
      </c>
      <c r="AC7" s="28">
        <v>0.2147</v>
      </c>
      <c r="AD7" s="28">
        <v>0.19670000000000001</v>
      </c>
      <c r="AE7" s="28">
        <v>0.2167</v>
      </c>
      <c r="AF7" s="28">
        <v>0.21909999999999999</v>
      </c>
    </row>
    <row r="8" spans="2:32" ht="30.75" thickBot="1" x14ac:dyDescent="0.3">
      <c r="B8" s="3" t="s">
        <v>6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</row>
    <row r="9" spans="2:32" ht="15.75" thickBot="1" x14ac:dyDescent="0.3">
      <c r="B9" s="3" t="s">
        <v>7</v>
      </c>
      <c r="C9" s="27">
        <v>4667</v>
      </c>
      <c r="D9" s="27">
        <v>4780</v>
      </c>
      <c r="E9" s="27">
        <v>4813</v>
      </c>
      <c r="F9" s="27">
        <v>4793</v>
      </c>
      <c r="G9" s="27">
        <v>4803</v>
      </c>
      <c r="H9" s="27">
        <v>4788</v>
      </c>
      <c r="I9" s="27">
        <v>4788</v>
      </c>
      <c r="J9" s="27">
        <v>4789</v>
      </c>
      <c r="K9" s="27">
        <v>4812</v>
      </c>
      <c r="L9" s="27">
        <v>4808</v>
      </c>
      <c r="M9" s="27">
        <v>4768</v>
      </c>
      <c r="N9" s="27">
        <v>4695</v>
      </c>
      <c r="O9" s="27">
        <v>4707</v>
      </c>
      <c r="P9" s="27">
        <v>4731</v>
      </c>
      <c r="Q9" s="27">
        <v>4707</v>
      </c>
      <c r="R9" s="27">
        <v>4714</v>
      </c>
      <c r="S9" s="27">
        <v>4687</v>
      </c>
      <c r="T9" s="27">
        <v>4695</v>
      </c>
      <c r="U9" s="27">
        <v>4674</v>
      </c>
      <c r="V9" s="27">
        <v>4687</v>
      </c>
      <c r="W9" s="27">
        <v>4707</v>
      </c>
      <c r="X9" s="27">
        <v>4689</v>
      </c>
      <c r="Y9" s="27">
        <v>4674</v>
      </c>
      <c r="Z9" s="27">
        <v>4698</v>
      </c>
      <c r="AA9" s="27">
        <v>4703</v>
      </c>
      <c r="AB9" s="27">
        <v>4689</v>
      </c>
      <c r="AC9" s="27">
        <v>4703</v>
      </c>
      <c r="AD9" s="27">
        <v>4690</v>
      </c>
      <c r="AE9" s="27">
        <v>4697</v>
      </c>
      <c r="AF9" s="27">
        <v>4742</v>
      </c>
    </row>
  </sheetData>
  <phoneticPr fontId="2" type="noConversion"/>
  <pageMargins left="0.7" right="0.7" top="0.75" bottom="0.75" header="0.3" footer="0.3"/>
  <pageSetup paperSize="11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AG9"/>
  <sheetViews>
    <sheetView workbookViewId="0">
      <pane xSplit="2" topLeftCell="U1" activePane="topRight" state="frozen"/>
      <selection pane="topRight" activeCell="X15" sqref="X15"/>
    </sheetView>
  </sheetViews>
  <sheetFormatPr defaultRowHeight="15" x14ac:dyDescent="0.25"/>
  <cols>
    <col min="2" max="2" width="28.5703125" customWidth="1"/>
    <col min="3" max="27" width="10.140625" customWidth="1"/>
    <col min="28" max="33" width="10.28515625" customWidth="1"/>
  </cols>
  <sheetData>
    <row r="1" spans="2:33" ht="15.75" thickBot="1" x14ac:dyDescent="0.3"/>
    <row r="2" spans="2:33" ht="15.75" thickBot="1" x14ac:dyDescent="0.3">
      <c r="C2" s="10" t="s">
        <v>627</v>
      </c>
      <c r="D2" s="10" t="s">
        <v>628</v>
      </c>
      <c r="E2" s="10" t="s">
        <v>629</v>
      </c>
      <c r="F2" s="10" t="s">
        <v>630</v>
      </c>
      <c r="G2" s="10" t="s">
        <v>631</v>
      </c>
      <c r="H2" s="10" t="s">
        <v>632</v>
      </c>
      <c r="I2" s="10" t="s">
        <v>633</v>
      </c>
      <c r="J2" s="10" t="s">
        <v>634</v>
      </c>
      <c r="K2" s="10" t="s">
        <v>635</v>
      </c>
      <c r="L2" s="10" t="s">
        <v>636</v>
      </c>
      <c r="M2" s="10" t="s">
        <v>637</v>
      </c>
      <c r="N2" s="10" t="s">
        <v>638</v>
      </c>
      <c r="O2" s="10" t="s">
        <v>639</v>
      </c>
      <c r="P2" s="10" t="s">
        <v>640</v>
      </c>
      <c r="Q2" s="10" t="s">
        <v>641</v>
      </c>
      <c r="R2" s="10" t="s">
        <v>642</v>
      </c>
      <c r="S2" s="10" t="s">
        <v>643</v>
      </c>
      <c r="T2" s="10" t="s">
        <v>644</v>
      </c>
      <c r="U2" s="10" t="s">
        <v>645</v>
      </c>
      <c r="V2" s="10" t="s">
        <v>646</v>
      </c>
      <c r="W2" s="10" t="s">
        <v>647</v>
      </c>
      <c r="X2" s="10" t="s">
        <v>648</v>
      </c>
      <c r="Y2" s="10" t="s">
        <v>649</v>
      </c>
      <c r="Z2" s="10" t="s">
        <v>650</v>
      </c>
      <c r="AA2" s="10" t="s">
        <v>651</v>
      </c>
      <c r="AB2" s="10" t="s">
        <v>652</v>
      </c>
      <c r="AC2" s="10" t="s">
        <v>653</v>
      </c>
      <c r="AD2" s="10" t="s">
        <v>654</v>
      </c>
      <c r="AE2" s="10" t="s">
        <v>655</v>
      </c>
      <c r="AF2" s="10" t="s">
        <v>656</v>
      </c>
      <c r="AG2" s="10" t="s">
        <v>657</v>
      </c>
    </row>
    <row r="3" spans="2:33" ht="16.5" thickTop="1" thickBot="1" x14ac:dyDescent="0.3">
      <c r="B3" s="2" t="s">
        <v>1</v>
      </c>
      <c r="C3" s="28">
        <v>0.21099999999999999</v>
      </c>
      <c r="D3" s="28">
        <v>0.19900000000000001</v>
      </c>
      <c r="E3" s="28">
        <v>0.20630000000000001</v>
      </c>
      <c r="F3" s="28">
        <v>0.2147</v>
      </c>
      <c r="G3" s="28">
        <v>0.2102</v>
      </c>
      <c r="H3" s="28">
        <v>0.21049999999999999</v>
      </c>
      <c r="I3" s="28">
        <v>0.21829999999999999</v>
      </c>
      <c r="J3" s="28">
        <v>0.2177</v>
      </c>
      <c r="K3" s="28">
        <v>0.21709999999999999</v>
      </c>
      <c r="L3" s="28">
        <v>0.21360000000000001</v>
      </c>
      <c r="M3" s="28">
        <v>0.20080000000000001</v>
      </c>
      <c r="N3" s="28">
        <v>0.2339</v>
      </c>
      <c r="O3" s="28">
        <v>0.216</v>
      </c>
      <c r="P3" s="28">
        <v>0.23369999999999999</v>
      </c>
      <c r="Q3" s="28">
        <v>0.2354</v>
      </c>
      <c r="R3" s="28">
        <v>0.2321</v>
      </c>
      <c r="S3" s="28">
        <v>0.23019999999999999</v>
      </c>
      <c r="T3" s="28">
        <v>0.23380000000000001</v>
      </c>
      <c r="U3" s="28">
        <v>0.22770000000000001</v>
      </c>
      <c r="V3" s="28">
        <v>0.2293</v>
      </c>
      <c r="W3" s="28">
        <v>0.22339999999999999</v>
      </c>
      <c r="X3" s="28">
        <v>0.2349</v>
      </c>
      <c r="Y3" s="28">
        <v>0.23069999999999999</v>
      </c>
      <c r="Z3" s="28">
        <v>0.22489999999999999</v>
      </c>
      <c r="AA3" s="28">
        <v>0.22869999999999999</v>
      </c>
      <c r="AB3" s="28">
        <v>0.23630000000000001</v>
      </c>
      <c r="AC3" s="28">
        <v>0.23269999999999999</v>
      </c>
      <c r="AD3" s="28">
        <v>0.1855</v>
      </c>
      <c r="AE3" s="28">
        <v>0.20150000000000001</v>
      </c>
      <c r="AF3" s="28">
        <v>0.21149999999999999</v>
      </c>
      <c r="AG3" s="28">
        <v>0.2034</v>
      </c>
    </row>
    <row r="4" spans="2:33" ht="16.5" thickTop="1" thickBot="1" x14ac:dyDescent="0.3">
      <c r="B4" s="3" t="s">
        <v>2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</row>
    <row r="5" spans="2:33" ht="15.75" thickBot="1" x14ac:dyDescent="0.3">
      <c r="B5" s="3" t="s">
        <v>3</v>
      </c>
      <c r="C5" s="28">
        <v>0.26</v>
      </c>
      <c r="D5" s="28">
        <v>0.25</v>
      </c>
      <c r="E5" s="28"/>
      <c r="F5" s="28">
        <v>0.25380000000000003</v>
      </c>
      <c r="G5" s="28">
        <v>0.25309999999999999</v>
      </c>
      <c r="H5" s="28">
        <v>0.26</v>
      </c>
      <c r="I5" s="28">
        <v>0.214</v>
      </c>
      <c r="J5" s="28">
        <v>0.20669999999999999</v>
      </c>
      <c r="K5" s="28">
        <v>0.25</v>
      </c>
      <c r="L5" s="28">
        <v>0.25</v>
      </c>
      <c r="M5" s="28">
        <v>0.26</v>
      </c>
      <c r="N5" s="28">
        <v>0.26</v>
      </c>
      <c r="O5" s="28">
        <v>0</v>
      </c>
      <c r="P5" s="28">
        <v>0.24</v>
      </c>
      <c r="Q5" s="28">
        <v>0.25</v>
      </c>
      <c r="R5" s="28">
        <v>0.26</v>
      </c>
      <c r="S5" s="28">
        <v>0.26</v>
      </c>
      <c r="T5" s="28">
        <v>0.26</v>
      </c>
      <c r="U5" s="28">
        <v>0.27</v>
      </c>
      <c r="V5" s="28">
        <v>0.27</v>
      </c>
      <c r="W5" s="28">
        <v>0.27</v>
      </c>
      <c r="X5" s="28"/>
      <c r="Y5" s="28">
        <v>0.27</v>
      </c>
      <c r="Z5" s="28">
        <v>0.28000000000000003</v>
      </c>
      <c r="AA5" s="28">
        <v>0.27</v>
      </c>
      <c r="AB5" s="28"/>
      <c r="AC5" s="28">
        <v>0.27</v>
      </c>
      <c r="AD5" s="28">
        <v>0.27</v>
      </c>
      <c r="AE5" s="28">
        <v>0.28000000000000003</v>
      </c>
      <c r="AF5" s="28">
        <v>0.27</v>
      </c>
      <c r="AG5" s="28">
        <v>0.27</v>
      </c>
    </row>
    <row r="6" spans="2:33" ht="30.75" thickBot="1" x14ac:dyDescent="0.3">
      <c r="B6" s="3" t="s">
        <v>4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</row>
    <row r="7" spans="2:33" ht="15.75" thickBot="1" x14ac:dyDescent="0.3">
      <c r="B7" s="3" t="s">
        <v>5</v>
      </c>
      <c r="C7" s="28"/>
      <c r="D7" s="28">
        <v>0.21</v>
      </c>
      <c r="E7" s="28"/>
      <c r="F7" s="28">
        <v>0.20669999999999999</v>
      </c>
      <c r="G7" s="28">
        <v>0.2233</v>
      </c>
      <c r="H7" s="28"/>
      <c r="I7" s="28"/>
      <c r="J7" s="28"/>
      <c r="K7" s="28">
        <v>0.216</v>
      </c>
      <c r="L7" s="28">
        <v>0.217</v>
      </c>
      <c r="M7" s="28">
        <v>0.218</v>
      </c>
      <c r="N7" s="28">
        <v>0.215</v>
      </c>
      <c r="O7" s="28">
        <v>0.215</v>
      </c>
      <c r="P7" s="28"/>
      <c r="Q7" s="28"/>
      <c r="R7" s="28">
        <v>0.2233</v>
      </c>
      <c r="S7" s="28">
        <v>0.23330000000000001</v>
      </c>
      <c r="T7" s="28">
        <v>0.23330000000000001</v>
      </c>
      <c r="U7" s="28"/>
      <c r="V7" s="28">
        <v>0.22770000000000001</v>
      </c>
      <c r="W7" s="28">
        <v>0.23</v>
      </c>
      <c r="X7" s="28"/>
      <c r="Y7" s="28">
        <v>0.23069999999999999</v>
      </c>
      <c r="Z7" s="28">
        <v>0.22489999999999999</v>
      </c>
      <c r="AA7" s="28">
        <v>0.22869999999999999</v>
      </c>
      <c r="AB7" s="28">
        <v>0.23630000000000001</v>
      </c>
      <c r="AC7" s="28">
        <v>0.23269999999999999</v>
      </c>
      <c r="AD7" s="28">
        <v>0.1855</v>
      </c>
      <c r="AE7" s="28">
        <v>0.20150000000000001</v>
      </c>
      <c r="AF7" s="28">
        <v>0.21149999999999999</v>
      </c>
      <c r="AG7" s="28">
        <v>0.2034</v>
      </c>
    </row>
    <row r="8" spans="2:33" ht="30.75" thickBot="1" x14ac:dyDescent="0.3">
      <c r="B8" s="3" t="s">
        <v>6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</row>
    <row r="9" spans="2:33" ht="15.75" thickBot="1" x14ac:dyDescent="0.3">
      <c r="B9" s="3" t="s">
        <v>7</v>
      </c>
      <c r="C9" s="27">
        <v>4687</v>
      </c>
      <c r="D9" s="27">
        <v>4721</v>
      </c>
      <c r="E9" s="27">
        <v>4709</v>
      </c>
      <c r="F9" s="27">
        <v>4703</v>
      </c>
      <c r="G9" s="27">
        <v>4715</v>
      </c>
      <c r="H9" s="27">
        <v>4688</v>
      </c>
      <c r="I9" s="27">
        <v>4694</v>
      </c>
      <c r="J9" s="27">
        <v>4702</v>
      </c>
      <c r="K9" s="27">
        <v>4674</v>
      </c>
      <c r="L9" s="27">
        <v>4693</v>
      </c>
      <c r="M9" s="27">
        <v>4707</v>
      </c>
      <c r="N9" s="27">
        <v>4694</v>
      </c>
      <c r="O9" s="27">
        <v>4673</v>
      </c>
      <c r="P9" s="27">
        <v>4681</v>
      </c>
      <c r="Q9" s="27">
        <v>4677</v>
      </c>
      <c r="R9" s="27">
        <v>4694</v>
      </c>
      <c r="S9" s="27">
        <v>4713</v>
      </c>
      <c r="T9" s="27">
        <v>4724</v>
      </c>
      <c r="U9" s="27">
        <v>4711</v>
      </c>
      <c r="V9" s="27">
        <v>4722</v>
      </c>
      <c r="W9" s="27">
        <v>4711</v>
      </c>
      <c r="X9" s="27">
        <v>4720</v>
      </c>
      <c r="Y9" s="27">
        <v>4724</v>
      </c>
      <c r="Z9" s="27">
        <v>4728</v>
      </c>
      <c r="AA9" s="27">
        <v>4714</v>
      </c>
      <c r="AB9" s="27">
        <v>4741</v>
      </c>
      <c r="AC9" s="27">
        <v>4713</v>
      </c>
      <c r="AD9" s="27">
        <v>4730</v>
      </c>
      <c r="AE9" s="27">
        <v>4719</v>
      </c>
      <c r="AF9" s="27">
        <v>4738</v>
      </c>
      <c r="AG9" s="27">
        <v>4731</v>
      </c>
    </row>
  </sheetData>
  <pageMargins left="0.7" right="0.7" top="0.75" bottom="0.75" header="0.3" footer="0.3"/>
  <pageSetup paperSize="11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AF9"/>
  <sheetViews>
    <sheetView workbookViewId="0">
      <pane xSplit="2" topLeftCell="T1" activePane="topRight" state="frozen"/>
      <selection pane="topRight" activeCell="AA13" sqref="AA13"/>
    </sheetView>
  </sheetViews>
  <sheetFormatPr defaultRowHeight="15" x14ac:dyDescent="0.25"/>
  <cols>
    <col min="2" max="2" width="28.5703125" customWidth="1"/>
    <col min="3" max="32" width="10.140625" customWidth="1"/>
  </cols>
  <sheetData>
    <row r="1" spans="2:32" ht="15.75" thickBot="1" x14ac:dyDescent="0.3"/>
    <row r="2" spans="2:32" ht="15.75" thickBot="1" x14ac:dyDescent="0.3">
      <c r="C2" s="10" t="s">
        <v>658</v>
      </c>
      <c r="D2" s="10" t="s">
        <v>659</v>
      </c>
      <c r="E2" s="10" t="s">
        <v>660</v>
      </c>
      <c r="F2" s="10" t="s">
        <v>661</v>
      </c>
      <c r="G2" s="10" t="s">
        <v>662</v>
      </c>
      <c r="H2" s="10" t="s">
        <v>663</v>
      </c>
      <c r="I2" s="10" t="s">
        <v>664</v>
      </c>
      <c r="J2" s="10" t="s">
        <v>665</v>
      </c>
      <c r="K2" s="10" t="s">
        <v>666</v>
      </c>
      <c r="L2" s="10" t="s">
        <v>667</v>
      </c>
      <c r="M2" s="10" t="s">
        <v>668</v>
      </c>
      <c r="N2" s="10" t="s">
        <v>669</v>
      </c>
      <c r="O2" s="10" t="s">
        <v>670</v>
      </c>
      <c r="P2" s="10" t="s">
        <v>671</v>
      </c>
      <c r="Q2" s="10" t="s">
        <v>672</v>
      </c>
      <c r="R2" s="10" t="s">
        <v>673</v>
      </c>
      <c r="S2" s="10" t="s">
        <v>674</v>
      </c>
      <c r="T2" s="10" t="s">
        <v>675</v>
      </c>
      <c r="U2" s="10" t="s">
        <v>676</v>
      </c>
      <c r="V2" s="10" t="s">
        <v>677</v>
      </c>
      <c r="W2" s="10" t="s">
        <v>678</v>
      </c>
      <c r="X2" s="10" t="s">
        <v>679</v>
      </c>
      <c r="Y2" s="10" t="s">
        <v>680</v>
      </c>
      <c r="Z2" s="10" t="s">
        <v>681</v>
      </c>
      <c r="AA2" s="10" t="s">
        <v>682</v>
      </c>
      <c r="AB2" s="10" t="s">
        <v>683</v>
      </c>
      <c r="AC2" s="10" t="s">
        <v>684</v>
      </c>
      <c r="AD2" s="10" t="s">
        <v>685</v>
      </c>
      <c r="AE2" s="10" t="s">
        <v>686</v>
      </c>
      <c r="AF2" s="10" t="s">
        <v>687</v>
      </c>
    </row>
    <row r="3" spans="2:32" ht="16.5" thickTop="1" thickBot="1" x14ac:dyDescent="0.3">
      <c r="B3" s="2" t="s">
        <v>1</v>
      </c>
      <c r="C3" s="28">
        <v>0.2</v>
      </c>
      <c r="D3" s="28">
        <v>0.2</v>
      </c>
      <c r="E3" s="28">
        <v>0.20569999999999999</v>
      </c>
      <c r="F3" s="28">
        <v>0.19650000000000001</v>
      </c>
      <c r="G3" s="28">
        <v>0.19539999999999999</v>
      </c>
      <c r="H3" s="28">
        <v>0.21029999999999999</v>
      </c>
      <c r="I3" s="28">
        <v>0.1993</v>
      </c>
      <c r="J3" s="28">
        <v>0.21110000000000001</v>
      </c>
      <c r="K3" s="28">
        <v>0.21990000000000001</v>
      </c>
      <c r="L3" s="28">
        <v>0.22090000000000001</v>
      </c>
      <c r="M3" s="28">
        <v>0.21229999999999999</v>
      </c>
      <c r="N3" s="28">
        <v>0.21909999999999999</v>
      </c>
      <c r="O3" s="28">
        <v>0.21629999999999999</v>
      </c>
      <c r="P3" s="28">
        <v>0.17119999999999999</v>
      </c>
      <c r="Q3" s="28">
        <v>0.1711</v>
      </c>
      <c r="R3" s="28">
        <v>0.1603</v>
      </c>
      <c r="S3" s="28">
        <v>0.1595</v>
      </c>
      <c r="T3" s="28">
        <v>0.15210000000000001</v>
      </c>
      <c r="U3" s="28">
        <v>0.15870000000000001</v>
      </c>
      <c r="V3" s="28">
        <v>0.17030000000000001</v>
      </c>
      <c r="W3" s="28">
        <v>0.16950000000000001</v>
      </c>
      <c r="X3" s="28">
        <v>0.15595999999999999</v>
      </c>
      <c r="Y3" s="28">
        <v>0.17480000000000001</v>
      </c>
      <c r="Z3" s="28">
        <v>0.18590000000000001</v>
      </c>
      <c r="AA3" s="28">
        <v>0.18310000000000001</v>
      </c>
      <c r="AB3" s="28">
        <v>0.1797</v>
      </c>
      <c r="AC3" s="28">
        <v>0.1802</v>
      </c>
      <c r="AD3" s="28">
        <v>0.17904600000000001</v>
      </c>
      <c r="AE3" s="28">
        <v>0.17335999999999999</v>
      </c>
      <c r="AF3" s="28">
        <v>0.16750000000000001</v>
      </c>
    </row>
    <row r="4" spans="2:32" ht="16.5" thickTop="1" thickBot="1" x14ac:dyDescent="0.3">
      <c r="B4" s="3" t="s">
        <v>2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</row>
    <row r="5" spans="2:32" ht="15.75" thickBot="1" x14ac:dyDescent="0.3">
      <c r="B5" s="3" t="s">
        <v>3</v>
      </c>
      <c r="C5" s="28"/>
      <c r="D5" s="28">
        <v>0.23400000000000001</v>
      </c>
      <c r="E5" s="28"/>
      <c r="F5" s="28"/>
      <c r="G5" s="28">
        <v>0.26</v>
      </c>
      <c r="H5" s="28"/>
      <c r="I5" s="28"/>
      <c r="J5" s="28">
        <v>0.25</v>
      </c>
      <c r="K5" s="28"/>
      <c r="L5" s="28"/>
      <c r="M5" s="28"/>
      <c r="N5" s="28"/>
      <c r="O5" s="28"/>
      <c r="P5" s="28">
        <v>0.25</v>
      </c>
      <c r="Q5" s="28">
        <v>0.25</v>
      </c>
      <c r="R5" s="28"/>
      <c r="S5" s="28">
        <v>0.23</v>
      </c>
      <c r="T5" s="28">
        <v>0.23</v>
      </c>
      <c r="U5" s="28">
        <v>0.22</v>
      </c>
      <c r="V5" s="28"/>
      <c r="W5" s="28"/>
      <c r="X5" s="28">
        <v>0.25</v>
      </c>
      <c r="Y5" s="28"/>
      <c r="Z5" s="28">
        <v>0.23</v>
      </c>
      <c r="AA5" s="28">
        <v>0.21179999999999999</v>
      </c>
      <c r="AB5" s="28">
        <v>0.22</v>
      </c>
      <c r="AC5" s="28"/>
      <c r="AD5" s="28"/>
      <c r="AE5" s="28"/>
      <c r="AF5" s="28">
        <v>0.21</v>
      </c>
    </row>
    <row r="6" spans="2:32" ht="30.75" thickBot="1" x14ac:dyDescent="0.3">
      <c r="B6" s="3" t="s">
        <v>4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</row>
    <row r="7" spans="2:32" ht="15.75" thickBot="1" x14ac:dyDescent="0.3">
      <c r="B7" s="3" t="s">
        <v>5</v>
      </c>
      <c r="C7" s="28">
        <v>0.2</v>
      </c>
      <c r="D7" s="28">
        <v>0.2</v>
      </c>
      <c r="E7" s="28">
        <v>0.20569999999999999</v>
      </c>
      <c r="F7" s="28">
        <v>0.20569999999999999</v>
      </c>
      <c r="G7" s="28"/>
      <c r="H7" s="28"/>
      <c r="I7" s="28">
        <v>0.1993</v>
      </c>
      <c r="J7" s="28">
        <v>0.21110000000000001</v>
      </c>
      <c r="K7" s="28">
        <v>0.21990000000000001</v>
      </c>
      <c r="L7" s="28">
        <v>0.22090000000000001</v>
      </c>
      <c r="M7" s="28">
        <v>0.26</v>
      </c>
      <c r="N7" s="28">
        <v>0.21909999999999999</v>
      </c>
      <c r="O7" s="28">
        <v>0.21629999999999999</v>
      </c>
      <c r="P7" s="28"/>
      <c r="Q7" s="28">
        <v>0.1711</v>
      </c>
      <c r="R7" s="28">
        <v>0.1603</v>
      </c>
      <c r="S7" s="28">
        <v>0.1595</v>
      </c>
      <c r="T7" s="28">
        <v>0.15210000000000001</v>
      </c>
      <c r="U7" s="28">
        <v>0.15870000000000001</v>
      </c>
      <c r="V7" s="28">
        <v>0.17030000000000001</v>
      </c>
      <c r="W7" s="28">
        <v>0.16950000000000001</v>
      </c>
      <c r="X7" s="28"/>
      <c r="Y7" s="28">
        <v>0.17480000000000001</v>
      </c>
      <c r="Z7" s="28"/>
      <c r="AA7" s="28"/>
      <c r="AB7" s="28">
        <v>0.1797</v>
      </c>
      <c r="AC7" s="28"/>
      <c r="AD7" s="28">
        <v>0.17904500000000001</v>
      </c>
      <c r="AE7" s="28">
        <v>0.17335999999999999</v>
      </c>
      <c r="AF7" s="28">
        <v>0.16750000000000001</v>
      </c>
    </row>
    <row r="8" spans="2:32" ht="30.75" thickBot="1" x14ac:dyDescent="0.3">
      <c r="B8" s="3" t="s">
        <v>6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</row>
    <row r="9" spans="2:32" ht="15.75" thickBot="1" x14ac:dyDescent="0.3">
      <c r="B9" s="3" t="s">
        <v>7</v>
      </c>
      <c r="C9" s="27">
        <v>4712</v>
      </c>
      <c r="D9" s="27">
        <v>4718</v>
      </c>
      <c r="E9" s="27">
        <v>4748</v>
      </c>
      <c r="F9" s="27">
        <v>4751</v>
      </c>
      <c r="G9" s="27">
        <v>4748</v>
      </c>
      <c r="H9" s="27">
        <v>4745</v>
      </c>
      <c r="I9" s="27">
        <v>4748</v>
      </c>
      <c r="J9" s="27">
        <v>4747</v>
      </c>
      <c r="K9" s="27">
        <v>4751</v>
      </c>
      <c r="L9" s="27">
        <v>4756</v>
      </c>
      <c r="M9" s="27">
        <v>4760</v>
      </c>
      <c r="N9" s="27">
        <v>4762</v>
      </c>
      <c r="O9" s="27">
        <v>4768</v>
      </c>
      <c r="P9" s="27">
        <v>4813</v>
      </c>
      <c r="Q9" s="27">
        <v>4788</v>
      </c>
      <c r="R9" s="27">
        <v>4796</v>
      </c>
      <c r="S9" s="27">
        <v>4787</v>
      </c>
      <c r="T9" s="27">
        <v>4777</v>
      </c>
      <c r="U9" s="27">
        <v>4789</v>
      </c>
      <c r="V9" s="27">
        <v>4769</v>
      </c>
      <c r="W9" s="27">
        <v>4778</v>
      </c>
      <c r="X9" s="27">
        <v>4769</v>
      </c>
      <c r="Y9" s="27">
        <v>4753</v>
      </c>
      <c r="Z9" s="27">
        <v>4767</v>
      </c>
      <c r="AA9" s="27">
        <v>4741</v>
      </c>
      <c r="AB9" s="27">
        <v>4751</v>
      </c>
      <c r="AC9" s="27">
        <v>4778</v>
      </c>
      <c r="AD9" s="27">
        <v>4768</v>
      </c>
      <c r="AE9" s="27">
        <v>4789</v>
      </c>
      <c r="AF9" s="27">
        <v>4781</v>
      </c>
    </row>
  </sheetData>
  <pageMargins left="0.7" right="0.7" top="0.75" bottom="0.75" header="0.3" footer="0.3"/>
  <pageSetup paperSize="11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BB9"/>
  <sheetViews>
    <sheetView workbookViewId="0">
      <pane xSplit="2" topLeftCell="AR1" activePane="topRight" state="frozen"/>
      <selection pane="topRight" activeCell="AV11" sqref="AV11"/>
    </sheetView>
  </sheetViews>
  <sheetFormatPr defaultRowHeight="15" x14ac:dyDescent="0.25"/>
  <cols>
    <col min="2" max="2" width="28.5703125" customWidth="1"/>
    <col min="3" max="28" width="10.140625" customWidth="1"/>
    <col min="29" max="54" width="10.42578125" customWidth="1"/>
  </cols>
  <sheetData>
    <row r="1" spans="2:54" ht="15.75" thickBot="1" x14ac:dyDescent="0.3"/>
    <row r="2" spans="2:54" ht="15.75" thickBot="1" x14ac:dyDescent="0.3">
      <c r="C2" s="10" t="s">
        <v>688</v>
      </c>
      <c r="D2" s="10" t="s">
        <v>689</v>
      </c>
      <c r="E2" s="10" t="s">
        <v>690</v>
      </c>
      <c r="F2" s="10" t="s">
        <v>691</v>
      </c>
      <c r="G2" s="10" t="s">
        <v>692</v>
      </c>
      <c r="H2" s="10" t="s">
        <v>693</v>
      </c>
      <c r="I2" s="10" t="s">
        <v>694</v>
      </c>
      <c r="J2" s="10" t="s">
        <v>695</v>
      </c>
      <c r="K2" s="10" t="s">
        <v>696</v>
      </c>
      <c r="L2" s="10" t="s">
        <v>697</v>
      </c>
      <c r="M2" s="10" t="s">
        <v>698</v>
      </c>
      <c r="N2" s="10" t="s">
        <v>699</v>
      </c>
      <c r="O2" s="10" t="s">
        <v>700</v>
      </c>
      <c r="P2" s="10" t="s">
        <v>701</v>
      </c>
      <c r="Q2" s="10" t="s">
        <v>702</v>
      </c>
      <c r="R2" s="10" t="s">
        <v>703</v>
      </c>
      <c r="S2" s="10" t="s">
        <v>704</v>
      </c>
      <c r="T2" s="10" t="s">
        <v>705</v>
      </c>
      <c r="U2" s="10" t="s">
        <v>706</v>
      </c>
      <c r="V2" s="10" t="s">
        <v>707</v>
      </c>
      <c r="W2" s="10" t="s">
        <v>708</v>
      </c>
      <c r="X2" s="10" t="s">
        <v>709</v>
      </c>
      <c r="Y2" s="10" t="s">
        <v>710</v>
      </c>
      <c r="Z2" s="10" t="s">
        <v>711</v>
      </c>
      <c r="AA2" s="10" t="s">
        <v>712</v>
      </c>
      <c r="AB2" s="10" t="s">
        <v>713</v>
      </c>
      <c r="AC2" s="10" t="s">
        <v>714</v>
      </c>
      <c r="AD2" s="10" t="s">
        <v>715</v>
      </c>
      <c r="AE2" s="10" t="s">
        <v>716</v>
      </c>
      <c r="AF2" s="10" t="s">
        <v>717</v>
      </c>
      <c r="AG2" s="10" t="s">
        <v>718</v>
      </c>
      <c r="AH2" s="10" t="s">
        <v>719</v>
      </c>
      <c r="AI2" s="10" t="s">
        <v>720</v>
      </c>
      <c r="AJ2" s="10" t="s">
        <v>721</v>
      </c>
      <c r="AK2" s="10" t="s">
        <v>722</v>
      </c>
      <c r="AL2" s="10" t="s">
        <v>723</v>
      </c>
      <c r="AM2" s="10" t="s">
        <v>724</v>
      </c>
      <c r="AN2" s="10" t="s">
        <v>725</v>
      </c>
      <c r="AO2" s="10" t="s">
        <v>726</v>
      </c>
      <c r="AP2" s="10" t="s">
        <v>727</v>
      </c>
      <c r="AQ2" s="10" t="s">
        <v>728</v>
      </c>
      <c r="AR2" s="10" t="s">
        <v>729</v>
      </c>
      <c r="AS2" s="10" t="s">
        <v>730</v>
      </c>
      <c r="AT2" s="10" t="s">
        <v>731</v>
      </c>
      <c r="AU2" s="10" t="s">
        <v>732</v>
      </c>
      <c r="AV2" s="10" t="s">
        <v>733</v>
      </c>
      <c r="AW2" s="10" t="s">
        <v>734</v>
      </c>
      <c r="AX2" s="10" t="s">
        <v>735</v>
      </c>
      <c r="AY2" s="10" t="s">
        <v>736</v>
      </c>
      <c r="AZ2" s="10" t="s">
        <v>737</v>
      </c>
      <c r="BA2" s="10" t="s">
        <v>738</v>
      </c>
      <c r="BB2" s="10" t="s">
        <v>739</v>
      </c>
    </row>
    <row r="3" spans="2:54" ht="16.5" thickTop="1" thickBot="1" x14ac:dyDescent="0.3">
      <c r="B3" s="2" t="s">
        <v>1</v>
      </c>
      <c r="C3" s="28">
        <v>0.17780000000000001</v>
      </c>
      <c r="D3" s="28">
        <v>0.1671</v>
      </c>
      <c r="E3" s="28">
        <v>0.16719999999999999</v>
      </c>
      <c r="F3" s="28">
        <v>0.17760000000000001</v>
      </c>
      <c r="G3" s="28">
        <v>0.15859999999999999</v>
      </c>
      <c r="H3" s="28">
        <v>0.17199999999999999</v>
      </c>
      <c r="I3" s="28">
        <v>0.1651</v>
      </c>
      <c r="J3" s="28">
        <v>0.1517</v>
      </c>
      <c r="K3" s="28">
        <v>0.16020000000000001</v>
      </c>
      <c r="L3" s="28"/>
      <c r="M3" s="28">
        <v>0.14929999999999999</v>
      </c>
      <c r="N3" s="28">
        <v>0.15790000000000001</v>
      </c>
      <c r="O3" s="28">
        <v>0.16400000000000001</v>
      </c>
      <c r="P3" s="28">
        <v>0.17299999999999999</v>
      </c>
      <c r="Q3" s="28">
        <v>0.16589999999999999</v>
      </c>
      <c r="R3" s="28">
        <v>0.16200000000000001</v>
      </c>
      <c r="S3" s="28">
        <v>0.17269999999999999</v>
      </c>
      <c r="T3" s="28">
        <v>0.1555</v>
      </c>
      <c r="U3" s="28">
        <v>0.1457</v>
      </c>
      <c r="V3" s="28">
        <v>0.184</v>
      </c>
      <c r="W3" s="28">
        <v>0.14929999999999999</v>
      </c>
      <c r="X3" s="28">
        <v>0.14649999999999999</v>
      </c>
      <c r="Y3" s="28">
        <v>0.1792</v>
      </c>
      <c r="Z3" s="28">
        <v>0.1731</v>
      </c>
      <c r="AA3" s="28">
        <v>0.17230000000000001</v>
      </c>
      <c r="AB3" s="28">
        <v>0.16309999999999999</v>
      </c>
      <c r="AC3" s="28">
        <v>0.14330000000000001</v>
      </c>
      <c r="AD3" s="28">
        <v>0.14149999999999999</v>
      </c>
      <c r="AE3" s="28">
        <v>0.153</v>
      </c>
      <c r="AF3" s="28">
        <v>0.15409999999999999</v>
      </c>
      <c r="AG3" s="28">
        <v>0.15240000000000001</v>
      </c>
      <c r="AH3" s="28">
        <v>0.1361</v>
      </c>
      <c r="AI3" s="28"/>
      <c r="AJ3" s="28">
        <v>0.14760000000000001</v>
      </c>
      <c r="AK3" s="28">
        <v>0.15379999999999999</v>
      </c>
      <c r="AL3" s="28">
        <v>0.1394</v>
      </c>
      <c r="AM3" s="28">
        <v>0.1439</v>
      </c>
      <c r="AN3" s="28">
        <v>0.14349999999999999</v>
      </c>
      <c r="AO3" s="28">
        <v>0.1119</v>
      </c>
      <c r="AP3" s="28">
        <v>0.1176</v>
      </c>
      <c r="AQ3" s="28">
        <v>0.13780000000000001</v>
      </c>
      <c r="AR3" s="28">
        <v>0.11269999999999999</v>
      </c>
      <c r="AS3" s="28">
        <v>0.1191</v>
      </c>
      <c r="AT3" s="28">
        <v>0.1147</v>
      </c>
      <c r="AU3" s="28">
        <v>0.11799999999999999</v>
      </c>
      <c r="AV3" s="28">
        <v>0.11169999999999999</v>
      </c>
      <c r="AW3" s="28">
        <v>0.11700000000000001</v>
      </c>
      <c r="AX3" s="28">
        <v>0.1192</v>
      </c>
      <c r="AY3" s="28">
        <v>0.1215</v>
      </c>
      <c r="AZ3" s="28">
        <v>0.1226</v>
      </c>
      <c r="BA3" s="28">
        <v>0.1108</v>
      </c>
      <c r="BB3" s="28">
        <v>0.1222</v>
      </c>
    </row>
    <row r="4" spans="2:54" ht="16.5" thickTop="1" thickBot="1" x14ac:dyDescent="0.3">
      <c r="B4" s="3" t="s">
        <v>2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</row>
    <row r="5" spans="2:54" ht="15.75" thickBot="1" x14ac:dyDescent="0.3">
      <c r="B5" s="3" t="s">
        <v>3</v>
      </c>
      <c r="C5" s="28"/>
      <c r="D5" s="28"/>
      <c r="E5" s="28"/>
      <c r="F5" s="28"/>
      <c r="G5" s="28">
        <v>0.24</v>
      </c>
      <c r="H5" s="28"/>
      <c r="I5" s="28"/>
      <c r="J5" s="28">
        <v>0.24</v>
      </c>
      <c r="K5" s="28"/>
      <c r="L5" s="28"/>
      <c r="M5" s="28">
        <v>0.24</v>
      </c>
      <c r="N5" s="28"/>
      <c r="O5" s="28"/>
      <c r="P5" s="28"/>
      <c r="Q5" s="28">
        <v>0.24</v>
      </c>
      <c r="R5" s="28">
        <v>0.23</v>
      </c>
      <c r="S5" s="28"/>
      <c r="T5" s="28">
        <v>0.24</v>
      </c>
      <c r="U5" s="28">
        <v>0.23</v>
      </c>
      <c r="V5" s="28"/>
      <c r="W5" s="28">
        <v>0.24</v>
      </c>
      <c r="X5" s="28">
        <v>0.23</v>
      </c>
      <c r="Y5" s="28"/>
      <c r="Z5" s="28"/>
      <c r="AA5" s="28"/>
      <c r="AB5" s="28">
        <v>0.23</v>
      </c>
      <c r="AC5" s="28">
        <v>0.24</v>
      </c>
      <c r="AD5" s="28">
        <v>0.2</v>
      </c>
      <c r="AE5" s="28"/>
      <c r="AF5" s="28"/>
      <c r="AG5" s="28"/>
      <c r="AH5" s="28">
        <v>0.19</v>
      </c>
      <c r="AI5" s="28"/>
      <c r="AJ5" s="28"/>
      <c r="AK5" s="28"/>
      <c r="AL5" s="28">
        <v>0.19409999999999999</v>
      </c>
      <c r="AM5" s="28"/>
      <c r="AN5" s="28"/>
      <c r="AO5" s="28"/>
      <c r="AP5" s="28"/>
      <c r="AQ5" s="28"/>
      <c r="AR5" s="28">
        <v>0.15</v>
      </c>
      <c r="AS5" s="28"/>
      <c r="AT5" s="28">
        <v>0.15</v>
      </c>
      <c r="AU5" s="28"/>
      <c r="AV5" s="28">
        <v>0.16</v>
      </c>
      <c r="AW5" s="28">
        <v>0.16</v>
      </c>
      <c r="AX5" s="28"/>
      <c r="AY5" s="28"/>
      <c r="AZ5" s="28"/>
      <c r="BA5" s="28"/>
      <c r="BB5" s="28"/>
    </row>
    <row r="6" spans="2:54" ht="30.75" thickBot="1" x14ac:dyDescent="0.3">
      <c r="B6" s="3" t="s">
        <v>4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</row>
    <row r="7" spans="2:54" ht="15.75" thickBot="1" x14ac:dyDescent="0.3">
      <c r="B7" s="3" t="s">
        <v>5</v>
      </c>
      <c r="C7" s="28">
        <v>0.17780000000000001</v>
      </c>
      <c r="D7" s="28">
        <v>0.1734</v>
      </c>
      <c r="E7" s="28">
        <v>0.16719999999999999</v>
      </c>
      <c r="F7" s="28"/>
      <c r="G7" s="28">
        <v>0.15859999999999999</v>
      </c>
      <c r="H7" s="28">
        <v>0.17199999999999999</v>
      </c>
      <c r="I7" s="28">
        <v>0.1651</v>
      </c>
      <c r="J7" s="28">
        <v>0.1517</v>
      </c>
      <c r="K7" s="28"/>
      <c r="L7" s="28">
        <v>0.1605</v>
      </c>
      <c r="M7" s="28">
        <v>0.14929999999999999</v>
      </c>
      <c r="N7" s="28">
        <v>0.15790000000000001</v>
      </c>
      <c r="O7" s="28"/>
      <c r="P7" s="28">
        <v>0.17299999999999999</v>
      </c>
      <c r="Q7" s="28">
        <v>0.16589999999999999</v>
      </c>
      <c r="R7" s="28">
        <v>0.16200000000000001</v>
      </c>
      <c r="S7" s="28"/>
      <c r="T7" s="28"/>
      <c r="U7" s="28">
        <v>0.1457</v>
      </c>
      <c r="V7" s="28"/>
      <c r="W7" s="28"/>
      <c r="X7" s="28"/>
      <c r="Y7" s="28">
        <v>0.16</v>
      </c>
      <c r="Z7" s="28"/>
      <c r="AA7" s="28"/>
      <c r="AB7" s="28">
        <v>0.16309999999999999</v>
      </c>
      <c r="AC7" s="28"/>
      <c r="AD7" s="28"/>
      <c r="AE7" s="28"/>
      <c r="AF7" s="28"/>
      <c r="AG7" s="28"/>
      <c r="AH7" s="28">
        <v>0.1361</v>
      </c>
      <c r="AI7" s="28"/>
      <c r="AJ7" s="28"/>
      <c r="AK7" s="28"/>
      <c r="AL7" s="28">
        <v>0.1394</v>
      </c>
      <c r="AM7" s="28"/>
      <c r="AN7" s="28"/>
      <c r="AO7" s="28">
        <v>0.1119</v>
      </c>
      <c r="AP7" s="28">
        <v>0.1176</v>
      </c>
      <c r="AQ7" s="28">
        <v>0.13780000000000001</v>
      </c>
      <c r="AR7" s="28">
        <v>0.11269999999999999</v>
      </c>
      <c r="AS7" s="28"/>
      <c r="AT7" s="28">
        <v>0.1147</v>
      </c>
      <c r="AU7" s="28"/>
      <c r="AV7" s="28">
        <v>0.11169999999999999</v>
      </c>
      <c r="AW7" s="28">
        <v>0.11700000000000001</v>
      </c>
      <c r="AX7" s="28"/>
      <c r="AY7" s="28"/>
      <c r="AZ7" s="28"/>
      <c r="BA7" s="28"/>
      <c r="BB7" s="28">
        <v>0.1222</v>
      </c>
    </row>
    <row r="8" spans="2:54" ht="30.75" thickBot="1" x14ac:dyDescent="0.3">
      <c r="B8" s="3" t="s">
        <v>6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</row>
    <row r="9" spans="2:54" ht="15.75" thickBot="1" x14ac:dyDescent="0.3">
      <c r="B9" s="3" t="s">
        <v>7</v>
      </c>
      <c r="C9" s="27">
        <v>4793</v>
      </c>
      <c r="D9" s="27">
        <v>4803</v>
      </c>
      <c r="E9" s="27">
        <v>4784</v>
      </c>
      <c r="F9" s="27">
        <v>4779</v>
      </c>
      <c r="G9" s="27">
        <v>4791</v>
      </c>
      <c r="H9" s="27">
        <v>4778</v>
      </c>
      <c r="I9" s="27">
        <v>4758</v>
      </c>
      <c r="J9" s="27">
        <v>4794</v>
      </c>
      <c r="K9" s="27">
        <v>4789</v>
      </c>
      <c r="L9" s="27">
        <v>4778</v>
      </c>
      <c r="M9" s="27">
        <v>4778</v>
      </c>
      <c r="N9" s="27">
        <v>4769</v>
      </c>
      <c r="O9" s="27">
        <v>4782</v>
      </c>
      <c r="P9" s="27">
        <v>4778</v>
      </c>
      <c r="Q9" s="27">
        <v>4768</v>
      </c>
      <c r="R9" s="27">
        <v>4785</v>
      </c>
      <c r="S9" s="27">
        <v>4783</v>
      </c>
      <c r="T9" s="27">
        <v>4783</v>
      </c>
      <c r="U9" s="27"/>
      <c r="V9" s="27"/>
      <c r="W9" s="27"/>
      <c r="X9" s="27"/>
      <c r="Y9" s="27">
        <v>4769</v>
      </c>
      <c r="Z9" s="27">
        <v>4709</v>
      </c>
      <c r="AA9" s="27">
        <v>4687</v>
      </c>
      <c r="AB9" s="27">
        <v>4673</v>
      </c>
      <c r="AC9" s="27">
        <v>4723</v>
      </c>
      <c r="AD9" s="27">
        <v>4731</v>
      </c>
      <c r="AE9" s="27">
        <v>4746</v>
      </c>
      <c r="AF9" s="27">
        <v>4796</v>
      </c>
      <c r="AG9" s="27">
        <v>4811</v>
      </c>
      <c r="AH9" s="27">
        <v>4818</v>
      </c>
      <c r="AI9" s="27">
        <v>4811</v>
      </c>
      <c r="AJ9" s="27">
        <v>4823</v>
      </c>
      <c r="AK9" s="27">
        <v>4811</v>
      </c>
      <c r="AL9" s="27">
        <v>4791</v>
      </c>
      <c r="AM9" s="27">
        <v>4788</v>
      </c>
      <c r="AN9" s="27">
        <v>4811</v>
      </c>
      <c r="AO9" s="27">
        <v>4796</v>
      </c>
      <c r="AP9" s="27">
        <v>4788</v>
      </c>
      <c r="AQ9" s="27">
        <v>4764</v>
      </c>
      <c r="AR9" s="27">
        <v>4789</v>
      </c>
      <c r="AS9" s="27">
        <v>4803</v>
      </c>
      <c r="AT9" s="27">
        <v>4808</v>
      </c>
      <c r="AU9" s="27">
        <v>4803</v>
      </c>
      <c r="AV9" s="27">
        <v>4821</v>
      </c>
      <c r="AW9" s="27">
        <v>4818</v>
      </c>
      <c r="AX9" s="27">
        <v>4811</v>
      </c>
      <c r="AY9" s="27">
        <v>4807</v>
      </c>
      <c r="AZ9" s="27"/>
      <c r="BA9" s="27"/>
      <c r="BB9" s="27"/>
    </row>
  </sheetData>
  <pageMargins left="0.7" right="0.7" top="0.75" bottom="0.75" header="0.3" footer="0.3"/>
  <pageSetup paperSize="11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AG9"/>
  <sheetViews>
    <sheetView workbookViewId="0">
      <pane xSplit="2" topLeftCell="AA1" activePane="topRight" state="frozen"/>
      <selection pane="topRight" activeCell="AM8" sqref="AM8"/>
    </sheetView>
  </sheetViews>
  <sheetFormatPr defaultRowHeight="15" x14ac:dyDescent="0.25"/>
  <cols>
    <col min="2" max="2" width="28.5703125" customWidth="1"/>
    <col min="3" max="33" width="10.42578125" customWidth="1"/>
  </cols>
  <sheetData>
    <row r="1" spans="2:33" ht="15.75" thickBot="1" x14ac:dyDescent="0.3"/>
    <row r="2" spans="2:33" ht="15.75" thickBot="1" x14ac:dyDescent="0.3">
      <c r="C2" s="10" t="s">
        <v>719</v>
      </c>
      <c r="D2" s="10" t="s">
        <v>720</v>
      </c>
      <c r="E2" s="10" t="s">
        <v>721</v>
      </c>
      <c r="F2" s="10" t="s">
        <v>722</v>
      </c>
      <c r="G2" s="10" t="s">
        <v>723</v>
      </c>
      <c r="H2" s="10" t="s">
        <v>724</v>
      </c>
      <c r="I2" s="10" t="s">
        <v>725</v>
      </c>
      <c r="J2" s="10" t="s">
        <v>726</v>
      </c>
      <c r="K2" s="10" t="s">
        <v>727</v>
      </c>
      <c r="L2" s="10" t="s">
        <v>728</v>
      </c>
      <c r="M2" s="10" t="s">
        <v>729</v>
      </c>
      <c r="N2" s="10" t="s">
        <v>730</v>
      </c>
      <c r="O2" s="10" t="s">
        <v>731</v>
      </c>
      <c r="P2" s="10" t="s">
        <v>732</v>
      </c>
      <c r="Q2" s="10" t="s">
        <v>733</v>
      </c>
      <c r="R2" s="10" t="s">
        <v>734</v>
      </c>
      <c r="S2" s="10" t="s">
        <v>735</v>
      </c>
      <c r="T2" s="10" t="s">
        <v>736</v>
      </c>
      <c r="U2" s="10" t="s">
        <v>737</v>
      </c>
      <c r="V2" s="10" t="s">
        <v>738</v>
      </c>
      <c r="W2" s="10" t="s">
        <v>739</v>
      </c>
      <c r="X2" s="10" t="s">
        <v>740</v>
      </c>
      <c r="Y2" s="10" t="s">
        <v>741</v>
      </c>
      <c r="Z2" s="10" t="s">
        <v>742</v>
      </c>
      <c r="AA2" s="10" t="s">
        <v>743</v>
      </c>
      <c r="AB2" s="10" t="s">
        <v>744</v>
      </c>
      <c r="AC2" s="10" t="s">
        <v>745</v>
      </c>
      <c r="AD2" s="10" t="s">
        <v>746</v>
      </c>
      <c r="AE2" s="10" t="s">
        <v>747</v>
      </c>
      <c r="AF2" s="10" t="s">
        <v>748</v>
      </c>
      <c r="AG2" s="10" t="s">
        <v>749</v>
      </c>
    </row>
    <row r="3" spans="2:33" ht="16.5" thickTop="1" thickBot="1" x14ac:dyDescent="0.3">
      <c r="B3" s="2" t="s">
        <v>1</v>
      </c>
      <c r="C3" s="28">
        <v>0.1361</v>
      </c>
      <c r="D3" s="28"/>
      <c r="E3" s="28">
        <v>0.14760000000000001</v>
      </c>
      <c r="F3" s="28">
        <v>0.15379999999999999</v>
      </c>
      <c r="G3" s="28">
        <v>0.1394</v>
      </c>
      <c r="H3" s="28">
        <v>0.1439</v>
      </c>
      <c r="I3" s="28">
        <v>0.14349999999999999</v>
      </c>
      <c r="J3" s="28">
        <v>0.1119</v>
      </c>
      <c r="K3" s="28">
        <v>0.1176</v>
      </c>
      <c r="L3" s="28">
        <v>0.13780000000000001</v>
      </c>
      <c r="M3" s="28">
        <v>0.11269999999999999</v>
      </c>
      <c r="N3" s="28">
        <v>0.1191</v>
      </c>
      <c r="O3" s="28">
        <v>0.1147</v>
      </c>
      <c r="P3" s="28">
        <v>0.11799999999999999</v>
      </c>
      <c r="Q3" s="28">
        <v>0.11169999999999999</v>
      </c>
      <c r="R3" s="28">
        <v>0.11700000000000001</v>
      </c>
      <c r="S3" s="28">
        <v>0.1192</v>
      </c>
      <c r="T3" s="28">
        <v>0.1215</v>
      </c>
      <c r="U3" s="28">
        <v>0.1226</v>
      </c>
      <c r="V3" s="28">
        <v>0.1108</v>
      </c>
      <c r="W3" s="28">
        <v>0.1222</v>
      </c>
      <c r="X3" s="28">
        <v>0.12180000000000001</v>
      </c>
      <c r="Y3" s="28">
        <v>0.121</v>
      </c>
      <c r="Z3" s="28">
        <v>0.1221</v>
      </c>
      <c r="AA3" s="28">
        <v>0.1211</v>
      </c>
      <c r="AB3" s="28">
        <v>0.11799999999999999</v>
      </c>
      <c r="AC3" s="28">
        <v>0.11459999999999999</v>
      </c>
      <c r="AD3" s="28">
        <v>0.1142</v>
      </c>
      <c r="AE3" s="28">
        <v>0.1231</v>
      </c>
      <c r="AF3" s="28">
        <v>0.1216</v>
      </c>
      <c r="AG3" s="28">
        <v>0.1207</v>
      </c>
    </row>
    <row r="4" spans="2:33" ht="16.5" thickTop="1" thickBot="1" x14ac:dyDescent="0.3">
      <c r="B4" s="3" t="s">
        <v>2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</row>
    <row r="5" spans="2:33" ht="15.75" thickBot="1" x14ac:dyDescent="0.3">
      <c r="B5" s="3" t="s">
        <v>3</v>
      </c>
      <c r="C5" s="28">
        <v>0.19</v>
      </c>
      <c r="D5" s="28"/>
      <c r="E5" s="28"/>
      <c r="F5" s="28"/>
      <c r="G5" s="28">
        <v>0.19409999999999999</v>
      </c>
      <c r="H5" s="28"/>
      <c r="I5" s="28"/>
      <c r="J5" s="28"/>
      <c r="K5" s="28"/>
      <c r="L5" s="28"/>
      <c r="M5" s="28">
        <v>0.15</v>
      </c>
      <c r="N5" s="28"/>
      <c r="O5" s="28">
        <v>0.15</v>
      </c>
      <c r="P5" s="28"/>
      <c r="Q5" s="28">
        <v>0.16</v>
      </c>
      <c r="R5" s="28">
        <v>0.16</v>
      </c>
      <c r="S5" s="28"/>
      <c r="T5" s="28"/>
      <c r="U5" s="28"/>
      <c r="V5" s="28"/>
      <c r="W5" s="28"/>
      <c r="X5" s="28"/>
      <c r="Y5" s="28"/>
      <c r="Z5" s="28"/>
      <c r="AA5" s="28"/>
      <c r="AB5" s="28">
        <v>0.15629999999999999</v>
      </c>
      <c r="AC5" s="28"/>
      <c r="AD5" s="28"/>
      <c r="AE5" s="28"/>
      <c r="AF5" s="28">
        <v>0.15290000000000001</v>
      </c>
      <c r="AG5" s="28">
        <v>0.15</v>
      </c>
    </row>
    <row r="6" spans="2:33" ht="30.75" thickBot="1" x14ac:dyDescent="0.3">
      <c r="B6" s="3" t="s">
        <v>4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</row>
    <row r="7" spans="2:33" ht="15.75" thickBot="1" x14ac:dyDescent="0.3">
      <c r="B7" s="3" t="s">
        <v>5</v>
      </c>
      <c r="C7" s="28">
        <v>0.1361</v>
      </c>
      <c r="D7" s="28"/>
      <c r="E7" s="28"/>
      <c r="F7" s="28"/>
      <c r="G7" s="28">
        <v>0.1394</v>
      </c>
      <c r="H7" s="28"/>
      <c r="I7" s="28"/>
      <c r="J7" s="28">
        <v>0.1119</v>
      </c>
      <c r="K7" s="28">
        <v>0.1176</v>
      </c>
      <c r="L7" s="28">
        <v>0.13780000000000001</v>
      </c>
      <c r="M7" s="28">
        <v>0.11269999999999999</v>
      </c>
      <c r="N7" s="28"/>
      <c r="O7" s="28">
        <v>0.1147</v>
      </c>
      <c r="P7" s="28"/>
      <c r="Q7" s="28">
        <v>0.11169999999999999</v>
      </c>
      <c r="R7" s="28">
        <v>0.11700000000000001</v>
      </c>
      <c r="S7" s="28"/>
      <c r="T7" s="28"/>
      <c r="U7" s="28"/>
      <c r="V7" s="28"/>
      <c r="W7" s="28">
        <v>0.1222</v>
      </c>
      <c r="X7" s="28"/>
      <c r="Y7" s="28">
        <v>0.121</v>
      </c>
      <c r="Z7" s="28">
        <v>0.1221</v>
      </c>
      <c r="AA7" s="28">
        <v>0.13750000000000001</v>
      </c>
      <c r="AB7" s="28">
        <v>0.11799999999999999</v>
      </c>
      <c r="AC7" s="28"/>
      <c r="AD7" s="28"/>
      <c r="AE7" s="28">
        <v>0.1231</v>
      </c>
      <c r="AF7" s="28"/>
      <c r="AG7" s="28">
        <v>0.1207</v>
      </c>
    </row>
    <row r="8" spans="2:33" ht="30.75" thickBot="1" x14ac:dyDescent="0.3">
      <c r="B8" s="3" t="s">
        <v>6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</row>
    <row r="9" spans="2:33" ht="15.75" thickBot="1" x14ac:dyDescent="0.3">
      <c r="B9" s="3" t="s">
        <v>7</v>
      </c>
      <c r="C9" s="27">
        <v>4818</v>
      </c>
      <c r="D9" s="27">
        <v>4811</v>
      </c>
      <c r="E9" s="27">
        <v>4823</v>
      </c>
      <c r="F9" s="27">
        <v>4811</v>
      </c>
      <c r="G9" s="27">
        <v>4791</v>
      </c>
      <c r="H9" s="27">
        <v>4788</v>
      </c>
      <c r="I9" s="27">
        <v>4811</v>
      </c>
      <c r="J9" s="27">
        <v>4796</v>
      </c>
      <c r="K9" s="27">
        <v>4788</v>
      </c>
      <c r="L9" s="27">
        <v>4764</v>
      </c>
      <c r="M9" s="27">
        <v>4789</v>
      </c>
      <c r="N9" s="27">
        <v>4803</v>
      </c>
      <c r="O9" s="27">
        <v>4808</v>
      </c>
      <c r="P9" s="27">
        <v>4803</v>
      </c>
      <c r="Q9" s="27">
        <v>4821</v>
      </c>
      <c r="R9" s="27">
        <v>4818</v>
      </c>
      <c r="S9" s="27">
        <v>4811</v>
      </c>
      <c r="T9" s="27">
        <v>4807</v>
      </c>
      <c r="U9" s="27"/>
      <c r="V9" s="27"/>
      <c r="W9" s="27"/>
      <c r="X9" s="27">
        <v>4788</v>
      </c>
      <c r="Y9" s="27">
        <v>4805</v>
      </c>
      <c r="Z9" s="27">
        <v>4809</v>
      </c>
      <c r="AA9" s="27">
        <v>4788</v>
      </c>
      <c r="AB9" s="27">
        <v>4788</v>
      </c>
      <c r="AC9" s="27">
        <v>4811</v>
      </c>
      <c r="AD9" s="27">
        <v>4800</v>
      </c>
      <c r="AE9" s="27">
        <v>4807</v>
      </c>
      <c r="AF9" s="27">
        <v>4819</v>
      </c>
      <c r="AG9" s="27">
        <v>4803</v>
      </c>
    </row>
  </sheetData>
  <pageMargins left="0.7" right="0.7" top="0.75" bottom="0.75" header="0.3" footer="0.3"/>
  <pageSetup paperSize="11"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AF9"/>
  <sheetViews>
    <sheetView workbookViewId="0">
      <pane xSplit="2" topLeftCell="S1" activePane="topRight" state="frozen"/>
      <selection pane="topRight" activeCell="C2" sqref="C2"/>
    </sheetView>
  </sheetViews>
  <sheetFormatPr defaultRowHeight="15" x14ac:dyDescent="0.25"/>
  <cols>
    <col min="2" max="2" width="28.5703125" customWidth="1"/>
    <col min="3" max="32" width="10.42578125" customWidth="1"/>
  </cols>
  <sheetData>
    <row r="1" spans="2:32" ht="15.75" thickBot="1" x14ac:dyDescent="0.3"/>
    <row r="2" spans="2:32" ht="15.75" thickBot="1" x14ac:dyDescent="0.3">
      <c r="C2" s="10" t="s">
        <v>750</v>
      </c>
      <c r="D2" s="10" t="s">
        <v>751</v>
      </c>
      <c r="E2" s="10" t="s">
        <v>752</v>
      </c>
      <c r="F2" s="10" t="s">
        <v>753</v>
      </c>
      <c r="G2" s="10" t="s">
        <v>754</v>
      </c>
      <c r="H2" s="10" t="s">
        <v>755</v>
      </c>
      <c r="I2" s="10" t="s">
        <v>756</v>
      </c>
      <c r="J2" s="10" t="s">
        <v>757</v>
      </c>
      <c r="K2" s="10" t="s">
        <v>758</v>
      </c>
      <c r="L2" s="10" t="s">
        <v>759</v>
      </c>
      <c r="M2" s="10" t="s">
        <v>760</v>
      </c>
      <c r="N2" s="10" t="s">
        <v>761</v>
      </c>
      <c r="O2" s="10" t="s">
        <v>762</v>
      </c>
      <c r="P2" s="10" t="s">
        <v>763</v>
      </c>
      <c r="Q2" s="10" t="s">
        <v>764</v>
      </c>
      <c r="R2" s="10" t="s">
        <v>765</v>
      </c>
      <c r="S2" s="10" t="s">
        <v>766</v>
      </c>
      <c r="T2" s="10" t="s">
        <v>767</v>
      </c>
      <c r="U2" s="10" t="s">
        <v>768</v>
      </c>
      <c r="V2" s="10" t="s">
        <v>769</v>
      </c>
      <c r="W2" s="10" t="s">
        <v>770</v>
      </c>
      <c r="X2" s="10" t="s">
        <v>771</v>
      </c>
      <c r="Y2" s="10" t="s">
        <v>772</v>
      </c>
      <c r="Z2" s="10" t="s">
        <v>773</v>
      </c>
      <c r="AA2" s="10" t="s">
        <v>774</v>
      </c>
      <c r="AB2" s="10" t="s">
        <v>775</v>
      </c>
      <c r="AC2" s="10" t="s">
        <v>776</v>
      </c>
      <c r="AD2" s="10" t="s">
        <v>777</v>
      </c>
      <c r="AE2" s="10" t="s">
        <v>778</v>
      </c>
      <c r="AF2" s="10" t="s">
        <v>778</v>
      </c>
    </row>
    <row r="3" spans="2:32" ht="16.5" thickTop="1" thickBot="1" x14ac:dyDescent="0.3">
      <c r="B3" s="2" t="s">
        <v>1</v>
      </c>
      <c r="C3" s="28">
        <v>0.1326</v>
      </c>
      <c r="D3" s="28">
        <v>0.15359999999999999</v>
      </c>
      <c r="E3" s="28">
        <v>0.16189999999999999</v>
      </c>
      <c r="F3" s="28">
        <v>0.16389999999999999</v>
      </c>
      <c r="G3" s="28">
        <v>0.16320000000000001</v>
      </c>
      <c r="H3" s="28">
        <v>0.1618</v>
      </c>
      <c r="I3" s="28">
        <v>0.16389999999999999</v>
      </c>
      <c r="J3" s="28">
        <v>0.1613</v>
      </c>
      <c r="K3" s="28">
        <v>0.16550000000000001</v>
      </c>
      <c r="L3" s="28">
        <v>0.16170000000000001</v>
      </c>
      <c r="M3" s="28">
        <v>0.15429999999999999</v>
      </c>
      <c r="N3" s="28">
        <v>0.15740000000000001</v>
      </c>
      <c r="O3" s="28">
        <v>0.1729</v>
      </c>
      <c r="P3" s="28">
        <v>0.16159999999999999</v>
      </c>
      <c r="Q3" s="28">
        <v>0.16170000000000001</v>
      </c>
      <c r="R3" s="28">
        <v>0.1479</v>
      </c>
      <c r="S3" s="28">
        <v>0.17610000000000001</v>
      </c>
      <c r="T3" s="28">
        <v>0.16880000000000001</v>
      </c>
      <c r="U3" s="28">
        <v>0.183</v>
      </c>
      <c r="V3" s="28">
        <v>0.18179999999999999</v>
      </c>
      <c r="W3" s="28">
        <v>0.18629999999999999</v>
      </c>
      <c r="X3" s="28">
        <v>0.18720000000000001</v>
      </c>
      <c r="Y3" s="28">
        <v>0.1951</v>
      </c>
      <c r="Z3" s="28">
        <v>0.17460000000000001</v>
      </c>
      <c r="AA3" s="28">
        <v>0.17549999999999999</v>
      </c>
      <c r="AB3" s="28">
        <v>0.1794</v>
      </c>
      <c r="AC3" s="28">
        <v>0.17280000000000001</v>
      </c>
      <c r="AD3" s="28">
        <v>0.17019999999999999</v>
      </c>
      <c r="AE3" s="28">
        <v>0.1749</v>
      </c>
      <c r="AF3" s="28">
        <v>0.1749</v>
      </c>
    </row>
    <row r="4" spans="2:32" ht="16.5" thickTop="1" thickBot="1" x14ac:dyDescent="0.3">
      <c r="B4" s="3" t="s">
        <v>2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</row>
    <row r="5" spans="2:32" ht="15.75" thickBot="1" x14ac:dyDescent="0.3">
      <c r="B5" s="3" t="s">
        <v>3</v>
      </c>
      <c r="C5" s="28"/>
      <c r="D5" s="28"/>
      <c r="E5" s="28"/>
      <c r="F5" s="28"/>
      <c r="G5" s="28"/>
      <c r="H5" s="28">
        <v>0.18</v>
      </c>
      <c r="I5" s="28">
        <v>0.18124999999999999</v>
      </c>
      <c r="J5" s="28">
        <v>0.1905</v>
      </c>
      <c r="K5" s="28"/>
      <c r="L5" s="28">
        <v>0.1867</v>
      </c>
      <c r="M5" s="28"/>
      <c r="N5" s="28"/>
      <c r="O5" s="28"/>
      <c r="P5" s="28">
        <v>0.19</v>
      </c>
      <c r="Q5" s="28">
        <v>0.22370000000000001</v>
      </c>
      <c r="R5" s="28">
        <v>0.17</v>
      </c>
      <c r="S5" s="28">
        <v>0.23</v>
      </c>
      <c r="T5" s="28">
        <v>0.24</v>
      </c>
      <c r="U5" s="28">
        <v>0.23080000000000001</v>
      </c>
      <c r="V5" s="28">
        <v>0.2</v>
      </c>
      <c r="W5" s="28">
        <v>0.2</v>
      </c>
      <c r="X5" s="28">
        <v>0.2</v>
      </c>
      <c r="Y5" s="28">
        <v>0.28000000000000003</v>
      </c>
      <c r="Z5" s="28">
        <v>0.23</v>
      </c>
      <c r="AA5" s="28">
        <v>0.2</v>
      </c>
      <c r="AB5" s="28"/>
      <c r="AC5" s="28">
        <v>0.24</v>
      </c>
      <c r="AD5" s="28">
        <v>0.2</v>
      </c>
      <c r="AE5" s="28">
        <v>0.21</v>
      </c>
      <c r="AF5" s="28">
        <v>0.21</v>
      </c>
    </row>
    <row r="6" spans="2:32" ht="30.75" thickBot="1" x14ac:dyDescent="0.3">
      <c r="B6" s="3" t="s">
        <v>4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</row>
    <row r="7" spans="2:32" ht="15.75" thickBot="1" x14ac:dyDescent="0.3">
      <c r="B7" s="3" t="s">
        <v>5</v>
      </c>
      <c r="C7" s="28"/>
      <c r="D7" s="28">
        <v>0.15359999999999999</v>
      </c>
      <c r="E7" s="28"/>
      <c r="F7" s="28"/>
      <c r="G7" s="28"/>
      <c r="H7" s="28">
        <v>0.1618</v>
      </c>
      <c r="I7" s="28"/>
      <c r="J7" s="28">
        <v>0.1613</v>
      </c>
      <c r="K7" s="28">
        <v>0.16550000000000001</v>
      </c>
      <c r="L7" s="28">
        <v>0.16170000000000001</v>
      </c>
      <c r="M7" s="28"/>
      <c r="N7" s="28"/>
      <c r="O7" s="28"/>
      <c r="P7" s="28"/>
      <c r="Q7" s="28">
        <v>0.16170000000000001</v>
      </c>
      <c r="R7" s="28"/>
      <c r="S7" s="28"/>
      <c r="T7" s="28"/>
      <c r="U7" s="28">
        <v>0.1479</v>
      </c>
      <c r="V7" s="28">
        <v>0.18179999999999999</v>
      </c>
      <c r="W7" s="28">
        <v>0.1822</v>
      </c>
      <c r="X7" s="28">
        <v>0.18720000000000001</v>
      </c>
      <c r="Y7" s="28">
        <v>0.18790000000000001</v>
      </c>
      <c r="Z7" s="28">
        <v>0.1966</v>
      </c>
      <c r="AA7" s="28"/>
      <c r="AB7" s="28"/>
      <c r="AC7" s="28">
        <v>0.1794</v>
      </c>
      <c r="AD7" s="28">
        <v>0.1794</v>
      </c>
      <c r="AE7" s="28"/>
      <c r="AF7" s="28"/>
    </row>
    <row r="8" spans="2:32" ht="30.75" thickBot="1" x14ac:dyDescent="0.3">
      <c r="B8" s="3" t="s">
        <v>6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</row>
    <row r="9" spans="2:32" ht="15.75" thickBot="1" x14ac:dyDescent="0.3">
      <c r="B9" s="3" t="s">
        <v>7</v>
      </c>
      <c r="C9" s="27">
        <v>4788</v>
      </c>
      <c r="D9" s="27">
        <v>4793</v>
      </c>
      <c r="E9" s="27">
        <v>4811</v>
      </c>
      <c r="F9" s="27">
        <v>4823</v>
      </c>
      <c r="G9" s="27">
        <v>4822</v>
      </c>
      <c r="H9" s="27">
        <v>4823</v>
      </c>
      <c r="I9" s="27">
        <v>4806</v>
      </c>
      <c r="J9" s="27">
        <v>4819</v>
      </c>
      <c r="K9" s="27">
        <v>4814</v>
      </c>
      <c r="L9" s="27">
        <v>4811</v>
      </c>
      <c r="M9" s="27">
        <v>4808</v>
      </c>
      <c r="N9" s="27">
        <v>4821</v>
      </c>
      <c r="O9" s="27">
        <v>4797</v>
      </c>
      <c r="P9" s="27">
        <v>4807</v>
      </c>
      <c r="Q9" s="27">
        <v>4796</v>
      </c>
      <c r="R9" s="27">
        <v>4790</v>
      </c>
      <c r="S9" s="27">
        <v>4804</v>
      </c>
      <c r="T9" s="27">
        <v>4811</v>
      </c>
      <c r="U9" s="27">
        <v>4796</v>
      </c>
      <c r="V9" s="27">
        <v>4803</v>
      </c>
      <c r="W9" s="27">
        <v>4802</v>
      </c>
      <c r="X9" s="27">
        <v>4788</v>
      </c>
      <c r="Y9" s="27">
        <v>4787</v>
      </c>
      <c r="Z9" s="27">
        <v>4788</v>
      </c>
      <c r="AA9" s="27">
        <v>4791</v>
      </c>
      <c r="AB9" s="27">
        <v>4788</v>
      </c>
      <c r="AC9" s="27">
        <v>4784</v>
      </c>
      <c r="AD9" s="27">
        <v>4813</v>
      </c>
      <c r="AE9" s="27">
        <v>4797</v>
      </c>
      <c r="AF9" s="27">
        <v>4797</v>
      </c>
    </row>
  </sheetData>
  <pageMargins left="0.7" right="0.7" top="0.75" bottom="0.75" header="0.3" footer="0.3"/>
  <pageSetup paperSize="11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AX9"/>
  <sheetViews>
    <sheetView workbookViewId="0">
      <pane xSplit="2" topLeftCell="AJ1" activePane="topRight" state="frozen"/>
      <selection pane="topRight" activeCell="AS12" sqref="AS12"/>
    </sheetView>
  </sheetViews>
  <sheetFormatPr defaultRowHeight="15" x14ac:dyDescent="0.25"/>
  <cols>
    <col min="2" max="2" width="28.5703125" customWidth="1"/>
    <col min="3" max="37" width="10.42578125" customWidth="1"/>
    <col min="38" max="38" width="10.28515625" customWidth="1"/>
    <col min="39" max="48" width="10.42578125" customWidth="1"/>
    <col min="49" max="49" width="0.140625" customWidth="1"/>
    <col min="50" max="50" width="12.5703125" customWidth="1"/>
  </cols>
  <sheetData>
    <row r="1" spans="2:50" ht="15.75" thickBot="1" x14ac:dyDescent="0.3"/>
    <row r="2" spans="2:50" ht="15.75" thickBot="1" x14ac:dyDescent="0.3">
      <c r="C2" s="10" t="s">
        <v>779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 t="s">
        <v>779</v>
      </c>
      <c r="U2" s="10" t="s">
        <v>780</v>
      </c>
      <c r="V2" s="10" t="s">
        <v>781</v>
      </c>
      <c r="W2" s="10" t="s">
        <v>782</v>
      </c>
      <c r="X2" s="10" t="s">
        <v>783</v>
      </c>
      <c r="Y2" s="10" t="s">
        <v>784</v>
      </c>
      <c r="Z2" s="10" t="s">
        <v>785</v>
      </c>
      <c r="AA2" s="10" t="s">
        <v>786</v>
      </c>
      <c r="AB2" s="10" t="s">
        <v>787</v>
      </c>
      <c r="AC2" s="10" t="s">
        <v>788</v>
      </c>
      <c r="AD2" s="10" t="s">
        <v>789</v>
      </c>
      <c r="AE2" s="10" t="s">
        <v>790</v>
      </c>
      <c r="AF2" s="10" t="s">
        <v>791</v>
      </c>
      <c r="AG2" s="10" t="s">
        <v>792</v>
      </c>
      <c r="AH2" s="10" t="s">
        <v>793</v>
      </c>
      <c r="AI2" s="10" t="s">
        <v>794</v>
      </c>
      <c r="AJ2" s="10" t="s">
        <v>795</v>
      </c>
      <c r="AK2" s="10" t="s">
        <v>796</v>
      </c>
      <c r="AL2" s="10" t="s">
        <v>797</v>
      </c>
      <c r="AM2" s="10" t="s">
        <v>798</v>
      </c>
      <c r="AN2" s="10" t="s">
        <v>799</v>
      </c>
      <c r="AO2" s="10" t="s">
        <v>800</v>
      </c>
      <c r="AP2" s="10" t="s">
        <v>801</v>
      </c>
      <c r="AQ2" s="10" t="s">
        <v>802</v>
      </c>
      <c r="AR2" s="10" t="s">
        <v>803</v>
      </c>
      <c r="AS2" s="10" t="s">
        <v>804</v>
      </c>
      <c r="AT2" s="10" t="s">
        <v>805</v>
      </c>
      <c r="AU2" s="10" t="s">
        <v>806</v>
      </c>
      <c r="AV2" s="10" t="s">
        <v>807</v>
      </c>
      <c r="AW2" s="29" t="s">
        <v>808</v>
      </c>
      <c r="AX2" s="10" t="s">
        <v>808</v>
      </c>
    </row>
    <row r="3" spans="2:50" ht="16.5" thickTop="1" thickBot="1" x14ac:dyDescent="0.3">
      <c r="B3" s="2" t="s">
        <v>1</v>
      </c>
      <c r="C3" s="28">
        <v>0.1326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>
        <v>0.18090000000000001</v>
      </c>
      <c r="U3" s="28">
        <v>0.19084999999999999</v>
      </c>
      <c r="V3" s="28">
        <v>0.1807</v>
      </c>
      <c r="W3" s="28">
        <v>0.18360000000000001</v>
      </c>
      <c r="X3" s="28">
        <v>0.18659999999999999</v>
      </c>
      <c r="Y3" s="28">
        <v>0.17799999999999999</v>
      </c>
      <c r="Z3" s="28">
        <v>0.17845</v>
      </c>
      <c r="AA3" s="28">
        <v>0.17799000000000001</v>
      </c>
      <c r="AB3" s="28">
        <v>0.1726</v>
      </c>
      <c r="AC3" s="28">
        <v>0.18310000000000001</v>
      </c>
      <c r="AD3" s="28">
        <v>0.18129999999999999</v>
      </c>
      <c r="AE3" s="28">
        <v>0.14990000000000001</v>
      </c>
      <c r="AF3" s="28">
        <v>0.1787</v>
      </c>
      <c r="AG3" s="28">
        <v>0.17480000000000001</v>
      </c>
      <c r="AH3" s="28">
        <v>0.1822</v>
      </c>
      <c r="AI3" s="28">
        <v>0.17610000000000001</v>
      </c>
      <c r="AJ3" s="28">
        <v>0.1787</v>
      </c>
      <c r="AK3" s="28">
        <v>0.18820000000000001</v>
      </c>
      <c r="AL3" s="28">
        <v>0.1875</v>
      </c>
      <c r="AM3" s="28">
        <v>0.18720000000000001</v>
      </c>
      <c r="AN3" s="28">
        <v>0.17929999999999999</v>
      </c>
      <c r="AO3" s="28">
        <v>0.17960000000000001</v>
      </c>
      <c r="AP3" s="28">
        <v>0.18379999999999999</v>
      </c>
      <c r="AQ3" s="28">
        <v>0.1807</v>
      </c>
      <c r="AR3" s="28">
        <v>0.19040000000000001</v>
      </c>
      <c r="AS3" s="28">
        <v>0.17480000000000001</v>
      </c>
      <c r="AT3" s="28">
        <v>0.16320000000000001</v>
      </c>
      <c r="AU3" s="28">
        <v>0.16189999999999999</v>
      </c>
      <c r="AV3" s="28">
        <v>0.18529999999999999</v>
      </c>
      <c r="AW3" s="30">
        <v>0.17219999999999999</v>
      </c>
      <c r="AX3" s="28">
        <v>0.17219999999999999</v>
      </c>
    </row>
    <row r="4" spans="2:50" ht="16.5" thickTop="1" thickBot="1" x14ac:dyDescent="0.3">
      <c r="B4" s="3" t="s">
        <v>2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30"/>
      <c r="AX4" s="28"/>
    </row>
    <row r="5" spans="2:50" ht="15.75" thickBot="1" x14ac:dyDescent="0.3">
      <c r="B5" s="3" t="s">
        <v>3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>
        <v>0.23</v>
      </c>
      <c r="U5" s="28"/>
      <c r="V5" s="28">
        <v>0.22</v>
      </c>
      <c r="W5" s="28"/>
      <c r="X5" s="28"/>
      <c r="Y5" s="28">
        <v>0.24</v>
      </c>
      <c r="Z5" s="28">
        <v>0.24</v>
      </c>
      <c r="AA5" s="28">
        <v>0.2</v>
      </c>
      <c r="AB5" s="28">
        <v>0.27</v>
      </c>
      <c r="AC5" s="28"/>
      <c r="AD5" s="28"/>
      <c r="AE5" s="28">
        <v>0.23</v>
      </c>
      <c r="AF5" s="28"/>
      <c r="AG5" s="28">
        <v>0.2</v>
      </c>
      <c r="AH5" s="28">
        <v>0.23</v>
      </c>
      <c r="AI5" s="28"/>
      <c r="AJ5" s="28"/>
      <c r="AK5" s="28"/>
      <c r="AL5" s="28"/>
      <c r="AM5" s="28">
        <v>0.22</v>
      </c>
      <c r="AN5" s="28">
        <v>0.2</v>
      </c>
      <c r="AO5" s="28">
        <v>0.23</v>
      </c>
      <c r="AP5" s="28">
        <v>0.19</v>
      </c>
      <c r="AQ5" s="28">
        <v>0.2</v>
      </c>
      <c r="AR5" s="28">
        <v>0.24390000000000001</v>
      </c>
      <c r="AS5" s="28">
        <v>0.23</v>
      </c>
      <c r="AT5" s="28">
        <v>0.23</v>
      </c>
      <c r="AU5" s="28">
        <v>0.23089999999999999</v>
      </c>
      <c r="AV5" s="28"/>
      <c r="AW5" s="30">
        <v>0.24</v>
      </c>
      <c r="AX5" s="28">
        <v>0.24</v>
      </c>
    </row>
    <row r="6" spans="2:50" ht="30.75" thickBot="1" x14ac:dyDescent="0.3">
      <c r="B6" s="3" t="s">
        <v>4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30"/>
      <c r="AX6" s="28"/>
    </row>
    <row r="7" spans="2:50" ht="15.75" thickBot="1" x14ac:dyDescent="0.3">
      <c r="B7" s="3" t="s">
        <v>5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>
        <v>0.18090000000000001</v>
      </c>
      <c r="U7" s="28">
        <v>0.17</v>
      </c>
      <c r="V7" s="28"/>
      <c r="W7" s="28"/>
      <c r="X7" s="28"/>
      <c r="Y7" s="28">
        <v>0.17799999999999999</v>
      </c>
      <c r="Z7" s="28">
        <v>0.1883</v>
      </c>
      <c r="AA7" s="28">
        <v>0.1883</v>
      </c>
      <c r="AB7" s="28">
        <v>0.1361</v>
      </c>
      <c r="AC7" s="28"/>
      <c r="AD7" s="28"/>
      <c r="AE7" s="28">
        <v>0.1883</v>
      </c>
      <c r="AF7" s="28">
        <v>0.1787</v>
      </c>
      <c r="AG7" s="28">
        <v>0.17480000000000001</v>
      </c>
      <c r="AH7" s="28"/>
      <c r="AI7" s="28">
        <v>0.18</v>
      </c>
      <c r="AJ7" s="28"/>
      <c r="AK7" s="28"/>
      <c r="AL7" s="28">
        <v>0.1875</v>
      </c>
      <c r="AM7" s="28">
        <v>0.18720000000000001</v>
      </c>
      <c r="AN7" s="28">
        <v>0.17929999999999999</v>
      </c>
      <c r="AO7" s="28">
        <v>0.17960000000000001</v>
      </c>
      <c r="AP7" s="28">
        <v>0.183</v>
      </c>
      <c r="AQ7" s="28"/>
      <c r="AR7" s="28"/>
      <c r="AS7" s="28"/>
      <c r="AT7" s="28">
        <v>0.17499999999999999</v>
      </c>
      <c r="AU7" s="28">
        <v>0.16189999999999999</v>
      </c>
      <c r="AV7" s="28"/>
      <c r="AW7" s="30">
        <v>0.17499999999999999</v>
      </c>
      <c r="AX7" s="28">
        <v>0.17219999999999999</v>
      </c>
    </row>
    <row r="8" spans="2:50" ht="30.75" thickBot="1" x14ac:dyDescent="0.3">
      <c r="B8" s="3" t="s">
        <v>6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30"/>
      <c r="AX8" s="28"/>
    </row>
    <row r="9" spans="2:50" ht="15.75" thickBot="1" x14ac:dyDescent="0.3">
      <c r="B9" s="3" t="s">
        <v>7</v>
      </c>
      <c r="C9" s="27">
        <v>4788</v>
      </c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>
        <v>4803</v>
      </c>
      <c r="U9" s="27">
        <v>4808</v>
      </c>
      <c r="V9" s="27">
        <v>4804</v>
      </c>
      <c r="W9" s="27">
        <v>4824</v>
      </c>
      <c r="X9" s="27">
        <v>4831</v>
      </c>
      <c r="Y9" s="27">
        <v>4819</v>
      </c>
      <c r="Z9" s="27">
        <v>4819</v>
      </c>
      <c r="AA9" s="27">
        <v>4823</v>
      </c>
      <c r="AB9" s="27">
        <v>4817</v>
      </c>
      <c r="AC9" s="27">
        <v>4811</v>
      </c>
      <c r="AD9" s="27">
        <v>4828</v>
      </c>
      <c r="AE9" s="27">
        <v>4831</v>
      </c>
      <c r="AF9" s="27">
        <v>4839</v>
      </c>
      <c r="AG9" s="27">
        <v>4866</v>
      </c>
      <c r="AH9" s="27">
        <v>4879</v>
      </c>
      <c r="AI9" s="27">
        <v>4857</v>
      </c>
      <c r="AJ9" s="27">
        <v>4953</v>
      </c>
      <c r="AK9" s="27">
        <v>4957</v>
      </c>
      <c r="AL9" s="27">
        <v>4906</v>
      </c>
      <c r="AM9" s="27">
        <v>4933</v>
      </c>
      <c r="AN9" s="27">
        <v>4886</v>
      </c>
      <c r="AO9" s="27">
        <v>4878</v>
      </c>
      <c r="AP9" s="27">
        <v>4867</v>
      </c>
      <c r="AQ9" s="27">
        <v>4874</v>
      </c>
      <c r="AR9" s="27">
        <v>4863</v>
      </c>
      <c r="AS9" s="27">
        <v>4911</v>
      </c>
      <c r="AT9" s="27">
        <v>4887</v>
      </c>
      <c r="AU9" s="27">
        <v>4877</v>
      </c>
      <c r="AV9" s="27">
        <v>4883</v>
      </c>
      <c r="AW9" s="33">
        <v>4889</v>
      </c>
      <c r="AX9" s="27">
        <v>4889</v>
      </c>
    </row>
  </sheetData>
  <phoneticPr fontId="2" type="noConversion"/>
  <pageMargins left="0.7" right="0.7" top="0.75" bottom="0.75" header="0.3" footer="0.3"/>
  <pageSetup paperSize="11"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BJ9"/>
  <sheetViews>
    <sheetView workbookViewId="0">
      <pane xSplit="2" topLeftCell="AX1" activePane="topRight" state="frozen"/>
      <selection pane="topRight" activeCell="BJ9" sqref="BJ9"/>
    </sheetView>
  </sheetViews>
  <sheetFormatPr defaultRowHeight="15" x14ac:dyDescent="0.25"/>
  <cols>
    <col min="2" max="2" width="28.5703125" customWidth="1"/>
    <col min="3" max="62" width="10.42578125" customWidth="1"/>
  </cols>
  <sheetData>
    <row r="1" spans="2:62" ht="15.75" thickBot="1" x14ac:dyDescent="0.3"/>
    <row r="2" spans="2:62" ht="15.75" thickBot="1" x14ac:dyDescent="0.3">
      <c r="C2" s="10" t="s">
        <v>809</v>
      </c>
      <c r="D2" s="10" t="s">
        <v>810</v>
      </c>
      <c r="E2" s="10" t="s">
        <v>811</v>
      </c>
      <c r="F2" s="10" t="s">
        <v>812</v>
      </c>
      <c r="G2" s="10" t="s">
        <v>813</v>
      </c>
      <c r="H2" s="10" t="s">
        <v>814</v>
      </c>
      <c r="I2" s="10" t="s">
        <v>815</v>
      </c>
      <c r="J2" s="10" t="s">
        <v>816</v>
      </c>
      <c r="K2" s="10" t="s">
        <v>817</v>
      </c>
      <c r="L2" s="10" t="s">
        <v>818</v>
      </c>
      <c r="M2" s="10" t="s">
        <v>819</v>
      </c>
      <c r="N2" s="10" t="s">
        <v>820</v>
      </c>
      <c r="O2" s="10" t="s">
        <v>821</v>
      </c>
      <c r="P2" s="10" t="s">
        <v>822</v>
      </c>
      <c r="Q2" s="10" t="s">
        <v>823</v>
      </c>
      <c r="R2" s="10" t="s">
        <v>824</v>
      </c>
      <c r="S2" s="10" t="s">
        <v>825</v>
      </c>
      <c r="T2" s="10" t="s">
        <v>826</v>
      </c>
      <c r="U2" s="10" t="s">
        <v>827</v>
      </c>
      <c r="V2" s="10" t="s">
        <v>828</v>
      </c>
      <c r="W2" s="10" t="s">
        <v>829</v>
      </c>
      <c r="X2" s="10" t="s">
        <v>830</v>
      </c>
      <c r="Y2" s="10" t="s">
        <v>831</v>
      </c>
      <c r="Z2" s="10" t="s">
        <v>832</v>
      </c>
      <c r="AA2" s="10" t="s">
        <v>833</v>
      </c>
      <c r="AB2" s="10" t="s">
        <v>834</v>
      </c>
      <c r="AC2" s="10" t="s">
        <v>835</v>
      </c>
      <c r="AD2" s="10" t="s">
        <v>836</v>
      </c>
      <c r="AE2" s="10" t="s">
        <v>837</v>
      </c>
      <c r="AF2" s="10" t="s">
        <v>838</v>
      </c>
      <c r="AG2" s="10" t="s">
        <v>839</v>
      </c>
      <c r="AH2" s="10" t="s">
        <v>840</v>
      </c>
      <c r="AI2" s="10" t="s">
        <v>841</v>
      </c>
      <c r="AJ2" s="10" t="s">
        <v>842</v>
      </c>
      <c r="AK2" s="10" t="s">
        <v>843</v>
      </c>
      <c r="AL2" s="10" t="s">
        <v>844</v>
      </c>
      <c r="AM2" s="10" t="s">
        <v>845</v>
      </c>
      <c r="AN2" s="10" t="s">
        <v>849</v>
      </c>
      <c r="AO2" s="10" t="s">
        <v>850</v>
      </c>
      <c r="AP2" s="10" t="s">
        <v>851</v>
      </c>
      <c r="AQ2" s="10" t="s">
        <v>846</v>
      </c>
      <c r="AR2" s="10" t="s">
        <v>847</v>
      </c>
      <c r="AS2" s="10" t="s">
        <v>848</v>
      </c>
      <c r="AT2" s="10" t="s">
        <v>852</v>
      </c>
      <c r="AU2" s="10" t="s">
        <v>853</v>
      </c>
      <c r="AV2" s="10" t="s">
        <v>854</v>
      </c>
      <c r="AW2" s="10" t="s">
        <v>855</v>
      </c>
      <c r="AX2" s="10" t="s">
        <v>856</v>
      </c>
      <c r="AY2" s="10" t="s">
        <v>857</v>
      </c>
      <c r="AZ2" s="10" t="s">
        <v>858</v>
      </c>
      <c r="BA2" s="10" t="s">
        <v>859</v>
      </c>
      <c r="BB2" s="10" t="s">
        <v>860</v>
      </c>
      <c r="BC2" s="10" t="s">
        <v>861</v>
      </c>
      <c r="BD2" s="10" t="s">
        <v>862</v>
      </c>
      <c r="BE2" s="10" t="s">
        <v>863</v>
      </c>
      <c r="BF2" s="10" t="s">
        <v>864</v>
      </c>
      <c r="BG2" s="10" t="s">
        <v>865</v>
      </c>
      <c r="BH2" s="10" t="s">
        <v>866</v>
      </c>
      <c r="BI2" s="10" t="s">
        <v>867</v>
      </c>
      <c r="BJ2" s="10" t="s">
        <v>868</v>
      </c>
    </row>
    <row r="3" spans="2:62" ht="16.5" thickTop="1" thickBot="1" x14ac:dyDescent="0.3">
      <c r="B3" s="2" t="s">
        <v>1</v>
      </c>
      <c r="C3" s="28">
        <v>0.1827</v>
      </c>
      <c r="D3" s="28">
        <v>0.16159999999999999</v>
      </c>
      <c r="E3" s="28">
        <v>0.161</v>
      </c>
      <c r="F3" s="28">
        <v>0.17</v>
      </c>
      <c r="G3" s="28">
        <v>0.17</v>
      </c>
      <c r="H3" s="28">
        <v>0.16839999999999999</v>
      </c>
      <c r="I3" s="28">
        <v>0.1618</v>
      </c>
      <c r="J3" s="28">
        <v>0.17125000000000001</v>
      </c>
      <c r="K3" s="28">
        <v>0.1575</v>
      </c>
      <c r="L3" s="28">
        <v>0.15310000000000001</v>
      </c>
      <c r="M3" s="28">
        <v>0.15329999999999999</v>
      </c>
      <c r="N3" s="28">
        <v>0.1731</v>
      </c>
      <c r="O3" s="28"/>
      <c r="P3" s="28"/>
      <c r="Q3" s="28"/>
      <c r="R3" s="28"/>
      <c r="S3" s="28"/>
      <c r="T3" s="28"/>
      <c r="U3" s="28"/>
      <c r="V3" s="28"/>
      <c r="W3" s="28"/>
      <c r="X3" s="28"/>
      <c r="Y3" s="28">
        <v>0.1789</v>
      </c>
      <c r="Z3" s="28">
        <v>0.16189999999999999</v>
      </c>
      <c r="AA3" s="28">
        <v>0.16070000000000001</v>
      </c>
      <c r="AB3" s="28">
        <v>0.16689999999999999</v>
      </c>
      <c r="AC3" s="28">
        <v>0.16700000000000001</v>
      </c>
      <c r="AD3" s="28"/>
      <c r="AE3" s="28"/>
      <c r="AF3" s="28">
        <v>0.17069999999999999</v>
      </c>
      <c r="AG3" s="28"/>
      <c r="AH3" s="28">
        <v>0.13800000000000001</v>
      </c>
      <c r="AI3" s="28"/>
      <c r="AJ3" s="28"/>
      <c r="AK3" s="28"/>
      <c r="AL3" s="28"/>
      <c r="AM3" s="28">
        <v>0.1321</v>
      </c>
      <c r="AN3" s="28"/>
      <c r="AO3" s="28"/>
      <c r="AP3" s="28"/>
      <c r="AQ3" s="28">
        <v>8.387E-2</v>
      </c>
      <c r="AR3" s="28"/>
      <c r="AS3" s="28"/>
      <c r="AT3" s="28"/>
      <c r="AU3" s="69">
        <v>0.11</v>
      </c>
      <c r="AV3" s="69">
        <v>0.1129</v>
      </c>
      <c r="AW3" s="69">
        <v>0.16200000000000001</v>
      </c>
      <c r="AX3" s="69">
        <v>0.1633</v>
      </c>
      <c r="AY3" s="69">
        <v>0.15060000000000001</v>
      </c>
      <c r="AZ3" s="69">
        <v>0.17</v>
      </c>
      <c r="BA3" s="69">
        <v>0.15720000000000001</v>
      </c>
      <c r="BB3" s="69">
        <v>0.15</v>
      </c>
      <c r="BC3" s="69">
        <v>0.17119999999999999</v>
      </c>
      <c r="BD3" s="69">
        <v>0.18229999999999999</v>
      </c>
      <c r="BE3" s="69">
        <v>0.17199999999999999</v>
      </c>
      <c r="BF3" s="69">
        <v>0.17960000000000001</v>
      </c>
      <c r="BG3" s="69">
        <v>0.182</v>
      </c>
      <c r="BH3" s="69">
        <v>0.17949999999999999</v>
      </c>
      <c r="BI3" s="69">
        <v>0.18</v>
      </c>
      <c r="BJ3" s="69">
        <v>0.18</v>
      </c>
    </row>
    <row r="4" spans="2:62" ht="16.5" thickTop="1" thickBot="1" x14ac:dyDescent="0.3">
      <c r="B4" s="3" t="s">
        <v>2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30"/>
      <c r="AU4" s="58"/>
      <c r="AV4" s="59"/>
      <c r="AW4" s="59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</row>
    <row r="5" spans="2:62" ht="15.75" thickBot="1" x14ac:dyDescent="0.3">
      <c r="B5" s="3" t="s">
        <v>3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>
        <v>0.2</v>
      </c>
      <c r="AA5" s="28">
        <v>0.1825</v>
      </c>
      <c r="AB5" s="28"/>
      <c r="AC5" s="28"/>
      <c r="AD5" s="28"/>
      <c r="AE5" s="28">
        <v>0.17</v>
      </c>
      <c r="AF5" s="28"/>
      <c r="AG5" s="28"/>
      <c r="AH5" s="28">
        <v>0.17100000000000001</v>
      </c>
      <c r="AI5" s="28">
        <v>0.17100000000000001</v>
      </c>
      <c r="AJ5" s="28">
        <v>0.14530000000000001</v>
      </c>
      <c r="AK5" s="28"/>
      <c r="AL5" s="28"/>
      <c r="AM5" s="28"/>
      <c r="AN5" s="28"/>
      <c r="AO5" s="28"/>
      <c r="AP5" s="28"/>
      <c r="AQ5" s="28"/>
      <c r="AR5" s="28"/>
      <c r="AS5" s="28">
        <v>0.1196</v>
      </c>
      <c r="AT5" s="28"/>
      <c r="AU5" s="67"/>
      <c r="AV5" s="67"/>
      <c r="AW5" s="67">
        <v>0.16669999999999999</v>
      </c>
      <c r="AX5" s="67">
        <v>0.16500000000000001</v>
      </c>
      <c r="AY5" s="67">
        <v>0.16669999999999999</v>
      </c>
      <c r="AZ5" s="67">
        <v>0.1774</v>
      </c>
      <c r="BA5" s="67"/>
      <c r="BB5" s="67">
        <v>0.21</v>
      </c>
      <c r="BC5" s="67"/>
      <c r="BD5" s="67"/>
      <c r="BE5" s="67"/>
      <c r="BF5" s="67"/>
      <c r="BG5" s="67">
        <v>0.183</v>
      </c>
      <c r="BH5" s="67">
        <v>0.182</v>
      </c>
      <c r="BI5" s="67">
        <v>0.182</v>
      </c>
      <c r="BJ5" s="67">
        <v>0.182</v>
      </c>
    </row>
    <row r="6" spans="2:62" ht="30.75" thickBot="1" x14ac:dyDescent="0.3">
      <c r="B6" s="3" t="s">
        <v>4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</row>
    <row r="7" spans="2:62" ht="15.75" thickBot="1" x14ac:dyDescent="0.3">
      <c r="B7" s="3" t="s">
        <v>5</v>
      </c>
      <c r="C7" s="28"/>
      <c r="D7" s="28"/>
      <c r="E7" s="28">
        <v>0.1613</v>
      </c>
      <c r="F7" s="28">
        <v>0.17</v>
      </c>
      <c r="G7" s="28">
        <v>0.17</v>
      </c>
      <c r="H7" s="28"/>
      <c r="I7" s="28">
        <v>0.17599999999999999</v>
      </c>
      <c r="J7" s="28"/>
      <c r="K7" s="28"/>
      <c r="L7" s="28"/>
      <c r="M7" s="28"/>
      <c r="N7" s="28">
        <v>0.1731</v>
      </c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>
        <v>0.1686</v>
      </c>
      <c r="AE7" s="28"/>
      <c r="AF7" s="28"/>
      <c r="AG7" s="28"/>
      <c r="AH7" s="28"/>
      <c r="AI7" s="28">
        <v>0.1069</v>
      </c>
      <c r="AJ7" s="28"/>
      <c r="AK7" s="28"/>
      <c r="AL7" s="28"/>
      <c r="AM7" s="28"/>
      <c r="AN7" s="28"/>
      <c r="AO7" s="28"/>
      <c r="AP7" s="28"/>
      <c r="AQ7" s="28"/>
      <c r="AR7" s="28"/>
      <c r="AS7" s="28">
        <v>8.5000000000000006E-2</v>
      </c>
      <c r="AT7" s="28">
        <v>9.425E-2</v>
      </c>
      <c r="AU7" s="28">
        <v>0.1168</v>
      </c>
      <c r="AV7" s="28"/>
      <c r="AW7" s="28">
        <v>0.20880000000000001</v>
      </c>
      <c r="AX7" s="28"/>
      <c r="AY7" s="28"/>
      <c r="AZ7" s="28">
        <v>0.17</v>
      </c>
      <c r="BA7" s="28">
        <v>0.17</v>
      </c>
      <c r="BB7" s="28">
        <v>0.15</v>
      </c>
      <c r="BC7" s="28">
        <v>0.18</v>
      </c>
      <c r="BD7" s="28"/>
      <c r="BE7" s="28">
        <v>0.17219999999999999</v>
      </c>
      <c r="BF7" s="28"/>
      <c r="BG7" s="28"/>
      <c r="BH7" s="28">
        <v>0.18099999999999999</v>
      </c>
      <c r="BI7" s="28">
        <v>0.18</v>
      </c>
      <c r="BJ7" s="28">
        <v>0.18</v>
      </c>
    </row>
    <row r="8" spans="2:62" ht="30.75" thickBot="1" x14ac:dyDescent="0.3">
      <c r="B8" s="3" t="s">
        <v>6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</row>
    <row r="9" spans="2:62" ht="15.75" thickBot="1" x14ac:dyDescent="0.3">
      <c r="B9" s="3" t="s">
        <v>7</v>
      </c>
      <c r="C9" s="27">
        <v>4862</v>
      </c>
      <c r="D9" s="27">
        <v>4819</v>
      </c>
      <c r="E9" s="27"/>
      <c r="F9" s="27">
        <v>4813</v>
      </c>
      <c r="G9" s="27">
        <v>4819</v>
      </c>
      <c r="H9" s="27">
        <v>4827</v>
      </c>
      <c r="I9" s="27">
        <v>4846</v>
      </c>
      <c r="J9" s="27">
        <v>4838</v>
      </c>
      <c r="K9" s="27">
        <v>4858</v>
      </c>
      <c r="L9" s="27">
        <v>4841</v>
      </c>
      <c r="M9" s="27">
        <v>4863</v>
      </c>
      <c r="N9" s="27">
        <v>4867</v>
      </c>
      <c r="O9" s="27">
        <v>4845</v>
      </c>
      <c r="P9" s="27">
        <v>4833</v>
      </c>
      <c r="Q9" s="27">
        <v>4867</v>
      </c>
      <c r="R9" s="27">
        <v>4878</v>
      </c>
      <c r="S9" s="27">
        <v>4854</v>
      </c>
      <c r="T9" s="27">
        <v>4876</v>
      </c>
      <c r="U9" s="27">
        <v>4874</v>
      </c>
      <c r="V9" s="27">
        <v>4863</v>
      </c>
      <c r="W9" s="27">
        <v>4855</v>
      </c>
      <c r="X9" s="27">
        <v>4813</v>
      </c>
      <c r="Y9" s="27">
        <v>4821</v>
      </c>
      <c r="Z9" s="27">
        <v>4788</v>
      </c>
      <c r="AA9" s="27">
        <v>4771</v>
      </c>
      <c r="AB9" s="27">
        <v>4783</v>
      </c>
      <c r="AC9" s="27">
        <v>4796</v>
      </c>
      <c r="AD9" s="27">
        <v>4806</v>
      </c>
      <c r="AE9" s="27">
        <v>4796</v>
      </c>
      <c r="AF9" s="27">
        <v>4819</v>
      </c>
      <c r="AG9" s="27">
        <v>4833</v>
      </c>
      <c r="AH9" s="27">
        <v>4788</v>
      </c>
      <c r="AI9" s="27">
        <v>0</v>
      </c>
      <c r="AJ9" s="27">
        <v>0</v>
      </c>
      <c r="AK9" s="27">
        <v>0</v>
      </c>
      <c r="AL9" s="27">
        <v>0</v>
      </c>
      <c r="AM9" s="27">
        <v>4776</v>
      </c>
      <c r="AN9" s="27">
        <v>4893</v>
      </c>
      <c r="AO9" s="27">
        <v>4944</v>
      </c>
      <c r="AP9" s="27">
        <v>4973</v>
      </c>
      <c r="AQ9" s="27">
        <v>4951</v>
      </c>
      <c r="AR9" s="27">
        <v>4944</v>
      </c>
      <c r="AS9" s="27">
        <v>4917</v>
      </c>
      <c r="AT9" s="27">
        <v>4879</v>
      </c>
      <c r="AU9" s="27">
        <v>4918</v>
      </c>
      <c r="AV9" s="27">
        <v>4955</v>
      </c>
      <c r="AW9" s="27">
        <v>4941</v>
      </c>
      <c r="AX9" s="27">
        <v>4948</v>
      </c>
      <c r="AY9" s="27">
        <v>4931</v>
      </c>
      <c r="AZ9" s="27">
        <v>5062</v>
      </c>
      <c r="BA9" s="27">
        <v>5093</v>
      </c>
      <c r="BB9" s="27">
        <v>5183</v>
      </c>
      <c r="BC9" s="27">
        <v>5177</v>
      </c>
      <c r="BD9" s="27">
        <v>5188</v>
      </c>
      <c r="BE9" s="27">
        <v>5167</v>
      </c>
      <c r="BF9" s="27">
        <v>5167</v>
      </c>
      <c r="BG9" s="27">
        <v>5173</v>
      </c>
      <c r="BH9" s="27">
        <v>5178</v>
      </c>
      <c r="BI9" s="27">
        <v>5169</v>
      </c>
      <c r="BJ9" s="27">
        <v>5169</v>
      </c>
    </row>
  </sheetData>
  <phoneticPr fontId="2" type="noConversion"/>
  <pageMargins left="0.7" right="0.7" top="0.75" bottom="0.75" header="0.3" footer="0.3"/>
  <pageSetup paperSize="11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1:AG9"/>
  <sheetViews>
    <sheetView workbookViewId="0">
      <pane xSplit="2" topLeftCell="C1" activePane="topRight" state="frozen"/>
      <selection pane="topRight" activeCell="B21" sqref="B21"/>
    </sheetView>
  </sheetViews>
  <sheetFormatPr defaultRowHeight="15" x14ac:dyDescent="0.25"/>
  <cols>
    <col min="2" max="2" width="28.5703125" customWidth="1"/>
    <col min="3" max="33" width="10.42578125" customWidth="1"/>
  </cols>
  <sheetData>
    <row r="1" spans="2:33" ht="15.75" thickBot="1" x14ac:dyDescent="0.3"/>
    <row r="2" spans="2:33" ht="15.75" thickBot="1" x14ac:dyDescent="0.3">
      <c r="C2" s="10" t="s">
        <v>838</v>
      </c>
      <c r="D2" s="10" t="s">
        <v>839</v>
      </c>
      <c r="E2" s="10" t="s">
        <v>840</v>
      </c>
      <c r="F2" s="10" t="s">
        <v>841</v>
      </c>
      <c r="G2" s="10" t="s">
        <v>842</v>
      </c>
      <c r="H2" s="10" t="s">
        <v>843</v>
      </c>
      <c r="I2" s="10" t="s">
        <v>844</v>
      </c>
      <c r="J2" s="10" t="s">
        <v>845</v>
      </c>
      <c r="K2" s="10" t="s">
        <v>849</v>
      </c>
      <c r="L2" s="10" t="s">
        <v>850</v>
      </c>
      <c r="M2" s="10" t="s">
        <v>851</v>
      </c>
      <c r="N2" s="10" t="s">
        <v>846</v>
      </c>
      <c r="O2" s="10" t="s">
        <v>847</v>
      </c>
      <c r="P2" s="10" t="s">
        <v>848</v>
      </c>
      <c r="Q2" s="10" t="s">
        <v>852</v>
      </c>
      <c r="R2" s="10" t="s">
        <v>853</v>
      </c>
      <c r="S2" s="10" t="s">
        <v>854</v>
      </c>
      <c r="T2" s="10" t="s">
        <v>855</v>
      </c>
      <c r="U2" s="10" t="s">
        <v>856</v>
      </c>
      <c r="V2" s="10" t="s">
        <v>857</v>
      </c>
      <c r="W2" s="10" t="s">
        <v>858</v>
      </c>
      <c r="X2" s="10" t="s">
        <v>859</v>
      </c>
      <c r="Y2" s="10" t="s">
        <v>860</v>
      </c>
      <c r="Z2" s="10" t="s">
        <v>861</v>
      </c>
      <c r="AA2" s="10" t="s">
        <v>862</v>
      </c>
      <c r="AB2" s="10" t="s">
        <v>863</v>
      </c>
      <c r="AC2" s="10" t="s">
        <v>864</v>
      </c>
      <c r="AD2" s="10" t="s">
        <v>865</v>
      </c>
      <c r="AE2" s="10" t="s">
        <v>866</v>
      </c>
      <c r="AF2" s="10" t="s">
        <v>867</v>
      </c>
      <c r="AG2" s="10" t="s">
        <v>868</v>
      </c>
    </row>
    <row r="3" spans="2:33" ht="16.5" thickTop="1" thickBot="1" x14ac:dyDescent="0.3">
      <c r="B3" s="2" t="s">
        <v>1</v>
      </c>
      <c r="C3" s="28">
        <v>0.17069999999999999</v>
      </c>
      <c r="D3" s="28"/>
      <c r="E3" s="28">
        <v>0.13800000000000001</v>
      </c>
      <c r="F3" s="28"/>
      <c r="G3" s="28"/>
      <c r="H3" s="28"/>
      <c r="I3" s="28"/>
      <c r="J3" s="28">
        <v>0.1321</v>
      </c>
      <c r="K3" s="28"/>
      <c r="L3" s="28"/>
      <c r="M3" s="28"/>
      <c r="N3" s="28">
        <v>8.387E-2</v>
      </c>
      <c r="O3" s="28"/>
      <c r="P3" s="28"/>
      <c r="Q3" s="28"/>
      <c r="R3" s="69">
        <v>0.11</v>
      </c>
      <c r="S3" s="69">
        <v>0.1129</v>
      </c>
      <c r="T3" s="69">
        <v>0.16200000000000001</v>
      </c>
      <c r="U3" s="69">
        <v>0.1633</v>
      </c>
      <c r="V3" s="69">
        <v>0.15060000000000001</v>
      </c>
      <c r="W3" s="69">
        <v>0.17</v>
      </c>
      <c r="X3" s="69">
        <v>0.15720000000000001</v>
      </c>
      <c r="Y3" s="69">
        <v>0.15</v>
      </c>
      <c r="Z3" s="69">
        <v>0.17119999999999999</v>
      </c>
      <c r="AA3" s="69">
        <v>0.18229999999999999</v>
      </c>
      <c r="AB3" s="69">
        <v>0.17199999999999999</v>
      </c>
      <c r="AC3" s="69">
        <v>0.17960000000000001</v>
      </c>
      <c r="AD3" s="69">
        <v>0.182</v>
      </c>
      <c r="AE3" s="69">
        <v>0.17949999999999999</v>
      </c>
      <c r="AF3" s="69">
        <v>0.18</v>
      </c>
      <c r="AG3" s="69">
        <v>0.16919999999999999</v>
      </c>
    </row>
    <row r="4" spans="2:33" ht="16.5" thickTop="1" thickBot="1" x14ac:dyDescent="0.3">
      <c r="B4" s="3" t="s">
        <v>2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30"/>
      <c r="R4" s="58"/>
      <c r="S4" s="59"/>
      <c r="T4" s="59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</row>
    <row r="5" spans="2:33" ht="15.75" thickBot="1" x14ac:dyDescent="0.3">
      <c r="B5" s="3" t="s">
        <v>3</v>
      </c>
      <c r="C5" s="28"/>
      <c r="D5" s="28"/>
      <c r="E5" s="28">
        <v>0.17100000000000001</v>
      </c>
      <c r="F5" s="28">
        <v>0.17100000000000001</v>
      </c>
      <c r="G5" s="28">
        <v>0.14530000000000001</v>
      </c>
      <c r="H5" s="28"/>
      <c r="I5" s="28"/>
      <c r="J5" s="28"/>
      <c r="K5" s="28"/>
      <c r="L5" s="28"/>
      <c r="M5" s="28"/>
      <c r="N5" s="28"/>
      <c r="O5" s="28"/>
      <c r="P5" s="28">
        <v>0.1196</v>
      </c>
      <c r="Q5" s="28"/>
      <c r="R5" s="67"/>
      <c r="S5" s="67"/>
      <c r="T5" s="67">
        <v>0.16669999999999999</v>
      </c>
      <c r="U5" s="67">
        <v>0.16500000000000001</v>
      </c>
      <c r="V5" s="67">
        <v>0.16669999999999999</v>
      </c>
      <c r="W5" s="67">
        <v>0.1774</v>
      </c>
      <c r="X5" s="67"/>
      <c r="Y5" s="67">
        <v>0.21</v>
      </c>
      <c r="Z5" s="67"/>
      <c r="AA5" s="67"/>
      <c r="AB5" s="67"/>
      <c r="AC5" s="67"/>
      <c r="AD5" s="67">
        <v>0.183</v>
      </c>
      <c r="AE5" s="67">
        <v>0.182</v>
      </c>
      <c r="AF5" s="67">
        <v>0.182</v>
      </c>
      <c r="AG5" s="67">
        <v>0.22</v>
      </c>
    </row>
    <row r="6" spans="2:33" ht="30.75" thickBot="1" x14ac:dyDescent="0.3">
      <c r="B6" s="3" t="s">
        <v>4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</row>
    <row r="7" spans="2:33" ht="15.75" thickBot="1" x14ac:dyDescent="0.3">
      <c r="B7" s="3" t="s">
        <v>5</v>
      </c>
      <c r="C7" s="28"/>
      <c r="D7" s="28"/>
      <c r="E7" s="28"/>
      <c r="F7" s="28">
        <v>0.1069</v>
      </c>
      <c r="G7" s="28"/>
      <c r="H7" s="28"/>
      <c r="I7" s="28"/>
      <c r="J7" s="28"/>
      <c r="K7" s="28"/>
      <c r="L7" s="28"/>
      <c r="M7" s="28"/>
      <c r="N7" s="28"/>
      <c r="O7" s="28"/>
      <c r="P7" s="28">
        <v>8.5000000000000006E-2</v>
      </c>
      <c r="Q7" s="28">
        <v>9.425E-2</v>
      </c>
      <c r="R7" s="28">
        <v>0.1168</v>
      </c>
      <c r="S7" s="28"/>
      <c r="T7" s="28">
        <v>0.20880000000000001</v>
      </c>
      <c r="U7" s="28"/>
      <c r="V7" s="28"/>
      <c r="W7" s="28">
        <v>0.17</v>
      </c>
      <c r="X7" s="28">
        <v>0.17</v>
      </c>
      <c r="Y7" s="28">
        <v>0.15</v>
      </c>
      <c r="Z7" s="28">
        <v>0.18</v>
      </c>
      <c r="AA7" s="28"/>
      <c r="AB7" s="28">
        <v>0.17219999999999999</v>
      </c>
      <c r="AC7" s="28"/>
      <c r="AD7" s="28"/>
      <c r="AE7" s="28">
        <v>0.18099999999999999</v>
      </c>
      <c r="AF7" s="28">
        <v>0.18</v>
      </c>
      <c r="AG7" s="28">
        <v>0.16919999999999999</v>
      </c>
    </row>
    <row r="8" spans="2:33" ht="30.75" thickBot="1" x14ac:dyDescent="0.3">
      <c r="B8" s="3" t="s">
        <v>6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</row>
    <row r="9" spans="2:33" ht="15.75" thickBot="1" x14ac:dyDescent="0.3">
      <c r="B9" s="3" t="s">
        <v>7</v>
      </c>
      <c r="C9" s="27">
        <v>4819</v>
      </c>
      <c r="D9" s="27">
        <v>4833</v>
      </c>
      <c r="E9" s="27">
        <v>4788</v>
      </c>
      <c r="F9" s="27">
        <v>0</v>
      </c>
      <c r="G9" s="27">
        <v>0</v>
      </c>
      <c r="H9" s="27">
        <v>0</v>
      </c>
      <c r="I9" s="27">
        <v>0</v>
      </c>
      <c r="J9" s="27">
        <v>4776</v>
      </c>
      <c r="K9" s="27">
        <v>4893</v>
      </c>
      <c r="L9" s="27">
        <v>4944</v>
      </c>
      <c r="M9" s="27">
        <v>4973</v>
      </c>
      <c r="N9" s="27">
        <v>4951</v>
      </c>
      <c r="O9" s="27">
        <v>4944</v>
      </c>
      <c r="P9" s="27">
        <v>4917</v>
      </c>
      <c r="Q9" s="27">
        <v>4879</v>
      </c>
      <c r="R9" s="27">
        <v>4918</v>
      </c>
      <c r="S9" s="27">
        <v>4955</v>
      </c>
      <c r="T9" s="27">
        <v>4941</v>
      </c>
      <c r="U9" s="27">
        <v>4948</v>
      </c>
      <c r="V9" s="27">
        <v>4931</v>
      </c>
      <c r="W9" s="27">
        <v>5062</v>
      </c>
      <c r="X9" s="27">
        <v>5093</v>
      </c>
      <c r="Y9" s="27">
        <v>5183</v>
      </c>
      <c r="Z9" s="27">
        <v>5177</v>
      </c>
      <c r="AA9" s="27">
        <v>5188</v>
      </c>
      <c r="AB9" s="27">
        <v>5167</v>
      </c>
      <c r="AC9" s="27">
        <v>5167</v>
      </c>
      <c r="AD9" s="27">
        <v>5173</v>
      </c>
      <c r="AE9" s="27">
        <v>5178</v>
      </c>
      <c r="AF9" s="27">
        <v>5169</v>
      </c>
      <c r="AG9" s="27">
        <v>5213</v>
      </c>
    </row>
  </sheetData>
  <pageMargins left="0.7" right="0.7" top="0.75" bottom="0.75" header="0.3" footer="0.3"/>
  <pageSetup paperSize="11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1:AF9"/>
  <sheetViews>
    <sheetView workbookViewId="0">
      <pane xSplit="2" topLeftCell="C1" activePane="topRight" state="frozen"/>
      <selection pane="topRight" activeCell="AC16" sqref="AC16"/>
    </sheetView>
  </sheetViews>
  <sheetFormatPr defaultRowHeight="15" x14ac:dyDescent="0.25"/>
  <cols>
    <col min="2" max="2" width="28.5703125" customWidth="1"/>
    <col min="3" max="32" width="10.42578125" customWidth="1"/>
  </cols>
  <sheetData>
    <row r="1" spans="2:32" ht="15.75" thickBot="1" x14ac:dyDescent="0.3"/>
    <row r="2" spans="2:32" ht="15.75" thickBot="1" x14ac:dyDescent="0.3">
      <c r="C2" s="10" t="s">
        <v>869</v>
      </c>
      <c r="D2" s="10" t="s">
        <v>870</v>
      </c>
      <c r="E2" s="10" t="s">
        <v>871</v>
      </c>
      <c r="F2" s="10" t="s">
        <v>872</v>
      </c>
      <c r="G2" s="10" t="s">
        <v>873</v>
      </c>
      <c r="H2" s="10" t="s">
        <v>874</v>
      </c>
      <c r="I2" s="10" t="s">
        <v>875</v>
      </c>
      <c r="J2" s="10" t="s">
        <v>876</v>
      </c>
      <c r="K2" s="10" t="s">
        <v>877</v>
      </c>
      <c r="L2" s="10" t="s">
        <v>878</v>
      </c>
      <c r="M2" s="10" t="s">
        <v>879</v>
      </c>
      <c r="N2" s="10" t="s">
        <v>880</v>
      </c>
      <c r="O2" s="10" t="s">
        <v>881</v>
      </c>
      <c r="P2" s="10" t="s">
        <v>882</v>
      </c>
      <c r="Q2" s="10" t="s">
        <v>883</v>
      </c>
      <c r="R2" s="10" t="s">
        <v>884</v>
      </c>
      <c r="S2" s="10" t="s">
        <v>885</v>
      </c>
      <c r="T2" s="10" t="s">
        <v>886</v>
      </c>
      <c r="U2" s="10" t="s">
        <v>887</v>
      </c>
      <c r="V2" s="10" t="s">
        <v>888</v>
      </c>
      <c r="W2" s="10" t="s">
        <v>889</v>
      </c>
      <c r="X2" s="10" t="s">
        <v>890</v>
      </c>
      <c r="Y2" s="10" t="s">
        <v>891</v>
      </c>
      <c r="Z2" s="10" t="s">
        <v>892</v>
      </c>
      <c r="AA2" s="10" t="s">
        <v>893</v>
      </c>
      <c r="AB2" s="10" t="s">
        <v>894</v>
      </c>
      <c r="AC2" s="10" t="s">
        <v>895</v>
      </c>
      <c r="AD2" s="10" t="s">
        <v>896</v>
      </c>
      <c r="AE2" s="10" t="s">
        <v>897</v>
      </c>
      <c r="AF2" s="10" t="s">
        <v>898</v>
      </c>
    </row>
    <row r="3" spans="2:32" ht="16.5" thickTop="1" thickBot="1" x14ac:dyDescent="0.3">
      <c r="B3" s="2" t="s">
        <v>1</v>
      </c>
      <c r="C3" s="28">
        <v>0.2</v>
      </c>
      <c r="D3" s="28">
        <v>0.19600000000000001</v>
      </c>
      <c r="E3" s="28">
        <v>0.192</v>
      </c>
      <c r="F3" s="28">
        <v>0.1825</v>
      </c>
      <c r="G3" s="28">
        <v>0.18179999999999999</v>
      </c>
      <c r="H3" s="28">
        <v>0.18</v>
      </c>
      <c r="I3" s="28">
        <v>0.18099999999999999</v>
      </c>
      <c r="J3" s="28">
        <v>0.1807</v>
      </c>
      <c r="K3" s="28">
        <v>0.18</v>
      </c>
      <c r="L3" s="28">
        <v>0.18</v>
      </c>
      <c r="M3" s="28">
        <v>0.18129999999999999</v>
      </c>
      <c r="N3" s="28">
        <v>0.186</v>
      </c>
      <c r="O3" s="28">
        <v>0.19600000000000001</v>
      </c>
      <c r="P3" s="28">
        <v>0.1953</v>
      </c>
      <c r="Q3" s="28">
        <v>0.1767</v>
      </c>
      <c r="R3" s="28">
        <v>0.16705</v>
      </c>
      <c r="S3" s="28">
        <v>0.1769</v>
      </c>
      <c r="T3" s="28">
        <v>0.14960000000000001</v>
      </c>
      <c r="U3" s="28">
        <v>0.15128</v>
      </c>
      <c r="V3" s="28">
        <v>0.15459999999999999</v>
      </c>
      <c r="W3" s="28">
        <v>0.15076999999999999</v>
      </c>
      <c r="X3" s="28">
        <v>0.15</v>
      </c>
      <c r="Y3" s="28">
        <v>0.1469</v>
      </c>
      <c r="Z3" s="28">
        <v>0.1414</v>
      </c>
      <c r="AA3" s="28">
        <v>0.1246</v>
      </c>
      <c r="AB3" s="28">
        <v>0.12989999999999999</v>
      </c>
      <c r="AC3" s="28">
        <v>0.15379999999999999</v>
      </c>
      <c r="AD3" s="28">
        <v>0.14530000000000001</v>
      </c>
      <c r="AE3" s="28">
        <v>0.1016</v>
      </c>
      <c r="AF3" s="28">
        <v>0.10059999999999999</v>
      </c>
    </row>
    <row r="4" spans="2:32" ht="16.5" thickTop="1" thickBot="1" x14ac:dyDescent="0.3">
      <c r="B4" s="3" t="s">
        <v>2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</row>
    <row r="5" spans="2:32" ht="15.75" thickBot="1" x14ac:dyDescent="0.3">
      <c r="B5" s="3" t="s">
        <v>3</v>
      </c>
      <c r="C5" s="28">
        <v>0.2</v>
      </c>
      <c r="D5" s="28">
        <v>0.2</v>
      </c>
      <c r="E5" s="28">
        <v>0.185</v>
      </c>
      <c r="F5" s="28">
        <v>0.1767</v>
      </c>
      <c r="G5" s="28"/>
      <c r="H5" s="28">
        <v>0.19</v>
      </c>
      <c r="I5" s="28"/>
      <c r="J5" s="28">
        <v>0.18</v>
      </c>
      <c r="K5" s="28"/>
      <c r="L5" s="28"/>
      <c r="M5" s="28"/>
      <c r="N5" s="28">
        <v>0.29330000000000001</v>
      </c>
      <c r="O5" s="28">
        <v>0.19600000000000001</v>
      </c>
      <c r="P5" s="28"/>
      <c r="Q5" s="28"/>
      <c r="R5" s="28"/>
      <c r="S5" s="28">
        <v>0.17499999999999999</v>
      </c>
      <c r="T5" s="28">
        <v>0.23</v>
      </c>
      <c r="U5" s="28">
        <v>0.23</v>
      </c>
      <c r="V5" s="28"/>
      <c r="W5" s="28">
        <v>0.155</v>
      </c>
      <c r="X5" s="28">
        <v>0.152</v>
      </c>
      <c r="Y5" s="28">
        <v>0.104</v>
      </c>
      <c r="Z5" s="28">
        <v>0.23</v>
      </c>
      <c r="AA5" s="28">
        <v>0.23</v>
      </c>
      <c r="AB5" s="28">
        <v>0.23</v>
      </c>
      <c r="AC5" s="28"/>
      <c r="AD5" s="28">
        <v>0.23</v>
      </c>
      <c r="AE5" s="28">
        <v>0.10199999999999999</v>
      </c>
      <c r="AF5" s="28">
        <v>9.9099999999999994E-2</v>
      </c>
    </row>
    <row r="6" spans="2:32" ht="30.75" thickBot="1" x14ac:dyDescent="0.3">
      <c r="B6" s="3" t="s">
        <v>4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</row>
    <row r="7" spans="2:32" ht="15.75" thickBot="1" x14ac:dyDescent="0.3">
      <c r="B7" s="3" t="s">
        <v>5</v>
      </c>
      <c r="C7" s="28">
        <v>0.2</v>
      </c>
      <c r="D7" s="28"/>
      <c r="E7" s="28">
        <v>0.18</v>
      </c>
      <c r="F7" s="28">
        <v>0.1767</v>
      </c>
      <c r="G7" s="28">
        <v>0.19</v>
      </c>
      <c r="H7" s="28">
        <v>0.182</v>
      </c>
      <c r="I7" s="28">
        <v>0.18099999999999999</v>
      </c>
      <c r="J7" s="28">
        <v>0.18</v>
      </c>
      <c r="K7" s="28">
        <v>0.184</v>
      </c>
      <c r="L7" s="28">
        <v>0.18</v>
      </c>
      <c r="M7" s="28">
        <v>0.2079</v>
      </c>
      <c r="N7" s="28">
        <v>0.186</v>
      </c>
      <c r="O7" s="28">
        <v>0.19600000000000001</v>
      </c>
      <c r="P7" s="28">
        <v>0.1933</v>
      </c>
      <c r="Q7" s="28"/>
      <c r="R7" s="28"/>
      <c r="S7" s="28">
        <v>0.17499999999999999</v>
      </c>
      <c r="T7" s="28">
        <v>0.14960000000000001</v>
      </c>
      <c r="U7" s="28">
        <v>0.15126000000000001</v>
      </c>
      <c r="V7" s="28">
        <v>0.15459999999999999</v>
      </c>
      <c r="W7" s="28">
        <v>0.15</v>
      </c>
      <c r="X7" s="28"/>
      <c r="Y7" s="28">
        <v>0.34799999999999998</v>
      </c>
      <c r="Z7" s="28">
        <v>0.1414</v>
      </c>
      <c r="AA7" s="28">
        <v>0.1246</v>
      </c>
      <c r="AB7" s="28"/>
      <c r="AC7" s="28">
        <v>0.15379999999999999</v>
      </c>
      <c r="AD7" s="28">
        <v>0.14530000000000001</v>
      </c>
      <c r="AE7" s="28">
        <v>0.10199999999999999</v>
      </c>
      <c r="AF7" s="28">
        <v>0.1</v>
      </c>
    </row>
    <row r="8" spans="2:32" ht="30.75" thickBot="1" x14ac:dyDescent="0.3">
      <c r="B8" s="3" t="s">
        <v>6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</row>
    <row r="9" spans="2:32" ht="15.75" thickBot="1" x14ac:dyDescent="0.3">
      <c r="B9" s="3" t="s">
        <v>7</v>
      </c>
      <c r="C9" s="27">
        <v>5185</v>
      </c>
      <c r="D9" s="27">
        <v>5191</v>
      </c>
      <c r="E9" s="27">
        <v>5211</v>
      </c>
      <c r="F9" s="27">
        <v>5218</v>
      </c>
      <c r="G9" s="27">
        <v>5188</v>
      </c>
      <c r="H9" s="27">
        <v>5203</v>
      </c>
      <c r="I9" s="27">
        <v>5178</v>
      </c>
      <c r="J9" s="27">
        <v>5228</v>
      </c>
      <c r="K9" s="27">
        <v>5219</v>
      </c>
      <c r="L9" s="27">
        <v>5211</v>
      </c>
      <c r="M9" s="27">
        <v>5197</v>
      </c>
      <c r="N9" s="27">
        <v>5197</v>
      </c>
      <c r="O9" s="27">
        <v>5203</v>
      </c>
      <c r="P9" s="27">
        <v>5173</v>
      </c>
      <c r="Q9" s="27">
        <v>5204</v>
      </c>
      <c r="R9" s="27">
        <v>5202</v>
      </c>
      <c r="S9" s="27">
        <v>5188</v>
      </c>
      <c r="T9" s="27">
        <v>5177</v>
      </c>
      <c r="U9" s="27">
        <v>5186</v>
      </c>
      <c r="V9" s="27">
        <v>5170</v>
      </c>
      <c r="W9" s="27">
        <v>5222</v>
      </c>
      <c r="X9" s="27">
        <v>5227</v>
      </c>
      <c r="Y9" s="27">
        <v>5230</v>
      </c>
      <c r="Z9" s="27">
        <v>5208</v>
      </c>
      <c r="AA9" s="27">
        <v>5212</v>
      </c>
      <c r="AB9" s="27">
        <v>5220</v>
      </c>
      <c r="AC9" s="27">
        <v>5238</v>
      </c>
      <c r="AD9" s="27">
        <v>5228</v>
      </c>
      <c r="AE9" s="27">
        <v>0</v>
      </c>
      <c r="AF9" s="27">
        <v>0</v>
      </c>
    </row>
  </sheetData>
  <phoneticPr fontId="2" type="noConversion"/>
  <pageMargins left="0.7" right="0.7" top="0.75" bottom="0.75" header="0.3" footer="0.3"/>
  <pageSetup paperSize="11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B1:AG13"/>
  <sheetViews>
    <sheetView workbookViewId="0">
      <pane xSplit="2" topLeftCell="C1" activePane="topRight" state="frozen"/>
      <selection pane="topRight" sqref="A1:XFD1048576"/>
    </sheetView>
  </sheetViews>
  <sheetFormatPr defaultRowHeight="15" x14ac:dyDescent="0.25"/>
  <cols>
    <col min="2" max="2" width="28.5703125" customWidth="1"/>
    <col min="3" max="33" width="10.42578125" customWidth="1"/>
  </cols>
  <sheetData>
    <row r="1" spans="2:33" ht="15.75" thickBot="1" x14ac:dyDescent="0.3"/>
    <row r="2" spans="2:33" ht="15.75" thickBot="1" x14ac:dyDescent="0.3">
      <c r="C2" s="10" t="s">
        <v>899</v>
      </c>
      <c r="D2" s="10" t="s">
        <v>900</v>
      </c>
      <c r="E2" s="10" t="s">
        <v>901</v>
      </c>
      <c r="F2" s="10" t="s">
        <v>902</v>
      </c>
      <c r="G2" s="10" t="s">
        <v>903</v>
      </c>
      <c r="H2" s="10" t="s">
        <v>904</v>
      </c>
      <c r="I2" s="10" t="s">
        <v>905</v>
      </c>
      <c r="J2" s="10" t="s">
        <v>906</v>
      </c>
      <c r="K2" s="10" t="s">
        <v>907</v>
      </c>
      <c r="L2" s="10" t="s">
        <v>908</v>
      </c>
      <c r="M2" s="10" t="s">
        <v>909</v>
      </c>
      <c r="N2" s="10" t="s">
        <v>910</v>
      </c>
      <c r="O2" s="10" t="s">
        <v>911</v>
      </c>
      <c r="P2" s="10" t="s">
        <v>912</v>
      </c>
      <c r="Q2" s="10" t="s">
        <v>913</v>
      </c>
      <c r="R2" s="10" t="s">
        <v>914</v>
      </c>
      <c r="S2" s="10" t="s">
        <v>915</v>
      </c>
      <c r="T2" s="10" t="s">
        <v>916</v>
      </c>
      <c r="U2" s="10" t="s">
        <v>917</v>
      </c>
      <c r="V2" s="10" t="s">
        <v>918</v>
      </c>
      <c r="W2" s="10" t="s">
        <v>919</v>
      </c>
      <c r="X2" s="10" t="s">
        <v>920</v>
      </c>
      <c r="Y2" s="10" t="s">
        <v>921</v>
      </c>
      <c r="Z2" s="10" t="s">
        <v>922</v>
      </c>
      <c r="AA2" s="10" t="s">
        <v>923</v>
      </c>
      <c r="AB2" s="10" t="s">
        <v>924</v>
      </c>
      <c r="AC2" s="10" t="s">
        <v>925</v>
      </c>
      <c r="AD2" s="10" t="s">
        <v>926</v>
      </c>
      <c r="AE2" s="10" t="s">
        <v>927</v>
      </c>
      <c r="AF2" s="10" t="s">
        <v>928</v>
      </c>
      <c r="AG2" s="10" t="s">
        <v>929</v>
      </c>
    </row>
    <row r="3" spans="2:33" ht="16.5" thickTop="1" thickBot="1" x14ac:dyDescent="0.3">
      <c r="B3" s="2" t="s">
        <v>1</v>
      </c>
      <c r="C3" s="28">
        <v>8.6800000000000002E-2</v>
      </c>
      <c r="D3" s="28">
        <v>0.10390000000000001</v>
      </c>
      <c r="E3" s="28">
        <v>0.1069</v>
      </c>
      <c r="F3" s="28">
        <v>0.108</v>
      </c>
      <c r="G3" s="28">
        <v>0.12790000000000001</v>
      </c>
      <c r="H3" s="28">
        <v>0.12790000000000001</v>
      </c>
      <c r="I3" s="28">
        <v>0.12809999999999999</v>
      </c>
      <c r="J3" s="28">
        <v>0.1273</v>
      </c>
      <c r="K3" s="28">
        <v>0.1246</v>
      </c>
      <c r="L3" s="28">
        <v>0.12559999999999999</v>
      </c>
      <c r="M3" s="28">
        <v>0.1133</v>
      </c>
      <c r="N3" s="28">
        <v>0.1191</v>
      </c>
      <c r="O3" s="28">
        <v>0.12859999999999999</v>
      </c>
      <c r="P3" s="28">
        <v>0.1231</v>
      </c>
      <c r="Q3" s="28">
        <v>0.12720000000000001</v>
      </c>
      <c r="R3" s="28">
        <v>0.1234</v>
      </c>
      <c r="S3" s="28">
        <v>0.1193</v>
      </c>
      <c r="T3" s="28">
        <v>0.1229</v>
      </c>
      <c r="U3" s="28">
        <v>0.1186</v>
      </c>
      <c r="V3" s="28">
        <v>0.12180000000000001</v>
      </c>
      <c r="W3" s="28">
        <v>0.13020000000000001</v>
      </c>
      <c r="X3" s="28">
        <v>0.128</v>
      </c>
      <c r="Y3" s="28">
        <v>0.12230000000000001</v>
      </c>
      <c r="Z3" s="28">
        <v>0.121</v>
      </c>
      <c r="AA3" s="28">
        <v>0.1351</v>
      </c>
      <c r="AB3" s="28">
        <v>0.1241</v>
      </c>
      <c r="AC3" s="28">
        <v>0.12379999999999999</v>
      </c>
      <c r="AD3" s="28">
        <v>0.12230000000000001</v>
      </c>
      <c r="AE3" s="28">
        <v>0.124</v>
      </c>
      <c r="AF3" s="28">
        <v>0.123</v>
      </c>
      <c r="AG3" s="28">
        <v>0.10100000000000001</v>
      </c>
    </row>
    <row r="4" spans="2:33" ht="16.5" thickTop="1" thickBot="1" x14ac:dyDescent="0.3">
      <c r="B4" s="3" t="s">
        <v>2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</row>
    <row r="5" spans="2:33" ht="15.75" thickBot="1" x14ac:dyDescent="0.3">
      <c r="B5" s="3" t="s">
        <v>3</v>
      </c>
      <c r="C5" s="28">
        <v>0.1192</v>
      </c>
      <c r="D5" s="28">
        <v>0.11</v>
      </c>
      <c r="E5" s="28">
        <v>0.11</v>
      </c>
      <c r="F5" s="28">
        <v>0.11</v>
      </c>
      <c r="G5" s="28"/>
      <c r="H5" s="28"/>
      <c r="I5" s="28">
        <v>0.14000000000000001</v>
      </c>
      <c r="J5" s="28">
        <v>0</v>
      </c>
      <c r="K5" s="28">
        <v>0.17</v>
      </c>
      <c r="L5" s="28"/>
      <c r="M5" s="28">
        <v>0.15</v>
      </c>
      <c r="N5" s="28"/>
      <c r="O5" s="28">
        <v>0.16569999999999999</v>
      </c>
      <c r="P5" s="28">
        <v>0.15</v>
      </c>
      <c r="Q5" s="28"/>
      <c r="R5" s="28"/>
      <c r="S5" s="28">
        <v>0.16</v>
      </c>
      <c r="T5" s="28"/>
      <c r="U5" s="28"/>
      <c r="V5" s="28"/>
      <c r="W5" s="28"/>
      <c r="X5" s="28">
        <v>0.17</v>
      </c>
      <c r="Y5" s="28"/>
      <c r="Z5" s="28">
        <v>0.16200000000000001</v>
      </c>
      <c r="AA5" s="28"/>
      <c r="AB5" s="28"/>
      <c r="AC5" s="28"/>
      <c r="AD5" s="28"/>
      <c r="AE5" s="28"/>
      <c r="AF5" s="28"/>
      <c r="AG5" s="28">
        <v>0.16</v>
      </c>
    </row>
    <row r="6" spans="2:33" ht="30.75" thickBot="1" x14ac:dyDescent="0.3">
      <c r="B6" s="3" t="s">
        <v>4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</row>
    <row r="7" spans="2:33" ht="15.75" thickBot="1" x14ac:dyDescent="0.3">
      <c r="B7" s="3" t="s">
        <v>5</v>
      </c>
      <c r="C7" s="28">
        <v>9.2700000000000005E-2</v>
      </c>
      <c r="D7" s="28">
        <v>0.10390000000000001</v>
      </c>
      <c r="E7" s="28"/>
      <c r="F7" s="28">
        <v>0.108</v>
      </c>
      <c r="G7" s="28">
        <v>0.125</v>
      </c>
      <c r="H7" s="28">
        <v>0.1268</v>
      </c>
      <c r="I7" s="28">
        <v>0.128</v>
      </c>
      <c r="J7" s="28">
        <v>0.1273</v>
      </c>
      <c r="K7" s="28">
        <v>0.1246</v>
      </c>
      <c r="L7" s="28">
        <v>0.12559999999999999</v>
      </c>
      <c r="M7" s="28">
        <v>0.1133</v>
      </c>
      <c r="N7" s="28">
        <v>0.12</v>
      </c>
      <c r="O7" s="28">
        <v>0.1182</v>
      </c>
      <c r="P7" s="28">
        <v>0.1182</v>
      </c>
      <c r="Q7" s="28">
        <v>0.12759999999999999</v>
      </c>
      <c r="R7" s="28">
        <v>0.1234</v>
      </c>
      <c r="S7" s="28">
        <v>0.1187</v>
      </c>
      <c r="T7" s="28">
        <v>0.1229</v>
      </c>
      <c r="U7" s="28"/>
      <c r="V7" s="28">
        <v>0.12189999999999999</v>
      </c>
      <c r="W7" s="28">
        <v>0.13020000000000001</v>
      </c>
      <c r="X7" s="28">
        <v>0.128</v>
      </c>
      <c r="Y7" s="28">
        <v>0.1225</v>
      </c>
      <c r="Z7" s="28">
        <v>0.12</v>
      </c>
      <c r="AA7" s="28">
        <v>0.1351</v>
      </c>
      <c r="AB7" s="28">
        <v>0.12230000000000001</v>
      </c>
      <c r="AC7" s="28"/>
      <c r="AD7" s="28">
        <v>0.123</v>
      </c>
      <c r="AE7" s="28">
        <v>0.125</v>
      </c>
      <c r="AF7" s="28"/>
      <c r="AG7" s="28">
        <v>0.1</v>
      </c>
    </row>
    <row r="8" spans="2:33" ht="30.75" thickBot="1" x14ac:dyDescent="0.3">
      <c r="B8" s="3" t="s">
        <v>6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</row>
    <row r="9" spans="2:33" ht="15.75" thickBot="1" x14ac:dyDescent="0.3">
      <c r="B9" s="3" t="s">
        <v>7</v>
      </c>
      <c r="C9" s="27"/>
      <c r="D9" s="27"/>
      <c r="E9" s="27">
        <v>5219</v>
      </c>
      <c r="F9" s="27">
        <v>5227</v>
      </c>
      <c r="G9" s="27">
        <v>5218</v>
      </c>
      <c r="H9" s="27">
        <v>5230</v>
      </c>
      <c r="I9" s="27">
        <v>5227</v>
      </c>
      <c r="J9" s="27">
        <v>5233</v>
      </c>
      <c r="K9" s="27">
        <v>5218</v>
      </c>
      <c r="L9" s="27">
        <v>5220</v>
      </c>
      <c r="M9" s="27">
        <v>5229</v>
      </c>
      <c r="N9" s="27">
        <v>5221</v>
      </c>
      <c r="O9" s="27">
        <v>5218</v>
      </c>
      <c r="P9" s="27">
        <v>5230</v>
      </c>
      <c r="Q9" s="27">
        <v>5211</v>
      </c>
      <c r="R9" s="27">
        <v>5226</v>
      </c>
      <c r="S9" s="27">
        <v>5231</v>
      </c>
      <c r="T9" s="27">
        <v>5218</v>
      </c>
      <c r="U9" s="27"/>
      <c r="V9" s="27"/>
      <c r="W9" s="27"/>
      <c r="X9" s="27">
        <v>5241</v>
      </c>
      <c r="Y9" s="27">
        <v>5246</v>
      </c>
      <c r="Z9" s="27">
        <v>5233</v>
      </c>
      <c r="AA9" s="27">
        <v>5241</v>
      </c>
      <c r="AB9" s="27">
        <v>5237</v>
      </c>
      <c r="AC9" s="27">
        <v>5240</v>
      </c>
      <c r="AD9" s="27">
        <v>5244</v>
      </c>
      <c r="AE9" s="27">
        <v>5221</v>
      </c>
      <c r="AF9" s="27">
        <v>5211</v>
      </c>
      <c r="AG9" s="27">
        <v>5217</v>
      </c>
    </row>
    <row r="13" spans="2:33" x14ac:dyDescent="0.25">
      <c r="AE13" t="s">
        <v>933</v>
      </c>
    </row>
  </sheetData>
  <pageMargins left="0.7" right="0.7" top="0.75" bottom="0.75" header="0.3" footer="0.3"/>
  <pageSetup paperSize="11" orientation="portrait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B1:AB9"/>
  <sheetViews>
    <sheetView workbookViewId="0">
      <selection activeCell="AC6" sqref="AC6"/>
    </sheetView>
  </sheetViews>
  <sheetFormatPr defaultRowHeight="15" x14ac:dyDescent="0.25"/>
  <cols>
    <col min="2" max="2" width="28.5703125" customWidth="1"/>
    <col min="3" max="6" width="10.42578125" customWidth="1"/>
    <col min="7" max="7" width="11.5703125" customWidth="1"/>
    <col min="8" max="28" width="10.42578125" customWidth="1"/>
  </cols>
  <sheetData>
    <row r="1" spans="2:28" ht="15.75" thickBot="1" x14ac:dyDescent="0.3"/>
    <row r="2" spans="2:28" ht="15.75" thickBot="1" x14ac:dyDescent="0.3">
      <c r="C2" s="10" t="s">
        <v>930</v>
      </c>
      <c r="D2" s="10" t="s">
        <v>931</v>
      </c>
      <c r="E2" s="10" t="s">
        <v>932</v>
      </c>
      <c r="F2" s="10" t="s">
        <v>934</v>
      </c>
      <c r="G2" s="10" t="s">
        <v>935</v>
      </c>
      <c r="H2" s="10" t="s">
        <v>936</v>
      </c>
      <c r="I2" s="10" t="s">
        <v>937</v>
      </c>
      <c r="J2" s="10" t="s">
        <v>938</v>
      </c>
      <c r="K2" s="10" t="s">
        <v>939</v>
      </c>
      <c r="L2" s="10" t="s">
        <v>940</v>
      </c>
      <c r="M2" s="10" t="s">
        <v>941</v>
      </c>
      <c r="N2" s="10" t="s">
        <v>942</v>
      </c>
      <c r="O2" s="10" t="s">
        <v>943</v>
      </c>
      <c r="P2" s="10" t="s">
        <v>944</v>
      </c>
      <c r="Q2" s="10" t="s">
        <v>945</v>
      </c>
      <c r="R2" s="10" t="s">
        <v>946</v>
      </c>
      <c r="S2" s="10" t="s">
        <v>947</v>
      </c>
      <c r="T2" s="10" t="s">
        <v>948</v>
      </c>
      <c r="U2" s="10" t="s">
        <v>949</v>
      </c>
      <c r="V2" s="10" t="s">
        <v>950</v>
      </c>
      <c r="W2" s="10" t="s">
        <v>951</v>
      </c>
      <c r="X2" s="10" t="s">
        <v>952</v>
      </c>
      <c r="Y2" s="10" t="s">
        <v>953</v>
      </c>
      <c r="Z2" s="10" t="s">
        <v>954</v>
      </c>
      <c r="AA2" s="10" t="s">
        <v>955</v>
      </c>
      <c r="AB2" s="10" t="s">
        <v>956</v>
      </c>
    </row>
    <row r="3" spans="2:28" ht="16.5" thickTop="1" thickBot="1" x14ac:dyDescent="0.3">
      <c r="B3" s="2" t="s">
        <v>1</v>
      </c>
      <c r="C3" s="28">
        <v>0.123</v>
      </c>
      <c r="D3" s="28">
        <v>0.13950000000000001</v>
      </c>
      <c r="E3" s="28">
        <v>0.1628</v>
      </c>
      <c r="F3" s="28">
        <v>0.16159999999999999</v>
      </c>
      <c r="G3" s="28">
        <v>0.15090000000000001</v>
      </c>
      <c r="H3" s="28">
        <v>0.14000000000000001</v>
      </c>
      <c r="I3" s="28">
        <v>0.1404</v>
      </c>
      <c r="J3" s="28">
        <v>0.1145</v>
      </c>
      <c r="K3" s="28">
        <v>0.1331</v>
      </c>
      <c r="L3" s="28">
        <v>0.1295</v>
      </c>
      <c r="M3" s="28">
        <v>0.13320000000000001</v>
      </c>
      <c r="N3" s="28">
        <v>0.13100000000000001</v>
      </c>
      <c r="O3" s="28">
        <v>0.13059999999999999</v>
      </c>
      <c r="P3" s="28">
        <v>0.15190000000000001</v>
      </c>
      <c r="Q3" s="28">
        <v>0.15679999999999999</v>
      </c>
      <c r="R3" s="28">
        <v>0.15920000000000001</v>
      </c>
      <c r="S3" s="28">
        <v>0.15340000000000001</v>
      </c>
      <c r="T3" s="28">
        <v>0.15190000000000001</v>
      </c>
      <c r="U3" s="28">
        <v>0.15210000000000001</v>
      </c>
      <c r="V3" s="28">
        <v>0.1517</v>
      </c>
      <c r="W3" s="28">
        <v>0.16220000000000001</v>
      </c>
      <c r="X3" s="28">
        <v>0.157</v>
      </c>
      <c r="Y3" s="28">
        <v>0.1457</v>
      </c>
      <c r="Z3" s="28">
        <v>0.15140000000000001</v>
      </c>
      <c r="AA3" s="28">
        <v>0.1512</v>
      </c>
      <c r="AB3" s="28">
        <v>0.15110000000000001</v>
      </c>
    </row>
    <row r="4" spans="2:28" ht="16.5" thickTop="1" thickBot="1" x14ac:dyDescent="0.3">
      <c r="B4" s="3" t="s">
        <v>2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</row>
    <row r="5" spans="2:28" ht="15.75" thickBot="1" x14ac:dyDescent="0.3">
      <c r="B5" s="3" t="s">
        <v>3</v>
      </c>
      <c r="C5" s="28"/>
      <c r="D5" s="28"/>
      <c r="E5" s="28">
        <v>0.2923</v>
      </c>
      <c r="F5" s="28"/>
      <c r="G5" s="28">
        <v>0.26469999999999999</v>
      </c>
      <c r="H5" s="28">
        <v>0.25</v>
      </c>
      <c r="I5" s="28"/>
      <c r="J5" s="28">
        <v>0.2515</v>
      </c>
      <c r="K5" s="28">
        <v>0.2505</v>
      </c>
      <c r="L5" s="28">
        <v>0.251</v>
      </c>
      <c r="M5" s="28">
        <v>0.251</v>
      </c>
      <c r="N5" s="28">
        <v>0.25600000000000001</v>
      </c>
      <c r="O5" s="28">
        <v>0.251</v>
      </c>
      <c r="P5" s="28"/>
      <c r="Q5" s="28">
        <v>0.251</v>
      </c>
      <c r="R5" s="28"/>
      <c r="S5" s="28"/>
      <c r="T5" s="28">
        <v>0.30359999999999998</v>
      </c>
      <c r="U5" s="28">
        <v>0.30199999999999999</v>
      </c>
      <c r="V5" s="28">
        <v>0.3</v>
      </c>
      <c r="W5" s="28">
        <v>0.30199999999999999</v>
      </c>
      <c r="X5" s="28">
        <v>0.30199999999999999</v>
      </c>
      <c r="Y5" s="28">
        <v>0.27939999999999998</v>
      </c>
      <c r="Z5" s="28">
        <v>0.2374</v>
      </c>
      <c r="AA5" s="28">
        <v>0.3075</v>
      </c>
      <c r="AB5" s="28"/>
    </row>
    <row r="6" spans="2:28" ht="30.75" thickBot="1" x14ac:dyDescent="0.3">
      <c r="B6" s="3" t="s">
        <v>4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</row>
    <row r="7" spans="2:28" ht="15.75" thickBot="1" x14ac:dyDescent="0.3">
      <c r="B7" s="3" t="s">
        <v>5</v>
      </c>
      <c r="C7" s="28">
        <v>0.123</v>
      </c>
      <c r="D7" s="28">
        <v>0.13950000000000001</v>
      </c>
      <c r="E7" s="28">
        <v>0.16289999999999999</v>
      </c>
      <c r="F7" s="28">
        <v>0.16170000000000001</v>
      </c>
      <c r="G7" s="28">
        <v>0.16320000000000001</v>
      </c>
      <c r="H7" s="28">
        <v>0.14000000000000001</v>
      </c>
      <c r="I7" s="28">
        <v>0.14530000000000001</v>
      </c>
      <c r="J7" s="28">
        <v>0.1145</v>
      </c>
      <c r="K7" s="28">
        <v>0.1313</v>
      </c>
      <c r="L7" s="28">
        <v>0.1328</v>
      </c>
      <c r="M7" s="28">
        <v>0.13100000000000001</v>
      </c>
      <c r="N7" s="28">
        <v>0.13100000000000001</v>
      </c>
      <c r="O7" s="28">
        <v>0.13100000000000001</v>
      </c>
      <c r="P7" s="28"/>
      <c r="Q7" s="28">
        <v>0.156</v>
      </c>
      <c r="R7" s="28"/>
      <c r="S7" s="28">
        <v>0.16039999999999999</v>
      </c>
      <c r="T7" s="28">
        <v>0.15329999999999999</v>
      </c>
      <c r="U7" s="28">
        <v>0.152</v>
      </c>
      <c r="V7" s="28">
        <v>0.15240000000000001</v>
      </c>
      <c r="W7" s="28">
        <v>0.16339999999999999</v>
      </c>
      <c r="X7" s="28">
        <v>0.14000000000000001</v>
      </c>
      <c r="Y7" s="28">
        <v>0.06</v>
      </c>
      <c r="Z7" s="28">
        <v>0.14829999999999999</v>
      </c>
      <c r="AA7" s="28">
        <v>0.1293</v>
      </c>
      <c r="AB7" s="28">
        <v>0.16200000000000001</v>
      </c>
    </row>
    <row r="8" spans="2:28" ht="30.75" thickBot="1" x14ac:dyDescent="0.3">
      <c r="B8" s="3" t="s">
        <v>6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</row>
    <row r="9" spans="2:28" ht="15.75" thickBot="1" x14ac:dyDescent="0.3">
      <c r="B9" s="3" t="s">
        <v>7</v>
      </c>
      <c r="C9" s="27">
        <v>5223</v>
      </c>
      <c r="D9" s="27">
        <v>5237</v>
      </c>
      <c r="E9" s="27">
        <v>5231</v>
      </c>
      <c r="F9" s="27">
        <v>5230</v>
      </c>
      <c r="G9" s="27">
        <v>5213</v>
      </c>
      <c r="H9" s="27">
        <v>5248</v>
      </c>
      <c r="I9" s="27">
        <v>5257</v>
      </c>
      <c r="J9" s="27">
        <v>5260</v>
      </c>
      <c r="K9" s="27">
        <v>5281</v>
      </c>
      <c r="L9" s="27">
        <v>5288</v>
      </c>
      <c r="M9" s="27">
        <v>5293</v>
      </c>
      <c r="N9" s="27">
        <v>5281</v>
      </c>
      <c r="O9" s="27">
        <v>5291</v>
      </c>
      <c r="P9" s="27">
        <v>5293</v>
      </c>
      <c r="Q9" s="27">
        <v>5302</v>
      </c>
      <c r="R9" s="27">
        <v>5307</v>
      </c>
      <c r="S9" s="27">
        <v>5311</v>
      </c>
      <c r="T9" s="27">
        <v>5304</v>
      </c>
      <c r="U9" s="27">
        <v>5307</v>
      </c>
      <c r="V9" s="27">
        <v>5310</v>
      </c>
      <c r="W9" s="27">
        <v>5308</v>
      </c>
      <c r="X9" s="27">
        <v>5313</v>
      </c>
      <c r="Y9" s="27">
        <v>5316</v>
      </c>
      <c r="Z9" s="27">
        <v>5319</v>
      </c>
      <c r="AA9" s="27">
        <v>5314</v>
      </c>
      <c r="AB9" s="27">
        <v>5322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B1:H22"/>
  <sheetViews>
    <sheetView workbookViewId="0">
      <selection activeCell="U10" sqref="U10"/>
    </sheetView>
  </sheetViews>
  <sheetFormatPr defaultRowHeight="15" x14ac:dyDescent="0.25"/>
  <cols>
    <col min="3" max="3" width="28.5703125" customWidth="1"/>
    <col min="4" max="6" width="10.42578125" customWidth="1"/>
    <col min="7" max="7" width="10.140625" bestFit="1" customWidth="1"/>
    <col min="8" max="8" width="11" customWidth="1"/>
  </cols>
  <sheetData>
    <row r="1" spans="2:8" ht="15.75" thickBot="1" x14ac:dyDescent="0.3"/>
    <row r="2" spans="2:8" ht="15.75" thickBot="1" x14ac:dyDescent="0.3">
      <c r="B2" s="94" t="s">
        <v>964</v>
      </c>
      <c r="C2" s="96" t="s">
        <v>961</v>
      </c>
      <c r="D2" s="97" t="s">
        <v>962</v>
      </c>
      <c r="E2" s="97" t="str">
        <f t="shared" ref="E2:H2" si="0">E13</f>
        <v>28.08.2024</v>
      </c>
      <c r="F2" s="97" t="str">
        <f t="shared" si="0"/>
        <v>29.08.2024</v>
      </c>
      <c r="G2" s="97" t="str">
        <f t="shared" si="0"/>
        <v>30.08.2024</v>
      </c>
      <c r="H2" s="97" t="str">
        <f t="shared" si="0"/>
        <v>31.08.2024</v>
      </c>
    </row>
    <row r="3" spans="2:8" x14ac:dyDescent="0.25">
      <c r="B3" s="203" t="s">
        <v>958</v>
      </c>
      <c r="C3" s="71" t="s">
        <v>957</v>
      </c>
      <c r="D3" s="72"/>
      <c r="E3" s="72"/>
      <c r="F3" s="72"/>
      <c r="G3" s="72">
        <v>0.122</v>
      </c>
      <c r="H3" s="72">
        <v>0.1215</v>
      </c>
    </row>
    <row r="4" spans="2:8" x14ac:dyDescent="0.25">
      <c r="B4" s="204"/>
      <c r="C4" s="73" t="s">
        <v>339</v>
      </c>
      <c r="D4" s="74"/>
      <c r="E4" s="74"/>
      <c r="F4" s="74"/>
      <c r="G4" s="74">
        <v>0.83</v>
      </c>
      <c r="H4" s="74">
        <v>0.83050000000000002</v>
      </c>
    </row>
    <row r="5" spans="2:8" ht="15.75" thickBot="1" x14ac:dyDescent="0.3">
      <c r="B5" s="205"/>
      <c r="C5" s="73" t="s">
        <v>338</v>
      </c>
      <c r="D5" s="74"/>
      <c r="E5" s="74"/>
      <c r="F5" s="74"/>
      <c r="G5" s="74">
        <v>4.8000000000000001E-2</v>
      </c>
      <c r="H5" s="74">
        <v>4.8000000000000001E-2</v>
      </c>
    </row>
    <row r="6" spans="2:8" x14ac:dyDescent="0.25">
      <c r="B6" s="203" t="s">
        <v>959</v>
      </c>
      <c r="C6" s="75" t="s">
        <v>957</v>
      </c>
      <c r="D6" s="74"/>
      <c r="E6" s="74"/>
      <c r="F6" s="74"/>
      <c r="G6" s="74"/>
      <c r="H6" s="74"/>
    </row>
    <row r="7" spans="2:8" x14ac:dyDescent="0.25">
      <c r="B7" s="204"/>
      <c r="C7" s="73" t="s">
        <v>339</v>
      </c>
      <c r="D7" s="74"/>
      <c r="E7" s="74"/>
      <c r="F7" s="74"/>
      <c r="G7" s="74"/>
      <c r="H7" s="74"/>
    </row>
    <row r="8" spans="2:8" ht="15.75" thickBot="1" x14ac:dyDescent="0.3">
      <c r="B8" s="205"/>
      <c r="C8" s="73" t="s">
        <v>338</v>
      </c>
      <c r="D8" s="74"/>
      <c r="E8" s="74"/>
      <c r="F8" s="74"/>
      <c r="G8" s="74"/>
      <c r="H8" s="74"/>
    </row>
    <row r="9" spans="2:8" x14ac:dyDescent="0.25">
      <c r="B9" s="203" t="s">
        <v>960</v>
      </c>
      <c r="C9" s="76" t="s">
        <v>957</v>
      </c>
      <c r="D9" s="70"/>
      <c r="E9" s="70"/>
      <c r="F9" s="70"/>
      <c r="G9" s="70"/>
      <c r="H9" s="70"/>
    </row>
    <row r="10" spans="2:8" x14ac:dyDescent="0.25">
      <c r="B10" s="204"/>
      <c r="C10" s="77" t="s">
        <v>339</v>
      </c>
      <c r="D10" s="78"/>
      <c r="E10" s="78"/>
      <c r="F10" s="78"/>
      <c r="G10" s="78"/>
      <c r="H10" s="78"/>
    </row>
    <row r="11" spans="2:8" ht="15.75" thickBot="1" x14ac:dyDescent="0.3">
      <c r="B11" s="205"/>
      <c r="C11" s="79" t="s">
        <v>338</v>
      </c>
      <c r="D11" s="80"/>
      <c r="E11" s="80"/>
      <c r="F11" s="80"/>
      <c r="G11" s="80"/>
      <c r="H11" s="80"/>
    </row>
    <row r="12" spans="2:8" ht="15.75" thickBot="1" x14ac:dyDescent="0.3"/>
    <row r="13" spans="2:8" ht="15.75" thickBot="1" x14ac:dyDescent="0.3">
      <c r="B13" s="95" t="s">
        <v>964</v>
      </c>
      <c r="C13" s="94" t="s">
        <v>963</v>
      </c>
      <c r="D13" s="94" t="s">
        <v>962</v>
      </c>
      <c r="E13" s="94" t="s">
        <v>965</v>
      </c>
      <c r="F13" s="94" t="s">
        <v>966</v>
      </c>
      <c r="G13" s="94" t="s">
        <v>967</v>
      </c>
      <c r="H13" s="94" t="s">
        <v>968</v>
      </c>
    </row>
    <row r="14" spans="2:8" x14ac:dyDescent="0.25">
      <c r="B14" s="206" t="s">
        <v>958</v>
      </c>
      <c r="C14" s="81" t="s">
        <v>957</v>
      </c>
      <c r="D14" s="82">
        <v>0.13619999999999999</v>
      </c>
      <c r="E14" s="82">
        <v>0.13700000000000001</v>
      </c>
      <c r="F14" s="82">
        <v>0.13700000000000001</v>
      </c>
      <c r="G14" s="82">
        <v>0.12130000000000001</v>
      </c>
      <c r="H14" s="82">
        <v>0.122</v>
      </c>
    </row>
    <row r="15" spans="2:8" x14ac:dyDescent="0.25">
      <c r="B15" s="207"/>
      <c r="C15" s="83" t="s">
        <v>339</v>
      </c>
      <c r="D15" s="84">
        <v>0.81579999999999997</v>
      </c>
      <c r="E15" s="84">
        <v>0.81499999999999995</v>
      </c>
      <c r="F15" s="84">
        <v>0.81499999999999995</v>
      </c>
      <c r="G15" s="84">
        <v>0.83069999999999999</v>
      </c>
      <c r="H15" s="84">
        <v>0.83</v>
      </c>
    </row>
    <row r="16" spans="2:8" ht="15.75" thickBot="1" x14ac:dyDescent="0.3">
      <c r="B16" s="208"/>
      <c r="C16" s="83" t="s">
        <v>338</v>
      </c>
      <c r="D16" s="84">
        <v>4.8000000000000001E-2</v>
      </c>
      <c r="E16" s="84">
        <v>4.8000000000000001E-2</v>
      </c>
      <c r="F16" s="84">
        <v>4.8000000000000001E-2</v>
      </c>
      <c r="G16" s="84">
        <v>4.8000000000000001E-2</v>
      </c>
      <c r="H16" s="84">
        <v>4.8000000000000001E-2</v>
      </c>
    </row>
    <row r="17" spans="2:8" x14ac:dyDescent="0.25">
      <c r="B17" s="209" t="s">
        <v>959</v>
      </c>
      <c r="C17" s="85" t="s">
        <v>957</v>
      </c>
      <c r="D17" s="86">
        <v>0.122</v>
      </c>
      <c r="E17" s="86">
        <v>0.13700000000000001</v>
      </c>
      <c r="F17" s="86"/>
      <c r="G17" s="86">
        <v>0.12130000000000001</v>
      </c>
      <c r="H17" s="86"/>
    </row>
    <row r="18" spans="2:8" x14ac:dyDescent="0.25">
      <c r="B18" s="210"/>
      <c r="C18" s="87" t="s">
        <v>339</v>
      </c>
      <c r="D18" s="86">
        <v>0.83</v>
      </c>
      <c r="E18" s="86">
        <v>0.81599999999999995</v>
      </c>
      <c r="F18" s="86"/>
      <c r="G18" s="86">
        <v>0.83069999999999999</v>
      </c>
      <c r="H18" s="86"/>
    </row>
    <row r="19" spans="2:8" ht="15.75" thickBot="1" x14ac:dyDescent="0.3">
      <c r="B19" s="211"/>
      <c r="C19" s="87" t="s">
        <v>338</v>
      </c>
      <c r="D19" s="86">
        <v>4.8000000000000001E-2</v>
      </c>
      <c r="E19" s="86">
        <v>4.7039999999999998E-2</v>
      </c>
      <c r="F19" s="86"/>
      <c r="G19" s="86">
        <v>4.8000000000000001E-2</v>
      </c>
      <c r="H19" s="86"/>
    </row>
    <row r="20" spans="2:8" x14ac:dyDescent="0.25">
      <c r="B20" s="200" t="s">
        <v>960</v>
      </c>
      <c r="C20" s="88" t="s">
        <v>957</v>
      </c>
      <c r="D20" s="89">
        <v>0.30199999999999999</v>
      </c>
      <c r="E20" s="89">
        <v>0.30199999999999999</v>
      </c>
      <c r="F20" s="89"/>
      <c r="G20" s="89">
        <v>0.30170000000000002</v>
      </c>
      <c r="H20" s="89"/>
    </row>
    <row r="21" spans="2:8" x14ac:dyDescent="0.25">
      <c r="B21" s="201"/>
      <c r="C21" s="90" t="s">
        <v>339</v>
      </c>
      <c r="D21" s="91">
        <v>0.65</v>
      </c>
      <c r="E21" s="91">
        <v>0.65010000000000001</v>
      </c>
      <c r="F21" s="91"/>
      <c r="G21" s="89">
        <v>0.65029999999999999</v>
      </c>
      <c r="H21" s="89"/>
    </row>
    <row r="22" spans="2:8" ht="15.75" thickBot="1" x14ac:dyDescent="0.3">
      <c r="B22" s="202"/>
      <c r="C22" s="92" t="s">
        <v>338</v>
      </c>
      <c r="D22" s="93">
        <v>4.8000000000000001E-2</v>
      </c>
      <c r="E22" s="93">
        <v>4.7899999999999998E-2</v>
      </c>
      <c r="F22" s="93"/>
      <c r="G22" s="93">
        <v>4.8000000000000001E-2</v>
      </c>
      <c r="H22" s="93"/>
    </row>
  </sheetData>
  <mergeCells count="6">
    <mergeCell ref="B20:B22"/>
    <mergeCell ref="B3:B5"/>
    <mergeCell ref="B6:B8"/>
    <mergeCell ref="B9:B11"/>
    <mergeCell ref="B14:B16"/>
    <mergeCell ref="B17:B19"/>
  </mergeCells>
  <pageMargins left="0.7" right="0.7" top="0.75" bottom="0.75" header="0.3" footer="0.3"/>
  <pageSetup orientation="portrait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1:AG46"/>
  <sheetViews>
    <sheetView topLeftCell="A6" workbookViewId="0">
      <pane xSplit="3" topLeftCell="D1" activePane="topRight" state="frozen"/>
      <selection pane="topRight" activeCell="A10" sqref="A10:XFD10"/>
    </sheetView>
  </sheetViews>
  <sheetFormatPr defaultRowHeight="15" x14ac:dyDescent="0.25"/>
  <cols>
    <col min="3" max="3" width="28.5703125" customWidth="1"/>
    <col min="4" max="33" width="10.140625" bestFit="1" customWidth="1"/>
  </cols>
  <sheetData>
    <row r="1" spans="2:33" ht="15.75" thickBot="1" x14ac:dyDescent="0.3"/>
    <row r="2" spans="2:33" ht="15.75" thickBot="1" x14ac:dyDescent="0.3">
      <c r="B2" s="94" t="s">
        <v>964</v>
      </c>
      <c r="C2" s="96" t="s">
        <v>961</v>
      </c>
      <c r="D2" s="97" t="str">
        <f t="shared" ref="D2:M2" si="0">D13</f>
        <v>01.09.2024</v>
      </c>
      <c r="E2" s="97" t="str">
        <f t="shared" si="0"/>
        <v>02.09.2024</v>
      </c>
      <c r="F2" s="97" t="str">
        <f t="shared" si="0"/>
        <v>03.09.2024</v>
      </c>
      <c r="G2" s="97" t="str">
        <f t="shared" si="0"/>
        <v>04.09.2024</v>
      </c>
      <c r="H2" s="97" t="str">
        <f t="shared" si="0"/>
        <v>05.09.2024</v>
      </c>
      <c r="I2" s="97" t="str">
        <f t="shared" si="0"/>
        <v>06.09.2024</v>
      </c>
      <c r="J2" s="97" t="str">
        <f t="shared" si="0"/>
        <v>07.09.2024</v>
      </c>
      <c r="K2" s="97" t="str">
        <f t="shared" si="0"/>
        <v>08.09.2024</v>
      </c>
      <c r="L2" s="97" t="str">
        <f t="shared" si="0"/>
        <v>09.09.2024</v>
      </c>
      <c r="M2" s="97" t="str">
        <f t="shared" si="0"/>
        <v>10.09.2024</v>
      </c>
      <c r="N2" s="97" t="str">
        <f t="shared" ref="N2:O2" si="1">N13</f>
        <v>11.09.2024</v>
      </c>
      <c r="O2" s="97" t="str">
        <f t="shared" si="1"/>
        <v>12.09.2024</v>
      </c>
      <c r="P2" s="97" t="str">
        <f t="shared" ref="P2:S2" si="2">P13</f>
        <v>13.09.2024</v>
      </c>
      <c r="Q2" s="97" t="str">
        <f t="shared" si="2"/>
        <v>14.09.2024</v>
      </c>
      <c r="R2" s="97" t="str">
        <f t="shared" si="2"/>
        <v>15.09.2024</v>
      </c>
      <c r="S2" s="97" t="str">
        <f t="shared" si="2"/>
        <v>16.09.2024</v>
      </c>
      <c r="T2" s="97" t="str">
        <f t="shared" ref="T2:U2" si="3">T13</f>
        <v>17.09.2024</v>
      </c>
      <c r="U2" s="97" t="str">
        <f t="shared" si="3"/>
        <v>18.09.2024</v>
      </c>
      <c r="V2" s="97" t="str">
        <f t="shared" ref="V2:W2" si="4">V13</f>
        <v>19.09.2024</v>
      </c>
      <c r="W2" s="97" t="str">
        <f t="shared" si="4"/>
        <v>20.09.2024</v>
      </c>
      <c r="X2" s="97" t="str">
        <f t="shared" ref="X2:Y2" si="5">X13</f>
        <v>21.09.2024</v>
      </c>
      <c r="Y2" s="97" t="str">
        <f t="shared" si="5"/>
        <v>22.09.2024</v>
      </c>
      <c r="Z2" s="97" t="str">
        <f t="shared" ref="Z2:AA2" si="6">Z13</f>
        <v>23.09.2024</v>
      </c>
      <c r="AA2" s="97" t="str">
        <f t="shared" si="6"/>
        <v>24.09.2024</v>
      </c>
      <c r="AB2" s="97" t="str">
        <f t="shared" ref="AB2:AC2" si="7">AB13</f>
        <v>25.09.2024</v>
      </c>
      <c r="AC2" s="97" t="str">
        <f t="shared" si="7"/>
        <v>26.09.2024</v>
      </c>
      <c r="AD2" s="97" t="str">
        <f t="shared" ref="AD2:AE2" si="8">AD13</f>
        <v>27.09.2024</v>
      </c>
      <c r="AE2" s="97" t="str">
        <f t="shared" si="8"/>
        <v>28.09.2024</v>
      </c>
      <c r="AF2" s="97" t="str">
        <f t="shared" ref="AF2:AG2" si="9">AF13</f>
        <v>29.09.2024</v>
      </c>
      <c r="AG2" s="97" t="str">
        <f t="shared" si="9"/>
        <v>30.09.2024</v>
      </c>
    </row>
    <row r="3" spans="2:33" x14ac:dyDescent="0.25">
      <c r="B3" s="203" t="s">
        <v>958</v>
      </c>
      <c r="C3" s="71" t="s">
        <v>957</v>
      </c>
      <c r="D3" s="72">
        <v>0.12180000000000001</v>
      </c>
      <c r="E3" s="72"/>
      <c r="F3" s="72"/>
      <c r="G3" s="72">
        <v>0.14430000000000001</v>
      </c>
      <c r="H3" s="72"/>
      <c r="I3" s="72">
        <v>0.13239999999999999</v>
      </c>
      <c r="J3" s="72"/>
      <c r="K3" s="72"/>
      <c r="L3" s="72">
        <v>0.13250000000000001</v>
      </c>
      <c r="M3" s="72">
        <v>0.15129999999999999</v>
      </c>
      <c r="N3" s="72">
        <v>0.14149999999999999</v>
      </c>
      <c r="O3" s="72">
        <v>0.12039999999999999</v>
      </c>
      <c r="P3" s="72">
        <v>0.14130000000000001</v>
      </c>
      <c r="Q3" s="72">
        <v>0.17219999999999999</v>
      </c>
      <c r="R3" s="72">
        <v>0.16239999999999999</v>
      </c>
      <c r="S3" s="72">
        <v>0.17199999999999999</v>
      </c>
      <c r="T3" s="72">
        <v>0.16220000000000001</v>
      </c>
      <c r="U3" s="72">
        <v>0.1525</v>
      </c>
      <c r="V3" s="72">
        <v>0.15229999999999999</v>
      </c>
      <c r="W3" s="72">
        <v>0.14269999999999999</v>
      </c>
      <c r="X3" s="72">
        <v>0.13950000000000001</v>
      </c>
      <c r="Y3" s="72">
        <v>0.1356</v>
      </c>
      <c r="Z3" s="72">
        <v>0.1618</v>
      </c>
      <c r="AA3" s="72">
        <v>0.14680000000000001</v>
      </c>
      <c r="AB3" s="72">
        <v>0.13389999999999999</v>
      </c>
      <c r="AC3" s="72">
        <v>0.1323</v>
      </c>
      <c r="AD3" s="72">
        <v>0.15640000000000001</v>
      </c>
      <c r="AE3" s="72">
        <v>0.16200000000000001</v>
      </c>
      <c r="AF3" s="72">
        <v>0.15959999999999999</v>
      </c>
      <c r="AG3" s="72">
        <v>0.15679999999999999</v>
      </c>
    </row>
    <row r="4" spans="2:33" x14ac:dyDescent="0.25">
      <c r="B4" s="204"/>
      <c r="C4" s="73" t="s">
        <v>339</v>
      </c>
      <c r="D4" s="74">
        <v>0.83020000000000005</v>
      </c>
      <c r="E4" s="74"/>
      <c r="F4" s="74"/>
      <c r="G4" s="74">
        <v>0.80820000000000003</v>
      </c>
      <c r="H4" s="74"/>
      <c r="I4" s="74">
        <v>0.82030000000000003</v>
      </c>
      <c r="J4" s="74"/>
      <c r="K4" s="74"/>
      <c r="L4" s="74">
        <v>0.81979999999999997</v>
      </c>
      <c r="M4" s="74">
        <v>0.79979999999999996</v>
      </c>
      <c r="N4" s="74">
        <v>0.81079999999999997</v>
      </c>
      <c r="O4" s="74">
        <v>0.83160000000000001</v>
      </c>
      <c r="P4" s="74">
        <v>0.81100000000000005</v>
      </c>
      <c r="Q4" s="74">
        <v>0.77980000000000005</v>
      </c>
      <c r="R4" s="74">
        <v>0.78990000000000005</v>
      </c>
      <c r="S4" s="74">
        <v>0.78</v>
      </c>
      <c r="T4" s="74">
        <v>0.7893</v>
      </c>
      <c r="U4" s="74">
        <v>0.79990000000000006</v>
      </c>
      <c r="V4" s="74">
        <v>0.8</v>
      </c>
      <c r="W4" s="74">
        <v>0.80979999999999996</v>
      </c>
      <c r="X4" s="74">
        <v>0.81220000000000003</v>
      </c>
      <c r="Y4" s="74">
        <v>0.81589999999999996</v>
      </c>
      <c r="Z4" s="74">
        <v>0.79039999999999999</v>
      </c>
      <c r="AA4" s="74">
        <v>0.80320000000000003</v>
      </c>
      <c r="AB4" s="74">
        <v>0.81840000000000002</v>
      </c>
      <c r="AC4" s="74">
        <v>0.81969999999999998</v>
      </c>
      <c r="AD4" s="74">
        <v>0.79559999999999997</v>
      </c>
      <c r="AE4" s="74">
        <v>0.79</v>
      </c>
      <c r="AF4" s="74">
        <v>0.79269999999999996</v>
      </c>
      <c r="AG4" s="74">
        <v>0.79530000000000001</v>
      </c>
    </row>
    <row r="5" spans="2:33" ht="15.75" thickBot="1" x14ac:dyDescent="0.3">
      <c r="B5" s="205"/>
      <c r="C5" s="73" t="s">
        <v>338</v>
      </c>
      <c r="D5" s="74">
        <v>4.8000000000000001E-2</v>
      </c>
      <c r="E5" s="74"/>
      <c r="F5" s="74"/>
      <c r="G5" s="74">
        <v>4.7579999999999997E-2</v>
      </c>
      <c r="H5" s="74"/>
      <c r="I5" s="74">
        <v>4.7399999999999998E-2</v>
      </c>
      <c r="J5" s="74"/>
      <c r="K5" s="74"/>
      <c r="L5" s="74">
        <v>4.7699999999999999E-2</v>
      </c>
      <c r="M5" s="74">
        <v>4.8899999999999999E-2</v>
      </c>
      <c r="N5" s="74">
        <v>4.7600000000000003E-2</v>
      </c>
      <c r="O5" s="74">
        <v>4.8099999999999997E-2</v>
      </c>
      <c r="P5" s="74">
        <v>4.7699999999999999E-2</v>
      </c>
      <c r="Q5" s="74">
        <v>4.8000000000000001E-2</v>
      </c>
      <c r="R5" s="74">
        <v>4.7699999999999999E-2</v>
      </c>
      <c r="S5" s="74">
        <v>4.8000000000000001E-2</v>
      </c>
      <c r="T5" s="74">
        <v>4.8399999999999999E-2</v>
      </c>
      <c r="U5" s="74">
        <v>4.7600000000000003E-2</v>
      </c>
      <c r="V5" s="74">
        <v>4.7699999999999999E-2</v>
      </c>
      <c r="W5" s="74">
        <v>4.7600000000000003E-2</v>
      </c>
      <c r="X5" s="74">
        <v>4.8300000000000003E-2</v>
      </c>
      <c r="Y5" s="74">
        <v>4.8500000000000001E-2</v>
      </c>
      <c r="Z5" s="74">
        <v>4.7899999999999998E-2</v>
      </c>
      <c r="AA5" s="74">
        <v>0.05</v>
      </c>
      <c r="AB5" s="74">
        <v>4.7699999999999999E-2</v>
      </c>
      <c r="AC5" s="74">
        <v>4.8000000000000001E-2</v>
      </c>
      <c r="AD5" s="74">
        <v>4.8000000000000001E-2</v>
      </c>
      <c r="AE5" s="74">
        <v>4.8000000000000001E-2</v>
      </c>
      <c r="AF5" s="74">
        <v>4.7699999999999999E-2</v>
      </c>
      <c r="AG5" s="74">
        <v>4.7899999999999998E-2</v>
      </c>
    </row>
    <row r="6" spans="2:33" x14ac:dyDescent="0.25">
      <c r="B6" s="203" t="s">
        <v>959</v>
      </c>
      <c r="C6" s="75" t="s">
        <v>957</v>
      </c>
      <c r="D6" s="74"/>
      <c r="E6" s="74"/>
      <c r="F6" s="86">
        <v>0.1225</v>
      </c>
      <c r="G6" s="86"/>
      <c r="H6" s="86"/>
      <c r="I6" s="86">
        <v>0.14380000000000001</v>
      </c>
      <c r="J6" s="86"/>
      <c r="K6" s="86"/>
      <c r="L6" s="86"/>
      <c r="M6" s="86">
        <v>0.15140000000000001</v>
      </c>
      <c r="N6" s="86">
        <v>0.14149999999999999</v>
      </c>
      <c r="O6" s="86">
        <v>0.1181</v>
      </c>
      <c r="P6" s="86">
        <v>0.1434</v>
      </c>
      <c r="Q6" s="86"/>
      <c r="R6" s="86">
        <v>0.1658</v>
      </c>
      <c r="S6" s="86"/>
      <c r="T6" s="86"/>
      <c r="U6" s="86"/>
      <c r="V6" s="86"/>
      <c r="W6" s="86">
        <v>0.1421</v>
      </c>
      <c r="X6" s="86">
        <v>0.14649999999999999</v>
      </c>
      <c r="Y6" s="86">
        <v>0.13600000000000001</v>
      </c>
      <c r="Z6" s="86">
        <v>0.16200000000000001</v>
      </c>
      <c r="AA6" s="86">
        <v>0.1467</v>
      </c>
      <c r="AB6" s="86">
        <v>0.1333</v>
      </c>
      <c r="AC6" s="86"/>
      <c r="AD6" s="86"/>
      <c r="AE6" s="86">
        <v>0.79</v>
      </c>
      <c r="AF6" s="86"/>
      <c r="AG6" s="86"/>
    </row>
    <row r="7" spans="2:33" x14ac:dyDescent="0.25">
      <c r="B7" s="204"/>
      <c r="C7" s="73" t="s">
        <v>339</v>
      </c>
      <c r="D7" s="74"/>
      <c r="E7" s="74"/>
      <c r="F7" s="86">
        <v>0.83</v>
      </c>
      <c r="G7" s="86"/>
      <c r="H7" s="86"/>
      <c r="I7" s="86">
        <v>0.80830000000000002</v>
      </c>
      <c r="J7" s="86"/>
      <c r="K7" s="86"/>
      <c r="L7" s="86"/>
      <c r="M7" s="86">
        <v>0.79969999999999997</v>
      </c>
      <c r="N7" s="86">
        <v>0.8105</v>
      </c>
      <c r="O7" s="86">
        <v>0.83330000000000004</v>
      </c>
      <c r="P7" s="86">
        <v>0.80920000000000003</v>
      </c>
      <c r="Q7" s="86"/>
      <c r="R7" s="86">
        <v>0.7863</v>
      </c>
      <c r="S7" s="86"/>
      <c r="T7" s="86"/>
      <c r="U7" s="86"/>
      <c r="V7" s="86"/>
      <c r="W7" s="86">
        <v>0.8105</v>
      </c>
      <c r="X7" s="86">
        <v>0.80559999999999998</v>
      </c>
      <c r="Y7" s="86">
        <v>0.81599999999999995</v>
      </c>
      <c r="Z7" s="86">
        <v>0.79</v>
      </c>
      <c r="AA7" s="86">
        <v>0.80330000000000001</v>
      </c>
      <c r="AB7" s="86">
        <v>0.81820000000000004</v>
      </c>
      <c r="AC7" s="86"/>
      <c r="AD7" s="86"/>
      <c r="AE7" s="86">
        <v>0.16200000000000001</v>
      </c>
      <c r="AF7" s="86"/>
      <c r="AG7" s="86"/>
    </row>
    <row r="8" spans="2:33" ht="15.75" thickBot="1" x14ac:dyDescent="0.3">
      <c r="B8" s="205"/>
      <c r="C8" s="73" t="s">
        <v>338</v>
      </c>
      <c r="D8" s="74"/>
      <c r="E8" s="74"/>
      <c r="F8" s="86">
        <v>4.7500000000000001E-2</v>
      </c>
      <c r="G8" s="86"/>
      <c r="H8" s="86"/>
      <c r="I8" s="86">
        <v>4.7899999999999998E-2</v>
      </c>
      <c r="J8" s="86"/>
      <c r="K8" s="86"/>
      <c r="L8" s="86"/>
      <c r="M8" s="86">
        <v>4.9000000000000002E-2</v>
      </c>
      <c r="N8" s="86">
        <v>4.8000000000000001E-2</v>
      </c>
      <c r="O8" s="86">
        <v>4.8599999999999997E-2</v>
      </c>
      <c r="P8" s="86">
        <v>4.7399999999999998E-2</v>
      </c>
      <c r="Q8" s="86"/>
      <c r="R8" s="86">
        <v>4.7899999999999998E-2</v>
      </c>
      <c r="S8" s="86"/>
      <c r="T8" s="86"/>
      <c r="U8" s="86"/>
      <c r="V8" s="86"/>
      <c r="W8" s="86">
        <v>4.7399999999999998E-2</v>
      </c>
      <c r="X8" s="86">
        <v>4.7899999999999998E-2</v>
      </c>
      <c r="Y8" s="86">
        <v>4.8000000000000001E-2</v>
      </c>
      <c r="Z8" s="86">
        <v>4.8000000000000001E-2</v>
      </c>
      <c r="AA8" s="86">
        <v>0.05</v>
      </c>
      <c r="AB8" s="86">
        <v>4.8500000000000001E-2</v>
      </c>
      <c r="AC8" s="86"/>
      <c r="AD8" s="86"/>
      <c r="AE8" s="86">
        <v>4.8000000000000001E-2</v>
      </c>
      <c r="AF8" s="86"/>
      <c r="AG8" s="86"/>
    </row>
    <row r="9" spans="2:33" x14ac:dyDescent="0.25">
      <c r="B9" s="203" t="s">
        <v>960</v>
      </c>
      <c r="C9" s="76" t="s">
        <v>957</v>
      </c>
      <c r="D9" s="70"/>
      <c r="E9" s="70"/>
      <c r="F9" s="89">
        <v>0.30199999999999999</v>
      </c>
      <c r="G9" s="89">
        <v>0.29880000000000001</v>
      </c>
      <c r="H9" s="89"/>
      <c r="I9" s="89"/>
      <c r="J9" s="89"/>
      <c r="K9" s="89"/>
      <c r="L9" s="89"/>
      <c r="M9" s="89"/>
      <c r="N9" s="89">
        <v>0.27200000000000002</v>
      </c>
      <c r="O9" s="89">
        <v>0.27</v>
      </c>
      <c r="P9" s="89">
        <v>0.27750000000000002</v>
      </c>
      <c r="Q9" s="89"/>
      <c r="R9" s="89">
        <v>0.28639999999999999</v>
      </c>
      <c r="S9" s="89"/>
      <c r="T9" s="89"/>
      <c r="U9" s="89"/>
      <c r="V9" s="89"/>
      <c r="W9" s="89"/>
      <c r="X9" s="89">
        <v>0.27400000000000002</v>
      </c>
      <c r="Y9" s="89">
        <v>0.27329999999999999</v>
      </c>
      <c r="Z9" s="89">
        <v>0.28199999999999997</v>
      </c>
      <c r="AA9" s="89">
        <v>0.27</v>
      </c>
      <c r="AB9" s="89">
        <v>0.27</v>
      </c>
      <c r="AC9" s="89"/>
      <c r="AD9" s="89"/>
      <c r="AE9" s="89">
        <v>0.27</v>
      </c>
      <c r="AF9" s="89">
        <v>0.25</v>
      </c>
      <c r="AG9" s="89"/>
    </row>
    <row r="10" spans="2:33" x14ac:dyDescent="0.25">
      <c r="B10" s="204"/>
      <c r="C10" s="77" t="s">
        <v>339</v>
      </c>
      <c r="D10" s="78"/>
      <c r="E10" s="78"/>
      <c r="F10" s="89">
        <v>0.65</v>
      </c>
      <c r="G10" s="89">
        <v>0.65239999999999998</v>
      </c>
      <c r="H10" s="89"/>
      <c r="I10" s="89"/>
      <c r="J10" s="89"/>
      <c r="K10" s="89"/>
      <c r="L10" s="89"/>
      <c r="M10" s="89"/>
      <c r="N10" s="89">
        <v>0.68</v>
      </c>
      <c r="O10" s="89">
        <v>0.68200000000000005</v>
      </c>
      <c r="P10" s="89">
        <v>0.67500000000000004</v>
      </c>
      <c r="Q10" s="89"/>
      <c r="R10" s="89">
        <v>0.66669999999999996</v>
      </c>
      <c r="S10" s="89"/>
      <c r="T10" s="89"/>
      <c r="U10" s="89"/>
      <c r="V10" s="89"/>
      <c r="W10" s="89"/>
      <c r="X10" s="89">
        <v>0.67810000000000004</v>
      </c>
      <c r="Y10" s="89">
        <v>0.67869999999999997</v>
      </c>
      <c r="Z10" s="89">
        <v>0.67</v>
      </c>
      <c r="AA10" s="89">
        <v>0.68</v>
      </c>
      <c r="AB10" s="89">
        <v>0.68200000000000005</v>
      </c>
      <c r="AC10" s="89"/>
      <c r="AD10" s="89"/>
      <c r="AE10" s="89">
        <v>0.68200000000000005</v>
      </c>
      <c r="AF10" s="89">
        <v>0.70199999999999996</v>
      </c>
      <c r="AG10" s="89"/>
    </row>
    <row r="11" spans="2:33" ht="15.75" thickBot="1" x14ac:dyDescent="0.3">
      <c r="B11" s="205"/>
      <c r="C11" s="79" t="s">
        <v>338</v>
      </c>
      <c r="D11" s="80"/>
      <c r="E11" s="80"/>
      <c r="F11" s="89">
        <v>4.8000000000000001E-2</v>
      </c>
      <c r="G11" s="89">
        <v>4.8779999999999997E-2</v>
      </c>
      <c r="H11" s="89"/>
      <c r="I11" s="89"/>
      <c r="J11" s="89"/>
      <c r="K11" s="89"/>
      <c r="L11" s="89"/>
      <c r="M11" s="89"/>
      <c r="N11" s="89">
        <v>4.8000000000000001E-2</v>
      </c>
      <c r="O11" s="89">
        <v>4.8000000000000001E-2</v>
      </c>
      <c r="P11" s="89">
        <v>4.7500000000000001E-2</v>
      </c>
      <c r="Q11" s="89"/>
      <c r="R11" s="89">
        <v>4.6899999999999997E-2</v>
      </c>
      <c r="S11" s="89"/>
      <c r="T11" s="89"/>
      <c r="U11" s="89"/>
      <c r="V11" s="89"/>
      <c r="W11" s="89"/>
      <c r="X11" s="89">
        <v>4.7899999999999998E-2</v>
      </c>
      <c r="Y11" s="89">
        <v>4.8000000000000001E-2</v>
      </c>
      <c r="Z11" s="89">
        <v>4.8000000000000001E-2</v>
      </c>
      <c r="AA11" s="89">
        <v>0.05</v>
      </c>
      <c r="AB11" s="89">
        <v>4.8000000000000001E-2</v>
      </c>
      <c r="AC11" s="89"/>
      <c r="AD11" s="89"/>
      <c r="AE11" s="89">
        <v>4.8000000000000001E-2</v>
      </c>
      <c r="AF11" s="89">
        <v>4.8000000000000001E-2</v>
      </c>
      <c r="AG11" s="89"/>
    </row>
    <row r="12" spans="2:33" ht="15.75" thickBot="1" x14ac:dyDescent="0.3"/>
    <row r="13" spans="2:33" ht="15.75" thickBot="1" x14ac:dyDescent="0.3">
      <c r="B13" s="95" t="s">
        <v>964</v>
      </c>
      <c r="C13" s="94" t="s">
        <v>963</v>
      </c>
      <c r="D13" s="94" t="s">
        <v>969</v>
      </c>
      <c r="E13" s="95" t="s">
        <v>970</v>
      </c>
      <c r="F13" s="94" t="s">
        <v>971</v>
      </c>
      <c r="G13" s="94" t="s">
        <v>972</v>
      </c>
      <c r="H13" s="94" t="s">
        <v>973</v>
      </c>
      <c r="I13" s="94" t="s">
        <v>974</v>
      </c>
      <c r="J13" s="94" t="s">
        <v>975</v>
      </c>
      <c r="K13" s="94" t="s">
        <v>976</v>
      </c>
      <c r="L13" s="94" t="s">
        <v>977</v>
      </c>
      <c r="M13" s="94" t="s">
        <v>978</v>
      </c>
      <c r="N13" s="94" t="s">
        <v>979</v>
      </c>
      <c r="O13" s="94" t="s">
        <v>980</v>
      </c>
      <c r="P13" s="94" t="s">
        <v>981</v>
      </c>
      <c r="Q13" s="94" t="s">
        <v>982</v>
      </c>
      <c r="R13" s="94" t="s">
        <v>983</v>
      </c>
      <c r="S13" s="94" t="s">
        <v>984</v>
      </c>
      <c r="T13" s="94" t="s">
        <v>985</v>
      </c>
      <c r="U13" s="94" t="s">
        <v>986</v>
      </c>
      <c r="V13" s="94" t="s">
        <v>987</v>
      </c>
      <c r="W13" s="94" t="s">
        <v>988</v>
      </c>
      <c r="X13" s="94" t="s">
        <v>989</v>
      </c>
      <c r="Y13" s="94" t="s">
        <v>990</v>
      </c>
      <c r="Z13" s="94" t="s">
        <v>991</v>
      </c>
      <c r="AA13" s="94" t="s">
        <v>992</v>
      </c>
      <c r="AB13" s="94" t="s">
        <v>993</v>
      </c>
      <c r="AC13" s="94" t="s">
        <v>994</v>
      </c>
      <c r="AD13" s="94" t="s">
        <v>995</v>
      </c>
      <c r="AE13" s="94" t="s">
        <v>996</v>
      </c>
      <c r="AF13" s="94" t="s">
        <v>997</v>
      </c>
      <c r="AG13" s="94" t="s">
        <v>998</v>
      </c>
    </row>
    <row r="14" spans="2:33" x14ac:dyDescent="0.25">
      <c r="B14" s="206" t="s">
        <v>958</v>
      </c>
      <c r="C14" s="81" t="s">
        <v>957</v>
      </c>
      <c r="D14" s="82">
        <v>0.1227</v>
      </c>
      <c r="E14" s="99">
        <v>0.112</v>
      </c>
      <c r="F14" s="102">
        <v>0.13200000000000001</v>
      </c>
      <c r="G14" s="102">
        <v>0.1454</v>
      </c>
      <c r="H14" s="102">
        <v>0.14249999999999999</v>
      </c>
      <c r="I14" s="102">
        <v>0.1424</v>
      </c>
      <c r="J14" s="102">
        <v>0.12180000000000001</v>
      </c>
      <c r="K14" s="103">
        <v>0.122</v>
      </c>
      <c r="L14" s="103">
        <v>0.14080000000000001</v>
      </c>
      <c r="M14" s="103"/>
      <c r="N14" s="103"/>
      <c r="O14" s="103"/>
      <c r="P14" s="103"/>
      <c r="Q14" s="103"/>
      <c r="R14" s="103"/>
      <c r="S14" s="103">
        <v>0.1338</v>
      </c>
      <c r="T14" s="103">
        <v>0.1623</v>
      </c>
      <c r="U14" s="103">
        <v>0.15</v>
      </c>
      <c r="V14" s="103">
        <v>0.15179999999999999</v>
      </c>
      <c r="W14" s="103"/>
      <c r="X14" s="103"/>
      <c r="Y14" s="103"/>
      <c r="Z14" s="103"/>
      <c r="AA14" s="103">
        <v>0.1522</v>
      </c>
      <c r="AB14" s="103"/>
      <c r="AC14" s="103"/>
      <c r="AD14" s="103">
        <v>0.1142</v>
      </c>
      <c r="AE14" s="103">
        <v>0.1515</v>
      </c>
      <c r="AF14" s="103">
        <v>0.13100000000000001</v>
      </c>
      <c r="AG14" s="103">
        <v>0.15190000000000001</v>
      </c>
    </row>
    <row r="15" spans="2:33" x14ac:dyDescent="0.25">
      <c r="B15" s="207"/>
      <c r="C15" s="83" t="s">
        <v>339</v>
      </c>
      <c r="D15" s="84">
        <v>0.82930000000000004</v>
      </c>
      <c r="E15" s="100">
        <v>0.84</v>
      </c>
      <c r="F15" s="103">
        <v>0.82</v>
      </c>
      <c r="G15" s="103">
        <v>0.80600000000000005</v>
      </c>
      <c r="H15" s="103">
        <v>0.80959999999999999</v>
      </c>
      <c r="I15" s="103">
        <v>0.80969999999999998</v>
      </c>
      <c r="J15" s="103">
        <v>0.83</v>
      </c>
      <c r="K15" s="103">
        <v>0.83</v>
      </c>
      <c r="L15" s="103">
        <v>0.80989999999999995</v>
      </c>
      <c r="M15" s="103"/>
      <c r="N15" s="103"/>
      <c r="O15" s="103"/>
      <c r="P15" s="103"/>
      <c r="Q15" s="103"/>
      <c r="R15" s="103"/>
      <c r="S15" s="103">
        <v>0.81799999999999995</v>
      </c>
      <c r="T15" s="103">
        <v>0.79020000000000001</v>
      </c>
      <c r="U15" s="103">
        <v>0.80110000000000003</v>
      </c>
      <c r="V15" s="103">
        <v>0.8</v>
      </c>
      <c r="W15" s="103"/>
      <c r="X15" s="103"/>
      <c r="Y15" s="103"/>
      <c r="Z15" s="103"/>
      <c r="AA15" s="103">
        <v>0.79710000000000003</v>
      </c>
      <c r="AB15" s="103"/>
      <c r="AC15" s="103"/>
      <c r="AD15" s="103">
        <v>0.83779999999999999</v>
      </c>
      <c r="AE15" s="103">
        <v>0.8</v>
      </c>
      <c r="AF15" s="103">
        <v>0.82140000000000002</v>
      </c>
      <c r="AG15" s="103">
        <v>0.8</v>
      </c>
    </row>
    <row r="16" spans="2:33" ht="15.75" thickBot="1" x14ac:dyDescent="0.3">
      <c r="B16" s="208"/>
      <c r="C16" s="83" t="s">
        <v>338</v>
      </c>
      <c r="D16" s="84">
        <v>4.8000000000000001E-2</v>
      </c>
      <c r="E16" s="100">
        <v>4.8000000000000001E-2</v>
      </c>
      <c r="F16" s="103">
        <v>4.8000000000000001E-2</v>
      </c>
      <c r="G16" s="103">
        <v>4.8599999999999997E-2</v>
      </c>
      <c r="H16" s="103">
        <v>4.7829999999999998E-2</v>
      </c>
      <c r="I16" s="103">
        <v>4.7899999999999998E-2</v>
      </c>
      <c r="J16" s="103">
        <v>4.8300000000000003E-2</v>
      </c>
      <c r="K16" s="103">
        <v>4.8000000000000001E-2</v>
      </c>
      <c r="L16" s="103">
        <v>4.9299999999999997E-2</v>
      </c>
      <c r="M16" s="103"/>
      <c r="N16" s="103"/>
      <c r="O16" s="103"/>
      <c r="P16" s="103"/>
      <c r="Q16" s="103"/>
      <c r="R16" s="103"/>
      <c r="S16" s="103">
        <v>4.82E-2</v>
      </c>
      <c r="T16" s="103">
        <v>4.7600000000000003E-2</v>
      </c>
      <c r="U16" s="103">
        <v>4.8899999999999999E-2</v>
      </c>
      <c r="V16" s="103">
        <v>4.82E-2</v>
      </c>
      <c r="W16" s="103"/>
      <c r="X16" s="103"/>
      <c r="Y16" s="103"/>
      <c r="Z16" s="103"/>
      <c r="AA16" s="103">
        <v>5.0700000000000002E-2</v>
      </c>
      <c r="AB16" s="103"/>
      <c r="AC16" s="103"/>
      <c r="AD16" s="103">
        <v>4.8000000000000001E-2</v>
      </c>
      <c r="AE16" s="103">
        <v>4.8500000000000001E-2</v>
      </c>
      <c r="AF16" s="103">
        <v>4.7600000000000003E-2</v>
      </c>
      <c r="AG16" s="103">
        <v>4.8099999999999997E-2</v>
      </c>
    </row>
    <row r="17" spans="2:33" x14ac:dyDescent="0.25">
      <c r="B17" s="209" t="s">
        <v>959</v>
      </c>
      <c r="C17" s="85" t="s">
        <v>957</v>
      </c>
      <c r="D17" s="86">
        <v>0.12089999999999999</v>
      </c>
      <c r="E17" s="101"/>
      <c r="F17" s="104">
        <v>0.14499999999999999</v>
      </c>
      <c r="G17" s="104">
        <v>0.14499999999999999</v>
      </c>
      <c r="H17" s="104">
        <v>0.14249999999999999</v>
      </c>
      <c r="I17" s="104"/>
      <c r="J17" s="104"/>
      <c r="K17" s="104">
        <v>0.1134</v>
      </c>
      <c r="L17" s="104">
        <v>0.14199999999999999</v>
      </c>
      <c r="M17" s="104"/>
      <c r="N17" s="104"/>
      <c r="O17" s="104"/>
      <c r="P17" s="104"/>
      <c r="Q17" s="104"/>
      <c r="R17" s="104"/>
      <c r="S17" s="104">
        <v>0.1336</v>
      </c>
      <c r="T17" s="104">
        <v>0.16200000000000001</v>
      </c>
      <c r="U17" s="104">
        <v>0.152</v>
      </c>
      <c r="V17" s="104">
        <v>0.1515</v>
      </c>
      <c r="W17" s="104"/>
      <c r="X17" s="104"/>
      <c r="Y17" s="104"/>
      <c r="Z17" s="104"/>
      <c r="AA17" s="104"/>
      <c r="AB17" s="104"/>
      <c r="AC17" s="104">
        <v>0.13039999999999999</v>
      </c>
      <c r="AD17" s="104">
        <v>0.152</v>
      </c>
      <c r="AE17" s="104">
        <v>0.16200000000000001</v>
      </c>
      <c r="AF17" s="104"/>
      <c r="AG17" s="104"/>
    </row>
    <row r="18" spans="2:33" x14ac:dyDescent="0.25">
      <c r="B18" s="210"/>
      <c r="C18" s="87" t="s">
        <v>339</v>
      </c>
      <c r="D18" s="86">
        <v>0.83040000000000003</v>
      </c>
      <c r="E18" s="101"/>
      <c r="F18" s="104">
        <v>0.80710000000000004</v>
      </c>
      <c r="G18" s="104">
        <v>0.80649999999999999</v>
      </c>
      <c r="H18" s="104">
        <v>0.8095</v>
      </c>
      <c r="I18" s="104"/>
      <c r="J18" s="104"/>
      <c r="K18" s="104">
        <v>0.83850000000000002</v>
      </c>
      <c r="L18" s="104">
        <v>0.81</v>
      </c>
      <c r="M18" s="104"/>
      <c r="N18" s="104"/>
      <c r="O18" s="104"/>
      <c r="P18" s="104"/>
      <c r="Q18" s="104"/>
      <c r="R18" s="104"/>
      <c r="S18" s="104">
        <v>0.81840000000000002</v>
      </c>
      <c r="T18" s="104">
        <v>0.79</v>
      </c>
      <c r="U18" s="104">
        <v>0.8</v>
      </c>
      <c r="V18" s="104">
        <v>0.8</v>
      </c>
      <c r="W18" s="104"/>
      <c r="X18" s="104"/>
      <c r="Y18" s="104"/>
      <c r="Z18" s="104"/>
      <c r="AA18" s="104"/>
      <c r="AB18" s="104"/>
      <c r="AC18" s="104">
        <v>0.82220000000000004</v>
      </c>
      <c r="AD18" s="104">
        <v>0.8</v>
      </c>
      <c r="AE18" s="104">
        <v>0.79</v>
      </c>
      <c r="AF18" s="104"/>
      <c r="AG18" s="104"/>
    </row>
    <row r="19" spans="2:33" ht="15.75" thickBot="1" x14ac:dyDescent="0.3">
      <c r="B19" s="211"/>
      <c r="C19" s="87" t="s">
        <v>338</v>
      </c>
      <c r="D19" s="86">
        <v>4.87E-2</v>
      </c>
      <c r="E19" s="101"/>
      <c r="F19" s="104">
        <v>4.8000000000000001E-2</v>
      </c>
      <c r="G19" s="104">
        <v>4.8500000000000001E-2</v>
      </c>
      <c r="H19" s="104">
        <v>4.8000000000000001E-2</v>
      </c>
      <c r="I19" s="104"/>
      <c r="J19" s="104"/>
      <c r="K19" s="104">
        <v>4.8099999999999997E-2</v>
      </c>
      <c r="L19" s="104">
        <v>4.8000000000000001E-2</v>
      </c>
      <c r="M19" s="104"/>
      <c r="N19" s="104"/>
      <c r="O19" s="104"/>
      <c r="P19" s="104"/>
      <c r="Q19" s="104"/>
      <c r="R19" s="104"/>
      <c r="S19" s="107">
        <v>4.8000000000000001E-2</v>
      </c>
      <c r="T19" s="107">
        <v>4.8000000000000001E-2</v>
      </c>
      <c r="U19" s="107">
        <v>4.8000000000000001E-2</v>
      </c>
      <c r="V19" s="107">
        <v>4.8500000000000001E-2</v>
      </c>
      <c r="W19" s="107"/>
      <c r="X19" s="107"/>
      <c r="Y19" s="107"/>
      <c r="Z19" s="107"/>
      <c r="AA19" s="107"/>
      <c r="AB19" s="107"/>
      <c r="AC19" s="107">
        <v>4.7399999999999998E-2</v>
      </c>
      <c r="AD19" s="107">
        <v>4.8000000000000001E-2</v>
      </c>
      <c r="AE19" s="107">
        <v>4.8000000000000001E-2</v>
      </c>
      <c r="AF19" s="107"/>
      <c r="AG19" s="107"/>
    </row>
    <row r="20" spans="2:33" x14ac:dyDescent="0.25">
      <c r="B20" s="200" t="s">
        <v>960</v>
      </c>
      <c r="C20" s="88" t="s">
        <v>957</v>
      </c>
      <c r="D20" s="89">
        <v>0.30199999999999999</v>
      </c>
      <c r="E20" s="98">
        <v>0.30199999999999999</v>
      </c>
      <c r="F20" s="105"/>
      <c r="G20" s="105">
        <v>30</v>
      </c>
      <c r="H20" s="105"/>
      <c r="I20" s="105">
        <v>30</v>
      </c>
      <c r="J20" s="105">
        <v>29.68</v>
      </c>
      <c r="K20" s="105">
        <v>25.13</v>
      </c>
      <c r="L20" s="105">
        <v>30.2</v>
      </c>
      <c r="M20" s="105"/>
      <c r="N20" s="105"/>
      <c r="O20" s="105"/>
      <c r="P20" s="105"/>
      <c r="Q20" s="105"/>
      <c r="R20" s="106"/>
      <c r="S20" s="106">
        <v>0.3</v>
      </c>
      <c r="T20" s="106">
        <v>0.28199999999999997</v>
      </c>
      <c r="U20" s="106">
        <v>0.30199999999999999</v>
      </c>
      <c r="V20" s="106">
        <v>0.3004</v>
      </c>
      <c r="W20" s="106"/>
      <c r="X20" s="106"/>
      <c r="Y20" s="106"/>
      <c r="Z20" s="106"/>
      <c r="AA20" s="106"/>
      <c r="AB20" s="106"/>
      <c r="AC20" s="106">
        <v>0.27200000000000002</v>
      </c>
      <c r="AD20" s="106">
        <v>0.26300000000000001</v>
      </c>
      <c r="AE20" s="106">
        <v>0.27</v>
      </c>
      <c r="AF20" s="106"/>
      <c r="AG20" s="106"/>
    </row>
    <row r="21" spans="2:33" x14ac:dyDescent="0.25">
      <c r="B21" s="201"/>
      <c r="C21" s="90" t="s">
        <v>339</v>
      </c>
      <c r="D21" s="89">
        <v>0.65</v>
      </c>
      <c r="E21" s="98">
        <v>0.65</v>
      </c>
      <c r="F21" s="105"/>
      <c r="G21" s="105">
        <v>65.13</v>
      </c>
      <c r="H21" s="105"/>
      <c r="I21" s="105">
        <v>65.2</v>
      </c>
      <c r="J21" s="105">
        <v>65.56</v>
      </c>
      <c r="K21" s="105">
        <v>70</v>
      </c>
      <c r="L21" s="105">
        <v>65</v>
      </c>
      <c r="M21" s="105"/>
      <c r="N21" s="105"/>
      <c r="O21" s="105"/>
      <c r="P21" s="105"/>
      <c r="Q21" s="105"/>
      <c r="R21" s="105"/>
      <c r="S21" s="106">
        <v>0.65200000000000002</v>
      </c>
      <c r="T21" s="106">
        <v>0.67</v>
      </c>
      <c r="U21" s="106">
        <v>0.65</v>
      </c>
      <c r="V21" s="106">
        <v>0.65110000000000001</v>
      </c>
      <c r="W21" s="106"/>
      <c r="X21" s="106"/>
      <c r="Y21" s="106"/>
      <c r="Z21" s="106"/>
      <c r="AA21" s="106"/>
      <c r="AB21" s="106"/>
      <c r="AC21" s="106">
        <v>0.68</v>
      </c>
      <c r="AD21" s="106">
        <v>0.68910000000000005</v>
      </c>
      <c r="AE21" s="106">
        <v>0.68200000000000005</v>
      </c>
      <c r="AF21" s="106"/>
      <c r="AG21" s="106"/>
    </row>
    <row r="22" spans="2:33" ht="15.75" thickBot="1" x14ac:dyDescent="0.3">
      <c r="B22" s="212"/>
      <c r="C22" s="108" t="s">
        <v>338</v>
      </c>
      <c r="D22" s="109">
        <v>4.8000000000000001E-2</v>
      </c>
      <c r="E22" s="110">
        <v>4.8000000000000001E-2</v>
      </c>
      <c r="F22" s="111"/>
      <c r="G22" s="112">
        <v>4.867</v>
      </c>
      <c r="H22" s="111"/>
      <c r="I22" s="111">
        <v>4.8</v>
      </c>
      <c r="J22" s="111">
        <v>4.76</v>
      </c>
      <c r="K22" s="111">
        <v>4.88</v>
      </c>
      <c r="L22" s="111">
        <v>4.8</v>
      </c>
      <c r="M22" s="111"/>
      <c r="N22" s="111"/>
      <c r="O22" s="111"/>
      <c r="P22" s="111"/>
      <c r="Q22" s="111"/>
      <c r="R22" s="113"/>
      <c r="S22" s="113">
        <v>4.8000000000000001E-2</v>
      </c>
      <c r="T22" s="113">
        <v>4.8000000000000001E-2</v>
      </c>
      <c r="U22" s="113">
        <v>4.8000000000000001E-2</v>
      </c>
      <c r="V22" s="113">
        <v>4.8500000000000001E-2</v>
      </c>
      <c r="W22" s="113"/>
      <c r="X22" s="113"/>
      <c r="Y22" s="113"/>
      <c r="Z22" s="113"/>
      <c r="AA22" s="113"/>
      <c r="AB22" s="113"/>
      <c r="AC22" s="113">
        <v>4.8000000000000001E-2</v>
      </c>
      <c r="AD22" s="113">
        <v>4.7899999999999998E-2</v>
      </c>
      <c r="AE22" s="113">
        <v>4.8000000000000001E-2</v>
      </c>
      <c r="AF22" s="113"/>
      <c r="AG22" s="113"/>
    </row>
    <row r="23" spans="2:33" ht="15.75" thickBot="1" x14ac:dyDescent="0.3">
      <c r="B23" s="34" t="s">
        <v>7</v>
      </c>
      <c r="C23" s="115"/>
      <c r="D23" s="10">
        <v>5311</v>
      </c>
      <c r="E23" s="10">
        <v>5314</v>
      </c>
      <c r="F23" s="10">
        <v>5307</v>
      </c>
      <c r="G23" s="10">
        <v>5322</v>
      </c>
      <c r="H23" s="10">
        <v>5312</v>
      </c>
      <c r="I23" s="10">
        <v>5314</v>
      </c>
      <c r="J23" s="10">
        <v>5288</v>
      </c>
      <c r="K23" s="10">
        <v>5310</v>
      </c>
      <c r="L23" s="10">
        <v>5312</v>
      </c>
      <c r="M23" s="10">
        <v>5319</v>
      </c>
      <c r="N23" s="10">
        <v>5322</v>
      </c>
      <c r="O23" s="10">
        <v>5327</v>
      </c>
      <c r="P23" s="10">
        <v>5314</v>
      </c>
      <c r="Q23" s="10">
        <v>5319</v>
      </c>
      <c r="R23" s="10">
        <v>5306</v>
      </c>
      <c r="S23" s="10">
        <v>5213</v>
      </c>
      <c r="T23" s="10">
        <v>5214</v>
      </c>
      <c r="U23" s="10">
        <v>5243</v>
      </c>
      <c r="V23" s="10">
        <v>5241</v>
      </c>
      <c r="W23" s="10">
        <v>5271</v>
      </c>
      <c r="X23" s="10">
        <v>5219</v>
      </c>
      <c r="Y23" s="10">
        <v>5223</v>
      </c>
      <c r="Z23" s="10">
        <v>4828</v>
      </c>
      <c r="AA23" s="10">
        <v>5100</v>
      </c>
      <c r="AB23" s="10">
        <v>5100</v>
      </c>
      <c r="AC23" s="10">
        <v>5111</v>
      </c>
      <c r="AD23" s="10">
        <v>5114</v>
      </c>
      <c r="AE23" s="10">
        <v>5124</v>
      </c>
      <c r="AF23" s="10">
        <v>5059</v>
      </c>
      <c r="AG23" s="10">
        <v>5104</v>
      </c>
    </row>
    <row r="25" spans="2:33" x14ac:dyDescent="0.25">
      <c r="B25" s="114"/>
    </row>
    <row r="26" spans="2:33" x14ac:dyDescent="0.25">
      <c r="B26" s="114"/>
    </row>
    <row r="27" spans="2:33" x14ac:dyDescent="0.25">
      <c r="B27" s="114"/>
    </row>
    <row r="28" spans="2:33" x14ac:dyDescent="0.25">
      <c r="B28" s="114"/>
    </row>
    <row r="29" spans="2:33" x14ac:dyDescent="0.25">
      <c r="B29" s="114"/>
    </row>
    <row r="30" spans="2:33" x14ac:dyDescent="0.25">
      <c r="B30" s="114"/>
    </row>
    <row r="31" spans="2:33" x14ac:dyDescent="0.25">
      <c r="B31" s="114"/>
    </row>
    <row r="32" spans="2:33" x14ac:dyDescent="0.25">
      <c r="B32" s="114"/>
    </row>
    <row r="33" spans="2:2" x14ac:dyDescent="0.25">
      <c r="B33" s="114"/>
    </row>
    <row r="34" spans="2:2" x14ac:dyDescent="0.25">
      <c r="B34" s="114"/>
    </row>
    <row r="35" spans="2:2" x14ac:dyDescent="0.25">
      <c r="B35" s="114"/>
    </row>
    <row r="36" spans="2:2" x14ac:dyDescent="0.25">
      <c r="B36" s="114"/>
    </row>
    <row r="37" spans="2:2" x14ac:dyDescent="0.25">
      <c r="B37" s="114"/>
    </row>
    <row r="38" spans="2:2" x14ac:dyDescent="0.25">
      <c r="B38" s="114"/>
    </row>
    <row r="39" spans="2:2" x14ac:dyDescent="0.25">
      <c r="B39" s="114"/>
    </row>
    <row r="40" spans="2:2" x14ac:dyDescent="0.25">
      <c r="B40" s="114"/>
    </row>
    <row r="41" spans="2:2" x14ac:dyDescent="0.25">
      <c r="B41" s="114"/>
    </row>
    <row r="42" spans="2:2" x14ac:dyDescent="0.25">
      <c r="B42" s="114"/>
    </row>
    <row r="43" spans="2:2" x14ac:dyDescent="0.25">
      <c r="B43" s="114"/>
    </row>
    <row r="44" spans="2:2" x14ac:dyDescent="0.25">
      <c r="B44" s="114"/>
    </row>
    <row r="45" spans="2:2" x14ac:dyDescent="0.25">
      <c r="B45" s="114"/>
    </row>
    <row r="46" spans="2:2" x14ac:dyDescent="0.25">
      <c r="B46" s="114"/>
    </row>
  </sheetData>
  <mergeCells count="6">
    <mergeCell ref="B20:B22"/>
    <mergeCell ref="B3:B5"/>
    <mergeCell ref="B6:B8"/>
    <mergeCell ref="B9:B11"/>
    <mergeCell ref="B14:B16"/>
    <mergeCell ref="B17:B19"/>
  </mergeCells>
  <pageMargins left="0.7" right="0.7" top="0.75" bottom="0.75" header="0.3" footer="0.3"/>
  <pageSetup orientation="portrait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B1:AH46"/>
  <sheetViews>
    <sheetView zoomScale="90" zoomScaleNormal="90" workbookViewId="0">
      <pane xSplit="3" topLeftCell="S1" activePane="topRight" state="frozen"/>
      <selection pane="topRight" activeCell="AM10" sqref="AM10"/>
    </sheetView>
  </sheetViews>
  <sheetFormatPr defaultRowHeight="15" x14ac:dyDescent="0.25"/>
  <cols>
    <col min="3" max="3" width="28.140625" customWidth="1"/>
    <col min="4" max="34" width="10.140625" bestFit="1" customWidth="1"/>
  </cols>
  <sheetData>
    <row r="1" spans="2:34" ht="6" customHeight="1" thickBot="1" x14ac:dyDescent="0.3"/>
    <row r="2" spans="2:34" ht="15" customHeight="1" thickBot="1" x14ac:dyDescent="0.3">
      <c r="B2" s="94" t="s">
        <v>964</v>
      </c>
      <c r="C2" s="96" t="s">
        <v>961</v>
      </c>
      <c r="D2" s="97" t="str">
        <f t="shared" ref="D2:E2" si="0">D13</f>
        <v>01.10.2024</v>
      </c>
      <c r="E2" s="97" t="str">
        <f t="shared" si="0"/>
        <v>2.10.2024</v>
      </c>
      <c r="F2" s="97" t="str">
        <f t="shared" ref="F2" si="1">F13</f>
        <v>03.10.2024</v>
      </c>
      <c r="G2" s="97" t="str">
        <f t="shared" ref="G2:H2" si="2">G13</f>
        <v>04.10.2024</v>
      </c>
      <c r="H2" s="97" t="str">
        <f t="shared" si="2"/>
        <v>05.10.2024</v>
      </c>
      <c r="I2" s="97" t="str">
        <f t="shared" ref="I2" si="3">I13</f>
        <v>06.10.2024</v>
      </c>
      <c r="J2" s="97" t="str">
        <f t="shared" ref="J2:K2" si="4">J13</f>
        <v>07.10.2024</v>
      </c>
      <c r="K2" s="97" t="str">
        <f t="shared" si="4"/>
        <v>08.10.2024</v>
      </c>
      <c r="L2" s="97" t="str">
        <f t="shared" ref="L2:M2" si="5">L13</f>
        <v>09.10.2024</v>
      </c>
      <c r="M2" s="97" t="str">
        <f t="shared" si="5"/>
        <v>10.10.2024</v>
      </c>
      <c r="N2" s="97" t="str">
        <f t="shared" ref="N2:O2" si="6">N13</f>
        <v>11.10.2024</v>
      </c>
      <c r="O2" s="97" t="str">
        <f t="shared" si="6"/>
        <v>12.10.2024</v>
      </c>
      <c r="P2" s="97" t="str">
        <f t="shared" ref="P2:Q2" si="7">P13</f>
        <v>13.10.2024</v>
      </c>
      <c r="Q2" s="97" t="str">
        <f t="shared" si="7"/>
        <v>14.10.2024</v>
      </c>
      <c r="R2" s="97" t="str">
        <f t="shared" ref="R2:S2" si="8">R13</f>
        <v>15.10.2024</v>
      </c>
      <c r="S2" s="97" t="str">
        <f t="shared" si="8"/>
        <v>16.10.2024</v>
      </c>
      <c r="T2" s="97" t="str">
        <f t="shared" ref="T2:U2" si="9">T13</f>
        <v>17.10.2024</v>
      </c>
      <c r="U2" s="97" t="str">
        <f t="shared" si="9"/>
        <v>18.10.2024</v>
      </c>
      <c r="V2" s="97" t="str">
        <f t="shared" ref="V2:W2" si="10">V13</f>
        <v>19.10.2024</v>
      </c>
      <c r="W2" s="97" t="str">
        <f t="shared" si="10"/>
        <v>20.10.2024</v>
      </c>
      <c r="X2" s="97" t="str">
        <f t="shared" ref="X2:Y2" si="11">X13</f>
        <v>21.10.2024</v>
      </c>
      <c r="Y2" s="97" t="str">
        <f t="shared" si="11"/>
        <v>22.10.2024</v>
      </c>
      <c r="Z2" s="97" t="str">
        <f t="shared" ref="Z2:AA2" si="12">Z13</f>
        <v>23.10.2024</v>
      </c>
      <c r="AA2" s="97" t="str">
        <f t="shared" si="12"/>
        <v>24.10.2024</v>
      </c>
      <c r="AB2" s="97" t="str">
        <f t="shared" ref="AB2:AE2" si="13">AB13</f>
        <v>25.10.2024</v>
      </c>
      <c r="AC2" s="97" t="str">
        <f t="shared" si="13"/>
        <v>26.10.2024</v>
      </c>
      <c r="AD2" s="97" t="str">
        <f t="shared" si="13"/>
        <v>27.10.2024</v>
      </c>
      <c r="AE2" s="97" t="str">
        <f t="shared" si="13"/>
        <v>28.10.2024</v>
      </c>
      <c r="AF2" s="97" t="str">
        <f t="shared" ref="AF2:AG2" si="14">AF13</f>
        <v>29.10.2024</v>
      </c>
      <c r="AG2" s="97" t="str">
        <f t="shared" si="14"/>
        <v>30.10.2024</v>
      </c>
      <c r="AH2" s="97" t="str">
        <f t="shared" ref="AH2" si="15">AH13</f>
        <v>31.10.2024</v>
      </c>
    </row>
    <row r="3" spans="2:34" ht="15" customHeight="1" x14ac:dyDescent="0.25">
      <c r="B3" s="206" t="s">
        <v>958</v>
      </c>
      <c r="C3" s="116" t="s">
        <v>957</v>
      </c>
      <c r="D3" s="117">
        <v>0.152</v>
      </c>
      <c r="E3" s="117">
        <v>0.15129999999999999</v>
      </c>
      <c r="F3" s="117">
        <v>0.15720000000000001</v>
      </c>
      <c r="G3" s="117">
        <v>0.16950000000000001</v>
      </c>
      <c r="H3" s="117">
        <v>0.17199999999999999</v>
      </c>
      <c r="I3" s="117">
        <v>0.16750000000000001</v>
      </c>
      <c r="J3" s="117">
        <v>0.15</v>
      </c>
      <c r="K3" s="117">
        <v>0.16450000000000001</v>
      </c>
      <c r="L3" s="117">
        <v>0.16</v>
      </c>
      <c r="M3" s="117">
        <v>0.1701</v>
      </c>
      <c r="N3" s="117">
        <v>0.17199999999999999</v>
      </c>
      <c r="O3" s="117">
        <v>0.17150000000000001</v>
      </c>
      <c r="P3" s="117">
        <v>0.17130000000000001</v>
      </c>
      <c r="Q3" s="117">
        <v>0.1719</v>
      </c>
      <c r="R3" s="117">
        <v>0.17130000000000001</v>
      </c>
      <c r="S3" s="117">
        <v>0.17100000000000001</v>
      </c>
      <c r="T3" s="117"/>
      <c r="U3" s="117">
        <v>0.17199999999999999</v>
      </c>
      <c r="V3" s="117">
        <v>0.17199999999999999</v>
      </c>
      <c r="W3" s="117">
        <v>0.2</v>
      </c>
      <c r="X3" s="117">
        <v>0.2</v>
      </c>
      <c r="Y3" s="117">
        <v>0.18160000000000001</v>
      </c>
      <c r="Z3" s="117">
        <v>0.182</v>
      </c>
      <c r="AA3" s="117">
        <v>0.18179999999999999</v>
      </c>
      <c r="AB3" s="117">
        <v>0.18579999999999999</v>
      </c>
      <c r="AC3" s="117">
        <v>0.19209999999999999</v>
      </c>
      <c r="AD3" s="117">
        <v>0.1817</v>
      </c>
      <c r="AE3" s="117">
        <v>0.18149999999999999</v>
      </c>
      <c r="AF3" s="117">
        <v>0.1792</v>
      </c>
      <c r="AG3" s="117">
        <v>0.18190000000000001</v>
      </c>
      <c r="AH3" s="117">
        <v>0.1794</v>
      </c>
    </row>
    <row r="4" spans="2:34" ht="15" customHeight="1" x14ac:dyDescent="0.25">
      <c r="B4" s="207"/>
      <c r="C4" s="118" t="s">
        <v>339</v>
      </c>
      <c r="D4" s="84">
        <v>0.8</v>
      </c>
      <c r="E4" s="84">
        <v>0.80059999999999998</v>
      </c>
      <c r="F4" s="84">
        <v>0.79479999999999995</v>
      </c>
      <c r="G4" s="84">
        <v>0.78249999999999997</v>
      </c>
      <c r="H4" s="84">
        <v>0.78</v>
      </c>
      <c r="I4" s="84">
        <v>0.7843</v>
      </c>
      <c r="J4" s="84">
        <v>0.8024</v>
      </c>
      <c r="K4" s="84">
        <v>0.78720000000000001</v>
      </c>
      <c r="L4" s="84">
        <v>0.79139999999999999</v>
      </c>
      <c r="M4" s="84">
        <v>0.78220000000000001</v>
      </c>
      <c r="N4" s="84">
        <v>0.78</v>
      </c>
      <c r="O4" s="84">
        <v>0.78049999999999997</v>
      </c>
      <c r="P4" s="84">
        <v>0.78069999999999995</v>
      </c>
      <c r="Q4" s="84">
        <v>0.7802</v>
      </c>
      <c r="R4" s="84">
        <v>0.78080000000000005</v>
      </c>
      <c r="S4" s="84">
        <v>0.78110000000000002</v>
      </c>
      <c r="T4" s="84"/>
      <c r="U4" s="84">
        <v>0.78</v>
      </c>
      <c r="V4" s="84">
        <v>0.78</v>
      </c>
      <c r="W4" s="84">
        <v>0.75180000000000002</v>
      </c>
      <c r="X4" s="84">
        <v>0.752</v>
      </c>
      <c r="Y4" s="84">
        <v>0.77010000000000001</v>
      </c>
      <c r="Z4" s="84">
        <v>0.76990000000000003</v>
      </c>
      <c r="AA4" s="84">
        <v>0.76990000000000003</v>
      </c>
      <c r="AB4" s="84">
        <v>0.76619999999999999</v>
      </c>
      <c r="AC4" s="84">
        <v>0.76</v>
      </c>
      <c r="AD4" s="84">
        <v>0.77059999999999995</v>
      </c>
      <c r="AE4" s="84">
        <v>0.77080000000000004</v>
      </c>
      <c r="AF4" s="84">
        <v>0.77270000000000005</v>
      </c>
      <c r="AG4" s="84">
        <v>0.77039999999999997</v>
      </c>
      <c r="AH4" s="84">
        <v>0.77259999999999995</v>
      </c>
    </row>
    <row r="5" spans="2:34" ht="15" customHeight="1" thickBot="1" x14ac:dyDescent="0.3">
      <c r="B5" s="208"/>
      <c r="C5" s="118" t="s">
        <v>338</v>
      </c>
      <c r="D5" s="84">
        <v>4.8000000000000001E-2</v>
      </c>
      <c r="E5" s="84">
        <v>4.8099999999999997E-2</v>
      </c>
      <c r="F5" s="84">
        <v>4.8000000000000001E-2</v>
      </c>
      <c r="G5" s="84">
        <v>4.8000000000000001E-2</v>
      </c>
      <c r="H5" s="84">
        <v>4.8000000000000001E-2</v>
      </c>
      <c r="I5" s="84">
        <v>4.82E-2</v>
      </c>
      <c r="J5" s="84">
        <v>4.7600000000000003E-2</v>
      </c>
      <c r="K5" s="84">
        <v>4.8300000000000003E-2</v>
      </c>
      <c r="L5" s="84">
        <v>4.8599999999999997E-2</v>
      </c>
      <c r="M5" s="84">
        <v>4.7699999999999999E-2</v>
      </c>
      <c r="N5" s="84">
        <v>4.8000000000000001E-2</v>
      </c>
      <c r="O5" s="84">
        <v>4.8000000000000001E-2</v>
      </c>
      <c r="P5" s="84">
        <v>4.8000000000000001E-2</v>
      </c>
      <c r="Q5" s="84">
        <v>4.7899999999999998E-2</v>
      </c>
      <c r="R5" s="84">
        <v>4.7899999999999998E-2</v>
      </c>
      <c r="S5" s="84">
        <v>4.8000000000000001E-2</v>
      </c>
      <c r="T5" s="84"/>
      <c r="U5" s="84">
        <v>4.8000000000000001E-2</v>
      </c>
      <c r="V5" s="84">
        <v>4.8000000000000001E-2</v>
      </c>
      <c r="W5" s="84">
        <v>4.82E-2</v>
      </c>
      <c r="X5" s="84">
        <v>4.8000000000000001E-2</v>
      </c>
      <c r="Y5" s="84">
        <v>4.8300000000000003E-2</v>
      </c>
      <c r="Z5" s="84">
        <v>4.8099999999999997E-2</v>
      </c>
      <c r="AA5" s="84">
        <v>4.8300000000000003E-2</v>
      </c>
      <c r="AB5" s="84">
        <v>4.8000000000000001E-2</v>
      </c>
      <c r="AC5" s="84">
        <v>4.7899999999999998E-2</v>
      </c>
      <c r="AD5" s="84">
        <v>4.7699999999999999E-2</v>
      </c>
      <c r="AE5" s="84">
        <v>4.7699999999999999E-2</v>
      </c>
      <c r="AF5" s="84">
        <v>4.8099999999999997E-2</v>
      </c>
      <c r="AG5" s="84">
        <v>4.7699999999999999E-2</v>
      </c>
      <c r="AH5" s="84">
        <v>4.8000000000000001E-2</v>
      </c>
    </row>
    <row r="6" spans="2:34" ht="15" customHeight="1" x14ac:dyDescent="0.25">
      <c r="B6" s="209" t="s">
        <v>959</v>
      </c>
      <c r="C6" s="119" t="s">
        <v>957</v>
      </c>
      <c r="D6" s="86">
        <v>0.15</v>
      </c>
      <c r="E6" s="86">
        <v>0.16</v>
      </c>
      <c r="F6" s="86">
        <v>0.157</v>
      </c>
      <c r="G6" s="86"/>
      <c r="H6" s="86"/>
      <c r="I6" s="86">
        <v>0.16</v>
      </c>
      <c r="J6" s="86">
        <v>0.15</v>
      </c>
      <c r="K6" s="86">
        <v>0.17199999999999999</v>
      </c>
      <c r="L6" s="86">
        <v>0.17199999999999999</v>
      </c>
      <c r="M6" s="86"/>
      <c r="N6" s="86">
        <v>0.17</v>
      </c>
      <c r="O6" s="86"/>
      <c r="P6" s="132">
        <v>0.17199999999999999</v>
      </c>
      <c r="Q6" s="86"/>
      <c r="R6" s="86">
        <v>0.17199999999999999</v>
      </c>
      <c r="S6" s="86"/>
      <c r="T6" s="86"/>
      <c r="U6" s="86"/>
      <c r="V6" s="86"/>
      <c r="W6" s="86">
        <v>0.2</v>
      </c>
      <c r="X6" s="86">
        <v>0.2</v>
      </c>
      <c r="Y6" s="86">
        <v>0.1825</v>
      </c>
      <c r="Z6" s="86">
        <v>0.182</v>
      </c>
      <c r="AA6" s="86">
        <v>0.18</v>
      </c>
      <c r="AB6" s="86">
        <v>0.192</v>
      </c>
      <c r="AC6" s="86">
        <v>0.192</v>
      </c>
      <c r="AD6" s="86">
        <v>0.18</v>
      </c>
      <c r="AE6" s="86">
        <v>0.18</v>
      </c>
      <c r="AF6" s="86">
        <v>0.18</v>
      </c>
      <c r="AG6" s="86">
        <v>0.182</v>
      </c>
      <c r="AH6" s="86">
        <v>0.18</v>
      </c>
    </row>
    <row r="7" spans="2:34" ht="15" customHeight="1" x14ac:dyDescent="0.25">
      <c r="B7" s="210"/>
      <c r="C7" s="120" t="s">
        <v>339</v>
      </c>
      <c r="D7" s="86">
        <v>0.80200000000000005</v>
      </c>
      <c r="E7" s="86">
        <v>0.79</v>
      </c>
      <c r="F7" s="86">
        <v>0.79500000000000004</v>
      </c>
      <c r="G7" s="86"/>
      <c r="H7" s="86"/>
      <c r="I7" s="86">
        <v>0.79200000000000004</v>
      </c>
      <c r="J7" s="86">
        <v>0.80200000000000005</v>
      </c>
      <c r="K7" s="86">
        <v>0.78</v>
      </c>
      <c r="L7" s="86">
        <v>0.78</v>
      </c>
      <c r="M7" s="86"/>
      <c r="N7" s="86">
        <v>0.78200000000000003</v>
      </c>
      <c r="O7" s="86"/>
      <c r="P7" s="86">
        <v>0.78</v>
      </c>
      <c r="Q7" s="86"/>
      <c r="R7" s="86">
        <v>0.78</v>
      </c>
      <c r="S7" s="86"/>
      <c r="T7" s="86"/>
      <c r="U7" s="86"/>
      <c r="V7" s="86"/>
      <c r="W7" s="86">
        <v>0.752</v>
      </c>
      <c r="X7" s="86">
        <v>0.75249999999999995</v>
      </c>
      <c r="Y7" s="86">
        <v>0.77</v>
      </c>
      <c r="Z7" s="86">
        <v>0.76970000000000005</v>
      </c>
      <c r="AA7" s="86">
        <v>0.77200000000000002</v>
      </c>
      <c r="AB7" s="86">
        <v>0.76</v>
      </c>
      <c r="AC7" s="86">
        <v>0.76</v>
      </c>
      <c r="AD7" s="86">
        <v>0.77200000000000002</v>
      </c>
      <c r="AE7" s="86">
        <v>0.77200000000000002</v>
      </c>
      <c r="AF7" s="86">
        <v>0.77200000000000002</v>
      </c>
      <c r="AG7" s="86">
        <v>0.77</v>
      </c>
      <c r="AH7" s="86">
        <v>0.77200000000000002</v>
      </c>
    </row>
    <row r="8" spans="2:34" ht="15" customHeight="1" thickBot="1" x14ac:dyDescent="0.3">
      <c r="B8" s="211"/>
      <c r="C8" s="120" t="s">
        <v>338</v>
      </c>
      <c r="D8" s="86">
        <v>4.8000000000000001E-2</v>
      </c>
      <c r="E8" s="86">
        <v>0.05</v>
      </c>
      <c r="F8" s="86">
        <v>4.8000000000000001E-2</v>
      </c>
      <c r="G8" s="86"/>
      <c r="H8" s="86"/>
      <c r="I8" s="86">
        <v>4.8000000000000001E-2</v>
      </c>
      <c r="J8" s="86">
        <v>4.8000000000000001E-2</v>
      </c>
      <c r="K8" s="86">
        <v>4.8000000000000001E-2</v>
      </c>
      <c r="L8" s="86">
        <v>4.8000000000000001E-2</v>
      </c>
      <c r="M8" s="86"/>
      <c r="N8" s="86">
        <v>4.8000000000000001E-2</v>
      </c>
      <c r="O8" s="86"/>
      <c r="P8" s="86">
        <v>4.8000000000000001E-2</v>
      </c>
      <c r="Q8" s="86"/>
      <c r="R8" s="86">
        <v>4.8000000000000001E-2</v>
      </c>
      <c r="S8" s="86"/>
      <c r="T8" s="86"/>
      <c r="U8" s="86"/>
      <c r="V8" s="86"/>
      <c r="W8" s="86">
        <v>4.8000000000000001E-2</v>
      </c>
      <c r="X8" s="86">
        <v>4.7500000000000001E-2</v>
      </c>
      <c r="Y8" s="86">
        <v>4.7500000000000001E-2</v>
      </c>
      <c r="Z8" s="86">
        <v>4.8300000000000003E-2</v>
      </c>
      <c r="AA8" s="86">
        <v>4.8000000000000001E-2</v>
      </c>
      <c r="AB8" s="86">
        <v>4.8000000000000001E-2</v>
      </c>
      <c r="AC8" s="86">
        <v>4.8000000000000001E-2</v>
      </c>
      <c r="AD8" s="86">
        <v>4.8000000000000001E-2</v>
      </c>
      <c r="AE8" s="86">
        <v>4.8000000000000001E-2</v>
      </c>
      <c r="AF8" s="86">
        <v>4.8000000000000001E-2</v>
      </c>
      <c r="AG8" s="86">
        <v>4.8000000000000001E-2</v>
      </c>
      <c r="AH8" s="86">
        <v>4.8000000000000001E-2</v>
      </c>
    </row>
    <row r="9" spans="2:34" ht="15" customHeight="1" x14ac:dyDescent="0.25">
      <c r="B9" s="215" t="s">
        <v>960</v>
      </c>
      <c r="C9" s="121" t="s">
        <v>957</v>
      </c>
      <c r="D9" s="122"/>
      <c r="E9" s="135">
        <v>0.27200000000000002</v>
      </c>
      <c r="F9" s="122"/>
      <c r="G9" s="135">
        <v>0.27200000000000002</v>
      </c>
      <c r="H9" s="122"/>
      <c r="I9" s="135">
        <v>0.26200000000000001</v>
      </c>
      <c r="J9" s="135">
        <v>0.27200000000000002</v>
      </c>
      <c r="K9" s="135">
        <v>0.26600000000000001</v>
      </c>
      <c r="L9" s="135">
        <v>0.25700000000000001</v>
      </c>
      <c r="M9" s="135">
        <v>0.27500000000000002</v>
      </c>
      <c r="N9" s="122"/>
      <c r="O9" s="122"/>
      <c r="P9" s="122"/>
      <c r="Q9" s="122"/>
      <c r="R9" s="122">
        <v>30</v>
      </c>
      <c r="S9" s="122">
        <v>27</v>
      </c>
      <c r="T9" s="122"/>
      <c r="U9" s="122"/>
      <c r="V9" s="122"/>
      <c r="W9" s="122"/>
      <c r="X9" s="122"/>
      <c r="Y9" s="122"/>
      <c r="Z9" s="122"/>
      <c r="AA9" s="122"/>
      <c r="AB9" s="122"/>
      <c r="AC9" s="122"/>
      <c r="AD9" s="122">
        <v>28</v>
      </c>
      <c r="AE9" s="122">
        <v>28</v>
      </c>
      <c r="AF9" s="122">
        <v>28.67</v>
      </c>
      <c r="AG9" s="122"/>
      <c r="AH9" s="122">
        <v>29</v>
      </c>
    </row>
    <row r="10" spans="2:34" ht="15" customHeight="1" x14ac:dyDescent="0.25">
      <c r="B10" s="216"/>
      <c r="C10" s="123" t="s">
        <v>339</v>
      </c>
      <c r="D10" s="124"/>
      <c r="E10" s="133">
        <v>0.68</v>
      </c>
      <c r="F10" s="124"/>
      <c r="G10" s="133">
        <v>0.68</v>
      </c>
      <c r="H10" s="124"/>
      <c r="I10" s="133">
        <v>0.69</v>
      </c>
      <c r="J10" s="133">
        <v>0.68</v>
      </c>
      <c r="K10" s="134">
        <v>0.68600000000000005</v>
      </c>
      <c r="L10" s="134">
        <v>0.69499999999999995</v>
      </c>
      <c r="M10" s="134">
        <v>0.67700000000000005</v>
      </c>
      <c r="N10" s="124"/>
      <c r="O10" s="124"/>
      <c r="P10" s="124"/>
      <c r="Q10" s="124"/>
      <c r="R10" s="124">
        <v>65.2</v>
      </c>
      <c r="S10" s="124">
        <v>68.2</v>
      </c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>
        <v>67.2</v>
      </c>
      <c r="AE10" s="124">
        <v>67.2</v>
      </c>
      <c r="AF10" s="124">
        <v>66.53</v>
      </c>
      <c r="AG10" s="124"/>
      <c r="AH10" s="124">
        <v>66.2</v>
      </c>
    </row>
    <row r="11" spans="2:34" ht="15" customHeight="1" thickBot="1" x14ac:dyDescent="0.3">
      <c r="B11" s="217"/>
      <c r="C11" s="125" t="s">
        <v>338</v>
      </c>
      <c r="D11" s="126"/>
      <c r="E11" s="136">
        <v>4.8000000000000001E-2</v>
      </c>
      <c r="F11" s="126"/>
      <c r="G11" s="136">
        <v>4.8000000000000001E-2</v>
      </c>
      <c r="H11" s="126"/>
      <c r="I11" s="136">
        <v>4.8000000000000001E-2</v>
      </c>
      <c r="J11" s="136">
        <v>4.8000000000000001E-2</v>
      </c>
      <c r="K11" s="136">
        <v>4.8000000000000001E-2</v>
      </c>
      <c r="L11" s="136">
        <v>4.8000000000000001E-2</v>
      </c>
      <c r="M11" s="136">
        <v>4.8000000000000001E-2</v>
      </c>
      <c r="N11" s="126"/>
      <c r="O11" s="126"/>
      <c r="P11" s="126"/>
      <c r="Q11" s="126"/>
      <c r="R11" s="126">
        <v>4.8</v>
      </c>
      <c r="S11" s="126">
        <v>4.8</v>
      </c>
      <c r="T11" s="126"/>
      <c r="U11" s="126"/>
      <c r="V11" s="126"/>
      <c r="W11" s="126"/>
      <c r="X11" s="126"/>
      <c r="Y11" s="126"/>
      <c r="Z11" s="126"/>
      <c r="AA11" s="126"/>
      <c r="AB11" s="126"/>
      <c r="AC11" s="126"/>
      <c r="AD11" s="126">
        <v>4.8</v>
      </c>
      <c r="AE11" s="126">
        <v>4.8</v>
      </c>
      <c r="AF11" s="126">
        <v>4.8</v>
      </c>
      <c r="AG11" s="126"/>
      <c r="AH11" s="126">
        <v>4.8</v>
      </c>
    </row>
    <row r="12" spans="2:34" ht="6.75" customHeight="1" thickBot="1" x14ac:dyDescent="0.3"/>
    <row r="13" spans="2:34" ht="15" customHeight="1" thickBot="1" x14ac:dyDescent="0.3">
      <c r="B13" s="95" t="s">
        <v>964</v>
      </c>
      <c r="C13" s="94" t="s">
        <v>963</v>
      </c>
      <c r="D13" s="94" t="s">
        <v>999</v>
      </c>
      <c r="E13" s="94" t="s">
        <v>1000</v>
      </c>
      <c r="F13" s="94" t="s">
        <v>1001</v>
      </c>
      <c r="G13" s="94" t="s">
        <v>1003</v>
      </c>
      <c r="H13" s="94" t="s">
        <v>1004</v>
      </c>
      <c r="I13" s="94" t="s">
        <v>1005</v>
      </c>
      <c r="J13" s="94" t="s">
        <v>1006</v>
      </c>
      <c r="K13" s="94" t="s">
        <v>1007</v>
      </c>
      <c r="L13" s="94" t="s">
        <v>1008</v>
      </c>
      <c r="M13" s="94" t="s">
        <v>1009</v>
      </c>
      <c r="N13" s="94" t="s">
        <v>1010</v>
      </c>
      <c r="O13" s="94" t="s">
        <v>1011</v>
      </c>
      <c r="P13" s="94" t="s">
        <v>1012</v>
      </c>
      <c r="Q13" s="94" t="s">
        <v>1013</v>
      </c>
      <c r="R13" s="94" t="s">
        <v>1014</v>
      </c>
      <c r="S13" s="94" t="s">
        <v>1015</v>
      </c>
      <c r="T13" s="94" t="s">
        <v>1016</v>
      </c>
      <c r="U13" s="94" t="s">
        <v>1017</v>
      </c>
      <c r="V13" s="94" t="s">
        <v>1018</v>
      </c>
      <c r="W13" s="94" t="s">
        <v>1019</v>
      </c>
      <c r="X13" s="94" t="s">
        <v>1020</v>
      </c>
      <c r="Y13" s="94" t="s">
        <v>1021</v>
      </c>
      <c r="Z13" s="94" t="s">
        <v>1022</v>
      </c>
      <c r="AA13" s="94" t="s">
        <v>1023</v>
      </c>
      <c r="AB13" s="94" t="s">
        <v>1024</v>
      </c>
      <c r="AC13" s="94" t="s">
        <v>1025</v>
      </c>
      <c r="AD13" s="94" t="s">
        <v>1026</v>
      </c>
      <c r="AE13" s="94" t="s">
        <v>1027</v>
      </c>
      <c r="AF13" s="94" t="s">
        <v>1028</v>
      </c>
      <c r="AG13" s="94" t="s">
        <v>1029</v>
      </c>
      <c r="AH13" s="94" t="s">
        <v>1030</v>
      </c>
    </row>
    <row r="14" spans="2:34" ht="15" customHeight="1" x14ac:dyDescent="0.25">
      <c r="B14" s="206" t="s">
        <v>958</v>
      </c>
      <c r="C14" s="81" t="s">
        <v>957</v>
      </c>
      <c r="D14" s="82"/>
      <c r="E14" s="82">
        <v>0.1449</v>
      </c>
      <c r="F14" s="82">
        <v>0.1578</v>
      </c>
      <c r="G14" s="82">
        <v>0.16200000000000001</v>
      </c>
      <c r="H14" s="82">
        <v>0.1726</v>
      </c>
      <c r="I14" s="82">
        <v>0.1716</v>
      </c>
      <c r="J14" s="82">
        <v>0.1517</v>
      </c>
      <c r="K14" s="82"/>
      <c r="L14" s="82">
        <v>0.17230000000000001</v>
      </c>
      <c r="M14" s="82">
        <v>0.1711</v>
      </c>
      <c r="N14" s="84">
        <v>0.17199999999999999</v>
      </c>
      <c r="O14" s="84">
        <v>0.17199999999999999</v>
      </c>
      <c r="P14" s="84"/>
      <c r="Q14" s="84">
        <v>0.17169999999999999</v>
      </c>
      <c r="R14" s="84">
        <v>0.17019999999999999</v>
      </c>
      <c r="S14" s="84">
        <v>0.17180000000000001</v>
      </c>
      <c r="T14" s="84">
        <v>0.17169999999999999</v>
      </c>
      <c r="U14" s="84">
        <v>0.17199999999999999</v>
      </c>
      <c r="V14" s="84">
        <v>0.17199999999999999</v>
      </c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</row>
    <row r="15" spans="2:34" ht="15" customHeight="1" x14ac:dyDescent="0.25">
      <c r="B15" s="207"/>
      <c r="C15" s="83" t="s">
        <v>339</v>
      </c>
      <c r="D15" s="84"/>
      <c r="E15" s="84">
        <v>0.80689999999999995</v>
      </c>
      <c r="F15" s="84">
        <v>0.79459999999999997</v>
      </c>
      <c r="G15" s="84">
        <v>0.79</v>
      </c>
      <c r="H15" s="84">
        <v>0.77990000000000004</v>
      </c>
      <c r="I15" s="84">
        <v>0.78029999999999999</v>
      </c>
      <c r="J15" s="84">
        <v>0.8</v>
      </c>
      <c r="K15" s="84"/>
      <c r="L15" s="84">
        <v>0.78029999999999999</v>
      </c>
      <c r="M15" s="84">
        <v>0.78049999999999997</v>
      </c>
      <c r="N15" s="84">
        <v>0.78</v>
      </c>
      <c r="O15" s="84">
        <v>0.78</v>
      </c>
      <c r="P15" s="84"/>
      <c r="Q15" s="84">
        <v>0.78049999999999997</v>
      </c>
      <c r="R15" s="84">
        <v>0.78169999999999995</v>
      </c>
      <c r="S15" s="84">
        <v>0.78029999999999999</v>
      </c>
      <c r="T15" s="84">
        <v>0.78049999999999997</v>
      </c>
      <c r="U15" s="84">
        <v>0.78</v>
      </c>
      <c r="V15" s="84">
        <v>0.78</v>
      </c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</row>
    <row r="16" spans="2:34" ht="15" customHeight="1" thickBot="1" x14ac:dyDescent="0.3">
      <c r="B16" s="208"/>
      <c r="C16" s="83" t="s">
        <v>338</v>
      </c>
      <c r="D16" s="84"/>
      <c r="E16" s="82">
        <v>4.82E-2</v>
      </c>
      <c r="F16" s="82">
        <v>4.7600000000000003E-2</v>
      </c>
      <c r="G16" s="82">
        <v>4.8000000000000001E-2</v>
      </c>
      <c r="H16" s="82">
        <v>4.7500000000000001E-2</v>
      </c>
      <c r="I16" s="82">
        <v>4.8099999999999997E-2</v>
      </c>
      <c r="J16" s="82">
        <v>4.8300000000000003E-2</v>
      </c>
      <c r="K16" s="82"/>
      <c r="L16" s="82">
        <v>4.7399999999999998E-2</v>
      </c>
      <c r="M16" s="82">
        <v>4.8399999999999999E-2</v>
      </c>
      <c r="N16" s="84">
        <v>4.8000000000000001E-2</v>
      </c>
      <c r="O16" s="84">
        <v>4.8000000000000001E-2</v>
      </c>
      <c r="P16" s="84"/>
      <c r="Q16" s="84">
        <v>4.7800000000000002E-2</v>
      </c>
      <c r="R16" s="84">
        <v>4.8000000000000001E-2</v>
      </c>
      <c r="S16" s="84">
        <v>4.7899999999999998E-2</v>
      </c>
      <c r="T16" s="84">
        <v>4.7800000000000002E-2</v>
      </c>
      <c r="U16" s="84">
        <v>4.8000000000000001E-2</v>
      </c>
      <c r="V16" s="84">
        <v>4.8000000000000001E-2</v>
      </c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</row>
    <row r="17" spans="2:34" ht="15" customHeight="1" x14ac:dyDescent="0.25">
      <c r="B17" s="209" t="s">
        <v>959</v>
      </c>
      <c r="C17" s="85" t="s">
        <v>957</v>
      </c>
      <c r="D17" s="86"/>
      <c r="E17" s="86">
        <v>0.14399999999999999</v>
      </c>
      <c r="F17" s="86"/>
      <c r="G17" s="86">
        <v>0.17199999999999999</v>
      </c>
      <c r="H17" s="86">
        <v>0.17199999999999999</v>
      </c>
      <c r="I17" s="86">
        <v>0.17199999999999999</v>
      </c>
      <c r="J17" s="86"/>
      <c r="K17" s="86"/>
      <c r="L17" s="86">
        <v>0.17199999999999999</v>
      </c>
      <c r="M17" s="86">
        <v>0.17</v>
      </c>
      <c r="N17" s="86"/>
      <c r="O17" s="86">
        <v>0.17199999999999999</v>
      </c>
      <c r="P17" s="86">
        <v>0.1714</v>
      </c>
      <c r="Q17" s="86"/>
      <c r="R17" s="86"/>
      <c r="S17" s="86">
        <v>0.17199999999999999</v>
      </c>
      <c r="T17" s="86">
        <v>0.17199999999999999</v>
      </c>
      <c r="U17" s="86">
        <v>0.17199999999999999</v>
      </c>
      <c r="V17" s="86">
        <v>0.17199999999999999</v>
      </c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</row>
    <row r="18" spans="2:34" ht="15" customHeight="1" x14ac:dyDescent="0.25">
      <c r="B18" s="210"/>
      <c r="C18" s="87" t="s">
        <v>339</v>
      </c>
      <c r="D18" s="86"/>
      <c r="E18" s="86">
        <v>0.80800000000000005</v>
      </c>
      <c r="F18" s="86"/>
      <c r="G18" s="86">
        <v>0.78</v>
      </c>
      <c r="H18" s="86">
        <v>0.78</v>
      </c>
      <c r="I18" s="86">
        <v>0.78</v>
      </c>
      <c r="J18" s="86"/>
      <c r="K18" s="86"/>
      <c r="L18" s="86">
        <v>0.78</v>
      </c>
      <c r="M18" s="86">
        <v>0.78200000000000003</v>
      </c>
      <c r="N18" s="86"/>
      <c r="O18" s="86">
        <v>0.78</v>
      </c>
      <c r="P18" s="86">
        <v>0.78059999999999996</v>
      </c>
      <c r="Q18" s="86"/>
      <c r="R18" s="86"/>
      <c r="S18" s="86">
        <v>0.78</v>
      </c>
      <c r="T18" s="86">
        <v>0.78</v>
      </c>
      <c r="U18" s="86">
        <v>0.78</v>
      </c>
      <c r="V18" s="86">
        <v>0.78</v>
      </c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</row>
    <row r="19" spans="2:34" ht="15" customHeight="1" thickBot="1" x14ac:dyDescent="0.3">
      <c r="B19" s="211"/>
      <c r="C19" s="87" t="s">
        <v>338</v>
      </c>
      <c r="D19" s="86"/>
      <c r="E19" s="86">
        <v>4.8000000000000001E-2</v>
      </c>
      <c r="F19" s="86"/>
      <c r="G19" s="86">
        <v>4.8000000000000001E-2</v>
      </c>
      <c r="H19" s="86">
        <v>4.8000000000000001E-2</v>
      </c>
      <c r="I19" s="86">
        <v>4.8000000000000001E-2</v>
      </c>
      <c r="J19" s="86"/>
      <c r="K19" s="86"/>
      <c r="L19" s="86">
        <v>4.8000000000000001E-2</v>
      </c>
      <c r="M19" s="86">
        <v>4.8000000000000001E-2</v>
      </c>
      <c r="N19" s="86"/>
      <c r="O19" s="86">
        <v>4.8000000000000001E-2</v>
      </c>
      <c r="P19" s="86">
        <v>4.8000000000000001E-2</v>
      </c>
      <c r="Q19" s="86"/>
      <c r="R19" s="86"/>
      <c r="S19" s="86">
        <v>4.8000000000000001E-2</v>
      </c>
      <c r="T19" s="86">
        <v>4.8000000000000001E-2</v>
      </c>
      <c r="U19" s="86">
        <v>4.8000000000000001E-2</v>
      </c>
      <c r="V19" s="86">
        <v>4.8000000000000001E-2</v>
      </c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</row>
    <row r="20" spans="2:34" ht="15" customHeight="1" x14ac:dyDescent="0.25">
      <c r="B20" s="200" t="s">
        <v>960</v>
      </c>
      <c r="C20" s="88" t="s">
        <v>957</v>
      </c>
      <c r="D20" s="89"/>
      <c r="E20" s="135">
        <v>0.27200000000000002</v>
      </c>
      <c r="F20" s="135">
        <v>0.27200000000000002</v>
      </c>
      <c r="G20" s="122"/>
      <c r="H20" s="122"/>
      <c r="I20" s="122"/>
      <c r="J20" s="135">
        <v>0.27200000000000002</v>
      </c>
      <c r="K20" s="122"/>
      <c r="L20" s="122"/>
      <c r="M20" s="122"/>
      <c r="N20" s="122"/>
      <c r="O20" s="135">
        <v>0.25829999999999997</v>
      </c>
      <c r="P20" s="135">
        <v>0.252</v>
      </c>
      <c r="Q20" s="122"/>
      <c r="R20" s="122"/>
      <c r="S20" s="122"/>
      <c r="T20" s="122">
        <v>27.2</v>
      </c>
      <c r="U20" s="122">
        <v>26.2</v>
      </c>
      <c r="V20" s="122">
        <v>27.1</v>
      </c>
      <c r="W20" s="122"/>
      <c r="X20" s="122"/>
      <c r="Y20" s="122"/>
      <c r="Z20" s="122"/>
      <c r="AA20" s="122"/>
      <c r="AB20" s="122"/>
      <c r="AC20" s="122"/>
      <c r="AD20" s="122"/>
      <c r="AE20" s="122"/>
      <c r="AF20" s="122"/>
      <c r="AG20" s="122"/>
      <c r="AH20" s="122"/>
    </row>
    <row r="21" spans="2:34" ht="15" customHeight="1" x14ac:dyDescent="0.25">
      <c r="B21" s="201"/>
      <c r="C21" s="90" t="s">
        <v>339</v>
      </c>
      <c r="D21" s="89"/>
      <c r="E21" s="133">
        <v>0.68</v>
      </c>
      <c r="F21" s="133">
        <v>0.68</v>
      </c>
      <c r="G21" s="124"/>
      <c r="H21" s="124"/>
      <c r="I21" s="124"/>
      <c r="J21" s="133">
        <v>0.68</v>
      </c>
      <c r="K21" s="124"/>
      <c r="L21" s="124"/>
      <c r="M21" s="124"/>
      <c r="N21" s="124"/>
      <c r="O21" s="134">
        <v>0.69330000000000003</v>
      </c>
      <c r="P21" s="133">
        <v>0.7</v>
      </c>
      <c r="Q21" s="124"/>
      <c r="R21" s="124"/>
      <c r="S21" s="124"/>
      <c r="T21" s="124">
        <v>68</v>
      </c>
      <c r="U21" s="124">
        <v>69</v>
      </c>
      <c r="V21" s="124">
        <v>68.06</v>
      </c>
      <c r="W21" s="124"/>
      <c r="X21" s="124"/>
      <c r="Y21" s="124"/>
      <c r="Z21" s="124"/>
      <c r="AA21" s="124"/>
      <c r="AB21" s="124"/>
      <c r="AC21" s="124"/>
      <c r="AD21" s="124"/>
      <c r="AE21" s="124"/>
      <c r="AF21" s="124"/>
      <c r="AG21" s="124"/>
      <c r="AH21" s="124"/>
    </row>
    <row r="22" spans="2:34" ht="15" customHeight="1" thickBot="1" x14ac:dyDescent="0.3">
      <c r="B22" s="212"/>
      <c r="C22" s="108" t="s">
        <v>338</v>
      </c>
      <c r="D22" s="109"/>
      <c r="E22" s="136">
        <v>4.8000000000000001E-2</v>
      </c>
      <c r="F22" s="136">
        <v>4.8000000000000001E-2</v>
      </c>
      <c r="G22" s="126"/>
      <c r="H22" s="126"/>
      <c r="I22" s="126"/>
      <c r="J22" s="136">
        <v>4.8000000000000001E-2</v>
      </c>
      <c r="K22" s="126"/>
      <c r="L22" s="126"/>
      <c r="M22" s="126"/>
      <c r="N22" s="126"/>
      <c r="O22" s="136">
        <v>4.8300000000000003E-2</v>
      </c>
      <c r="P22" s="136">
        <v>4.8000000000000001E-2</v>
      </c>
      <c r="Q22" s="126"/>
      <c r="R22" s="126"/>
      <c r="S22" s="126"/>
      <c r="T22" s="126">
        <v>4.8</v>
      </c>
      <c r="U22" s="126">
        <v>4.8</v>
      </c>
      <c r="V22" s="126">
        <v>4.84</v>
      </c>
      <c r="W22" s="126"/>
      <c r="X22" s="126"/>
      <c r="Y22" s="126"/>
      <c r="Z22" s="126"/>
      <c r="AA22" s="126"/>
      <c r="AB22" s="126"/>
      <c r="AC22" s="126"/>
      <c r="AD22" s="126"/>
      <c r="AE22" s="126"/>
      <c r="AF22" s="126"/>
      <c r="AG22" s="126"/>
      <c r="AH22" s="126"/>
    </row>
    <row r="23" spans="2:34" ht="15" customHeight="1" thickBot="1" x14ac:dyDescent="0.3">
      <c r="B23" s="34" t="s">
        <v>7</v>
      </c>
      <c r="C23" s="115"/>
      <c r="D23" s="10">
        <v>5114</v>
      </c>
      <c r="E23" s="10">
        <v>5161</v>
      </c>
      <c r="F23" s="10">
        <v>5161</v>
      </c>
      <c r="G23" s="10">
        <v>5220</v>
      </c>
      <c r="H23" s="10">
        <v>5202</v>
      </c>
      <c r="I23" s="10">
        <v>5225</v>
      </c>
      <c r="J23" s="10">
        <v>5215</v>
      </c>
      <c r="K23" s="10">
        <v>5211</v>
      </c>
      <c r="L23" s="10">
        <v>5227</v>
      </c>
      <c r="M23" s="10">
        <v>5215</v>
      </c>
      <c r="N23" s="131">
        <v>5221</v>
      </c>
      <c r="O23" s="131">
        <v>5205</v>
      </c>
      <c r="P23" s="131">
        <v>5217</v>
      </c>
      <c r="Q23" s="131">
        <v>5217</v>
      </c>
      <c r="R23" s="131">
        <v>5217</v>
      </c>
      <c r="S23" s="131">
        <v>5217</v>
      </c>
      <c r="T23" s="131">
        <v>5218</v>
      </c>
      <c r="U23" s="131">
        <v>5218</v>
      </c>
      <c r="V23" s="131">
        <v>5217</v>
      </c>
      <c r="W23" s="131">
        <v>5203</v>
      </c>
      <c r="X23" s="131">
        <v>5207</v>
      </c>
      <c r="Y23" s="131">
        <v>5200</v>
      </c>
      <c r="Z23" s="131">
        <v>5220</v>
      </c>
      <c r="AA23" s="131">
        <v>5214</v>
      </c>
      <c r="AB23" s="131">
        <v>5205</v>
      </c>
      <c r="AC23" s="131">
        <v>5214</v>
      </c>
      <c r="AD23" s="131">
        <v>5218</v>
      </c>
      <c r="AE23" s="131">
        <v>5214</v>
      </c>
      <c r="AF23" s="131">
        <v>5225</v>
      </c>
      <c r="AG23" s="131"/>
      <c r="AH23" s="131"/>
    </row>
    <row r="24" spans="2:34" ht="7.5" customHeight="1" thickBot="1" x14ac:dyDescent="0.3"/>
    <row r="25" spans="2:34" ht="12.75" customHeight="1" thickBot="1" x14ac:dyDescent="0.3">
      <c r="B25" s="213" t="s">
        <v>1002</v>
      </c>
      <c r="C25" s="214"/>
      <c r="D25" s="127">
        <v>80.039999999985994</v>
      </c>
      <c r="E25" s="128">
        <v>77.987525993248326</v>
      </c>
      <c r="F25" s="129">
        <v>78.057851285179751</v>
      </c>
      <c r="G25" s="129">
        <v>77.972602739315064</v>
      </c>
      <c r="H25" s="129">
        <v>77.996422184180688</v>
      </c>
      <c r="I25" s="129">
        <v>77.17693809250305</v>
      </c>
      <c r="J25" s="129">
        <v>76.391752575795124</v>
      </c>
      <c r="K25" s="130">
        <v>78.035714295513102</v>
      </c>
      <c r="L25" s="130">
        <v>76.757990867579906</v>
      </c>
      <c r="M25" s="130">
        <v>77.209302315525647</v>
      </c>
      <c r="N25" s="130">
        <v>78.01560286148937</v>
      </c>
      <c r="O25" s="130">
        <v>76.368448907607203</v>
      </c>
      <c r="P25" s="130">
        <v>77.431906610829643</v>
      </c>
      <c r="Q25" s="130">
        <v>78.038277511889802</v>
      </c>
      <c r="R25" s="130">
        <v>77.495412839600931</v>
      </c>
      <c r="S25" s="130">
        <v>77.111111110669142</v>
      </c>
      <c r="T25" s="130">
        <v>77.423312876791414</v>
      </c>
      <c r="U25" s="130">
        <v>77.403726718074523</v>
      </c>
      <c r="V25" s="130">
        <v>77.339055793656769</v>
      </c>
      <c r="W25" s="130">
        <v>75.182926829268311</v>
      </c>
      <c r="X25" s="130">
        <v>75.204678356686657</v>
      </c>
      <c r="Y25" s="130">
        <v>77.012195118634168</v>
      </c>
      <c r="Z25" s="130">
        <v>76.987577639577637</v>
      </c>
      <c r="AA25" s="130">
        <v>77.021276595753193</v>
      </c>
      <c r="AB25" s="130">
        <v>76.540540583378373</v>
      </c>
      <c r="AC25" s="130">
        <v>76</v>
      </c>
      <c r="AD25" s="130">
        <v>76.40138408034673</v>
      </c>
      <c r="AE25" s="130">
        <v>75.849056594716984</v>
      </c>
      <c r="AF25" s="130">
        <v>76.217948716480777</v>
      </c>
      <c r="AG25" s="130">
        <v>77.037037033971629</v>
      </c>
      <c r="AH25" s="130">
        <v>76.057347699753024</v>
      </c>
    </row>
    <row r="26" spans="2:34" ht="12.75" customHeight="1" x14ac:dyDescent="0.25">
      <c r="B26" s="114"/>
    </row>
    <row r="27" spans="2:34" ht="12.75" customHeight="1" x14ac:dyDescent="0.25">
      <c r="B27" s="114"/>
    </row>
    <row r="28" spans="2:34" ht="12.75" customHeight="1" x14ac:dyDescent="0.25">
      <c r="B28" s="114"/>
    </row>
    <row r="29" spans="2:34" ht="12.75" customHeight="1" x14ac:dyDescent="0.25">
      <c r="B29" s="114"/>
    </row>
    <row r="30" spans="2:34" ht="12.75" customHeight="1" x14ac:dyDescent="0.25">
      <c r="B30" s="114"/>
    </row>
    <row r="31" spans="2:34" ht="12.75" customHeight="1" x14ac:dyDescent="0.25">
      <c r="B31" s="114"/>
    </row>
    <row r="32" spans="2:34" ht="12.75" customHeight="1" x14ac:dyDescent="0.25">
      <c r="B32" s="114"/>
    </row>
    <row r="33" spans="2:2" ht="12.75" customHeight="1" x14ac:dyDescent="0.25">
      <c r="B33" s="114"/>
    </row>
    <row r="34" spans="2:2" ht="12.75" customHeight="1" x14ac:dyDescent="0.25">
      <c r="B34" s="114"/>
    </row>
    <row r="35" spans="2:2" ht="12.75" customHeight="1" x14ac:dyDescent="0.25">
      <c r="B35" s="114"/>
    </row>
    <row r="36" spans="2:2" ht="12.75" customHeight="1" x14ac:dyDescent="0.25">
      <c r="B36" s="114"/>
    </row>
    <row r="37" spans="2:2" ht="12.75" customHeight="1" x14ac:dyDescent="0.25">
      <c r="B37" s="114"/>
    </row>
    <row r="38" spans="2:2" ht="12.75" customHeight="1" x14ac:dyDescent="0.25">
      <c r="B38" s="114"/>
    </row>
    <row r="39" spans="2:2" x14ac:dyDescent="0.25">
      <c r="B39" s="114"/>
    </row>
    <row r="40" spans="2:2" x14ac:dyDescent="0.25">
      <c r="B40" s="114"/>
    </row>
    <row r="41" spans="2:2" x14ac:dyDescent="0.25">
      <c r="B41" s="114"/>
    </row>
    <row r="42" spans="2:2" x14ac:dyDescent="0.25">
      <c r="B42" s="114"/>
    </row>
    <row r="43" spans="2:2" x14ac:dyDescent="0.25">
      <c r="B43" s="114"/>
    </row>
    <row r="44" spans="2:2" x14ac:dyDescent="0.25">
      <c r="B44" s="114"/>
    </row>
    <row r="45" spans="2:2" x14ac:dyDescent="0.25">
      <c r="B45" s="114"/>
    </row>
    <row r="46" spans="2:2" x14ac:dyDescent="0.25">
      <c r="B46" s="114"/>
    </row>
  </sheetData>
  <mergeCells count="7">
    <mergeCell ref="B25:C25"/>
    <mergeCell ref="B20:B22"/>
    <mergeCell ref="B3:B5"/>
    <mergeCell ref="B6:B8"/>
    <mergeCell ref="B9:B11"/>
    <mergeCell ref="B14:B16"/>
    <mergeCell ref="B17:B19"/>
  </mergeCells>
  <pageMargins left="0.7" right="0.7" top="0.75" bottom="0.75" header="0.3" footer="0.3"/>
  <pageSetup orientation="portrait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B1:AG46"/>
  <sheetViews>
    <sheetView zoomScale="90" zoomScaleNormal="90" workbookViewId="0">
      <pane xSplit="3" topLeftCell="X1" activePane="topRight" state="frozen"/>
      <selection pane="topRight" activeCell="AG25" sqref="AG25"/>
    </sheetView>
  </sheetViews>
  <sheetFormatPr defaultRowHeight="15" x14ac:dyDescent="0.25"/>
  <cols>
    <col min="3" max="3" width="28.140625" customWidth="1"/>
    <col min="4" max="33" width="10.140625" bestFit="1" customWidth="1"/>
  </cols>
  <sheetData>
    <row r="1" spans="2:33" ht="6" customHeight="1" thickBot="1" x14ac:dyDescent="0.3">
      <c r="AB1" t="s">
        <v>1056</v>
      </c>
      <c r="AC1" t="s">
        <v>1056</v>
      </c>
      <c r="AD1" t="s">
        <v>1056</v>
      </c>
      <c r="AE1" t="s">
        <v>1056</v>
      </c>
      <c r="AF1" t="s">
        <v>1056</v>
      </c>
      <c r="AG1" t="s">
        <v>1056</v>
      </c>
    </row>
    <row r="2" spans="2:33" ht="15" customHeight="1" thickBot="1" x14ac:dyDescent="0.3">
      <c r="B2" s="94" t="s">
        <v>964</v>
      </c>
      <c r="C2" s="96" t="s">
        <v>961</v>
      </c>
      <c r="D2" s="97" t="str">
        <f t="shared" ref="D2:E2" si="0">D13</f>
        <v>01.11.2024</v>
      </c>
      <c r="E2" s="97" t="str">
        <f t="shared" si="0"/>
        <v>02.11.2024</v>
      </c>
      <c r="F2" s="97" t="str">
        <f t="shared" ref="F2:G2" si="1">F13</f>
        <v>03.11.2024</v>
      </c>
      <c r="G2" s="97" t="str">
        <f t="shared" si="1"/>
        <v>04.11.2024</v>
      </c>
      <c r="H2" s="97" t="str">
        <f t="shared" ref="H2:I2" si="2">H13</f>
        <v>05.11.2024</v>
      </c>
      <c r="I2" s="97" t="str">
        <f t="shared" si="2"/>
        <v>06.11.2024</v>
      </c>
      <c r="J2" s="97" t="str">
        <f t="shared" ref="J2:K2" si="3">J13</f>
        <v>07.11.2024</v>
      </c>
      <c r="K2" s="97" t="str">
        <f t="shared" si="3"/>
        <v>08.11.2024</v>
      </c>
      <c r="L2" s="97" t="str">
        <f t="shared" ref="L2:M2" si="4">L13</f>
        <v>09.11.2024</v>
      </c>
      <c r="M2" s="97" t="str">
        <f t="shared" si="4"/>
        <v>10.11.2024</v>
      </c>
      <c r="N2" s="97" t="str">
        <f t="shared" ref="N2:O2" si="5">N13</f>
        <v>11.11.2024</v>
      </c>
      <c r="O2" s="97" t="str">
        <f t="shared" si="5"/>
        <v>12.11.2024</v>
      </c>
      <c r="P2" s="97" t="str">
        <f t="shared" ref="P2:Q2" si="6">P13</f>
        <v>13.11.2024</v>
      </c>
      <c r="Q2" s="97" t="str">
        <f t="shared" si="6"/>
        <v>14.11.2024</v>
      </c>
      <c r="R2" s="97" t="str">
        <f t="shared" ref="R2:S2" si="7">R13</f>
        <v>15.11.2024</v>
      </c>
      <c r="S2" s="97" t="str">
        <f t="shared" si="7"/>
        <v>16.11.2024</v>
      </c>
      <c r="T2" s="97" t="str">
        <f t="shared" ref="T2:U2" si="8">T13</f>
        <v>17.11.2024</v>
      </c>
      <c r="U2" s="97" t="str">
        <f t="shared" si="8"/>
        <v>18.11.2024</v>
      </c>
      <c r="V2" s="97" t="str">
        <f t="shared" ref="V2:W2" si="9">V13</f>
        <v>19.11.2024</v>
      </c>
      <c r="W2" s="97" t="str">
        <f t="shared" si="9"/>
        <v>20.11.2024</v>
      </c>
      <c r="X2" s="97" t="str">
        <f t="shared" ref="X2:Y2" si="10">X13</f>
        <v>21.11.2024</v>
      </c>
      <c r="Y2" s="97" t="str">
        <f t="shared" si="10"/>
        <v>22.11.2024</v>
      </c>
      <c r="Z2" s="97" t="str">
        <f t="shared" ref="Z2:AA2" si="11">Z13</f>
        <v>23.11.2024</v>
      </c>
      <c r="AA2" s="97" t="str">
        <f t="shared" si="11"/>
        <v>24.11.2024</v>
      </c>
      <c r="AB2" s="97" t="str">
        <f t="shared" ref="AB2:AC2" si="12">AB13</f>
        <v>25.11.2024</v>
      </c>
      <c r="AC2" s="97" t="str">
        <f t="shared" si="12"/>
        <v>26.11.2024</v>
      </c>
      <c r="AD2" s="97" t="str">
        <f t="shared" ref="AD2:AE2" si="13">AD13</f>
        <v>27.11.2024</v>
      </c>
      <c r="AE2" s="97" t="str">
        <f t="shared" si="13"/>
        <v>28.11.2024</v>
      </c>
      <c r="AF2" s="97" t="str">
        <f t="shared" ref="AF2:AG2" si="14">AF13</f>
        <v>29.11.2024</v>
      </c>
      <c r="AG2" s="97" t="str">
        <f t="shared" si="14"/>
        <v>30.11.2024</v>
      </c>
    </row>
    <row r="3" spans="2:33" ht="15" customHeight="1" x14ac:dyDescent="0.25">
      <c r="B3" s="206" t="s">
        <v>958</v>
      </c>
      <c r="C3" s="116" t="s">
        <v>957</v>
      </c>
      <c r="D3" s="117">
        <v>0.18540000000000001</v>
      </c>
      <c r="E3" s="84">
        <v>0.1772</v>
      </c>
      <c r="F3" s="117"/>
      <c r="G3" s="117"/>
      <c r="H3" s="117">
        <v>0.18179999999999999</v>
      </c>
      <c r="I3" s="117">
        <v>0.1797</v>
      </c>
      <c r="J3" s="117">
        <v>0.18</v>
      </c>
      <c r="K3" s="117">
        <v>0.192</v>
      </c>
      <c r="L3" s="117">
        <v>0.192</v>
      </c>
      <c r="M3" s="117">
        <v>0.1817</v>
      </c>
      <c r="N3" s="117">
        <v>0.17949999999999999</v>
      </c>
      <c r="O3" s="117">
        <v>0.17899999999999999</v>
      </c>
      <c r="P3" s="117">
        <v>0.1797</v>
      </c>
      <c r="Q3" s="117">
        <v>0.17199999999999999</v>
      </c>
      <c r="R3" s="117">
        <v>0.19220000000000001</v>
      </c>
      <c r="S3" s="117"/>
      <c r="T3" s="117">
        <v>0.18079999999999999</v>
      </c>
      <c r="U3" s="117"/>
      <c r="V3" s="117"/>
      <c r="W3" s="117">
        <v>0.18</v>
      </c>
      <c r="X3" s="117">
        <v>0.186</v>
      </c>
      <c r="Y3" s="117"/>
      <c r="Z3" s="117">
        <v>0.192</v>
      </c>
      <c r="AA3" s="117">
        <v>0.17960000000000001</v>
      </c>
      <c r="AB3" s="117">
        <v>0.1784</v>
      </c>
      <c r="AC3" s="117">
        <v>0.18179999999999999</v>
      </c>
      <c r="AD3" s="117">
        <v>0.17929999999999999</v>
      </c>
      <c r="AE3" s="117">
        <v>0.17979999999999999</v>
      </c>
      <c r="AF3" s="117">
        <v>0.1807</v>
      </c>
      <c r="AG3" s="117">
        <v>0.182</v>
      </c>
    </row>
    <row r="4" spans="2:33" ht="15" customHeight="1" x14ac:dyDescent="0.25">
      <c r="B4" s="207"/>
      <c r="C4" s="118" t="s">
        <v>339</v>
      </c>
      <c r="D4" s="84">
        <v>0.76659999999999995</v>
      </c>
      <c r="E4" s="84">
        <v>0.77590000000000003</v>
      </c>
      <c r="F4" s="84"/>
      <c r="G4" s="84"/>
      <c r="H4" s="84">
        <v>0.7702</v>
      </c>
      <c r="I4" s="84">
        <v>0.77249999999999996</v>
      </c>
      <c r="J4" s="84">
        <v>0.77200000000000002</v>
      </c>
      <c r="K4" s="84">
        <v>0.76</v>
      </c>
      <c r="L4" s="84">
        <v>0.76</v>
      </c>
      <c r="M4" s="84">
        <v>0.77080000000000004</v>
      </c>
      <c r="N4" s="84">
        <v>0.77190000000000003</v>
      </c>
      <c r="O4" s="84">
        <v>0.77259999999999995</v>
      </c>
      <c r="P4" s="84">
        <v>0.77229999999999999</v>
      </c>
      <c r="Q4" s="84">
        <v>0.77980000000000005</v>
      </c>
      <c r="R4" s="84">
        <v>0.75970000000000004</v>
      </c>
      <c r="S4" s="84"/>
      <c r="T4" s="84">
        <v>0.77110000000000001</v>
      </c>
      <c r="U4" s="84"/>
      <c r="V4" s="84"/>
      <c r="W4" s="84">
        <v>0.77190000000000003</v>
      </c>
      <c r="X4" s="84">
        <v>0.76600000000000001</v>
      </c>
      <c r="Y4" s="84"/>
      <c r="Z4" s="84">
        <v>0.76</v>
      </c>
      <c r="AA4" s="84">
        <v>0.77239999999999998</v>
      </c>
      <c r="AB4" s="84">
        <v>0.77329999999999999</v>
      </c>
      <c r="AC4" s="84">
        <v>0.76990000000000003</v>
      </c>
      <c r="AD4" s="84">
        <v>0.77280000000000004</v>
      </c>
      <c r="AE4" s="84">
        <v>0.7722</v>
      </c>
      <c r="AF4" s="84">
        <v>0.77110000000000001</v>
      </c>
      <c r="AG4" s="84">
        <v>0.77</v>
      </c>
    </row>
    <row r="5" spans="2:33" ht="15" customHeight="1" thickBot="1" x14ac:dyDescent="0.3">
      <c r="B5" s="208"/>
      <c r="C5" s="118" t="s">
        <v>338</v>
      </c>
      <c r="D5" s="84">
        <v>4.8000000000000001E-2</v>
      </c>
      <c r="E5" s="84">
        <v>4.6899999999999997E-2</v>
      </c>
      <c r="F5" s="84"/>
      <c r="G5" s="84"/>
      <c r="H5" s="84">
        <v>4.8000000000000001E-2</v>
      </c>
      <c r="I5" s="84">
        <v>4.7800000000000002E-2</v>
      </c>
      <c r="J5" s="84">
        <v>4.8000000000000001E-2</v>
      </c>
      <c r="K5" s="84">
        <v>4.8000000000000001E-2</v>
      </c>
      <c r="L5" s="84">
        <v>4.8000000000000001E-2</v>
      </c>
      <c r="M5" s="84">
        <v>4.7500000000000001E-2</v>
      </c>
      <c r="N5" s="84">
        <v>4.8599999999999997E-2</v>
      </c>
      <c r="O5" s="84">
        <v>4.8399999999999999E-2</v>
      </c>
      <c r="P5" s="84">
        <v>4.8000000000000001E-2</v>
      </c>
      <c r="Q5" s="84">
        <v>4.82E-2</v>
      </c>
      <c r="R5" s="84">
        <v>4.8099999999999997E-2</v>
      </c>
      <c r="S5" s="84"/>
      <c r="T5" s="84">
        <v>4.8099999999999997E-2</v>
      </c>
      <c r="U5" s="84"/>
      <c r="V5" s="84"/>
      <c r="W5" s="84">
        <v>4.8099999999999997E-2</v>
      </c>
      <c r="X5" s="84">
        <v>4.8000000000000001E-2</v>
      </c>
      <c r="Y5" s="84"/>
      <c r="Z5" s="84">
        <v>4.8000000000000001E-2</v>
      </c>
      <c r="AA5" s="84">
        <v>4.8000000000000001E-2</v>
      </c>
      <c r="AB5" s="84">
        <v>4.8300000000000003E-2</v>
      </c>
      <c r="AC5" s="84">
        <v>4.8300000000000003E-2</v>
      </c>
      <c r="AD5" s="84">
        <v>4.7899999999999998E-2</v>
      </c>
      <c r="AE5" s="84">
        <v>4.8000000000000001E-2</v>
      </c>
      <c r="AF5" s="84">
        <v>4.82E-2</v>
      </c>
      <c r="AG5" s="84">
        <v>4.8000000000000001E-2</v>
      </c>
    </row>
    <row r="6" spans="2:33" ht="15" customHeight="1" x14ac:dyDescent="0.25">
      <c r="B6" s="209" t="s">
        <v>959</v>
      </c>
      <c r="C6" s="119" t="s">
        <v>957</v>
      </c>
      <c r="D6" s="86"/>
      <c r="E6" s="86">
        <v>0.192</v>
      </c>
      <c r="F6" s="86"/>
      <c r="G6" s="86"/>
      <c r="H6" s="86"/>
      <c r="I6" s="86">
        <v>0.18</v>
      </c>
      <c r="J6" s="86">
        <v>0.17929999999999999</v>
      </c>
      <c r="K6" s="86">
        <v>0.192</v>
      </c>
      <c r="L6" s="86"/>
      <c r="M6" s="86">
        <v>0.182</v>
      </c>
      <c r="N6" s="86">
        <v>0.18</v>
      </c>
      <c r="O6" s="86">
        <v>0.18</v>
      </c>
      <c r="P6" s="86">
        <v>0.18</v>
      </c>
      <c r="Q6" s="86"/>
      <c r="R6" s="86"/>
      <c r="S6" s="86"/>
      <c r="T6" s="86">
        <v>0.18</v>
      </c>
      <c r="U6" s="86"/>
      <c r="V6" s="86"/>
      <c r="W6" s="86"/>
      <c r="X6" s="86">
        <v>0.18</v>
      </c>
      <c r="Y6" s="86">
        <v>0.19270000000000001</v>
      </c>
      <c r="Z6" s="86">
        <v>0.1933</v>
      </c>
      <c r="AA6" s="86">
        <v>0.19</v>
      </c>
      <c r="AB6" s="86">
        <v>0.17780000000000001</v>
      </c>
      <c r="AC6" s="86">
        <v>0.1812</v>
      </c>
      <c r="AD6" s="86">
        <v>0.18</v>
      </c>
      <c r="AE6" s="86">
        <v>0.18099999999999999</v>
      </c>
      <c r="AF6" s="86">
        <v>0.18</v>
      </c>
      <c r="AG6" s="86"/>
    </row>
    <row r="7" spans="2:33" ht="15" customHeight="1" x14ac:dyDescent="0.25">
      <c r="B7" s="210"/>
      <c r="C7" s="120" t="s">
        <v>339</v>
      </c>
      <c r="D7" s="86"/>
      <c r="E7" s="86">
        <v>0.76</v>
      </c>
      <c r="F7" s="86"/>
      <c r="G7" s="86"/>
      <c r="H7" s="86"/>
      <c r="I7" s="86">
        <v>0.77200000000000002</v>
      </c>
      <c r="J7" s="86">
        <v>0.7732</v>
      </c>
      <c r="K7" s="86">
        <v>0.76</v>
      </c>
      <c r="L7" s="86"/>
      <c r="M7" s="86">
        <v>0.77</v>
      </c>
      <c r="N7" s="86">
        <v>0.77200000000000002</v>
      </c>
      <c r="O7" s="86">
        <v>0.77200000000000002</v>
      </c>
      <c r="P7" s="86">
        <v>0.77249999999999996</v>
      </c>
      <c r="Q7" s="86"/>
      <c r="R7" s="86"/>
      <c r="S7" s="86"/>
      <c r="T7" s="86">
        <v>0.77200000000000002</v>
      </c>
      <c r="U7" s="86"/>
      <c r="V7" s="86"/>
      <c r="W7" s="86"/>
      <c r="X7" s="86">
        <v>0.77149999999999996</v>
      </c>
      <c r="Y7" s="86">
        <v>0.76</v>
      </c>
      <c r="Z7" s="86">
        <v>0.76</v>
      </c>
      <c r="AA7" s="86">
        <v>0.76119999999999999</v>
      </c>
      <c r="AB7" s="86">
        <v>0.77410000000000001</v>
      </c>
      <c r="AC7" s="86">
        <v>0.77149999999999996</v>
      </c>
      <c r="AD7" s="86">
        <v>0.77</v>
      </c>
      <c r="AE7" s="86">
        <v>0.77149999999999996</v>
      </c>
      <c r="AF7" s="86">
        <v>0.77</v>
      </c>
      <c r="AG7" s="86"/>
    </row>
    <row r="8" spans="2:33" ht="15" customHeight="1" thickBot="1" x14ac:dyDescent="0.3">
      <c r="B8" s="211"/>
      <c r="C8" s="120" t="s">
        <v>338</v>
      </c>
      <c r="D8" s="86"/>
      <c r="E8" s="86">
        <v>4.8000000000000001E-2</v>
      </c>
      <c r="F8" s="86"/>
      <c r="G8" s="86"/>
      <c r="H8" s="86"/>
      <c r="I8" s="86">
        <v>4.8000000000000001E-2</v>
      </c>
      <c r="J8" s="86">
        <v>4.7500000000000001E-2</v>
      </c>
      <c r="K8" s="86">
        <v>4.8000000000000001E-2</v>
      </c>
      <c r="L8" s="86"/>
      <c r="M8" s="86">
        <v>4.8000000000000001E-2</v>
      </c>
      <c r="N8" s="86">
        <v>4.8000000000000001E-2</v>
      </c>
      <c r="O8" s="86">
        <v>4.8000000000000001E-2</v>
      </c>
      <c r="P8" s="86">
        <v>4.7500000000000001E-2</v>
      </c>
      <c r="Q8" s="86"/>
      <c r="R8" s="86"/>
      <c r="S8" s="86"/>
      <c r="T8" s="86">
        <v>4.8000000000000001E-2</v>
      </c>
      <c r="U8" s="86"/>
      <c r="V8" s="86"/>
      <c r="W8" s="86"/>
      <c r="X8" s="86">
        <v>4.8500000000000001E-2</v>
      </c>
      <c r="Y8" s="86">
        <v>4.7300000000000002E-2</v>
      </c>
      <c r="Z8" s="86">
        <v>4.6699999999999998E-2</v>
      </c>
      <c r="AA8" s="86">
        <v>4.8800000000000003E-2</v>
      </c>
      <c r="AB8" s="86">
        <v>4.8099999999999997E-2</v>
      </c>
      <c r="AC8" s="86">
        <v>4.7300000000000002E-2</v>
      </c>
      <c r="AD8" s="86">
        <v>0.05</v>
      </c>
      <c r="AE8" s="86">
        <v>4.7500000000000001E-2</v>
      </c>
      <c r="AF8" s="86">
        <v>0.05</v>
      </c>
      <c r="AG8" s="86"/>
    </row>
    <row r="9" spans="2:33" ht="15" customHeight="1" x14ac:dyDescent="0.25">
      <c r="B9" s="215" t="s">
        <v>960</v>
      </c>
      <c r="C9" s="121" t="s">
        <v>957</v>
      </c>
      <c r="D9" s="122"/>
      <c r="E9" s="122">
        <v>68</v>
      </c>
      <c r="F9" s="122"/>
      <c r="G9" s="122"/>
      <c r="H9" s="122"/>
      <c r="I9" s="122"/>
      <c r="J9" s="122">
        <v>28</v>
      </c>
      <c r="K9" s="122">
        <v>19.2</v>
      </c>
      <c r="L9" s="122"/>
      <c r="M9" s="122">
        <v>27.67</v>
      </c>
      <c r="N9" s="122"/>
      <c r="O9" s="122">
        <v>27</v>
      </c>
      <c r="P9" s="122"/>
      <c r="Q9" s="122">
        <v>22.5</v>
      </c>
      <c r="R9" s="122"/>
      <c r="S9" s="122"/>
      <c r="T9" s="122">
        <v>28</v>
      </c>
      <c r="U9" s="122"/>
      <c r="V9" s="122"/>
      <c r="W9" s="122"/>
      <c r="X9" s="122">
        <v>29</v>
      </c>
      <c r="Y9" s="122">
        <v>25.2</v>
      </c>
      <c r="Z9" s="122">
        <v>24</v>
      </c>
      <c r="AA9" s="122"/>
      <c r="AB9" s="122">
        <v>26.06</v>
      </c>
      <c r="AC9" s="122"/>
      <c r="AD9" s="122">
        <v>28.17</v>
      </c>
      <c r="AE9" s="122">
        <v>28</v>
      </c>
      <c r="AF9" s="122">
        <v>24.29</v>
      </c>
      <c r="AG9" s="122"/>
    </row>
    <row r="10" spans="2:33" ht="15" customHeight="1" x14ac:dyDescent="0.25">
      <c r="B10" s="216"/>
      <c r="C10" s="123" t="s">
        <v>339</v>
      </c>
      <c r="D10" s="124"/>
      <c r="E10" s="124">
        <v>27.2</v>
      </c>
      <c r="F10" s="124"/>
      <c r="G10" s="124"/>
      <c r="H10" s="124"/>
      <c r="I10" s="124"/>
      <c r="J10" s="124">
        <v>67.2</v>
      </c>
      <c r="K10" s="124">
        <v>76</v>
      </c>
      <c r="L10" s="124"/>
      <c r="M10" s="124">
        <v>67.53</v>
      </c>
      <c r="N10" s="124"/>
      <c r="O10" s="124">
        <v>68.2</v>
      </c>
      <c r="P10" s="124"/>
      <c r="Q10" s="124">
        <v>72.69</v>
      </c>
      <c r="R10" s="124"/>
      <c r="S10" s="124"/>
      <c r="T10" s="124">
        <v>67.2</v>
      </c>
      <c r="U10" s="124"/>
      <c r="V10" s="124"/>
      <c r="W10" s="124"/>
      <c r="X10" s="124">
        <v>66.12</v>
      </c>
      <c r="Y10" s="124">
        <v>70</v>
      </c>
      <c r="Z10" s="124">
        <v>71</v>
      </c>
      <c r="AA10" s="124"/>
      <c r="AB10" s="124">
        <v>69.2</v>
      </c>
      <c r="AC10" s="124"/>
      <c r="AD10" s="124">
        <v>67.040000000000006</v>
      </c>
      <c r="AE10" s="124">
        <v>67.239999999999995</v>
      </c>
      <c r="AF10" s="124">
        <v>70.95</v>
      </c>
      <c r="AG10" s="124"/>
    </row>
    <row r="11" spans="2:33" ht="15" customHeight="1" thickBot="1" x14ac:dyDescent="0.3">
      <c r="B11" s="217"/>
      <c r="C11" s="125" t="s">
        <v>338</v>
      </c>
      <c r="D11" s="126"/>
      <c r="E11" s="126">
        <v>4.8</v>
      </c>
      <c r="F11" s="126"/>
      <c r="G11" s="126"/>
      <c r="H11" s="126"/>
      <c r="I11" s="126"/>
      <c r="J11" s="126">
        <v>4.8</v>
      </c>
      <c r="K11" s="126">
        <v>4.8</v>
      </c>
      <c r="L11" s="126"/>
      <c r="M11" s="126">
        <v>4.8</v>
      </c>
      <c r="N11" s="126"/>
      <c r="O11" s="126">
        <v>4.8</v>
      </c>
      <c r="P11" s="126"/>
      <c r="Q11" s="126">
        <v>4.8099999999999996</v>
      </c>
      <c r="R11" s="126"/>
      <c r="S11" s="126"/>
      <c r="T11" s="126">
        <v>4.8</v>
      </c>
      <c r="U11" s="126"/>
      <c r="V11" s="126"/>
      <c r="W11" s="126"/>
      <c r="X11" s="126">
        <v>4.88</v>
      </c>
      <c r="Y11" s="126">
        <v>4.8</v>
      </c>
      <c r="Z11" s="126">
        <v>5</v>
      </c>
      <c r="AA11" s="126"/>
      <c r="AB11" s="126">
        <v>4.74</v>
      </c>
      <c r="AC11" s="126"/>
      <c r="AD11" s="126">
        <v>4.79</v>
      </c>
      <c r="AE11" s="126">
        <v>4.76</v>
      </c>
      <c r="AF11" s="126">
        <v>4.76</v>
      </c>
      <c r="AG11" s="126"/>
    </row>
    <row r="12" spans="2:33" ht="6.75" customHeight="1" thickBot="1" x14ac:dyDescent="0.3"/>
    <row r="13" spans="2:33" ht="15" customHeight="1" thickBot="1" x14ac:dyDescent="0.3">
      <c r="B13" s="95" t="s">
        <v>964</v>
      </c>
      <c r="C13" s="94" t="s">
        <v>963</v>
      </c>
      <c r="D13" s="94" t="s">
        <v>1031</v>
      </c>
      <c r="E13" s="94" t="s">
        <v>1032</v>
      </c>
      <c r="F13" s="94" t="s">
        <v>1033</v>
      </c>
      <c r="G13" s="94" t="s">
        <v>1034</v>
      </c>
      <c r="H13" s="94" t="s">
        <v>1035</v>
      </c>
      <c r="I13" s="94" t="s">
        <v>1036</v>
      </c>
      <c r="J13" s="94" t="s">
        <v>1037</v>
      </c>
      <c r="K13" s="94" t="s">
        <v>1038</v>
      </c>
      <c r="L13" s="94" t="s">
        <v>1039</v>
      </c>
      <c r="M13" s="94" t="s">
        <v>1040</v>
      </c>
      <c r="N13" s="94" t="s">
        <v>1041</v>
      </c>
      <c r="O13" s="94" t="s">
        <v>1042</v>
      </c>
      <c r="P13" s="94" t="s">
        <v>1043</v>
      </c>
      <c r="Q13" s="94" t="s">
        <v>1044</v>
      </c>
      <c r="R13" s="94" t="s">
        <v>1045</v>
      </c>
      <c r="S13" s="94" t="s">
        <v>1046</v>
      </c>
      <c r="T13" s="94" t="s">
        <v>1047</v>
      </c>
      <c r="U13" s="94" t="s">
        <v>1048</v>
      </c>
      <c r="V13" s="94" t="s">
        <v>1049</v>
      </c>
      <c r="W13" s="94" t="s">
        <v>1050</v>
      </c>
      <c r="X13" s="94" t="s">
        <v>1051</v>
      </c>
      <c r="Y13" s="94" t="s">
        <v>1052</v>
      </c>
      <c r="Z13" s="94" t="s">
        <v>1053</v>
      </c>
      <c r="AA13" s="94" t="s">
        <v>1054</v>
      </c>
      <c r="AB13" s="94" t="s">
        <v>1055</v>
      </c>
      <c r="AC13" s="94" t="s">
        <v>1057</v>
      </c>
      <c r="AD13" s="94" t="s">
        <v>1058</v>
      </c>
      <c r="AE13" s="94" t="s">
        <v>1059</v>
      </c>
      <c r="AF13" s="94" t="s">
        <v>1060</v>
      </c>
      <c r="AG13" s="94" t="s">
        <v>1061</v>
      </c>
    </row>
    <row r="14" spans="2:33" ht="15" customHeight="1" x14ac:dyDescent="0.25">
      <c r="B14" s="206" t="s">
        <v>958</v>
      </c>
      <c r="C14" s="81" t="s">
        <v>957</v>
      </c>
      <c r="D14" s="84">
        <v>0.192</v>
      </c>
      <c r="E14" s="84">
        <v>0.1918</v>
      </c>
      <c r="F14" s="84">
        <v>0.17799999999999999</v>
      </c>
      <c r="G14" s="84">
        <v>0.18229999999999999</v>
      </c>
      <c r="H14" s="84">
        <v>0.18190000000000001</v>
      </c>
      <c r="I14" s="84">
        <v>0.18</v>
      </c>
      <c r="J14" s="84">
        <v>0.1799</v>
      </c>
      <c r="K14" s="84"/>
      <c r="L14" s="84"/>
      <c r="M14" s="84">
        <v>0.18</v>
      </c>
      <c r="N14" s="84">
        <v>0.18</v>
      </c>
      <c r="O14" s="84">
        <v>0.1799</v>
      </c>
      <c r="P14" s="84"/>
      <c r="Q14" s="84"/>
      <c r="R14" s="84">
        <v>0.19409999999999999</v>
      </c>
      <c r="S14" s="84">
        <v>0.19270000000000001</v>
      </c>
      <c r="T14" s="84">
        <v>0.17960000000000001</v>
      </c>
      <c r="U14" s="84">
        <v>0.18029999999999999</v>
      </c>
      <c r="V14" s="84">
        <v>0.18</v>
      </c>
      <c r="W14" s="84">
        <v>0.17949999999999999</v>
      </c>
      <c r="X14" s="84">
        <v>0.1797</v>
      </c>
      <c r="Y14" s="84">
        <v>0.18779999999999999</v>
      </c>
      <c r="Z14" s="84">
        <v>0.1918</v>
      </c>
      <c r="AA14" s="84">
        <v>0.1799</v>
      </c>
      <c r="AB14" s="84"/>
      <c r="AC14" s="84"/>
      <c r="AD14" s="84"/>
      <c r="AE14" s="84"/>
      <c r="AF14" s="84"/>
      <c r="AG14" s="84"/>
    </row>
    <row r="15" spans="2:33" ht="15" customHeight="1" x14ac:dyDescent="0.25">
      <c r="B15" s="207"/>
      <c r="C15" s="83" t="s">
        <v>339</v>
      </c>
      <c r="D15" s="84">
        <v>0.76</v>
      </c>
      <c r="E15" s="84">
        <v>0.75980000000000003</v>
      </c>
      <c r="F15" s="84">
        <v>0.7742</v>
      </c>
      <c r="G15" s="84">
        <v>0.77029999999999998</v>
      </c>
      <c r="H15" s="84">
        <v>0.77010000000000001</v>
      </c>
      <c r="I15" s="84">
        <v>0.77249999999999996</v>
      </c>
      <c r="J15" s="84">
        <v>0.77249999999999996</v>
      </c>
      <c r="K15" s="84"/>
      <c r="L15" s="84"/>
      <c r="M15" s="84">
        <v>0.7722</v>
      </c>
      <c r="N15" s="84">
        <v>0.77229999999999999</v>
      </c>
      <c r="O15" s="84">
        <v>0.77239999999999998</v>
      </c>
      <c r="P15" s="84"/>
      <c r="Q15" s="84"/>
      <c r="R15" s="84">
        <v>0.75880000000000003</v>
      </c>
      <c r="S15" s="84">
        <v>0.75929999999999997</v>
      </c>
      <c r="T15" s="84">
        <v>0.77239999999999998</v>
      </c>
      <c r="U15" s="84">
        <v>0.77180000000000004</v>
      </c>
      <c r="V15" s="84">
        <v>0.77190000000000003</v>
      </c>
      <c r="W15" s="84">
        <v>0.77229999999999999</v>
      </c>
      <c r="X15" s="84">
        <v>0.77229999999999999</v>
      </c>
      <c r="Y15" s="84">
        <v>0.76419999999999999</v>
      </c>
      <c r="Z15" s="84">
        <v>0.7601</v>
      </c>
      <c r="AA15" s="84">
        <v>0.77210000000000001</v>
      </c>
      <c r="AB15" s="84"/>
      <c r="AC15" s="84"/>
      <c r="AD15" s="84"/>
      <c r="AE15" s="84"/>
      <c r="AF15" s="84"/>
      <c r="AG15" s="84"/>
    </row>
    <row r="16" spans="2:33" ht="15" customHeight="1" thickBot="1" x14ac:dyDescent="0.3">
      <c r="B16" s="208"/>
      <c r="C16" s="83" t="s">
        <v>338</v>
      </c>
      <c r="D16" s="84">
        <v>4.8000000000000001E-2</v>
      </c>
      <c r="E16" s="84">
        <v>4.8399999999999999E-2</v>
      </c>
      <c r="F16" s="84">
        <v>4.7800000000000002E-2</v>
      </c>
      <c r="G16" s="84">
        <v>4.7399999999999998E-2</v>
      </c>
      <c r="H16" s="84">
        <v>4.8000000000000001E-2</v>
      </c>
      <c r="I16" s="84">
        <v>4.7500000000000001E-2</v>
      </c>
      <c r="J16" s="84">
        <v>4.7600000000000003E-2</v>
      </c>
      <c r="K16" s="84"/>
      <c r="L16" s="84"/>
      <c r="M16" s="84">
        <v>4.7800000000000002E-2</v>
      </c>
      <c r="N16" s="84">
        <v>4.7699999999999999E-2</v>
      </c>
      <c r="O16" s="84">
        <v>4.7699999999999999E-2</v>
      </c>
      <c r="P16" s="84"/>
      <c r="Q16" s="84"/>
      <c r="R16" s="84">
        <v>4.7100000000000003E-2</v>
      </c>
      <c r="S16" s="84">
        <v>4.8000000000000001E-2</v>
      </c>
      <c r="T16" s="84">
        <v>4.8000000000000001E-2</v>
      </c>
      <c r="U16" s="84">
        <v>4.7899999999999998E-2</v>
      </c>
      <c r="V16" s="84">
        <v>4.8099999999999997E-2</v>
      </c>
      <c r="W16" s="84">
        <v>4.82E-2</v>
      </c>
      <c r="X16" s="84">
        <v>4.8000000000000001E-2</v>
      </c>
      <c r="Y16" s="84">
        <v>4.8000000000000001E-2</v>
      </c>
      <c r="Z16" s="84">
        <v>4.8099999999999997E-2</v>
      </c>
      <c r="AA16" s="84">
        <v>4.8000000000000001E-2</v>
      </c>
      <c r="AB16" s="84"/>
      <c r="AC16" s="84"/>
      <c r="AD16" s="84"/>
      <c r="AE16" s="84"/>
      <c r="AF16" s="84"/>
      <c r="AG16" s="84"/>
    </row>
    <row r="17" spans="2:33" ht="15" customHeight="1" x14ac:dyDescent="0.25">
      <c r="B17" s="209" t="s">
        <v>959</v>
      </c>
      <c r="C17" s="85" t="s">
        <v>957</v>
      </c>
      <c r="D17" s="86">
        <v>0.192</v>
      </c>
      <c r="E17" s="86"/>
      <c r="F17" s="86"/>
      <c r="G17" s="86">
        <v>0.16339999999999999</v>
      </c>
      <c r="H17" s="86">
        <v>0.182</v>
      </c>
      <c r="I17" s="86">
        <v>0.1804</v>
      </c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>
        <v>0.18</v>
      </c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>
        <v>0.1802</v>
      </c>
    </row>
    <row r="18" spans="2:33" ht="15" customHeight="1" x14ac:dyDescent="0.25">
      <c r="B18" s="210"/>
      <c r="C18" s="87" t="s">
        <v>339</v>
      </c>
      <c r="D18" s="86">
        <v>0.76</v>
      </c>
      <c r="E18" s="86"/>
      <c r="F18" s="86"/>
      <c r="G18" s="86">
        <v>0.78959999999999997</v>
      </c>
      <c r="H18" s="86">
        <v>0.77</v>
      </c>
      <c r="I18" s="86">
        <v>0.77159999999999995</v>
      </c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>
        <v>0.77200000000000002</v>
      </c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>
        <v>0.77180000000000004</v>
      </c>
    </row>
    <row r="19" spans="2:33" ht="15" customHeight="1" thickBot="1" x14ac:dyDescent="0.3">
      <c r="B19" s="211"/>
      <c r="C19" s="87" t="s">
        <v>338</v>
      </c>
      <c r="D19" s="86">
        <v>4.8000000000000001E-2</v>
      </c>
      <c r="E19" s="86"/>
      <c r="F19" s="86"/>
      <c r="G19" s="86">
        <v>4.7E-2</v>
      </c>
      <c r="H19" s="86">
        <v>4.8000000000000001E-2</v>
      </c>
      <c r="I19" s="86">
        <v>4.8000000000000001E-2</v>
      </c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>
        <v>4.8000000000000001E-2</v>
      </c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>
        <v>4.8000000000000001E-2</v>
      </c>
    </row>
    <row r="20" spans="2:33" ht="15" customHeight="1" x14ac:dyDescent="0.25">
      <c r="B20" s="200" t="s">
        <v>960</v>
      </c>
      <c r="C20" s="88" t="s">
        <v>957</v>
      </c>
      <c r="D20" s="122"/>
      <c r="E20" s="122"/>
      <c r="F20" s="122"/>
      <c r="G20" s="122"/>
      <c r="H20" s="122">
        <v>27.2</v>
      </c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>
        <v>25</v>
      </c>
      <c r="T20" s="122"/>
      <c r="U20" s="122"/>
      <c r="V20" s="122"/>
      <c r="W20" s="122">
        <v>28</v>
      </c>
      <c r="X20" s="122"/>
      <c r="Y20" s="122"/>
      <c r="Z20" s="122"/>
      <c r="AA20" s="122"/>
      <c r="AB20" s="122"/>
      <c r="AC20" s="122"/>
      <c r="AD20" s="122"/>
      <c r="AE20" s="122"/>
      <c r="AF20" s="122"/>
      <c r="AG20" s="122"/>
    </row>
    <row r="21" spans="2:33" ht="15" customHeight="1" x14ac:dyDescent="0.25">
      <c r="B21" s="201"/>
      <c r="C21" s="90" t="s">
        <v>339</v>
      </c>
      <c r="D21" s="124"/>
      <c r="E21" s="124"/>
      <c r="F21" s="124"/>
      <c r="G21" s="124"/>
      <c r="H21" s="124">
        <v>68</v>
      </c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124">
        <v>70.2</v>
      </c>
      <c r="T21" s="124"/>
      <c r="U21" s="124"/>
      <c r="V21" s="124"/>
      <c r="W21" s="124">
        <v>67.2</v>
      </c>
      <c r="X21" s="124"/>
      <c r="Y21" s="124"/>
      <c r="Z21" s="124"/>
      <c r="AA21" s="124"/>
      <c r="AB21" s="124"/>
      <c r="AC21" s="124"/>
      <c r="AD21" s="124"/>
      <c r="AE21" s="124"/>
      <c r="AF21" s="124"/>
      <c r="AG21" s="124"/>
    </row>
    <row r="22" spans="2:33" ht="15" customHeight="1" thickBot="1" x14ac:dyDescent="0.3">
      <c r="B22" s="212"/>
      <c r="C22" s="108" t="s">
        <v>338</v>
      </c>
      <c r="D22" s="126"/>
      <c r="E22" s="126"/>
      <c r="F22" s="126"/>
      <c r="G22" s="126"/>
      <c r="H22" s="126">
        <v>4.8</v>
      </c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>
        <v>4.8</v>
      </c>
      <c r="T22" s="126"/>
      <c r="U22" s="126"/>
      <c r="V22" s="126"/>
      <c r="W22" s="126">
        <v>4.8</v>
      </c>
      <c r="X22" s="126"/>
      <c r="Y22" s="126"/>
      <c r="Z22" s="126"/>
      <c r="AA22" s="126"/>
      <c r="AB22" s="126"/>
      <c r="AC22" s="126"/>
      <c r="AD22" s="126"/>
      <c r="AE22" s="126"/>
      <c r="AF22" s="126"/>
      <c r="AG22" s="126"/>
    </row>
    <row r="23" spans="2:33" ht="15" customHeight="1" x14ac:dyDescent="0.25">
      <c r="B23" s="34" t="s">
        <v>7</v>
      </c>
      <c r="C23" s="115"/>
      <c r="D23" s="131"/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131"/>
      <c r="R23" s="131"/>
      <c r="S23" s="131"/>
      <c r="T23" s="131"/>
      <c r="U23" s="131"/>
      <c r="V23" s="131"/>
      <c r="W23" s="131"/>
      <c r="X23" s="131"/>
      <c r="Y23" s="131"/>
      <c r="Z23" s="131"/>
      <c r="AA23" s="131"/>
      <c r="AB23" s="131"/>
      <c r="AC23" s="131"/>
      <c r="AD23" s="131"/>
      <c r="AE23" s="131"/>
      <c r="AF23" s="131"/>
      <c r="AG23" s="131"/>
    </row>
    <row r="24" spans="2:33" ht="7.5" customHeight="1" thickBot="1" x14ac:dyDescent="0.3"/>
    <row r="25" spans="2:33" ht="12.75" customHeight="1" thickBot="1" x14ac:dyDescent="0.3">
      <c r="B25" s="213" t="s">
        <v>1002</v>
      </c>
      <c r="C25" s="214"/>
      <c r="D25" s="130">
        <v>76.398406418804782</v>
      </c>
      <c r="E25" s="130">
        <v>75.3115727003469</v>
      </c>
      <c r="F25" s="130">
        <v>77.413793090999988</v>
      </c>
      <c r="G25" s="130">
        <v>77.676348533423322</v>
      </c>
      <c r="H25" s="130">
        <v>76.216335531311259</v>
      </c>
      <c r="I25" s="130">
        <v>77.224489785453059</v>
      </c>
      <c r="J25" s="130">
        <v>76.809067119911063</v>
      </c>
      <c r="K25" s="130">
        <v>76.000000000000028</v>
      </c>
      <c r="L25" s="130">
        <v>76.000000000000284</v>
      </c>
      <c r="M25" s="130">
        <v>76.219679630984956</v>
      </c>
      <c r="N25" s="130">
        <v>77.209411764883569</v>
      </c>
      <c r="O25" s="130">
        <v>76.331658291949751</v>
      </c>
      <c r="P25" s="130">
        <v>77.239263799361964</v>
      </c>
      <c r="Q25" s="130">
        <v>77.469879517783141</v>
      </c>
      <c r="R25" s="130">
        <v>75.945945941982245</v>
      </c>
      <c r="S25" s="130">
        <v>75.574999996968742</v>
      </c>
      <c r="T25" s="130">
        <v>76.317673377109628</v>
      </c>
      <c r="U25" s="130">
        <v>77.183098588370001</v>
      </c>
      <c r="V25" s="130">
        <v>77.185185184900007</v>
      </c>
      <c r="W25" s="130">
        <v>75.785714285858305</v>
      </c>
      <c r="X25" s="130">
        <v>76.355140187105604</v>
      </c>
      <c r="Y25" s="130">
        <v>75.587529975079491</v>
      </c>
      <c r="Z25" s="130">
        <v>75.793991403620169</v>
      </c>
      <c r="AA25" s="130">
        <v>77.135549873936057</v>
      </c>
      <c r="AB25" s="130">
        <v>73.097345125061935</v>
      </c>
      <c r="AC25" s="130">
        <v>77.027522934314192</v>
      </c>
      <c r="AD25" s="130">
        <v>75.914634152574394</v>
      </c>
      <c r="AE25" s="130">
        <v>75.939393940254547</v>
      </c>
      <c r="AF25" s="130">
        <v>76.314187384773419</v>
      </c>
      <c r="AG25" s="130">
        <v>77.000000020000002</v>
      </c>
    </row>
    <row r="26" spans="2:33" ht="12.75" customHeight="1" x14ac:dyDescent="0.25">
      <c r="B26" s="114"/>
    </row>
    <row r="27" spans="2:33" ht="12.75" customHeight="1" x14ac:dyDescent="0.25">
      <c r="B27" s="114"/>
    </row>
    <row r="28" spans="2:33" ht="12.75" customHeight="1" x14ac:dyDescent="0.25">
      <c r="B28" s="114"/>
    </row>
    <row r="29" spans="2:33" ht="12.75" customHeight="1" x14ac:dyDescent="0.25">
      <c r="B29" s="114"/>
    </row>
    <row r="30" spans="2:33" ht="12.75" customHeight="1" x14ac:dyDescent="0.25">
      <c r="B30" s="114"/>
    </row>
    <row r="31" spans="2:33" ht="12.75" customHeight="1" x14ac:dyDescent="0.25">
      <c r="B31" s="114"/>
    </row>
    <row r="32" spans="2:33" ht="12.75" customHeight="1" x14ac:dyDescent="0.25">
      <c r="B32" s="114"/>
    </row>
    <row r="33" spans="2:2" ht="12.75" customHeight="1" x14ac:dyDescent="0.25">
      <c r="B33" s="114"/>
    </row>
    <row r="34" spans="2:2" ht="12.75" customHeight="1" x14ac:dyDescent="0.25">
      <c r="B34" s="114"/>
    </row>
    <row r="35" spans="2:2" ht="12.75" customHeight="1" x14ac:dyDescent="0.25">
      <c r="B35" s="114"/>
    </row>
    <row r="36" spans="2:2" ht="12.75" customHeight="1" x14ac:dyDescent="0.25">
      <c r="B36" s="114"/>
    </row>
    <row r="37" spans="2:2" ht="12.75" customHeight="1" x14ac:dyDescent="0.25">
      <c r="B37" s="114"/>
    </row>
    <row r="38" spans="2:2" ht="12.75" customHeight="1" x14ac:dyDescent="0.25">
      <c r="B38" s="114"/>
    </row>
    <row r="39" spans="2:2" x14ac:dyDescent="0.25">
      <c r="B39" s="114"/>
    </row>
    <row r="40" spans="2:2" x14ac:dyDescent="0.25">
      <c r="B40" s="114"/>
    </row>
    <row r="41" spans="2:2" x14ac:dyDescent="0.25">
      <c r="B41" s="114"/>
    </row>
    <row r="42" spans="2:2" x14ac:dyDescent="0.25">
      <c r="B42" s="114"/>
    </row>
    <row r="43" spans="2:2" x14ac:dyDescent="0.25">
      <c r="B43" s="114"/>
    </row>
    <row r="44" spans="2:2" x14ac:dyDescent="0.25">
      <c r="B44" s="114"/>
    </row>
    <row r="45" spans="2:2" x14ac:dyDescent="0.25">
      <c r="B45" s="114"/>
    </row>
    <row r="46" spans="2:2" x14ac:dyDescent="0.25">
      <c r="B46" s="114"/>
    </row>
  </sheetData>
  <mergeCells count="7">
    <mergeCell ref="B25:C25"/>
    <mergeCell ref="B3:B5"/>
    <mergeCell ref="B6:B8"/>
    <mergeCell ref="B9:B11"/>
    <mergeCell ref="B14:B16"/>
    <mergeCell ref="B17:B19"/>
    <mergeCell ref="B20:B22"/>
  </mergeCells>
  <pageMargins left="0.7" right="0.7" top="0.75" bottom="0.75" header="0.3" footer="0.3"/>
  <pageSetup orientation="portrait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AH49"/>
  <sheetViews>
    <sheetView zoomScale="90" zoomScaleNormal="90" workbookViewId="0">
      <pane xSplit="3" topLeftCell="V1" activePane="topRight" state="frozen"/>
      <selection pane="topRight" activeCell="AI8" sqref="AI8"/>
    </sheetView>
  </sheetViews>
  <sheetFormatPr defaultRowHeight="15" x14ac:dyDescent="0.25"/>
  <cols>
    <col min="3" max="3" width="28.140625" customWidth="1"/>
    <col min="4" max="4" width="10.140625" bestFit="1" customWidth="1"/>
    <col min="5" max="5" width="11" customWidth="1"/>
    <col min="6" max="34" width="11.42578125" customWidth="1"/>
  </cols>
  <sheetData>
    <row r="1" spans="2:34" ht="6" customHeight="1" thickBot="1" x14ac:dyDescent="0.3"/>
    <row r="2" spans="2:34" ht="15" customHeight="1" thickBot="1" x14ac:dyDescent="0.3">
      <c r="B2" s="94" t="s">
        <v>964</v>
      </c>
      <c r="C2" s="96" t="s">
        <v>961</v>
      </c>
      <c r="D2" s="97" t="str">
        <f t="shared" ref="D2:E2" si="0">D13</f>
        <v>01.12.2024</v>
      </c>
      <c r="E2" s="97" t="str">
        <f t="shared" si="0"/>
        <v>02.12.2024</v>
      </c>
      <c r="F2" s="97" t="str">
        <f t="shared" ref="F2:L2" si="1">F13</f>
        <v>03.12.2024</v>
      </c>
      <c r="G2" s="97" t="str">
        <f t="shared" si="1"/>
        <v>04.12.2024</v>
      </c>
      <c r="H2" s="97" t="str">
        <f t="shared" si="1"/>
        <v>05.12.2024</v>
      </c>
      <c r="I2" s="97" t="str">
        <f t="shared" si="1"/>
        <v>06.12.2024</v>
      </c>
      <c r="J2" s="97" t="str">
        <f t="shared" si="1"/>
        <v>07.12.2024</v>
      </c>
      <c r="K2" s="97" t="str">
        <f t="shared" si="1"/>
        <v>08.12.2024</v>
      </c>
      <c r="L2" s="97" t="str">
        <f t="shared" si="1"/>
        <v>09.12.2024</v>
      </c>
      <c r="M2" s="97" t="str">
        <f t="shared" ref="M2:N2" si="2">M13</f>
        <v>10.12.2024</v>
      </c>
      <c r="N2" s="97" t="str">
        <f t="shared" si="2"/>
        <v>11.12.2024</v>
      </c>
      <c r="O2" s="97" t="str">
        <f t="shared" ref="O2:P2" si="3">O13</f>
        <v>12.12.2024</v>
      </c>
      <c r="P2" s="97" t="str">
        <f t="shared" si="3"/>
        <v>13.12.2024</v>
      </c>
      <c r="Q2" s="97" t="str">
        <f t="shared" ref="Q2:R2" si="4">Q13</f>
        <v>14.12.2024</v>
      </c>
      <c r="R2" s="97" t="str">
        <f t="shared" si="4"/>
        <v>15.12.2024</v>
      </c>
      <c r="S2" s="97" t="str">
        <f t="shared" ref="S2:T2" si="5">S13</f>
        <v>16.12.2024</v>
      </c>
      <c r="T2" s="97" t="str">
        <f t="shared" si="5"/>
        <v>17.12.2024</v>
      </c>
      <c r="U2" s="97" t="str">
        <f t="shared" ref="U2:V2" si="6">U13</f>
        <v>18.12.2024</v>
      </c>
      <c r="V2" s="97" t="str">
        <f t="shared" si="6"/>
        <v>19.12.2024</v>
      </c>
      <c r="W2" s="97" t="str">
        <f t="shared" ref="W2:X2" si="7">W13</f>
        <v>20.12.2024</v>
      </c>
      <c r="X2" s="97" t="str">
        <f t="shared" si="7"/>
        <v>21.12.2024</v>
      </c>
      <c r="Y2" s="97" t="str">
        <f t="shared" ref="Y2:Z2" si="8">Y13</f>
        <v>22.12.2024</v>
      </c>
      <c r="Z2" s="97" t="str">
        <f t="shared" si="8"/>
        <v>23.12.2024</v>
      </c>
      <c r="AA2" s="97" t="str">
        <f t="shared" ref="AA2:AB2" si="9">AA13</f>
        <v>24.12.2024</v>
      </c>
      <c r="AB2" s="97" t="str">
        <f t="shared" si="9"/>
        <v>25.12.2024</v>
      </c>
      <c r="AC2" s="97" t="str">
        <f t="shared" ref="AC2:AD2" si="10">AC13</f>
        <v>26.12.2024</v>
      </c>
      <c r="AD2" s="97" t="str">
        <f t="shared" si="10"/>
        <v>27.12.2024</v>
      </c>
      <c r="AE2" s="97" t="str">
        <f t="shared" ref="AE2:AF2" si="11">AE13</f>
        <v>28.12.2024</v>
      </c>
      <c r="AF2" s="97" t="str">
        <f t="shared" si="11"/>
        <v>29.12.2024</v>
      </c>
      <c r="AG2" s="97" t="str">
        <f t="shared" ref="AG2:AH2" si="12">AG13</f>
        <v>30.12.2024</v>
      </c>
      <c r="AH2" s="97" t="str">
        <f t="shared" si="12"/>
        <v>31.12.2024</v>
      </c>
    </row>
    <row r="3" spans="2:34" ht="15" customHeight="1" x14ac:dyDescent="0.25">
      <c r="B3" s="206" t="s">
        <v>958</v>
      </c>
      <c r="C3" s="116" t="s">
        <v>957</v>
      </c>
      <c r="D3" s="117">
        <v>0.1804</v>
      </c>
      <c r="E3" s="117">
        <v>0.18010000000000001</v>
      </c>
      <c r="F3" s="117">
        <v>0.18099999999999999</v>
      </c>
      <c r="G3" s="117">
        <v>0.1812</v>
      </c>
      <c r="H3" s="117">
        <v>0.18210000000000001</v>
      </c>
      <c r="I3" s="117">
        <v>0.18210000000000001</v>
      </c>
      <c r="J3" s="117">
        <v>0.18207999999999999</v>
      </c>
      <c r="K3" s="117">
        <v>0.18226999999999999</v>
      </c>
      <c r="L3" s="117">
        <v>0.182</v>
      </c>
      <c r="M3" s="117">
        <v>0.183</v>
      </c>
      <c r="N3" s="117">
        <v>0.182</v>
      </c>
      <c r="O3" s="117">
        <v>0.18909999999999999</v>
      </c>
      <c r="P3" s="117">
        <v>0.18115000000000001</v>
      </c>
      <c r="Q3" s="117">
        <v>0.18190000000000001</v>
      </c>
      <c r="R3" s="117">
        <v>0.18909999999999999</v>
      </c>
      <c r="S3" s="117">
        <v>0.182</v>
      </c>
      <c r="T3" s="117">
        <v>0.1855</v>
      </c>
      <c r="U3" s="117">
        <v>0.1817</v>
      </c>
      <c r="V3" s="117">
        <v>0.18149999999999999</v>
      </c>
      <c r="W3" s="117">
        <v>0.182</v>
      </c>
      <c r="X3" s="117">
        <v>0.19</v>
      </c>
      <c r="Y3" s="117">
        <v>0.17199999999999999</v>
      </c>
      <c r="Z3" s="117">
        <v>0.16</v>
      </c>
      <c r="AA3" s="117">
        <v>0.1492</v>
      </c>
      <c r="AB3" s="117">
        <v>0.154</v>
      </c>
      <c r="AC3" s="117">
        <v>0.15509999999999999</v>
      </c>
      <c r="AD3" s="117">
        <v>0.16120000000000001</v>
      </c>
      <c r="AE3" s="117">
        <v>0.15690000000000001</v>
      </c>
      <c r="AF3" s="117">
        <v>0.15989999999999999</v>
      </c>
      <c r="AG3" s="117">
        <v>0.15</v>
      </c>
      <c r="AH3" s="117"/>
    </row>
    <row r="4" spans="2:34" ht="15" customHeight="1" x14ac:dyDescent="0.25">
      <c r="B4" s="207"/>
      <c r="C4" s="118" t="s">
        <v>339</v>
      </c>
      <c r="D4" s="84">
        <v>0.77200000000000002</v>
      </c>
      <c r="E4" s="84">
        <v>0.7722</v>
      </c>
      <c r="F4" s="84">
        <v>0.76995000000000002</v>
      </c>
      <c r="G4" s="84">
        <v>0.77049999999999996</v>
      </c>
      <c r="H4" s="84">
        <v>0.77010000000000001</v>
      </c>
      <c r="I4" s="84">
        <v>0.7702</v>
      </c>
      <c r="J4" s="84">
        <v>0.7702</v>
      </c>
      <c r="K4" s="84">
        <v>0.76961999999999997</v>
      </c>
      <c r="L4" s="84">
        <v>0.77</v>
      </c>
      <c r="M4" s="84">
        <v>0.76880000000000004</v>
      </c>
      <c r="N4" s="84">
        <v>0.77</v>
      </c>
      <c r="O4" s="84">
        <v>0.77059999999999995</v>
      </c>
      <c r="P4" s="84">
        <v>0.77064999999999995</v>
      </c>
      <c r="Q4" s="84">
        <v>0.77029999999999998</v>
      </c>
      <c r="R4" s="84">
        <v>0.76285999999999998</v>
      </c>
      <c r="S4" s="84">
        <v>0.77</v>
      </c>
      <c r="T4" s="84">
        <v>0.76670000000000005</v>
      </c>
      <c r="U4" s="84">
        <v>0.77010000000000001</v>
      </c>
      <c r="V4" s="84">
        <v>0.7702</v>
      </c>
      <c r="W4" s="84">
        <v>0.77</v>
      </c>
      <c r="X4" s="84">
        <v>0.76200000000000001</v>
      </c>
      <c r="Y4" s="84">
        <v>0.78</v>
      </c>
      <c r="Z4" s="84">
        <v>0.79200000000000004</v>
      </c>
      <c r="AA4" s="84">
        <v>0.80149999999999999</v>
      </c>
      <c r="AB4" s="84">
        <v>0.79700000000000004</v>
      </c>
      <c r="AC4" s="84">
        <v>0.79679999999999995</v>
      </c>
      <c r="AD4" s="84">
        <v>0.78680000000000005</v>
      </c>
      <c r="AE4" s="84">
        <v>0.79410000000000003</v>
      </c>
      <c r="AF4" s="84">
        <v>0.79190000000000005</v>
      </c>
      <c r="AG4" s="84">
        <v>0.8</v>
      </c>
      <c r="AH4" s="84"/>
    </row>
    <row r="5" spans="2:34" ht="15" customHeight="1" thickBot="1" x14ac:dyDescent="0.3">
      <c r="B5" s="208"/>
      <c r="C5" s="118" t="s">
        <v>338</v>
      </c>
      <c r="D5" s="84">
        <v>4.7600000000000003E-2</v>
      </c>
      <c r="E5" s="84">
        <v>4.7699999999999999E-2</v>
      </c>
      <c r="F5" s="84">
        <v>4.9000000000000002E-2</v>
      </c>
      <c r="G5" s="84">
        <v>4.8259999999999997E-2</v>
      </c>
      <c r="H5" s="84">
        <v>4.7800000000000002E-2</v>
      </c>
      <c r="I5" s="84">
        <v>4.7649999999999998E-2</v>
      </c>
      <c r="J5" s="84">
        <v>4.7759999999999997E-2</v>
      </c>
      <c r="K5" s="84">
        <v>4.8099999999999997E-2</v>
      </c>
      <c r="L5" s="84">
        <v>4.8000000000000001E-2</v>
      </c>
      <c r="M5" s="84">
        <v>4.8149999999999998E-2</v>
      </c>
      <c r="N5" s="84">
        <v>4.8000000000000001E-2</v>
      </c>
      <c r="O5" s="84">
        <v>4.0300000000000002E-2</v>
      </c>
      <c r="P5" s="84">
        <v>4.8184999999999999E-2</v>
      </c>
      <c r="Q5" s="84">
        <v>4.7800000000000002E-2</v>
      </c>
      <c r="R5" s="84">
        <v>4.8000000000000001E-2</v>
      </c>
      <c r="S5" s="84">
        <v>4.8000000000000001E-2</v>
      </c>
      <c r="T5" s="84">
        <v>4.7800000000000002E-2</v>
      </c>
      <c r="U5" s="84">
        <v>4.82E-2</v>
      </c>
      <c r="V5" s="84">
        <v>4.8300000000000003E-2</v>
      </c>
      <c r="W5" s="84">
        <v>4.8000000000000001E-2</v>
      </c>
      <c r="X5" s="84">
        <v>4.8000000000000001E-2</v>
      </c>
      <c r="Y5" s="84">
        <v>4.8000000000000001E-2</v>
      </c>
      <c r="Z5" s="84">
        <v>4.8000000000000001E-2</v>
      </c>
      <c r="AA5" s="84">
        <v>4.9299999999999997E-2</v>
      </c>
      <c r="AB5" s="84">
        <v>4.9000000000000002E-2</v>
      </c>
      <c r="AC5" s="84">
        <v>4.8099999999999997E-2</v>
      </c>
      <c r="AD5" s="84">
        <v>5.1999999999999998E-2</v>
      </c>
      <c r="AE5" s="84">
        <v>4.9000000000000002E-2</v>
      </c>
      <c r="AF5" s="84">
        <v>4.82E-2</v>
      </c>
      <c r="AG5" s="84">
        <v>0.05</v>
      </c>
      <c r="AH5" s="84"/>
    </row>
    <row r="6" spans="2:34" ht="15" customHeight="1" x14ac:dyDescent="0.25">
      <c r="B6" s="209" t="s">
        <v>959</v>
      </c>
      <c r="C6" s="119" t="s">
        <v>957</v>
      </c>
      <c r="D6" s="86">
        <v>0.182</v>
      </c>
      <c r="E6" s="86">
        <v>0.18</v>
      </c>
      <c r="F6" s="86"/>
      <c r="G6" s="86">
        <v>0.18</v>
      </c>
      <c r="H6" s="86">
        <v>0.182</v>
      </c>
      <c r="I6" s="86">
        <v>0.18</v>
      </c>
      <c r="J6" s="86"/>
      <c r="K6" s="86"/>
      <c r="L6" s="86"/>
      <c r="M6" s="86"/>
      <c r="N6" s="86"/>
      <c r="O6" s="86">
        <v>0.182</v>
      </c>
      <c r="P6" s="86">
        <v>0.182</v>
      </c>
      <c r="Q6" s="86"/>
      <c r="R6" s="86">
        <v>0.25</v>
      </c>
      <c r="S6" s="86"/>
      <c r="T6" s="86"/>
      <c r="U6" s="86">
        <v>0.182</v>
      </c>
      <c r="V6" s="86"/>
      <c r="W6" s="86"/>
      <c r="X6" s="86">
        <v>0.25</v>
      </c>
      <c r="Y6" s="86">
        <v>0.17180000000000001</v>
      </c>
      <c r="Z6" s="86"/>
      <c r="AA6" s="86"/>
      <c r="AB6" s="86"/>
      <c r="AC6" s="86"/>
      <c r="AD6" s="86">
        <v>0.16</v>
      </c>
      <c r="AE6" s="86">
        <v>0.156</v>
      </c>
      <c r="AF6" s="86">
        <v>0.16</v>
      </c>
      <c r="AG6" s="86"/>
      <c r="AH6" s="86"/>
    </row>
    <row r="7" spans="2:34" ht="15" customHeight="1" x14ac:dyDescent="0.25">
      <c r="B7" s="210"/>
      <c r="C7" s="120" t="s">
        <v>339</v>
      </c>
      <c r="D7" s="86">
        <v>0.77</v>
      </c>
      <c r="E7" s="86">
        <v>0.77200000000000002</v>
      </c>
      <c r="F7" s="86"/>
      <c r="G7" s="86">
        <v>0.77</v>
      </c>
      <c r="H7" s="86">
        <v>0.77</v>
      </c>
      <c r="I7" s="86">
        <v>0.77</v>
      </c>
      <c r="J7" s="86"/>
      <c r="K7" s="86"/>
      <c r="L7" s="86"/>
      <c r="M7" s="86"/>
      <c r="N7" s="86"/>
      <c r="O7" s="86">
        <v>0.77</v>
      </c>
      <c r="P7" s="86">
        <v>0.77</v>
      </c>
      <c r="Q7" s="86"/>
      <c r="R7" s="86">
        <v>0.70199999999999996</v>
      </c>
      <c r="S7" s="86"/>
      <c r="T7" s="86"/>
      <c r="U7" s="86">
        <v>0.77</v>
      </c>
      <c r="V7" s="86"/>
      <c r="W7" s="86"/>
      <c r="X7" s="86">
        <v>0.70199999999999996</v>
      </c>
      <c r="Y7" s="86">
        <v>0.78</v>
      </c>
      <c r="Z7" s="86"/>
      <c r="AA7" s="86"/>
      <c r="AB7" s="86"/>
      <c r="AC7" s="86"/>
      <c r="AD7" s="86">
        <v>0.79200000000000004</v>
      </c>
      <c r="AE7" s="86">
        <v>0.79600000000000004</v>
      </c>
      <c r="AF7" s="86">
        <v>0.79200000000000004</v>
      </c>
      <c r="AG7" s="86"/>
      <c r="AH7" s="86"/>
    </row>
    <row r="8" spans="2:34" ht="15" customHeight="1" thickBot="1" x14ac:dyDescent="0.3">
      <c r="B8" s="211"/>
      <c r="C8" s="120" t="s">
        <v>338</v>
      </c>
      <c r="D8" s="86">
        <v>4.8000000000000001E-2</v>
      </c>
      <c r="E8" s="86">
        <v>4.8000000000000001E-2</v>
      </c>
      <c r="F8" s="86"/>
      <c r="G8" s="86">
        <v>0.05</v>
      </c>
      <c r="H8" s="86">
        <v>4.8000000000000001E-2</v>
      </c>
      <c r="I8" s="86">
        <v>0.05</v>
      </c>
      <c r="J8" s="86"/>
      <c r="K8" s="86"/>
      <c r="L8" s="86"/>
      <c r="M8" s="86"/>
      <c r="N8" s="86"/>
      <c r="O8" s="86">
        <v>4.8000000000000001E-2</v>
      </c>
      <c r="P8" s="86">
        <v>4.8000000000000001E-2</v>
      </c>
      <c r="Q8" s="86"/>
      <c r="R8" s="86">
        <v>4.8000000000000001E-2</v>
      </c>
      <c r="S8" s="86"/>
      <c r="T8" s="86"/>
      <c r="U8" s="86">
        <v>4.8000000000000001E-2</v>
      </c>
      <c r="V8" s="86"/>
      <c r="W8" s="86"/>
      <c r="X8" s="86">
        <v>4.8000000000000001E-2</v>
      </c>
      <c r="Y8" s="86">
        <v>4.82E-2</v>
      </c>
      <c r="Z8" s="86"/>
      <c r="AA8" s="86"/>
      <c r="AB8" s="86"/>
      <c r="AC8" s="86"/>
      <c r="AD8" s="86">
        <v>4.8000000000000001E-2</v>
      </c>
      <c r="AE8" s="86">
        <v>4.8000000000000001E-2</v>
      </c>
      <c r="AF8" s="86">
        <v>4.8000000000000001E-2</v>
      </c>
      <c r="AG8" s="86"/>
      <c r="AH8" s="86"/>
    </row>
    <row r="9" spans="2:34" ht="15" customHeight="1" x14ac:dyDescent="0.25">
      <c r="B9" s="215" t="s">
        <v>960</v>
      </c>
      <c r="C9" s="121" t="s">
        <v>957</v>
      </c>
      <c r="D9" s="122"/>
      <c r="E9" s="122"/>
      <c r="F9" s="122"/>
      <c r="G9" s="122"/>
      <c r="H9" s="122"/>
      <c r="I9" s="122"/>
      <c r="J9" s="122"/>
      <c r="K9" s="135">
        <v>0.27110000000000001</v>
      </c>
      <c r="L9" s="135">
        <v>0.27</v>
      </c>
      <c r="M9" s="135"/>
      <c r="N9" s="135"/>
      <c r="O9" s="135"/>
      <c r="P9" s="135">
        <v>0.27200000000000002</v>
      </c>
      <c r="Q9" s="135"/>
      <c r="R9" s="135">
        <v>0.28000000000000003</v>
      </c>
      <c r="S9" s="135">
        <v>0.27200000000000002</v>
      </c>
      <c r="T9" s="135"/>
      <c r="U9" s="135">
        <v>0.27200000000000002</v>
      </c>
      <c r="V9" s="135">
        <v>0.27200000000000002</v>
      </c>
      <c r="W9" s="135">
        <v>0.27029999999999998</v>
      </c>
      <c r="X9" s="135"/>
      <c r="Y9" s="135">
        <v>0.2621</v>
      </c>
      <c r="Z9" s="135"/>
      <c r="AA9" s="135"/>
      <c r="AB9" s="135">
        <v>0.26900000000000002</v>
      </c>
      <c r="AC9" s="135"/>
      <c r="AD9" s="135"/>
      <c r="AE9" s="135"/>
      <c r="AF9" s="135"/>
      <c r="AG9" s="135"/>
      <c r="AH9" s="135"/>
    </row>
    <row r="10" spans="2:34" ht="15" customHeight="1" x14ac:dyDescent="0.25">
      <c r="B10" s="216"/>
      <c r="C10" s="123" t="s">
        <v>339</v>
      </c>
      <c r="D10" s="124"/>
      <c r="E10" s="124"/>
      <c r="F10" s="124"/>
      <c r="G10" s="124"/>
      <c r="H10" s="124"/>
      <c r="I10" s="124"/>
      <c r="J10" s="124"/>
      <c r="K10" s="134">
        <v>0.68</v>
      </c>
      <c r="L10" s="134">
        <v>0.68179999999999996</v>
      </c>
      <c r="M10" s="134"/>
      <c r="N10" s="134"/>
      <c r="O10" s="134"/>
      <c r="P10" s="134">
        <v>0.68</v>
      </c>
      <c r="Q10" s="134"/>
      <c r="R10" s="134">
        <v>0.67200000000000004</v>
      </c>
      <c r="S10" s="134">
        <v>0.68</v>
      </c>
      <c r="T10" s="134"/>
      <c r="U10" s="134">
        <v>0.68</v>
      </c>
      <c r="V10" s="134">
        <v>0.68</v>
      </c>
      <c r="W10" s="134">
        <v>0.68130000000000002</v>
      </c>
      <c r="X10" s="134"/>
      <c r="Y10" s="134">
        <v>0.69</v>
      </c>
      <c r="Z10" s="134"/>
      <c r="AA10" s="134"/>
      <c r="AB10" s="134">
        <v>0.68332999999999999</v>
      </c>
      <c r="AC10" s="134"/>
      <c r="AD10" s="134"/>
      <c r="AE10" s="134"/>
      <c r="AF10" s="134"/>
      <c r="AG10" s="134"/>
      <c r="AH10" s="134"/>
    </row>
    <row r="11" spans="2:34" ht="15" customHeight="1" thickBot="1" x14ac:dyDescent="0.3">
      <c r="B11" s="217"/>
      <c r="C11" s="125" t="s">
        <v>338</v>
      </c>
      <c r="D11" s="126"/>
      <c r="E11" s="126"/>
      <c r="F11" s="126"/>
      <c r="G11" s="126"/>
      <c r="H11" s="126"/>
      <c r="I11" s="126"/>
      <c r="J11" s="126"/>
      <c r="K11" s="136">
        <v>4.8899999999999999E-2</v>
      </c>
      <c r="L11" s="136">
        <v>4.8180000000000001E-2</v>
      </c>
      <c r="M11" s="136"/>
      <c r="N11" s="136"/>
      <c r="O11" s="136"/>
      <c r="P11" s="136">
        <v>4.8000000000000001E-2</v>
      </c>
      <c r="Q11" s="136"/>
      <c r="R11" s="136">
        <v>4.8000000000000001E-2</v>
      </c>
      <c r="S11" s="136">
        <v>4.8000000000000001E-2</v>
      </c>
      <c r="T11" s="136"/>
      <c r="U11" s="136">
        <v>4.8000000000000001E-2</v>
      </c>
      <c r="V11" s="136">
        <v>4.8000000000000001E-2</v>
      </c>
      <c r="W11" s="136">
        <v>4.8399999999999999E-2</v>
      </c>
      <c r="X11" s="136"/>
      <c r="Y11" s="136">
        <v>4.7899999999999998E-2</v>
      </c>
      <c r="Z11" s="136"/>
      <c r="AA11" s="136"/>
      <c r="AB11" s="136">
        <v>4.7620000000000003E-2</v>
      </c>
      <c r="AC11" s="136"/>
      <c r="AD11" s="136"/>
      <c r="AE11" s="136"/>
      <c r="AF11" s="136"/>
      <c r="AG11" s="136"/>
      <c r="AH11" s="136"/>
    </row>
    <row r="12" spans="2:34" ht="6.75" customHeight="1" thickBot="1" x14ac:dyDescent="0.3"/>
    <row r="13" spans="2:34" ht="15" customHeight="1" thickBot="1" x14ac:dyDescent="0.3">
      <c r="B13" s="95" t="s">
        <v>964</v>
      </c>
      <c r="C13" s="94" t="s">
        <v>963</v>
      </c>
      <c r="D13" s="94" t="s">
        <v>1062</v>
      </c>
      <c r="E13" s="94" t="s">
        <v>1063</v>
      </c>
      <c r="F13" s="94" t="s">
        <v>1064</v>
      </c>
      <c r="G13" s="94" t="s">
        <v>1065</v>
      </c>
      <c r="H13" s="94" t="s">
        <v>1066</v>
      </c>
      <c r="I13" s="94" t="s">
        <v>1067</v>
      </c>
      <c r="J13" s="94" t="s">
        <v>1068</v>
      </c>
      <c r="K13" s="94" t="s">
        <v>1069</v>
      </c>
      <c r="L13" s="94" t="s">
        <v>1070</v>
      </c>
      <c r="M13" s="94" t="s">
        <v>1071</v>
      </c>
      <c r="N13" s="94" t="s">
        <v>1072</v>
      </c>
      <c r="O13" s="94" t="s">
        <v>1073</v>
      </c>
      <c r="P13" s="94" t="s">
        <v>1074</v>
      </c>
      <c r="Q13" s="94" t="s">
        <v>1075</v>
      </c>
      <c r="R13" s="94" t="s">
        <v>1076</v>
      </c>
      <c r="S13" s="94" t="s">
        <v>1077</v>
      </c>
      <c r="T13" s="94" t="s">
        <v>1078</v>
      </c>
      <c r="U13" s="94" t="s">
        <v>1079</v>
      </c>
      <c r="V13" s="94" t="s">
        <v>1080</v>
      </c>
      <c r="W13" s="94" t="s">
        <v>1081</v>
      </c>
      <c r="X13" s="94" t="s">
        <v>1082</v>
      </c>
      <c r="Y13" s="94" t="s">
        <v>1083</v>
      </c>
      <c r="Z13" s="94" t="s">
        <v>1084</v>
      </c>
      <c r="AA13" s="94" t="s">
        <v>1085</v>
      </c>
      <c r="AB13" s="94" t="s">
        <v>1087</v>
      </c>
      <c r="AC13" s="94" t="s">
        <v>1088</v>
      </c>
      <c r="AD13" s="94" t="s">
        <v>1089</v>
      </c>
      <c r="AE13" s="94" t="s">
        <v>1090</v>
      </c>
      <c r="AF13" s="94" t="s">
        <v>1091</v>
      </c>
      <c r="AG13" s="94" t="s">
        <v>1092</v>
      </c>
      <c r="AH13" s="94" t="s">
        <v>1094</v>
      </c>
    </row>
    <row r="14" spans="2:34" ht="15" customHeight="1" x14ac:dyDescent="0.25">
      <c r="B14" s="206" t="s">
        <v>958</v>
      </c>
      <c r="C14" s="81" t="s">
        <v>957</v>
      </c>
      <c r="D14" s="84"/>
      <c r="E14" s="84"/>
      <c r="F14" s="84"/>
      <c r="G14" s="84"/>
      <c r="H14" s="84"/>
      <c r="I14" s="84"/>
      <c r="J14" s="84">
        <v>0.18</v>
      </c>
      <c r="K14" s="84"/>
      <c r="L14" s="84">
        <v>0.18204999999999999</v>
      </c>
      <c r="M14" s="84">
        <v>0.182</v>
      </c>
      <c r="N14" s="84"/>
      <c r="O14" s="84"/>
      <c r="P14" s="84">
        <v>0.182</v>
      </c>
      <c r="Q14" s="84">
        <v>0.17988000000000001</v>
      </c>
      <c r="R14" s="84"/>
      <c r="S14" s="84"/>
      <c r="T14" s="84">
        <v>0.18174999999999999</v>
      </c>
      <c r="U14" s="84">
        <v>0.18099999999999999</v>
      </c>
      <c r="V14" s="84">
        <v>0.1807</v>
      </c>
      <c r="W14" s="84">
        <v>0.18149999999999999</v>
      </c>
      <c r="X14" s="84"/>
      <c r="Y14" s="84"/>
      <c r="Z14" s="84">
        <v>0.16</v>
      </c>
      <c r="AA14" s="84">
        <v>0.15620000000000001</v>
      </c>
      <c r="AB14" s="84">
        <v>0.15609999999999999</v>
      </c>
      <c r="AC14" s="84"/>
      <c r="AD14" s="84"/>
      <c r="AE14" s="84"/>
      <c r="AF14" s="84">
        <v>0.1598</v>
      </c>
      <c r="AG14" s="84">
        <v>0.15029999999999999</v>
      </c>
      <c r="AH14" s="84">
        <v>0.1507</v>
      </c>
    </row>
    <row r="15" spans="2:34" ht="15" customHeight="1" x14ac:dyDescent="0.25">
      <c r="B15" s="207"/>
      <c r="C15" s="83" t="s">
        <v>339</v>
      </c>
      <c r="D15" s="84"/>
      <c r="E15" s="84"/>
      <c r="F15" s="84"/>
      <c r="G15" s="84"/>
      <c r="H15" s="84"/>
      <c r="I15" s="84"/>
      <c r="J15" s="84">
        <v>0.77200000000000002</v>
      </c>
      <c r="K15" s="84"/>
      <c r="L15" s="84">
        <v>0.77049999999999996</v>
      </c>
      <c r="M15" s="84">
        <v>0.77</v>
      </c>
      <c r="N15" s="84"/>
      <c r="O15" s="84"/>
      <c r="P15" s="84">
        <v>0.77</v>
      </c>
      <c r="Q15" s="84">
        <v>0.77129999999999999</v>
      </c>
      <c r="R15" s="84"/>
      <c r="S15" s="84"/>
      <c r="T15" s="84">
        <v>0.77010000000000001</v>
      </c>
      <c r="U15" s="84">
        <v>0.77049999999999996</v>
      </c>
      <c r="V15" s="84">
        <v>0.77100000000000002</v>
      </c>
      <c r="W15" s="84">
        <v>0.77039999999999997</v>
      </c>
      <c r="X15" s="84"/>
      <c r="Y15" s="84"/>
      <c r="Z15" s="84">
        <v>0.79200000000000004</v>
      </c>
      <c r="AA15" s="84">
        <v>0.7954</v>
      </c>
      <c r="AB15" s="84">
        <v>0.79523999999999995</v>
      </c>
      <c r="AC15" s="84"/>
      <c r="AD15" s="84"/>
      <c r="AE15" s="84"/>
      <c r="AF15" s="84">
        <v>0.79179999999999995</v>
      </c>
      <c r="AG15" s="84">
        <v>0.8</v>
      </c>
      <c r="AH15" s="84">
        <v>0.79930000000000001</v>
      </c>
    </row>
    <row r="16" spans="2:34" ht="15" customHeight="1" thickBot="1" x14ac:dyDescent="0.3">
      <c r="B16" s="208"/>
      <c r="C16" s="83" t="s">
        <v>338</v>
      </c>
      <c r="D16" s="84"/>
      <c r="E16" s="84"/>
      <c r="F16" s="84"/>
      <c r="G16" s="84"/>
      <c r="H16" s="84"/>
      <c r="I16" s="84"/>
      <c r="J16" s="84">
        <v>4.8000000000000001E-2</v>
      </c>
      <c r="K16" s="84"/>
      <c r="L16" s="84">
        <v>4.7399999999999998E-2</v>
      </c>
      <c r="M16" s="84">
        <v>4.8000000000000001E-2</v>
      </c>
      <c r="N16" s="84"/>
      <c r="O16" s="84"/>
      <c r="P16" s="84">
        <v>4.8000000000000001E-2</v>
      </c>
      <c r="Q16" s="84">
        <v>4.8779999999999997E-2</v>
      </c>
      <c r="R16" s="84"/>
      <c r="S16" s="84"/>
      <c r="T16" s="84">
        <v>4.8140000000000002E-2</v>
      </c>
      <c r="U16" s="84">
        <v>4.8500000000000001E-2</v>
      </c>
      <c r="V16" s="84">
        <v>4.8300000000000003E-2</v>
      </c>
      <c r="W16" s="84">
        <v>4.8099999999999997E-2</v>
      </c>
      <c r="X16" s="84"/>
      <c r="Y16" s="84"/>
      <c r="Z16" s="84">
        <v>4.8000000000000001E-2</v>
      </c>
      <c r="AA16" s="84">
        <v>4.8399999999999999E-2</v>
      </c>
      <c r="AB16" s="84">
        <v>4.8640000000000003E-2</v>
      </c>
      <c r="AC16" s="84"/>
      <c r="AD16" s="84"/>
      <c r="AE16" s="84"/>
      <c r="AF16" s="84">
        <v>4.8399999999999999E-2</v>
      </c>
      <c r="AG16" s="84">
        <v>4.9700000000000001E-2</v>
      </c>
      <c r="AH16" s="84">
        <v>0.05</v>
      </c>
    </row>
    <row r="17" spans="2:34" ht="15" customHeight="1" x14ac:dyDescent="0.25">
      <c r="B17" s="209" t="s">
        <v>959</v>
      </c>
      <c r="C17" s="85" t="s">
        <v>957</v>
      </c>
      <c r="D17" s="86"/>
      <c r="E17" s="86"/>
      <c r="F17" s="86"/>
      <c r="G17" s="86"/>
      <c r="H17" s="86"/>
      <c r="I17" s="86"/>
      <c r="J17" s="86">
        <v>0.17807999999999999</v>
      </c>
      <c r="K17" s="86">
        <v>0.17935000000000001</v>
      </c>
      <c r="L17" s="86"/>
      <c r="M17" s="86">
        <v>0.18139</v>
      </c>
      <c r="N17" s="86"/>
      <c r="O17" s="86"/>
      <c r="P17" s="86"/>
      <c r="Q17" s="86">
        <v>0.216</v>
      </c>
      <c r="R17" s="86"/>
      <c r="S17" s="86">
        <v>0.20130000000000001</v>
      </c>
      <c r="T17" s="86">
        <v>0.182</v>
      </c>
      <c r="U17" s="86">
        <v>0.1787</v>
      </c>
      <c r="V17" s="86">
        <v>0.182</v>
      </c>
      <c r="W17" s="86">
        <v>0.182</v>
      </c>
      <c r="X17" s="86"/>
      <c r="Y17" s="86"/>
      <c r="Z17" s="86"/>
      <c r="AA17" s="86">
        <v>0.16</v>
      </c>
      <c r="AB17" s="86">
        <v>0.15</v>
      </c>
      <c r="AC17" s="86"/>
      <c r="AD17" s="86"/>
      <c r="AE17" s="86"/>
      <c r="AF17" s="86">
        <v>0.19</v>
      </c>
      <c r="AG17" s="86"/>
      <c r="AH17" s="86">
        <v>0.18</v>
      </c>
    </row>
    <row r="18" spans="2:34" ht="15" customHeight="1" x14ac:dyDescent="0.25">
      <c r="B18" s="210"/>
      <c r="C18" s="87" t="s">
        <v>339</v>
      </c>
      <c r="D18" s="86"/>
      <c r="E18" s="86"/>
      <c r="F18" s="86"/>
      <c r="G18" s="86"/>
      <c r="H18" s="86"/>
      <c r="I18" s="86"/>
      <c r="J18" s="86">
        <v>0.77259999999999995</v>
      </c>
      <c r="K18" s="86">
        <v>0.77173999999999998</v>
      </c>
      <c r="L18" s="86"/>
      <c r="M18" s="86">
        <v>0.77209000000000005</v>
      </c>
      <c r="N18" s="86"/>
      <c r="O18" s="86"/>
      <c r="P18" s="86"/>
      <c r="Q18" s="86">
        <v>0.73599999999999999</v>
      </c>
      <c r="R18" s="86"/>
      <c r="S18" s="86">
        <v>0.75060000000000004</v>
      </c>
      <c r="T18" s="86">
        <v>0.77</v>
      </c>
      <c r="U18" s="86">
        <v>0.77329999999999999</v>
      </c>
      <c r="V18" s="86">
        <v>0.77</v>
      </c>
      <c r="W18" s="86">
        <v>0.77</v>
      </c>
      <c r="X18" s="86"/>
      <c r="Y18" s="86"/>
      <c r="Z18" s="86"/>
      <c r="AA18" s="86">
        <v>0.79100000000000004</v>
      </c>
      <c r="AB18" s="86">
        <v>0.80200000000000005</v>
      </c>
      <c r="AC18" s="86"/>
      <c r="AD18" s="86"/>
      <c r="AE18" s="86"/>
      <c r="AF18" s="86">
        <v>0.76</v>
      </c>
      <c r="AG18" s="86"/>
      <c r="AH18" s="86">
        <v>0.77</v>
      </c>
    </row>
    <row r="19" spans="2:34" ht="15" customHeight="1" thickBot="1" x14ac:dyDescent="0.3">
      <c r="B19" s="211"/>
      <c r="C19" s="87" t="s">
        <v>338</v>
      </c>
      <c r="D19" s="86"/>
      <c r="E19" s="86"/>
      <c r="F19" s="86"/>
      <c r="G19" s="86"/>
      <c r="H19" s="86"/>
      <c r="I19" s="86"/>
      <c r="J19" s="86">
        <v>4.9299999999999997E-2</v>
      </c>
      <c r="K19" s="86">
        <v>4.8899999999999999E-2</v>
      </c>
      <c r="L19" s="86"/>
      <c r="M19" s="86">
        <v>4.65E-2</v>
      </c>
      <c r="N19" s="86"/>
      <c r="O19" s="86"/>
      <c r="P19" s="86"/>
      <c r="Q19" s="86">
        <v>4.8000000000000001E-2</v>
      </c>
      <c r="R19" s="86"/>
      <c r="S19" s="86">
        <v>4.8090000000000001E-2</v>
      </c>
      <c r="T19" s="86">
        <v>4.8000000000000001E-2</v>
      </c>
      <c r="U19" s="86">
        <v>4.8000000000000001E-2</v>
      </c>
      <c r="V19" s="86">
        <v>4.8000000000000001E-2</v>
      </c>
      <c r="W19" s="86">
        <v>4.8000000000000001E-2</v>
      </c>
      <c r="X19" s="86"/>
      <c r="Y19" s="86"/>
      <c r="Z19" s="86"/>
      <c r="AA19" s="86">
        <v>4.9000000000000002E-2</v>
      </c>
      <c r="AB19" s="86">
        <v>4.8000000000000001E-2</v>
      </c>
      <c r="AC19" s="86"/>
      <c r="AD19" s="86"/>
      <c r="AE19" s="86"/>
      <c r="AF19" s="86">
        <v>0.05</v>
      </c>
      <c r="AG19" s="86"/>
      <c r="AH19" s="86">
        <v>0.05</v>
      </c>
    </row>
    <row r="20" spans="2:34" ht="15" customHeight="1" x14ac:dyDescent="0.25">
      <c r="B20" s="200" t="s">
        <v>960</v>
      </c>
      <c r="C20" s="88" t="s">
        <v>957</v>
      </c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35">
        <v>0.27200000000000002</v>
      </c>
      <c r="R20" s="122"/>
      <c r="S20" s="135">
        <v>0.27200000000000002</v>
      </c>
      <c r="T20" s="135">
        <v>0.26669999999999999</v>
      </c>
      <c r="U20" s="135"/>
      <c r="V20" s="135"/>
      <c r="W20" s="135"/>
      <c r="X20" s="135"/>
      <c r="Y20" s="135"/>
      <c r="Z20" s="135"/>
      <c r="AA20" s="135"/>
      <c r="AB20" s="135"/>
      <c r="AC20" s="135"/>
      <c r="AD20" s="135"/>
      <c r="AE20" s="135"/>
      <c r="AF20" s="135"/>
      <c r="AG20" s="135"/>
      <c r="AH20" s="135"/>
    </row>
    <row r="21" spans="2:34" ht="15" customHeight="1" x14ac:dyDescent="0.25">
      <c r="B21" s="201"/>
      <c r="C21" s="90" t="s">
        <v>339</v>
      </c>
      <c r="D21" s="124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134">
        <v>0.68</v>
      </c>
      <c r="R21" s="124"/>
      <c r="S21" s="133">
        <v>0.68</v>
      </c>
      <c r="T21" s="133">
        <v>0.68330000000000002</v>
      </c>
      <c r="U21" s="133"/>
      <c r="V21" s="133"/>
      <c r="W21" s="133"/>
      <c r="X21" s="133"/>
      <c r="Y21" s="133"/>
      <c r="Z21" s="133"/>
      <c r="AA21" s="133"/>
      <c r="AB21" s="133"/>
      <c r="AC21" s="133"/>
      <c r="AD21" s="133"/>
      <c r="AE21" s="133"/>
      <c r="AF21" s="133"/>
      <c r="AG21" s="133"/>
      <c r="AH21" s="133"/>
    </row>
    <row r="22" spans="2:34" ht="15" customHeight="1" thickBot="1" x14ac:dyDescent="0.3">
      <c r="B22" s="212"/>
      <c r="C22" s="108" t="s">
        <v>338</v>
      </c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36">
        <v>4.8000000000000001E-2</v>
      </c>
      <c r="R22" s="126"/>
      <c r="S22" s="136">
        <v>4.8000000000000001E-2</v>
      </c>
      <c r="T22" s="136">
        <v>0.05</v>
      </c>
      <c r="U22" s="136"/>
      <c r="V22" s="136"/>
      <c r="W22" s="136"/>
      <c r="X22" s="136"/>
      <c r="Y22" s="136"/>
      <c r="Z22" s="136"/>
      <c r="AA22" s="136"/>
      <c r="AB22" s="136"/>
      <c r="AC22" s="136"/>
      <c r="AD22" s="136"/>
      <c r="AE22" s="136"/>
      <c r="AF22" s="136"/>
      <c r="AG22" s="136"/>
      <c r="AH22" s="136"/>
    </row>
    <row r="23" spans="2:34" ht="15" customHeight="1" x14ac:dyDescent="0.25">
      <c r="B23" s="218" t="s">
        <v>1086</v>
      </c>
      <c r="C23" s="88" t="s">
        <v>957</v>
      </c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8"/>
      <c r="R23" s="137"/>
      <c r="S23" s="138"/>
      <c r="T23" s="138"/>
      <c r="U23" s="138"/>
      <c r="V23" s="138"/>
      <c r="W23" s="138"/>
      <c r="X23" s="138"/>
      <c r="Y23" s="138"/>
      <c r="Z23" s="138"/>
      <c r="AA23" s="138">
        <v>0</v>
      </c>
      <c r="AB23" s="138"/>
      <c r="AC23" s="138"/>
      <c r="AD23" s="138"/>
      <c r="AE23" s="138"/>
      <c r="AF23" s="138"/>
      <c r="AG23" s="138"/>
      <c r="AH23" s="138"/>
    </row>
    <row r="24" spans="2:34" ht="15" customHeight="1" x14ac:dyDescent="0.25">
      <c r="B24" s="219"/>
      <c r="C24" s="90" t="s">
        <v>339</v>
      </c>
      <c r="D24" s="137"/>
      <c r="E24" s="137"/>
      <c r="F24" s="137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8"/>
      <c r="R24" s="137"/>
      <c r="S24" s="138"/>
      <c r="T24" s="138"/>
      <c r="U24" s="138"/>
      <c r="V24" s="138"/>
      <c r="W24" s="138"/>
      <c r="X24" s="138"/>
      <c r="Y24" s="138"/>
      <c r="Z24" s="138"/>
      <c r="AA24" s="138">
        <v>0.95199999999999996</v>
      </c>
      <c r="AB24" s="138"/>
      <c r="AC24" s="138"/>
      <c r="AD24" s="138"/>
      <c r="AE24" s="138"/>
      <c r="AF24" s="138"/>
      <c r="AG24" s="138"/>
      <c r="AH24" s="138"/>
    </row>
    <row r="25" spans="2:34" ht="15" customHeight="1" x14ac:dyDescent="0.25">
      <c r="B25" s="220"/>
      <c r="C25" s="108" t="s">
        <v>338</v>
      </c>
      <c r="D25" s="137"/>
      <c r="E25" s="137"/>
      <c r="F25" s="137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8"/>
      <c r="R25" s="137"/>
      <c r="S25" s="138"/>
      <c r="T25" s="138"/>
      <c r="U25" s="138"/>
      <c r="V25" s="138"/>
      <c r="W25" s="138"/>
      <c r="X25" s="138"/>
      <c r="Y25" s="138"/>
      <c r="Z25" s="138"/>
      <c r="AA25" s="138">
        <v>4.8000000000000001E-2</v>
      </c>
      <c r="AB25" s="138"/>
      <c r="AC25" s="138"/>
      <c r="AD25" s="138"/>
      <c r="AE25" s="138"/>
      <c r="AF25" s="138"/>
      <c r="AG25" s="138"/>
      <c r="AH25" s="138"/>
    </row>
    <row r="26" spans="2:34" ht="15" customHeight="1" x14ac:dyDescent="0.25">
      <c r="B26" s="34" t="s">
        <v>7</v>
      </c>
      <c r="C26" s="34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  <c r="AG26" s="131"/>
      <c r="AH26" s="131"/>
    </row>
    <row r="27" spans="2:34" ht="7.5" customHeight="1" thickBot="1" x14ac:dyDescent="0.3"/>
    <row r="28" spans="2:34" ht="12.75" customHeight="1" thickBot="1" x14ac:dyDescent="0.3">
      <c r="B28" s="213" t="s">
        <v>1002</v>
      </c>
      <c r="C28" s="214"/>
      <c r="D28" s="130">
        <v>77.181208052463106</v>
      </c>
      <c r="E28" s="130">
        <v>77.213930321370199</v>
      </c>
      <c r="F28" s="130">
        <v>77</v>
      </c>
      <c r="G28" s="130">
        <v>77.03</v>
      </c>
      <c r="H28" s="130">
        <v>77</v>
      </c>
      <c r="I28" s="130">
        <v>77.010000000000005</v>
      </c>
      <c r="J28" s="130">
        <v>77.16</v>
      </c>
      <c r="K28" s="130">
        <v>74.05</v>
      </c>
      <c r="L28" s="130">
        <v>74.08</v>
      </c>
      <c r="M28" s="130">
        <v>74.08</v>
      </c>
      <c r="N28" s="130">
        <v>77</v>
      </c>
      <c r="O28" s="130">
        <v>77.03</v>
      </c>
      <c r="P28" s="130">
        <v>74.77</v>
      </c>
      <c r="Q28" s="130">
        <v>73.94</v>
      </c>
      <c r="R28" s="130">
        <v>71.23</v>
      </c>
      <c r="S28" s="130">
        <v>72</v>
      </c>
      <c r="T28" s="130">
        <v>75</v>
      </c>
      <c r="U28" s="130">
        <v>75.28</v>
      </c>
      <c r="V28" s="130">
        <v>74.78</v>
      </c>
      <c r="W28" s="130">
        <v>74.790000000000006</v>
      </c>
      <c r="X28" s="130">
        <v>73.2</v>
      </c>
      <c r="Y28" s="130">
        <v>75</v>
      </c>
      <c r="Z28" s="130">
        <v>79.2</v>
      </c>
      <c r="AA28" s="130">
        <v>83.5</v>
      </c>
      <c r="AB28" s="130">
        <v>76.94</v>
      </c>
      <c r="AC28" s="130">
        <v>79.680000000000007</v>
      </c>
      <c r="AD28" s="130">
        <v>79.680000000000007</v>
      </c>
      <c r="AE28" s="130">
        <v>79.680000000000007</v>
      </c>
      <c r="AF28" s="130">
        <v>79.680000000000007</v>
      </c>
      <c r="AG28" s="130">
        <v>79.680000000000007</v>
      </c>
      <c r="AH28" s="130">
        <v>79.595728454767496</v>
      </c>
    </row>
    <row r="29" spans="2:34" ht="12.75" customHeight="1" x14ac:dyDescent="0.25">
      <c r="B29" s="114"/>
    </row>
    <row r="30" spans="2:34" ht="12.75" customHeight="1" x14ac:dyDescent="0.25">
      <c r="B30" s="114"/>
    </row>
    <row r="31" spans="2:34" ht="12.75" customHeight="1" x14ac:dyDescent="0.25">
      <c r="B31" s="114"/>
    </row>
    <row r="32" spans="2:34" ht="12.75" customHeight="1" x14ac:dyDescent="0.25">
      <c r="B32" s="114"/>
    </row>
    <row r="33" spans="2:2" ht="12.75" customHeight="1" x14ac:dyDescent="0.25">
      <c r="B33" s="114"/>
    </row>
    <row r="34" spans="2:2" ht="12.75" customHeight="1" x14ac:dyDescent="0.25">
      <c r="B34" s="114"/>
    </row>
    <row r="35" spans="2:2" ht="12.75" customHeight="1" x14ac:dyDescent="0.25">
      <c r="B35" s="114"/>
    </row>
    <row r="36" spans="2:2" ht="12.75" customHeight="1" x14ac:dyDescent="0.25">
      <c r="B36" s="114"/>
    </row>
    <row r="37" spans="2:2" ht="12.75" customHeight="1" x14ac:dyDescent="0.25">
      <c r="B37" s="114"/>
    </row>
    <row r="38" spans="2:2" ht="12.75" customHeight="1" x14ac:dyDescent="0.25">
      <c r="B38" s="114"/>
    </row>
    <row r="39" spans="2:2" ht="12.75" customHeight="1" x14ac:dyDescent="0.25">
      <c r="B39" s="114"/>
    </row>
    <row r="40" spans="2:2" ht="12.75" customHeight="1" x14ac:dyDescent="0.25">
      <c r="B40" s="114"/>
    </row>
    <row r="41" spans="2:2" ht="12.75" customHeight="1" x14ac:dyDescent="0.25">
      <c r="B41" s="114"/>
    </row>
    <row r="42" spans="2:2" x14ac:dyDescent="0.25">
      <c r="B42" s="114"/>
    </row>
    <row r="43" spans="2:2" x14ac:dyDescent="0.25">
      <c r="B43" s="114"/>
    </row>
    <row r="44" spans="2:2" x14ac:dyDescent="0.25">
      <c r="B44" s="114"/>
    </row>
    <row r="45" spans="2:2" x14ac:dyDescent="0.25">
      <c r="B45" s="114"/>
    </row>
    <row r="46" spans="2:2" x14ac:dyDescent="0.25">
      <c r="B46" s="114"/>
    </row>
    <row r="47" spans="2:2" x14ac:dyDescent="0.25">
      <c r="B47" s="114"/>
    </row>
    <row r="48" spans="2:2" x14ac:dyDescent="0.25">
      <c r="B48" s="114"/>
    </row>
    <row r="49" spans="2:2" x14ac:dyDescent="0.25">
      <c r="B49" s="114"/>
    </row>
  </sheetData>
  <mergeCells count="8">
    <mergeCell ref="B28:C28"/>
    <mergeCell ref="B3:B5"/>
    <mergeCell ref="B6:B8"/>
    <mergeCell ref="B9:B11"/>
    <mergeCell ref="B14:B16"/>
    <mergeCell ref="B17:B19"/>
    <mergeCell ref="B20:B22"/>
    <mergeCell ref="B23:B25"/>
  </mergeCells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B1:AH49"/>
  <sheetViews>
    <sheetView zoomScale="90" zoomScaleNormal="90" workbookViewId="0">
      <pane xSplit="3" topLeftCell="AB1" activePane="topRight" state="frozen"/>
      <selection pane="topRight" activeCell="AN13" sqref="AN13"/>
    </sheetView>
  </sheetViews>
  <sheetFormatPr defaultRowHeight="15" x14ac:dyDescent="0.25"/>
  <cols>
    <col min="3" max="3" width="28.140625" customWidth="1"/>
    <col min="4" max="34" width="10.7109375" customWidth="1"/>
  </cols>
  <sheetData>
    <row r="1" spans="2:34" ht="6" customHeight="1" thickBot="1" x14ac:dyDescent="0.3"/>
    <row r="2" spans="2:34" ht="15" customHeight="1" thickBot="1" x14ac:dyDescent="0.3">
      <c r="B2" s="94" t="s">
        <v>964</v>
      </c>
      <c r="C2" s="96" t="s">
        <v>961</v>
      </c>
      <c r="D2" s="97" t="str">
        <f t="shared" ref="D2:E2" si="0">D13</f>
        <v>01.01.2025</v>
      </c>
      <c r="E2" s="97" t="str">
        <f t="shared" si="0"/>
        <v>02.01.2025</v>
      </c>
      <c r="F2" s="97" t="str">
        <f t="shared" ref="F2:G2" si="1">F13</f>
        <v>03.01.2025</v>
      </c>
      <c r="G2" s="97" t="str">
        <f t="shared" si="1"/>
        <v>04.01.2025</v>
      </c>
      <c r="H2" s="97" t="str">
        <f t="shared" ref="H2:I2" si="2">H13</f>
        <v>05.01.2025</v>
      </c>
      <c r="I2" s="97" t="str">
        <f t="shared" si="2"/>
        <v>06.01.2025</v>
      </c>
      <c r="J2" s="97" t="str">
        <f t="shared" ref="J2:K2" si="3">J13</f>
        <v>07.01.2025</v>
      </c>
      <c r="K2" s="97" t="str">
        <f t="shared" si="3"/>
        <v>08.01.2025</v>
      </c>
      <c r="L2" s="97" t="str">
        <f t="shared" ref="L2:M2" si="4">L13</f>
        <v>09.01.2025</v>
      </c>
      <c r="M2" s="97" t="str">
        <f t="shared" si="4"/>
        <v>10.01.2025</v>
      </c>
      <c r="N2" s="97" t="str">
        <f t="shared" ref="N2:O2" si="5">N13</f>
        <v>11.01.2025</v>
      </c>
      <c r="O2" s="97" t="str">
        <f t="shared" si="5"/>
        <v>12.01.2025</v>
      </c>
      <c r="P2" s="97" t="str">
        <f t="shared" ref="P2:Q2" si="6">P13</f>
        <v>13.01.2025</v>
      </c>
      <c r="Q2" s="97" t="str">
        <f t="shared" si="6"/>
        <v>14.01.2025</v>
      </c>
      <c r="R2" s="97" t="str">
        <f t="shared" ref="R2:S2" si="7">R13</f>
        <v>15.01.2025</v>
      </c>
      <c r="S2" s="97" t="str">
        <f t="shared" si="7"/>
        <v>16.01.2025</v>
      </c>
      <c r="T2" s="97" t="str">
        <f t="shared" ref="T2:U2" si="8">T13</f>
        <v>17.01.2025</v>
      </c>
      <c r="U2" s="97" t="str">
        <f t="shared" si="8"/>
        <v>18.01.2025</v>
      </c>
      <c r="V2" s="97" t="str">
        <f t="shared" ref="V2:W2" si="9">V13</f>
        <v>19.01.2025</v>
      </c>
      <c r="W2" s="97" t="str">
        <f t="shared" si="9"/>
        <v>20.01.2025</v>
      </c>
      <c r="X2" s="97" t="str">
        <f t="shared" ref="X2:Y2" si="10">X13</f>
        <v>21.01.2025</v>
      </c>
      <c r="Y2" s="97" t="str">
        <f t="shared" si="10"/>
        <v>22.01.2025</v>
      </c>
      <c r="Z2" s="97" t="str">
        <f t="shared" ref="Z2:AA2" si="11">Z13</f>
        <v>23.01.2025</v>
      </c>
      <c r="AA2" s="97" t="str">
        <f t="shared" si="11"/>
        <v>24.01.2025</v>
      </c>
      <c r="AB2" s="97" t="str">
        <f t="shared" ref="AB2:AC2" si="12">AB13</f>
        <v>25.01.2025</v>
      </c>
      <c r="AC2" s="97" t="str">
        <f t="shared" si="12"/>
        <v>26.01.2025</v>
      </c>
      <c r="AD2" s="97" t="str">
        <f t="shared" ref="AD2:AE2" si="13">AD13</f>
        <v>27.01.2025</v>
      </c>
      <c r="AE2" s="97" t="str">
        <f t="shared" si="13"/>
        <v>28.01.2025</v>
      </c>
      <c r="AF2" s="97" t="str">
        <f t="shared" ref="AF2:AG2" si="14">AF13</f>
        <v>29.01.2025</v>
      </c>
      <c r="AG2" s="97" t="str">
        <f t="shared" si="14"/>
        <v>30.01.2025</v>
      </c>
      <c r="AH2" s="97" t="str">
        <f t="shared" ref="AH2" si="15">AH13</f>
        <v>31.01.2025</v>
      </c>
    </row>
    <row r="3" spans="2:34" ht="15" customHeight="1" x14ac:dyDescent="0.25">
      <c r="B3" s="206" t="s">
        <v>958</v>
      </c>
      <c r="C3" s="116" t="s">
        <v>957</v>
      </c>
      <c r="D3" s="117"/>
      <c r="E3" s="117">
        <v>0.1091</v>
      </c>
      <c r="F3" s="117">
        <v>0.11070000000000001</v>
      </c>
      <c r="G3" s="117">
        <v>0.1108</v>
      </c>
      <c r="H3" s="117">
        <v>0.1202</v>
      </c>
      <c r="I3" s="117">
        <v>0.10970000000000001</v>
      </c>
      <c r="J3" s="117">
        <v>0.1198</v>
      </c>
      <c r="K3" s="117">
        <v>0.1148</v>
      </c>
      <c r="L3" s="117">
        <v>0.1169</v>
      </c>
      <c r="M3" s="117">
        <v>0.12180000000000001</v>
      </c>
      <c r="N3" s="117">
        <v>0.12280000000000001</v>
      </c>
      <c r="O3" s="117">
        <v>0.12690000000000001</v>
      </c>
      <c r="P3" s="117">
        <v>0.12</v>
      </c>
      <c r="Q3" s="117">
        <v>0.14000000000000001</v>
      </c>
      <c r="R3" s="117">
        <v>0.15</v>
      </c>
      <c r="S3" s="117">
        <v>0.1573</v>
      </c>
      <c r="T3" s="117">
        <v>0.154</v>
      </c>
      <c r="U3" s="117">
        <v>0.15670000000000001</v>
      </c>
      <c r="V3" s="117">
        <v>0.15640000000000001</v>
      </c>
      <c r="W3" s="84">
        <v>0.15</v>
      </c>
      <c r="X3" s="84">
        <v>0.15</v>
      </c>
      <c r="Y3" s="84">
        <v>0.15</v>
      </c>
      <c r="Z3" s="84">
        <v>0.15479999999999999</v>
      </c>
      <c r="AA3" s="84">
        <v>0.1517</v>
      </c>
      <c r="AB3" s="84">
        <v>0.15</v>
      </c>
      <c r="AC3" s="84">
        <v>0.155</v>
      </c>
      <c r="AD3" s="84">
        <v>0.155</v>
      </c>
      <c r="AE3" s="84">
        <v>0.155</v>
      </c>
      <c r="AF3" s="84">
        <v>0.14199999999999999</v>
      </c>
      <c r="AG3" s="84">
        <v>0.1346</v>
      </c>
      <c r="AH3" s="84">
        <v>0.1338</v>
      </c>
    </row>
    <row r="4" spans="2:34" ht="15" customHeight="1" x14ac:dyDescent="0.25">
      <c r="B4" s="207"/>
      <c r="C4" s="118" t="s">
        <v>339</v>
      </c>
      <c r="D4" s="84"/>
      <c r="E4" s="84">
        <v>0.84240000000000004</v>
      </c>
      <c r="F4" s="84">
        <v>0.84009999999999996</v>
      </c>
      <c r="G4" s="84">
        <v>0.84089999999999998</v>
      </c>
      <c r="H4" s="84">
        <v>0.82979999999999998</v>
      </c>
      <c r="I4" s="84">
        <v>0.83830000000000005</v>
      </c>
      <c r="J4" s="84">
        <v>0.83020000000000005</v>
      </c>
      <c r="K4" s="84">
        <v>0.83889999999999998</v>
      </c>
      <c r="L4" s="84">
        <v>0.83309999999999995</v>
      </c>
      <c r="M4" s="84">
        <v>0.82820000000000005</v>
      </c>
      <c r="N4" s="84">
        <v>0.82689999999999997</v>
      </c>
      <c r="O4" s="84">
        <v>0.82340000000000002</v>
      </c>
      <c r="P4" s="84">
        <v>0.83</v>
      </c>
      <c r="Q4" s="84">
        <v>0.81</v>
      </c>
      <c r="R4" s="84">
        <v>0.8</v>
      </c>
      <c r="S4" s="84">
        <v>0.8</v>
      </c>
      <c r="T4" s="84">
        <v>0.79600000000000004</v>
      </c>
      <c r="U4" s="84">
        <v>0.79400000000000004</v>
      </c>
      <c r="V4" s="84">
        <v>0.79359999999999997</v>
      </c>
      <c r="W4" s="84">
        <v>0.8</v>
      </c>
      <c r="X4" s="84">
        <v>0.8</v>
      </c>
      <c r="Y4" s="84">
        <v>0.8</v>
      </c>
      <c r="Z4" s="84">
        <v>0.79520000000000002</v>
      </c>
      <c r="AA4" s="84">
        <v>0.79830000000000001</v>
      </c>
      <c r="AB4" s="84">
        <v>0.79479999999999995</v>
      </c>
      <c r="AC4" s="84">
        <v>0.79300000000000004</v>
      </c>
      <c r="AD4" s="84">
        <v>0.79500000000000004</v>
      </c>
      <c r="AE4" s="84">
        <v>0.79500000000000004</v>
      </c>
      <c r="AF4" s="84">
        <v>0.80800000000000005</v>
      </c>
      <c r="AG4" s="84">
        <v>0.81540000000000001</v>
      </c>
      <c r="AH4" s="84">
        <v>0.81630000000000003</v>
      </c>
    </row>
    <row r="5" spans="2:34" ht="15" customHeight="1" thickBot="1" x14ac:dyDescent="0.3">
      <c r="B5" s="208"/>
      <c r="C5" s="118" t="s">
        <v>338</v>
      </c>
      <c r="D5" s="84"/>
      <c r="E5" s="84">
        <v>4.8500000000000001E-2</v>
      </c>
      <c r="F5" s="84">
        <v>4.9200000000000001E-2</v>
      </c>
      <c r="G5" s="84">
        <v>4.8300000000000003E-2</v>
      </c>
      <c r="H5" s="84">
        <v>0.05</v>
      </c>
      <c r="I5" s="84">
        <v>5.1999999999999998E-2</v>
      </c>
      <c r="J5" s="84">
        <v>0.05</v>
      </c>
      <c r="K5" s="84">
        <v>4.6300000000000001E-2</v>
      </c>
      <c r="L5" s="84">
        <v>0.05</v>
      </c>
      <c r="M5" s="84">
        <v>0.05</v>
      </c>
      <c r="N5" s="84">
        <v>5.0299999999999997E-2</v>
      </c>
      <c r="O5" s="84">
        <v>4.9700000000000001E-2</v>
      </c>
      <c r="P5" s="84">
        <v>0.05</v>
      </c>
      <c r="Q5" s="84">
        <v>0.05</v>
      </c>
      <c r="R5" s="84">
        <v>0.05</v>
      </c>
      <c r="S5" s="84">
        <v>4.2700000000000002E-2</v>
      </c>
      <c r="T5" s="84">
        <v>0.05</v>
      </c>
      <c r="U5" s="84">
        <v>4.9299999999999997E-2</v>
      </c>
      <c r="V5" s="84">
        <v>0.05</v>
      </c>
      <c r="W5" s="84">
        <v>0.05</v>
      </c>
      <c r="X5" s="84">
        <v>0.05</v>
      </c>
      <c r="Y5" s="84">
        <v>0.05</v>
      </c>
      <c r="Z5" s="84">
        <v>0.05</v>
      </c>
      <c r="AA5" s="84">
        <v>0.05</v>
      </c>
      <c r="AB5" s="84">
        <v>5.5199999999999999E-2</v>
      </c>
      <c r="AC5" s="84">
        <v>5.1999999999999998E-2</v>
      </c>
      <c r="AD5" s="84">
        <v>0.05</v>
      </c>
      <c r="AE5" s="84">
        <v>0.05</v>
      </c>
      <c r="AF5" s="84">
        <v>0.05</v>
      </c>
      <c r="AG5" s="84">
        <v>0.05</v>
      </c>
      <c r="AH5" s="84">
        <v>4.99E-2</v>
      </c>
    </row>
    <row r="6" spans="2:34" ht="15" customHeight="1" x14ac:dyDescent="0.25">
      <c r="B6" s="209" t="s">
        <v>959</v>
      </c>
      <c r="C6" s="119" t="s">
        <v>957</v>
      </c>
      <c r="D6" s="86"/>
      <c r="E6" s="86"/>
      <c r="F6" s="86">
        <v>0.11</v>
      </c>
      <c r="G6" s="86">
        <v>0.1244</v>
      </c>
      <c r="H6" s="86">
        <v>0.13</v>
      </c>
      <c r="I6" s="86">
        <v>0.11</v>
      </c>
      <c r="J6" s="86">
        <v>0.11</v>
      </c>
      <c r="K6" s="86"/>
      <c r="L6" s="86"/>
      <c r="M6" s="86">
        <v>0.13639999999999999</v>
      </c>
      <c r="N6" s="86"/>
      <c r="O6" s="86">
        <v>0.1241</v>
      </c>
      <c r="P6" s="86">
        <v>0.12</v>
      </c>
      <c r="Q6" s="86">
        <v>0.14000000000000001</v>
      </c>
      <c r="R6" s="86"/>
      <c r="S6" s="86">
        <v>0.15</v>
      </c>
      <c r="T6" s="86"/>
      <c r="U6" s="86">
        <v>0.16</v>
      </c>
      <c r="V6" s="86">
        <v>0.15</v>
      </c>
      <c r="W6" s="86">
        <v>0.15</v>
      </c>
      <c r="X6" s="86">
        <v>0.15</v>
      </c>
      <c r="Y6" s="86"/>
      <c r="Z6" s="86">
        <v>0.17</v>
      </c>
      <c r="AA6" s="86">
        <v>0.15</v>
      </c>
      <c r="AB6" s="86"/>
      <c r="AC6" s="86"/>
      <c r="AD6" s="86"/>
      <c r="AE6" s="86"/>
      <c r="AF6" s="84">
        <v>0.155</v>
      </c>
      <c r="AG6" s="84"/>
      <c r="AH6" s="117">
        <v>0.13320000000000001</v>
      </c>
    </row>
    <row r="7" spans="2:34" ht="15" customHeight="1" x14ac:dyDescent="0.25">
      <c r="B7" s="210"/>
      <c r="C7" s="120" t="s">
        <v>339</v>
      </c>
      <c r="D7" s="86"/>
      <c r="E7" s="86"/>
      <c r="F7" s="86">
        <v>0.84</v>
      </c>
      <c r="G7" s="86">
        <v>0.83120000000000005</v>
      </c>
      <c r="H7" s="86">
        <v>0.82199999999999995</v>
      </c>
      <c r="I7" s="86">
        <v>0.83750000000000002</v>
      </c>
      <c r="J7" s="86">
        <v>0.84</v>
      </c>
      <c r="K7" s="86"/>
      <c r="L7" s="86"/>
      <c r="M7" s="86">
        <v>0.81810000000000005</v>
      </c>
      <c r="N7" s="86"/>
      <c r="O7" s="86">
        <v>0.82630000000000003</v>
      </c>
      <c r="P7" s="86">
        <v>0.83</v>
      </c>
      <c r="Q7" s="86">
        <v>0.81</v>
      </c>
      <c r="R7" s="86"/>
      <c r="S7" s="86">
        <v>0.8</v>
      </c>
      <c r="T7" s="86"/>
      <c r="U7" s="86">
        <v>0.79</v>
      </c>
      <c r="V7" s="86">
        <v>0.8</v>
      </c>
      <c r="W7" s="86">
        <v>0.8</v>
      </c>
      <c r="X7" s="86">
        <v>0.8</v>
      </c>
      <c r="Y7" s="86"/>
      <c r="Z7" s="86">
        <v>0.78</v>
      </c>
      <c r="AA7" s="86">
        <v>0.78</v>
      </c>
      <c r="AB7" s="86"/>
      <c r="AC7" s="86"/>
      <c r="AD7" s="86"/>
      <c r="AE7" s="86"/>
      <c r="AF7" s="84">
        <v>0.79500000000000004</v>
      </c>
      <c r="AG7" s="84"/>
      <c r="AH7" s="84">
        <v>0.81679999999999997</v>
      </c>
    </row>
    <row r="8" spans="2:34" ht="15" customHeight="1" thickBot="1" x14ac:dyDescent="0.3">
      <c r="B8" s="211"/>
      <c r="C8" s="120" t="s">
        <v>338</v>
      </c>
      <c r="D8" s="86"/>
      <c r="E8" s="86"/>
      <c r="F8" s="86">
        <v>0.05</v>
      </c>
      <c r="G8" s="86">
        <v>4.4400000000000002E-2</v>
      </c>
      <c r="H8" s="86">
        <v>4.8000000000000001E-2</v>
      </c>
      <c r="I8" s="86">
        <v>5.2499999999999998E-2</v>
      </c>
      <c r="J8" s="86">
        <v>0.05</v>
      </c>
      <c r="K8" s="86"/>
      <c r="L8" s="86"/>
      <c r="M8" s="86">
        <v>4.5499999999999999E-2</v>
      </c>
      <c r="N8" s="86"/>
      <c r="O8" s="86">
        <v>4.9599999999999998E-2</v>
      </c>
      <c r="P8" s="86">
        <v>0.05</v>
      </c>
      <c r="Q8" s="86">
        <v>0.05</v>
      </c>
      <c r="R8" s="86"/>
      <c r="S8" s="86">
        <v>0.05</v>
      </c>
      <c r="T8" s="86"/>
      <c r="U8" s="86">
        <v>0.05</v>
      </c>
      <c r="V8" s="86">
        <v>0.05</v>
      </c>
      <c r="W8" s="86">
        <v>0.05</v>
      </c>
      <c r="X8" s="86">
        <v>0.05</v>
      </c>
      <c r="Y8" s="86"/>
      <c r="Z8" s="86">
        <v>0.05</v>
      </c>
      <c r="AA8" s="86">
        <v>7.0000000000000007E-2</v>
      </c>
      <c r="AB8" s="86"/>
      <c r="AC8" s="86"/>
      <c r="AD8" s="86"/>
      <c r="AE8" s="86"/>
      <c r="AF8" s="84">
        <v>0.05</v>
      </c>
      <c r="AG8" s="84"/>
      <c r="AH8" s="84">
        <v>0.05</v>
      </c>
    </row>
    <row r="9" spans="2:34" ht="15" customHeight="1" x14ac:dyDescent="0.25">
      <c r="B9" s="215" t="s">
        <v>960</v>
      </c>
      <c r="C9" s="121" t="s">
        <v>957</v>
      </c>
      <c r="D9" s="122"/>
      <c r="E9" s="122"/>
      <c r="F9" s="122"/>
      <c r="G9" s="122"/>
      <c r="H9" s="122"/>
      <c r="I9" s="122"/>
      <c r="J9" s="122"/>
      <c r="K9" s="122"/>
      <c r="L9" s="122">
        <v>14.09</v>
      </c>
      <c r="M9" s="135">
        <v>0.17050000000000001</v>
      </c>
      <c r="N9" s="135">
        <v>0.16750000000000001</v>
      </c>
      <c r="O9" s="122"/>
      <c r="P9" s="122"/>
      <c r="Q9" s="142">
        <v>0.16</v>
      </c>
      <c r="R9" s="142"/>
      <c r="S9" s="142"/>
      <c r="T9" s="142">
        <v>0.21</v>
      </c>
      <c r="U9" s="142"/>
      <c r="V9" s="142"/>
      <c r="W9" s="142"/>
      <c r="X9" s="142"/>
      <c r="Y9" s="142"/>
      <c r="Z9" s="142"/>
      <c r="AA9" s="142">
        <v>0.155</v>
      </c>
      <c r="AB9" s="142"/>
      <c r="AC9" s="142"/>
      <c r="AD9" s="142"/>
      <c r="AE9" s="142"/>
      <c r="AF9" s="142"/>
      <c r="AG9" s="142">
        <v>0.19500000000000001</v>
      </c>
      <c r="AH9" s="142">
        <v>0.21</v>
      </c>
    </row>
    <row r="10" spans="2:34" ht="15" customHeight="1" x14ac:dyDescent="0.25">
      <c r="B10" s="216"/>
      <c r="C10" s="123" t="s">
        <v>339</v>
      </c>
      <c r="D10" s="124"/>
      <c r="E10" s="124"/>
      <c r="F10" s="124"/>
      <c r="G10" s="124"/>
      <c r="H10" s="124"/>
      <c r="I10" s="124"/>
      <c r="J10" s="124"/>
      <c r="K10" s="124"/>
      <c r="L10" s="124">
        <v>80.91</v>
      </c>
      <c r="M10" s="134">
        <v>0.77949999999999997</v>
      </c>
      <c r="N10" s="134">
        <v>0.78249999999999997</v>
      </c>
      <c r="O10" s="124"/>
      <c r="P10" s="124"/>
      <c r="Q10" s="133">
        <v>0.79</v>
      </c>
      <c r="R10" s="133"/>
      <c r="S10" s="133"/>
      <c r="T10" s="133">
        <v>0.74</v>
      </c>
      <c r="U10" s="133"/>
      <c r="V10" s="133"/>
      <c r="W10" s="133"/>
      <c r="X10" s="133"/>
      <c r="Y10" s="133"/>
      <c r="Z10" s="133"/>
      <c r="AA10" s="133">
        <v>0.79500000000000004</v>
      </c>
      <c r="AB10" s="133"/>
      <c r="AC10" s="133"/>
      <c r="AD10" s="133"/>
      <c r="AE10" s="133"/>
      <c r="AF10" s="133"/>
      <c r="AG10" s="133">
        <v>0.755</v>
      </c>
      <c r="AH10" s="133">
        <v>0.74</v>
      </c>
    </row>
    <row r="11" spans="2:34" ht="15" customHeight="1" thickBot="1" x14ac:dyDescent="0.3">
      <c r="B11" s="217"/>
      <c r="C11" s="125" t="s">
        <v>338</v>
      </c>
      <c r="D11" s="126"/>
      <c r="E11" s="126"/>
      <c r="F11" s="126"/>
      <c r="G11" s="126"/>
      <c r="H11" s="126"/>
      <c r="I11" s="126"/>
      <c r="J11" s="126"/>
      <c r="K11" s="126"/>
      <c r="L11" s="126">
        <v>5</v>
      </c>
      <c r="M11" s="141">
        <v>0.05</v>
      </c>
      <c r="N11" s="141">
        <v>0.05</v>
      </c>
      <c r="O11" s="126"/>
      <c r="P11" s="126"/>
      <c r="Q11" s="141">
        <v>0.05</v>
      </c>
      <c r="R11" s="141"/>
      <c r="S11" s="141"/>
      <c r="T11" s="141">
        <v>0.05</v>
      </c>
      <c r="U11" s="141"/>
      <c r="V11" s="141"/>
      <c r="W11" s="141"/>
      <c r="X11" s="141"/>
      <c r="Y11" s="141"/>
      <c r="Z11" s="141"/>
      <c r="AA11" s="141">
        <v>0.05</v>
      </c>
      <c r="AB11" s="141"/>
      <c r="AC11" s="141"/>
      <c r="AD11" s="141"/>
      <c r="AE11" s="141"/>
      <c r="AF11" s="141"/>
      <c r="AG11" s="141">
        <v>0.05</v>
      </c>
      <c r="AH11" s="141">
        <v>0.05</v>
      </c>
    </row>
    <row r="12" spans="2:34" ht="6.75" customHeight="1" thickBot="1" x14ac:dyDescent="0.3"/>
    <row r="13" spans="2:34" ht="15" customHeight="1" thickBot="1" x14ac:dyDescent="0.3">
      <c r="B13" s="95" t="s">
        <v>964</v>
      </c>
      <c r="C13" s="94" t="s">
        <v>963</v>
      </c>
      <c r="D13" s="94" t="s">
        <v>1093</v>
      </c>
      <c r="E13" s="94" t="s">
        <v>1095</v>
      </c>
      <c r="F13" s="94" t="s">
        <v>1096</v>
      </c>
      <c r="G13" s="94" t="s">
        <v>1097</v>
      </c>
      <c r="H13" s="94" t="s">
        <v>1098</v>
      </c>
      <c r="I13" s="94" t="s">
        <v>1099</v>
      </c>
      <c r="J13" s="94" t="s">
        <v>1100</v>
      </c>
      <c r="K13" s="94" t="s">
        <v>1101</v>
      </c>
      <c r="L13" s="94" t="s">
        <v>1102</v>
      </c>
      <c r="M13" s="94" t="s">
        <v>1103</v>
      </c>
      <c r="N13" s="94" t="s">
        <v>1104</v>
      </c>
      <c r="O13" s="94" t="s">
        <v>1105</v>
      </c>
      <c r="P13" s="94" t="s">
        <v>1106</v>
      </c>
      <c r="Q13" s="94" t="s">
        <v>1107</v>
      </c>
      <c r="R13" s="94" t="s">
        <v>1108</v>
      </c>
      <c r="S13" s="94" t="s">
        <v>1109</v>
      </c>
      <c r="T13" s="94" t="s">
        <v>1110</v>
      </c>
      <c r="U13" s="94" t="s">
        <v>1111</v>
      </c>
      <c r="V13" s="94" t="s">
        <v>1112</v>
      </c>
      <c r="W13" s="94" t="s">
        <v>1113</v>
      </c>
      <c r="X13" s="94" t="s">
        <v>1114</v>
      </c>
      <c r="Y13" s="94" t="s">
        <v>1115</v>
      </c>
      <c r="Z13" s="94" t="s">
        <v>1116</v>
      </c>
      <c r="AA13" s="94" t="s">
        <v>1117</v>
      </c>
      <c r="AB13" s="94" t="s">
        <v>1118</v>
      </c>
      <c r="AC13" s="94" t="s">
        <v>1119</v>
      </c>
      <c r="AD13" s="94" t="s">
        <v>1120</v>
      </c>
      <c r="AE13" s="94" t="s">
        <v>1121</v>
      </c>
      <c r="AF13" s="94" t="s">
        <v>1122</v>
      </c>
      <c r="AG13" s="94" t="s">
        <v>1124</v>
      </c>
      <c r="AH13" s="94" t="s">
        <v>1125</v>
      </c>
    </row>
    <row r="14" spans="2:34" ht="15" customHeight="1" x14ac:dyDescent="0.25">
      <c r="B14" s="206" t="s">
        <v>958</v>
      </c>
      <c r="C14" s="81" t="s">
        <v>957</v>
      </c>
      <c r="D14" s="84">
        <v>0.1103</v>
      </c>
      <c r="E14" s="84">
        <v>0.11</v>
      </c>
      <c r="F14" s="84"/>
      <c r="G14" s="84"/>
      <c r="H14" s="84">
        <v>0.125</v>
      </c>
      <c r="I14" s="84"/>
      <c r="J14" s="84">
        <v>7.7399999999999997E-2</v>
      </c>
      <c r="K14" s="84">
        <v>0.1186</v>
      </c>
      <c r="L14" s="84">
        <v>0.12</v>
      </c>
      <c r="M14" s="84"/>
      <c r="N14" s="84">
        <v>0.12670000000000001</v>
      </c>
      <c r="O14" s="84"/>
      <c r="P14" s="84"/>
      <c r="Q14" s="84">
        <v>0.14000000000000001</v>
      </c>
      <c r="R14" s="117">
        <v>0.15</v>
      </c>
      <c r="S14" s="117">
        <v>0.1467</v>
      </c>
      <c r="T14" s="117"/>
      <c r="U14" s="117"/>
      <c r="V14" s="117">
        <v>0.14929999999999999</v>
      </c>
      <c r="W14" s="117">
        <v>0.15</v>
      </c>
      <c r="X14" s="117">
        <v>0.15</v>
      </c>
      <c r="Y14" s="117">
        <v>0.15</v>
      </c>
      <c r="Z14" s="117">
        <v>0.1532</v>
      </c>
      <c r="AA14" s="117">
        <v>0.154</v>
      </c>
      <c r="AB14" s="117">
        <v>0.15</v>
      </c>
      <c r="AC14" s="117">
        <v>0.155</v>
      </c>
      <c r="AD14" s="117">
        <v>0.15</v>
      </c>
      <c r="AE14" s="117">
        <v>0.15409999999999999</v>
      </c>
      <c r="AF14" s="117">
        <v>0.15429999999999999</v>
      </c>
      <c r="AG14" s="117">
        <v>0.13439999999999999</v>
      </c>
      <c r="AH14" s="117">
        <v>0.13250000000000001</v>
      </c>
    </row>
    <row r="15" spans="2:34" ht="15" customHeight="1" x14ac:dyDescent="0.25">
      <c r="B15" s="207"/>
      <c r="C15" s="83" t="s">
        <v>339</v>
      </c>
      <c r="D15" s="84">
        <v>0.83989999999999998</v>
      </c>
      <c r="E15" s="84">
        <v>0.84</v>
      </c>
      <c r="F15" s="84"/>
      <c r="G15" s="84"/>
      <c r="H15" s="84">
        <v>0.82720000000000005</v>
      </c>
      <c r="I15" s="84"/>
      <c r="J15" s="84">
        <v>0.87739999999999996</v>
      </c>
      <c r="K15" s="84">
        <v>0.83779999999999999</v>
      </c>
      <c r="L15" s="84">
        <v>0.83</v>
      </c>
      <c r="M15" s="84"/>
      <c r="N15" s="84">
        <v>0.82330000000000003</v>
      </c>
      <c r="O15" s="84"/>
      <c r="P15" s="84"/>
      <c r="Q15" s="84">
        <v>0.81</v>
      </c>
      <c r="R15" s="84">
        <v>0.8</v>
      </c>
      <c r="S15" s="84">
        <v>0.8044</v>
      </c>
      <c r="T15" s="84"/>
      <c r="U15" s="84"/>
      <c r="V15" s="84">
        <v>0.80089999999999995</v>
      </c>
      <c r="W15" s="84">
        <v>0.8</v>
      </c>
      <c r="X15" s="84">
        <v>0.8</v>
      </c>
      <c r="Y15" s="84">
        <v>0.8</v>
      </c>
      <c r="Z15" s="84">
        <v>0.79679999999999995</v>
      </c>
      <c r="AA15" s="84">
        <v>0.78380000000000005</v>
      </c>
      <c r="AB15" s="84">
        <v>0.8</v>
      </c>
      <c r="AC15" s="84">
        <v>0.79500000000000004</v>
      </c>
      <c r="AD15" s="84">
        <v>0.8</v>
      </c>
      <c r="AE15" s="84">
        <v>0.79590000000000005</v>
      </c>
      <c r="AF15" s="144" t="s">
        <v>1123</v>
      </c>
      <c r="AG15" s="84">
        <v>0.81559999999999999</v>
      </c>
      <c r="AH15" s="84">
        <v>0.8175</v>
      </c>
    </row>
    <row r="16" spans="2:34" ht="15" customHeight="1" thickBot="1" x14ac:dyDescent="0.3">
      <c r="B16" s="208"/>
      <c r="C16" s="83" t="s">
        <v>338</v>
      </c>
      <c r="D16" s="84">
        <v>4.9799999999999997E-2</v>
      </c>
      <c r="E16" s="84">
        <v>0.05</v>
      </c>
      <c r="F16" s="84"/>
      <c r="G16" s="84"/>
      <c r="H16" s="84">
        <v>4.7800000000000002E-2</v>
      </c>
      <c r="I16" s="84"/>
      <c r="J16" s="84">
        <v>4.5199999999999997E-2</v>
      </c>
      <c r="K16" s="84">
        <v>4.36E-2</v>
      </c>
      <c r="L16" s="84">
        <v>0.05</v>
      </c>
      <c r="M16" s="84"/>
      <c r="N16" s="84">
        <v>0.05</v>
      </c>
      <c r="O16" s="84"/>
      <c r="P16" s="84"/>
      <c r="Q16" s="84">
        <v>0.05</v>
      </c>
      <c r="R16" s="84">
        <v>0.05</v>
      </c>
      <c r="S16" s="84">
        <v>4.8899999999999999E-2</v>
      </c>
      <c r="T16" s="84"/>
      <c r="U16" s="84"/>
      <c r="V16" s="84">
        <v>4.9799999999999997E-2</v>
      </c>
      <c r="W16" s="84">
        <v>0.05</v>
      </c>
      <c r="X16" s="84">
        <v>0.05</v>
      </c>
      <c r="Y16" s="84">
        <v>0.05</v>
      </c>
      <c r="Z16" s="84">
        <v>0.05</v>
      </c>
      <c r="AA16" s="84">
        <v>6.2199999999999998E-2</v>
      </c>
      <c r="AB16" s="84">
        <v>0.05</v>
      </c>
      <c r="AC16" s="84">
        <v>0.05</v>
      </c>
      <c r="AD16" s="84">
        <v>0.05</v>
      </c>
      <c r="AE16" s="84">
        <v>0.05</v>
      </c>
      <c r="AF16" s="84">
        <v>4.3299999999999998E-2</v>
      </c>
      <c r="AG16" s="84">
        <v>0.05</v>
      </c>
      <c r="AH16" s="84">
        <v>0.05</v>
      </c>
    </row>
    <row r="17" spans="2:34" ht="15" customHeight="1" x14ac:dyDescent="0.25">
      <c r="B17" s="209" t="s">
        <v>959</v>
      </c>
      <c r="C17" s="85" t="s">
        <v>957</v>
      </c>
      <c r="D17" s="86">
        <v>0.13</v>
      </c>
      <c r="E17" s="86">
        <v>0.11</v>
      </c>
      <c r="F17" s="86"/>
      <c r="G17" s="86">
        <v>0.13250000000000001</v>
      </c>
      <c r="H17" s="86">
        <v>0.125</v>
      </c>
      <c r="I17" s="86"/>
      <c r="J17" s="86"/>
      <c r="K17" s="86">
        <v>0.1207</v>
      </c>
      <c r="L17" s="86">
        <v>0.12</v>
      </c>
      <c r="M17" s="86"/>
      <c r="N17" s="86"/>
      <c r="O17" s="86"/>
      <c r="P17" s="86"/>
      <c r="Q17" s="86">
        <v>0.14000000000000001</v>
      </c>
      <c r="R17" s="86">
        <v>0.1361</v>
      </c>
      <c r="S17" s="86">
        <v>0.15</v>
      </c>
      <c r="T17" s="86">
        <v>0.15</v>
      </c>
      <c r="U17" s="86"/>
      <c r="V17" s="86"/>
      <c r="W17" s="86"/>
      <c r="X17" s="86"/>
      <c r="Y17" s="132">
        <v>0.15</v>
      </c>
      <c r="Z17" s="132">
        <v>0.16</v>
      </c>
      <c r="AA17" s="132">
        <v>0.155</v>
      </c>
      <c r="AB17" s="132">
        <v>0.155</v>
      </c>
      <c r="AC17" s="132"/>
      <c r="AD17" s="132">
        <v>0.155</v>
      </c>
      <c r="AE17" s="132">
        <v>0.155</v>
      </c>
      <c r="AF17" s="132">
        <v>0.13</v>
      </c>
      <c r="AG17" s="132">
        <v>0.13500000000000001</v>
      </c>
      <c r="AH17" s="132">
        <v>0.13500000000000001</v>
      </c>
    </row>
    <row r="18" spans="2:34" ht="15" customHeight="1" x14ac:dyDescent="0.25">
      <c r="B18" s="210"/>
      <c r="C18" s="87" t="s">
        <v>339</v>
      </c>
      <c r="D18" s="86">
        <v>0.82</v>
      </c>
      <c r="E18" s="86">
        <v>0.84</v>
      </c>
      <c r="F18" s="86"/>
      <c r="G18" s="86">
        <v>0.81930000000000003</v>
      </c>
      <c r="H18" s="86">
        <v>0.82499999999999996</v>
      </c>
      <c r="I18" s="86"/>
      <c r="J18" s="86"/>
      <c r="K18" s="86">
        <v>0.82930000000000004</v>
      </c>
      <c r="L18" s="86">
        <v>0.83</v>
      </c>
      <c r="M18" s="86"/>
      <c r="N18" s="86"/>
      <c r="O18" s="86"/>
      <c r="P18" s="86"/>
      <c r="Q18" s="86">
        <v>0.81</v>
      </c>
      <c r="R18" s="86">
        <v>0.81389999999999996</v>
      </c>
      <c r="S18" s="86">
        <v>0.8</v>
      </c>
      <c r="T18" s="86">
        <v>0.8</v>
      </c>
      <c r="U18" s="86"/>
      <c r="V18" s="86"/>
      <c r="W18" s="86"/>
      <c r="X18" s="86"/>
      <c r="Y18" s="86">
        <v>0.8</v>
      </c>
      <c r="Z18" s="86">
        <v>0.79</v>
      </c>
      <c r="AA18" s="86">
        <v>0.79500000000000004</v>
      </c>
      <c r="AB18" s="86">
        <v>0.79500000000000004</v>
      </c>
      <c r="AC18" s="86"/>
      <c r="AD18" s="86">
        <v>0.79500000000000004</v>
      </c>
      <c r="AE18" s="86">
        <v>0.79500000000000004</v>
      </c>
      <c r="AF18" s="86">
        <v>0.82</v>
      </c>
      <c r="AG18" s="86">
        <v>0.81499999999999995</v>
      </c>
      <c r="AH18" s="86">
        <v>0.81499999999999995</v>
      </c>
    </row>
    <row r="19" spans="2:34" ht="15" customHeight="1" thickBot="1" x14ac:dyDescent="0.3">
      <c r="B19" s="211"/>
      <c r="C19" s="87" t="s">
        <v>338</v>
      </c>
      <c r="D19" s="86">
        <v>0.05</v>
      </c>
      <c r="E19" s="86">
        <v>0.05</v>
      </c>
      <c r="F19" s="86"/>
      <c r="G19" s="86">
        <v>4.82E-2</v>
      </c>
      <c r="H19" s="86">
        <v>0.05</v>
      </c>
      <c r="I19" s="86"/>
      <c r="J19" s="86"/>
      <c r="K19" s="86">
        <v>0.05</v>
      </c>
      <c r="L19" s="86">
        <v>0.05</v>
      </c>
      <c r="M19" s="86"/>
      <c r="N19" s="86"/>
      <c r="O19" s="86"/>
      <c r="P19" s="86"/>
      <c r="Q19" s="86">
        <v>0.05</v>
      </c>
      <c r="R19" s="86">
        <v>0.05</v>
      </c>
      <c r="S19" s="86">
        <v>0.05</v>
      </c>
      <c r="T19" s="86">
        <v>0.05</v>
      </c>
      <c r="U19" s="86"/>
      <c r="V19" s="86"/>
      <c r="W19" s="86"/>
      <c r="X19" s="86"/>
      <c r="Y19" s="86">
        <v>0.05</v>
      </c>
      <c r="Z19" s="86">
        <v>0.05</v>
      </c>
      <c r="AA19" s="86">
        <v>0.05</v>
      </c>
      <c r="AB19" s="86">
        <v>0.05</v>
      </c>
      <c r="AC19" s="86"/>
      <c r="AD19" s="86">
        <v>0.05</v>
      </c>
      <c r="AE19" s="86">
        <v>0.05</v>
      </c>
      <c r="AF19" s="86">
        <v>0.05</v>
      </c>
      <c r="AG19" s="86">
        <v>0.05</v>
      </c>
      <c r="AH19" s="86">
        <v>0.05</v>
      </c>
    </row>
    <row r="20" spans="2:34" ht="15" customHeight="1" x14ac:dyDescent="0.25">
      <c r="B20" s="200" t="s">
        <v>960</v>
      </c>
      <c r="C20" s="88" t="s">
        <v>957</v>
      </c>
      <c r="D20" s="122"/>
      <c r="E20" s="122"/>
      <c r="F20" s="122"/>
      <c r="G20" s="122"/>
      <c r="H20" s="122">
        <v>14.5</v>
      </c>
      <c r="I20" s="122"/>
      <c r="J20" s="122"/>
      <c r="K20" s="122">
        <v>14.01</v>
      </c>
      <c r="L20" s="122">
        <v>14.81</v>
      </c>
      <c r="M20" s="122"/>
      <c r="N20" s="122"/>
      <c r="O20" s="122"/>
      <c r="P20" s="122"/>
      <c r="Q20" s="122"/>
      <c r="R20" s="122"/>
      <c r="S20" s="122"/>
      <c r="T20" s="135">
        <v>0.17499999999999999</v>
      </c>
      <c r="U20" s="122"/>
      <c r="V20" s="122"/>
      <c r="W20" s="122"/>
      <c r="X20" s="122"/>
      <c r="Y20" s="122"/>
      <c r="Z20" s="122"/>
      <c r="AA20" s="122"/>
      <c r="AB20" s="122"/>
      <c r="AC20" s="122"/>
      <c r="AD20" s="135">
        <v>0.16039999999999999</v>
      </c>
      <c r="AE20" s="135"/>
      <c r="AF20" s="135"/>
      <c r="AG20" s="135">
        <v>0.15</v>
      </c>
      <c r="AH20" s="142">
        <v>0.22</v>
      </c>
    </row>
    <row r="21" spans="2:34" ht="15" customHeight="1" x14ac:dyDescent="0.25">
      <c r="B21" s="201"/>
      <c r="C21" s="90" t="s">
        <v>339</v>
      </c>
      <c r="D21" s="124"/>
      <c r="E21" s="124"/>
      <c r="F21" s="124"/>
      <c r="G21" s="124"/>
      <c r="H21" s="124">
        <v>80.5</v>
      </c>
      <c r="I21" s="124"/>
      <c r="J21" s="124"/>
      <c r="K21" s="124">
        <v>81.02</v>
      </c>
      <c r="L21" s="124">
        <v>80.19</v>
      </c>
      <c r="M21" s="124"/>
      <c r="N21" s="124"/>
      <c r="O21" s="124"/>
      <c r="P21" s="124"/>
      <c r="Q21" s="124"/>
      <c r="R21" s="124"/>
      <c r="S21" s="124"/>
      <c r="T21" s="124">
        <v>77.5</v>
      </c>
      <c r="U21" s="124"/>
      <c r="V21" s="124"/>
      <c r="W21" s="124"/>
      <c r="X21" s="124"/>
      <c r="Y21" s="124"/>
      <c r="Z21" s="124"/>
      <c r="AA21" s="124"/>
      <c r="AB21" s="124"/>
      <c r="AC21" s="124"/>
      <c r="AD21" s="134">
        <v>0.78959999999999997</v>
      </c>
      <c r="AE21" s="134"/>
      <c r="AF21" s="134"/>
      <c r="AG21" s="134">
        <v>0.8</v>
      </c>
      <c r="AH21" s="133">
        <v>0.73</v>
      </c>
    </row>
    <row r="22" spans="2:34" ht="15" customHeight="1" thickBot="1" x14ac:dyDescent="0.3">
      <c r="B22" s="212"/>
      <c r="C22" s="108" t="s">
        <v>338</v>
      </c>
      <c r="D22" s="126"/>
      <c r="E22" s="126"/>
      <c r="F22" s="126"/>
      <c r="G22" s="126"/>
      <c r="H22" s="126">
        <v>5</v>
      </c>
      <c r="I22" s="126"/>
      <c r="J22" s="126"/>
      <c r="K22" s="126">
        <v>4.97</v>
      </c>
      <c r="L22" s="126">
        <v>5</v>
      </c>
      <c r="M22" s="126"/>
      <c r="N22" s="126"/>
      <c r="O22" s="126"/>
      <c r="P22" s="126"/>
      <c r="Q22" s="126"/>
      <c r="R22" s="126"/>
      <c r="S22" s="126"/>
      <c r="T22" s="141">
        <v>0.05</v>
      </c>
      <c r="U22" s="126"/>
      <c r="V22" s="126"/>
      <c r="W22" s="126"/>
      <c r="X22" s="126"/>
      <c r="Y22" s="126"/>
      <c r="Z22" s="126"/>
      <c r="AA22" s="126"/>
      <c r="AB22" s="126"/>
      <c r="AC22" s="126"/>
      <c r="AD22" s="141">
        <v>0.05</v>
      </c>
      <c r="AE22" s="141"/>
      <c r="AF22" s="141"/>
      <c r="AG22" s="141">
        <v>0.05</v>
      </c>
      <c r="AH22" s="141">
        <v>0.05</v>
      </c>
    </row>
    <row r="23" spans="2:34" ht="15" customHeight="1" x14ac:dyDescent="0.25">
      <c r="B23" s="218" t="s">
        <v>1086</v>
      </c>
      <c r="C23" s="88" t="s">
        <v>957</v>
      </c>
      <c r="D23" s="137"/>
      <c r="E23" s="137">
        <v>0</v>
      </c>
      <c r="F23" s="137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  <c r="Z23" s="137"/>
      <c r="AA23" s="137"/>
      <c r="AB23" s="137"/>
      <c r="AC23" s="137"/>
      <c r="AD23" s="137"/>
      <c r="AE23" s="137"/>
      <c r="AF23" s="137"/>
      <c r="AG23" s="137"/>
      <c r="AH23" s="137"/>
    </row>
    <row r="24" spans="2:34" ht="15" customHeight="1" x14ac:dyDescent="0.25">
      <c r="B24" s="219"/>
      <c r="C24" s="90" t="s">
        <v>339</v>
      </c>
      <c r="D24" s="137"/>
      <c r="E24" s="140">
        <v>0.95</v>
      </c>
      <c r="F24" s="137"/>
      <c r="G24" s="137"/>
      <c r="H24" s="137"/>
      <c r="I24" s="137"/>
      <c r="J24" s="140">
        <v>0.96</v>
      </c>
      <c r="K24" s="137"/>
      <c r="L24" s="137"/>
      <c r="M24" s="137"/>
      <c r="N24" s="139">
        <v>0.95</v>
      </c>
      <c r="O24" s="137"/>
      <c r="P24" s="137"/>
      <c r="Q24" s="137"/>
      <c r="R24" s="139">
        <v>0.95</v>
      </c>
      <c r="S24" s="139"/>
      <c r="T24" s="139"/>
      <c r="U24" s="139"/>
      <c r="V24" s="139"/>
      <c r="W24" s="139"/>
      <c r="X24" s="139"/>
      <c r="Y24" s="139"/>
      <c r="Z24" s="139"/>
      <c r="AA24" s="139">
        <v>0.95</v>
      </c>
      <c r="AB24" s="139"/>
      <c r="AC24" s="139"/>
      <c r="AD24" s="139">
        <v>0.95</v>
      </c>
      <c r="AE24" s="139"/>
      <c r="AF24" s="139">
        <v>0.92</v>
      </c>
      <c r="AG24" s="139"/>
      <c r="AH24" s="139">
        <v>0.95</v>
      </c>
    </row>
    <row r="25" spans="2:34" ht="15" customHeight="1" x14ac:dyDescent="0.25">
      <c r="B25" s="220"/>
      <c r="C25" s="108" t="s">
        <v>338</v>
      </c>
      <c r="D25" s="137"/>
      <c r="E25" s="140">
        <v>0.05</v>
      </c>
      <c r="F25" s="137"/>
      <c r="G25" s="137"/>
      <c r="H25" s="137"/>
      <c r="I25" s="137"/>
      <c r="J25" s="140">
        <v>0.04</v>
      </c>
      <c r="K25" s="137"/>
      <c r="L25" s="137"/>
      <c r="M25" s="137"/>
      <c r="N25" s="139">
        <v>0.05</v>
      </c>
      <c r="O25" s="137"/>
      <c r="P25" s="137"/>
      <c r="Q25" s="137"/>
      <c r="R25" s="139">
        <v>0.05</v>
      </c>
      <c r="S25" s="139"/>
      <c r="T25" s="139"/>
      <c r="U25" s="139"/>
      <c r="V25" s="139"/>
      <c r="W25" s="139"/>
      <c r="X25" s="139"/>
      <c r="Y25" s="139"/>
      <c r="Z25" s="139"/>
      <c r="AA25" s="139">
        <v>0.05</v>
      </c>
      <c r="AB25" s="139"/>
      <c r="AC25" s="139"/>
      <c r="AD25" s="139">
        <v>0.05</v>
      </c>
      <c r="AE25" s="139"/>
      <c r="AF25" s="139">
        <v>0.08</v>
      </c>
      <c r="AG25" s="139"/>
      <c r="AH25" s="139">
        <v>0.05</v>
      </c>
    </row>
    <row r="26" spans="2:34" ht="15" customHeight="1" x14ac:dyDescent="0.25">
      <c r="B26" s="34" t="s">
        <v>7</v>
      </c>
      <c r="C26" s="34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  <c r="AG26" s="131"/>
      <c r="AH26" s="131"/>
    </row>
    <row r="27" spans="2:34" ht="7.5" customHeight="1" thickBot="1" x14ac:dyDescent="0.3"/>
    <row r="28" spans="2:34" ht="12.75" customHeight="1" thickBot="1" x14ac:dyDescent="0.3">
      <c r="B28" s="213" t="s">
        <v>1002</v>
      </c>
      <c r="C28" s="214"/>
      <c r="D28" s="130">
        <v>83.712660027321917</v>
      </c>
      <c r="E28" s="130">
        <v>87.902097902094468</v>
      </c>
      <c r="F28" s="130">
        <v>84</v>
      </c>
      <c r="G28" s="130">
        <v>83.841421737870135</v>
      </c>
      <c r="H28" s="130">
        <v>82.590618377720702</v>
      </c>
      <c r="I28" s="130">
        <v>83.819444314080556</v>
      </c>
      <c r="J28" s="130">
        <v>84.824281149883902</v>
      </c>
      <c r="K28" s="130">
        <v>83.587001208179274</v>
      </c>
      <c r="L28" s="130">
        <v>83.005390831853262</v>
      </c>
      <c r="M28" s="130">
        <v>82.605228770183018</v>
      </c>
      <c r="N28" s="130">
        <v>82.509873051995768</v>
      </c>
      <c r="O28" s="130">
        <v>82.392473114858873</v>
      </c>
      <c r="P28" s="130">
        <v>83.000000000000014</v>
      </c>
      <c r="Q28" s="130">
        <v>80.902325581395402</v>
      </c>
      <c r="R28" s="130">
        <v>81.037234042572365</v>
      </c>
      <c r="S28" s="130">
        <v>80.095147477878257</v>
      </c>
      <c r="T28" s="130">
        <v>79.329855106852179</v>
      </c>
      <c r="U28" s="130">
        <v>79.359155000000001</v>
      </c>
      <c r="V28" s="130">
        <v>79.580505859785347</v>
      </c>
      <c r="W28" s="130">
        <v>80.000000000000014</v>
      </c>
      <c r="X28" s="130">
        <v>79.999999999981412</v>
      </c>
      <c r="Y28" s="130">
        <v>80.000000000000057</v>
      </c>
      <c r="Z28" s="130">
        <v>79.289077209249513</v>
      </c>
      <c r="AA28" s="130">
        <v>80.386915074108984</v>
      </c>
      <c r="AB28" s="130">
        <v>79.601123595566776</v>
      </c>
      <c r="AC28" s="130">
        <v>79.356953642384127</v>
      </c>
      <c r="AD28" s="130">
        <v>79.915349885825137</v>
      </c>
      <c r="AE28" s="130">
        <v>79.52815315318135</v>
      </c>
      <c r="AF28" s="143">
        <v>80.855836229391116</v>
      </c>
      <c r="AG28" s="130">
        <v>80.889808360998956</v>
      </c>
      <c r="AH28" s="130">
        <v>81.510000000000005</v>
      </c>
    </row>
    <row r="29" spans="2:34" ht="12.75" customHeight="1" x14ac:dyDescent="0.25">
      <c r="B29" s="114"/>
    </row>
    <row r="30" spans="2:34" ht="12.75" customHeight="1" x14ac:dyDescent="0.25">
      <c r="B30" s="114"/>
    </row>
    <row r="31" spans="2:34" ht="12.75" customHeight="1" x14ac:dyDescent="0.25">
      <c r="B31" s="114"/>
    </row>
    <row r="32" spans="2:34" ht="12.75" customHeight="1" x14ac:dyDescent="0.25">
      <c r="B32" s="114"/>
    </row>
    <row r="33" spans="2:2" ht="12.75" customHeight="1" x14ac:dyDescent="0.25">
      <c r="B33" s="114"/>
    </row>
    <row r="34" spans="2:2" ht="12.75" customHeight="1" x14ac:dyDescent="0.25">
      <c r="B34" s="114"/>
    </row>
    <row r="35" spans="2:2" ht="12.75" customHeight="1" x14ac:dyDescent="0.25">
      <c r="B35" s="114"/>
    </row>
    <row r="36" spans="2:2" ht="12.75" customHeight="1" x14ac:dyDescent="0.25">
      <c r="B36" s="114"/>
    </row>
    <row r="37" spans="2:2" ht="12.75" customHeight="1" x14ac:dyDescent="0.25">
      <c r="B37" s="114"/>
    </row>
    <row r="38" spans="2:2" ht="12.75" customHeight="1" x14ac:dyDescent="0.25">
      <c r="B38" s="114"/>
    </row>
    <row r="39" spans="2:2" ht="12.75" customHeight="1" x14ac:dyDescent="0.25">
      <c r="B39" s="114"/>
    </row>
    <row r="40" spans="2:2" ht="12.75" customHeight="1" x14ac:dyDescent="0.25">
      <c r="B40" s="114"/>
    </row>
    <row r="41" spans="2:2" ht="12.75" customHeight="1" x14ac:dyDescent="0.25">
      <c r="B41" s="114"/>
    </row>
    <row r="42" spans="2:2" x14ac:dyDescent="0.25">
      <c r="B42" s="114"/>
    </row>
    <row r="43" spans="2:2" x14ac:dyDescent="0.25">
      <c r="B43" s="114"/>
    </row>
    <row r="44" spans="2:2" x14ac:dyDescent="0.25">
      <c r="B44" s="114"/>
    </row>
    <row r="45" spans="2:2" x14ac:dyDescent="0.25">
      <c r="B45" s="114"/>
    </row>
    <row r="46" spans="2:2" x14ac:dyDescent="0.25">
      <c r="B46" s="114"/>
    </row>
    <row r="47" spans="2:2" x14ac:dyDescent="0.25">
      <c r="B47" s="114"/>
    </row>
    <row r="48" spans="2:2" x14ac:dyDescent="0.25">
      <c r="B48" s="114"/>
    </row>
    <row r="49" spans="2:2" x14ac:dyDescent="0.25">
      <c r="B49" s="114"/>
    </row>
  </sheetData>
  <mergeCells count="8">
    <mergeCell ref="B23:B25"/>
    <mergeCell ref="B28:C28"/>
    <mergeCell ref="B3:B5"/>
    <mergeCell ref="B6:B8"/>
    <mergeCell ref="B9:B11"/>
    <mergeCell ref="B14:B16"/>
    <mergeCell ref="B17:B19"/>
    <mergeCell ref="B20:B22"/>
  </mergeCells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B1:AE49"/>
  <sheetViews>
    <sheetView topLeftCell="A17" zoomScale="90" zoomScaleNormal="90" workbookViewId="0">
      <pane xSplit="3" topLeftCell="W1" activePane="topRight" state="frozen"/>
      <selection pane="topRight" activeCell="AJ9" sqref="AJ9"/>
    </sheetView>
  </sheetViews>
  <sheetFormatPr defaultRowHeight="15" x14ac:dyDescent="0.25"/>
  <cols>
    <col min="3" max="3" width="28.140625" customWidth="1"/>
    <col min="4" max="31" width="10.7109375" customWidth="1"/>
  </cols>
  <sheetData>
    <row r="1" spans="2:31" ht="6" customHeight="1" thickBot="1" x14ac:dyDescent="0.3"/>
    <row r="2" spans="2:31" ht="15" customHeight="1" thickBot="1" x14ac:dyDescent="0.3">
      <c r="B2" s="94" t="s">
        <v>964</v>
      </c>
      <c r="C2" s="96" t="s">
        <v>961</v>
      </c>
      <c r="D2" s="97" t="str">
        <f t="shared" ref="D2:H2" si="0">D13</f>
        <v>01.02.2025</v>
      </c>
      <c r="E2" s="97" t="str">
        <f t="shared" si="0"/>
        <v>02.02.2025</v>
      </c>
      <c r="F2" s="97" t="str">
        <f t="shared" si="0"/>
        <v>03.02.2025</v>
      </c>
      <c r="G2" s="97" t="str">
        <f t="shared" si="0"/>
        <v>04.02.2025</v>
      </c>
      <c r="H2" s="97" t="str">
        <f t="shared" si="0"/>
        <v>05.02.2025</v>
      </c>
      <c r="I2" s="97" t="str">
        <f t="shared" ref="I2:J2" si="1">I13</f>
        <v>06.02.2025</v>
      </c>
      <c r="J2" s="97" t="str">
        <f t="shared" si="1"/>
        <v>07.02.2025</v>
      </c>
      <c r="K2" s="97" t="str">
        <f t="shared" ref="K2:L2" si="2">K13</f>
        <v>08.02.2025</v>
      </c>
      <c r="L2" s="97" t="str">
        <f t="shared" si="2"/>
        <v>09.02.2025</v>
      </c>
      <c r="M2" s="97" t="str">
        <f t="shared" ref="M2:O2" si="3">M13</f>
        <v>10.02.2025</v>
      </c>
      <c r="N2" s="97" t="str">
        <f t="shared" si="3"/>
        <v>11.02.2025</v>
      </c>
      <c r="O2" s="97" t="str">
        <f t="shared" si="3"/>
        <v>12.02.2025</v>
      </c>
      <c r="P2" s="97" t="str">
        <f t="shared" ref="P2:Q2" si="4">P13</f>
        <v>13.02.2025</v>
      </c>
      <c r="Q2" s="97" t="str">
        <f t="shared" si="4"/>
        <v>14.02.2025</v>
      </c>
      <c r="R2" s="97" t="str">
        <f t="shared" ref="R2:S2" si="5">R13</f>
        <v>15.02.2025</v>
      </c>
      <c r="S2" s="97" t="str">
        <f t="shared" si="5"/>
        <v>16.02.2025</v>
      </c>
      <c r="T2" s="97" t="str">
        <f t="shared" ref="T2:U2" si="6">T13</f>
        <v>17.02.2025</v>
      </c>
      <c r="U2" s="97" t="str">
        <f t="shared" si="6"/>
        <v>18.02.2025</v>
      </c>
      <c r="V2" s="97" t="str">
        <f t="shared" ref="V2:W2" si="7">V13</f>
        <v>19.02.2025</v>
      </c>
      <c r="W2" s="97" t="str">
        <f t="shared" si="7"/>
        <v>20.02.2025</v>
      </c>
      <c r="X2" s="97" t="str">
        <f t="shared" ref="X2:Y2" si="8">X13</f>
        <v>21.02.2025</v>
      </c>
      <c r="Y2" s="97" t="str">
        <f t="shared" si="8"/>
        <v>22.02.2025</v>
      </c>
      <c r="Z2" s="97" t="str">
        <f t="shared" ref="Z2:AA2" si="9">Z13</f>
        <v>23.02.2025</v>
      </c>
      <c r="AA2" s="97" t="str">
        <f t="shared" si="9"/>
        <v>24.02.2025</v>
      </c>
      <c r="AB2" s="97" t="str">
        <f t="shared" ref="AB2" si="10">AB13</f>
        <v>25.02.2025</v>
      </c>
      <c r="AC2" s="97" t="str">
        <f t="shared" ref="AC2:AD2" si="11">AC13</f>
        <v>26.02.2025</v>
      </c>
      <c r="AD2" s="97" t="str">
        <f t="shared" si="11"/>
        <v>27.02.2025</v>
      </c>
      <c r="AE2" s="97" t="str">
        <f t="shared" ref="AE2" si="12">AE13</f>
        <v>28.02.2025</v>
      </c>
    </row>
    <row r="3" spans="2:31" ht="15" customHeight="1" x14ac:dyDescent="0.25">
      <c r="B3" s="206" t="s">
        <v>958</v>
      </c>
      <c r="C3" s="116" t="s">
        <v>957</v>
      </c>
      <c r="D3" s="84">
        <v>0.1336</v>
      </c>
      <c r="E3" s="84">
        <v>0.14000000000000001</v>
      </c>
      <c r="F3" s="84">
        <v>0.1353</v>
      </c>
      <c r="G3" s="84">
        <v>0.13250000000000001</v>
      </c>
      <c r="H3" s="84">
        <v>0.13500000000000001</v>
      </c>
      <c r="I3" s="84">
        <v>0.13669999999999999</v>
      </c>
      <c r="J3" s="84">
        <v>0.13500000000000001</v>
      </c>
      <c r="K3" s="84">
        <v>0.13519999999999999</v>
      </c>
      <c r="L3" s="84">
        <v>0.14000000000000001</v>
      </c>
      <c r="M3" s="117">
        <v>0.14000000000000001</v>
      </c>
      <c r="N3" s="117">
        <v>0.13500000000000001</v>
      </c>
      <c r="O3" s="117">
        <v>0.14000000000000001</v>
      </c>
      <c r="P3" s="117">
        <v>0.13639999999999999</v>
      </c>
      <c r="Q3" s="117">
        <v>0.1389</v>
      </c>
      <c r="R3" s="117"/>
      <c r="S3" s="117"/>
      <c r="T3" s="117"/>
      <c r="U3" s="117"/>
      <c r="V3" s="117"/>
      <c r="W3" s="117"/>
      <c r="X3" s="117">
        <v>0.14000000000000001</v>
      </c>
      <c r="Y3" s="117">
        <v>0.13919999999999999</v>
      </c>
      <c r="Z3" s="117">
        <v>0.14000000000000001</v>
      </c>
      <c r="AA3" s="117">
        <v>0.14979999999999999</v>
      </c>
      <c r="AB3" s="117">
        <v>0.14000000000000001</v>
      </c>
      <c r="AC3" s="117">
        <v>0.15429999999999999</v>
      </c>
      <c r="AD3" s="117">
        <v>0.1394</v>
      </c>
      <c r="AE3" s="117">
        <v>0.13819999999999999</v>
      </c>
    </row>
    <row r="4" spans="2:31" ht="15" customHeight="1" x14ac:dyDescent="0.25">
      <c r="B4" s="207"/>
      <c r="C4" s="118" t="s">
        <v>339</v>
      </c>
      <c r="D4" s="84">
        <v>0.81599999999999995</v>
      </c>
      <c r="E4" s="84">
        <v>0.81</v>
      </c>
      <c r="F4" s="84">
        <v>0.81469999999999998</v>
      </c>
      <c r="G4" s="84">
        <v>0.8175</v>
      </c>
      <c r="H4" s="84">
        <v>0.81499999999999995</v>
      </c>
      <c r="I4" s="84">
        <v>0.81330000000000002</v>
      </c>
      <c r="J4" s="84">
        <v>0.81499999999999995</v>
      </c>
      <c r="K4" s="84">
        <v>0.81459999999999999</v>
      </c>
      <c r="L4" s="84">
        <v>0.81</v>
      </c>
      <c r="M4" s="84">
        <v>0.81</v>
      </c>
      <c r="N4" s="84">
        <v>0.81499999999999995</v>
      </c>
      <c r="O4" s="84">
        <v>0.81</v>
      </c>
      <c r="P4" s="84">
        <v>0.81359999999999999</v>
      </c>
      <c r="Q4" s="84">
        <v>0.80959999999999999</v>
      </c>
      <c r="R4" s="84"/>
      <c r="S4" s="84"/>
      <c r="T4" s="84"/>
      <c r="U4" s="84"/>
      <c r="V4" s="84"/>
      <c r="W4" s="84"/>
      <c r="X4" s="84">
        <v>0.80800000000000005</v>
      </c>
      <c r="Y4" s="84">
        <v>0.80910000000000004</v>
      </c>
      <c r="Z4" s="84">
        <v>0.80800000000000005</v>
      </c>
      <c r="AA4" s="84">
        <v>0.7974</v>
      </c>
      <c r="AB4" s="84">
        <v>0.80579999999999996</v>
      </c>
      <c r="AC4" s="84">
        <v>0.79349999999999998</v>
      </c>
      <c r="AD4" s="84">
        <v>0.80859999999999999</v>
      </c>
      <c r="AE4" s="84">
        <v>0.81079999999999997</v>
      </c>
    </row>
    <row r="5" spans="2:31" ht="15" customHeight="1" thickBot="1" x14ac:dyDescent="0.3">
      <c r="B5" s="208"/>
      <c r="C5" s="118" t="s">
        <v>338</v>
      </c>
      <c r="D5" s="84">
        <v>5.04E-2</v>
      </c>
      <c r="E5" s="84">
        <v>0.05</v>
      </c>
      <c r="F5" s="84">
        <v>0.05</v>
      </c>
      <c r="G5" s="84">
        <v>0.05</v>
      </c>
      <c r="H5" s="84">
        <v>0.05</v>
      </c>
      <c r="I5" s="84">
        <v>0.05</v>
      </c>
      <c r="J5" s="84">
        <v>0.05</v>
      </c>
      <c r="K5" s="84">
        <v>5.0200000000000002E-2</v>
      </c>
      <c r="L5" s="84">
        <v>0.05</v>
      </c>
      <c r="M5" s="84">
        <v>0.05</v>
      </c>
      <c r="N5" s="84">
        <v>0.05</v>
      </c>
      <c r="O5" s="84">
        <v>0.05</v>
      </c>
      <c r="P5" s="84">
        <v>0.05</v>
      </c>
      <c r="Q5" s="84">
        <v>5.1499999999999997E-2</v>
      </c>
      <c r="R5" s="84"/>
      <c r="S5" s="84"/>
      <c r="T5" s="84"/>
      <c r="U5" s="84"/>
      <c r="V5" s="84"/>
      <c r="W5" s="84"/>
      <c r="X5" s="84">
        <v>5.1999999999999998E-2</v>
      </c>
      <c r="Y5" s="84">
        <v>5.1700000000000003E-2</v>
      </c>
      <c r="Z5" s="84">
        <v>5.1999999999999998E-2</v>
      </c>
      <c r="AA5" s="84">
        <v>5.28E-2</v>
      </c>
      <c r="AB5" s="84">
        <v>5.4199999999999998E-2</v>
      </c>
      <c r="AC5" s="84">
        <v>5.2200000000000003E-2</v>
      </c>
      <c r="AD5" s="84">
        <v>5.1999999999999998E-2</v>
      </c>
      <c r="AE5" s="84">
        <v>5.0999999999999997E-2</v>
      </c>
    </row>
    <row r="6" spans="2:31" ht="15" customHeight="1" x14ac:dyDescent="0.25">
      <c r="B6" s="209" t="s">
        <v>959</v>
      </c>
      <c r="C6" s="119" t="s">
        <v>957</v>
      </c>
      <c r="D6" s="86">
        <v>0.14000000000000001</v>
      </c>
      <c r="E6" s="86">
        <v>0.13</v>
      </c>
      <c r="F6" s="86"/>
      <c r="G6" s="86">
        <v>0.13500000000000001</v>
      </c>
      <c r="H6" s="86">
        <v>0.13500000000000001</v>
      </c>
      <c r="I6" s="86"/>
      <c r="J6" s="86"/>
      <c r="K6" s="86"/>
      <c r="L6" s="86">
        <v>0.13</v>
      </c>
      <c r="M6" s="132">
        <v>0.14000000000000001</v>
      </c>
      <c r="N6" s="132">
        <v>0.1386</v>
      </c>
      <c r="O6" s="132">
        <v>0.14000000000000001</v>
      </c>
      <c r="P6" s="132">
        <v>0.14000000000000001</v>
      </c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>
        <v>0.1585</v>
      </c>
      <c r="AC6" s="132"/>
      <c r="AD6" s="132">
        <v>0.1351</v>
      </c>
      <c r="AE6" s="132">
        <v>0.15</v>
      </c>
    </row>
    <row r="7" spans="2:31" ht="15" customHeight="1" x14ac:dyDescent="0.25">
      <c r="B7" s="210"/>
      <c r="C7" s="120" t="s">
        <v>339</v>
      </c>
      <c r="D7" s="86">
        <v>0.81</v>
      </c>
      <c r="E7" s="86">
        <v>0.82</v>
      </c>
      <c r="F7" s="86"/>
      <c r="G7" s="86">
        <v>0.81499999999999995</v>
      </c>
      <c r="H7" s="86">
        <v>0.81499999999999995</v>
      </c>
      <c r="I7" s="86"/>
      <c r="J7" s="86"/>
      <c r="K7" s="86"/>
      <c r="L7" s="86">
        <v>0.82</v>
      </c>
      <c r="M7" s="86">
        <v>0.81</v>
      </c>
      <c r="N7" s="86">
        <v>0.79710000000000003</v>
      </c>
      <c r="O7" s="86">
        <v>0.81</v>
      </c>
      <c r="P7" s="86">
        <v>0.80800000000000005</v>
      </c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>
        <v>0.79069999999999996</v>
      </c>
      <c r="AC7" s="86"/>
      <c r="AD7" s="86">
        <v>0.81489999999999996</v>
      </c>
      <c r="AE7" s="86">
        <v>0.8</v>
      </c>
    </row>
    <row r="8" spans="2:31" ht="15" customHeight="1" thickBot="1" x14ac:dyDescent="0.3">
      <c r="B8" s="211"/>
      <c r="C8" s="120" t="s">
        <v>338</v>
      </c>
      <c r="D8" s="86">
        <v>0.05</v>
      </c>
      <c r="E8" s="86">
        <v>0.05</v>
      </c>
      <c r="F8" s="86"/>
      <c r="G8" s="86">
        <v>0.05</v>
      </c>
      <c r="H8" s="86">
        <v>0.05</v>
      </c>
      <c r="I8" s="86"/>
      <c r="J8" s="86"/>
      <c r="K8" s="86"/>
      <c r="L8" s="86">
        <v>0.05</v>
      </c>
      <c r="M8" s="86">
        <v>0.05</v>
      </c>
      <c r="N8" s="86">
        <v>6.4299999999999996E-2</v>
      </c>
      <c r="O8" s="86">
        <v>0.05</v>
      </c>
      <c r="P8" s="86">
        <v>5.1999999999999998E-2</v>
      </c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>
        <v>5.0799999999999998E-2</v>
      </c>
      <c r="AC8" s="86"/>
      <c r="AD8" s="86">
        <v>0.05</v>
      </c>
      <c r="AE8" s="86">
        <v>0.05</v>
      </c>
    </row>
    <row r="9" spans="2:31" ht="15" customHeight="1" x14ac:dyDescent="0.25">
      <c r="B9" s="215" t="s">
        <v>960</v>
      </c>
      <c r="C9" s="121" t="s">
        <v>957</v>
      </c>
      <c r="D9" s="142"/>
      <c r="E9" s="142">
        <v>0.27</v>
      </c>
      <c r="F9" s="142"/>
      <c r="G9" s="142"/>
      <c r="H9" s="142"/>
      <c r="I9" s="142"/>
      <c r="J9" s="142"/>
      <c r="K9" s="142"/>
      <c r="L9" s="142"/>
      <c r="M9" s="142"/>
      <c r="N9" s="142">
        <v>0.21</v>
      </c>
      <c r="O9" s="142"/>
      <c r="P9" s="145">
        <v>0.25</v>
      </c>
      <c r="Q9" s="145"/>
      <c r="R9" s="145"/>
      <c r="S9" s="145"/>
      <c r="T9" s="145"/>
      <c r="U9" s="145"/>
      <c r="V9" s="145"/>
      <c r="W9" s="145"/>
      <c r="X9" s="145"/>
      <c r="Y9" s="145">
        <v>0.22</v>
      </c>
      <c r="Z9" s="145">
        <v>0.22</v>
      </c>
      <c r="AA9" s="145"/>
      <c r="AB9" s="145">
        <v>0.24</v>
      </c>
      <c r="AC9" s="145"/>
      <c r="AD9" s="145">
        <v>0.1573</v>
      </c>
      <c r="AE9" s="145"/>
    </row>
    <row r="10" spans="2:31" ht="15" customHeight="1" x14ac:dyDescent="0.25">
      <c r="B10" s="216"/>
      <c r="C10" s="123" t="s">
        <v>339</v>
      </c>
      <c r="D10" s="133"/>
      <c r="E10" s="133">
        <v>0.68</v>
      </c>
      <c r="F10" s="133"/>
      <c r="G10" s="133"/>
      <c r="H10" s="133"/>
      <c r="I10" s="133"/>
      <c r="J10" s="133"/>
      <c r="K10" s="133"/>
      <c r="L10" s="133"/>
      <c r="M10" s="133"/>
      <c r="N10" s="133">
        <v>0.74</v>
      </c>
      <c r="O10" s="133"/>
      <c r="P10" s="146">
        <v>0.69799999999999995</v>
      </c>
      <c r="Q10" s="146"/>
      <c r="R10" s="146"/>
      <c r="S10" s="146"/>
      <c r="T10" s="146"/>
      <c r="U10" s="146"/>
      <c r="V10" s="146"/>
      <c r="W10" s="146"/>
      <c r="X10" s="146"/>
      <c r="Y10" s="146">
        <v>0.7278</v>
      </c>
      <c r="Z10" s="146">
        <v>0.72670000000000001</v>
      </c>
      <c r="AA10" s="146"/>
      <c r="AB10" s="146">
        <v>0.70699999999999996</v>
      </c>
      <c r="AC10" s="146"/>
      <c r="AD10" s="146">
        <v>0.79269999999999996</v>
      </c>
      <c r="AE10" s="146"/>
    </row>
    <row r="11" spans="2:31" ht="15" customHeight="1" thickBot="1" x14ac:dyDescent="0.3">
      <c r="B11" s="217"/>
      <c r="C11" s="125" t="s">
        <v>338</v>
      </c>
      <c r="D11" s="141"/>
      <c r="E11" s="141">
        <v>0.05</v>
      </c>
      <c r="F11" s="141"/>
      <c r="G11" s="141"/>
      <c r="H11" s="141"/>
      <c r="I11" s="141"/>
      <c r="J11" s="141"/>
      <c r="K11" s="141"/>
      <c r="L11" s="141"/>
      <c r="M11" s="141"/>
      <c r="N11" s="141">
        <v>0.05</v>
      </c>
      <c r="O11" s="141"/>
      <c r="P11" s="147">
        <v>5.1999999999999998E-2</v>
      </c>
      <c r="Q11" s="147"/>
      <c r="R11" s="147"/>
      <c r="S11" s="147"/>
      <c r="T11" s="147"/>
      <c r="U11" s="147"/>
      <c r="V11" s="147"/>
      <c r="W11" s="147"/>
      <c r="X11" s="147"/>
      <c r="Y11" s="147">
        <v>5.2200000000000003E-2</v>
      </c>
      <c r="Z11" s="147">
        <v>5.33E-2</v>
      </c>
      <c r="AA11" s="147"/>
      <c r="AB11" s="147">
        <v>5.2499999999999998E-2</v>
      </c>
      <c r="AC11" s="147"/>
      <c r="AD11" s="147">
        <v>0.05</v>
      </c>
      <c r="AE11" s="147"/>
    </row>
    <row r="12" spans="2:31" ht="6.75" customHeight="1" thickBot="1" x14ac:dyDescent="0.3"/>
    <row r="13" spans="2:31" ht="15" customHeight="1" thickBot="1" x14ac:dyDescent="0.3">
      <c r="B13" s="95" t="s">
        <v>964</v>
      </c>
      <c r="C13" s="94" t="s">
        <v>963</v>
      </c>
      <c r="D13" s="94" t="s">
        <v>1126</v>
      </c>
      <c r="E13" s="94" t="s">
        <v>1127</v>
      </c>
      <c r="F13" s="94" t="s">
        <v>1128</v>
      </c>
      <c r="G13" s="94" t="s">
        <v>1129</v>
      </c>
      <c r="H13" s="94" t="s">
        <v>1130</v>
      </c>
      <c r="I13" s="94" t="s">
        <v>1131</v>
      </c>
      <c r="J13" s="94" t="s">
        <v>1132</v>
      </c>
      <c r="K13" s="94" t="s">
        <v>1133</v>
      </c>
      <c r="L13" s="94" t="s">
        <v>1134</v>
      </c>
      <c r="M13" s="94" t="s">
        <v>1135</v>
      </c>
      <c r="N13" s="94" t="s">
        <v>1136</v>
      </c>
      <c r="O13" s="94" t="s">
        <v>1137</v>
      </c>
      <c r="P13" s="94" t="s">
        <v>1138</v>
      </c>
      <c r="Q13" s="94" t="s">
        <v>1139</v>
      </c>
      <c r="R13" s="94" t="s">
        <v>1140</v>
      </c>
      <c r="S13" s="94" t="s">
        <v>1141</v>
      </c>
      <c r="T13" s="94" t="s">
        <v>1142</v>
      </c>
      <c r="U13" s="94" t="s">
        <v>1143</v>
      </c>
      <c r="V13" s="94" t="s">
        <v>1144</v>
      </c>
      <c r="W13" s="94" t="s">
        <v>1145</v>
      </c>
      <c r="X13" s="94" t="s">
        <v>1146</v>
      </c>
      <c r="Y13" s="94" t="s">
        <v>1147</v>
      </c>
      <c r="Z13" s="94" t="s">
        <v>1148</v>
      </c>
      <c r="AA13" s="94" t="s">
        <v>1149</v>
      </c>
      <c r="AB13" s="94" t="s">
        <v>1150</v>
      </c>
      <c r="AC13" s="94" t="s">
        <v>1151</v>
      </c>
      <c r="AD13" s="94" t="s">
        <v>1152</v>
      </c>
      <c r="AE13" s="94" t="s">
        <v>1153</v>
      </c>
    </row>
    <row r="14" spans="2:31" ht="15" customHeight="1" x14ac:dyDescent="0.25">
      <c r="B14" s="206" t="s">
        <v>958</v>
      </c>
      <c r="C14" s="81" t="s">
        <v>957</v>
      </c>
      <c r="D14" s="117">
        <v>0.1338</v>
      </c>
      <c r="E14" s="117">
        <v>0.13</v>
      </c>
      <c r="F14" s="117">
        <v>0.1396</v>
      </c>
      <c r="G14" s="117">
        <v>0.13489999999999999</v>
      </c>
      <c r="H14" s="117">
        <v>0.13500000000000001</v>
      </c>
      <c r="I14" s="117">
        <v>0.1353</v>
      </c>
      <c r="J14" s="117">
        <v>0.1389</v>
      </c>
      <c r="K14" s="117">
        <v>0.13500000000000001</v>
      </c>
      <c r="L14" s="117">
        <v>0.1321</v>
      </c>
      <c r="M14" s="117">
        <v>0.14000000000000001</v>
      </c>
      <c r="N14" s="117">
        <v>0.14000000000000001</v>
      </c>
      <c r="O14" s="117">
        <v>0.13500000000000001</v>
      </c>
      <c r="P14" s="117">
        <v>0.13650000000000001</v>
      </c>
      <c r="Q14" s="117">
        <v>0.13850000000000001</v>
      </c>
      <c r="R14" s="117">
        <v>0.13189999999999999</v>
      </c>
      <c r="S14" s="117">
        <v>0.13370000000000001</v>
      </c>
      <c r="T14" s="117">
        <v>0.1376</v>
      </c>
      <c r="U14" s="117">
        <v>0.1376</v>
      </c>
      <c r="V14" s="117">
        <v>0.1368</v>
      </c>
      <c r="W14" s="117">
        <v>0.14000000000000001</v>
      </c>
      <c r="X14" s="117">
        <v>0.14000000000000001</v>
      </c>
      <c r="Y14" s="117">
        <v>0.13969999999999999</v>
      </c>
      <c r="Z14" s="117">
        <v>0.15</v>
      </c>
      <c r="AA14" s="117">
        <v>0.155</v>
      </c>
      <c r="AB14" s="117">
        <v>0.80089999999999995</v>
      </c>
      <c r="AC14" s="117">
        <v>0.14119999999999999</v>
      </c>
      <c r="AD14" s="117">
        <v>0.13650000000000001</v>
      </c>
      <c r="AE14" s="117">
        <v>0.13930000000000001</v>
      </c>
    </row>
    <row r="15" spans="2:31" ht="15" customHeight="1" x14ac:dyDescent="0.25">
      <c r="B15" s="207"/>
      <c r="C15" s="83" t="s">
        <v>339</v>
      </c>
      <c r="D15" s="84">
        <v>0.81610000000000005</v>
      </c>
      <c r="E15" s="84">
        <v>0.82</v>
      </c>
      <c r="F15" s="84">
        <v>0.81040000000000001</v>
      </c>
      <c r="G15" s="84">
        <v>0.81510000000000005</v>
      </c>
      <c r="H15" s="84">
        <v>0.81499999999999995</v>
      </c>
      <c r="I15" s="84">
        <v>0.81469999999999998</v>
      </c>
      <c r="J15" s="84">
        <v>0.81110000000000004</v>
      </c>
      <c r="K15" s="84">
        <v>0.81499999999999995</v>
      </c>
      <c r="L15" s="84">
        <v>0.81789999999999996</v>
      </c>
      <c r="M15" s="84">
        <v>0.81</v>
      </c>
      <c r="N15" s="84">
        <v>0.81</v>
      </c>
      <c r="O15" s="84">
        <v>0.81499999999999995</v>
      </c>
      <c r="P15" s="84">
        <v>0.8135</v>
      </c>
      <c r="Q15" s="84">
        <v>0.8115</v>
      </c>
      <c r="R15" s="84">
        <v>0.81810000000000005</v>
      </c>
      <c r="S15" s="84">
        <v>0.81630000000000003</v>
      </c>
      <c r="T15" s="84">
        <v>0.81240000000000001</v>
      </c>
      <c r="U15" s="84">
        <v>0.81240000000000001</v>
      </c>
      <c r="V15" s="84">
        <v>0.81269999999999998</v>
      </c>
      <c r="W15" s="84">
        <v>0.80800000000000005</v>
      </c>
      <c r="X15" s="84">
        <v>0.80800000000000005</v>
      </c>
      <c r="Y15" s="84">
        <v>0.8085</v>
      </c>
      <c r="Z15" s="84">
        <v>0.77949999999999997</v>
      </c>
      <c r="AA15" s="84">
        <v>0.79239999999999999</v>
      </c>
      <c r="AB15" s="84">
        <v>0.14680000000000001</v>
      </c>
      <c r="AC15" s="84">
        <v>0.80720000000000003</v>
      </c>
      <c r="AD15" s="84">
        <v>0.81259999999999999</v>
      </c>
      <c r="AE15" s="84">
        <v>0.81010000000000004</v>
      </c>
    </row>
    <row r="16" spans="2:31" ht="15" customHeight="1" thickBot="1" x14ac:dyDescent="0.3">
      <c r="B16" s="208"/>
      <c r="C16" s="83" t="s">
        <v>338</v>
      </c>
      <c r="D16" s="84">
        <v>0.05</v>
      </c>
      <c r="E16" s="84">
        <v>0.05</v>
      </c>
      <c r="F16" s="84">
        <v>0.05</v>
      </c>
      <c r="G16" s="84">
        <v>0.05</v>
      </c>
      <c r="H16" s="84">
        <v>0.05</v>
      </c>
      <c r="I16" s="84">
        <v>0.05</v>
      </c>
      <c r="J16" s="84">
        <v>0.05</v>
      </c>
      <c r="K16" s="84">
        <v>0.05</v>
      </c>
      <c r="L16" s="84">
        <v>0.05</v>
      </c>
      <c r="M16" s="84">
        <v>0.05</v>
      </c>
      <c r="N16" s="84">
        <v>0.05</v>
      </c>
      <c r="O16" s="84">
        <v>0.05</v>
      </c>
      <c r="P16" s="84">
        <v>0.05</v>
      </c>
      <c r="Q16" s="84">
        <v>0.05</v>
      </c>
      <c r="R16" s="84">
        <v>0.05</v>
      </c>
      <c r="S16" s="84">
        <v>0.05</v>
      </c>
      <c r="T16" s="84">
        <v>0.05</v>
      </c>
      <c r="U16" s="84">
        <v>0.05</v>
      </c>
      <c r="V16" s="84">
        <v>5.0500000000000003E-2</v>
      </c>
      <c r="W16" s="84">
        <v>5.1999999999999998E-2</v>
      </c>
      <c r="X16" s="84">
        <v>5.1999999999999998E-2</v>
      </c>
      <c r="Y16" s="84">
        <v>5.1799999999999999E-2</v>
      </c>
      <c r="Z16" s="84">
        <v>7.0499999999999993E-2</v>
      </c>
      <c r="AA16" s="84">
        <v>5.2600000000000001E-2</v>
      </c>
      <c r="AB16" s="84">
        <v>5.2299999999999999E-2</v>
      </c>
      <c r="AC16" s="84">
        <v>5.16E-2</v>
      </c>
      <c r="AD16" s="84">
        <v>5.0900000000000001E-2</v>
      </c>
      <c r="AE16" s="84">
        <v>5.0599999999999999E-2</v>
      </c>
    </row>
    <row r="17" spans="2:31" ht="15" customHeight="1" x14ac:dyDescent="0.25">
      <c r="B17" s="209" t="s">
        <v>959</v>
      </c>
      <c r="C17" s="85" t="s">
        <v>957</v>
      </c>
      <c r="D17" s="132">
        <v>0.13</v>
      </c>
      <c r="E17" s="132">
        <v>0.13</v>
      </c>
      <c r="F17" s="132">
        <v>0.14000000000000001</v>
      </c>
      <c r="G17" s="132"/>
      <c r="H17" s="132"/>
      <c r="I17" s="132">
        <v>0.14000000000000001</v>
      </c>
      <c r="J17" s="132">
        <v>0.13200000000000001</v>
      </c>
      <c r="K17" s="132">
        <v>0.1333</v>
      </c>
      <c r="L17" s="132"/>
      <c r="M17" s="132">
        <v>0.13500000000000001</v>
      </c>
      <c r="N17" s="132"/>
      <c r="O17" s="132"/>
      <c r="P17" s="132"/>
      <c r="Q17" s="132">
        <v>0.1333</v>
      </c>
      <c r="R17" s="132"/>
      <c r="S17" s="132">
        <v>0.13300000000000001</v>
      </c>
      <c r="T17" s="132">
        <v>0.13980000000000001</v>
      </c>
      <c r="U17" s="132">
        <v>0.13500000000000001</v>
      </c>
      <c r="V17" s="132"/>
      <c r="W17" s="132"/>
      <c r="X17" s="132">
        <v>0.13700000000000001</v>
      </c>
      <c r="Y17" s="132">
        <v>0.13650000000000001</v>
      </c>
      <c r="Z17" s="132">
        <v>0.15</v>
      </c>
      <c r="AA17" s="132"/>
      <c r="AB17" s="132">
        <v>0.15</v>
      </c>
      <c r="AC17" s="132">
        <v>0.15</v>
      </c>
      <c r="AD17" s="132">
        <v>0.1394</v>
      </c>
      <c r="AE17" s="132">
        <v>0.14000000000000001</v>
      </c>
    </row>
    <row r="18" spans="2:31" ht="15" customHeight="1" x14ac:dyDescent="0.25">
      <c r="B18" s="210"/>
      <c r="C18" s="87" t="s">
        <v>339</v>
      </c>
      <c r="D18" s="86">
        <v>0.82</v>
      </c>
      <c r="E18" s="86">
        <v>0.82</v>
      </c>
      <c r="F18" s="86">
        <v>0.81</v>
      </c>
      <c r="G18" s="86"/>
      <c r="H18" s="86"/>
      <c r="I18" s="86">
        <v>0.81</v>
      </c>
      <c r="J18" s="86">
        <v>0.81799999999999995</v>
      </c>
      <c r="K18" s="86">
        <v>0.81669999999999998</v>
      </c>
      <c r="L18" s="86"/>
      <c r="M18" s="86">
        <v>0.81499999999999995</v>
      </c>
      <c r="N18" s="86"/>
      <c r="O18" s="86"/>
      <c r="P18" s="86"/>
      <c r="Q18" s="86">
        <v>0.81669999999999998</v>
      </c>
      <c r="R18" s="86"/>
      <c r="S18" s="86">
        <v>0.81699999999999995</v>
      </c>
      <c r="T18" s="86">
        <v>0.80900000000000005</v>
      </c>
      <c r="U18" s="86">
        <v>0.81499999999999995</v>
      </c>
      <c r="V18" s="86"/>
      <c r="W18" s="86"/>
      <c r="X18" s="86">
        <v>0.81210000000000004</v>
      </c>
      <c r="Y18" s="86">
        <v>0.81279999999999997</v>
      </c>
      <c r="Z18" s="86">
        <v>0.8</v>
      </c>
      <c r="AA18" s="86"/>
      <c r="AB18" s="86">
        <v>0.8</v>
      </c>
      <c r="AC18" s="86">
        <v>0.8</v>
      </c>
      <c r="AD18" s="86">
        <v>0.80869999999999997</v>
      </c>
      <c r="AE18" s="86">
        <v>0.80800000000000005</v>
      </c>
    </row>
    <row r="19" spans="2:31" ht="15" customHeight="1" thickBot="1" x14ac:dyDescent="0.3">
      <c r="B19" s="211"/>
      <c r="C19" s="87" t="s">
        <v>338</v>
      </c>
      <c r="D19" s="86">
        <v>0.05</v>
      </c>
      <c r="E19" s="86">
        <v>0.05</v>
      </c>
      <c r="F19" s="86">
        <v>0.05</v>
      </c>
      <c r="G19" s="86"/>
      <c r="H19" s="86"/>
      <c r="I19" s="86">
        <v>0.05</v>
      </c>
      <c r="J19" s="86">
        <v>0.05</v>
      </c>
      <c r="K19" s="86">
        <v>0.05</v>
      </c>
      <c r="L19" s="86"/>
      <c r="M19" s="86">
        <v>0.05</v>
      </c>
      <c r="N19" s="86"/>
      <c r="O19" s="86"/>
      <c r="P19" s="86"/>
      <c r="Q19" s="86">
        <v>0.05</v>
      </c>
      <c r="R19" s="86"/>
      <c r="S19" s="86">
        <v>0.05</v>
      </c>
      <c r="T19" s="86">
        <v>5.1200000000000002E-2</v>
      </c>
      <c r="U19" s="86">
        <v>0.05</v>
      </c>
      <c r="V19" s="86"/>
      <c r="W19" s="86"/>
      <c r="X19" s="86">
        <v>5.0900000000000001E-2</v>
      </c>
      <c r="Y19" s="86">
        <v>5.0700000000000002E-2</v>
      </c>
      <c r="Z19" s="86">
        <v>0.05</v>
      </c>
      <c r="AA19" s="86"/>
      <c r="AB19" s="86">
        <v>0.05</v>
      </c>
      <c r="AC19" s="86">
        <v>0.05</v>
      </c>
      <c r="AD19" s="86">
        <v>5.1900000000000002E-2</v>
      </c>
      <c r="AE19" s="86">
        <v>5.1999999999999998E-2</v>
      </c>
    </row>
    <row r="20" spans="2:31" ht="15" customHeight="1" x14ac:dyDescent="0.25">
      <c r="B20" s="200" t="s">
        <v>960</v>
      </c>
      <c r="C20" s="88" t="s">
        <v>957</v>
      </c>
      <c r="D20" s="135">
        <v>0.25</v>
      </c>
      <c r="E20" s="135"/>
      <c r="F20" s="135"/>
      <c r="G20" s="135">
        <v>0.26</v>
      </c>
      <c r="H20" s="135"/>
      <c r="I20" s="135"/>
      <c r="J20" s="135"/>
      <c r="K20" s="135">
        <v>0.21329999999999999</v>
      </c>
      <c r="L20" s="135"/>
      <c r="M20" s="135"/>
      <c r="N20" s="135"/>
      <c r="O20" s="135"/>
      <c r="P20" s="135"/>
      <c r="Q20" s="135"/>
      <c r="R20" s="135"/>
      <c r="S20" s="135"/>
      <c r="T20" s="135"/>
      <c r="U20" s="135">
        <v>0.17</v>
      </c>
      <c r="V20" s="135"/>
      <c r="W20" s="135"/>
      <c r="X20" s="135">
        <v>0.22</v>
      </c>
      <c r="Y20" s="135"/>
      <c r="Z20" s="135"/>
      <c r="AA20" s="135"/>
      <c r="AB20" s="135">
        <v>0.17</v>
      </c>
      <c r="AC20" s="135">
        <v>0.22</v>
      </c>
      <c r="AD20" s="135">
        <v>0.21329999999999999</v>
      </c>
      <c r="AE20" s="135">
        <v>0.21990000000000001</v>
      </c>
    </row>
    <row r="21" spans="2:31" ht="15" customHeight="1" x14ac:dyDescent="0.25">
      <c r="B21" s="201"/>
      <c r="C21" s="90" t="s">
        <v>339</v>
      </c>
      <c r="D21" s="134">
        <v>0.7</v>
      </c>
      <c r="E21" s="134"/>
      <c r="F21" s="134"/>
      <c r="G21" s="134">
        <v>0.69</v>
      </c>
      <c r="H21" s="134"/>
      <c r="I21" s="134"/>
      <c r="J21" s="134"/>
      <c r="K21" s="134">
        <v>0.73340000000000005</v>
      </c>
      <c r="L21" s="134"/>
      <c r="M21" s="134"/>
      <c r="N21" s="134"/>
      <c r="O21" s="134"/>
      <c r="P21" s="134"/>
      <c r="Q21" s="134"/>
      <c r="R21" s="134"/>
      <c r="S21" s="134"/>
      <c r="T21" s="134"/>
      <c r="U21" s="134">
        <v>0.78</v>
      </c>
      <c r="V21" s="134"/>
      <c r="W21" s="134"/>
      <c r="X21" s="134">
        <v>0.72799999999999998</v>
      </c>
      <c r="Y21" s="134"/>
      <c r="Z21" s="134"/>
      <c r="AA21" s="134"/>
      <c r="AB21" s="134">
        <v>0.78</v>
      </c>
      <c r="AC21" s="134">
        <v>0.72829999999999995</v>
      </c>
      <c r="AD21" s="134">
        <v>0.71389999999999998</v>
      </c>
      <c r="AE21" s="134">
        <v>0.72829999999999995</v>
      </c>
    </row>
    <row r="22" spans="2:31" ht="15" customHeight="1" thickBot="1" x14ac:dyDescent="0.3">
      <c r="B22" s="212"/>
      <c r="C22" s="108" t="s">
        <v>338</v>
      </c>
      <c r="D22" s="141">
        <v>0.05</v>
      </c>
      <c r="E22" s="141"/>
      <c r="F22" s="141"/>
      <c r="G22" s="141">
        <v>0.05</v>
      </c>
      <c r="H22" s="141"/>
      <c r="I22" s="141"/>
      <c r="J22" s="141"/>
      <c r="K22" s="141">
        <v>5.33E-2</v>
      </c>
      <c r="L22" s="141"/>
      <c r="M22" s="141"/>
      <c r="N22" s="141"/>
      <c r="O22" s="141"/>
      <c r="P22" s="141"/>
      <c r="Q22" s="141"/>
      <c r="R22" s="141"/>
      <c r="S22" s="141"/>
      <c r="T22" s="141"/>
      <c r="U22" s="141">
        <v>0.05</v>
      </c>
      <c r="V22" s="141"/>
      <c r="W22" s="141"/>
      <c r="X22" s="141">
        <v>5.1999999999999998E-2</v>
      </c>
      <c r="Y22" s="141"/>
      <c r="Z22" s="141"/>
      <c r="AA22" s="141"/>
      <c r="AB22" s="141">
        <v>0.05</v>
      </c>
      <c r="AC22" s="141">
        <v>5.1700000000000003E-2</v>
      </c>
      <c r="AD22" s="147">
        <v>7.2800000000000004E-2</v>
      </c>
      <c r="AE22" s="147">
        <v>5.1799999999999999E-2</v>
      </c>
    </row>
    <row r="23" spans="2:31" ht="15" customHeight="1" x14ac:dyDescent="0.25">
      <c r="B23" s="218" t="s">
        <v>1086</v>
      </c>
      <c r="C23" s="88" t="s">
        <v>957</v>
      </c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  <c r="Z23" s="138"/>
      <c r="AA23" s="137"/>
      <c r="AB23" s="138"/>
      <c r="AC23" s="138"/>
      <c r="AD23" s="138"/>
      <c r="AE23" s="138"/>
    </row>
    <row r="24" spans="2:31" ht="15" customHeight="1" x14ac:dyDescent="0.25">
      <c r="B24" s="219"/>
      <c r="C24" s="90" t="s">
        <v>339</v>
      </c>
      <c r="D24" s="139">
        <v>0.95</v>
      </c>
      <c r="E24" s="139">
        <v>0.95</v>
      </c>
      <c r="F24" s="139">
        <v>0.95</v>
      </c>
      <c r="G24" s="139">
        <v>0.95</v>
      </c>
      <c r="H24" s="139">
        <v>0.95</v>
      </c>
      <c r="I24" s="139"/>
      <c r="J24" s="139"/>
      <c r="K24" s="139">
        <v>0.95</v>
      </c>
      <c r="L24" s="139">
        <v>0.95</v>
      </c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>
        <v>0.94799999999999995</v>
      </c>
      <c r="X24" s="139"/>
      <c r="Y24" s="139"/>
      <c r="Z24" s="138">
        <v>0.94799999999999995</v>
      </c>
      <c r="AA24" s="139"/>
      <c r="AB24" s="138">
        <v>0.94799999999999995</v>
      </c>
      <c r="AC24" s="138"/>
      <c r="AD24" s="138"/>
      <c r="AE24" s="138">
        <v>0.94799999999999995</v>
      </c>
    </row>
    <row r="25" spans="2:31" ht="15" customHeight="1" x14ac:dyDescent="0.25">
      <c r="B25" s="220"/>
      <c r="C25" s="108" t="s">
        <v>338</v>
      </c>
      <c r="D25" s="139">
        <v>0.05</v>
      </c>
      <c r="E25" s="139">
        <v>0.05</v>
      </c>
      <c r="F25" s="139">
        <v>0.05</v>
      </c>
      <c r="G25" s="139">
        <v>0.05</v>
      </c>
      <c r="H25" s="139">
        <v>0.05</v>
      </c>
      <c r="I25" s="139"/>
      <c r="J25" s="139"/>
      <c r="K25" s="139">
        <v>0.05</v>
      </c>
      <c r="L25" s="139">
        <v>0.05</v>
      </c>
      <c r="M25" s="139"/>
      <c r="N25" s="139"/>
      <c r="O25" s="139"/>
      <c r="P25" s="139"/>
      <c r="Q25" s="139"/>
      <c r="R25" s="139"/>
      <c r="S25" s="139"/>
      <c r="T25" s="139"/>
      <c r="U25" s="139"/>
      <c r="V25" s="139"/>
      <c r="W25" s="139">
        <v>5.1999999999999998E-2</v>
      </c>
      <c r="X25" s="139"/>
      <c r="Y25" s="139"/>
      <c r="Z25" s="139">
        <v>5.1999999999999998E-2</v>
      </c>
      <c r="AA25" s="139"/>
      <c r="AB25" s="139">
        <v>5.1999999999999998E-2</v>
      </c>
      <c r="AC25" s="139"/>
      <c r="AD25" s="139"/>
      <c r="AE25" s="148">
        <v>5.1999999999999998E-2</v>
      </c>
    </row>
    <row r="26" spans="2:31" ht="15" customHeight="1" x14ac:dyDescent="0.25">
      <c r="B26" s="34" t="s">
        <v>7</v>
      </c>
      <c r="C26" s="34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</row>
    <row r="27" spans="2:31" ht="7.5" customHeight="1" thickBot="1" x14ac:dyDescent="0.3"/>
    <row r="28" spans="2:31" ht="12.75" customHeight="1" thickBot="1" x14ac:dyDescent="0.3">
      <c r="B28" s="213" t="s">
        <v>1002</v>
      </c>
      <c r="C28" s="214"/>
      <c r="D28" s="130">
        <v>80.889808360998956</v>
      </c>
      <c r="E28" s="130">
        <v>80.014749262536881</v>
      </c>
      <c r="F28" s="130">
        <v>82.005988023952085</v>
      </c>
      <c r="G28" s="130">
        <v>81.531049247138327</v>
      </c>
      <c r="H28" s="130">
        <v>82.035242290748897</v>
      </c>
      <c r="I28" s="130">
        <v>81.322051275988315</v>
      </c>
      <c r="J28" s="130">
        <v>81.361681810597233</v>
      </c>
      <c r="K28" s="130">
        <v>81.82120582144158</v>
      </c>
      <c r="L28" s="130">
        <v>82.490272369997669</v>
      </c>
      <c r="M28" s="130">
        <v>81.03344481605356</v>
      </c>
      <c r="N28" s="130">
        <v>79.829993927442658</v>
      </c>
      <c r="O28" s="130">
        <v>81.1272047033669</v>
      </c>
      <c r="P28" s="130">
        <v>80.654181179597998</v>
      </c>
      <c r="Q28" s="130">
        <v>81.105106367044925</v>
      </c>
      <c r="R28" s="130">
        <v>81.812500000699998</v>
      </c>
      <c r="S28" s="130">
        <v>81.656231879573909</v>
      </c>
      <c r="T28" s="130">
        <v>81.162237761796149</v>
      </c>
      <c r="U28" s="130">
        <v>81.150326797385617</v>
      </c>
      <c r="V28" s="130">
        <v>81.269523794600005</v>
      </c>
      <c r="W28" s="130">
        <v>83.004724409448798</v>
      </c>
      <c r="X28" s="130">
        <v>80.663470312045803</v>
      </c>
      <c r="Y28" s="130">
        <v>80.33480173477227</v>
      </c>
      <c r="Z28" s="130">
        <v>79.990756301974614</v>
      </c>
      <c r="AA28" s="130">
        <v>79.490280769751635</v>
      </c>
      <c r="AB28" s="130">
        <v>79.999999988114794</v>
      </c>
      <c r="AC28" s="130">
        <v>79.536147095514949</v>
      </c>
      <c r="AD28" s="130">
        <v>80.240788330205874</v>
      </c>
      <c r="AE28" s="130">
        <v>80.804967467362786</v>
      </c>
    </row>
    <row r="29" spans="2:31" ht="12.75" customHeight="1" x14ac:dyDescent="0.25">
      <c r="B29" s="114"/>
    </row>
    <row r="30" spans="2:31" ht="12.75" customHeight="1" x14ac:dyDescent="0.25">
      <c r="B30" s="114"/>
    </row>
    <row r="31" spans="2:31" ht="12.75" customHeight="1" x14ac:dyDescent="0.25">
      <c r="B31" s="114"/>
    </row>
    <row r="32" spans="2:31" ht="12.75" customHeight="1" x14ac:dyDescent="0.25">
      <c r="B32" s="114"/>
    </row>
    <row r="33" spans="2:2" ht="12.75" customHeight="1" x14ac:dyDescent="0.25">
      <c r="B33" s="114"/>
    </row>
    <row r="34" spans="2:2" ht="12.75" customHeight="1" x14ac:dyDescent="0.25">
      <c r="B34" s="114"/>
    </row>
    <row r="35" spans="2:2" ht="12.75" customHeight="1" x14ac:dyDescent="0.25">
      <c r="B35" s="114"/>
    </row>
    <row r="36" spans="2:2" ht="12.75" customHeight="1" x14ac:dyDescent="0.25">
      <c r="B36" s="114"/>
    </row>
    <row r="37" spans="2:2" ht="12.75" customHeight="1" x14ac:dyDescent="0.25">
      <c r="B37" s="114"/>
    </row>
    <row r="38" spans="2:2" ht="12.75" customHeight="1" x14ac:dyDescent="0.25">
      <c r="B38" s="114"/>
    </row>
    <row r="39" spans="2:2" ht="12.75" customHeight="1" x14ac:dyDescent="0.25">
      <c r="B39" s="114"/>
    </row>
    <row r="40" spans="2:2" ht="12.75" customHeight="1" x14ac:dyDescent="0.25">
      <c r="B40" s="114"/>
    </row>
    <row r="41" spans="2:2" ht="12.75" customHeight="1" x14ac:dyDescent="0.25">
      <c r="B41" s="114"/>
    </row>
    <row r="42" spans="2:2" x14ac:dyDescent="0.25">
      <c r="B42" s="114"/>
    </row>
    <row r="43" spans="2:2" x14ac:dyDescent="0.25">
      <c r="B43" s="114"/>
    </row>
    <row r="44" spans="2:2" x14ac:dyDescent="0.25">
      <c r="B44" s="114"/>
    </row>
    <row r="45" spans="2:2" x14ac:dyDescent="0.25">
      <c r="B45" s="114"/>
    </row>
    <row r="46" spans="2:2" x14ac:dyDescent="0.25">
      <c r="B46" s="114"/>
    </row>
    <row r="47" spans="2:2" x14ac:dyDescent="0.25">
      <c r="B47" s="114"/>
    </row>
    <row r="48" spans="2:2" x14ac:dyDescent="0.25">
      <c r="B48" s="114"/>
    </row>
    <row r="49" spans="2:2" x14ac:dyDescent="0.25">
      <c r="B49" s="114"/>
    </row>
  </sheetData>
  <mergeCells count="8">
    <mergeCell ref="B23:B25"/>
    <mergeCell ref="B28:C28"/>
    <mergeCell ref="B3:B5"/>
    <mergeCell ref="B6:B8"/>
    <mergeCell ref="B9:B11"/>
    <mergeCell ref="B14:B16"/>
    <mergeCell ref="B17:B19"/>
    <mergeCell ref="B20:B22"/>
  </mergeCells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B1:AH52"/>
  <sheetViews>
    <sheetView topLeftCell="A14" zoomScale="90" zoomScaleNormal="90" workbookViewId="0">
      <pane xSplit="3" topLeftCell="V1" activePane="topRight" state="frozen"/>
      <selection pane="topRight" activeCell="AH1" sqref="AH1:AH1048576"/>
    </sheetView>
  </sheetViews>
  <sheetFormatPr defaultRowHeight="15" x14ac:dyDescent="0.25"/>
  <cols>
    <col min="3" max="3" width="28.140625" customWidth="1"/>
    <col min="4" max="34" width="10.7109375" customWidth="1"/>
  </cols>
  <sheetData>
    <row r="1" spans="2:34" ht="6" customHeight="1" thickBot="1" x14ac:dyDescent="0.3"/>
    <row r="2" spans="2:34" ht="15" customHeight="1" thickBot="1" x14ac:dyDescent="0.3">
      <c r="B2" s="94" t="s">
        <v>964</v>
      </c>
      <c r="C2" s="96" t="s">
        <v>961</v>
      </c>
      <c r="D2" s="97" t="str">
        <f t="shared" ref="D2:F2" si="0">D16</f>
        <v>01.03.2025</v>
      </c>
      <c r="E2" s="97" t="str">
        <f t="shared" si="0"/>
        <v>02.03.2025</v>
      </c>
      <c r="F2" s="97" t="str">
        <f t="shared" si="0"/>
        <v>03.03.2025</v>
      </c>
      <c r="G2" s="97" t="str">
        <f t="shared" ref="G2:H2" si="1">G16</f>
        <v>04.03.2025</v>
      </c>
      <c r="H2" s="97" t="str">
        <f t="shared" si="1"/>
        <v>05.03.2025</v>
      </c>
      <c r="I2" s="97" t="str">
        <f t="shared" ref="I2:J2" si="2">I16</f>
        <v>06.03.2025</v>
      </c>
      <c r="J2" s="97" t="str">
        <f t="shared" si="2"/>
        <v>07.03.2025</v>
      </c>
      <c r="K2" s="97" t="str">
        <f t="shared" ref="K2:L2" si="3">K16</f>
        <v>08.03.2025</v>
      </c>
      <c r="L2" s="97" t="str">
        <f t="shared" si="3"/>
        <v>09.03.2025</v>
      </c>
      <c r="M2" s="97" t="str">
        <f t="shared" ref="M2:N2" si="4">M16</f>
        <v>10.03.2025</v>
      </c>
      <c r="N2" s="97" t="str">
        <f t="shared" si="4"/>
        <v>11.03.2025</v>
      </c>
      <c r="O2" s="97" t="str">
        <f t="shared" ref="O2:P2" si="5">O16</f>
        <v>12.03.2025</v>
      </c>
      <c r="P2" s="97" t="str">
        <f t="shared" si="5"/>
        <v>13.03.2025</v>
      </c>
      <c r="Q2" s="97" t="str">
        <f t="shared" ref="Q2:R2" si="6">Q16</f>
        <v>14.03.2025</v>
      </c>
      <c r="R2" s="97" t="str">
        <f t="shared" si="6"/>
        <v>15.03.2025</v>
      </c>
      <c r="S2" s="97" t="str">
        <f t="shared" ref="S2:T2" si="7">S16</f>
        <v>16.03.2025</v>
      </c>
      <c r="T2" s="97" t="str">
        <f t="shared" si="7"/>
        <v>17.03.2025</v>
      </c>
      <c r="U2" s="97" t="str">
        <f t="shared" ref="U2:V2" si="8">U16</f>
        <v>18.03.2025</v>
      </c>
      <c r="V2" s="97" t="str">
        <f t="shared" si="8"/>
        <v>19.03.2025</v>
      </c>
      <c r="W2" s="97" t="str">
        <f t="shared" ref="W2:X2" si="9">W16</f>
        <v>20.03.2025</v>
      </c>
      <c r="X2" s="97" t="str">
        <f t="shared" si="9"/>
        <v>21.03.2025</v>
      </c>
      <c r="Y2" s="97" t="str">
        <f t="shared" ref="Y2:Z2" si="10">Y16</f>
        <v>22.03.2025</v>
      </c>
      <c r="Z2" s="97" t="str">
        <f t="shared" si="10"/>
        <v>23.03.2025</v>
      </c>
      <c r="AA2" s="97" t="str">
        <f t="shared" ref="AA2:AB2" si="11">AA16</f>
        <v>24.03.2025</v>
      </c>
      <c r="AB2" s="97" t="str">
        <f t="shared" si="11"/>
        <v>25.03.2025</v>
      </c>
      <c r="AC2" s="97" t="str">
        <f t="shared" ref="AC2:AD2" si="12">AC16</f>
        <v>26.03.2025</v>
      </c>
      <c r="AD2" s="97" t="str">
        <f t="shared" si="12"/>
        <v>27.03.2025</v>
      </c>
      <c r="AE2" s="97" t="str">
        <f t="shared" ref="AE2:AH2" si="13">AE16</f>
        <v>28.03.2025</v>
      </c>
      <c r="AF2" s="97" t="str">
        <f t="shared" si="13"/>
        <v>29.03.2025</v>
      </c>
      <c r="AG2" s="97" t="str">
        <f t="shared" si="13"/>
        <v>30.03.2025</v>
      </c>
      <c r="AH2" s="97" t="str">
        <f t="shared" si="13"/>
        <v>31.03.2025</v>
      </c>
    </row>
    <row r="3" spans="2:34" ht="15" customHeight="1" x14ac:dyDescent="0.25">
      <c r="B3" s="206" t="s">
        <v>958</v>
      </c>
      <c r="C3" s="116" t="s">
        <v>957</v>
      </c>
      <c r="D3" s="84">
        <v>0.1348</v>
      </c>
      <c r="E3" s="84">
        <v>0.13250000000000001</v>
      </c>
      <c r="F3" s="84">
        <v>0.15</v>
      </c>
      <c r="G3" s="84">
        <v>0.14000000000000001</v>
      </c>
      <c r="H3" s="84">
        <v>0.14990000000000001</v>
      </c>
      <c r="I3" s="84">
        <v>0.15</v>
      </c>
      <c r="J3" s="84">
        <v>0.1399</v>
      </c>
      <c r="K3" s="84">
        <v>0.13489999999999999</v>
      </c>
      <c r="L3" s="84">
        <v>0.14030000000000001</v>
      </c>
      <c r="M3" s="84">
        <v>0.14000000000000001</v>
      </c>
      <c r="N3" s="84">
        <v>0.13500000000000001</v>
      </c>
      <c r="O3" s="84">
        <v>0.14000000000000001</v>
      </c>
      <c r="P3" s="84">
        <v>0.15</v>
      </c>
      <c r="Q3" s="84">
        <v>0.13500000000000001</v>
      </c>
      <c r="R3" s="84">
        <v>0.13133</v>
      </c>
      <c r="S3" s="84">
        <v>0.15</v>
      </c>
      <c r="T3" s="84">
        <v>0.15</v>
      </c>
      <c r="U3" s="84">
        <v>0.14000000000000001</v>
      </c>
      <c r="V3" s="84">
        <v>0.15</v>
      </c>
      <c r="W3" s="84">
        <v>0.15</v>
      </c>
      <c r="X3" s="84">
        <v>0.15</v>
      </c>
      <c r="Y3" s="84">
        <v>0.15</v>
      </c>
      <c r="Z3" s="84">
        <v>0.15</v>
      </c>
      <c r="AA3" s="84">
        <v>0.16</v>
      </c>
      <c r="AB3" s="84">
        <v>0.16</v>
      </c>
      <c r="AC3" s="84">
        <v>0.16</v>
      </c>
      <c r="AD3" s="84">
        <v>0.16</v>
      </c>
      <c r="AE3" s="84">
        <v>0.16</v>
      </c>
      <c r="AF3" s="84">
        <v>0.16</v>
      </c>
      <c r="AG3" s="84">
        <v>0.16</v>
      </c>
      <c r="AH3" s="84">
        <v>0.1542</v>
      </c>
    </row>
    <row r="4" spans="2:34" ht="15" customHeight="1" x14ac:dyDescent="0.25">
      <c r="B4" s="207"/>
      <c r="C4" s="118" t="s">
        <v>339</v>
      </c>
      <c r="D4" s="84">
        <v>0.81520000000000004</v>
      </c>
      <c r="E4" s="84">
        <v>0.8175</v>
      </c>
      <c r="F4" s="84">
        <v>0.79749999999999999</v>
      </c>
      <c r="G4" s="84">
        <v>0.80730000000000002</v>
      </c>
      <c r="H4" s="84">
        <v>0.79810000000000003</v>
      </c>
      <c r="I4" s="84">
        <v>0.79800000000000004</v>
      </c>
      <c r="J4" s="84">
        <v>0.80900000000000005</v>
      </c>
      <c r="K4" s="84">
        <v>0.81179999999999997</v>
      </c>
      <c r="L4" s="84">
        <v>0.80769999999999997</v>
      </c>
      <c r="M4" s="84">
        <v>0.80620000000000003</v>
      </c>
      <c r="N4" s="84">
        <v>0.81499999999999995</v>
      </c>
      <c r="O4" s="84">
        <v>0.80500000000000005</v>
      </c>
      <c r="P4" s="84">
        <v>0.79500000000000004</v>
      </c>
      <c r="Q4" s="84">
        <v>0.81</v>
      </c>
      <c r="R4" s="84">
        <v>0.81799999999999995</v>
      </c>
      <c r="S4" s="84">
        <v>0.79500000000000004</v>
      </c>
      <c r="T4" s="84">
        <v>0.79500000000000004</v>
      </c>
      <c r="U4" s="84">
        <v>0.80500000000000005</v>
      </c>
      <c r="V4" s="84">
        <v>0.79500000000000004</v>
      </c>
      <c r="W4" s="84">
        <v>0.79500000000000004</v>
      </c>
      <c r="X4" s="84">
        <v>0.79500000000000004</v>
      </c>
      <c r="Y4" s="84">
        <v>0.79500000000000004</v>
      </c>
      <c r="Z4" s="84">
        <v>0.79500000000000004</v>
      </c>
      <c r="AA4" s="84">
        <v>0.78200000000000003</v>
      </c>
      <c r="AB4" s="84">
        <v>0.78200000000000003</v>
      </c>
      <c r="AC4" s="84">
        <v>0.78200000000000003</v>
      </c>
      <c r="AD4" s="84">
        <v>0.78200000000000003</v>
      </c>
      <c r="AE4" s="84">
        <v>0.78200000000000003</v>
      </c>
      <c r="AF4" s="84">
        <v>0.78200000000000003</v>
      </c>
      <c r="AG4" s="84">
        <v>0.78200000000000003</v>
      </c>
      <c r="AH4" s="84">
        <v>0.78500000000000003</v>
      </c>
    </row>
    <row r="5" spans="2:34" ht="15" customHeight="1" thickBot="1" x14ac:dyDescent="0.3">
      <c r="B5" s="208"/>
      <c r="C5" s="118" t="s">
        <v>338</v>
      </c>
      <c r="D5" s="84">
        <v>0.05</v>
      </c>
      <c r="E5" s="84">
        <v>0.05</v>
      </c>
      <c r="F5" s="84">
        <v>5.2499999999999998E-2</v>
      </c>
      <c r="G5" s="84">
        <v>5.2699999999999997E-2</v>
      </c>
      <c r="H5" s="84">
        <v>5.1999999999999998E-2</v>
      </c>
      <c r="I5" s="84">
        <v>5.1999999999999998E-2</v>
      </c>
      <c r="J5" s="84">
        <v>5.11E-2</v>
      </c>
      <c r="K5" s="84">
        <v>5.33E-2</v>
      </c>
      <c r="L5" s="84">
        <v>5.1999999999999998E-2</v>
      </c>
      <c r="M5" s="84">
        <v>5.3800000000000001E-2</v>
      </c>
      <c r="N5" s="84">
        <v>0.05</v>
      </c>
      <c r="O5" s="84">
        <v>5.5E-2</v>
      </c>
      <c r="P5" s="84">
        <v>5.5E-2</v>
      </c>
      <c r="Q5" s="84">
        <v>5.5E-2</v>
      </c>
      <c r="R5" s="84">
        <v>5.0619999999999998E-2</v>
      </c>
      <c r="S5" s="84">
        <v>5.5E-2</v>
      </c>
      <c r="T5" s="84">
        <v>5.5E-2</v>
      </c>
      <c r="U5" s="84">
        <v>5.5E-2</v>
      </c>
      <c r="V5" s="84">
        <v>5.5E-2</v>
      </c>
      <c r="W5" s="84">
        <v>5.5E-2</v>
      </c>
      <c r="X5" s="84">
        <v>5.5E-2</v>
      </c>
      <c r="Y5" s="84">
        <v>5.5E-2</v>
      </c>
      <c r="Z5" s="84">
        <v>5.5E-2</v>
      </c>
      <c r="AA5" s="84">
        <v>5.8000000000000003E-2</v>
      </c>
      <c r="AB5" s="84">
        <v>5.8000000000000003E-2</v>
      </c>
      <c r="AC5" s="84">
        <v>5.8000000000000003E-2</v>
      </c>
      <c r="AD5" s="84">
        <v>5.8000000000000003E-2</v>
      </c>
      <c r="AE5" s="84">
        <v>5.8000000000000003E-2</v>
      </c>
      <c r="AF5" s="84">
        <v>5.8000000000000003E-2</v>
      </c>
      <c r="AG5" s="84">
        <v>5.8000000000000003E-2</v>
      </c>
      <c r="AH5" s="84">
        <v>6.08E-2</v>
      </c>
    </row>
    <row r="6" spans="2:34" ht="15" customHeight="1" x14ac:dyDescent="0.25">
      <c r="B6" s="209" t="s">
        <v>959</v>
      </c>
      <c r="C6" s="119" t="s">
        <v>957</v>
      </c>
      <c r="D6" s="86"/>
      <c r="E6" s="86">
        <v>0.15</v>
      </c>
      <c r="F6" s="86"/>
      <c r="G6" s="86"/>
      <c r="H6" s="86">
        <v>0.15</v>
      </c>
      <c r="I6" s="86"/>
      <c r="J6" s="86"/>
      <c r="K6" s="86"/>
      <c r="L6" s="86"/>
      <c r="M6" s="86"/>
      <c r="N6" s="86">
        <v>0.14000000000000001</v>
      </c>
      <c r="O6" s="86"/>
      <c r="P6" s="86">
        <v>0.15</v>
      </c>
      <c r="Q6" s="86"/>
      <c r="R6" s="86"/>
      <c r="S6" s="86">
        <v>0.15</v>
      </c>
      <c r="T6" s="86">
        <v>0.15</v>
      </c>
      <c r="U6" s="86">
        <v>0.15</v>
      </c>
      <c r="V6" s="86">
        <v>0.15</v>
      </c>
      <c r="W6" s="86">
        <v>0.15</v>
      </c>
      <c r="X6" s="86">
        <v>0.15</v>
      </c>
      <c r="Y6" s="86">
        <v>0.16270000000000001</v>
      </c>
      <c r="Z6" s="86"/>
      <c r="AA6" s="86">
        <v>0.17</v>
      </c>
      <c r="AB6" s="86">
        <v>0.16</v>
      </c>
      <c r="AC6" s="86">
        <v>0.17</v>
      </c>
      <c r="AD6" s="86">
        <v>0.17</v>
      </c>
      <c r="AE6" s="86">
        <v>0.17</v>
      </c>
      <c r="AF6" s="86">
        <v>0.17</v>
      </c>
      <c r="AG6" s="86">
        <v>0.17</v>
      </c>
      <c r="AH6" s="86">
        <v>0.2</v>
      </c>
    </row>
    <row r="7" spans="2:34" ht="15" customHeight="1" x14ac:dyDescent="0.25">
      <c r="B7" s="210"/>
      <c r="C7" s="120" t="s">
        <v>339</v>
      </c>
      <c r="D7" s="86"/>
      <c r="E7" s="86">
        <v>0.8</v>
      </c>
      <c r="F7" s="86"/>
      <c r="G7" s="86"/>
      <c r="H7" s="86">
        <v>0.8</v>
      </c>
      <c r="I7" s="86"/>
      <c r="J7" s="86"/>
      <c r="K7" s="86"/>
      <c r="L7" s="86"/>
      <c r="M7" s="86"/>
      <c r="N7" s="86">
        <v>0.80500000000000005</v>
      </c>
      <c r="O7" s="86"/>
      <c r="P7" s="86">
        <v>0.79500000000000004</v>
      </c>
      <c r="Q7" s="86"/>
      <c r="R7" s="86"/>
      <c r="S7" s="86">
        <v>0.79500000000000004</v>
      </c>
      <c r="T7" s="86">
        <v>0.79500000000000004</v>
      </c>
      <c r="U7" s="86">
        <v>0.79779999999999995</v>
      </c>
      <c r="V7" s="86">
        <v>0.8</v>
      </c>
      <c r="W7" s="86">
        <v>0.79500000000000004</v>
      </c>
      <c r="X7" s="86">
        <v>0.79500000000000004</v>
      </c>
      <c r="Y7" s="86">
        <v>0.78639999999999999</v>
      </c>
      <c r="Z7" s="86"/>
      <c r="AA7" s="86">
        <v>0.78</v>
      </c>
      <c r="AB7" s="86">
        <v>0.78300000000000003</v>
      </c>
      <c r="AC7" s="86">
        <v>0.77200000000000002</v>
      </c>
      <c r="AD7" s="86">
        <v>0.77200000000000002</v>
      </c>
      <c r="AE7" s="86">
        <v>0.77200000000000002</v>
      </c>
      <c r="AF7" s="86">
        <v>0.77200000000000002</v>
      </c>
      <c r="AG7" s="86">
        <v>0.77200000000000002</v>
      </c>
      <c r="AH7" s="86">
        <v>0.7167</v>
      </c>
    </row>
    <row r="8" spans="2:34" ht="15" customHeight="1" thickBot="1" x14ac:dyDescent="0.3">
      <c r="B8" s="211"/>
      <c r="C8" s="120" t="s">
        <v>338</v>
      </c>
      <c r="D8" s="86"/>
      <c r="E8" s="86">
        <v>0.05</v>
      </c>
      <c r="F8" s="86"/>
      <c r="G8" s="86"/>
      <c r="H8" s="86">
        <v>0.05</v>
      </c>
      <c r="I8" s="86"/>
      <c r="J8" s="86"/>
      <c r="K8" s="86"/>
      <c r="L8" s="86"/>
      <c r="M8" s="86"/>
      <c r="N8" s="86">
        <v>5.5E-2</v>
      </c>
      <c r="O8" s="86"/>
      <c r="P8" s="86">
        <v>5.5E-2</v>
      </c>
      <c r="Q8" s="86"/>
      <c r="R8" s="86"/>
      <c r="S8" s="86">
        <v>5.5E-2</v>
      </c>
      <c r="T8" s="86">
        <v>5.5E-2</v>
      </c>
      <c r="U8" s="86">
        <v>5.2200000000000003E-2</v>
      </c>
      <c r="V8" s="86">
        <v>0.05</v>
      </c>
      <c r="W8" s="86">
        <v>5.5E-2</v>
      </c>
      <c r="X8" s="86">
        <v>5.5E-2</v>
      </c>
      <c r="Y8" s="86">
        <v>5.0900000000000001E-2</v>
      </c>
      <c r="Z8" s="86"/>
      <c r="AA8" s="86">
        <v>0.05</v>
      </c>
      <c r="AB8" s="86">
        <v>5.7000000000000002E-2</v>
      </c>
      <c r="AC8" s="86">
        <v>5.8000000000000003E-2</v>
      </c>
      <c r="AD8" s="86">
        <v>5.8000000000000003E-2</v>
      </c>
      <c r="AE8" s="86">
        <v>5.8000000000000003E-2</v>
      </c>
      <c r="AF8" s="86">
        <v>5.8000000000000003E-2</v>
      </c>
      <c r="AG8" s="86">
        <v>5.8000000000000003E-2</v>
      </c>
      <c r="AH8" s="86">
        <v>8.3299999999999999E-2</v>
      </c>
    </row>
    <row r="9" spans="2:34" ht="15" customHeight="1" x14ac:dyDescent="0.25">
      <c r="B9" s="215" t="s">
        <v>960</v>
      </c>
      <c r="C9" s="121" t="s">
        <v>957</v>
      </c>
      <c r="D9" s="142"/>
      <c r="E9" s="142"/>
      <c r="F9" s="142"/>
      <c r="G9" s="142"/>
      <c r="H9" s="142"/>
      <c r="I9" s="142"/>
      <c r="J9" s="142"/>
      <c r="K9" s="142"/>
      <c r="L9" s="142"/>
      <c r="M9" s="142"/>
      <c r="N9" s="142"/>
      <c r="O9" s="142"/>
      <c r="P9" s="142"/>
      <c r="Q9" s="135">
        <v>0.22</v>
      </c>
      <c r="R9" s="135"/>
      <c r="S9" s="135">
        <v>0.21929999999999999</v>
      </c>
      <c r="T9" s="135"/>
      <c r="U9" s="135">
        <v>0.22</v>
      </c>
      <c r="V9" s="135">
        <v>0.2</v>
      </c>
      <c r="W9" s="135">
        <v>0.22</v>
      </c>
      <c r="X9" s="135"/>
      <c r="Y9" s="135">
        <v>0.2</v>
      </c>
      <c r="Z9" s="135"/>
      <c r="AA9" s="135">
        <v>0.23</v>
      </c>
      <c r="AB9" s="135"/>
      <c r="AC9" s="135">
        <v>0.23</v>
      </c>
      <c r="AD9" s="135">
        <v>0.24</v>
      </c>
      <c r="AE9" s="135"/>
      <c r="AF9" s="135"/>
      <c r="AG9" s="135">
        <v>0.23</v>
      </c>
      <c r="AH9" s="135"/>
    </row>
    <row r="10" spans="2:34" ht="15" customHeight="1" x14ac:dyDescent="0.25">
      <c r="B10" s="216"/>
      <c r="C10" s="123" t="s">
        <v>339</v>
      </c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4">
        <v>0.72499999999999998</v>
      </c>
      <c r="R10" s="134"/>
      <c r="S10" s="134">
        <v>0.72460000000000002</v>
      </c>
      <c r="T10" s="134"/>
      <c r="U10" s="134">
        <v>0.72399999999999998</v>
      </c>
      <c r="V10" s="134">
        <v>0.745</v>
      </c>
      <c r="W10" s="134">
        <v>0.72550000000000003</v>
      </c>
      <c r="X10" s="134"/>
      <c r="Y10" s="134">
        <v>0.74</v>
      </c>
      <c r="Z10" s="134"/>
      <c r="AA10" s="134">
        <v>0.71299999999999997</v>
      </c>
      <c r="AB10" s="134"/>
      <c r="AC10" s="134">
        <v>0.71199999999999997</v>
      </c>
      <c r="AD10" s="134">
        <v>0.70189999999999997</v>
      </c>
      <c r="AE10" s="134"/>
      <c r="AF10" s="134"/>
      <c r="AG10" s="134">
        <v>0.71199999999999997</v>
      </c>
      <c r="AH10" s="134"/>
    </row>
    <row r="11" spans="2:34" ht="15" customHeight="1" thickBot="1" x14ac:dyDescent="0.3">
      <c r="B11" s="221"/>
      <c r="C11" s="125" t="s">
        <v>338</v>
      </c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141"/>
      <c r="Q11" s="136">
        <v>5.5E-2</v>
      </c>
      <c r="R11" s="136"/>
      <c r="S11" s="136">
        <v>5.6099999999999997E-2</v>
      </c>
      <c r="T11" s="136"/>
      <c r="U11" s="136">
        <v>5.6000000000000001E-2</v>
      </c>
      <c r="V11" s="136">
        <v>5.5E-2</v>
      </c>
      <c r="W11" s="136">
        <v>5.45E-2</v>
      </c>
      <c r="X11" s="136"/>
      <c r="Y11" s="136">
        <v>0.06</v>
      </c>
      <c r="Z11" s="136"/>
      <c r="AA11" s="136">
        <v>5.7000000000000002E-2</v>
      </c>
      <c r="AB11" s="136"/>
      <c r="AC11" s="136">
        <v>5.8000000000000003E-2</v>
      </c>
      <c r="AD11" s="136">
        <v>5.8099999999999999E-2</v>
      </c>
      <c r="AE11" s="136"/>
      <c r="AF11" s="136"/>
      <c r="AG11" s="136">
        <v>5.8000000000000003E-2</v>
      </c>
      <c r="AH11" s="136"/>
    </row>
    <row r="12" spans="2:34" ht="15" customHeight="1" x14ac:dyDescent="0.25">
      <c r="B12" s="222" t="s">
        <v>1086</v>
      </c>
      <c r="C12" s="151" t="s">
        <v>957</v>
      </c>
      <c r="D12" s="152"/>
      <c r="E12" s="152"/>
      <c r="F12" s="152"/>
      <c r="G12" s="152"/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4">
        <v>0</v>
      </c>
      <c r="S12" s="154"/>
      <c r="T12" s="154"/>
      <c r="U12" s="154"/>
      <c r="V12" s="154"/>
      <c r="W12" s="154"/>
      <c r="X12" s="154"/>
      <c r="Y12" s="154"/>
      <c r="Z12" s="154"/>
      <c r="AA12" s="154"/>
      <c r="AB12" s="154"/>
      <c r="AC12" s="154"/>
      <c r="AD12" s="154"/>
      <c r="AE12" s="154"/>
      <c r="AF12" s="154"/>
      <c r="AG12" s="154"/>
      <c r="AH12" s="154"/>
    </row>
    <row r="13" spans="2:34" ht="15" customHeight="1" x14ac:dyDescent="0.25">
      <c r="B13" s="223"/>
      <c r="C13" s="90" t="s">
        <v>339</v>
      </c>
      <c r="D13" s="149"/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149"/>
      <c r="P13" s="149"/>
      <c r="Q13" s="149"/>
      <c r="R13" s="153">
        <v>0.95</v>
      </c>
      <c r="S13" s="153"/>
      <c r="T13" s="153"/>
      <c r="U13" s="153">
        <v>0.94499999999999995</v>
      </c>
      <c r="V13" s="153"/>
      <c r="W13" s="153"/>
      <c r="X13" s="153"/>
      <c r="Y13" s="153"/>
      <c r="Z13" s="153"/>
      <c r="AA13" s="153"/>
      <c r="AB13" s="153"/>
      <c r="AC13" s="153"/>
      <c r="AD13" s="153"/>
      <c r="AE13" s="153"/>
      <c r="AF13" s="153"/>
      <c r="AG13" s="153"/>
      <c r="AH13" s="153">
        <v>0.94299999999999995</v>
      </c>
    </row>
    <row r="14" spans="2:34" ht="15" customHeight="1" thickBot="1" x14ac:dyDescent="0.3">
      <c r="B14" s="224"/>
      <c r="C14" s="92" t="s">
        <v>338</v>
      </c>
      <c r="D14" s="150"/>
      <c r="E14" s="150"/>
      <c r="F14" s="150"/>
      <c r="G14" s="150"/>
      <c r="H14" s="150"/>
      <c r="I14" s="150"/>
      <c r="J14" s="150"/>
      <c r="K14" s="150"/>
      <c r="L14" s="150"/>
      <c r="M14" s="150"/>
      <c r="N14" s="150"/>
      <c r="O14" s="150"/>
      <c r="P14" s="150"/>
      <c r="Q14" s="150"/>
      <c r="R14" s="155">
        <v>0.05</v>
      </c>
      <c r="S14" s="155"/>
      <c r="T14" s="155"/>
      <c r="U14" s="155">
        <v>5.5E-2</v>
      </c>
      <c r="V14" s="155"/>
      <c r="W14" s="155"/>
      <c r="X14" s="155"/>
      <c r="Y14" s="155"/>
      <c r="Z14" s="155"/>
      <c r="AA14" s="155"/>
      <c r="AB14" s="155"/>
      <c r="AC14" s="155"/>
      <c r="AD14" s="155"/>
      <c r="AE14" s="155"/>
      <c r="AF14" s="155"/>
      <c r="AG14" s="155"/>
      <c r="AH14" s="155">
        <v>5.7000000000000002E-2</v>
      </c>
    </row>
    <row r="15" spans="2:34" ht="6.75" customHeight="1" thickBot="1" x14ac:dyDescent="0.3"/>
    <row r="16" spans="2:34" ht="15" customHeight="1" thickBot="1" x14ac:dyDescent="0.3">
      <c r="B16" s="95" t="s">
        <v>964</v>
      </c>
      <c r="C16" s="94" t="s">
        <v>963</v>
      </c>
      <c r="D16" s="94" t="s">
        <v>1154</v>
      </c>
      <c r="E16" s="94" t="s">
        <v>1155</v>
      </c>
      <c r="F16" s="94" t="s">
        <v>1156</v>
      </c>
      <c r="G16" s="94" t="s">
        <v>1157</v>
      </c>
      <c r="H16" s="94" t="s">
        <v>1158</v>
      </c>
      <c r="I16" s="94" t="s">
        <v>1159</v>
      </c>
      <c r="J16" s="94" t="s">
        <v>1160</v>
      </c>
      <c r="K16" s="94" t="s">
        <v>1161</v>
      </c>
      <c r="L16" s="94" t="s">
        <v>1162</v>
      </c>
      <c r="M16" s="94" t="s">
        <v>1163</v>
      </c>
      <c r="N16" s="94" t="s">
        <v>1164</v>
      </c>
      <c r="O16" s="94" t="s">
        <v>1165</v>
      </c>
      <c r="P16" s="94" t="s">
        <v>1166</v>
      </c>
      <c r="Q16" s="94" t="s">
        <v>1167</v>
      </c>
      <c r="R16" s="94" t="s">
        <v>1168</v>
      </c>
      <c r="S16" s="94" t="s">
        <v>1169</v>
      </c>
      <c r="T16" s="94" t="s">
        <v>1170</v>
      </c>
      <c r="U16" s="94" t="s">
        <v>1171</v>
      </c>
      <c r="V16" s="94" t="s">
        <v>1172</v>
      </c>
      <c r="W16" s="94" t="s">
        <v>1173</v>
      </c>
      <c r="X16" s="94" t="s">
        <v>1174</v>
      </c>
      <c r="Y16" s="94" t="s">
        <v>1175</v>
      </c>
      <c r="Z16" s="94" t="s">
        <v>1176</v>
      </c>
      <c r="AA16" s="94" t="s">
        <v>1177</v>
      </c>
      <c r="AB16" s="94" t="s">
        <v>1178</v>
      </c>
      <c r="AC16" s="94" t="s">
        <v>1179</v>
      </c>
      <c r="AD16" s="94" t="s">
        <v>1180</v>
      </c>
      <c r="AE16" s="94" t="s">
        <v>1181</v>
      </c>
      <c r="AF16" s="94" t="s">
        <v>1182</v>
      </c>
      <c r="AG16" s="94" t="s">
        <v>1183</v>
      </c>
      <c r="AH16" s="94" t="s">
        <v>1184</v>
      </c>
    </row>
    <row r="17" spans="2:34" ht="15" customHeight="1" x14ac:dyDescent="0.25">
      <c r="B17" s="206" t="s">
        <v>958</v>
      </c>
      <c r="C17" s="81" t="s">
        <v>957</v>
      </c>
      <c r="D17" s="117">
        <v>0.13980000000000001</v>
      </c>
      <c r="E17" s="117">
        <v>0.13389999999999999</v>
      </c>
      <c r="F17" s="117">
        <v>0.13950000000000001</v>
      </c>
      <c r="G17" s="117">
        <v>0.15</v>
      </c>
      <c r="H17" s="117">
        <v>0.15</v>
      </c>
      <c r="I17" s="117">
        <v>0.1537</v>
      </c>
      <c r="J17" s="117">
        <v>0.14199999999999999</v>
      </c>
      <c r="K17" s="117">
        <v>0.13919999999999999</v>
      </c>
      <c r="L17" s="117">
        <v>0.1404</v>
      </c>
      <c r="M17" s="117">
        <v>0.14080000000000001</v>
      </c>
      <c r="N17" s="117">
        <v>0.15</v>
      </c>
      <c r="O17" s="117">
        <v>0.15</v>
      </c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17">
        <v>0.16</v>
      </c>
      <c r="AF17" s="117"/>
      <c r="AG17" s="117"/>
      <c r="AH17" s="117"/>
    </row>
    <row r="18" spans="2:34" ht="15" customHeight="1" x14ac:dyDescent="0.25">
      <c r="B18" s="207"/>
      <c r="C18" s="83" t="s">
        <v>339</v>
      </c>
      <c r="D18" s="84">
        <v>0.80979999999999996</v>
      </c>
      <c r="E18" s="84">
        <v>0.81610000000000005</v>
      </c>
      <c r="F18" s="84">
        <v>0.80649999999999999</v>
      </c>
      <c r="G18" s="84">
        <v>0.79690000000000005</v>
      </c>
      <c r="H18" s="84">
        <v>0.79820000000000002</v>
      </c>
      <c r="I18" s="84">
        <v>0.79430000000000001</v>
      </c>
      <c r="J18" s="84">
        <v>0.80800000000000005</v>
      </c>
      <c r="K18" s="84">
        <v>0.80569999999999997</v>
      </c>
      <c r="L18" s="84">
        <v>0.80779999999999996</v>
      </c>
      <c r="M18" s="84">
        <v>0.80720000000000003</v>
      </c>
      <c r="N18" s="84">
        <v>0.79500000000000004</v>
      </c>
      <c r="O18" s="84">
        <v>0.79500000000000004</v>
      </c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>
        <v>0.78300000000000003</v>
      </c>
      <c r="AF18" s="84"/>
      <c r="AG18" s="84"/>
      <c r="AH18" s="84"/>
    </row>
    <row r="19" spans="2:34" ht="15" customHeight="1" thickBot="1" x14ac:dyDescent="0.3">
      <c r="B19" s="208"/>
      <c r="C19" s="83" t="s">
        <v>338</v>
      </c>
      <c r="D19" s="84">
        <v>5.04E-2</v>
      </c>
      <c r="E19" s="84">
        <v>0.05</v>
      </c>
      <c r="F19" s="84">
        <v>5.3999999999999999E-2</v>
      </c>
      <c r="G19" s="84">
        <v>5.3100000000000001E-2</v>
      </c>
      <c r="H19" s="84">
        <v>5.1799999999999999E-2</v>
      </c>
      <c r="I19" s="84">
        <v>5.1999999999999998E-2</v>
      </c>
      <c r="J19" s="84">
        <v>0.05</v>
      </c>
      <c r="K19" s="84">
        <v>5.5100000000000003E-2</v>
      </c>
      <c r="L19" s="84">
        <v>5.1799999999999999E-2</v>
      </c>
      <c r="M19" s="84">
        <v>5.1999999999999998E-2</v>
      </c>
      <c r="N19" s="84">
        <v>5.5E-2</v>
      </c>
      <c r="O19" s="84">
        <v>5.5E-2</v>
      </c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>
        <v>5.7000000000000002E-2</v>
      </c>
      <c r="AF19" s="84"/>
      <c r="AG19" s="84"/>
      <c r="AH19" s="84"/>
    </row>
    <row r="20" spans="2:34" ht="15" customHeight="1" x14ac:dyDescent="0.25">
      <c r="B20" s="209" t="s">
        <v>959</v>
      </c>
      <c r="C20" s="85" t="s">
        <v>957</v>
      </c>
      <c r="D20" s="132">
        <v>0.14369999999999999</v>
      </c>
      <c r="E20" s="132">
        <v>0.15</v>
      </c>
      <c r="F20" s="132">
        <v>0.15</v>
      </c>
      <c r="G20" s="132">
        <v>0.15</v>
      </c>
      <c r="H20" s="132"/>
      <c r="I20" s="132">
        <v>0.15820000000000001</v>
      </c>
      <c r="J20" s="132"/>
      <c r="K20" s="132"/>
      <c r="L20" s="132">
        <v>0.15</v>
      </c>
      <c r="M20" s="132">
        <v>0.15</v>
      </c>
      <c r="N20" s="132"/>
      <c r="O20" s="132">
        <v>0.15</v>
      </c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2"/>
      <c r="AC20" s="132"/>
      <c r="AD20" s="132"/>
      <c r="AE20" s="132"/>
      <c r="AF20" s="132"/>
      <c r="AG20" s="132"/>
      <c r="AH20" s="132"/>
    </row>
    <row r="21" spans="2:34" ht="15" customHeight="1" x14ac:dyDescent="0.25">
      <c r="B21" s="210"/>
      <c r="C21" s="87" t="s">
        <v>339</v>
      </c>
      <c r="D21" s="86">
        <v>0.80630000000000002</v>
      </c>
      <c r="E21" s="86">
        <v>0.8</v>
      </c>
      <c r="F21" s="86">
        <v>0.8</v>
      </c>
      <c r="G21" s="86">
        <v>0.8</v>
      </c>
      <c r="H21" s="86"/>
      <c r="I21" s="86">
        <v>0.79110000000000003</v>
      </c>
      <c r="J21" s="86"/>
      <c r="K21" s="86"/>
      <c r="L21" s="86">
        <v>0.8</v>
      </c>
      <c r="M21" s="86">
        <v>0.79500000000000004</v>
      </c>
      <c r="N21" s="86"/>
      <c r="O21" s="86">
        <v>0.79500000000000004</v>
      </c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</row>
    <row r="22" spans="2:34" ht="15" customHeight="1" thickBot="1" x14ac:dyDescent="0.3">
      <c r="B22" s="211"/>
      <c r="C22" s="87" t="s">
        <v>338</v>
      </c>
      <c r="D22" s="86">
        <v>0.05</v>
      </c>
      <c r="E22" s="86">
        <v>0.05</v>
      </c>
      <c r="F22" s="86">
        <v>0.05</v>
      </c>
      <c r="G22" s="86">
        <v>0.05</v>
      </c>
      <c r="H22" s="86"/>
      <c r="I22" s="86">
        <v>5.0700000000000002E-2</v>
      </c>
      <c r="J22" s="86"/>
      <c r="K22" s="86"/>
      <c r="L22" s="86">
        <v>0.05</v>
      </c>
      <c r="M22" s="86">
        <v>5.5E-2</v>
      </c>
      <c r="N22" s="86"/>
      <c r="O22" s="86">
        <v>5.5E-2</v>
      </c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</row>
    <row r="23" spans="2:34" ht="15" customHeight="1" x14ac:dyDescent="0.25">
      <c r="B23" s="200" t="s">
        <v>960</v>
      </c>
      <c r="C23" s="88" t="s">
        <v>957</v>
      </c>
      <c r="D23" s="135">
        <v>0.22</v>
      </c>
      <c r="E23" s="135">
        <v>0.22140000000000001</v>
      </c>
      <c r="F23" s="135"/>
      <c r="G23" s="135">
        <v>0.22</v>
      </c>
      <c r="H23" s="135"/>
      <c r="I23" s="135">
        <v>0.20760000000000001</v>
      </c>
      <c r="J23" s="135">
        <v>0.25</v>
      </c>
      <c r="K23" s="135">
        <v>0.17</v>
      </c>
      <c r="L23" s="135"/>
      <c r="M23" s="135">
        <v>0.22009999999999999</v>
      </c>
      <c r="N23" s="135">
        <v>0.22</v>
      </c>
      <c r="O23" s="135"/>
      <c r="P23" s="135"/>
      <c r="Q23" s="135"/>
      <c r="R23" s="135"/>
      <c r="S23" s="135"/>
      <c r="T23" s="135"/>
      <c r="U23" s="135"/>
      <c r="V23" s="135"/>
      <c r="W23" s="135"/>
      <c r="X23" s="135"/>
      <c r="Y23" s="135"/>
      <c r="Z23" s="135"/>
      <c r="AA23" s="135"/>
      <c r="AB23" s="135"/>
      <c r="AC23" s="135"/>
      <c r="AD23" s="135"/>
      <c r="AE23" s="135"/>
      <c r="AF23" s="135"/>
      <c r="AG23" s="135"/>
      <c r="AH23" s="135"/>
    </row>
    <row r="24" spans="2:34" ht="15" customHeight="1" x14ac:dyDescent="0.25">
      <c r="B24" s="201"/>
      <c r="C24" s="90" t="s">
        <v>339</v>
      </c>
      <c r="D24" s="134">
        <v>0.73</v>
      </c>
      <c r="E24" s="134">
        <v>0.72860000000000003</v>
      </c>
      <c r="F24" s="134"/>
      <c r="G24" s="134">
        <v>0.72799999999999998</v>
      </c>
      <c r="H24" s="134"/>
      <c r="I24" s="134">
        <v>0.74119999999999997</v>
      </c>
      <c r="J24" s="134">
        <v>0.69779999999999998</v>
      </c>
      <c r="K24" s="134">
        <v>0.77500000000000002</v>
      </c>
      <c r="L24" s="134"/>
      <c r="M24" s="134">
        <v>0.72789999999999999</v>
      </c>
      <c r="N24" s="134">
        <v>0.72499999999999998</v>
      </c>
      <c r="O24" s="134"/>
      <c r="P24" s="134"/>
      <c r="Q24" s="134"/>
      <c r="R24" s="134"/>
      <c r="S24" s="134"/>
      <c r="T24" s="134"/>
      <c r="U24" s="134"/>
      <c r="V24" s="134"/>
      <c r="W24" s="134"/>
      <c r="X24" s="134"/>
      <c r="Y24" s="134"/>
      <c r="Z24" s="134"/>
      <c r="AA24" s="134"/>
      <c r="AB24" s="134"/>
      <c r="AC24" s="134"/>
      <c r="AD24" s="134"/>
      <c r="AE24" s="134"/>
      <c r="AF24" s="134"/>
      <c r="AG24" s="134"/>
      <c r="AH24" s="134"/>
    </row>
    <row r="25" spans="2:34" ht="15" customHeight="1" thickBot="1" x14ac:dyDescent="0.3">
      <c r="B25" s="212"/>
      <c r="C25" s="108" t="s">
        <v>338</v>
      </c>
      <c r="D25" s="141">
        <v>0.05</v>
      </c>
      <c r="E25" s="141">
        <v>0.05</v>
      </c>
      <c r="F25" s="141"/>
      <c r="G25" s="141">
        <v>5.1999999999999998E-2</v>
      </c>
      <c r="H25" s="141"/>
      <c r="I25" s="136">
        <v>5.1200000000000002E-2</v>
      </c>
      <c r="J25" s="136">
        <v>5.2200000000000003E-2</v>
      </c>
      <c r="K25" s="136">
        <v>5.5E-2</v>
      </c>
      <c r="L25" s="136"/>
      <c r="M25" s="136">
        <v>5.1999999999999998E-2</v>
      </c>
      <c r="N25" s="136">
        <v>5.5E-2</v>
      </c>
      <c r="O25" s="136"/>
      <c r="P25" s="136"/>
      <c r="Q25" s="136"/>
      <c r="R25" s="136"/>
      <c r="S25" s="136"/>
      <c r="T25" s="136"/>
      <c r="U25" s="136"/>
      <c r="V25" s="136"/>
      <c r="W25" s="136"/>
      <c r="X25" s="136"/>
      <c r="Y25" s="136"/>
      <c r="Z25" s="136"/>
      <c r="AA25" s="136"/>
      <c r="AB25" s="136"/>
      <c r="AC25" s="136"/>
      <c r="AD25" s="136"/>
      <c r="AE25" s="136"/>
      <c r="AF25" s="136"/>
      <c r="AG25" s="136"/>
      <c r="AH25" s="136"/>
    </row>
    <row r="26" spans="2:34" ht="15" customHeight="1" x14ac:dyDescent="0.25">
      <c r="B26" s="218" t="s">
        <v>1086</v>
      </c>
      <c r="C26" s="88" t="s">
        <v>957</v>
      </c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  <c r="Z26" s="137"/>
      <c r="AA26" s="137"/>
      <c r="AB26" s="137"/>
      <c r="AC26" s="137"/>
      <c r="AD26" s="137"/>
      <c r="AE26" s="137"/>
      <c r="AF26" s="137"/>
      <c r="AG26" s="137"/>
      <c r="AH26" s="137"/>
    </row>
    <row r="27" spans="2:34" ht="15" customHeight="1" x14ac:dyDescent="0.25">
      <c r="B27" s="219"/>
      <c r="C27" s="90" t="s">
        <v>339</v>
      </c>
      <c r="D27" s="139"/>
      <c r="E27" s="139"/>
      <c r="F27" s="148">
        <v>0.95</v>
      </c>
      <c r="G27" s="148">
        <v>0.95</v>
      </c>
      <c r="H27" s="148">
        <v>0.94799999999999995</v>
      </c>
      <c r="I27" s="148"/>
      <c r="J27" s="148"/>
      <c r="K27" s="148"/>
      <c r="L27" s="148"/>
      <c r="M27" s="148"/>
      <c r="N27" s="148">
        <v>0.94799999999999995</v>
      </c>
      <c r="O27" s="148"/>
      <c r="P27" s="148"/>
      <c r="Q27" s="148"/>
      <c r="R27" s="148"/>
      <c r="S27" s="148"/>
      <c r="T27" s="148"/>
      <c r="U27" s="148"/>
      <c r="V27" s="148"/>
      <c r="W27" s="148"/>
      <c r="X27" s="148"/>
      <c r="Y27" s="148"/>
      <c r="Z27" s="148"/>
      <c r="AA27" s="148"/>
      <c r="AB27" s="148"/>
      <c r="AC27" s="148"/>
      <c r="AD27" s="148"/>
      <c r="AE27" s="148"/>
      <c r="AF27" s="148"/>
      <c r="AG27" s="148"/>
      <c r="AH27" s="148"/>
    </row>
    <row r="28" spans="2:34" ht="15" customHeight="1" x14ac:dyDescent="0.25">
      <c r="B28" s="220"/>
      <c r="C28" s="108" t="s">
        <v>338</v>
      </c>
      <c r="D28" s="139"/>
      <c r="E28" s="139"/>
      <c r="F28" s="148">
        <v>0.05</v>
      </c>
      <c r="G28" s="148">
        <v>0.05</v>
      </c>
      <c r="H28" s="148">
        <v>5.1999999999999998E-2</v>
      </c>
      <c r="I28" s="148"/>
      <c r="J28" s="148"/>
      <c r="K28" s="148"/>
      <c r="L28" s="148"/>
      <c r="M28" s="148"/>
      <c r="N28" s="148">
        <v>5.1999999999999998E-2</v>
      </c>
      <c r="O28" s="148"/>
      <c r="P28" s="148"/>
      <c r="Q28" s="148"/>
      <c r="R28" s="148"/>
      <c r="S28" s="148"/>
      <c r="T28" s="148"/>
      <c r="U28" s="148"/>
      <c r="V28" s="148"/>
      <c r="W28" s="148"/>
      <c r="X28" s="148"/>
      <c r="Y28" s="148"/>
      <c r="Z28" s="148"/>
      <c r="AA28" s="148"/>
      <c r="AB28" s="148"/>
      <c r="AC28" s="148"/>
      <c r="AD28" s="148"/>
      <c r="AE28" s="148"/>
      <c r="AF28" s="148"/>
      <c r="AG28" s="148"/>
      <c r="AH28" s="148"/>
    </row>
    <row r="29" spans="2:34" ht="15" customHeight="1" x14ac:dyDescent="0.25">
      <c r="B29" s="34" t="s">
        <v>7</v>
      </c>
      <c r="C29" s="34"/>
      <c r="D29" s="131"/>
      <c r="E29" s="131"/>
      <c r="F29" s="131"/>
      <c r="G29" s="131"/>
      <c r="H29" s="131"/>
      <c r="I29" s="131"/>
      <c r="J29" s="131"/>
      <c r="K29" s="131"/>
      <c r="L29" s="131">
        <v>5273</v>
      </c>
      <c r="M29" s="131">
        <v>5300</v>
      </c>
      <c r="N29" s="131">
        <v>5300</v>
      </c>
      <c r="O29" s="131">
        <v>5300</v>
      </c>
      <c r="P29" s="131">
        <v>5300</v>
      </c>
      <c r="Q29" s="131">
        <v>5300</v>
      </c>
      <c r="R29" s="131">
        <v>5300</v>
      </c>
      <c r="S29" s="131">
        <v>5300</v>
      </c>
      <c r="T29" s="131">
        <v>5300</v>
      </c>
      <c r="U29" s="131">
        <v>5300</v>
      </c>
      <c r="V29" s="131">
        <v>5300</v>
      </c>
      <c r="W29" s="131">
        <v>5300</v>
      </c>
      <c r="X29" s="131">
        <v>5300</v>
      </c>
      <c r="Y29" s="131">
        <v>5300</v>
      </c>
      <c r="Z29" s="131">
        <v>5300</v>
      </c>
      <c r="AA29" s="131">
        <v>5500</v>
      </c>
      <c r="AB29" s="131">
        <v>5500</v>
      </c>
      <c r="AC29" s="131">
        <v>5500</v>
      </c>
      <c r="AD29" s="131">
        <v>5500</v>
      </c>
      <c r="AE29" s="131">
        <v>5500</v>
      </c>
      <c r="AF29" s="131">
        <v>5500</v>
      </c>
      <c r="AG29" s="131">
        <v>5500</v>
      </c>
      <c r="AH29" s="131">
        <v>5500</v>
      </c>
    </row>
    <row r="30" spans="2:34" ht="7.5" customHeight="1" thickBot="1" x14ac:dyDescent="0.3"/>
    <row r="31" spans="2:34" ht="12.75" customHeight="1" thickBot="1" x14ac:dyDescent="0.3">
      <c r="B31" s="213" t="s">
        <v>1002</v>
      </c>
      <c r="C31" s="214"/>
      <c r="D31" s="130">
        <v>80.820608923157607</v>
      </c>
      <c r="E31" s="130">
        <v>81.010230178007689</v>
      </c>
      <c r="F31" s="130">
        <v>80.431211498973312</v>
      </c>
      <c r="G31" s="130">
        <v>79.969696965761031</v>
      </c>
      <c r="H31" s="130">
        <v>80.199319379554723</v>
      </c>
      <c r="I31" s="130">
        <v>78.816901403410085</v>
      </c>
      <c r="J31" s="130">
        <v>80.034979422671199</v>
      </c>
      <c r="K31" s="130">
        <v>80.70953436432373</v>
      </c>
      <c r="L31" s="130">
        <v>80.684931487284018</v>
      </c>
      <c r="M31" s="130">
        <v>79.866890856426537</v>
      </c>
      <c r="N31" s="130">
        <v>80.397408207339552</v>
      </c>
      <c r="O31" s="130">
        <v>80.108312337141925</v>
      </c>
      <c r="P31" s="130">
        <v>79.5</v>
      </c>
      <c r="Q31" s="130">
        <v>79.583333339999996</v>
      </c>
      <c r="R31" s="130">
        <v>82.28000012231999</v>
      </c>
      <c r="S31" s="130">
        <v>79.193181819788634</v>
      </c>
      <c r="T31" s="130">
        <v>80.634453781008403</v>
      </c>
      <c r="U31" s="130">
        <v>80.434963580020863</v>
      </c>
      <c r="V31" s="130">
        <v>79.066115702479351</v>
      </c>
      <c r="W31" s="130">
        <v>79.188617678676493</v>
      </c>
      <c r="X31" s="130">
        <v>79.499999999987551</v>
      </c>
      <c r="Y31" s="130">
        <v>78.620926244000032</v>
      </c>
      <c r="Z31" s="130">
        <v>79.504391488699994</v>
      </c>
      <c r="AA31" s="130">
        <v>77.568000000000069</v>
      </c>
      <c r="AB31" s="130">
        <v>78.22016129032238</v>
      </c>
      <c r="AC31" s="130">
        <v>77.592592592592297</v>
      </c>
      <c r="AD31" s="130">
        <v>77.734789391232482</v>
      </c>
      <c r="AE31" s="130">
        <v>78.078358208955294</v>
      </c>
      <c r="AF31" s="130">
        <v>78.062660944068725</v>
      </c>
      <c r="AG31" s="130">
        <v>77.208771929824636</v>
      </c>
      <c r="AH31" s="130">
        <v>78.557936520293651</v>
      </c>
    </row>
    <row r="32" spans="2:34" ht="12.75" customHeight="1" x14ac:dyDescent="0.25">
      <c r="B32" s="114"/>
    </row>
    <row r="33" spans="2:2" ht="12.75" customHeight="1" x14ac:dyDescent="0.25">
      <c r="B33" s="114"/>
    </row>
    <row r="34" spans="2:2" ht="12.75" customHeight="1" x14ac:dyDescent="0.25">
      <c r="B34" s="114"/>
    </row>
    <row r="35" spans="2:2" ht="12.75" customHeight="1" x14ac:dyDescent="0.25">
      <c r="B35" s="114"/>
    </row>
    <row r="36" spans="2:2" ht="12.75" customHeight="1" x14ac:dyDescent="0.25">
      <c r="B36" s="114"/>
    </row>
    <row r="37" spans="2:2" ht="12.75" customHeight="1" x14ac:dyDescent="0.25">
      <c r="B37" s="114"/>
    </row>
    <row r="38" spans="2:2" ht="12.75" customHeight="1" x14ac:dyDescent="0.25">
      <c r="B38" s="114"/>
    </row>
    <row r="39" spans="2:2" ht="12.75" customHeight="1" x14ac:dyDescent="0.25">
      <c r="B39" s="114"/>
    </row>
    <row r="40" spans="2:2" ht="12.75" customHeight="1" x14ac:dyDescent="0.25">
      <c r="B40" s="114"/>
    </row>
    <row r="41" spans="2:2" ht="12.75" customHeight="1" x14ac:dyDescent="0.25">
      <c r="B41" s="114"/>
    </row>
    <row r="42" spans="2:2" ht="12.75" customHeight="1" x14ac:dyDescent="0.25">
      <c r="B42" s="114"/>
    </row>
    <row r="43" spans="2:2" ht="12.75" customHeight="1" x14ac:dyDescent="0.25">
      <c r="B43" s="114"/>
    </row>
    <row r="44" spans="2:2" ht="12.75" customHeight="1" x14ac:dyDescent="0.25">
      <c r="B44" s="114"/>
    </row>
    <row r="45" spans="2:2" x14ac:dyDescent="0.25">
      <c r="B45" s="114"/>
    </row>
    <row r="46" spans="2:2" x14ac:dyDescent="0.25">
      <c r="B46" s="114"/>
    </row>
    <row r="47" spans="2:2" x14ac:dyDescent="0.25">
      <c r="B47" s="114"/>
    </row>
    <row r="48" spans="2:2" x14ac:dyDescent="0.25">
      <c r="B48" s="114"/>
    </row>
    <row r="49" spans="2:2" x14ac:dyDescent="0.25">
      <c r="B49" s="114"/>
    </row>
    <row r="50" spans="2:2" x14ac:dyDescent="0.25">
      <c r="B50" s="114"/>
    </row>
    <row r="51" spans="2:2" x14ac:dyDescent="0.25">
      <c r="B51" s="114"/>
    </row>
    <row r="52" spans="2:2" x14ac:dyDescent="0.25">
      <c r="B52" s="114"/>
    </row>
  </sheetData>
  <mergeCells count="9">
    <mergeCell ref="B26:B28"/>
    <mergeCell ref="B31:C31"/>
    <mergeCell ref="B3:B5"/>
    <mergeCell ref="B6:B8"/>
    <mergeCell ref="B9:B11"/>
    <mergeCell ref="B17:B19"/>
    <mergeCell ref="B20:B22"/>
    <mergeCell ref="B23:B25"/>
    <mergeCell ref="B12:B14"/>
  </mergeCells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B1:AG52"/>
  <sheetViews>
    <sheetView zoomScale="90" zoomScaleNormal="90" workbookViewId="0">
      <pane xSplit="3" topLeftCell="T1" activePane="topRight" state="frozen"/>
      <selection pane="topRight" activeCell="AB30" sqref="AB30"/>
    </sheetView>
  </sheetViews>
  <sheetFormatPr defaultRowHeight="15" x14ac:dyDescent="0.25"/>
  <cols>
    <col min="3" max="3" width="28.140625" customWidth="1"/>
    <col min="4" max="33" width="10.7109375" customWidth="1"/>
  </cols>
  <sheetData>
    <row r="1" spans="2:33" ht="6" customHeight="1" thickBot="1" x14ac:dyDescent="0.3"/>
    <row r="2" spans="2:33" ht="15" customHeight="1" thickBot="1" x14ac:dyDescent="0.3">
      <c r="B2" s="94" t="s">
        <v>964</v>
      </c>
      <c r="C2" s="96" t="s">
        <v>961</v>
      </c>
      <c r="D2" s="97" t="str">
        <f t="shared" ref="D2:E2" si="0">D16</f>
        <v>01.04.2025</v>
      </c>
      <c r="E2" s="97" t="str">
        <f t="shared" si="0"/>
        <v>02.04.2025</v>
      </c>
      <c r="F2" s="97" t="str">
        <f t="shared" ref="F2:G2" si="1">F16</f>
        <v>03.04.2025</v>
      </c>
      <c r="G2" s="97" t="str">
        <f t="shared" si="1"/>
        <v>04.04.2025</v>
      </c>
      <c r="H2" s="97" t="str">
        <f t="shared" ref="H2:I2" si="2">H16</f>
        <v>05.04.2025</v>
      </c>
      <c r="I2" s="97" t="str">
        <f t="shared" si="2"/>
        <v>06.04.2025</v>
      </c>
      <c r="J2" s="97" t="str">
        <f t="shared" ref="J2:K2" si="3">J16</f>
        <v>07.04.2025</v>
      </c>
      <c r="K2" s="97" t="str">
        <f t="shared" si="3"/>
        <v>08.04.2025</v>
      </c>
      <c r="L2" s="97" t="str">
        <f t="shared" ref="L2:M2" si="4">L16</f>
        <v>09.04.2025</v>
      </c>
      <c r="M2" s="97" t="str">
        <f t="shared" si="4"/>
        <v>10.04.2025</v>
      </c>
      <c r="N2" s="97" t="str">
        <f t="shared" ref="N2:O2" si="5">N16</f>
        <v>11.04.2025</v>
      </c>
      <c r="O2" s="97" t="str">
        <f t="shared" si="5"/>
        <v>12.04.2025</v>
      </c>
      <c r="P2" s="97" t="str">
        <f t="shared" ref="P2:Q2" si="6">P16</f>
        <v>13.04.2025</v>
      </c>
      <c r="Q2" s="97" t="str">
        <f t="shared" si="6"/>
        <v>14.04.2025</v>
      </c>
      <c r="R2" s="97" t="str">
        <f t="shared" ref="R2:S2" si="7">R16</f>
        <v>15.04.2025</v>
      </c>
      <c r="S2" s="97" t="str">
        <f t="shared" si="7"/>
        <v>16.04.2025</v>
      </c>
      <c r="T2" s="97" t="str">
        <f t="shared" ref="T2:U2" si="8">T16</f>
        <v>17.04.2025</v>
      </c>
      <c r="U2" s="97" t="str">
        <f t="shared" si="8"/>
        <v>18.04.2025</v>
      </c>
      <c r="V2" s="97" t="str">
        <f t="shared" ref="V2:W2" si="9">V16</f>
        <v>19.04.2025</v>
      </c>
      <c r="W2" s="97" t="str">
        <f t="shared" si="9"/>
        <v>20.04.2025</v>
      </c>
      <c r="X2" s="97" t="str">
        <f t="shared" ref="X2:Y2" si="10">X16</f>
        <v>21.04.2025</v>
      </c>
      <c r="Y2" s="97" t="str">
        <f t="shared" si="10"/>
        <v>22.04.2025</v>
      </c>
      <c r="Z2" s="97" t="str">
        <f t="shared" ref="Z2:AA2" si="11">Z16</f>
        <v>23.04.2025</v>
      </c>
      <c r="AA2" s="97" t="str">
        <f t="shared" si="11"/>
        <v>24.04.2025</v>
      </c>
      <c r="AB2" s="97" t="str">
        <f t="shared" ref="AB2:AD2" si="12">AB16</f>
        <v>25.04.2025</v>
      </c>
      <c r="AC2" s="97" t="str">
        <f t="shared" si="12"/>
        <v>26.04.2025</v>
      </c>
      <c r="AD2" s="97" t="str">
        <f t="shared" si="12"/>
        <v>27.04.2025</v>
      </c>
      <c r="AE2" s="97" t="str">
        <f t="shared" ref="AE2:AF2" si="13">AE16</f>
        <v>28.04.2025</v>
      </c>
      <c r="AF2" s="97" t="str">
        <f t="shared" si="13"/>
        <v>29.04.2025</v>
      </c>
      <c r="AG2" s="97" t="str">
        <f t="shared" ref="AG2" si="14">AG16</f>
        <v>30.04.2025</v>
      </c>
    </row>
    <row r="3" spans="2:33" ht="15" customHeight="1" x14ac:dyDescent="0.25">
      <c r="B3" s="206" t="s">
        <v>958</v>
      </c>
      <c r="C3" s="116" t="s">
        <v>957</v>
      </c>
      <c r="D3" s="84">
        <v>0.16</v>
      </c>
      <c r="E3" s="84">
        <v>0.1545</v>
      </c>
      <c r="F3" s="84">
        <v>0.16</v>
      </c>
      <c r="G3" s="84">
        <v>0.1565</v>
      </c>
      <c r="H3" s="84">
        <v>0.16500000000000001</v>
      </c>
      <c r="I3" s="84">
        <v>0.16</v>
      </c>
      <c r="J3" s="84">
        <v>0.16</v>
      </c>
      <c r="K3" s="84">
        <v>0.16500000000000001</v>
      </c>
      <c r="L3" s="84">
        <v>0.16</v>
      </c>
      <c r="M3" s="84">
        <v>0.15229999999999999</v>
      </c>
      <c r="N3" s="84">
        <v>0.1484</v>
      </c>
      <c r="O3" s="84">
        <v>0.155</v>
      </c>
      <c r="P3" s="84">
        <v>0.15</v>
      </c>
      <c r="Q3" s="84">
        <v>0.15</v>
      </c>
      <c r="R3" s="84">
        <v>0.16</v>
      </c>
      <c r="S3" s="84">
        <v>0.16</v>
      </c>
      <c r="T3" s="84">
        <v>0.15</v>
      </c>
      <c r="U3" s="84">
        <v>0.155</v>
      </c>
      <c r="V3" s="84">
        <v>0.15</v>
      </c>
      <c r="W3" s="84">
        <v>0.15</v>
      </c>
      <c r="X3" s="84">
        <v>0.15</v>
      </c>
      <c r="Y3" s="84"/>
      <c r="Z3" s="84"/>
      <c r="AA3" s="84"/>
      <c r="AB3" s="84"/>
      <c r="AC3" s="84"/>
      <c r="AD3" s="84"/>
      <c r="AE3" s="84"/>
      <c r="AF3" s="84"/>
      <c r="AG3" s="84"/>
    </row>
    <row r="4" spans="2:33" ht="15" customHeight="1" x14ac:dyDescent="0.25">
      <c r="B4" s="207"/>
      <c r="C4" s="118" t="s">
        <v>339</v>
      </c>
      <c r="D4" s="84">
        <v>0.78400000000000003</v>
      </c>
      <c r="E4" s="84">
        <v>0.79139999999999999</v>
      </c>
      <c r="F4" s="84">
        <v>0.78500000000000003</v>
      </c>
      <c r="G4" s="84">
        <v>0.78920000000000001</v>
      </c>
      <c r="H4" s="84">
        <v>0.78</v>
      </c>
      <c r="I4" s="84">
        <v>0.78400000000000003</v>
      </c>
      <c r="J4" s="84">
        <v>0.78300000000000003</v>
      </c>
      <c r="K4" s="84">
        <v>0.78</v>
      </c>
      <c r="L4" s="84">
        <v>0.78400000000000003</v>
      </c>
      <c r="M4" s="84">
        <v>0.79500000000000004</v>
      </c>
      <c r="N4" s="84">
        <v>0.79430000000000001</v>
      </c>
      <c r="O4" s="84">
        <v>0.79</v>
      </c>
      <c r="P4" s="84">
        <v>0.79500000000000004</v>
      </c>
      <c r="Q4" s="84">
        <v>0.79700000000000004</v>
      </c>
      <c r="R4" s="84">
        <v>0.78500000000000003</v>
      </c>
      <c r="S4" s="84">
        <v>0.78500000000000003</v>
      </c>
      <c r="T4" s="84">
        <v>0.79600000000000004</v>
      </c>
      <c r="U4" s="84">
        <v>0.79</v>
      </c>
      <c r="V4" s="84">
        <v>0.8</v>
      </c>
      <c r="W4" s="84">
        <v>0.8</v>
      </c>
      <c r="X4" s="84">
        <v>0.79800000000000004</v>
      </c>
      <c r="Y4" s="84"/>
      <c r="Z4" s="84"/>
      <c r="AA4" s="84"/>
      <c r="AB4" s="84"/>
      <c r="AC4" s="84"/>
      <c r="AD4" s="84"/>
      <c r="AE4" s="84"/>
      <c r="AF4" s="84"/>
      <c r="AG4" s="84"/>
    </row>
    <row r="5" spans="2:33" ht="15" customHeight="1" thickBot="1" x14ac:dyDescent="0.3">
      <c r="B5" s="208"/>
      <c r="C5" s="118" t="s">
        <v>338</v>
      </c>
      <c r="D5" s="84">
        <v>5.6000000000000001E-2</v>
      </c>
      <c r="E5" s="84">
        <v>5.4100000000000002E-2</v>
      </c>
      <c r="F5" s="84">
        <v>5.5E-2</v>
      </c>
      <c r="G5" s="84">
        <v>5.4300000000000001E-2</v>
      </c>
      <c r="H5" s="84">
        <v>5.5E-2</v>
      </c>
      <c r="I5" s="84">
        <v>5.6000000000000001E-2</v>
      </c>
      <c r="J5" s="84">
        <v>5.7000000000000002E-2</v>
      </c>
      <c r="K5" s="84">
        <v>5.5E-2</v>
      </c>
      <c r="L5" s="84">
        <v>5.6000000000000001E-2</v>
      </c>
      <c r="M5" s="84">
        <v>5.2699999999999997E-2</v>
      </c>
      <c r="N5" s="84">
        <v>5.7299999999999997E-2</v>
      </c>
      <c r="O5" s="84">
        <v>5.5E-2</v>
      </c>
      <c r="P5" s="84">
        <v>5.5E-2</v>
      </c>
      <c r="Q5" s="84">
        <v>5.2999999999999999E-2</v>
      </c>
      <c r="R5" s="84">
        <v>5.5E-2</v>
      </c>
      <c r="S5" s="84">
        <v>5.5E-2</v>
      </c>
      <c r="T5" s="84">
        <v>5.3999999999999999E-2</v>
      </c>
      <c r="U5" s="84">
        <v>5.5E-2</v>
      </c>
      <c r="V5" s="84">
        <v>0.05</v>
      </c>
      <c r="W5" s="84">
        <v>0.05</v>
      </c>
      <c r="X5" s="84">
        <v>5.1999999999999998E-2</v>
      </c>
      <c r="Y5" s="84"/>
      <c r="Z5" s="84"/>
      <c r="AA5" s="84"/>
      <c r="AB5" s="84"/>
      <c r="AC5" s="84"/>
      <c r="AD5" s="84"/>
      <c r="AE5" s="84"/>
      <c r="AF5" s="84"/>
      <c r="AG5" s="84"/>
    </row>
    <row r="6" spans="2:33" ht="15" customHeight="1" x14ac:dyDescent="0.25">
      <c r="B6" s="209" t="s">
        <v>959</v>
      </c>
      <c r="C6" s="119" t="s">
        <v>957</v>
      </c>
      <c r="D6" s="86">
        <v>0.17</v>
      </c>
      <c r="E6" s="86">
        <v>0.17</v>
      </c>
      <c r="F6" s="86"/>
      <c r="G6" s="86"/>
      <c r="H6" s="86">
        <v>0.13500000000000001</v>
      </c>
      <c r="I6" s="86">
        <v>0.17</v>
      </c>
      <c r="J6" s="86">
        <v>0.15</v>
      </c>
      <c r="K6" s="86"/>
      <c r="L6" s="86">
        <v>0.15</v>
      </c>
      <c r="M6" s="86"/>
      <c r="N6" s="86">
        <v>0.15</v>
      </c>
      <c r="O6" s="86"/>
      <c r="P6" s="86"/>
      <c r="Q6" s="86">
        <v>0.1575</v>
      </c>
      <c r="R6" s="86">
        <v>0.23</v>
      </c>
      <c r="S6" s="86"/>
      <c r="T6" s="86"/>
      <c r="U6" s="86">
        <v>0.15</v>
      </c>
      <c r="V6" s="86"/>
      <c r="W6" s="86">
        <v>0.15</v>
      </c>
      <c r="X6" s="86"/>
      <c r="Y6" s="86">
        <v>0.14000000000000001</v>
      </c>
      <c r="Z6" s="86"/>
      <c r="AA6" s="86"/>
      <c r="AB6" s="86"/>
      <c r="AC6" s="86"/>
      <c r="AD6" s="86"/>
      <c r="AE6" s="86"/>
      <c r="AF6" s="86"/>
      <c r="AG6" s="86"/>
    </row>
    <row r="7" spans="2:33" ht="15" customHeight="1" x14ac:dyDescent="0.25">
      <c r="B7" s="210"/>
      <c r="C7" s="120" t="s">
        <v>339</v>
      </c>
      <c r="D7" s="86">
        <v>0.77400000000000002</v>
      </c>
      <c r="E7" s="86">
        <v>0.77300000000000002</v>
      </c>
      <c r="F7" s="86"/>
      <c r="G7" s="86"/>
      <c r="H7" s="86">
        <v>0.81</v>
      </c>
      <c r="I7" s="86">
        <v>0.77500000000000002</v>
      </c>
      <c r="J7" s="86">
        <v>0.79869999999999997</v>
      </c>
      <c r="K7" s="86"/>
      <c r="L7" s="86">
        <v>0.8</v>
      </c>
      <c r="M7" s="86"/>
      <c r="N7" s="86">
        <v>0.8</v>
      </c>
      <c r="O7" s="86"/>
      <c r="P7" s="86"/>
      <c r="Q7" s="86">
        <v>0.79</v>
      </c>
      <c r="R7" s="86">
        <v>0.71499999999999997</v>
      </c>
      <c r="S7" s="86"/>
      <c r="T7" s="86"/>
      <c r="U7" s="86">
        <v>0.8</v>
      </c>
      <c r="V7" s="86"/>
      <c r="W7" s="86">
        <v>0.8</v>
      </c>
      <c r="X7" s="86"/>
      <c r="Y7" s="86">
        <v>0.80500000000000005</v>
      </c>
      <c r="Z7" s="86"/>
      <c r="AA7" s="86"/>
      <c r="AB7" s="86"/>
      <c r="AC7" s="86"/>
      <c r="AD7" s="86"/>
      <c r="AE7" s="86"/>
      <c r="AF7" s="86"/>
      <c r="AG7" s="86"/>
    </row>
    <row r="8" spans="2:33" ht="15" customHeight="1" thickBot="1" x14ac:dyDescent="0.3">
      <c r="B8" s="211"/>
      <c r="C8" s="120" t="s">
        <v>338</v>
      </c>
      <c r="D8" s="86">
        <v>5.6000000000000001E-2</v>
      </c>
      <c r="E8" s="86">
        <v>5.7000000000000002E-2</v>
      </c>
      <c r="F8" s="86"/>
      <c r="G8" s="86"/>
      <c r="H8" s="86">
        <v>5.5E-2</v>
      </c>
      <c r="I8" s="86">
        <v>5.5E-2</v>
      </c>
      <c r="J8" s="86">
        <v>5.1299999999999998E-2</v>
      </c>
      <c r="K8" s="86"/>
      <c r="L8" s="86">
        <v>0.05</v>
      </c>
      <c r="M8" s="86"/>
      <c r="N8" s="86">
        <v>0.05</v>
      </c>
      <c r="O8" s="86"/>
      <c r="P8" s="86"/>
      <c r="Q8" s="86">
        <v>5.2499999999999998E-2</v>
      </c>
      <c r="R8" s="86">
        <v>5.5E-2</v>
      </c>
      <c r="S8" s="86"/>
      <c r="T8" s="86"/>
      <c r="U8" s="86">
        <v>0.05</v>
      </c>
      <c r="V8" s="86"/>
      <c r="W8" s="86">
        <v>0.05</v>
      </c>
      <c r="X8" s="86"/>
      <c r="Y8" s="86">
        <v>5.5E-2</v>
      </c>
      <c r="Z8" s="86"/>
      <c r="AA8" s="86"/>
      <c r="AB8" s="86"/>
      <c r="AC8" s="86"/>
      <c r="AD8" s="86"/>
      <c r="AE8" s="86"/>
      <c r="AF8" s="86"/>
      <c r="AG8" s="86"/>
    </row>
    <row r="9" spans="2:33" ht="15" customHeight="1" x14ac:dyDescent="0.25">
      <c r="B9" s="215" t="s">
        <v>960</v>
      </c>
      <c r="C9" s="121" t="s">
        <v>957</v>
      </c>
      <c r="D9" s="142">
        <v>0.23</v>
      </c>
      <c r="E9" s="142"/>
      <c r="F9" s="142"/>
      <c r="G9" s="135">
        <v>0.2273</v>
      </c>
      <c r="H9" s="135"/>
      <c r="I9" s="135"/>
      <c r="J9" s="135"/>
      <c r="K9" s="135"/>
      <c r="L9" s="135"/>
      <c r="M9" s="135">
        <v>0.23</v>
      </c>
      <c r="N9" s="135">
        <v>0.23</v>
      </c>
      <c r="O9" s="135">
        <v>0.23</v>
      </c>
      <c r="P9" s="152"/>
      <c r="Q9" s="135"/>
      <c r="R9" s="135"/>
      <c r="S9" s="135">
        <v>0.22</v>
      </c>
      <c r="T9" s="135"/>
      <c r="U9" s="135">
        <v>0.23</v>
      </c>
      <c r="V9" s="135"/>
      <c r="W9" s="135">
        <v>0.22</v>
      </c>
      <c r="X9" s="135">
        <v>0.21</v>
      </c>
      <c r="Y9" s="135"/>
      <c r="Z9" s="135"/>
      <c r="AA9" s="135"/>
      <c r="AB9" s="135"/>
      <c r="AC9" s="135"/>
      <c r="AD9" s="135"/>
      <c r="AE9" s="135"/>
      <c r="AF9" s="135"/>
      <c r="AG9" s="135"/>
    </row>
    <row r="10" spans="2:33" ht="15" customHeight="1" x14ac:dyDescent="0.25">
      <c r="B10" s="216"/>
      <c r="C10" s="123" t="s">
        <v>339</v>
      </c>
      <c r="D10" s="133">
        <v>0.71</v>
      </c>
      <c r="E10" s="133"/>
      <c r="F10" s="133"/>
      <c r="G10" s="134">
        <v>0.71589999999999998</v>
      </c>
      <c r="H10" s="134"/>
      <c r="I10" s="134"/>
      <c r="J10" s="134"/>
      <c r="K10" s="134"/>
      <c r="L10" s="134"/>
      <c r="M10" s="134">
        <v>0.71099999999999997</v>
      </c>
      <c r="N10" s="134">
        <v>0.71220000000000006</v>
      </c>
      <c r="O10" s="134">
        <v>0.71499999999999997</v>
      </c>
      <c r="P10" s="149"/>
      <c r="Q10" s="134"/>
      <c r="R10" s="134"/>
      <c r="S10" s="134">
        <v>0.72499999999999998</v>
      </c>
      <c r="T10" s="134"/>
      <c r="U10" s="134">
        <v>0.71499999999999997</v>
      </c>
      <c r="V10" s="134"/>
      <c r="W10" s="134">
        <v>0.73</v>
      </c>
      <c r="X10" s="134">
        <v>0.73799999999999999</v>
      </c>
      <c r="Y10" s="134"/>
      <c r="Z10" s="134"/>
      <c r="AA10" s="134"/>
      <c r="AB10" s="134"/>
      <c r="AC10" s="134"/>
      <c r="AD10" s="134"/>
      <c r="AE10" s="134"/>
      <c r="AF10" s="134"/>
      <c r="AG10" s="134"/>
    </row>
    <row r="11" spans="2:33" ht="15" customHeight="1" thickBot="1" x14ac:dyDescent="0.3">
      <c r="B11" s="221"/>
      <c r="C11" s="125" t="s">
        <v>338</v>
      </c>
      <c r="D11" s="147">
        <v>5.6000000000000001E-2</v>
      </c>
      <c r="E11" s="147"/>
      <c r="F11" s="147"/>
      <c r="G11" s="136">
        <v>5.6800000000000003E-2</v>
      </c>
      <c r="H11" s="136"/>
      <c r="I11" s="136"/>
      <c r="J11" s="136"/>
      <c r="K11" s="136"/>
      <c r="L11" s="136"/>
      <c r="M11" s="136">
        <v>5.8999999999999997E-2</v>
      </c>
      <c r="N11" s="136">
        <v>5.7799999999999997E-2</v>
      </c>
      <c r="O11" s="136">
        <v>5.5E-2</v>
      </c>
      <c r="P11" s="150"/>
      <c r="Q11" s="136"/>
      <c r="R11" s="136"/>
      <c r="S11" s="136">
        <v>5.5E-2</v>
      </c>
      <c r="T11" s="136"/>
      <c r="U11" s="136">
        <v>5.5E-2</v>
      </c>
      <c r="V11" s="136"/>
      <c r="W11" s="136">
        <v>0.05</v>
      </c>
      <c r="X11" s="136">
        <v>5.1999999999999998E-2</v>
      </c>
      <c r="Y11" s="136"/>
      <c r="Z11" s="136"/>
      <c r="AA11" s="136"/>
      <c r="AB11" s="136"/>
      <c r="AC11" s="136"/>
      <c r="AD11" s="136"/>
      <c r="AE11" s="136"/>
      <c r="AF11" s="136"/>
      <c r="AG11" s="136"/>
    </row>
    <row r="12" spans="2:33" ht="15" customHeight="1" x14ac:dyDescent="0.25">
      <c r="B12" s="222" t="s">
        <v>1086</v>
      </c>
      <c r="C12" s="151" t="s">
        <v>957</v>
      </c>
      <c r="D12" s="152"/>
      <c r="E12" s="152"/>
      <c r="F12" s="152"/>
      <c r="G12" s="152"/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2"/>
      <c r="U12" s="152"/>
      <c r="V12" s="152"/>
      <c r="W12" s="152"/>
      <c r="X12" s="152"/>
      <c r="Y12" s="152"/>
      <c r="Z12" s="152"/>
      <c r="AA12" s="152"/>
      <c r="AB12" s="152"/>
      <c r="AC12" s="152"/>
      <c r="AD12" s="152"/>
      <c r="AE12" s="152"/>
      <c r="AF12" s="152"/>
      <c r="AG12" s="152"/>
    </row>
    <row r="13" spans="2:33" ht="15" customHeight="1" x14ac:dyDescent="0.25">
      <c r="B13" s="223"/>
      <c r="C13" s="90" t="s">
        <v>339</v>
      </c>
      <c r="D13" s="149"/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  <c r="AC13" s="149"/>
      <c r="AD13" s="149"/>
      <c r="AE13" s="149"/>
      <c r="AF13" s="149"/>
      <c r="AG13" s="149"/>
    </row>
    <row r="14" spans="2:33" ht="15" customHeight="1" thickBot="1" x14ac:dyDescent="0.3">
      <c r="B14" s="224"/>
      <c r="C14" s="92" t="s">
        <v>338</v>
      </c>
      <c r="D14" s="150"/>
      <c r="E14" s="150"/>
      <c r="F14" s="150"/>
      <c r="G14" s="150"/>
      <c r="H14" s="150"/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150"/>
      <c r="T14" s="150"/>
      <c r="U14" s="150"/>
      <c r="V14" s="150"/>
      <c r="W14" s="150"/>
      <c r="X14" s="150"/>
      <c r="Y14" s="150"/>
      <c r="Z14" s="150"/>
      <c r="AA14" s="150"/>
      <c r="AB14" s="150"/>
      <c r="AC14" s="150"/>
      <c r="AD14" s="150"/>
      <c r="AE14" s="150"/>
      <c r="AF14" s="150"/>
      <c r="AG14" s="150"/>
    </row>
    <row r="15" spans="2:33" ht="6.75" customHeight="1" thickBot="1" x14ac:dyDescent="0.3"/>
    <row r="16" spans="2:33" ht="15" customHeight="1" thickBot="1" x14ac:dyDescent="0.3">
      <c r="B16" s="95" t="s">
        <v>964</v>
      </c>
      <c r="C16" s="94" t="s">
        <v>963</v>
      </c>
      <c r="D16" s="94" t="s">
        <v>1185</v>
      </c>
      <c r="E16" s="94" t="s">
        <v>1186</v>
      </c>
      <c r="F16" s="94" t="s">
        <v>1187</v>
      </c>
      <c r="G16" s="94" t="s">
        <v>1188</v>
      </c>
      <c r="H16" s="94" t="s">
        <v>1189</v>
      </c>
      <c r="I16" s="94" t="s">
        <v>1190</v>
      </c>
      <c r="J16" s="94" t="s">
        <v>1191</v>
      </c>
      <c r="K16" s="94" t="s">
        <v>1192</v>
      </c>
      <c r="L16" s="94" t="s">
        <v>1193</v>
      </c>
      <c r="M16" s="94" t="s">
        <v>1194</v>
      </c>
      <c r="N16" s="94" t="s">
        <v>1195</v>
      </c>
      <c r="O16" s="94" t="s">
        <v>1196</v>
      </c>
      <c r="P16" s="94" t="s">
        <v>1197</v>
      </c>
      <c r="Q16" s="94" t="s">
        <v>1198</v>
      </c>
      <c r="R16" s="94" t="s">
        <v>1199</v>
      </c>
      <c r="S16" s="94" t="s">
        <v>1200</v>
      </c>
      <c r="T16" s="94" t="s">
        <v>1201</v>
      </c>
      <c r="U16" s="94" t="s">
        <v>1202</v>
      </c>
      <c r="V16" s="94" t="s">
        <v>1203</v>
      </c>
      <c r="W16" s="94" t="s">
        <v>1204</v>
      </c>
      <c r="X16" s="94" t="s">
        <v>1205</v>
      </c>
      <c r="Y16" s="94" t="s">
        <v>1206</v>
      </c>
      <c r="Z16" s="94" t="s">
        <v>1207</v>
      </c>
      <c r="AA16" s="94" t="s">
        <v>1208</v>
      </c>
      <c r="AB16" s="94" t="s">
        <v>1209</v>
      </c>
      <c r="AC16" s="94" t="s">
        <v>1210</v>
      </c>
      <c r="AD16" s="94" t="s">
        <v>1211</v>
      </c>
      <c r="AE16" s="94" t="s">
        <v>1212</v>
      </c>
      <c r="AF16" s="94" t="s">
        <v>1213</v>
      </c>
      <c r="AG16" s="94" t="s">
        <v>1214</v>
      </c>
    </row>
    <row r="17" spans="2:33" ht="15" customHeight="1" x14ac:dyDescent="0.25">
      <c r="B17" s="206" t="s">
        <v>958</v>
      </c>
      <c r="C17" s="81" t="s">
        <v>957</v>
      </c>
      <c r="D17" s="117"/>
      <c r="E17" s="117"/>
      <c r="F17" s="117">
        <v>0.16</v>
      </c>
      <c r="G17" s="117">
        <v>0.15</v>
      </c>
      <c r="H17" s="117">
        <v>0.16</v>
      </c>
      <c r="I17" s="117">
        <v>0.155</v>
      </c>
      <c r="J17" s="117">
        <v>0.13780000000000001</v>
      </c>
      <c r="K17" s="117">
        <v>0.15</v>
      </c>
      <c r="L17" s="117">
        <v>0.16300000000000001</v>
      </c>
      <c r="M17" s="117">
        <v>0.155</v>
      </c>
      <c r="N17" s="117">
        <v>0.1469</v>
      </c>
      <c r="O17" s="117">
        <v>0.15509999999999999</v>
      </c>
      <c r="P17" s="117">
        <v>0.13070000000000001</v>
      </c>
      <c r="Q17" s="117">
        <v>0.15</v>
      </c>
      <c r="R17" s="117">
        <v>0.16489999999999999</v>
      </c>
      <c r="S17" s="117">
        <v>0.15</v>
      </c>
      <c r="T17" s="117">
        <v>0.15</v>
      </c>
      <c r="U17" s="117">
        <v>0.15</v>
      </c>
      <c r="V17" s="117">
        <v>0.15</v>
      </c>
      <c r="W17" s="117">
        <v>0.14499999999999999</v>
      </c>
      <c r="X17" s="117">
        <v>0.14399999999999999</v>
      </c>
      <c r="Y17" s="117">
        <v>0.14000000000000001</v>
      </c>
      <c r="Z17" s="117">
        <v>0.15</v>
      </c>
      <c r="AA17" s="117">
        <v>0.15</v>
      </c>
      <c r="AB17" s="117">
        <v>0.15</v>
      </c>
      <c r="AC17" s="117">
        <v>0.15</v>
      </c>
      <c r="AD17" s="117">
        <v>0.14499999999999999</v>
      </c>
      <c r="AE17" s="117">
        <v>0.14000000000000001</v>
      </c>
      <c r="AF17" s="117">
        <v>0.14000000000000001</v>
      </c>
      <c r="AG17" s="117">
        <v>0.1401</v>
      </c>
    </row>
    <row r="18" spans="2:33" ht="15" customHeight="1" x14ac:dyDescent="0.25">
      <c r="B18" s="207"/>
      <c r="C18" s="83" t="s">
        <v>339</v>
      </c>
      <c r="D18" s="84"/>
      <c r="E18" s="84"/>
      <c r="F18" s="84">
        <v>0.78490000000000004</v>
      </c>
      <c r="G18" s="84">
        <v>0.8</v>
      </c>
      <c r="H18" s="84">
        <v>0.78400000000000003</v>
      </c>
      <c r="I18" s="84">
        <v>0.78800000000000003</v>
      </c>
      <c r="J18" s="84">
        <v>0.80889999999999995</v>
      </c>
      <c r="K18" s="84">
        <v>0.79500000000000004</v>
      </c>
      <c r="L18" s="84">
        <v>0.78200000000000003</v>
      </c>
      <c r="M18" s="84">
        <v>0.79500000000000004</v>
      </c>
      <c r="N18" s="84">
        <v>0.80210000000000004</v>
      </c>
      <c r="O18" s="84">
        <v>0.79490000000000005</v>
      </c>
      <c r="P18" s="84">
        <v>0.81459999999999999</v>
      </c>
      <c r="Q18" s="84">
        <v>0.79500000000000004</v>
      </c>
      <c r="R18" s="84">
        <v>0.78510000000000002</v>
      </c>
      <c r="S18" s="84">
        <v>0.8</v>
      </c>
      <c r="T18" s="84">
        <v>0.79400000000000004</v>
      </c>
      <c r="U18" s="84">
        <v>0.79400000000000004</v>
      </c>
      <c r="V18" s="84">
        <v>0.8</v>
      </c>
      <c r="W18" s="84">
        <v>0.80400000000000005</v>
      </c>
      <c r="X18" s="84">
        <v>0.80400000000000005</v>
      </c>
      <c r="Y18" s="84">
        <v>0.80500000000000005</v>
      </c>
      <c r="Z18" s="84">
        <v>0.8</v>
      </c>
      <c r="AA18" s="84">
        <v>0.8</v>
      </c>
      <c r="AB18" s="84">
        <v>0.8</v>
      </c>
      <c r="AC18" s="84">
        <v>0.8</v>
      </c>
      <c r="AD18" s="84">
        <v>0.80500000000000005</v>
      </c>
      <c r="AE18" s="84">
        <v>0.81</v>
      </c>
      <c r="AF18" s="84">
        <v>0.81</v>
      </c>
      <c r="AG18" s="84">
        <v>0.8095</v>
      </c>
    </row>
    <row r="19" spans="2:33" ht="15" customHeight="1" thickBot="1" x14ac:dyDescent="0.3">
      <c r="B19" s="208"/>
      <c r="C19" s="83" t="s">
        <v>338</v>
      </c>
      <c r="D19" s="84"/>
      <c r="E19" s="84"/>
      <c r="F19" s="84">
        <v>5.5100000000000003E-2</v>
      </c>
      <c r="G19" s="84">
        <v>0.05</v>
      </c>
      <c r="H19" s="84">
        <v>5.6000000000000001E-2</v>
      </c>
      <c r="I19" s="84">
        <v>5.7000000000000002E-2</v>
      </c>
      <c r="J19" s="84">
        <v>5.33E-2</v>
      </c>
      <c r="K19" s="84">
        <v>5.5E-2</v>
      </c>
      <c r="L19" s="84">
        <v>5.5E-2</v>
      </c>
      <c r="M19" s="84">
        <v>0.05</v>
      </c>
      <c r="N19" s="84">
        <v>5.0999999999999997E-2</v>
      </c>
      <c r="O19" s="84">
        <v>0.05</v>
      </c>
      <c r="P19" s="84">
        <v>5.4699999999999999E-2</v>
      </c>
      <c r="Q19" s="84">
        <v>5.5E-2</v>
      </c>
      <c r="R19" s="84">
        <v>0.05</v>
      </c>
      <c r="S19" s="84">
        <v>0.05</v>
      </c>
      <c r="T19" s="84">
        <v>5.6000000000000001E-2</v>
      </c>
      <c r="U19" s="84">
        <v>5.6000000000000001E-2</v>
      </c>
      <c r="V19" s="84">
        <v>0.05</v>
      </c>
      <c r="W19" s="84">
        <v>5.0999999999999997E-2</v>
      </c>
      <c r="X19" s="84">
        <v>5.1999999999999998E-2</v>
      </c>
      <c r="Y19" s="84">
        <v>5.5E-2</v>
      </c>
      <c r="Z19" s="84">
        <v>0.05</v>
      </c>
      <c r="AA19" s="84">
        <v>0.05</v>
      </c>
      <c r="AB19" s="84">
        <v>0.05</v>
      </c>
      <c r="AC19" s="84">
        <v>0.05</v>
      </c>
      <c r="AD19" s="84">
        <v>0.05</v>
      </c>
      <c r="AE19" s="84">
        <v>0.05</v>
      </c>
      <c r="AF19" s="84">
        <v>0.05</v>
      </c>
      <c r="AG19" s="84">
        <v>5.0299999999999997E-2</v>
      </c>
    </row>
    <row r="20" spans="2:33" ht="15" customHeight="1" x14ac:dyDescent="0.25">
      <c r="B20" s="209" t="s">
        <v>959</v>
      </c>
      <c r="C20" s="85" t="s">
        <v>957</v>
      </c>
      <c r="D20" s="132"/>
      <c r="E20" s="132">
        <v>0.17</v>
      </c>
      <c r="F20" s="132">
        <v>0.16500000000000001</v>
      </c>
      <c r="G20" s="132">
        <v>0.1492</v>
      </c>
      <c r="H20" s="132">
        <v>0.17</v>
      </c>
      <c r="I20" s="132">
        <v>0.15</v>
      </c>
      <c r="J20" s="132">
        <v>0.17</v>
      </c>
      <c r="K20" s="132">
        <v>0.15</v>
      </c>
      <c r="L20" s="132"/>
      <c r="M20" s="132">
        <v>0.16</v>
      </c>
      <c r="N20" s="132"/>
      <c r="O20" s="132">
        <v>0.2</v>
      </c>
      <c r="P20" s="132">
        <v>0.17</v>
      </c>
      <c r="Q20" s="132">
        <v>0.16</v>
      </c>
      <c r="R20" s="132">
        <v>0.16</v>
      </c>
      <c r="S20" s="132">
        <v>0.15240000000000001</v>
      </c>
      <c r="T20" s="132"/>
      <c r="U20" s="132"/>
      <c r="V20" s="132">
        <v>0.15</v>
      </c>
      <c r="W20" s="132"/>
      <c r="X20" s="132"/>
      <c r="Y20" s="132">
        <v>0.14069999999999999</v>
      </c>
      <c r="Z20" s="132"/>
      <c r="AA20" s="132"/>
      <c r="AB20" s="132"/>
      <c r="AC20" s="132"/>
      <c r="AD20" s="132">
        <v>0.15</v>
      </c>
      <c r="AE20" s="132">
        <v>0.16</v>
      </c>
      <c r="AF20" s="132"/>
      <c r="AG20" s="132"/>
    </row>
    <row r="21" spans="2:33" ht="15" customHeight="1" x14ac:dyDescent="0.25">
      <c r="B21" s="210"/>
      <c r="C21" s="87" t="s">
        <v>339</v>
      </c>
      <c r="D21" s="86"/>
      <c r="E21" s="86">
        <v>0.77500000000000002</v>
      </c>
      <c r="F21" s="86">
        <v>0.78</v>
      </c>
      <c r="G21" s="86">
        <v>0.79620000000000002</v>
      </c>
      <c r="H21" s="86">
        <v>0.78</v>
      </c>
      <c r="I21" s="86">
        <v>0.8</v>
      </c>
      <c r="J21" s="86">
        <v>0.77669999999999995</v>
      </c>
      <c r="K21" s="86">
        <v>0.8</v>
      </c>
      <c r="L21" s="86"/>
      <c r="M21" s="86">
        <v>0.79</v>
      </c>
      <c r="N21" s="86"/>
      <c r="O21" s="86">
        <v>0.75</v>
      </c>
      <c r="P21" s="86">
        <v>0.77500000000000002</v>
      </c>
      <c r="Q21" s="86">
        <v>0.79</v>
      </c>
      <c r="R21" s="86">
        <v>0.79</v>
      </c>
      <c r="S21" s="86">
        <v>0.79810000000000003</v>
      </c>
      <c r="T21" s="86"/>
      <c r="U21" s="86"/>
      <c r="V21" s="86">
        <v>0.8</v>
      </c>
      <c r="W21" s="86"/>
      <c r="X21" s="86"/>
      <c r="Y21" s="86">
        <v>0.80369999999999997</v>
      </c>
      <c r="Z21" s="86"/>
      <c r="AA21" s="86"/>
      <c r="AB21" s="86"/>
      <c r="AC21" s="86"/>
      <c r="AD21" s="86">
        <v>0.8</v>
      </c>
      <c r="AE21" s="86">
        <v>0.79</v>
      </c>
      <c r="AF21" s="86"/>
      <c r="AG21" s="86"/>
    </row>
    <row r="22" spans="2:33" ht="15" customHeight="1" thickBot="1" x14ac:dyDescent="0.3">
      <c r="B22" s="211"/>
      <c r="C22" s="87" t="s">
        <v>338</v>
      </c>
      <c r="D22" s="86"/>
      <c r="E22" s="86">
        <v>5.5E-2</v>
      </c>
      <c r="F22" s="86">
        <v>5.5E-2</v>
      </c>
      <c r="G22" s="86">
        <v>5.4600000000000003E-2</v>
      </c>
      <c r="H22" s="86">
        <v>0.05</v>
      </c>
      <c r="I22" s="86">
        <v>0.05</v>
      </c>
      <c r="J22" s="86">
        <v>5.33E-2</v>
      </c>
      <c r="K22" s="86">
        <v>0.05</v>
      </c>
      <c r="L22" s="86"/>
      <c r="M22" s="86">
        <v>0.05</v>
      </c>
      <c r="N22" s="86"/>
      <c r="O22" s="86">
        <v>0.05</v>
      </c>
      <c r="P22" s="86">
        <v>5.5E-2</v>
      </c>
      <c r="Q22" s="86">
        <v>0.05</v>
      </c>
      <c r="R22" s="86">
        <v>0.05</v>
      </c>
      <c r="S22" s="86">
        <v>4.9500000000000002E-2</v>
      </c>
      <c r="T22" s="86"/>
      <c r="U22" s="86"/>
      <c r="V22" s="86">
        <v>0.05</v>
      </c>
      <c r="W22" s="86"/>
      <c r="X22" s="86"/>
      <c r="Y22" s="86">
        <v>5.5599999999999997E-2</v>
      </c>
      <c r="Z22" s="86"/>
      <c r="AA22" s="86"/>
      <c r="AB22" s="86"/>
      <c r="AC22" s="86"/>
      <c r="AD22" s="86">
        <v>0.05</v>
      </c>
      <c r="AE22" s="86">
        <v>0.05</v>
      </c>
      <c r="AF22" s="86"/>
      <c r="AG22" s="86"/>
    </row>
    <row r="23" spans="2:33" ht="15" customHeight="1" x14ac:dyDescent="0.25">
      <c r="B23" s="200" t="s">
        <v>960</v>
      </c>
      <c r="C23" s="88" t="s">
        <v>957</v>
      </c>
      <c r="D23" s="135"/>
      <c r="E23" s="135"/>
      <c r="F23" s="135"/>
      <c r="G23" s="135"/>
      <c r="H23" s="135">
        <v>0.22</v>
      </c>
      <c r="I23" s="135">
        <v>0.23</v>
      </c>
      <c r="J23" s="135"/>
      <c r="K23" s="135">
        <v>0.23</v>
      </c>
      <c r="L23" s="135"/>
      <c r="M23" s="135"/>
      <c r="N23" s="135">
        <v>0.22</v>
      </c>
      <c r="O23" s="135"/>
      <c r="P23" s="135">
        <v>0.2</v>
      </c>
      <c r="Q23" s="135">
        <v>0.23</v>
      </c>
      <c r="R23" s="135"/>
      <c r="S23" s="135"/>
      <c r="T23" s="135"/>
      <c r="U23" s="135"/>
      <c r="V23" s="135">
        <v>0.21</v>
      </c>
      <c r="W23" s="135"/>
      <c r="X23" s="135">
        <v>0.2</v>
      </c>
      <c r="Y23" s="135"/>
      <c r="Z23" s="135">
        <v>0.2</v>
      </c>
      <c r="AA23" s="135"/>
      <c r="AB23" s="135"/>
      <c r="AC23" s="135"/>
      <c r="AD23" s="135"/>
      <c r="AE23" s="135"/>
      <c r="AF23" s="135"/>
      <c r="AG23" s="135"/>
    </row>
    <row r="24" spans="2:33" ht="15" customHeight="1" x14ac:dyDescent="0.25">
      <c r="B24" s="201"/>
      <c r="C24" s="90" t="s">
        <v>339</v>
      </c>
      <c r="D24" s="134"/>
      <c r="E24" s="134"/>
      <c r="F24" s="134"/>
      <c r="G24" s="134"/>
      <c r="H24" s="134">
        <v>0.72399999999999998</v>
      </c>
      <c r="I24" s="134">
        <v>0.71399999999999997</v>
      </c>
      <c r="J24" s="134"/>
      <c r="K24" s="134">
        <v>0.71499999999999997</v>
      </c>
      <c r="L24" s="134"/>
      <c r="M24" s="134"/>
      <c r="N24" s="134">
        <v>0.73</v>
      </c>
      <c r="O24" s="134"/>
      <c r="P24" s="134">
        <v>0.75</v>
      </c>
      <c r="Q24" s="134">
        <v>0.71499999999999997</v>
      </c>
      <c r="R24" s="134"/>
      <c r="S24" s="134"/>
      <c r="T24" s="134"/>
      <c r="U24" s="134"/>
      <c r="V24" s="134">
        <v>0.74</v>
      </c>
      <c r="W24" s="134"/>
      <c r="X24" s="134">
        <v>0.75</v>
      </c>
      <c r="Y24" s="134"/>
      <c r="Z24" s="134">
        <v>0.75</v>
      </c>
      <c r="AA24" s="134"/>
      <c r="AB24" s="134"/>
      <c r="AC24" s="134"/>
      <c r="AD24" s="134"/>
      <c r="AE24" s="134"/>
      <c r="AF24" s="134"/>
      <c r="AG24" s="134"/>
    </row>
    <row r="25" spans="2:33" ht="15" customHeight="1" thickBot="1" x14ac:dyDescent="0.3">
      <c r="B25" s="212"/>
      <c r="C25" s="108" t="s">
        <v>338</v>
      </c>
      <c r="D25" s="141"/>
      <c r="E25" s="141"/>
      <c r="F25" s="141"/>
      <c r="G25" s="141"/>
      <c r="H25" s="147">
        <v>5.6000000000000001E-2</v>
      </c>
      <c r="I25" s="136">
        <v>5.6000000000000001E-2</v>
      </c>
      <c r="J25" s="141"/>
      <c r="K25" s="147">
        <v>5.5E-2</v>
      </c>
      <c r="L25" s="147"/>
      <c r="M25" s="147"/>
      <c r="N25" s="147">
        <v>0.05</v>
      </c>
      <c r="O25" s="147"/>
      <c r="P25" s="147">
        <v>0.05</v>
      </c>
      <c r="Q25" s="147">
        <v>5.5E-2</v>
      </c>
      <c r="R25" s="147"/>
      <c r="S25" s="147"/>
      <c r="T25" s="147"/>
      <c r="U25" s="147"/>
      <c r="V25" s="147">
        <v>0.05</v>
      </c>
      <c r="W25" s="147"/>
      <c r="X25" s="147">
        <v>0.05</v>
      </c>
      <c r="Y25" s="147"/>
      <c r="Z25" s="147">
        <v>0.05</v>
      </c>
      <c r="AA25" s="147"/>
      <c r="AB25" s="147"/>
      <c r="AC25" s="147"/>
      <c r="AD25" s="147"/>
      <c r="AE25" s="147"/>
      <c r="AF25" s="147"/>
      <c r="AG25" s="147"/>
    </row>
    <row r="26" spans="2:33" ht="15" customHeight="1" x14ac:dyDescent="0.25">
      <c r="B26" s="218" t="s">
        <v>1086</v>
      </c>
      <c r="C26" s="88" t="s">
        <v>957</v>
      </c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  <c r="Z26" s="137"/>
      <c r="AA26" s="137"/>
      <c r="AB26" s="137"/>
      <c r="AC26" s="137"/>
      <c r="AD26" s="137"/>
      <c r="AE26" s="137"/>
      <c r="AF26" s="137"/>
      <c r="AG26" s="137"/>
    </row>
    <row r="27" spans="2:33" ht="15" customHeight="1" x14ac:dyDescent="0.25">
      <c r="B27" s="219"/>
      <c r="C27" s="90" t="s">
        <v>339</v>
      </c>
      <c r="D27" s="137"/>
      <c r="E27" s="137"/>
      <c r="F27" s="137"/>
      <c r="G27" s="137"/>
      <c r="H27" s="137"/>
      <c r="I27" s="137"/>
      <c r="J27" s="137"/>
      <c r="K27" s="137"/>
      <c r="L27" s="138">
        <v>0.94499999999999995</v>
      </c>
      <c r="M27" s="138"/>
      <c r="N27" s="138"/>
      <c r="O27" s="138">
        <v>0.94499999999999995</v>
      </c>
      <c r="P27" s="138"/>
      <c r="Q27" s="138">
        <v>0.94499999999999995</v>
      </c>
      <c r="R27" s="138">
        <v>0.94499999999999995</v>
      </c>
      <c r="S27" s="138">
        <v>0.94499999999999995</v>
      </c>
      <c r="T27" s="138"/>
      <c r="U27" s="138">
        <v>0</v>
      </c>
      <c r="V27" s="138"/>
      <c r="W27" s="138">
        <v>0</v>
      </c>
      <c r="X27" s="138"/>
      <c r="Y27" s="138">
        <v>0</v>
      </c>
      <c r="Z27" s="138"/>
      <c r="AA27" s="138"/>
      <c r="AB27" s="138"/>
      <c r="AC27" s="138">
        <v>0.93200000000000005</v>
      </c>
      <c r="AD27" s="138"/>
      <c r="AE27" s="138"/>
      <c r="AF27" s="138"/>
      <c r="AG27" s="138"/>
    </row>
    <row r="28" spans="2:33" ht="15" customHeight="1" x14ac:dyDescent="0.25">
      <c r="B28" s="220"/>
      <c r="C28" s="108" t="s">
        <v>338</v>
      </c>
      <c r="D28" s="139"/>
      <c r="E28" s="156">
        <v>5.5899999999999998E-2</v>
      </c>
      <c r="F28" s="156"/>
      <c r="G28" s="156">
        <v>5.5599999999999997E-2</v>
      </c>
      <c r="H28" s="156"/>
      <c r="I28" s="156"/>
      <c r="J28" s="156"/>
      <c r="K28" s="156"/>
      <c r="L28" s="156">
        <v>5.5E-2</v>
      </c>
      <c r="M28" s="156"/>
      <c r="N28" s="156"/>
      <c r="O28" s="156">
        <v>5.5E-2</v>
      </c>
      <c r="P28" s="156"/>
      <c r="Q28" s="156">
        <v>5.5E-2</v>
      </c>
      <c r="R28" s="156">
        <v>0.05</v>
      </c>
      <c r="S28" s="156">
        <v>0.05</v>
      </c>
      <c r="T28" s="156"/>
      <c r="U28" s="156">
        <v>0.05</v>
      </c>
      <c r="V28" s="156"/>
      <c r="W28" s="156">
        <v>5.1999999999999998E-2</v>
      </c>
      <c r="X28" s="156"/>
      <c r="Y28" s="156">
        <v>0.05</v>
      </c>
      <c r="Z28" s="156"/>
      <c r="AA28" s="156"/>
      <c r="AB28" s="156"/>
      <c r="AC28" s="156">
        <v>6.8000000000000005E-2</v>
      </c>
      <c r="AD28" s="156"/>
      <c r="AE28" s="156"/>
      <c r="AF28" s="156"/>
      <c r="AG28" s="156"/>
    </row>
    <row r="29" spans="2:33" ht="15" customHeight="1" x14ac:dyDescent="0.25">
      <c r="B29" s="34" t="s">
        <v>7</v>
      </c>
      <c r="C29" s="34"/>
      <c r="D29" s="131">
        <v>5500</v>
      </c>
      <c r="E29" s="131"/>
      <c r="F29" s="131"/>
      <c r="G29" s="131"/>
      <c r="H29" s="131"/>
      <c r="I29" s="131">
        <v>5500</v>
      </c>
      <c r="J29" s="131">
        <v>5500</v>
      </c>
      <c r="K29" s="131">
        <v>5500</v>
      </c>
      <c r="L29" s="131">
        <v>5500</v>
      </c>
      <c r="M29" s="131">
        <v>5500</v>
      </c>
      <c r="N29" s="131">
        <v>5500</v>
      </c>
      <c r="O29" s="131">
        <v>5500</v>
      </c>
      <c r="P29" s="131">
        <v>5500</v>
      </c>
      <c r="Q29" s="131">
        <v>5500</v>
      </c>
      <c r="R29" s="131">
        <v>5300</v>
      </c>
      <c r="S29" s="131">
        <v>5300</v>
      </c>
      <c r="T29" s="131">
        <v>5300</v>
      </c>
      <c r="U29" s="131">
        <v>5300</v>
      </c>
      <c r="V29" s="131">
        <v>5300</v>
      </c>
      <c r="W29" s="131">
        <v>5300</v>
      </c>
      <c r="X29" s="131">
        <v>5300</v>
      </c>
      <c r="Y29" s="131">
        <v>5300</v>
      </c>
      <c r="Z29" s="131">
        <v>5300</v>
      </c>
      <c r="AA29" s="131">
        <v>5300</v>
      </c>
      <c r="AB29" s="131">
        <v>5300</v>
      </c>
      <c r="AC29" s="131">
        <v>5300</v>
      </c>
      <c r="AD29" s="131">
        <v>5300</v>
      </c>
      <c r="AE29" s="131">
        <v>5300</v>
      </c>
      <c r="AF29" s="131">
        <v>5300</v>
      </c>
      <c r="AG29" s="131">
        <v>5300</v>
      </c>
    </row>
    <row r="30" spans="2:33" ht="7.5" customHeight="1" thickBot="1" x14ac:dyDescent="0.3"/>
    <row r="31" spans="2:33" ht="12.75" customHeight="1" thickBot="1" x14ac:dyDescent="0.3">
      <c r="B31" s="213" t="s">
        <v>1002</v>
      </c>
      <c r="C31" s="214"/>
      <c r="D31" s="130">
        <v>77.993750000000063</v>
      </c>
      <c r="E31" s="130">
        <v>80.128655009302022</v>
      </c>
      <c r="F31" s="130">
        <v>78.465203175931791</v>
      </c>
      <c r="G31" s="130">
        <v>79.995811525890232</v>
      </c>
      <c r="H31" s="130">
        <v>78.218385440970735</v>
      </c>
      <c r="I31" s="130">
        <v>78.063539445628152</v>
      </c>
      <c r="J31" s="130">
        <v>79.390080422653412</v>
      </c>
      <c r="K31" s="130">
        <v>78.385080645161338</v>
      </c>
      <c r="L31" s="130">
        <v>79.791304347826042</v>
      </c>
      <c r="M31" s="130">
        <v>78.816341453002948</v>
      </c>
      <c r="N31" s="130">
        <v>78.999999961556384</v>
      </c>
      <c r="O31" s="130">
        <v>79.630994447755938</v>
      </c>
      <c r="P31" s="130">
        <v>79.884790528238867</v>
      </c>
      <c r="Q31" s="130">
        <v>79.518972332015863</v>
      </c>
      <c r="R31" s="130">
        <v>78.790423573946583</v>
      </c>
      <c r="S31" s="130">
        <v>79.59922177567222</v>
      </c>
      <c r="T31" s="130">
        <v>79.5</v>
      </c>
      <c r="U31" s="130">
        <v>80.98</v>
      </c>
      <c r="V31" s="130">
        <v>78.5</v>
      </c>
      <c r="W31" s="130">
        <v>81.64</v>
      </c>
      <c r="X31" s="130">
        <v>77.25</v>
      </c>
      <c r="Y31" s="130">
        <v>80.459999999999994</v>
      </c>
      <c r="Z31" s="130">
        <v>79.180327868852515</v>
      </c>
      <c r="AA31" s="130">
        <v>80</v>
      </c>
      <c r="AB31" s="130">
        <v>80</v>
      </c>
      <c r="AC31" s="130">
        <v>82.237288135593261</v>
      </c>
      <c r="AD31" s="130">
        <v>80.369565217391326</v>
      </c>
      <c r="AE31" s="130">
        <v>79.228832951945137</v>
      </c>
      <c r="AF31" s="130">
        <v>81.000000000000057</v>
      </c>
      <c r="AG31" s="130">
        <v>80.952379999960002</v>
      </c>
    </row>
    <row r="32" spans="2:33" ht="12.75" customHeight="1" x14ac:dyDescent="0.25">
      <c r="B32" s="114"/>
    </row>
    <row r="33" spans="2:2" ht="12.75" customHeight="1" x14ac:dyDescent="0.25">
      <c r="B33" s="114"/>
    </row>
    <row r="34" spans="2:2" ht="12.75" customHeight="1" x14ac:dyDescent="0.25">
      <c r="B34" s="114"/>
    </row>
    <row r="35" spans="2:2" ht="12.75" customHeight="1" x14ac:dyDescent="0.25">
      <c r="B35" s="114"/>
    </row>
    <row r="36" spans="2:2" ht="12.75" customHeight="1" x14ac:dyDescent="0.25">
      <c r="B36" s="114"/>
    </row>
    <row r="37" spans="2:2" ht="12.75" customHeight="1" x14ac:dyDescent="0.25">
      <c r="B37" s="114"/>
    </row>
    <row r="38" spans="2:2" ht="12.75" customHeight="1" x14ac:dyDescent="0.25">
      <c r="B38" s="114"/>
    </row>
    <row r="39" spans="2:2" ht="12.75" customHeight="1" x14ac:dyDescent="0.25">
      <c r="B39" s="114"/>
    </row>
    <row r="40" spans="2:2" ht="12.75" customHeight="1" x14ac:dyDescent="0.25">
      <c r="B40" s="114"/>
    </row>
    <row r="41" spans="2:2" ht="12.75" customHeight="1" x14ac:dyDescent="0.25">
      <c r="B41" s="114"/>
    </row>
    <row r="42" spans="2:2" ht="12.75" customHeight="1" x14ac:dyDescent="0.25">
      <c r="B42" s="114"/>
    </row>
    <row r="43" spans="2:2" ht="12.75" customHeight="1" x14ac:dyDescent="0.25">
      <c r="B43" s="114"/>
    </row>
    <row r="44" spans="2:2" ht="12.75" customHeight="1" x14ac:dyDescent="0.25">
      <c r="B44" s="114"/>
    </row>
    <row r="45" spans="2:2" x14ac:dyDescent="0.25">
      <c r="B45" s="114"/>
    </row>
    <row r="46" spans="2:2" x14ac:dyDescent="0.25">
      <c r="B46" s="114"/>
    </row>
    <row r="47" spans="2:2" x14ac:dyDescent="0.25">
      <c r="B47" s="114"/>
    </row>
    <row r="48" spans="2:2" x14ac:dyDescent="0.25">
      <c r="B48" s="114"/>
    </row>
    <row r="49" spans="2:2" x14ac:dyDescent="0.25">
      <c r="B49" s="114"/>
    </row>
    <row r="50" spans="2:2" x14ac:dyDescent="0.25">
      <c r="B50" s="114"/>
    </row>
    <row r="51" spans="2:2" x14ac:dyDescent="0.25">
      <c r="B51" s="114"/>
    </row>
    <row r="52" spans="2:2" x14ac:dyDescent="0.25">
      <c r="B52" s="114"/>
    </row>
  </sheetData>
  <mergeCells count="9">
    <mergeCell ref="B23:B25"/>
    <mergeCell ref="B26:B28"/>
    <mergeCell ref="B31:C31"/>
    <mergeCell ref="B3:B5"/>
    <mergeCell ref="B6:B8"/>
    <mergeCell ref="B9:B11"/>
    <mergeCell ref="B12:B14"/>
    <mergeCell ref="B17:B19"/>
    <mergeCell ref="B20:B22"/>
  </mergeCells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B1:AJ52"/>
  <sheetViews>
    <sheetView zoomScale="90" zoomScaleNormal="90" workbookViewId="0">
      <pane xSplit="3" topLeftCell="W1" activePane="topRight" state="frozen"/>
      <selection pane="topRight" activeCell="AG13" sqref="AG13"/>
    </sheetView>
  </sheetViews>
  <sheetFormatPr defaultRowHeight="15" x14ac:dyDescent="0.25"/>
  <cols>
    <col min="3" max="3" width="28.140625" customWidth="1"/>
    <col min="4" max="36" width="10.7109375" customWidth="1"/>
  </cols>
  <sheetData>
    <row r="1" spans="2:36" ht="6" customHeight="1" thickBot="1" x14ac:dyDescent="0.3"/>
    <row r="2" spans="2:36" ht="15" customHeight="1" thickBot="1" x14ac:dyDescent="0.3">
      <c r="B2" s="94" t="s">
        <v>964</v>
      </c>
      <c r="C2" s="96" t="s">
        <v>961</v>
      </c>
      <c r="D2" s="97" t="str">
        <f t="shared" ref="D2:I2" si="0">D16</f>
        <v>01.05.2025</v>
      </c>
      <c r="E2" s="97" t="str">
        <f t="shared" si="0"/>
        <v>02.05.2025</v>
      </c>
      <c r="F2" s="97" t="str">
        <f t="shared" si="0"/>
        <v>03.05.2025</v>
      </c>
      <c r="G2" s="97" t="str">
        <f t="shared" si="0"/>
        <v>04.05.2025</v>
      </c>
      <c r="H2" s="97" t="str">
        <f t="shared" si="0"/>
        <v>05.05.2025</v>
      </c>
      <c r="I2" s="97" t="str">
        <f t="shared" si="0"/>
        <v>06.05.2025</v>
      </c>
      <c r="J2" s="97" t="str">
        <f t="shared" ref="J2:K2" si="1">J16</f>
        <v>07.05.2025</v>
      </c>
      <c r="K2" s="97" t="str">
        <f t="shared" si="1"/>
        <v>08.05.2025</v>
      </c>
      <c r="L2" s="97" t="str">
        <f t="shared" ref="L2:M2" si="2">L16</f>
        <v>09.05.2025</v>
      </c>
      <c r="M2" s="97" t="str">
        <f t="shared" si="2"/>
        <v>10.05.2025</v>
      </c>
      <c r="N2" s="97" t="str">
        <f t="shared" ref="N2:O2" si="3">N16</f>
        <v>11.05.2025</v>
      </c>
      <c r="O2" s="97" t="str">
        <f t="shared" si="3"/>
        <v>12.05.2025</v>
      </c>
      <c r="P2" s="97" t="str">
        <f t="shared" ref="P2:Q2" si="4">P16</f>
        <v>13.05.2025</v>
      </c>
      <c r="Q2" s="97" t="str">
        <f t="shared" si="4"/>
        <v>14.05.2025</v>
      </c>
      <c r="R2" s="97" t="str">
        <f t="shared" ref="R2:S2" si="5">R16</f>
        <v>15.05.2025</v>
      </c>
      <c r="S2" s="97" t="str">
        <f t="shared" si="5"/>
        <v>16.05.2025</v>
      </c>
      <c r="T2" s="97" t="str">
        <f t="shared" ref="T2:U2" si="6">T16</f>
        <v>17.05.2025</v>
      </c>
      <c r="U2" s="97" t="str">
        <f t="shared" si="6"/>
        <v>18.05.2025</v>
      </c>
      <c r="V2" s="97" t="str">
        <f t="shared" ref="V2:W2" si="7">V16</f>
        <v>19.05.2025</v>
      </c>
      <c r="W2" s="97" t="str">
        <f t="shared" si="7"/>
        <v>20.05.2025</v>
      </c>
      <c r="X2" s="97" t="str">
        <f t="shared" ref="X2:Y2" si="8">X16</f>
        <v>21.05.2025</v>
      </c>
      <c r="Y2" s="97" t="str">
        <f t="shared" si="8"/>
        <v>22.05.2025</v>
      </c>
      <c r="Z2" s="97" t="str">
        <f t="shared" ref="Z2:AB2" si="9">Z16</f>
        <v>23.05.2025</v>
      </c>
      <c r="AA2" s="97" t="str">
        <f t="shared" si="9"/>
        <v>24.05.2025</v>
      </c>
      <c r="AB2" s="97" t="str">
        <f t="shared" si="9"/>
        <v>25.05.2025</v>
      </c>
      <c r="AC2" s="97" t="str">
        <f t="shared" ref="AC2:AD2" si="10">AC16</f>
        <v>26.05.2025</v>
      </c>
      <c r="AD2" s="97" t="str">
        <f t="shared" si="10"/>
        <v>27.05.2025</v>
      </c>
      <c r="AE2" s="97" t="str">
        <f t="shared" ref="AE2:AF2" si="11">AE16</f>
        <v>28.05.2025</v>
      </c>
      <c r="AF2" s="97" t="str">
        <f t="shared" si="11"/>
        <v>29.05.2025</v>
      </c>
      <c r="AG2" s="97" t="str">
        <f t="shared" ref="AG2:AI2" si="12">AG16</f>
        <v>30.05.2025</v>
      </c>
      <c r="AH2" s="97" t="str">
        <f t="shared" si="12"/>
        <v>31.05.2025</v>
      </c>
      <c r="AI2" s="97" t="str">
        <f t="shared" si="12"/>
        <v>01.06.2025</v>
      </c>
      <c r="AJ2" s="97" t="str">
        <f t="shared" ref="AJ2" si="13">AJ16</f>
        <v>02.06.2025</v>
      </c>
    </row>
    <row r="3" spans="2:36" ht="15" customHeight="1" x14ac:dyDescent="0.25">
      <c r="B3" s="206" t="s">
        <v>958</v>
      </c>
      <c r="C3" s="116" t="s">
        <v>957</v>
      </c>
      <c r="D3" s="84"/>
      <c r="E3" s="84"/>
      <c r="F3" s="84">
        <v>0.14860000000000001</v>
      </c>
      <c r="G3" s="84">
        <v>0.15</v>
      </c>
      <c r="H3" s="84">
        <v>0.14000000000000001</v>
      </c>
      <c r="I3" s="117">
        <v>0.15</v>
      </c>
      <c r="J3" s="117">
        <v>0.15</v>
      </c>
      <c r="K3" s="117">
        <v>0.15</v>
      </c>
      <c r="L3" s="117">
        <v>0.14499999999999999</v>
      </c>
      <c r="M3" s="117">
        <v>0.14499999999999999</v>
      </c>
      <c r="N3" s="117">
        <v>0.15</v>
      </c>
      <c r="O3" s="117">
        <v>0.15</v>
      </c>
      <c r="P3" s="117">
        <v>0.15</v>
      </c>
      <c r="Q3" s="117">
        <v>0.15</v>
      </c>
      <c r="R3" s="117">
        <v>0.15</v>
      </c>
      <c r="S3" s="117">
        <v>0.79569999999999996</v>
      </c>
      <c r="T3" s="117">
        <v>0.15</v>
      </c>
      <c r="U3" s="117">
        <v>0.16</v>
      </c>
      <c r="V3" s="117">
        <v>0.15579999999999999</v>
      </c>
      <c r="W3" s="117">
        <v>0.15509999999999999</v>
      </c>
      <c r="X3" s="117">
        <v>0.14000000000000001</v>
      </c>
      <c r="Y3" s="117">
        <v>0.1</v>
      </c>
      <c r="Z3" s="117">
        <v>0.16</v>
      </c>
      <c r="AA3" s="117">
        <v>0.16</v>
      </c>
      <c r="AB3" s="117">
        <v>0.16500000000000001</v>
      </c>
      <c r="AC3" s="117">
        <v>0.16</v>
      </c>
      <c r="AD3" s="117">
        <v>0.16</v>
      </c>
      <c r="AE3" s="117">
        <v>0.155</v>
      </c>
      <c r="AF3" s="117">
        <v>0.16</v>
      </c>
      <c r="AG3" s="117">
        <v>0.16</v>
      </c>
      <c r="AH3" s="117">
        <v>0.1573</v>
      </c>
      <c r="AI3" s="117">
        <v>0.15</v>
      </c>
      <c r="AJ3" s="117">
        <v>0.16</v>
      </c>
    </row>
    <row r="4" spans="2:36" ht="15" customHeight="1" x14ac:dyDescent="0.25">
      <c r="B4" s="207"/>
      <c r="C4" s="118" t="s">
        <v>339</v>
      </c>
      <c r="D4" s="84"/>
      <c r="E4" s="84"/>
      <c r="F4" s="84">
        <v>0.78659999999999997</v>
      </c>
      <c r="G4" s="84">
        <v>0.8</v>
      </c>
      <c r="H4" s="84">
        <v>0.81</v>
      </c>
      <c r="I4" s="84">
        <v>0.8</v>
      </c>
      <c r="J4" s="84">
        <v>0.8</v>
      </c>
      <c r="K4" s="84">
        <v>0.8</v>
      </c>
      <c r="L4" s="84">
        <v>0.80500000000000005</v>
      </c>
      <c r="M4" s="84">
        <v>0.80500000000000005</v>
      </c>
      <c r="N4" s="84">
        <v>0.8</v>
      </c>
      <c r="O4" s="84">
        <v>0.8</v>
      </c>
      <c r="P4" s="84">
        <v>0.8</v>
      </c>
      <c r="Q4" s="84">
        <v>0.8</v>
      </c>
      <c r="R4" s="84">
        <v>0.8</v>
      </c>
      <c r="S4" s="84">
        <v>0.15029999999999999</v>
      </c>
      <c r="T4" s="84">
        <v>0.8</v>
      </c>
      <c r="U4" s="84">
        <v>0.78700000000000003</v>
      </c>
      <c r="V4" s="84">
        <v>0.78920000000000001</v>
      </c>
      <c r="W4" s="84">
        <v>0.79490000000000005</v>
      </c>
      <c r="X4" s="84">
        <v>0.80200000000000005</v>
      </c>
      <c r="Y4" s="84">
        <v>0.84199999999999997</v>
      </c>
      <c r="Z4" s="84">
        <v>0.78</v>
      </c>
      <c r="AA4" s="84">
        <v>0.78200000000000003</v>
      </c>
      <c r="AB4" s="84">
        <v>0.77500000000000002</v>
      </c>
      <c r="AC4" s="84">
        <v>0.78</v>
      </c>
      <c r="AD4" s="84">
        <v>0.78</v>
      </c>
      <c r="AE4" s="84">
        <v>0.78500000000000003</v>
      </c>
      <c r="AF4" s="84">
        <v>0.78</v>
      </c>
      <c r="AG4" s="84">
        <v>0.78</v>
      </c>
      <c r="AH4" s="84">
        <v>0.78539999999999999</v>
      </c>
      <c r="AI4" s="84">
        <v>0.8</v>
      </c>
      <c r="AJ4" s="84">
        <v>0.78</v>
      </c>
    </row>
    <row r="5" spans="2:36" ht="15" customHeight="1" thickBot="1" x14ac:dyDescent="0.3">
      <c r="B5" s="208"/>
      <c r="C5" s="118" t="s">
        <v>338</v>
      </c>
      <c r="D5" s="84"/>
      <c r="E5" s="84"/>
      <c r="F5" s="84">
        <v>6.4799999999999996E-2</v>
      </c>
      <c r="G5" s="84">
        <v>0.05</v>
      </c>
      <c r="H5" s="84">
        <v>0.05</v>
      </c>
      <c r="I5" s="84">
        <v>0.05</v>
      </c>
      <c r="J5" s="84">
        <v>0.05</v>
      </c>
      <c r="K5" s="84">
        <v>0.05</v>
      </c>
      <c r="L5" s="84">
        <v>0.05</v>
      </c>
      <c r="M5" s="84">
        <v>0.05</v>
      </c>
      <c r="N5" s="84">
        <v>0.05</v>
      </c>
      <c r="O5" s="84">
        <v>0.05</v>
      </c>
      <c r="P5" s="84">
        <v>0.05</v>
      </c>
      <c r="Q5" s="84">
        <v>0.05</v>
      </c>
      <c r="R5" s="84">
        <v>0.05</v>
      </c>
      <c r="S5" s="84">
        <v>5.3999999999999999E-2</v>
      </c>
      <c r="T5" s="84">
        <v>0.05</v>
      </c>
      <c r="U5" s="84">
        <v>5.2999999999999999E-2</v>
      </c>
      <c r="V5" s="84">
        <v>5.5E-2</v>
      </c>
      <c r="W5" s="84">
        <v>0.05</v>
      </c>
      <c r="X5" s="84">
        <v>5.8000000000000003E-2</v>
      </c>
      <c r="Y5" s="84">
        <v>5.8000000000000003E-2</v>
      </c>
      <c r="Z5" s="84">
        <v>0.06</v>
      </c>
      <c r="AA5" s="84">
        <v>5.8000000000000003E-2</v>
      </c>
      <c r="AB5" s="84">
        <v>0.06</v>
      </c>
      <c r="AC5" s="84">
        <v>0.06</v>
      </c>
      <c r="AD5" s="84">
        <v>0.06</v>
      </c>
      <c r="AE5" s="84">
        <v>0.06</v>
      </c>
      <c r="AF5" s="84">
        <v>0.06</v>
      </c>
      <c r="AG5" s="84">
        <v>0.06</v>
      </c>
      <c r="AH5" s="84">
        <v>5.7299999999999997E-2</v>
      </c>
      <c r="AI5" s="84">
        <v>0.05</v>
      </c>
      <c r="AJ5" s="84">
        <v>0.06</v>
      </c>
    </row>
    <row r="6" spans="2:36" ht="15" customHeight="1" x14ac:dyDescent="0.25">
      <c r="B6" s="209" t="s">
        <v>959</v>
      </c>
      <c r="C6" s="119" t="s">
        <v>957</v>
      </c>
      <c r="D6" s="86"/>
      <c r="E6" s="86"/>
      <c r="F6" s="86"/>
      <c r="G6" s="86"/>
      <c r="H6" s="86">
        <v>0.15</v>
      </c>
      <c r="I6" s="86"/>
      <c r="J6" s="86"/>
      <c r="K6" s="86"/>
      <c r="L6" s="86"/>
      <c r="M6" s="86"/>
      <c r="N6" s="86"/>
      <c r="O6" s="86">
        <v>0.16</v>
      </c>
      <c r="P6" s="86"/>
      <c r="Q6" s="86">
        <v>0.155</v>
      </c>
      <c r="R6" s="86"/>
      <c r="S6" s="86"/>
      <c r="T6" s="86">
        <v>0.15</v>
      </c>
      <c r="U6" s="86"/>
      <c r="V6" s="86"/>
      <c r="W6" s="86">
        <v>0.17</v>
      </c>
      <c r="X6" s="86"/>
      <c r="Y6" s="86"/>
      <c r="Z6" s="86">
        <v>0.16</v>
      </c>
      <c r="AA6" s="86"/>
      <c r="AB6" s="86"/>
      <c r="AC6" s="86"/>
      <c r="AD6" s="86">
        <v>0.17019999999999999</v>
      </c>
      <c r="AE6" s="86"/>
      <c r="AF6" s="86"/>
      <c r="AG6" s="86"/>
      <c r="AH6" s="86"/>
      <c r="AI6" s="86">
        <v>0.16</v>
      </c>
      <c r="AJ6" s="86"/>
    </row>
    <row r="7" spans="2:36" ht="15" customHeight="1" x14ac:dyDescent="0.25">
      <c r="B7" s="210"/>
      <c r="C7" s="120" t="s">
        <v>339</v>
      </c>
      <c r="D7" s="86"/>
      <c r="E7" s="86"/>
      <c r="F7" s="86"/>
      <c r="G7" s="86"/>
      <c r="H7" s="86">
        <v>0.8</v>
      </c>
      <c r="I7" s="86"/>
      <c r="J7" s="86"/>
      <c r="K7" s="86"/>
      <c r="L7" s="86"/>
      <c r="M7" s="86"/>
      <c r="N7" s="86"/>
      <c r="O7" s="86">
        <v>0.79</v>
      </c>
      <c r="P7" s="86"/>
      <c r="Q7" s="86">
        <v>0.79500000000000004</v>
      </c>
      <c r="R7" s="86"/>
      <c r="S7" s="86"/>
      <c r="T7" s="86">
        <v>0.77780000000000005</v>
      </c>
      <c r="U7" s="86"/>
      <c r="V7" s="86"/>
      <c r="W7" s="86">
        <v>0.78</v>
      </c>
      <c r="X7" s="86"/>
      <c r="Y7" s="86"/>
      <c r="Z7" s="86">
        <v>0.78</v>
      </c>
      <c r="AA7" s="86"/>
      <c r="AB7" s="86"/>
      <c r="AC7" s="86"/>
      <c r="AD7" s="86">
        <v>0.76980000000000004</v>
      </c>
      <c r="AE7" s="86"/>
      <c r="AF7" s="86"/>
      <c r="AG7" s="86"/>
      <c r="AH7" s="86"/>
      <c r="AI7" s="86">
        <v>0.79</v>
      </c>
      <c r="AJ7" s="86"/>
    </row>
    <row r="8" spans="2:36" ht="15" customHeight="1" thickBot="1" x14ac:dyDescent="0.3">
      <c r="B8" s="211"/>
      <c r="C8" s="120" t="s">
        <v>338</v>
      </c>
      <c r="D8" s="86"/>
      <c r="E8" s="86"/>
      <c r="F8" s="86"/>
      <c r="G8" s="86"/>
      <c r="H8" s="86">
        <v>0.05</v>
      </c>
      <c r="I8" s="86"/>
      <c r="J8" s="86"/>
      <c r="K8" s="86"/>
      <c r="L8" s="86"/>
      <c r="M8" s="86"/>
      <c r="N8" s="86"/>
      <c r="O8" s="86">
        <v>0.05</v>
      </c>
      <c r="P8" s="86"/>
      <c r="Q8" s="86">
        <v>0.05</v>
      </c>
      <c r="R8" s="86"/>
      <c r="S8" s="86"/>
      <c r="T8" s="86">
        <v>7.22E-2</v>
      </c>
      <c r="U8" s="86"/>
      <c r="V8" s="86"/>
      <c r="W8" s="86">
        <v>0.05</v>
      </c>
      <c r="X8" s="86"/>
      <c r="Y8" s="86"/>
      <c r="Z8" s="86">
        <v>0.06</v>
      </c>
      <c r="AA8" s="86"/>
      <c r="AB8" s="86"/>
      <c r="AC8" s="86"/>
      <c r="AD8" s="86">
        <v>0.06</v>
      </c>
      <c r="AE8" s="86"/>
      <c r="AF8" s="86"/>
      <c r="AG8" s="86"/>
      <c r="AH8" s="86"/>
      <c r="AI8" s="86">
        <v>0.05</v>
      </c>
      <c r="AJ8" s="86"/>
    </row>
    <row r="9" spans="2:36" ht="15" customHeight="1" x14ac:dyDescent="0.25">
      <c r="B9" s="215" t="s">
        <v>960</v>
      </c>
      <c r="C9" s="121" t="s">
        <v>957</v>
      </c>
      <c r="D9" s="142"/>
      <c r="E9" s="142"/>
      <c r="F9" s="142"/>
      <c r="G9" s="135"/>
      <c r="H9" s="135"/>
      <c r="I9" s="135">
        <v>0.22</v>
      </c>
      <c r="J9" s="135"/>
      <c r="K9" s="135"/>
      <c r="L9" s="135"/>
      <c r="M9" s="135"/>
      <c r="N9" s="135"/>
      <c r="O9" s="135"/>
      <c r="P9" s="135">
        <v>0.21</v>
      </c>
      <c r="Q9" s="135"/>
      <c r="R9" s="135"/>
      <c r="S9" s="135"/>
      <c r="T9" s="135"/>
      <c r="U9" s="135"/>
      <c r="V9" s="135">
        <v>0.2</v>
      </c>
      <c r="W9" s="135"/>
      <c r="X9" s="135"/>
      <c r="Y9" s="135"/>
      <c r="Z9" s="135"/>
      <c r="AA9" s="135"/>
      <c r="AB9" s="135"/>
      <c r="AC9" s="135"/>
      <c r="AD9" s="135">
        <v>0.22</v>
      </c>
      <c r="AE9" s="135">
        <v>0.23</v>
      </c>
      <c r="AF9" s="135"/>
      <c r="AG9" s="135"/>
      <c r="AH9" s="135"/>
      <c r="AI9" s="135">
        <v>0.23</v>
      </c>
      <c r="AJ9" s="135"/>
    </row>
    <row r="10" spans="2:36" ht="15" customHeight="1" x14ac:dyDescent="0.25">
      <c r="B10" s="216"/>
      <c r="C10" s="123" t="s">
        <v>339</v>
      </c>
      <c r="D10" s="133"/>
      <c r="E10" s="133"/>
      <c r="F10" s="133"/>
      <c r="G10" s="134"/>
      <c r="H10" s="134"/>
      <c r="I10" s="134">
        <v>0.73</v>
      </c>
      <c r="J10" s="134"/>
      <c r="K10" s="134"/>
      <c r="L10" s="134"/>
      <c r="M10" s="134"/>
      <c r="N10" s="134"/>
      <c r="O10" s="134"/>
      <c r="P10" s="134">
        <v>0.74</v>
      </c>
      <c r="Q10" s="134"/>
      <c r="R10" s="134"/>
      <c r="S10" s="134"/>
      <c r="T10" s="134"/>
      <c r="U10" s="134"/>
      <c r="V10" s="134">
        <v>0.745</v>
      </c>
      <c r="W10" s="134"/>
      <c r="X10" s="134"/>
      <c r="Y10" s="134"/>
      <c r="Z10" s="134"/>
      <c r="AA10" s="134"/>
      <c r="AB10" s="134"/>
      <c r="AC10" s="134"/>
      <c r="AD10" s="134">
        <v>0.72</v>
      </c>
      <c r="AE10" s="134">
        <v>0.71</v>
      </c>
      <c r="AF10" s="134"/>
      <c r="AG10" s="134"/>
      <c r="AH10" s="134"/>
      <c r="AI10" s="134">
        <v>0.72</v>
      </c>
      <c r="AJ10" s="134"/>
    </row>
    <row r="11" spans="2:36" ht="15" customHeight="1" thickBot="1" x14ac:dyDescent="0.3">
      <c r="B11" s="221"/>
      <c r="C11" s="125" t="s">
        <v>338</v>
      </c>
      <c r="D11" s="147"/>
      <c r="E11" s="147"/>
      <c r="F11" s="147"/>
      <c r="G11" s="136"/>
      <c r="H11" s="136"/>
      <c r="I11" s="136">
        <v>0.05</v>
      </c>
      <c r="J11" s="136"/>
      <c r="K11" s="136"/>
      <c r="L11" s="136"/>
      <c r="M11" s="136"/>
      <c r="N11" s="136"/>
      <c r="O11" s="136"/>
      <c r="P11" s="136">
        <v>0.05</v>
      </c>
      <c r="Q11" s="136"/>
      <c r="R11" s="136"/>
      <c r="S11" s="136"/>
      <c r="T11" s="136"/>
      <c r="U11" s="136"/>
      <c r="V11" s="136">
        <v>5.5E-2</v>
      </c>
      <c r="W11" s="136"/>
      <c r="X11" s="136"/>
      <c r="Y11" s="136"/>
      <c r="Z11" s="136"/>
      <c r="AA11" s="136"/>
      <c r="AB11" s="136"/>
      <c r="AC11" s="136"/>
      <c r="AD11" s="136">
        <v>0.06</v>
      </c>
      <c r="AE11" s="136">
        <v>0.06</v>
      </c>
      <c r="AF11" s="136"/>
      <c r="AG11" s="136"/>
      <c r="AH11" s="136"/>
      <c r="AI11" s="136">
        <v>0.05</v>
      </c>
      <c r="AJ11" s="136"/>
    </row>
    <row r="12" spans="2:36" ht="15" customHeight="1" x14ac:dyDescent="0.25">
      <c r="B12" s="222" t="s">
        <v>1086</v>
      </c>
      <c r="C12" s="151" t="s">
        <v>957</v>
      </c>
      <c r="D12" s="152"/>
      <c r="E12" s="152"/>
      <c r="F12" s="152"/>
      <c r="G12" s="152"/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2"/>
      <c r="U12" s="152"/>
      <c r="V12" s="152"/>
      <c r="W12" s="152"/>
      <c r="X12" s="152"/>
      <c r="Y12" s="152"/>
      <c r="Z12" s="152"/>
      <c r="AA12" s="152"/>
      <c r="AB12" s="152"/>
      <c r="AC12" s="152"/>
      <c r="AD12" s="152"/>
      <c r="AE12" s="152"/>
      <c r="AF12" s="152"/>
      <c r="AG12" s="152"/>
      <c r="AH12" s="152"/>
      <c r="AI12" s="152"/>
      <c r="AJ12" s="152"/>
    </row>
    <row r="13" spans="2:36" ht="15" customHeight="1" x14ac:dyDescent="0.25">
      <c r="B13" s="223"/>
      <c r="C13" s="90" t="s">
        <v>339</v>
      </c>
      <c r="D13" s="149"/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  <c r="AC13" s="149"/>
      <c r="AD13" s="149"/>
      <c r="AE13" s="149"/>
      <c r="AF13" s="149"/>
      <c r="AG13" s="149"/>
      <c r="AH13" s="149"/>
      <c r="AI13" s="149"/>
      <c r="AJ13" s="149"/>
    </row>
    <row r="14" spans="2:36" ht="15" customHeight="1" thickBot="1" x14ac:dyDescent="0.3">
      <c r="B14" s="224"/>
      <c r="C14" s="92" t="s">
        <v>338</v>
      </c>
      <c r="D14" s="150"/>
      <c r="E14" s="150"/>
      <c r="F14" s="150"/>
      <c r="G14" s="150"/>
      <c r="H14" s="150"/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150"/>
      <c r="T14" s="150"/>
      <c r="U14" s="150"/>
      <c r="V14" s="150"/>
      <c r="W14" s="150"/>
      <c r="X14" s="150"/>
      <c r="Y14" s="150"/>
      <c r="Z14" s="150"/>
      <c r="AA14" s="150"/>
      <c r="AB14" s="150"/>
      <c r="AC14" s="150"/>
      <c r="AD14" s="150"/>
      <c r="AE14" s="150"/>
      <c r="AF14" s="150"/>
      <c r="AG14" s="150"/>
      <c r="AH14" s="150"/>
      <c r="AI14" s="150"/>
      <c r="AJ14" s="150"/>
    </row>
    <row r="15" spans="2:36" ht="6.75" customHeight="1" thickBot="1" x14ac:dyDescent="0.3"/>
    <row r="16" spans="2:36" ht="15" customHeight="1" thickBot="1" x14ac:dyDescent="0.3">
      <c r="B16" s="95" t="s">
        <v>964</v>
      </c>
      <c r="C16" s="94" t="s">
        <v>963</v>
      </c>
      <c r="D16" s="94" t="s">
        <v>1215</v>
      </c>
      <c r="E16" s="94" t="s">
        <v>1216</v>
      </c>
      <c r="F16" s="94" t="s">
        <v>1217</v>
      </c>
      <c r="G16" s="94" t="s">
        <v>1218</v>
      </c>
      <c r="H16" s="94" t="s">
        <v>1219</v>
      </c>
      <c r="I16" s="94" t="s">
        <v>1220</v>
      </c>
      <c r="J16" s="94" t="s">
        <v>1221</v>
      </c>
      <c r="K16" s="94" t="s">
        <v>1222</v>
      </c>
      <c r="L16" s="94" t="s">
        <v>1223</v>
      </c>
      <c r="M16" s="94" t="s">
        <v>1224</v>
      </c>
      <c r="N16" s="94" t="s">
        <v>1225</v>
      </c>
      <c r="O16" s="94" t="s">
        <v>1226</v>
      </c>
      <c r="P16" s="94" t="s">
        <v>1227</v>
      </c>
      <c r="Q16" s="94" t="s">
        <v>1228</v>
      </c>
      <c r="R16" s="94" t="s">
        <v>1229</v>
      </c>
      <c r="S16" s="94" t="s">
        <v>1230</v>
      </c>
      <c r="T16" s="94" t="s">
        <v>1231</v>
      </c>
      <c r="U16" s="94" t="s">
        <v>1232</v>
      </c>
      <c r="V16" s="94" t="s">
        <v>1233</v>
      </c>
      <c r="W16" s="94" t="s">
        <v>1234</v>
      </c>
      <c r="X16" s="94" t="s">
        <v>1235</v>
      </c>
      <c r="Y16" s="94" t="s">
        <v>1236</v>
      </c>
      <c r="Z16" s="94" t="s">
        <v>1237</v>
      </c>
      <c r="AA16" s="94" t="s">
        <v>1238</v>
      </c>
      <c r="AB16" s="94" t="s">
        <v>1239</v>
      </c>
      <c r="AC16" s="94" t="s">
        <v>1240</v>
      </c>
      <c r="AD16" s="94" t="s">
        <v>1241</v>
      </c>
      <c r="AE16" s="94" t="s">
        <v>1242</v>
      </c>
      <c r="AF16" s="94" t="s">
        <v>1243</v>
      </c>
      <c r="AG16" s="94" t="s">
        <v>1244</v>
      </c>
      <c r="AH16" s="94" t="s">
        <v>1245</v>
      </c>
      <c r="AI16" s="94" t="s">
        <v>1246</v>
      </c>
      <c r="AJ16" s="94" t="s">
        <v>1247</v>
      </c>
    </row>
    <row r="17" spans="2:36" ht="15" customHeight="1" x14ac:dyDescent="0.25">
      <c r="B17" s="206" t="s">
        <v>958</v>
      </c>
      <c r="C17" s="81" t="s">
        <v>957</v>
      </c>
      <c r="D17" s="117">
        <v>0.14000000000000001</v>
      </c>
      <c r="E17" s="117">
        <v>0.14000000000000001</v>
      </c>
      <c r="F17" s="117">
        <v>0.14000000000000001</v>
      </c>
      <c r="G17" s="117">
        <v>0.15</v>
      </c>
      <c r="H17" s="117">
        <v>0.15</v>
      </c>
      <c r="I17" s="117">
        <v>0.15</v>
      </c>
      <c r="J17" s="117">
        <v>0.15</v>
      </c>
      <c r="K17" s="117">
        <v>0.15</v>
      </c>
      <c r="L17" s="117">
        <v>0.14000000000000001</v>
      </c>
      <c r="M17" s="117">
        <v>0.14499999999999999</v>
      </c>
      <c r="N17" s="117">
        <v>0.15</v>
      </c>
      <c r="O17" s="117">
        <v>0.14499999999999999</v>
      </c>
      <c r="P17" s="117">
        <v>0.14499999999999999</v>
      </c>
      <c r="Q17" s="117">
        <v>0.14000000000000001</v>
      </c>
      <c r="R17" s="117">
        <v>0.15</v>
      </c>
      <c r="S17" s="117">
        <v>0.15</v>
      </c>
      <c r="T17" s="117">
        <v>0.155</v>
      </c>
      <c r="U17" s="117">
        <v>0.15</v>
      </c>
      <c r="V17" s="117"/>
      <c r="W17" s="117">
        <v>0.14000000000000001</v>
      </c>
      <c r="X17" s="117">
        <v>0.14000000000000001</v>
      </c>
      <c r="Y17" s="117">
        <v>0.155</v>
      </c>
      <c r="Z17" s="117">
        <v>0.16</v>
      </c>
      <c r="AA17" s="117">
        <v>0.15</v>
      </c>
      <c r="AB17" s="117">
        <v>0.16</v>
      </c>
      <c r="AC17" s="117">
        <v>0.155</v>
      </c>
      <c r="AD17" s="117">
        <v>0.16</v>
      </c>
      <c r="AE17" s="117">
        <v>0.14000000000000001</v>
      </c>
      <c r="AF17" s="117">
        <v>0.14000000000000001</v>
      </c>
      <c r="AG17" s="117">
        <v>0.14499999999999999</v>
      </c>
      <c r="AH17" s="117">
        <v>0.1444</v>
      </c>
      <c r="AI17" s="117">
        <v>0.15</v>
      </c>
      <c r="AJ17" s="117">
        <v>0.14000000000000001</v>
      </c>
    </row>
    <row r="18" spans="2:36" ht="15" customHeight="1" x14ac:dyDescent="0.25">
      <c r="B18" s="207"/>
      <c r="C18" s="83" t="s">
        <v>339</v>
      </c>
      <c r="D18" s="84">
        <v>0.81</v>
      </c>
      <c r="E18" s="84">
        <v>0.81</v>
      </c>
      <c r="F18" s="84">
        <v>0.81</v>
      </c>
      <c r="G18" s="84">
        <v>0.8</v>
      </c>
      <c r="H18" s="84">
        <v>0.8</v>
      </c>
      <c r="I18" s="84">
        <v>0.8</v>
      </c>
      <c r="J18" s="84">
        <v>0.8</v>
      </c>
      <c r="K18" s="84">
        <v>0.8</v>
      </c>
      <c r="L18" s="84">
        <v>0.81</v>
      </c>
      <c r="M18" s="84">
        <v>0.80500000000000005</v>
      </c>
      <c r="N18" s="84">
        <v>0.8</v>
      </c>
      <c r="O18" s="84">
        <v>0.80500000000000005</v>
      </c>
      <c r="P18" s="84">
        <v>0.80500000000000005</v>
      </c>
      <c r="Q18" s="84">
        <v>0.81</v>
      </c>
      <c r="R18" s="84">
        <v>0.8</v>
      </c>
      <c r="S18" s="84">
        <v>0.79800000000000004</v>
      </c>
      <c r="T18" s="84">
        <v>0.79100000000000004</v>
      </c>
      <c r="U18" s="84">
        <v>0.8</v>
      </c>
      <c r="V18" s="84"/>
      <c r="W18" s="84">
        <v>0.80200000000000005</v>
      </c>
      <c r="X18" s="84">
        <v>0.80200000000000005</v>
      </c>
      <c r="Y18" s="84">
        <v>0.78600000000000003</v>
      </c>
      <c r="Z18" s="84">
        <v>0.78</v>
      </c>
      <c r="AA18" s="84">
        <v>0.79500000000000004</v>
      </c>
      <c r="AB18" s="84">
        <v>0.78500000000000003</v>
      </c>
      <c r="AC18" s="84">
        <v>0.79500000000000004</v>
      </c>
      <c r="AD18" s="84">
        <v>0.78</v>
      </c>
      <c r="AE18" s="84">
        <v>0.8</v>
      </c>
      <c r="AF18" s="84">
        <v>0.8</v>
      </c>
      <c r="AG18" s="84">
        <v>0.79500000000000004</v>
      </c>
      <c r="AH18" s="84">
        <v>0.8</v>
      </c>
      <c r="AI18" s="84">
        <v>0.8</v>
      </c>
      <c r="AJ18" s="84">
        <v>0.81</v>
      </c>
    </row>
    <row r="19" spans="2:36" ht="15" customHeight="1" thickBot="1" x14ac:dyDescent="0.3">
      <c r="B19" s="208"/>
      <c r="C19" s="83" t="s">
        <v>338</v>
      </c>
      <c r="D19" s="84">
        <v>0.05</v>
      </c>
      <c r="E19" s="84">
        <v>0.05</v>
      </c>
      <c r="F19" s="84">
        <v>0.05</v>
      </c>
      <c r="G19" s="84">
        <v>0.05</v>
      </c>
      <c r="H19" s="84">
        <v>0.05</v>
      </c>
      <c r="I19" s="84">
        <v>0.05</v>
      </c>
      <c r="J19" s="84">
        <v>0.05</v>
      </c>
      <c r="K19" s="84">
        <v>0.05</v>
      </c>
      <c r="L19" s="84">
        <v>0.05</v>
      </c>
      <c r="M19" s="84">
        <v>0.05</v>
      </c>
      <c r="N19" s="84">
        <v>0.05</v>
      </c>
      <c r="O19" s="84">
        <v>0.05</v>
      </c>
      <c r="P19" s="84">
        <v>0.05</v>
      </c>
      <c r="Q19" s="84">
        <v>0.05</v>
      </c>
      <c r="R19" s="84">
        <v>0.05</v>
      </c>
      <c r="S19" s="84">
        <v>5.1999999999999998E-2</v>
      </c>
      <c r="T19" s="84">
        <v>5.3999999999999999E-2</v>
      </c>
      <c r="U19" s="84">
        <v>0.05</v>
      </c>
      <c r="V19" s="84"/>
      <c r="W19" s="84">
        <v>5.8000000000000003E-2</v>
      </c>
      <c r="X19" s="84">
        <v>5.8000000000000003E-2</v>
      </c>
      <c r="Y19" s="84">
        <v>5.8999999999999997E-2</v>
      </c>
      <c r="Z19" s="84">
        <v>0.06</v>
      </c>
      <c r="AA19" s="84">
        <v>5.5E-2</v>
      </c>
      <c r="AB19" s="84">
        <v>5.5E-2</v>
      </c>
      <c r="AC19" s="84">
        <v>0.05</v>
      </c>
      <c r="AD19" s="84">
        <v>0.06</v>
      </c>
      <c r="AE19" s="84">
        <v>0.06</v>
      </c>
      <c r="AF19" s="84">
        <v>0.06</v>
      </c>
      <c r="AG19" s="84">
        <v>0.06</v>
      </c>
      <c r="AH19" s="84">
        <v>5.5599999999999997E-2</v>
      </c>
      <c r="AI19" s="84">
        <v>0.05</v>
      </c>
      <c r="AJ19" s="84">
        <v>0.05</v>
      </c>
    </row>
    <row r="20" spans="2:36" ht="15" customHeight="1" x14ac:dyDescent="0.25">
      <c r="B20" s="209" t="s">
        <v>959</v>
      </c>
      <c r="C20" s="85" t="s">
        <v>957</v>
      </c>
      <c r="D20" s="132"/>
      <c r="E20" s="132"/>
      <c r="F20" s="132"/>
      <c r="G20" s="132"/>
      <c r="H20" s="132"/>
      <c r="I20" s="132">
        <v>0.15</v>
      </c>
      <c r="J20" s="132">
        <v>0.16</v>
      </c>
      <c r="K20" s="132">
        <v>0.16</v>
      </c>
      <c r="L20" s="132">
        <v>0.15</v>
      </c>
      <c r="M20" s="132">
        <v>0.15</v>
      </c>
      <c r="N20" s="132">
        <v>0.16</v>
      </c>
      <c r="O20" s="132"/>
      <c r="P20" s="132">
        <v>0.16</v>
      </c>
      <c r="Q20" s="132"/>
      <c r="R20" s="132"/>
      <c r="S20" s="132"/>
      <c r="T20" s="132"/>
      <c r="U20" s="132">
        <v>0.17</v>
      </c>
      <c r="V20" s="132">
        <v>0.16200000000000001</v>
      </c>
      <c r="W20" s="132"/>
      <c r="X20" s="132">
        <v>0.16</v>
      </c>
      <c r="Y20" s="132"/>
      <c r="Z20" s="132"/>
      <c r="AA20" s="132">
        <v>0.16</v>
      </c>
      <c r="AB20" s="132">
        <v>0.1699</v>
      </c>
      <c r="AC20" s="132">
        <v>0.16</v>
      </c>
      <c r="AD20" s="132"/>
      <c r="AE20" s="132">
        <v>0.16</v>
      </c>
      <c r="AF20" s="132">
        <v>0.16</v>
      </c>
      <c r="AG20" s="132">
        <v>0.16</v>
      </c>
      <c r="AH20" s="132">
        <v>0.17</v>
      </c>
      <c r="AI20" s="132"/>
      <c r="AJ20" s="132"/>
    </row>
    <row r="21" spans="2:36" ht="15" customHeight="1" x14ac:dyDescent="0.25">
      <c r="B21" s="210"/>
      <c r="C21" s="87" t="s">
        <v>339</v>
      </c>
      <c r="D21" s="86"/>
      <c r="E21" s="86"/>
      <c r="F21" s="86"/>
      <c r="G21" s="86"/>
      <c r="H21" s="86"/>
      <c r="I21" s="86">
        <v>0.8</v>
      </c>
      <c r="J21" s="86">
        <v>0.79</v>
      </c>
      <c r="K21" s="86">
        <v>0.79</v>
      </c>
      <c r="L21" s="86">
        <v>0.8</v>
      </c>
      <c r="M21" s="86">
        <v>0.8</v>
      </c>
      <c r="N21" s="86">
        <v>0.79</v>
      </c>
      <c r="O21" s="86"/>
      <c r="P21" s="86">
        <v>0.79</v>
      </c>
      <c r="Q21" s="86"/>
      <c r="R21" s="86"/>
      <c r="S21" s="86"/>
      <c r="T21" s="86"/>
      <c r="U21" s="86">
        <v>0.77800000000000002</v>
      </c>
      <c r="V21" s="86">
        <v>0.78500000000000003</v>
      </c>
      <c r="W21" s="86"/>
      <c r="X21" s="86">
        <v>0.78200000000000003</v>
      </c>
      <c r="Y21" s="86"/>
      <c r="Z21" s="86"/>
      <c r="AA21" s="86">
        <v>0.78200000000000003</v>
      </c>
      <c r="AB21" s="86">
        <v>0.77429999999999999</v>
      </c>
      <c r="AC21" s="86">
        <v>0.79</v>
      </c>
      <c r="AD21" s="86"/>
      <c r="AE21" s="86">
        <v>0.79</v>
      </c>
      <c r="AF21" s="86">
        <v>0.78</v>
      </c>
      <c r="AG21" s="86">
        <v>0.79</v>
      </c>
      <c r="AH21" s="86">
        <v>0.77</v>
      </c>
      <c r="AI21" s="86"/>
      <c r="AJ21" s="86"/>
    </row>
    <row r="22" spans="2:36" ht="15" customHeight="1" thickBot="1" x14ac:dyDescent="0.3">
      <c r="B22" s="211"/>
      <c r="C22" s="87" t="s">
        <v>338</v>
      </c>
      <c r="D22" s="86"/>
      <c r="E22" s="86"/>
      <c r="F22" s="86"/>
      <c r="G22" s="86"/>
      <c r="H22" s="86"/>
      <c r="I22" s="86">
        <v>0.05</v>
      </c>
      <c r="J22" s="86">
        <v>0.05</v>
      </c>
      <c r="K22" s="86">
        <v>0.05</v>
      </c>
      <c r="L22" s="86">
        <v>0.05</v>
      </c>
      <c r="M22" s="86">
        <v>0.05</v>
      </c>
      <c r="N22" s="86">
        <v>0.05</v>
      </c>
      <c r="O22" s="86"/>
      <c r="P22" s="86">
        <v>0.05</v>
      </c>
      <c r="Q22" s="86"/>
      <c r="R22" s="86"/>
      <c r="S22" s="86"/>
      <c r="T22" s="86"/>
      <c r="U22" s="86">
        <v>5.1999999999999998E-2</v>
      </c>
      <c r="V22" s="86">
        <v>5.2999999999999999E-2</v>
      </c>
      <c r="W22" s="86"/>
      <c r="X22" s="86">
        <v>5.8000000000000003E-2</v>
      </c>
      <c r="Y22" s="86"/>
      <c r="Z22" s="86"/>
      <c r="AA22" s="86">
        <v>5.8000000000000003E-2</v>
      </c>
      <c r="AB22" s="86">
        <v>5.5800000000000002E-2</v>
      </c>
      <c r="AC22" s="86">
        <v>0.05</v>
      </c>
      <c r="AD22" s="86"/>
      <c r="AE22" s="86">
        <v>0.05</v>
      </c>
      <c r="AF22" s="86">
        <v>0.06</v>
      </c>
      <c r="AG22" s="86">
        <v>0.05</v>
      </c>
      <c r="AH22" s="86">
        <v>0.06</v>
      </c>
      <c r="AI22" s="86"/>
      <c r="AJ22" s="86"/>
    </row>
    <row r="23" spans="2:36" ht="15" customHeight="1" x14ac:dyDescent="0.25">
      <c r="B23" s="200" t="s">
        <v>960</v>
      </c>
      <c r="C23" s="88" t="s">
        <v>957</v>
      </c>
      <c r="D23" s="135"/>
      <c r="E23" s="135"/>
      <c r="F23" s="135">
        <v>0.2</v>
      </c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135"/>
      <c r="R23" s="135">
        <v>0.22</v>
      </c>
      <c r="S23" s="135"/>
      <c r="T23" s="135"/>
      <c r="U23" s="135"/>
      <c r="V23" s="135"/>
      <c r="W23" s="135"/>
      <c r="X23" s="135"/>
      <c r="Y23" s="135"/>
      <c r="Z23" s="135"/>
      <c r="AA23" s="135"/>
      <c r="AB23" s="135">
        <v>0.18160000000000001</v>
      </c>
      <c r="AC23" s="135"/>
      <c r="AD23" s="135"/>
      <c r="AE23" s="135"/>
      <c r="AF23" s="135"/>
      <c r="AG23" s="135"/>
      <c r="AH23" s="135"/>
      <c r="AI23" s="135"/>
      <c r="AJ23" s="135"/>
    </row>
    <row r="24" spans="2:36" ht="15" customHeight="1" x14ac:dyDescent="0.25">
      <c r="B24" s="201"/>
      <c r="C24" s="90" t="s">
        <v>339</v>
      </c>
      <c r="D24" s="134"/>
      <c r="E24" s="134"/>
      <c r="F24" s="134">
        <v>0.75</v>
      </c>
      <c r="G24" s="134"/>
      <c r="H24" s="134"/>
      <c r="I24" s="134"/>
      <c r="J24" s="134"/>
      <c r="K24" s="134"/>
      <c r="L24" s="134"/>
      <c r="M24" s="134"/>
      <c r="N24" s="134"/>
      <c r="O24" s="134"/>
      <c r="P24" s="134"/>
      <c r="Q24" s="134"/>
      <c r="R24" s="134">
        <v>0.73</v>
      </c>
      <c r="S24" s="134"/>
      <c r="T24" s="134"/>
      <c r="U24" s="134"/>
      <c r="V24" s="134"/>
      <c r="W24" s="134"/>
      <c r="X24" s="134"/>
      <c r="Y24" s="134"/>
      <c r="Z24" s="134"/>
      <c r="AA24" s="134"/>
      <c r="AB24" s="134">
        <v>0.76719999999999999</v>
      </c>
      <c r="AC24" s="134"/>
      <c r="AD24" s="134"/>
      <c r="AE24" s="134"/>
      <c r="AF24" s="134"/>
      <c r="AG24" s="134"/>
      <c r="AH24" s="134"/>
      <c r="AI24" s="134"/>
      <c r="AJ24" s="134"/>
    </row>
    <row r="25" spans="2:36" ht="15" customHeight="1" thickBot="1" x14ac:dyDescent="0.3">
      <c r="B25" s="212"/>
      <c r="C25" s="108" t="s">
        <v>338</v>
      </c>
      <c r="D25" s="141"/>
      <c r="E25" s="141"/>
      <c r="F25" s="141">
        <v>0.05</v>
      </c>
      <c r="G25" s="141"/>
      <c r="H25" s="147"/>
      <c r="I25" s="136"/>
      <c r="J25" s="136"/>
      <c r="K25" s="136"/>
      <c r="L25" s="136"/>
      <c r="M25" s="136"/>
      <c r="N25" s="136"/>
      <c r="O25" s="136"/>
      <c r="P25" s="136"/>
      <c r="Q25" s="136"/>
      <c r="R25" s="136">
        <v>0.05</v>
      </c>
      <c r="S25" s="136"/>
      <c r="T25" s="136"/>
      <c r="U25" s="136"/>
      <c r="V25" s="136"/>
      <c r="W25" s="136"/>
      <c r="X25" s="136"/>
      <c r="Y25" s="136"/>
      <c r="Z25" s="136"/>
      <c r="AA25" s="136"/>
      <c r="AB25" s="136">
        <v>5.1200000000000002E-2</v>
      </c>
      <c r="AC25" s="136"/>
      <c r="AD25" s="136"/>
      <c r="AE25" s="136"/>
      <c r="AF25" s="136"/>
      <c r="AG25" s="136"/>
      <c r="AH25" s="136"/>
      <c r="AI25" s="136"/>
      <c r="AJ25" s="136"/>
    </row>
    <row r="26" spans="2:36" ht="15" customHeight="1" x14ac:dyDescent="0.25">
      <c r="B26" s="218" t="s">
        <v>1086</v>
      </c>
      <c r="C26" s="88" t="s">
        <v>957</v>
      </c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  <c r="Z26" s="137"/>
      <c r="AA26" s="137"/>
      <c r="AB26" s="137"/>
      <c r="AC26" s="137"/>
      <c r="AD26" s="137"/>
      <c r="AE26" s="137"/>
      <c r="AF26" s="137"/>
      <c r="AG26" s="137"/>
      <c r="AH26" s="137"/>
      <c r="AI26" s="137"/>
      <c r="AJ26" s="137"/>
    </row>
    <row r="27" spans="2:36" ht="15" customHeight="1" x14ac:dyDescent="0.25">
      <c r="B27" s="219"/>
      <c r="C27" s="90" t="s">
        <v>339</v>
      </c>
      <c r="D27" s="137"/>
      <c r="E27" s="139">
        <v>0.95</v>
      </c>
      <c r="F27" s="139">
        <v>0.95</v>
      </c>
      <c r="G27" s="137"/>
      <c r="H27" s="137"/>
      <c r="I27" s="137"/>
      <c r="J27" s="137"/>
      <c r="K27" s="137"/>
      <c r="L27" s="148">
        <v>0.95599999999999996</v>
      </c>
      <c r="M27" s="140">
        <v>0.95</v>
      </c>
      <c r="N27" s="138">
        <v>0.93600000000000005</v>
      </c>
      <c r="O27" s="138">
        <v>0.95</v>
      </c>
      <c r="P27" s="138"/>
      <c r="Q27" s="138"/>
      <c r="R27" s="138"/>
      <c r="S27" s="138">
        <v>0.95</v>
      </c>
      <c r="T27" s="138">
        <v>0.95</v>
      </c>
      <c r="U27" s="138">
        <v>0.90559999999999996</v>
      </c>
      <c r="V27" s="138">
        <v>0.94740000000000002</v>
      </c>
      <c r="W27" s="138">
        <v>0.95</v>
      </c>
      <c r="X27" s="138">
        <v>0.95</v>
      </c>
      <c r="Y27" s="138">
        <v>0.95</v>
      </c>
      <c r="Z27" s="138">
        <v>0.9556</v>
      </c>
      <c r="AA27" s="138"/>
      <c r="AB27" s="138">
        <v>0.95</v>
      </c>
      <c r="AC27" s="138"/>
      <c r="AD27" s="138">
        <v>0.95</v>
      </c>
      <c r="AE27" s="138">
        <v>0.95</v>
      </c>
      <c r="AF27" s="138">
        <v>0.94779999999999998</v>
      </c>
      <c r="AG27" s="138">
        <v>0.94</v>
      </c>
      <c r="AH27" s="138">
        <v>0.94</v>
      </c>
      <c r="AI27" s="138"/>
      <c r="AJ27" s="138"/>
    </row>
    <row r="28" spans="2:36" ht="15" customHeight="1" x14ac:dyDescent="0.25">
      <c r="B28" s="220"/>
      <c r="C28" s="108" t="s">
        <v>338</v>
      </c>
      <c r="D28" s="139"/>
      <c r="E28" s="156">
        <v>0.05</v>
      </c>
      <c r="F28" s="156">
        <v>0.05</v>
      </c>
      <c r="G28" s="156"/>
      <c r="H28" s="156"/>
      <c r="I28" s="156"/>
      <c r="J28" s="156"/>
      <c r="K28" s="156"/>
      <c r="L28" s="156">
        <v>4.3999999999999997E-2</v>
      </c>
      <c r="M28" s="156">
        <v>0.05</v>
      </c>
      <c r="N28" s="156">
        <v>6.4000000000000001E-2</v>
      </c>
      <c r="O28" s="156">
        <v>0.05</v>
      </c>
      <c r="P28" s="156"/>
      <c r="Q28" s="156"/>
      <c r="R28" s="156"/>
      <c r="S28" s="156">
        <v>0.05</v>
      </c>
      <c r="T28" s="156">
        <v>0.05</v>
      </c>
      <c r="U28" s="156">
        <v>4.4400000000000002E-2</v>
      </c>
      <c r="V28" s="156">
        <v>5.2600000000000001E-2</v>
      </c>
      <c r="W28" s="156">
        <v>0.05</v>
      </c>
      <c r="X28" s="156">
        <v>0.05</v>
      </c>
      <c r="Y28" s="156">
        <v>0.05</v>
      </c>
      <c r="Z28" s="156">
        <v>4.4400000000000002E-2</v>
      </c>
      <c r="AA28" s="156"/>
      <c r="AB28" s="156">
        <v>0.05</v>
      </c>
      <c r="AC28" s="156"/>
      <c r="AD28" s="156">
        <v>0.05</v>
      </c>
      <c r="AE28" s="156">
        <v>0.05</v>
      </c>
      <c r="AF28" s="156">
        <v>5.2200000000000003E-2</v>
      </c>
      <c r="AG28" s="156">
        <v>0.06</v>
      </c>
      <c r="AH28" s="156">
        <v>0.06</v>
      </c>
      <c r="AI28" s="156"/>
      <c r="AJ28" s="156"/>
    </row>
    <row r="29" spans="2:36" ht="15" customHeight="1" x14ac:dyDescent="0.25">
      <c r="B29" s="34" t="s">
        <v>7</v>
      </c>
      <c r="C29" s="34"/>
      <c r="D29" s="131">
        <v>5300</v>
      </c>
      <c r="E29" s="131">
        <v>5300</v>
      </c>
      <c r="F29" s="131">
        <v>5300</v>
      </c>
      <c r="G29" s="131">
        <v>5300</v>
      </c>
      <c r="H29" s="131">
        <v>5300</v>
      </c>
      <c r="I29" s="131">
        <v>5300</v>
      </c>
      <c r="J29" s="131">
        <v>5300</v>
      </c>
      <c r="K29" s="131">
        <v>5300</v>
      </c>
      <c r="L29" s="131">
        <v>5468</v>
      </c>
      <c r="M29" s="131">
        <v>5561</v>
      </c>
      <c r="N29" s="131">
        <v>5237</v>
      </c>
      <c r="O29" s="131"/>
      <c r="P29" s="131"/>
      <c r="Q29" s="131"/>
      <c r="R29" s="131"/>
      <c r="S29" s="131">
        <v>5600</v>
      </c>
      <c r="T29" s="131">
        <v>5500</v>
      </c>
      <c r="U29" s="131">
        <v>5500</v>
      </c>
      <c r="V29" s="131">
        <v>5612</v>
      </c>
      <c r="W29" s="131">
        <v>5593</v>
      </c>
      <c r="X29" s="131">
        <v>5605</v>
      </c>
      <c r="Y29" s="131">
        <v>5513</v>
      </c>
      <c r="Z29" s="131">
        <v>5794</v>
      </c>
      <c r="AA29" s="131">
        <v>5679</v>
      </c>
      <c r="AB29" s="131"/>
      <c r="AC29" s="131">
        <v>5531</v>
      </c>
      <c r="AD29" s="131">
        <v>5572</v>
      </c>
      <c r="AE29" s="131">
        <v>5411</v>
      </c>
      <c r="AF29" s="131">
        <v>5524</v>
      </c>
      <c r="AG29" s="131">
        <v>5587</v>
      </c>
      <c r="AH29" s="131">
        <v>5520</v>
      </c>
      <c r="AI29" s="131">
        <v>5339</v>
      </c>
      <c r="AJ29" s="131">
        <v>5500</v>
      </c>
    </row>
    <row r="30" spans="2:36" ht="7.5" customHeight="1" thickBot="1" x14ac:dyDescent="0.3"/>
    <row r="31" spans="2:36" ht="12.75" customHeight="1" thickBot="1" x14ac:dyDescent="0.3">
      <c r="B31" s="213" t="s">
        <v>1002</v>
      </c>
      <c r="C31" s="214"/>
      <c r="D31" s="130">
        <v>81.000000000000043</v>
      </c>
      <c r="E31" s="130">
        <v>81.411764705882405</v>
      </c>
      <c r="F31" s="130">
        <v>81.182724250201161</v>
      </c>
      <c r="G31" s="130">
        <v>80.000000000000057</v>
      </c>
      <c r="H31" s="130">
        <v>80.331606217585545</v>
      </c>
      <c r="I31" s="130">
        <v>79.595375722543409</v>
      </c>
      <c r="J31" s="130">
        <v>79.883720930230282</v>
      </c>
      <c r="K31" s="130">
        <v>79.90990990990997</v>
      </c>
      <c r="L31" s="130">
        <v>81.22663551401871</v>
      </c>
      <c r="M31" s="130">
        <v>81.197368421052659</v>
      </c>
      <c r="N31" s="130">
        <v>80.545375218150156</v>
      </c>
      <c r="O31" s="130">
        <v>81.03012404016539</v>
      </c>
      <c r="P31" s="130">
        <v>79.478555304740453</v>
      </c>
      <c r="Q31" s="130">
        <v>80.362268518518533</v>
      </c>
      <c r="R31" s="130">
        <v>79.317073170731774</v>
      </c>
      <c r="S31" s="130">
        <v>80.917159756834351</v>
      </c>
      <c r="T31" s="130">
        <v>79.857935633694794</v>
      </c>
      <c r="U31" s="130">
        <v>79.760000000000005</v>
      </c>
      <c r="V31" s="130">
        <v>80.182098763481463</v>
      </c>
      <c r="W31" s="130">
        <v>80.772486768149406</v>
      </c>
      <c r="X31" s="130">
        <v>81.06823529411767</v>
      </c>
      <c r="Y31" s="130">
        <v>81.9671641791045</v>
      </c>
      <c r="Z31" s="130">
        <v>78.689956331877795</v>
      </c>
      <c r="AA31" s="130">
        <v>78.654148471615784</v>
      </c>
      <c r="AB31" s="130">
        <v>78.491095762866095</v>
      </c>
      <c r="AC31" s="130">
        <v>78.403333333333407</v>
      </c>
      <c r="AD31" s="130">
        <v>78.170305681550275</v>
      </c>
      <c r="AE31" s="130">
        <v>78.915662650602442</v>
      </c>
      <c r="AF31" s="130">
        <v>79.951754385964975</v>
      </c>
      <c r="AG31" s="130">
        <v>79.109022556391039</v>
      </c>
      <c r="AH31" s="130">
        <v>79.38288285349347</v>
      </c>
      <c r="AI31" s="130">
        <v>79.32017543859655</v>
      </c>
      <c r="AJ31" s="130">
        <v>79.073239436619787</v>
      </c>
    </row>
    <row r="32" spans="2:36" ht="12.75" customHeight="1" x14ac:dyDescent="0.25">
      <c r="B32" s="114"/>
    </row>
    <row r="33" spans="2:2" ht="12.75" customHeight="1" x14ac:dyDescent="0.25">
      <c r="B33" s="114"/>
    </row>
    <row r="34" spans="2:2" ht="12.75" customHeight="1" x14ac:dyDescent="0.25">
      <c r="B34" s="114"/>
    </row>
    <row r="35" spans="2:2" ht="12.75" customHeight="1" x14ac:dyDescent="0.25">
      <c r="B35" s="114"/>
    </row>
    <row r="36" spans="2:2" ht="12.75" customHeight="1" x14ac:dyDescent="0.25">
      <c r="B36" s="114"/>
    </row>
    <row r="37" spans="2:2" ht="12.75" customHeight="1" x14ac:dyDescent="0.25">
      <c r="B37" s="114"/>
    </row>
    <row r="38" spans="2:2" ht="12.75" customHeight="1" x14ac:dyDescent="0.25">
      <c r="B38" s="114"/>
    </row>
    <row r="39" spans="2:2" ht="12.75" customHeight="1" x14ac:dyDescent="0.25">
      <c r="B39" s="114"/>
    </row>
    <row r="40" spans="2:2" ht="12.75" customHeight="1" x14ac:dyDescent="0.25">
      <c r="B40" s="114"/>
    </row>
    <row r="41" spans="2:2" ht="12.75" customHeight="1" x14ac:dyDescent="0.25">
      <c r="B41" s="114"/>
    </row>
    <row r="42" spans="2:2" ht="12.75" customHeight="1" x14ac:dyDescent="0.25">
      <c r="B42" s="114"/>
    </row>
    <row r="43" spans="2:2" ht="12.75" customHeight="1" x14ac:dyDescent="0.25">
      <c r="B43" s="114"/>
    </row>
    <row r="44" spans="2:2" ht="12.75" customHeight="1" x14ac:dyDescent="0.25">
      <c r="B44" s="114"/>
    </row>
    <row r="45" spans="2:2" x14ac:dyDescent="0.25">
      <c r="B45" s="114"/>
    </row>
    <row r="46" spans="2:2" x14ac:dyDescent="0.25">
      <c r="B46" s="114"/>
    </row>
    <row r="47" spans="2:2" x14ac:dyDescent="0.25">
      <c r="B47" s="114"/>
    </row>
    <row r="48" spans="2:2" x14ac:dyDescent="0.25">
      <c r="B48" s="114"/>
    </row>
    <row r="49" spans="2:2" x14ac:dyDescent="0.25">
      <c r="B49" s="114"/>
    </row>
    <row r="50" spans="2:2" x14ac:dyDescent="0.25">
      <c r="B50" s="114"/>
    </row>
    <row r="51" spans="2:2" x14ac:dyDescent="0.25">
      <c r="B51" s="114"/>
    </row>
    <row r="52" spans="2:2" x14ac:dyDescent="0.25">
      <c r="B52" s="114"/>
    </row>
  </sheetData>
  <mergeCells count="9">
    <mergeCell ref="B23:B25"/>
    <mergeCell ref="B26:B28"/>
    <mergeCell ref="B31:C31"/>
    <mergeCell ref="B3:B5"/>
    <mergeCell ref="B6:B8"/>
    <mergeCell ref="B9:B11"/>
    <mergeCell ref="B12:B14"/>
    <mergeCell ref="B17:B19"/>
    <mergeCell ref="B20:B22"/>
  </mergeCells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64D7D-E4E5-4420-A8BC-11837A3417F2}">
  <dimension ref="B1:AG52"/>
  <sheetViews>
    <sheetView zoomScale="90" zoomScaleNormal="90" workbookViewId="0">
      <pane xSplit="3" topLeftCell="V1" activePane="topRight" state="frozen"/>
      <selection pane="topRight" activeCell="AH15" sqref="AH15"/>
    </sheetView>
  </sheetViews>
  <sheetFormatPr defaultRowHeight="15" x14ac:dyDescent="0.25"/>
  <cols>
    <col min="3" max="3" width="28.140625" customWidth="1"/>
    <col min="4" max="33" width="10.7109375" customWidth="1"/>
  </cols>
  <sheetData>
    <row r="1" spans="2:33" ht="6" customHeight="1" thickBot="1" x14ac:dyDescent="0.3"/>
    <row r="2" spans="2:33" ht="15" customHeight="1" thickBot="1" x14ac:dyDescent="0.3">
      <c r="B2" s="94" t="s">
        <v>964</v>
      </c>
      <c r="C2" s="96" t="s">
        <v>961</v>
      </c>
      <c r="D2" s="97" t="str">
        <f t="shared" ref="D2:E2" si="0">D16</f>
        <v>01.06.2025</v>
      </c>
      <c r="E2" s="97" t="str">
        <f t="shared" si="0"/>
        <v>02.06.2025</v>
      </c>
      <c r="F2" s="97" t="str">
        <f t="shared" ref="F2:G2" si="1">F16</f>
        <v>03.06.2025</v>
      </c>
      <c r="G2" s="97" t="str">
        <f t="shared" si="1"/>
        <v>04.06.2025</v>
      </c>
      <c r="H2" s="97" t="str">
        <f t="shared" ref="H2:I2" si="2">H16</f>
        <v>05.06.2025</v>
      </c>
      <c r="I2" s="97" t="str">
        <f t="shared" si="2"/>
        <v>06.06.2025</v>
      </c>
      <c r="J2" s="97" t="str">
        <f t="shared" ref="J2:K2" si="3">J16</f>
        <v>07.06.2025</v>
      </c>
      <c r="K2" s="97" t="str">
        <f t="shared" si="3"/>
        <v>08.06.2025</v>
      </c>
      <c r="L2" s="97" t="str">
        <f t="shared" ref="L2:M2" si="4">L16</f>
        <v>09.06.2025</v>
      </c>
      <c r="M2" s="97" t="str">
        <f t="shared" si="4"/>
        <v>10.06.2025</v>
      </c>
      <c r="N2" s="97" t="str">
        <f t="shared" ref="N2:O2" si="5">N16</f>
        <v>11.06.2025</v>
      </c>
      <c r="O2" s="97" t="str">
        <f t="shared" si="5"/>
        <v>12.06.2025</v>
      </c>
      <c r="P2" s="97" t="str">
        <f t="shared" ref="P2:Q2" si="6">P16</f>
        <v>13.06.2025</v>
      </c>
      <c r="Q2" s="97" t="str">
        <f t="shared" si="6"/>
        <v>14.06.2025</v>
      </c>
      <c r="R2" s="97" t="str">
        <f t="shared" ref="R2:S2" si="7">R16</f>
        <v>15.06.2025</v>
      </c>
      <c r="S2" s="97" t="str">
        <f t="shared" si="7"/>
        <v>16.06.2025</v>
      </c>
      <c r="T2" s="97" t="str">
        <f t="shared" ref="T2:U2" si="8">T16</f>
        <v>17.06.2025</v>
      </c>
      <c r="U2" s="97" t="str">
        <f t="shared" si="8"/>
        <v>18.06.2025</v>
      </c>
      <c r="V2" s="97" t="str">
        <f t="shared" ref="V2:W2" si="9">V16</f>
        <v>19.06.2025</v>
      </c>
      <c r="W2" s="97" t="str">
        <f t="shared" si="9"/>
        <v>20.06.2025</v>
      </c>
      <c r="X2" s="97" t="str">
        <f t="shared" ref="X2:Z2" si="10">X16</f>
        <v>21.06.2025</v>
      </c>
      <c r="Y2" s="97" t="str">
        <f t="shared" si="10"/>
        <v>22.06.2025</v>
      </c>
      <c r="Z2" s="97" t="str">
        <f t="shared" si="10"/>
        <v>23.06.2025</v>
      </c>
      <c r="AA2" s="97" t="str">
        <f t="shared" ref="AA2:AB2" si="11">AA16</f>
        <v>24.06.2025</v>
      </c>
      <c r="AB2" s="97" t="str">
        <f t="shared" si="11"/>
        <v>25.06.2025</v>
      </c>
      <c r="AC2" s="97" t="str">
        <f t="shared" ref="AC2:AG2" si="12">AC16</f>
        <v>26.06.2025</v>
      </c>
      <c r="AD2" s="97" t="str">
        <f t="shared" si="12"/>
        <v>27.06.2025</v>
      </c>
      <c r="AE2" s="97" t="str">
        <f t="shared" si="12"/>
        <v>28.06.2025</v>
      </c>
      <c r="AF2" s="97" t="str">
        <f t="shared" si="12"/>
        <v>29.06.2025</v>
      </c>
      <c r="AG2" s="97" t="str">
        <f t="shared" si="12"/>
        <v>30.06.2025</v>
      </c>
    </row>
    <row r="3" spans="2:33" ht="15" customHeight="1" x14ac:dyDescent="0.25">
      <c r="B3" s="206" t="s">
        <v>958</v>
      </c>
      <c r="C3" s="116" t="s">
        <v>957</v>
      </c>
      <c r="D3" s="117">
        <v>0.15</v>
      </c>
      <c r="E3" s="117">
        <v>0.16</v>
      </c>
      <c r="F3" s="117">
        <v>0.155</v>
      </c>
      <c r="G3" s="117">
        <v>0.16</v>
      </c>
      <c r="H3" s="117">
        <v>0.16</v>
      </c>
      <c r="I3" s="117">
        <v>0.155</v>
      </c>
      <c r="J3" s="117">
        <v>0.155</v>
      </c>
      <c r="K3" s="117">
        <v>0.15</v>
      </c>
      <c r="L3" s="117">
        <v>0.16</v>
      </c>
      <c r="M3" s="117">
        <v>0.155</v>
      </c>
      <c r="N3" s="117">
        <v>0.15</v>
      </c>
      <c r="O3" s="117">
        <v>0.15</v>
      </c>
      <c r="P3" s="117">
        <v>0.16</v>
      </c>
      <c r="Q3" s="117">
        <v>0.15</v>
      </c>
      <c r="R3" s="117">
        <v>0.15</v>
      </c>
      <c r="S3" s="117">
        <v>0.155</v>
      </c>
      <c r="T3" s="117">
        <v>0.15</v>
      </c>
      <c r="U3" s="117">
        <v>0.15</v>
      </c>
      <c r="V3" s="117">
        <v>0.16</v>
      </c>
      <c r="W3" s="117">
        <v>0.155</v>
      </c>
      <c r="X3" s="117">
        <v>0.15</v>
      </c>
      <c r="Y3" s="117">
        <v>0.16</v>
      </c>
      <c r="Z3" s="117">
        <v>0.15</v>
      </c>
      <c r="AA3" s="117">
        <v>0.155</v>
      </c>
      <c r="AB3" s="117">
        <v>0.155</v>
      </c>
      <c r="AC3" s="117">
        <v>0.16</v>
      </c>
      <c r="AD3" s="117">
        <v>0.15</v>
      </c>
      <c r="AE3" s="117">
        <v>0.15</v>
      </c>
      <c r="AF3" s="117">
        <v>0.17760000000000001</v>
      </c>
      <c r="AG3" s="117">
        <v>0.16</v>
      </c>
    </row>
    <row r="4" spans="2:33" ht="15" customHeight="1" x14ac:dyDescent="0.25">
      <c r="B4" s="207"/>
      <c r="C4" s="118" t="s">
        <v>339</v>
      </c>
      <c r="D4" s="84">
        <v>0.8</v>
      </c>
      <c r="E4" s="84">
        <v>0.78</v>
      </c>
      <c r="F4" s="84">
        <v>0.78900000000000003</v>
      </c>
      <c r="G4" s="84">
        <v>0.78500000000000003</v>
      </c>
      <c r="H4" s="84">
        <v>0.78500000000000003</v>
      </c>
      <c r="I4" s="84">
        <v>0.79</v>
      </c>
      <c r="J4" s="84">
        <v>0.78900000000000003</v>
      </c>
      <c r="K4" s="84">
        <v>0.8</v>
      </c>
      <c r="L4" s="84">
        <v>0.78500000000000003</v>
      </c>
      <c r="M4" s="84">
        <v>0.79500000000000004</v>
      </c>
      <c r="N4" s="84">
        <v>0.8</v>
      </c>
      <c r="O4" s="84">
        <v>0.8</v>
      </c>
      <c r="P4" s="84">
        <v>0.79</v>
      </c>
      <c r="Q4" s="84">
        <v>0.8</v>
      </c>
      <c r="R4" s="84">
        <v>0.8</v>
      </c>
      <c r="S4" s="84">
        <v>0.79500000000000004</v>
      </c>
      <c r="T4" s="84">
        <v>0.8</v>
      </c>
      <c r="U4" s="84">
        <v>0.79500000000000004</v>
      </c>
      <c r="V4" s="84">
        <v>0.79</v>
      </c>
      <c r="W4" s="84">
        <v>0.79200000000000004</v>
      </c>
      <c r="X4" s="84">
        <v>0.8</v>
      </c>
      <c r="Y4" s="84">
        <v>0.79</v>
      </c>
      <c r="Z4" s="84">
        <v>0.8</v>
      </c>
      <c r="AA4" s="84">
        <v>0.79500000000000004</v>
      </c>
      <c r="AB4" s="84">
        <v>0.79</v>
      </c>
      <c r="AC4" s="84">
        <v>0.79</v>
      </c>
      <c r="AD4" s="84">
        <v>0.8</v>
      </c>
      <c r="AE4" s="84">
        <v>0.7954</v>
      </c>
      <c r="AF4" s="84">
        <v>0.77239999999999998</v>
      </c>
      <c r="AG4" s="84">
        <v>0.79</v>
      </c>
    </row>
    <row r="5" spans="2:33" ht="15" customHeight="1" thickBot="1" x14ac:dyDescent="0.3">
      <c r="B5" s="208"/>
      <c r="C5" s="118" t="s">
        <v>338</v>
      </c>
      <c r="D5" s="84">
        <v>0.05</v>
      </c>
      <c r="E5" s="84">
        <v>0.06</v>
      </c>
      <c r="F5" s="84">
        <v>5.6000000000000001E-2</v>
      </c>
      <c r="G5" s="84">
        <v>5.5E-2</v>
      </c>
      <c r="H5" s="84">
        <v>5.5E-2</v>
      </c>
      <c r="I5" s="84">
        <v>5.5E-2</v>
      </c>
      <c r="J5" s="84">
        <v>5.6000000000000001E-2</v>
      </c>
      <c r="K5" s="84">
        <v>0.05</v>
      </c>
      <c r="L5" s="84">
        <v>5.5E-2</v>
      </c>
      <c r="M5" s="84">
        <v>0.05</v>
      </c>
      <c r="N5" s="84">
        <v>0.05</v>
      </c>
      <c r="O5" s="84">
        <v>0.05</v>
      </c>
      <c r="P5" s="84">
        <v>0.05</v>
      </c>
      <c r="Q5" s="84">
        <v>0.05</v>
      </c>
      <c r="R5" s="84">
        <v>0.05</v>
      </c>
      <c r="S5" s="84">
        <v>0.05</v>
      </c>
      <c r="T5" s="84">
        <v>0.05</v>
      </c>
      <c r="U5" s="84">
        <v>5.5E-2</v>
      </c>
      <c r="V5" s="84">
        <v>0.05</v>
      </c>
      <c r="W5" s="84">
        <v>5.2999999999999999E-2</v>
      </c>
      <c r="X5" s="84">
        <v>0.05</v>
      </c>
      <c r="Y5" s="84">
        <v>0.05</v>
      </c>
      <c r="Z5" s="84">
        <v>0.05</v>
      </c>
      <c r="AA5" s="84">
        <v>0.05</v>
      </c>
      <c r="AB5" s="84">
        <v>5.5E-2</v>
      </c>
      <c r="AC5" s="84">
        <v>0.05</v>
      </c>
      <c r="AD5" s="84">
        <v>0.05</v>
      </c>
      <c r="AE5" s="84">
        <v>5.4600000000000003E-2</v>
      </c>
      <c r="AF5" s="84">
        <v>0.05</v>
      </c>
      <c r="AG5" s="84">
        <v>0.05</v>
      </c>
    </row>
    <row r="6" spans="2:33" ht="15" customHeight="1" x14ac:dyDescent="0.25">
      <c r="B6" s="209" t="s">
        <v>959</v>
      </c>
      <c r="C6" s="119" t="s">
        <v>957</v>
      </c>
      <c r="D6" s="86">
        <v>0.16</v>
      </c>
      <c r="E6" s="86"/>
      <c r="F6" s="86"/>
      <c r="G6" s="86"/>
      <c r="H6" s="86">
        <v>0.17</v>
      </c>
      <c r="I6" s="86"/>
      <c r="J6" s="86"/>
      <c r="K6" s="86"/>
      <c r="L6" s="86"/>
      <c r="M6" s="86">
        <v>0.17</v>
      </c>
      <c r="N6" s="86">
        <v>0.17</v>
      </c>
      <c r="O6" s="86"/>
      <c r="P6" s="86"/>
      <c r="Q6" s="86"/>
      <c r="R6" s="86"/>
      <c r="S6" s="86">
        <v>0.16</v>
      </c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>
        <v>0.18</v>
      </c>
      <c r="AF6" s="86"/>
      <c r="AG6" s="86"/>
    </row>
    <row r="7" spans="2:33" ht="15" customHeight="1" x14ac:dyDescent="0.25">
      <c r="B7" s="210"/>
      <c r="C7" s="120" t="s">
        <v>339</v>
      </c>
      <c r="D7" s="86">
        <v>0.79</v>
      </c>
      <c r="E7" s="86"/>
      <c r="F7" s="86"/>
      <c r="G7" s="86"/>
      <c r="H7" s="86">
        <v>0.77500000000000002</v>
      </c>
      <c r="I7" s="86"/>
      <c r="J7" s="86"/>
      <c r="K7" s="86"/>
      <c r="L7" s="86"/>
      <c r="M7" s="86">
        <v>0.77400000000000002</v>
      </c>
      <c r="N7" s="86">
        <v>0.78</v>
      </c>
      <c r="O7" s="86"/>
      <c r="P7" s="86"/>
      <c r="Q7" s="86"/>
      <c r="R7" s="86"/>
      <c r="S7" s="86">
        <v>0.79</v>
      </c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>
        <v>0.76500000000000001</v>
      </c>
      <c r="AF7" s="86"/>
      <c r="AG7" s="86"/>
    </row>
    <row r="8" spans="2:33" ht="15" customHeight="1" thickBot="1" x14ac:dyDescent="0.3">
      <c r="B8" s="211"/>
      <c r="C8" s="120" t="s">
        <v>338</v>
      </c>
      <c r="D8" s="86">
        <v>0.05</v>
      </c>
      <c r="E8" s="86"/>
      <c r="F8" s="86"/>
      <c r="G8" s="86"/>
      <c r="H8" s="86">
        <v>5.5E-2</v>
      </c>
      <c r="I8" s="86"/>
      <c r="J8" s="86"/>
      <c r="K8" s="86"/>
      <c r="L8" s="86"/>
      <c r="M8" s="86">
        <v>5.6000000000000001E-2</v>
      </c>
      <c r="N8" s="86">
        <v>0.05</v>
      </c>
      <c r="O8" s="86"/>
      <c r="P8" s="86"/>
      <c r="Q8" s="86"/>
      <c r="R8" s="86"/>
      <c r="S8" s="86">
        <v>0.05</v>
      </c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>
        <v>5.5E-2</v>
      </c>
      <c r="AF8" s="86"/>
      <c r="AG8" s="86"/>
    </row>
    <row r="9" spans="2:33" ht="15" customHeight="1" x14ac:dyDescent="0.25">
      <c r="B9" s="215" t="s">
        <v>960</v>
      </c>
      <c r="C9" s="121" t="s">
        <v>957</v>
      </c>
      <c r="D9" s="135">
        <v>0.23</v>
      </c>
      <c r="E9" s="135"/>
      <c r="F9" s="135"/>
      <c r="G9" s="135"/>
      <c r="H9" s="135">
        <v>0.19</v>
      </c>
      <c r="I9" s="135"/>
      <c r="J9" s="135">
        <v>0.22</v>
      </c>
      <c r="K9" s="135">
        <v>0.22</v>
      </c>
      <c r="L9" s="135"/>
      <c r="M9" s="135">
        <v>0.22</v>
      </c>
      <c r="N9" s="135">
        <v>0.21</v>
      </c>
      <c r="O9" s="135"/>
      <c r="P9" s="135"/>
      <c r="Q9" s="135">
        <v>0.18720000000000001</v>
      </c>
      <c r="R9" s="135">
        <v>0.17</v>
      </c>
      <c r="S9" s="135"/>
      <c r="T9" s="135">
        <v>0.21</v>
      </c>
      <c r="U9" s="135">
        <v>0.22</v>
      </c>
      <c r="V9" s="135"/>
      <c r="W9" s="135">
        <v>0.22</v>
      </c>
      <c r="X9" s="135"/>
      <c r="Y9" s="135"/>
      <c r="Z9" s="135"/>
      <c r="AA9" s="135">
        <v>0.21</v>
      </c>
      <c r="AB9" s="135">
        <v>0.22</v>
      </c>
      <c r="AC9" s="135">
        <v>0.23</v>
      </c>
      <c r="AD9" s="135">
        <v>0.22500000000000001</v>
      </c>
      <c r="AE9" s="135"/>
      <c r="AF9" s="135"/>
      <c r="AG9" s="135"/>
    </row>
    <row r="10" spans="2:33" ht="15" customHeight="1" x14ac:dyDescent="0.25">
      <c r="B10" s="216"/>
      <c r="C10" s="123" t="s">
        <v>339</v>
      </c>
      <c r="D10" s="134">
        <v>0.72</v>
      </c>
      <c r="E10" s="134"/>
      <c r="F10" s="134"/>
      <c r="G10" s="134"/>
      <c r="H10" s="134">
        <v>0.755</v>
      </c>
      <c r="I10" s="134"/>
      <c r="J10" s="134">
        <v>0.72399999999999998</v>
      </c>
      <c r="K10" s="134">
        <v>0.73</v>
      </c>
      <c r="L10" s="134"/>
      <c r="M10" s="134">
        <v>0.72399999999999998</v>
      </c>
      <c r="N10" s="134">
        <v>0.74</v>
      </c>
      <c r="O10" s="134"/>
      <c r="P10" s="134"/>
      <c r="Q10" s="134">
        <v>0.76229999999999998</v>
      </c>
      <c r="R10" s="134">
        <v>0.78</v>
      </c>
      <c r="S10" s="134"/>
      <c r="T10" s="134">
        <v>0.74</v>
      </c>
      <c r="U10" s="134">
        <v>0.72499999999999998</v>
      </c>
      <c r="V10" s="134"/>
      <c r="W10" s="134">
        <v>0.73</v>
      </c>
      <c r="X10" s="134"/>
      <c r="Y10" s="134"/>
      <c r="Z10" s="134"/>
      <c r="AA10" s="134">
        <v>0.74</v>
      </c>
      <c r="AB10" s="134">
        <v>0.72499999999999998</v>
      </c>
      <c r="AC10" s="134">
        <v>0.72</v>
      </c>
      <c r="AD10" s="134">
        <v>0.7208</v>
      </c>
      <c r="AE10" s="134"/>
      <c r="AF10" s="134"/>
      <c r="AG10" s="134"/>
    </row>
    <row r="11" spans="2:33" ht="15" customHeight="1" thickBot="1" x14ac:dyDescent="0.3">
      <c r="B11" s="221"/>
      <c r="C11" s="125" t="s">
        <v>338</v>
      </c>
      <c r="D11" s="136">
        <v>0.05</v>
      </c>
      <c r="E11" s="136"/>
      <c r="F11" s="136"/>
      <c r="G11" s="136"/>
      <c r="H11" s="136">
        <v>5.5E-2</v>
      </c>
      <c r="I11" s="136"/>
      <c r="J11" s="136">
        <v>5.6000000000000001E-2</v>
      </c>
      <c r="K11" s="136">
        <v>0.05</v>
      </c>
      <c r="L11" s="136"/>
      <c r="M11" s="136">
        <v>5.6000000000000001E-2</v>
      </c>
      <c r="N11" s="136">
        <v>0.05</v>
      </c>
      <c r="O11" s="136"/>
      <c r="P11" s="136"/>
      <c r="Q11" s="136">
        <v>5.0500000000000003E-2</v>
      </c>
      <c r="R11" s="136">
        <v>0.05</v>
      </c>
      <c r="S11" s="136"/>
      <c r="T11" s="136">
        <v>0.05</v>
      </c>
      <c r="U11" s="136">
        <v>5.5E-2</v>
      </c>
      <c r="V11" s="136"/>
      <c r="W11" s="136">
        <v>0.05</v>
      </c>
      <c r="X11" s="136"/>
      <c r="Y11" s="136"/>
      <c r="Z11" s="136"/>
      <c r="AA11" s="136">
        <v>0.05</v>
      </c>
      <c r="AB11" s="136">
        <v>5.5E-2</v>
      </c>
      <c r="AC11" s="136">
        <v>0.05</v>
      </c>
      <c r="AD11" s="136">
        <v>5.4199999999999998E-2</v>
      </c>
      <c r="AE11" s="136"/>
      <c r="AF11" s="136"/>
      <c r="AG11" s="136"/>
    </row>
    <row r="12" spans="2:33" ht="15" customHeight="1" x14ac:dyDescent="0.25">
      <c r="B12" s="222" t="s">
        <v>1086</v>
      </c>
      <c r="C12" s="151" t="s">
        <v>957</v>
      </c>
      <c r="D12" s="152"/>
      <c r="E12" s="152"/>
      <c r="F12" s="152"/>
      <c r="G12" s="152"/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2"/>
      <c r="U12" s="152"/>
      <c r="V12" s="152"/>
      <c r="W12" s="152"/>
      <c r="X12" s="152"/>
      <c r="Y12" s="154">
        <v>0.94740000000000002</v>
      </c>
      <c r="Z12" s="152"/>
      <c r="AA12" s="152"/>
      <c r="AB12" s="152"/>
      <c r="AC12" s="152"/>
      <c r="AD12" s="152"/>
      <c r="AE12" s="152"/>
      <c r="AF12" s="152"/>
      <c r="AG12" s="152"/>
    </row>
    <row r="13" spans="2:33" ht="15" customHeight="1" x14ac:dyDescent="0.25">
      <c r="B13" s="223"/>
      <c r="C13" s="90" t="s">
        <v>339</v>
      </c>
      <c r="D13" s="149"/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  <c r="AC13" s="149"/>
      <c r="AD13" s="149"/>
      <c r="AE13" s="149"/>
      <c r="AF13" s="149"/>
      <c r="AG13" s="149"/>
    </row>
    <row r="14" spans="2:33" ht="15" customHeight="1" thickBot="1" x14ac:dyDescent="0.3">
      <c r="B14" s="224"/>
      <c r="C14" s="92" t="s">
        <v>338</v>
      </c>
      <c r="D14" s="150"/>
      <c r="E14" s="150"/>
      <c r="F14" s="150"/>
      <c r="G14" s="150"/>
      <c r="H14" s="150"/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150"/>
      <c r="T14" s="150"/>
      <c r="U14" s="150"/>
      <c r="V14" s="150"/>
      <c r="W14" s="150"/>
      <c r="X14" s="150"/>
      <c r="Y14" s="155">
        <v>5.2600000000000001E-2</v>
      </c>
      <c r="Z14" s="150"/>
      <c r="AA14" s="150"/>
      <c r="AB14" s="150"/>
      <c r="AC14" s="150"/>
      <c r="AD14" s="150"/>
      <c r="AE14" s="150"/>
      <c r="AF14" s="150"/>
      <c r="AG14" s="150"/>
    </row>
    <row r="15" spans="2:33" ht="6.75" customHeight="1" thickBot="1" x14ac:dyDescent="0.3"/>
    <row r="16" spans="2:33" ht="15" customHeight="1" thickBot="1" x14ac:dyDescent="0.3">
      <c r="B16" s="95" t="s">
        <v>964</v>
      </c>
      <c r="C16" s="94" t="s">
        <v>963</v>
      </c>
      <c r="D16" s="94" t="s">
        <v>1246</v>
      </c>
      <c r="E16" s="94" t="s">
        <v>1247</v>
      </c>
      <c r="F16" s="94" t="s">
        <v>1248</v>
      </c>
      <c r="G16" s="94" t="s">
        <v>1249</v>
      </c>
      <c r="H16" s="94" t="s">
        <v>1250</v>
      </c>
      <c r="I16" s="94" t="s">
        <v>1251</v>
      </c>
      <c r="J16" s="94" t="s">
        <v>1252</v>
      </c>
      <c r="K16" s="94" t="s">
        <v>1253</v>
      </c>
      <c r="L16" s="94" t="s">
        <v>1254</v>
      </c>
      <c r="M16" s="94" t="s">
        <v>1255</v>
      </c>
      <c r="N16" s="94" t="s">
        <v>1256</v>
      </c>
      <c r="O16" s="94" t="s">
        <v>1257</v>
      </c>
      <c r="P16" s="94" t="s">
        <v>1258</v>
      </c>
      <c r="Q16" s="94" t="s">
        <v>1259</v>
      </c>
      <c r="R16" s="94" t="s">
        <v>1260</v>
      </c>
      <c r="S16" s="94" t="s">
        <v>1261</v>
      </c>
      <c r="T16" s="94" t="s">
        <v>1262</v>
      </c>
      <c r="U16" s="94" t="s">
        <v>1263</v>
      </c>
      <c r="V16" s="94" t="s">
        <v>1264</v>
      </c>
      <c r="W16" s="94" t="s">
        <v>1265</v>
      </c>
      <c r="X16" s="94" t="s">
        <v>1266</v>
      </c>
      <c r="Y16" s="94" t="s">
        <v>1267</v>
      </c>
      <c r="Z16" s="94" t="s">
        <v>1268</v>
      </c>
      <c r="AA16" s="94" t="s">
        <v>1269</v>
      </c>
      <c r="AB16" s="94" t="s">
        <v>1270</v>
      </c>
      <c r="AC16" s="94" t="s">
        <v>1271</v>
      </c>
      <c r="AD16" s="94" t="s">
        <v>1272</v>
      </c>
      <c r="AE16" s="94" t="s">
        <v>1273</v>
      </c>
      <c r="AF16" s="94" t="s">
        <v>1274</v>
      </c>
      <c r="AG16" s="94" t="s">
        <v>898</v>
      </c>
    </row>
    <row r="17" spans="2:33" ht="15" customHeight="1" x14ac:dyDescent="0.25">
      <c r="B17" s="206" t="s">
        <v>958</v>
      </c>
      <c r="C17" s="81" t="s">
        <v>957</v>
      </c>
      <c r="D17" s="117">
        <v>0.15</v>
      </c>
      <c r="E17" s="117">
        <v>0.14000000000000001</v>
      </c>
      <c r="F17" s="117">
        <v>0.15</v>
      </c>
      <c r="G17" s="117">
        <v>0.14000000000000001</v>
      </c>
      <c r="H17" s="117">
        <v>0.155</v>
      </c>
      <c r="I17" s="117">
        <v>0.15</v>
      </c>
      <c r="J17" s="117">
        <v>0.15</v>
      </c>
      <c r="K17" s="117">
        <v>0.15</v>
      </c>
      <c r="L17" s="117">
        <v>0.155</v>
      </c>
      <c r="M17" s="117">
        <v>0.15</v>
      </c>
      <c r="N17" s="117">
        <v>0.15</v>
      </c>
      <c r="O17" s="117"/>
      <c r="P17" s="117">
        <v>0.15</v>
      </c>
      <c r="Q17" s="117">
        <v>0.14000000000000001</v>
      </c>
      <c r="R17" s="117">
        <v>0.15490000000000001</v>
      </c>
      <c r="S17" s="117">
        <v>0.15</v>
      </c>
      <c r="T17" s="117">
        <v>0.16</v>
      </c>
      <c r="U17" s="117">
        <v>0.15</v>
      </c>
      <c r="V17" s="117">
        <v>0.15</v>
      </c>
      <c r="W17" s="117">
        <v>0.15</v>
      </c>
      <c r="X17" s="117">
        <v>0.15</v>
      </c>
      <c r="Y17" s="117">
        <v>0.15</v>
      </c>
      <c r="Z17" s="117">
        <v>0.16</v>
      </c>
      <c r="AA17" s="117">
        <v>0.15</v>
      </c>
      <c r="AB17" s="117">
        <v>0.15</v>
      </c>
      <c r="AC17" s="117">
        <v>0.15</v>
      </c>
      <c r="AD17" s="117">
        <v>0.16</v>
      </c>
      <c r="AE17" s="117">
        <v>0.152</v>
      </c>
      <c r="AF17" s="117">
        <v>0.18379999999999999</v>
      </c>
      <c r="AG17" s="117">
        <v>0.15</v>
      </c>
    </row>
    <row r="18" spans="2:33" ht="15" customHeight="1" x14ac:dyDescent="0.25">
      <c r="B18" s="207"/>
      <c r="C18" s="83" t="s">
        <v>339</v>
      </c>
      <c r="D18" s="84">
        <v>0.8</v>
      </c>
      <c r="E18" s="84">
        <v>0.81</v>
      </c>
      <c r="F18" s="84">
        <v>0.79400000000000004</v>
      </c>
      <c r="G18" s="84">
        <v>0.81</v>
      </c>
      <c r="H18" s="84">
        <v>0.79300000000000004</v>
      </c>
      <c r="I18" s="84">
        <v>0.8</v>
      </c>
      <c r="J18" s="84">
        <v>0.8</v>
      </c>
      <c r="K18" s="84">
        <v>0.8</v>
      </c>
      <c r="L18" s="84">
        <v>0.79500000000000004</v>
      </c>
      <c r="M18" s="84">
        <v>0.8</v>
      </c>
      <c r="N18" s="84">
        <v>0.8</v>
      </c>
      <c r="O18" s="84"/>
      <c r="P18" s="84">
        <v>0.8</v>
      </c>
      <c r="Q18" s="84">
        <v>0.81</v>
      </c>
      <c r="R18" s="84">
        <v>0.79510000000000003</v>
      </c>
      <c r="S18" s="84">
        <v>0.8</v>
      </c>
      <c r="T18" s="84">
        <v>0.79</v>
      </c>
      <c r="U18" s="84">
        <v>0.8</v>
      </c>
      <c r="V18" s="84">
        <v>0.8</v>
      </c>
      <c r="W18" s="84">
        <v>0.79500000000000004</v>
      </c>
      <c r="X18" s="84">
        <v>0.79200000000000004</v>
      </c>
      <c r="Y18" s="84">
        <v>0.8</v>
      </c>
      <c r="Z18" s="84">
        <v>0.79</v>
      </c>
      <c r="AA18" s="84">
        <v>0.8</v>
      </c>
      <c r="AB18" s="84">
        <v>0.8</v>
      </c>
      <c r="AC18" s="84">
        <v>0.8</v>
      </c>
      <c r="AD18" s="84">
        <v>0.78</v>
      </c>
      <c r="AE18" s="84">
        <v>0.79410000000000003</v>
      </c>
      <c r="AF18" s="84">
        <v>0.76329999999999998</v>
      </c>
      <c r="AG18" s="84">
        <v>0.8</v>
      </c>
    </row>
    <row r="19" spans="2:33" ht="15" customHeight="1" thickBot="1" x14ac:dyDescent="0.3">
      <c r="B19" s="208"/>
      <c r="C19" s="83" t="s">
        <v>338</v>
      </c>
      <c r="D19" s="84">
        <v>0.05</v>
      </c>
      <c r="E19" s="84">
        <v>0.05</v>
      </c>
      <c r="F19" s="84">
        <v>5.6000000000000001E-2</v>
      </c>
      <c r="G19" s="84">
        <v>0.05</v>
      </c>
      <c r="H19" s="84">
        <v>5.1999999999999998E-2</v>
      </c>
      <c r="I19" s="84">
        <v>0.05</v>
      </c>
      <c r="J19" s="84">
        <v>0.05</v>
      </c>
      <c r="K19" s="84">
        <v>0.05</v>
      </c>
      <c r="L19" s="84">
        <v>0.05</v>
      </c>
      <c r="M19" s="84">
        <v>0.05</v>
      </c>
      <c r="N19" s="84">
        <v>0.05</v>
      </c>
      <c r="O19" s="84"/>
      <c r="P19" s="84">
        <v>0.05</v>
      </c>
      <c r="Q19" s="84">
        <v>0.05</v>
      </c>
      <c r="R19" s="84">
        <v>0.05</v>
      </c>
      <c r="S19" s="84">
        <v>0.05</v>
      </c>
      <c r="T19" s="84">
        <v>0.05</v>
      </c>
      <c r="U19" s="84">
        <v>0.05</v>
      </c>
      <c r="V19" s="84">
        <v>0.05</v>
      </c>
      <c r="W19" s="84">
        <v>5.5E-2</v>
      </c>
      <c r="X19" s="84">
        <v>5.8000000000000003E-2</v>
      </c>
      <c r="Y19" s="84">
        <v>0.05</v>
      </c>
      <c r="Z19" s="84">
        <v>0.05</v>
      </c>
      <c r="AA19" s="84">
        <v>0.05</v>
      </c>
      <c r="AB19" s="84">
        <v>0.05</v>
      </c>
      <c r="AC19" s="84">
        <v>0.05</v>
      </c>
      <c r="AD19" s="84">
        <v>0.06</v>
      </c>
      <c r="AE19" s="84">
        <v>5.3900000000000003E-2</v>
      </c>
      <c r="AF19" s="84">
        <v>5.2900000000000003E-2</v>
      </c>
      <c r="AG19" s="84">
        <v>0.05</v>
      </c>
    </row>
    <row r="20" spans="2:33" ht="15" customHeight="1" x14ac:dyDescent="0.25">
      <c r="B20" s="209" t="s">
        <v>959</v>
      </c>
      <c r="C20" s="85" t="s">
        <v>957</v>
      </c>
      <c r="D20" s="132"/>
      <c r="E20" s="132"/>
      <c r="F20" s="132">
        <v>0.17</v>
      </c>
      <c r="G20" s="132">
        <v>0.16</v>
      </c>
      <c r="H20" s="132"/>
      <c r="I20" s="132"/>
      <c r="J20" s="132"/>
      <c r="K20" s="132"/>
      <c r="L20" s="132"/>
      <c r="M20" s="132"/>
      <c r="N20" s="132"/>
      <c r="O20" s="132"/>
      <c r="P20" s="132">
        <v>0.15709999999999999</v>
      </c>
      <c r="Q20" s="132">
        <v>0.16</v>
      </c>
      <c r="R20" s="132">
        <v>0.16</v>
      </c>
      <c r="S20" s="132"/>
      <c r="T20" s="132">
        <v>0.17</v>
      </c>
      <c r="U20" s="132">
        <v>0.16</v>
      </c>
      <c r="V20" s="132"/>
      <c r="W20" s="132">
        <v>0.16</v>
      </c>
      <c r="X20" s="132"/>
      <c r="Y20" s="132">
        <v>0.16</v>
      </c>
      <c r="Z20" s="132">
        <v>0.15640000000000001</v>
      </c>
      <c r="AA20" s="132">
        <v>0.17879999999999999</v>
      </c>
      <c r="AB20" s="132">
        <v>0.17</v>
      </c>
      <c r="AC20" s="132">
        <v>0.21</v>
      </c>
      <c r="AD20" s="132">
        <v>0.23</v>
      </c>
      <c r="AE20" s="132">
        <v>0.23180000000000001</v>
      </c>
      <c r="AF20" s="132">
        <v>0.24</v>
      </c>
      <c r="AG20" s="132">
        <v>0.19</v>
      </c>
    </row>
    <row r="21" spans="2:33" ht="15" customHeight="1" x14ac:dyDescent="0.25">
      <c r="B21" s="210"/>
      <c r="C21" s="87" t="s">
        <v>339</v>
      </c>
      <c r="D21" s="86"/>
      <c r="E21" s="86"/>
      <c r="F21" s="86">
        <v>0.77400000000000002</v>
      </c>
      <c r="G21" s="86">
        <v>0.79</v>
      </c>
      <c r="H21" s="86"/>
      <c r="I21" s="86"/>
      <c r="J21" s="86"/>
      <c r="K21" s="86"/>
      <c r="L21" s="86"/>
      <c r="M21" s="86"/>
      <c r="N21" s="86"/>
      <c r="O21" s="86"/>
      <c r="P21" s="86">
        <v>0.79290000000000005</v>
      </c>
      <c r="Q21" s="86">
        <v>0.79</v>
      </c>
      <c r="R21" s="86">
        <v>0.79</v>
      </c>
      <c r="S21" s="86"/>
      <c r="T21" s="86">
        <v>0.78</v>
      </c>
      <c r="U21" s="86">
        <v>0.79</v>
      </c>
      <c r="V21" s="86"/>
      <c r="W21" s="86">
        <v>0.79</v>
      </c>
      <c r="X21" s="86"/>
      <c r="Y21" s="86">
        <v>0.79</v>
      </c>
      <c r="Z21" s="86">
        <v>0.79269999999999996</v>
      </c>
      <c r="AA21" s="86">
        <v>0.7712</v>
      </c>
      <c r="AB21" s="86">
        <v>0.78</v>
      </c>
      <c r="AC21" s="86">
        <v>0.74</v>
      </c>
      <c r="AD21" s="86">
        <v>0.72</v>
      </c>
      <c r="AE21" s="86">
        <v>0.7137</v>
      </c>
      <c r="AF21" s="86">
        <v>0.70860000000000001</v>
      </c>
      <c r="AG21" s="86">
        <v>0.76</v>
      </c>
    </row>
    <row r="22" spans="2:33" ht="15" customHeight="1" thickBot="1" x14ac:dyDescent="0.3">
      <c r="B22" s="211"/>
      <c r="C22" s="87" t="s">
        <v>338</v>
      </c>
      <c r="D22" s="86"/>
      <c r="E22" s="86"/>
      <c r="F22" s="86">
        <v>5.6000000000000001E-2</v>
      </c>
      <c r="G22" s="86">
        <v>0.05</v>
      </c>
      <c r="H22" s="86"/>
      <c r="I22" s="86"/>
      <c r="J22" s="86"/>
      <c r="K22" s="86"/>
      <c r="L22" s="86"/>
      <c r="M22" s="86"/>
      <c r="N22" s="86"/>
      <c r="O22" s="86"/>
      <c r="P22" s="86">
        <v>0.05</v>
      </c>
      <c r="Q22" s="86">
        <v>0.05</v>
      </c>
      <c r="R22" s="86">
        <v>0.05</v>
      </c>
      <c r="S22" s="86"/>
      <c r="T22" s="86">
        <v>0.05</v>
      </c>
      <c r="U22" s="86">
        <v>0.05</v>
      </c>
      <c r="V22" s="86"/>
      <c r="W22" s="86">
        <v>0.05</v>
      </c>
      <c r="X22" s="86"/>
      <c r="Y22" s="86">
        <v>0.05</v>
      </c>
      <c r="Z22" s="86">
        <v>5.0900000000000001E-2</v>
      </c>
      <c r="AA22" s="86">
        <v>0.05</v>
      </c>
      <c r="AB22" s="86">
        <v>0.05</v>
      </c>
      <c r="AC22" s="86">
        <v>0.05</v>
      </c>
      <c r="AD22" s="86">
        <v>0.05</v>
      </c>
      <c r="AE22" s="86">
        <v>5.45E-2</v>
      </c>
      <c r="AF22" s="86">
        <v>5.1400000000000001E-2</v>
      </c>
      <c r="AG22" s="86">
        <v>0.05</v>
      </c>
    </row>
    <row r="23" spans="2:33" ht="15" customHeight="1" x14ac:dyDescent="0.25">
      <c r="B23" s="200" t="s">
        <v>960</v>
      </c>
      <c r="C23" s="88" t="s">
        <v>957</v>
      </c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35"/>
      <c r="P23" s="135">
        <v>0.22</v>
      </c>
      <c r="Q23" s="135">
        <v>0.15</v>
      </c>
      <c r="R23" s="135"/>
      <c r="S23" s="135"/>
      <c r="T23" s="135"/>
      <c r="U23" s="135"/>
      <c r="V23" s="135"/>
      <c r="W23" s="135">
        <v>0.22</v>
      </c>
      <c r="X23" s="135"/>
      <c r="Y23" s="135"/>
      <c r="Z23" s="135"/>
      <c r="AA23" s="135">
        <v>0.17</v>
      </c>
      <c r="AB23" s="135"/>
      <c r="AC23" s="135">
        <v>0.24</v>
      </c>
      <c r="AD23" s="135">
        <v>0.24</v>
      </c>
      <c r="AE23" s="135">
        <v>0.24540000000000001</v>
      </c>
      <c r="AF23" s="135">
        <v>0.24</v>
      </c>
      <c r="AG23" s="135">
        <v>0.24</v>
      </c>
    </row>
    <row r="24" spans="2:33" ht="15" customHeight="1" x14ac:dyDescent="0.25">
      <c r="B24" s="201"/>
      <c r="C24" s="90" t="s">
        <v>339</v>
      </c>
      <c r="D24" s="134"/>
      <c r="E24" s="134"/>
      <c r="F24" s="134"/>
      <c r="G24" s="134"/>
      <c r="H24" s="134"/>
      <c r="I24" s="134"/>
      <c r="J24" s="134"/>
      <c r="K24" s="134"/>
      <c r="L24" s="134"/>
      <c r="M24" s="134"/>
      <c r="N24" s="134"/>
      <c r="O24" s="134"/>
      <c r="P24" s="134">
        <v>0.73</v>
      </c>
      <c r="Q24" s="134">
        <v>0.8</v>
      </c>
      <c r="R24" s="134"/>
      <c r="S24" s="134"/>
      <c r="T24" s="134"/>
      <c r="U24" s="134"/>
      <c r="V24" s="134"/>
      <c r="W24" s="134">
        <v>0.73</v>
      </c>
      <c r="X24" s="134"/>
      <c r="Y24" s="134"/>
      <c r="Z24" s="134"/>
      <c r="AA24" s="134">
        <v>0.78</v>
      </c>
      <c r="AB24" s="134"/>
      <c r="AC24" s="134">
        <v>0.71</v>
      </c>
      <c r="AD24" s="134">
        <v>0.71</v>
      </c>
      <c r="AE24" s="134">
        <v>0.70009999999999994</v>
      </c>
      <c r="AF24" s="134">
        <v>0.71</v>
      </c>
      <c r="AG24" s="134">
        <v>0.71</v>
      </c>
    </row>
    <row r="25" spans="2:33" ht="15" customHeight="1" thickBot="1" x14ac:dyDescent="0.3">
      <c r="B25" s="212"/>
      <c r="C25" s="108" t="s">
        <v>338</v>
      </c>
      <c r="D25" s="136"/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4">
        <v>0.05</v>
      </c>
      <c r="Q25" s="136">
        <v>0.05</v>
      </c>
      <c r="R25" s="136"/>
      <c r="S25" s="136"/>
      <c r="T25" s="136"/>
      <c r="U25" s="136"/>
      <c r="V25" s="136"/>
      <c r="W25" s="136">
        <v>0.05</v>
      </c>
      <c r="X25" s="136"/>
      <c r="Y25" s="136"/>
      <c r="Z25" s="136"/>
      <c r="AA25" s="136">
        <v>0.05</v>
      </c>
      <c r="AB25" s="136"/>
      <c r="AC25" s="136">
        <v>0.05</v>
      </c>
      <c r="AD25" s="136">
        <v>0.05</v>
      </c>
      <c r="AE25" s="136">
        <v>5.45E-2</v>
      </c>
      <c r="AF25" s="136">
        <v>0.05</v>
      </c>
      <c r="AG25" s="136">
        <v>0.05</v>
      </c>
    </row>
    <row r="26" spans="2:33" ht="15" customHeight="1" x14ac:dyDescent="0.25">
      <c r="B26" s="218" t="s">
        <v>1086</v>
      </c>
      <c r="C26" s="88" t="s">
        <v>957</v>
      </c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  <c r="Z26" s="137"/>
      <c r="AA26" s="137"/>
      <c r="AB26" s="137"/>
      <c r="AC26" s="137"/>
      <c r="AD26" s="137"/>
      <c r="AE26" s="137"/>
      <c r="AF26" s="137"/>
      <c r="AG26" s="137"/>
    </row>
    <row r="27" spans="2:33" ht="15" customHeight="1" x14ac:dyDescent="0.25">
      <c r="B27" s="219"/>
      <c r="C27" s="90" t="s">
        <v>339</v>
      </c>
      <c r="D27" s="138"/>
      <c r="E27" s="138"/>
      <c r="F27" s="138"/>
      <c r="G27" s="138">
        <v>0.95</v>
      </c>
      <c r="H27" s="138">
        <v>0.94740000000000002</v>
      </c>
      <c r="I27" s="138">
        <v>0.94779999999999998</v>
      </c>
      <c r="J27" s="138"/>
      <c r="K27" s="138">
        <v>0.9556</v>
      </c>
      <c r="L27" s="138">
        <v>0.95</v>
      </c>
      <c r="M27" s="138">
        <v>0.95</v>
      </c>
      <c r="N27" s="138">
        <v>0.9556</v>
      </c>
      <c r="O27" s="138">
        <v>0.95</v>
      </c>
      <c r="P27" s="138"/>
      <c r="Q27" s="138"/>
      <c r="R27" s="138">
        <v>0.95</v>
      </c>
      <c r="S27" s="138">
        <v>0.9556</v>
      </c>
      <c r="T27" s="138">
        <v>0.95</v>
      </c>
      <c r="U27" s="138">
        <v>0.95</v>
      </c>
      <c r="V27" s="138">
        <v>0.95230000000000004</v>
      </c>
      <c r="W27" s="138">
        <v>0.95</v>
      </c>
      <c r="X27" s="138">
        <v>0.95</v>
      </c>
      <c r="Y27" s="138">
        <v>0.95189999999999997</v>
      </c>
      <c r="Z27" s="138">
        <v>0.94</v>
      </c>
      <c r="AA27" s="138">
        <v>0.95</v>
      </c>
      <c r="AB27" s="138">
        <v>0.95</v>
      </c>
      <c r="AC27" s="138">
        <v>0.95</v>
      </c>
      <c r="AD27" s="138">
        <v>0.95</v>
      </c>
      <c r="AE27" s="138">
        <v>0.95</v>
      </c>
      <c r="AF27" s="138">
        <v>0.95</v>
      </c>
      <c r="AG27" s="138">
        <v>0.95</v>
      </c>
    </row>
    <row r="28" spans="2:33" ht="15" customHeight="1" x14ac:dyDescent="0.25">
      <c r="B28" s="220"/>
      <c r="C28" s="108" t="s">
        <v>338</v>
      </c>
      <c r="D28" s="156"/>
      <c r="E28" s="156"/>
      <c r="F28" s="156"/>
      <c r="G28" s="156">
        <v>0.05</v>
      </c>
      <c r="H28" s="156">
        <v>5.2600000000000001E-2</v>
      </c>
      <c r="I28" s="156">
        <v>5.2200000000000003E-2</v>
      </c>
      <c r="J28" s="156"/>
      <c r="K28" s="156">
        <v>4.4400000000000002E-2</v>
      </c>
      <c r="L28" s="156">
        <v>0.05</v>
      </c>
      <c r="M28" s="156">
        <v>0.05</v>
      </c>
      <c r="N28" s="156">
        <v>4.4400000000000002E-2</v>
      </c>
      <c r="O28" s="156">
        <v>0.05</v>
      </c>
      <c r="P28" s="156"/>
      <c r="Q28" s="156"/>
      <c r="R28" s="156">
        <v>0.05</v>
      </c>
      <c r="S28" s="156">
        <v>4.4400000000000002E-2</v>
      </c>
      <c r="T28" s="156">
        <v>0.05</v>
      </c>
      <c r="U28" s="156">
        <v>0.05</v>
      </c>
      <c r="V28" s="156">
        <v>4.7699999999999999E-2</v>
      </c>
      <c r="W28" s="156">
        <v>0.05</v>
      </c>
      <c r="X28" s="156">
        <v>0.05</v>
      </c>
      <c r="Y28" s="156">
        <v>4.8099999999999997E-2</v>
      </c>
      <c r="Z28" s="156">
        <v>0.06</v>
      </c>
      <c r="AA28" s="156">
        <v>0.05</v>
      </c>
      <c r="AB28" s="156">
        <v>0.05</v>
      </c>
      <c r="AC28" s="156">
        <v>0.05</v>
      </c>
      <c r="AD28" s="156">
        <v>0.05</v>
      </c>
      <c r="AE28" s="156">
        <v>0.05</v>
      </c>
      <c r="AF28" s="156">
        <v>0.05</v>
      </c>
      <c r="AG28" s="156">
        <v>0.05</v>
      </c>
    </row>
    <row r="29" spans="2:33" ht="15" customHeight="1" x14ac:dyDescent="0.25">
      <c r="B29" s="34" t="s">
        <v>7</v>
      </c>
      <c r="C29" s="34"/>
      <c r="D29" s="131">
        <v>5339</v>
      </c>
      <c r="E29" s="131">
        <v>5500</v>
      </c>
      <c r="F29" s="131">
        <v>5528</v>
      </c>
      <c r="G29" s="131">
        <v>5613</v>
      </c>
      <c r="H29" s="131">
        <v>5586</v>
      </c>
      <c r="I29" s="131">
        <v>5773</v>
      </c>
      <c r="J29" s="131">
        <v>5603</v>
      </c>
      <c r="K29" s="131">
        <v>5552</v>
      </c>
      <c r="L29" s="131">
        <v>5718</v>
      </c>
      <c r="M29" s="131">
        <v>5755</v>
      </c>
      <c r="N29" s="131">
        <v>5693</v>
      </c>
      <c r="O29" s="131">
        <v>5324</v>
      </c>
      <c r="P29" s="131">
        <v>5510</v>
      </c>
      <c r="Q29" s="131">
        <v>5603</v>
      </c>
      <c r="R29" s="131">
        <v>5616</v>
      </c>
      <c r="S29" s="131">
        <v>5682</v>
      </c>
      <c r="T29" s="131">
        <v>5579</v>
      </c>
      <c r="U29" s="131">
        <v>5542</v>
      </c>
      <c r="V29" s="131">
        <v>5526</v>
      </c>
      <c r="W29" s="131">
        <v>5622</v>
      </c>
      <c r="X29" s="131">
        <v>5477</v>
      </c>
      <c r="Y29" s="131">
        <v>5538</v>
      </c>
      <c r="Z29" s="131">
        <v>5503</v>
      </c>
      <c r="AA29" s="131">
        <v>5601</v>
      </c>
      <c r="AB29" s="131">
        <v>5593</v>
      </c>
      <c r="AC29" s="131">
        <v>5408</v>
      </c>
      <c r="AD29" s="131">
        <v>5555</v>
      </c>
      <c r="AE29" s="131">
        <v>5500</v>
      </c>
      <c r="AF29" s="131">
        <v>5593</v>
      </c>
      <c r="AG29" s="131"/>
    </row>
    <row r="30" spans="2:33" ht="7.5" customHeight="1" thickBot="1" x14ac:dyDescent="0.3"/>
    <row r="31" spans="2:33" ht="12.75" customHeight="1" thickBot="1" x14ac:dyDescent="0.3">
      <c r="B31" s="213" t="s">
        <v>1002</v>
      </c>
      <c r="C31" s="214"/>
      <c r="D31" s="130">
        <v>79.32017543859655</v>
      </c>
      <c r="E31" s="130">
        <v>79.073239436619787</v>
      </c>
      <c r="F31" s="130">
        <v>78.848863636361969</v>
      </c>
      <c r="G31" s="130">
        <v>80.028225806451772</v>
      </c>
      <c r="H31" s="130">
        <v>79.695939565155854</v>
      </c>
      <c r="I31" s="130">
        <v>80.83003082342583</v>
      </c>
      <c r="J31" s="130">
        <v>78.47247191011239</v>
      </c>
      <c r="K31" s="130">
        <v>79.827438370846764</v>
      </c>
      <c r="L31" s="130">
        <v>81.68840579710151</v>
      </c>
      <c r="M31" s="130">
        <v>79.072630513728996</v>
      </c>
      <c r="N31" s="130">
        <v>79.441964285714363</v>
      </c>
      <c r="O31" s="130">
        <v>80.91269841269839</v>
      </c>
      <c r="P31" s="130">
        <v>78.636565836343479</v>
      </c>
      <c r="Q31" s="130">
        <v>79.422348498321995</v>
      </c>
      <c r="R31" s="130">
        <v>80.39130434807754</v>
      </c>
      <c r="S31" s="130">
        <v>80.200980392156907</v>
      </c>
      <c r="T31" s="130">
        <v>79.472038749306677</v>
      </c>
      <c r="U31" s="130">
        <v>79.873345935727841</v>
      </c>
      <c r="V31" s="157">
        <v>80.905191873589033</v>
      </c>
      <c r="W31" s="158">
        <v>79.179279279317328</v>
      </c>
      <c r="X31" s="158">
        <v>81.405785123966893</v>
      </c>
      <c r="Y31" s="158">
        <v>80.869294606431566</v>
      </c>
      <c r="Z31" s="158">
        <v>80.103837471897037</v>
      </c>
      <c r="AA31" s="159">
        <v>79.429104477623909</v>
      </c>
      <c r="AB31" s="159">
        <v>78.664179104477654</v>
      </c>
      <c r="AC31" s="159">
        <v>77.618647812638145</v>
      </c>
      <c r="AD31" s="159">
        <v>77.441130298273194</v>
      </c>
      <c r="AE31" s="159">
        <v>78.556372417128813</v>
      </c>
      <c r="AF31" s="159">
        <v>77.606423834114963</v>
      </c>
      <c r="AG31" s="159">
        <v>79.264187866927642</v>
      </c>
    </row>
    <row r="32" spans="2:33" ht="12.75" customHeight="1" x14ac:dyDescent="0.25">
      <c r="B32" s="114"/>
    </row>
    <row r="33" spans="2:2" ht="12.75" customHeight="1" x14ac:dyDescent="0.25">
      <c r="B33" s="114"/>
    </row>
    <row r="34" spans="2:2" ht="12.75" customHeight="1" x14ac:dyDescent="0.25">
      <c r="B34" s="114"/>
    </row>
    <row r="35" spans="2:2" ht="12.75" customHeight="1" x14ac:dyDescent="0.25">
      <c r="B35" s="114"/>
    </row>
    <row r="36" spans="2:2" ht="12.75" customHeight="1" x14ac:dyDescent="0.25">
      <c r="B36" s="114"/>
    </row>
    <row r="37" spans="2:2" ht="12.75" customHeight="1" x14ac:dyDescent="0.25">
      <c r="B37" s="114"/>
    </row>
    <row r="38" spans="2:2" ht="12.75" customHeight="1" x14ac:dyDescent="0.25">
      <c r="B38" s="114"/>
    </row>
    <row r="39" spans="2:2" ht="12.75" customHeight="1" x14ac:dyDescent="0.25">
      <c r="B39" s="114"/>
    </row>
    <row r="40" spans="2:2" ht="12.75" customHeight="1" x14ac:dyDescent="0.25">
      <c r="B40" s="114"/>
    </row>
    <row r="41" spans="2:2" ht="12.75" customHeight="1" x14ac:dyDescent="0.25">
      <c r="B41" s="114"/>
    </row>
    <row r="42" spans="2:2" ht="12.75" customHeight="1" x14ac:dyDescent="0.25">
      <c r="B42" s="114"/>
    </row>
    <row r="43" spans="2:2" ht="12.75" customHeight="1" x14ac:dyDescent="0.25">
      <c r="B43" s="114"/>
    </row>
    <row r="44" spans="2:2" ht="12.75" customHeight="1" x14ac:dyDescent="0.25">
      <c r="B44" s="114"/>
    </row>
    <row r="45" spans="2:2" x14ac:dyDescent="0.25">
      <c r="B45" s="114"/>
    </row>
    <row r="46" spans="2:2" x14ac:dyDescent="0.25">
      <c r="B46" s="114"/>
    </row>
    <row r="47" spans="2:2" x14ac:dyDescent="0.25">
      <c r="B47" s="114"/>
    </row>
    <row r="48" spans="2:2" x14ac:dyDescent="0.25">
      <c r="B48" s="114"/>
    </row>
    <row r="49" spans="2:2" x14ac:dyDescent="0.25">
      <c r="B49" s="114"/>
    </row>
    <row r="50" spans="2:2" x14ac:dyDescent="0.25">
      <c r="B50" s="114"/>
    </row>
    <row r="51" spans="2:2" x14ac:dyDescent="0.25">
      <c r="B51" s="114"/>
    </row>
    <row r="52" spans="2:2" x14ac:dyDescent="0.25">
      <c r="B52" s="114"/>
    </row>
  </sheetData>
  <mergeCells count="9">
    <mergeCell ref="B23:B25"/>
    <mergeCell ref="B26:B28"/>
    <mergeCell ref="B31:C31"/>
    <mergeCell ref="B3:B5"/>
    <mergeCell ref="B6:B8"/>
    <mergeCell ref="B9:B11"/>
    <mergeCell ref="B12:B14"/>
    <mergeCell ref="B17:B19"/>
    <mergeCell ref="B20:B22"/>
  </mergeCells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54E7-54B8-4427-BE98-ECE5B3B6973A}">
  <dimension ref="B1:AH52"/>
  <sheetViews>
    <sheetView topLeftCell="A13" zoomScale="90" zoomScaleNormal="90" workbookViewId="0">
      <pane xSplit="3" topLeftCell="V1" activePane="topRight" state="frozen"/>
      <selection pane="topRight" activeCell="Z35" sqref="Z35"/>
    </sheetView>
  </sheetViews>
  <sheetFormatPr defaultRowHeight="15" x14ac:dyDescent="0.25"/>
  <cols>
    <col min="3" max="3" width="28.140625" customWidth="1"/>
    <col min="4" max="34" width="10.7109375" customWidth="1"/>
  </cols>
  <sheetData>
    <row r="1" spans="2:34" ht="6" customHeight="1" thickBot="1" x14ac:dyDescent="0.3"/>
    <row r="2" spans="2:34" ht="15" customHeight="1" thickBot="1" x14ac:dyDescent="0.3">
      <c r="B2" s="94" t="s">
        <v>964</v>
      </c>
      <c r="C2" s="96" t="s">
        <v>961</v>
      </c>
      <c r="D2" s="97" t="str">
        <f t="shared" ref="D2:E2" si="0">D16</f>
        <v>01.07.2025</v>
      </c>
      <c r="E2" s="97" t="str">
        <f t="shared" si="0"/>
        <v>02.07.2025</v>
      </c>
      <c r="F2" s="97" t="str">
        <f t="shared" ref="F2" si="1">F16</f>
        <v>03.07.2025</v>
      </c>
      <c r="G2" s="97" t="str">
        <f t="shared" ref="G2:L2" si="2">G16</f>
        <v>04.07.2025</v>
      </c>
      <c r="H2" s="97" t="str">
        <f t="shared" si="2"/>
        <v>05.07.2025</v>
      </c>
      <c r="I2" s="97" t="str">
        <f t="shared" si="2"/>
        <v>06.07.2025</v>
      </c>
      <c r="J2" s="97" t="str">
        <f t="shared" si="2"/>
        <v>07.07.2025</v>
      </c>
      <c r="K2" s="97" t="str">
        <f t="shared" si="2"/>
        <v>08.07.2025</v>
      </c>
      <c r="L2" s="97" t="str">
        <f t="shared" si="2"/>
        <v>09.07.2025</v>
      </c>
      <c r="M2" s="97" t="str">
        <f t="shared" ref="M2:N2" si="3">M16</f>
        <v>10.07.2025</v>
      </c>
      <c r="N2" s="97" t="str">
        <f t="shared" si="3"/>
        <v>11.07.2025</v>
      </c>
      <c r="O2" s="97" t="str">
        <f t="shared" ref="O2:P2" si="4">O16</f>
        <v>12.07.2025</v>
      </c>
      <c r="P2" s="97" t="str">
        <f t="shared" si="4"/>
        <v>13.07.2025</v>
      </c>
      <c r="Q2" s="97" t="str">
        <f t="shared" ref="Q2:R2" si="5">Q16</f>
        <v>14.07.2025</v>
      </c>
      <c r="R2" s="97" t="str">
        <f t="shared" si="5"/>
        <v>15.07.2025</v>
      </c>
      <c r="S2" s="97" t="str">
        <f t="shared" ref="S2:T2" si="6">S16</f>
        <v>16.07.2025</v>
      </c>
      <c r="T2" s="97" t="str">
        <f t="shared" si="6"/>
        <v>17.07.2025</v>
      </c>
      <c r="U2" s="97" t="str">
        <f t="shared" ref="U2:V2" si="7">U16</f>
        <v>18.07.2025</v>
      </c>
      <c r="V2" s="97" t="str">
        <f t="shared" si="7"/>
        <v>19.07.2025</v>
      </c>
      <c r="W2" s="97" t="str">
        <f t="shared" ref="W2:X2" si="8">W16</f>
        <v>20.07.2025</v>
      </c>
      <c r="X2" s="97" t="str">
        <f t="shared" si="8"/>
        <v>21.07.2025</v>
      </c>
      <c r="Y2" s="97" t="str">
        <f t="shared" ref="Y2:Z2" si="9">Y16</f>
        <v>22.07.2025</v>
      </c>
      <c r="Z2" s="97" t="str">
        <f t="shared" si="9"/>
        <v>23.07.2025</v>
      </c>
      <c r="AA2" s="97" t="str">
        <f t="shared" ref="AA2:AB2" si="10">AA16</f>
        <v>24.07.2025</v>
      </c>
      <c r="AB2" s="97" t="str">
        <f t="shared" si="10"/>
        <v>25.07.2025</v>
      </c>
      <c r="AC2" s="97" t="str">
        <f t="shared" ref="AC2:AE2" si="11">AC16</f>
        <v>26.07.2025</v>
      </c>
      <c r="AD2" s="97" t="str">
        <f t="shared" si="11"/>
        <v>27.07.2025</v>
      </c>
      <c r="AE2" s="97" t="str">
        <f t="shared" si="11"/>
        <v>28.07.2025</v>
      </c>
      <c r="AF2" s="97" t="str">
        <f t="shared" ref="AF2:AG2" si="12">AF16</f>
        <v>29.07.2025</v>
      </c>
      <c r="AG2" s="97" t="str">
        <f t="shared" si="12"/>
        <v>30.07.2025</v>
      </c>
      <c r="AH2" s="97" t="str">
        <f t="shared" ref="AH2" si="13">AH16</f>
        <v>31.07.2025</v>
      </c>
    </row>
    <row r="3" spans="2:34" ht="15" customHeight="1" x14ac:dyDescent="0.25">
      <c r="B3" s="206" t="s">
        <v>958</v>
      </c>
      <c r="C3" s="116" t="s">
        <v>957</v>
      </c>
      <c r="D3" s="117">
        <v>0.17</v>
      </c>
      <c r="E3" s="117">
        <v>0.17</v>
      </c>
      <c r="F3" s="117">
        <v>0.17</v>
      </c>
      <c r="G3" s="117">
        <v>0.16769999999999999</v>
      </c>
      <c r="H3" s="117">
        <v>0.151</v>
      </c>
      <c r="I3" s="117">
        <v>0.15429999999999999</v>
      </c>
      <c r="J3" s="117">
        <v>0.1547</v>
      </c>
      <c r="K3" s="117">
        <v>0.15035000000000001</v>
      </c>
      <c r="L3" s="117">
        <v>0.15</v>
      </c>
      <c r="M3" s="117">
        <v>0.14979999999999999</v>
      </c>
      <c r="N3" s="117">
        <v>0.15135000000000001</v>
      </c>
      <c r="O3" s="117">
        <v>0.15026</v>
      </c>
      <c r="P3" s="117">
        <v>0.1507</v>
      </c>
      <c r="Q3" s="117">
        <v>0.17</v>
      </c>
      <c r="R3" s="117">
        <v>0.17</v>
      </c>
      <c r="S3" s="117">
        <v>0.156</v>
      </c>
      <c r="T3" s="117">
        <v>0.17</v>
      </c>
      <c r="U3" s="117">
        <v>0.15629999999999999</v>
      </c>
      <c r="V3" s="117">
        <v>0.17</v>
      </c>
      <c r="W3" s="117">
        <v>0.15179999999999999</v>
      </c>
      <c r="X3" s="117">
        <v>0.17</v>
      </c>
      <c r="Y3" s="117">
        <v>0.17</v>
      </c>
      <c r="Z3" s="117">
        <v>0.17419999999999999</v>
      </c>
      <c r="AA3" s="117">
        <v>0.16</v>
      </c>
      <c r="AB3" s="117">
        <v>0.17</v>
      </c>
      <c r="AC3" s="117">
        <v>0.16</v>
      </c>
      <c r="AD3" s="117">
        <v>0.16</v>
      </c>
      <c r="AE3" s="117">
        <v>0.16</v>
      </c>
      <c r="AF3" s="117">
        <v>0.17</v>
      </c>
      <c r="AG3" s="117">
        <v>0.17</v>
      </c>
      <c r="AH3" s="117">
        <v>0.16259999999999999</v>
      </c>
    </row>
    <row r="4" spans="2:34" ht="15" customHeight="1" x14ac:dyDescent="0.25">
      <c r="B4" s="207"/>
      <c r="C4" s="118" t="s">
        <v>339</v>
      </c>
      <c r="D4" s="84">
        <v>0.78</v>
      </c>
      <c r="E4" s="84">
        <v>0.77500000000000002</v>
      </c>
      <c r="F4" s="84">
        <v>0.78</v>
      </c>
      <c r="G4" s="84">
        <v>0.7823</v>
      </c>
      <c r="H4" s="84">
        <v>0.79454000000000002</v>
      </c>
      <c r="I4" s="84">
        <v>0.79220000000000002</v>
      </c>
      <c r="J4" s="84">
        <v>0.79390000000000005</v>
      </c>
      <c r="K4" s="84">
        <v>0.79752000000000001</v>
      </c>
      <c r="L4" s="84">
        <v>0.79435</v>
      </c>
      <c r="M4" s="84">
        <v>0.79559999999999997</v>
      </c>
      <c r="N4" s="84">
        <v>0.79459999999999997</v>
      </c>
      <c r="O4" s="84">
        <v>0.79579999999999995</v>
      </c>
      <c r="P4" s="84">
        <v>0.79910000000000003</v>
      </c>
      <c r="Q4" s="84">
        <v>0.78</v>
      </c>
      <c r="R4" s="84">
        <v>0.78</v>
      </c>
      <c r="S4" s="84">
        <v>0.79400000000000004</v>
      </c>
      <c r="T4" s="84">
        <v>0.78</v>
      </c>
      <c r="U4" s="84">
        <v>0.79530000000000001</v>
      </c>
      <c r="V4" s="84">
        <v>0.78</v>
      </c>
      <c r="W4" s="84">
        <v>0.7964</v>
      </c>
      <c r="X4" s="84">
        <v>0.78</v>
      </c>
      <c r="Y4" s="84">
        <v>0.78</v>
      </c>
      <c r="Z4" s="84">
        <v>0.78</v>
      </c>
      <c r="AA4" s="84">
        <v>0.79</v>
      </c>
      <c r="AB4" s="84">
        <v>0.78</v>
      </c>
      <c r="AC4" s="84">
        <v>0.79</v>
      </c>
      <c r="AD4" s="84">
        <v>0.79</v>
      </c>
      <c r="AE4" s="84">
        <v>0.79</v>
      </c>
      <c r="AF4" s="84">
        <v>0.78</v>
      </c>
      <c r="AG4" s="84">
        <v>0.78</v>
      </c>
      <c r="AH4" s="84">
        <v>0.78769999999999996</v>
      </c>
    </row>
    <row r="5" spans="2:34" ht="15" customHeight="1" thickBot="1" x14ac:dyDescent="0.3">
      <c r="B5" s="208"/>
      <c r="C5" s="118" t="s">
        <v>338</v>
      </c>
      <c r="D5" s="84">
        <v>0.05</v>
      </c>
      <c r="E5" s="84">
        <v>5.5E-2</v>
      </c>
      <c r="F5" s="84">
        <v>0.05</v>
      </c>
      <c r="G5" s="84">
        <v>0.05</v>
      </c>
      <c r="H5" s="84">
        <v>5.4420000000000003E-2</v>
      </c>
      <c r="I5" s="84">
        <v>5.3499999999999999E-2</v>
      </c>
      <c r="J5" s="84">
        <v>5.1400000000000001E-2</v>
      </c>
      <c r="K5" s="84">
        <v>5.2130000000000003E-2</v>
      </c>
      <c r="L5" s="84">
        <v>5.5640000000000002E-2</v>
      </c>
      <c r="M5" s="84">
        <v>5.4600000000000003E-2</v>
      </c>
      <c r="N5" s="84">
        <v>5.4050000000000001E-2</v>
      </c>
      <c r="O5" s="84">
        <v>5.3969999999999997E-2</v>
      </c>
      <c r="P5" s="84">
        <v>5.0229999999999997E-2</v>
      </c>
      <c r="Q5" s="84">
        <v>0.05</v>
      </c>
      <c r="R5" s="84">
        <v>0.05</v>
      </c>
      <c r="S5" s="84">
        <v>0.05</v>
      </c>
      <c r="T5" s="84">
        <v>0.05</v>
      </c>
      <c r="U5" s="84">
        <v>4.8300000000000003E-2</v>
      </c>
      <c r="V5" s="84">
        <v>0.05</v>
      </c>
      <c r="W5" s="84">
        <v>5.1799999999999999E-2</v>
      </c>
      <c r="X5" s="84">
        <v>0.05</v>
      </c>
      <c r="Y5" s="84">
        <v>0.05</v>
      </c>
      <c r="Z5" s="84">
        <v>4.58E-2</v>
      </c>
      <c r="AA5" s="84">
        <v>0.05</v>
      </c>
      <c r="AB5" s="84">
        <v>0.05</v>
      </c>
      <c r="AC5" s="84">
        <v>0.05</v>
      </c>
      <c r="AD5" s="84">
        <v>0.05</v>
      </c>
      <c r="AE5" s="84">
        <v>0.05</v>
      </c>
      <c r="AF5" s="84">
        <v>0.05</v>
      </c>
      <c r="AG5" s="84">
        <v>0.05</v>
      </c>
      <c r="AH5" s="84">
        <v>4.9799999999999997E-2</v>
      </c>
    </row>
    <row r="6" spans="2:34" ht="15" customHeight="1" x14ac:dyDescent="0.25">
      <c r="B6" s="209" t="s">
        <v>959</v>
      </c>
      <c r="C6" s="119" t="s">
        <v>957</v>
      </c>
      <c r="D6" s="86">
        <v>0.2</v>
      </c>
      <c r="E6" s="86"/>
      <c r="F6" s="86"/>
      <c r="G6" s="86">
        <v>0.15</v>
      </c>
      <c r="H6" s="86"/>
      <c r="I6" s="86">
        <v>0.15</v>
      </c>
      <c r="J6" s="86"/>
      <c r="K6" s="86"/>
      <c r="L6" s="86"/>
      <c r="M6" s="86">
        <v>0.2</v>
      </c>
      <c r="N6" s="86">
        <v>0.16</v>
      </c>
      <c r="O6" s="86">
        <v>0.17</v>
      </c>
      <c r="P6" s="86">
        <v>0.16170000000000001</v>
      </c>
      <c r="Q6" s="86"/>
      <c r="R6" s="86">
        <v>0.22</v>
      </c>
      <c r="S6" s="86">
        <v>0.24</v>
      </c>
      <c r="T6" s="86">
        <v>0.23400000000000001</v>
      </c>
      <c r="U6" s="86">
        <v>0.22</v>
      </c>
      <c r="V6" s="86"/>
      <c r="W6" s="86">
        <v>0.24</v>
      </c>
      <c r="X6" s="86"/>
      <c r="Y6" s="86">
        <v>0.22</v>
      </c>
      <c r="Z6" s="86"/>
      <c r="AA6" s="86"/>
      <c r="AB6" s="86"/>
      <c r="AC6" s="86">
        <v>0.15</v>
      </c>
      <c r="AD6" s="86"/>
      <c r="AE6" s="86">
        <v>0.2</v>
      </c>
      <c r="AF6" s="86"/>
      <c r="AG6" s="86">
        <v>0.22</v>
      </c>
      <c r="AH6" s="86">
        <v>0.23</v>
      </c>
    </row>
    <row r="7" spans="2:34" ht="15" customHeight="1" x14ac:dyDescent="0.25">
      <c r="B7" s="210"/>
      <c r="C7" s="120" t="s">
        <v>339</v>
      </c>
      <c r="D7" s="86">
        <v>0.75</v>
      </c>
      <c r="E7" s="86"/>
      <c r="F7" s="86"/>
      <c r="G7" s="86">
        <v>0.8</v>
      </c>
      <c r="H7" s="86"/>
      <c r="I7" s="86">
        <v>0.8</v>
      </c>
      <c r="J7" s="86"/>
      <c r="K7" s="86"/>
      <c r="L7" s="86"/>
      <c r="M7" s="86">
        <v>0.74550000000000005</v>
      </c>
      <c r="N7" s="86">
        <v>0.79</v>
      </c>
      <c r="O7" s="86">
        <v>0.78</v>
      </c>
      <c r="P7" s="86">
        <v>0.78720000000000001</v>
      </c>
      <c r="Q7" s="86"/>
      <c r="R7" s="86">
        <v>0.73199999999999998</v>
      </c>
      <c r="S7" s="86">
        <v>0.71</v>
      </c>
      <c r="T7" s="86">
        <v>0.71599999999999997</v>
      </c>
      <c r="U7" s="86">
        <v>0.73</v>
      </c>
      <c r="V7" s="86"/>
      <c r="W7" s="86">
        <v>0.71</v>
      </c>
      <c r="X7" s="86"/>
      <c r="Y7" s="86">
        <v>0.73</v>
      </c>
      <c r="Z7" s="86"/>
      <c r="AA7" s="86"/>
      <c r="AB7" s="86"/>
      <c r="AC7" s="86">
        <v>0.8</v>
      </c>
      <c r="AD7" s="86"/>
      <c r="AE7" s="86">
        <v>0.75</v>
      </c>
      <c r="AF7" s="86"/>
      <c r="AG7" s="86">
        <v>0.73</v>
      </c>
      <c r="AH7" s="86">
        <v>0.72</v>
      </c>
    </row>
    <row r="8" spans="2:34" ht="15" customHeight="1" thickBot="1" x14ac:dyDescent="0.3">
      <c r="B8" s="211"/>
      <c r="C8" s="120" t="s">
        <v>338</v>
      </c>
      <c r="D8" s="86">
        <v>0.05</v>
      </c>
      <c r="E8" s="86"/>
      <c r="F8" s="86"/>
      <c r="G8" s="86">
        <v>0.05</v>
      </c>
      <c r="H8" s="86"/>
      <c r="I8" s="86">
        <v>0.05</v>
      </c>
      <c r="J8" s="86"/>
      <c r="K8" s="86"/>
      <c r="L8" s="86"/>
      <c r="M8" s="86">
        <v>5.45E-2</v>
      </c>
      <c r="N8" s="86">
        <v>0.05</v>
      </c>
      <c r="O8" s="86">
        <v>0.05</v>
      </c>
      <c r="P8" s="86">
        <v>5.1060000000000001E-2</v>
      </c>
      <c r="Q8" s="86"/>
      <c r="R8" s="86">
        <v>4.8000000000000001E-2</v>
      </c>
      <c r="S8" s="86">
        <v>0.05</v>
      </c>
      <c r="T8" s="86">
        <v>0.05</v>
      </c>
      <c r="U8" s="86">
        <v>0.05</v>
      </c>
      <c r="V8" s="86"/>
      <c r="W8" s="86">
        <v>0.05</v>
      </c>
      <c r="X8" s="86"/>
      <c r="Y8" s="86">
        <v>0.05</v>
      </c>
      <c r="Z8" s="86"/>
      <c r="AA8" s="86"/>
      <c r="AB8" s="86"/>
      <c r="AC8" s="86">
        <v>0.05</v>
      </c>
      <c r="AD8" s="86"/>
      <c r="AE8" s="86">
        <v>0.05</v>
      </c>
      <c r="AF8" s="86"/>
      <c r="AG8" s="86">
        <v>0.05</v>
      </c>
      <c r="AH8" s="86">
        <v>0.05</v>
      </c>
    </row>
    <row r="9" spans="2:34" ht="15" customHeight="1" x14ac:dyDescent="0.25">
      <c r="B9" s="215" t="s">
        <v>960</v>
      </c>
      <c r="C9" s="121" t="s">
        <v>957</v>
      </c>
      <c r="D9" s="135"/>
      <c r="E9" s="135"/>
      <c r="F9" s="135"/>
      <c r="G9" s="135">
        <v>0.25</v>
      </c>
      <c r="H9" s="135"/>
      <c r="I9" s="135"/>
      <c r="J9" s="135"/>
      <c r="K9" s="135"/>
      <c r="L9" s="135">
        <v>0.25</v>
      </c>
      <c r="M9" s="135"/>
      <c r="N9" s="135">
        <v>0.25</v>
      </c>
      <c r="O9" s="135">
        <v>0.19500000000000001</v>
      </c>
      <c r="P9" s="135"/>
      <c r="Q9" s="135">
        <v>0.25</v>
      </c>
      <c r="R9" s="135">
        <v>0.26</v>
      </c>
      <c r="S9" s="135"/>
      <c r="T9" s="135">
        <v>0.26</v>
      </c>
      <c r="U9" s="135">
        <v>0.26</v>
      </c>
      <c r="V9" s="135">
        <v>0.24</v>
      </c>
      <c r="W9" s="135">
        <v>0.26</v>
      </c>
      <c r="X9" s="135">
        <v>0.26</v>
      </c>
      <c r="Y9" s="135"/>
      <c r="Z9" s="135"/>
      <c r="AA9" s="135"/>
      <c r="AB9" s="135"/>
      <c r="AC9" s="135"/>
      <c r="AD9" s="135">
        <v>0.25</v>
      </c>
      <c r="AE9" s="135"/>
      <c r="AF9" s="135"/>
      <c r="AG9" s="135">
        <v>0.26</v>
      </c>
      <c r="AH9" s="135">
        <v>0.26</v>
      </c>
    </row>
    <row r="10" spans="2:34" ht="15" customHeight="1" x14ac:dyDescent="0.25">
      <c r="B10" s="216"/>
      <c r="C10" s="123" t="s">
        <v>339</v>
      </c>
      <c r="D10" s="134"/>
      <c r="E10" s="134"/>
      <c r="F10" s="134"/>
      <c r="G10" s="134">
        <v>0.7</v>
      </c>
      <c r="H10" s="134"/>
      <c r="I10" s="134"/>
      <c r="J10" s="134"/>
      <c r="K10" s="134"/>
      <c r="L10" s="134">
        <v>0.7</v>
      </c>
      <c r="M10" s="134"/>
      <c r="N10" s="134">
        <v>0.7</v>
      </c>
      <c r="O10" s="134">
        <v>0.755</v>
      </c>
      <c r="P10" s="134"/>
      <c r="Q10" s="134">
        <v>0.7</v>
      </c>
      <c r="R10" s="134">
        <v>0.69</v>
      </c>
      <c r="S10" s="134"/>
      <c r="T10" s="134">
        <v>0.69</v>
      </c>
      <c r="U10" s="134">
        <v>0.69</v>
      </c>
      <c r="V10" s="134">
        <v>0.71199999999999997</v>
      </c>
      <c r="W10" s="134">
        <v>0.69</v>
      </c>
      <c r="X10" s="134">
        <v>0.69</v>
      </c>
      <c r="Y10" s="134"/>
      <c r="Z10" s="134"/>
      <c r="AA10" s="134"/>
      <c r="AB10" s="134"/>
      <c r="AC10" s="134"/>
      <c r="AD10" s="134">
        <v>0.7</v>
      </c>
      <c r="AE10" s="134"/>
      <c r="AF10" s="134"/>
      <c r="AG10" s="134">
        <v>0.69</v>
      </c>
      <c r="AH10" s="134">
        <v>0.69</v>
      </c>
    </row>
    <row r="11" spans="2:34" ht="15" customHeight="1" thickBot="1" x14ac:dyDescent="0.3">
      <c r="B11" s="221"/>
      <c r="C11" s="125" t="s">
        <v>338</v>
      </c>
      <c r="D11" s="136"/>
      <c r="E11" s="136"/>
      <c r="F11" s="136"/>
      <c r="G11" s="136">
        <v>0.05</v>
      </c>
      <c r="H11" s="136"/>
      <c r="I11" s="136"/>
      <c r="J11" s="136"/>
      <c r="K11" s="136"/>
      <c r="L11" s="136">
        <v>0.05</v>
      </c>
      <c r="M11" s="136"/>
      <c r="N11" s="136">
        <v>0.05</v>
      </c>
      <c r="O11" s="136">
        <v>0.05</v>
      </c>
      <c r="P11" s="136"/>
      <c r="Q11" s="136">
        <v>0.05</v>
      </c>
      <c r="R11" s="136">
        <v>0.05</v>
      </c>
      <c r="S11" s="136"/>
      <c r="T11" s="136">
        <v>0.05</v>
      </c>
      <c r="U11" s="136">
        <v>0.05</v>
      </c>
      <c r="V11" s="136">
        <v>4.8000000000000001E-2</v>
      </c>
      <c r="W11" s="136">
        <v>0.05</v>
      </c>
      <c r="X11" s="136">
        <v>0.05</v>
      </c>
      <c r="Y11" s="136"/>
      <c r="Z11" s="136"/>
      <c r="AA11" s="136"/>
      <c r="AB11" s="136"/>
      <c r="AC11" s="136"/>
      <c r="AD11" s="136">
        <v>0.05</v>
      </c>
      <c r="AE11" s="136"/>
      <c r="AF11" s="136"/>
      <c r="AG11" s="136">
        <v>0.05</v>
      </c>
      <c r="AH11" s="136">
        <v>0.05</v>
      </c>
    </row>
    <row r="12" spans="2:34" ht="15" customHeight="1" x14ac:dyDescent="0.25">
      <c r="B12" s="222" t="s">
        <v>1086</v>
      </c>
      <c r="C12" s="151" t="s">
        <v>957</v>
      </c>
      <c r="D12" s="152"/>
      <c r="E12" s="152"/>
      <c r="F12" s="152"/>
      <c r="G12" s="152"/>
      <c r="H12" s="152"/>
      <c r="I12" s="152"/>
      <c r="J12" s="152"/>
      <c r="K12" s="152"/>
      <c r="L12" s="152"/>
      <c r="M12" s="154">
        <v>0</v>
      </c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54"/>
      <c r="Z12" s="154"/>
      <c r="AA12" s="154"/>
      <c r="AB12" s="154"/>
      <c r="AC12" s="154"/>
      <c r="AD12" s="154"/>
      <c r="AE12" s="154"/>
      <c r="AF12" s="154"/>
      <c r="AG12" s="154"/>
      <c r="AH12" s="154"/>
    </row>
    <row r="13" spans="2:34" ht="15" customHeight="1" x14ac:dyDescent="0.25">
      <c r="B13" s="223"/>
      <c r="C13" s="90" t="s">
        <v>339</v>
      </c>
      <c r="D13" s="149"/>
      <c r="E13" s="149"/>
      <c r="F13" s="149"/>
      <c r="G13" s="149"/>
      <c r="H13" s="149"/>
      <c r="I13" s="149"/>
      <c r="J13" s="149"/>
      <c r="K13" s="149"/>
      <c r="L13" s="149"/>
      <c r="M13" s="153">
        <v>0.95</v>
      </c>
      <c r="N13" s="153"/>
      <c r="O13" s="153"/>
      <c r="P13" s="153"/>
      <c r="Q13" s="153"/>
      <c r="R13" s="153"/>
      <c r="S13" s="153"/>
      <c r="T13" s="153"/>
      <c r="U13" s="153"/>
      <c r="V13" s="153">
        <v>0.88890000000000002</v>
      </c>
      <c r="W13" s="153"/>
      <c r="X13" s="153"/>
      <c r="Y13" s="153"/>
      <c r="Z13" s="153"/>
      <c r="AA13" s="153"/>
      <c r="AB13" s="153"/>
      <c r="AC13" s="153"/>
      <c r="AD13" s="153"/>
      <c r="AE13" s="153"/>
      <c r="AF13" s="153"/>
      <c r="AG13" s="153"/>
      <c r="AH13" s="153"/>
    </row>
    <row r="14" spans="2:34" ht="15" customHeight="1" thickBot="1" x14ac:dyDescent="0.3">
      <c r="B14" s="224"/>
      <c r="C14" s="92" t="s">
        <v>338</v>
      </c>
      <c r="D14" s="150"/>
      <c r="E14" s="150"/>
      <c r="F14" s="150"/>
      <c r="G14" s="150"/>
      <c r="H14" s="150"/>
      <c r="I14" s="150"/>
      <c r="J14" s="150"/>
      <c r="K14" s="150"/>
      <c r="L14" s="150"/>
      <c r="M14" s="155">
        <v>0.05</v>
      </c>
      <c r="N14" s="155"/>
      <c r="O14" s="155"/>
      <c r="P14" s="155"/>
      <c r="Q14" s="155"/>
      <c r="R14" s="155"/>
      <c r="S14" s="155"/>
      <c r="T14" s="155"/>
      <c r="U14" s="155"/>
      <c r="V14" s="155">
        <v>0.1111</v>
      </c>
      <c r="W14" s="155"/>
      <c r="X14" s="155"/>
      <c r="Y14" s="155"/>
      <c r="Z14" s="155"/>
      <c r="AA14" s="155"/>
      <c r="AB14" s="155"/>
      <c r="AC14" s="155"/>
      <c r="AD14" s="155"/>
      <c r="AE14" s="155"/>
      <c r="AF14" s="155"/>
      <c r="AG14" s="155"/>
      <c r="AH14" s="155"/>
    </row>
    <row r="15" spans="2:34" ht="6.75" customHeight="1" thickBot="1" x14ac:dyDescent="0.3"/>
    <row r="16" spans="2:34" ht="15" customHeight="1" thickBot="1" x14ac:dyDescent="0.3">
      <c r="B16" s="95" t="s">
        <v>964</v>
      </c>
      <c r="C16" s="94" t="s">
        <v>963</v>
      </c>
      <c r="D16" s="94" t="s">
        <v>1275</v>
      </c>
      <c r="E16" s="94" t="s">
        <v>1276</v>
      </c>
      <c r="F16" s="94" t="s">
        <v>1277</v>
      </c>
      <c r="G16" s="94" t="s">
        <v>1278</v>
      </c>
      <c r="H16" s="94" t="s">
        <v>1279</v>
      </c>
      <c r="I16" s="94" t="s">
        <v>1280</v>
      </c>
      <c r="J16" s="94" t="s">
        <v>1281</v>
      </c>
      <c r="K16" s="94" t="s">
        <v>1282</v>
      </c>
      <c r="L16" s="94" t="s">
        <v>1283</v>
      </c>
      <c r="M16" s="94" t="s">
        <v>1284</v>
      </c>
      <c r="N16" s="94" t="s">
        <v>1285</v>
      </c>
      <c r="O16" s="94" t="s">
        <v>1286</v>
      </c>
      <c r="P16" s="94" t="s">
        <v>1287</v>
      </c>
      <c r="Q16" s="94" t="s">
        <v>1288</v>
      </c>
      <c r="R16" s="94" t="s">
        <v>1289</v>
      </c>
      <c r="S16" s="94" t="s">
        <v>1290</v>
      </c>
      <c r="T16" s="94" t="s">
        <v>1291</v>
      </c>
      <c r="U16" s="94" t="s">
        <v>1292</v>
      </c>
      <c r="V16" s="94" t="s">
        <v>1293</v>
      </c>
      <c r="W16" s="94" t="s">
        <v>1294</v>
      </c>
      <c r="X16" s="94" t="s">
        <v>1295</v>
      </c>
      <c r="Y16" s="94" t="s">
        <v>1296</v>
      </c>
      <c r="Z16" s="94" t="s">
        <v>1297</v>
      </c>
      <c r="AA16" s="94" t="s">
        <v>1298</v>
      </c>
      <c r="AB16" s="94" t="s">
        <v>1299</v>
      </c>
      <c r="AC16" s="94" t="s">
        <v>1300</v>
      </c>
      <c r="AD16" s="94" t="s">
        <v>1301</v>
      </c>
      <c r="AE16" s="94" t="s">
        <v>1302</v>
      </c>
      <c r="AF16" s="94" t="s">
        <v>1303</v>
      </c>
      <c r="AG16" s="94" t="s">
        <v>1304</v>
      </c>
      <c r="AH16" s="94" t="s">
        <v>1305</v>
      </c>
    </row>
    <row r="17" spans="2:34" ht="15" customHeight="1" x14ac:dyDescent="0.25">
      <c r="B17" s="206" t="s">
        <v>958</v>
      </c>
      <c r="C17" s="81" t="s">
        <v>957</v>
      </c>
      <c r="D17" s="117"/>
      <c r="E17" s="117"/>
      <c r="F17" s="117">
        <v>0.17</v>
      </c>
      <c r="G17" s="117"/>
      <c r="H17" s="117">
        <v>0.14921999999999999</v>
      </c>
      <c r="I17" s="117">
        <v>0.15062999999999999</v>
      </c>
      <c r="J17" s="117">
        <v>0.15332999999999999</v>
      </c>
      <c r="K17" s="117">
        <v>0.15071999999999999</v>
      </c>
      <c r="L17" s="117">
        <v>0.15</v>
      </c>
      <c r="M17" s="117">
        <v>0.15</v>
      </c>
      <c r="N17" s="117">
        <v>0.14849999999999999</v>
      </c>
      <c r="O17" s="117">
        <v>0.15211</v>
      </c>
      <c r="P17" s="117">
        <v>0.15068999999999999</v>
      </c>
      <c r="Q17" s="117">
        <v>0.17</v>
      </c>
      <c r="R17" s="117">
        <v>0.17</v>
      </c>
      <c r="S17" s="117">
        <v>0.17</v>
      </c>
      <c r="T17" s="117">
        <v>0.17</v>
      </c>
      <c r="U17" s="117">
        <v>0.15</v>
      </c>
      <c r="V17" s="117">
        <v>0.17</v>
      </c>
      <c r="W17" s="117">
        <v>0.16500000000000001</v>
      </c>
      <c r="X17" s="117">
        <v>0.16</v>
      </c>
      <c r="Y17" s="117">
        <v>0.17</v>
      </c>
      <c r="Z17" s="117">
        <v>0.17</v>
      </c>
      <c r="AA17" s="117">
        <v>0.16</v>
      </c>
      <c r="AB17" s="117">
        <v>0.17</v>
      </c>
      <c r="AC17" s="117">
        <v>0.15</v>
      </c>
      <c r="AD17" s="117">
        <v>0.16</v>
      </c>
      <c r="AE17" s="117">
        <v>0.16</v>
      </c>
      <c r="AF17" s="117">
        <v>0.17</v>
      </c>
      <c r="AG17" s="117">
        <v>0.17</v>
      </c>
      <c r="AH17" s="117">
        <v>0.17</v>
      </c>
    </row>
    <row r="18" spans="2:34" ht="15" customHeight="1" x14ac:dyDescent="0.25">
      <c r="B18" s="207"/>
      <c r="C18" s="83" t="s">
        <v>339</v>
      </c>
      <c r="D18" s="84"/>
      <c r="E18" s="84"/>
      <c r="F18" s="84">
        <v>0.78</v>
      </c>
      <c r="G18" s="84"/>
      <c r="H18" s="84">
        <v>0.79844999999999999</v>
      </c>
      <c r="I18" s="84">
        <v>0.79652999999999996</v>
      </c>
      <c r="J18" s="84">
        <v>0.79332999999999998</v>
      </c>
      <c r="K18" s="84">
        <v>0.79854999999999998</v>
      </c>
      <c r="L18" s="84">
        <v>0.79590000000000005</v>
      </c>
      <c r="M18" s="84">
        <v>0.79600000000000004</v>
      </c>
      <c r="N18" s="84">
        <v>0.8</v>
      </c>
      <c r="O18" s="84">
        <v>0.7944</v>
      </c>
      <c r="P18" s="84">
        <v>0.79820000000000002</v>
      </c>
      <c r="Q18" s="84">
        <v>0.78</v>
      </c>
      <c r="R18" s="84">
        <v>0.78</v>
      </c>
      <c r="S18" s="84">
        <v>0.78</v>
      </c>
      <c r="T18" s="84">
        <v>0.78</v>
      </c>
      <c r="U18" s="84">
        <v>0.79890000000000005</v>
      </c>
      <c r="V18" s="84">
        <v>0.78</v>
      </c>
      <c r="W18" s="84">
        <v>0.78</v>
      </c>
      <c r="X18" s="84">
        <v>0.78</v>
      </c>
      <c r="Y18" s="84">
        <v>0.78</v>
      </c>
      <c r="Z18" s="84">
        <v>0.78</v>
      </c>
      <c r="AA18" s="84">
        <v>0.79</v>
      </c>
      <c r="AB18" s="84">
        <v>0.78</v>
      </c>
      <c r="AC18" s="84">
        <v>0.8</v>
      </c>
      <c r="AD18" s="84">
        <v>0.79</v>
      </c>
      <c r="AE18" s="84">
        <v>0.79</v>
      </c>
      <c r="AF18" s="84">
        <v>0.78</v>
      </c>
      <c r="AG18" s="84">
        <v>0.78</v>
      </c>
      <c r="AH18" s="84">
        <v>0.78</v>
      </c>
    </row>
    <row r="19" spans="2:34" ht="15" customHeight="1" thickBot="1" x14ac:dyDescent="0.3">
      <c r="B19" s="208"/>
      <c r="C19" s="83" t="s">
        <v>338</v>
      </c>
      <c r="D19" s="84"/>
      <c r="E19" s="84"/>
      <c r="F19" s="84">
        <v>0.05</v>
      </c>
      <c r="G19" s="84"/>
      <c r="H19" s="84">
        <v>5.2330000000000002E-2</v>
      </c>
      <c r="I19" s="84">
        <v>5.28E-2</v>
      </c>
      <c r="J19" s="84">
        <v>5.3330000000000002E-2</v>
      </c>
      <c r="K19" s="84">
        <v>5.0720000000000001E-2</v>
      </c>
      <c r="L19" s="84">
        <v>5.4050000000000001E-2</v>
      </c>
      <c r="M19" s="84">
        <v>5.3999999999999999E-2</v>
      </c>
      <c r="N19" s="84">
        <v>5.1499999999999997E-2</v>
      </c>
      <c r="O19" s="84">
        <v>5.3519999999999998E-2</v>
      </c>
      <c r="P19" s="84">
        <v>5.1069999999999997E-2</v>
      </c>
      <c r="Q19" s="84">
        <v>0.05</v>
      </c>
      <c r="R19" s="84">
        <v>0.05</v>
      </c>
      <c r="S19" s="84">
        <v>0.05</v>
      </c>
      <c r="T19" s="84">
        <v>0.05</v>
      </c>
      <c r="U19" s="84">
        <v>5.1200000000000002E-2</v>
      </c>
      <c r="V19" s="84">
        <v>0.05</v>
      </c>
      <c r="W19" s="84">
        <v>5.5E-2</v>
      </c>
      <c r="X19" s="84">
        <v>0.06</v>
      </c>
      <c r="Y19" s="84">
        <v>0.05</v>
      </c>
      <c r="Z19" s="84">
        <v>0.05</v>
      </c>
      <c r="AA19" s="84">
        <v>0.05</v>
      </c>
      <c r="AB19" s="84">
        <v>0.05</v>
      </c>
      <c r="AC19" s="84">
        <v>0.05</v>
      </c>
      <c r="AD19" s="84">
        <v>0.05</v>
      </c>
      <c r="AE19" s="84">
        <v>0.05</v>
      </c>
      <c r="AF19" s="84">
        <v>0.05</v>
      </c>
      <c r="AG19" s="84">
        <v>0.05</v>
      </c>
      <c r="AH19" s="84">
        <v>0.05</v>
      </c>
    </row>
    <row r="20" spans="2:34" ht="15" customHeight="1" x14ac:dyDescent="0.25">
      <c r="B20" s="209" t="s">
        <v>959</v>
      </c>
      <c r="C20" s="85" t="s">
        <v>957</v>
      </c>
      <c r="D20" s="132"/>
      <c r="E20" s="132">
        <v>0.23</v>
      </c>
      <c r="F20" s="132">
        <v>0.22</v>
      </c>
      <c r="G20" s="132"/>
      <c r="H20" s="132">
        <v>0.13333</v>
      </c>
      <c r="I20" s="132">
        <v>0.22</v>
      </c>
      <c r="J20" s="132">
        <v>0.15</v>
      </c>
      <c r="K20" s="132">
        <v>0.177647</v>
      </c>
      <c r="L20" s="132">
        <v>0.18</v>
      </c>
      <c r="M20" s="132">
        <v>0.22</v>
      </c>
      <c r="N20" s="132"/>
      <c r="O20" s="132">
        <v>0.23666999999999999</v>
      </c>
      <c r="P20" s="132">
        <v>0.16</v>
      </c>
      <c r="Q20" s="132">
        <v>0.17</v>
      </c>
      <c r="R20" s="132"/>
      <c r="S20" s="132">
        <v>0.23</v>
      </c>
      <c r="T20" s="132">
        <v>0.18</v>
      </c>
      <c r="U20" s="132">
        <v>0.24</v>
      </c>
      <c r="V20" s="132">
        <v>0.1789</v>
      </c>
      <c r="W20" s="132">
        <v>0.17</v>
      </c>
      <c r="X20" s="132">
        <v>0.22</v>
      </c>
      <c r="Y20" s="132"/>
      <c r="Z20" s="132">
        <v>0.2</v>
      </c>
      <c r="AA20" s="132">
        <v>0.16</v>
      </c>
      <c r="AB20" s="132">
        <v>0.17</v>
      </c>
      <c r="AC20" s="132">
        <v>0.23</v>
      </c>
      <c r="AD20" s="132">
        <v>0.23</v>
      </c>
      <c r="AE20" s="132"/>
      <c r="AF20" s="132"/>
      <c r="AG20" s="132">
        <v>0.18</v>
      </c>
      <c r="AH20" s="132">
        <v>0.17</v>
      </c>
    </row>
    <row r="21" spans="2:34" ht="15" customHeight="1" x14ac:dyDescent="0.25">
      <c r="B21" s="210"/>
      <c r="C21" s="87" t="s">
        <v>339</v>
      </c>
      <c r="D21" s="86"/>
      <c r="E21" s="86">
        <v>0.72</v>
      </c>
      <c r="F21" s="86">
        <v>0.73</v>
      </c>
      <c r="G21" s="86"/>
      <c r="H21" s="86">
        <v>0.81369999999999998</v>
      </c>
      <c r="I21" s="86">
        <v>0.72860000000000003</v>
      </c>
      <c r="J21" s="86">
        <v>0.8</v>
      </c>
      <c r="K21" s="86">
        <v>0.77234999999999998</v>
      </c>
      <c r="L21" s="86">
        <v>0.76819999999999999</v>
      </c>
      <c r="M21" s="86">
        <v>0.72799999999999998</v>
      </c>
      <c r="N21" s="86"/>
      <c r="O21" s="86">
        <v>0.71</v>
      </c>
      <c r="P21" s="86">
        <v>0.79</v>
      </c>
      <c r="Q21" s="86">
        <v>0.78</v>
      </c>
      <c r="R21" s="86"/>
      <c r="S21" s="86">
        <v>0.71499999999999997</v>
      </c>
      <c r="T21" s="86">
        <v>0.77</v>
      </c>
      <c r="U21" s="86">
        <v>0.71</v>
      </c>
      <c r="V21" s="86">
        <v>0.76839999999999997</v>
      </c>
      <c r="W21" s="86">
        <v>0.78</v>
      </c>
      <c r="X21" s="86">
        <v>0.72</v>
      </c>
      <c r="Y21" s="86"/>
      <c r="Z21" s="86">
        <v>0.75</v>
      </c>
      <c r="AA21" s="86">
        <v>0.79</v>
      </c>
      <c r="AB21" s="86">
        <v>0.78</v>
      </c>
      <c r="AC21" s="86">
        <v>0.71499999999999997</v>
      </c>
      <c r="AD21" s="86">
        <v>0.72</v>
      </c>
      <c r="AE21" s="86"/>
      <c r="AF21" s="86"/>
      <c r="AG21" s="86">
        <v>0.77</v>
      </c>
      <c r="AH21" s="86">
        <v>0.78</v>
      </c>
    </row>
    <row r="22" spans="2:34" ht="15" customHeight="1" thickBot="1" x14ac:dyDescent="0.3">
      <c r="B22" s="211"/>
      <c r="C22" s="87" t="s">
        <v>338</v>
      </c>
      <c r="D22" s="86"/>
      <c r="E22" s="86">
        <v>0.05</v>
      </c>
      <c r="F22" s="86">
        <v>0.05</v>
      </c>
      <c r="G22" s="86"/>
      <c r="H22" s="86">
        <v>5.2940000000000001E-2</v>
      </c>
      <c r="I22" s="86">
        <v>5.1400000000000001E-2</v>
      </c>
      <c r="J22" s="86">
        <v>0.05</v>
      </c>
      <c r="K22" s="86">
        <v>0.05</v>
      </c>
      <c r="L22" s="86">
        <v>5.1799999999999999E-2</v>
      </c>
      <c r="M22" s="86">
        <v>5.1999999999999998E-2</v>
      </c>
      <c r="N22" s="86"/>
      <c r="O22" s="86">
        <v>5.3330000000000002E-2</v>
      </c>
      <c r="P22" s="86">
        <v>0.05</v>
      </c>
      <c r="Q22" s="86">
        <v>0.05</v>
      </c>
      <c r="R22" s="86"/>
      <c r="S22" s="86">
        <v>5.5E-2</v>
      </c>
      <c r="T22" s="86">
        <v>0.05</v>
      </c>
      <c r="U22" s="86">
        <v>0.05</v>
      </c>
      <c r="V22" s="86">
        <v>5.2600000000000001E-2</v>
      </c>
      <c r="W22" s="86">
        <v>0.05</v>
      </c>
      <c r="X22" s="86">
        <v>0.06</v>
      </c>
      <c r="Y22" s="86"/>
      <c r="Z22" s="86">
        <v>0.05</v>
      </c>
      <c r="AA22" s="86">
        <v>0.05</v>
      </c>
      <c r="AB22" s="86">
        <v>0.05</v>
      </c>
      <c r="AC22" s="86">
        <v>5.5E-2</v>
      </c>
      <c r="AD22" s="86">
        <v>0.05</v>
      </c>
      <c r="AE22" s="86"/>
      <c r="AF22" s="86"/>
      <c r="AG22" s="86">
        <v>0.05</v>
      </c>
      <c r="AH22" s="86">
        <v>0.05</v>
      </c>
    </row>
    <row r="23" spans="2:34" ht="15" customHeight="1" x14ac:dyDescent="0.25">
      <c r="B23" s="200" t="s">
        <v>960</v>
      </c>
      <c r="C23" s="88" t="s">
        <v>957</v>
      </c>
      <c r="D23" s="135"/>
      <c r="E23" s="135"/>
      <c r="F23" s="135">
        <v>0.25</v>
      </c>
      <c r="G23" s="135"/>
      <c r="H23" s="135"/>
      <c r="I23" s="135"/>
      <c r="J23" s="135"/>
      <c r="K23" s="135"/>
      <c r="L23" s="135"/>
      <c r="M23" s="135">
        <v>0.24909999999999999</v>
      </c>
      <c r="N23" s="135"/>
      <c r="O23" s="135">
        <v>0.18</v>
      </c>
      <c r="P23" s="135"/>
      <c r="Q23" s="135">
        <v>0.25</v>
      </c>
      <c r="R23" s="135"/>
      <c r="S23" s="135"/>
      <c r="T23" s="135"/>
      <c r="U23" s="135"/>
      <c r="V23" s="135"/>
      <c r="W23" s="135">
        <v>0.24540000000000001</v>
      </c>
      <c r="X23" s="135"/>
      <c r="Y23" s="135"/>
      <c r="Z23" s="135">
        <v>0.26</v>
      </c>
      <c r="AA23" s="135"/>
      <c r="AB23" s="135"/>
      <c r="AC23" s="135"/>
      <c r="AD23" s="135"/>
      <c r="AE23" s="135"/>
      <c r="AF23" s="135"/>
      <c r="AG23" s="135"/>
      <c r="AH23" s="135"/>
    </row>
    <row r="24" spans="2:34" ht="15" customHeight="1" x14ac:dyDescent="0.25">
      <c r="B24" s="201"/>
      <c r="C24" s="90" t="s">
        <v>339</v>
      </c>
      <c r="D24" s="134"/>
      <c r="E24" s="134"/>
      <c r="F24" s="134">
        <v>0.7</v>
      </c>
      <c r="G24" s="134"/>
      <c r="H24" s="134"/>
      <c r="I24" s="134"/>
      <c r="J24" s="134"/>
      <c r="K24" s="134"/>
      <c r="L24" s="134"/>
      <c r="M24" s="134">
        <v>0.69823999999999997</v>
      </c>
      <c r="N24" s="134"/>
      <c r="O24" s="134">
        <v>0.77</v>
      </c>
      <c r="P24" s="134"/>
      <c r="Q24" s="134">
        <v>0.7</v>
      </c>
      <c r="R24" s="134"/>
      <c r="S24" s="134"/>
      <c r="T24" s="134"/>
      <c r="U24" s="134"/>
      <c r="V24" s="134"/>
      <c r="W24" s="134">
        <v>0.7</v>
      </c>
      <c r="X24" s="134"/>
      <c r="Y24" s="134"/>
      <c r="Z24" s="134">
        <v>0.69</v>
      </c>
      <c r="AA24" s="134"/>
      <c r="AB24" s="134"/>
      <c r="AC24" s="134"/>
      <c r="AD24" s="134"/>
      <c r="AE24" s="134"/>
      <c r="AF24" s="134"/>
      <c r="AG24" s="134"/>
      <c r="AH24" s="134"/>
    </row>
    <row r="25" spans="2:34" ht="15" customHeight="1" thickBot="1" x14ac:dyDescent="0.3">
      <c r="B25" s="212"/>
      <c r="C25" s="108" t="s">
        <v>338</v>
      </c>
      <c r="D25" s="136"/>
      <c r="E25" s="136"/>
      <c r="F25" s="136">
        <v>0.05</v>
      </c>
      <c r="G25" s="136"/>
      <c r="H25" s="136"/>
      <c r="I25" s="136"/>
      <c r="J25" s="136"/>
      <c r="K25" s="136"/>
      <c r="L25" s="136"/>
      <c r="M25" s="136">
        <v>5.2630000000000003E-2</v>
      </c>
      <c r="N25" s="136"/>
      <c r="O25" s="136">
        <v>0.05</v>
      </c>
      <c r="P25" s="136"/>
      <c r="Q25" s="136">
        <v>0.05</v>
      </c>
      <c r="R25" s="136"/>
      <c r="S25" s="136"/>
      <c r="T25" s="136"/>
      <c r="U25" s="136"/>
      <c r="V25" s="136"/>
      <c r="W25" s="136">
        <v>5.45E-2</v>
      </c>
      <c r="X25" s="136"/>
      <c r="Y25" s="136"/>
      <c r="Z25" s="136">
        <v>0.05</v>
      </c>
      <c r="AA25" s="136"/>
      <c r="AB25" s="136"/>
      <c r="AC25" s="136"/>
      <c r="AD25" s="136"/>
      <c r="AE25" s="136"/>
      <c r="AF25" s="136"/>
      <c r="AG25" s="136"/>
      <c r="AH25" s="136"/>
    </row>
    <row r="26" spans="2:34" ht="15" customHeight="1" x14ac:dyDescent="0.25">
      <c r="B26" s="218" t="s">
        <v>1086</v>
      </c>
      <c r="C26" s="88" t="s">
        <v>957</v>
      </c>
      <c r="D26" s="137"/>
      <c r="E26" s="137"/>
      <c r="F26" s="137"/>
      <c r="G26" s="137"/>
      <c r="H26" s="137"/>
      <c r="I26" s="137"/>
      <c r="J26" s="137"/>
      <c r="K26" s="137">
        <v>0</v>
      </c>
      <c r="L26" s="156">
        <v>0</v>
      </c>
      <c r="M26" s="156">
        <v>0</v>
      </c>
      <c r="N26" s="156">
        <v>0</v>
      </c>
      <c r="O26" s="156"/>
      <c r="P26" s="156">
        <v>0</v>
      </c>
      <c r="Q26" s="156">
        <v>0</v>
      </c>
      <c r="R26" s="156">
        <v>0</v>
      </c>
      <c r="S26" s="156">
        <v>0</v>
      </c>
      <c r="T26" s="156"/>
      <c r="U26" s="156">
        <v>0</v>
      </c>
      <c r="V26" s="156">
        <v>0</v>
      </c>
      <c r="W26" s="156"/>
      <c r="X26" s="156">
        <v>0</v>
      </c>
      <c r="Y26" s="156">
        <v>0</v>
      </c>
      <c r="Z26" s="156">
        <v>0</v>
      </c>
      <c r="AA26" s="156"/>
      <c r="AB26" s="156">
        <v>0</v>
      </c>
      <c r="AC26" s="156">
        <v>0</v>
      </c>
      <c r="AD26" s="156"/>
      <c r="AE26" s="156">
        <v>0</v>
      </c>
      <c r="AF26" s="156">
        <v>0</v>
      </c>
      <c r="AG26" s="156">
        <v>0</v>
      </c>
      <c r="AH26" s="156"/>
    </row>
    <row r="27" spans="2:34" ht="15" customHeight="1" x14ac:dyDescent="0.25">
      <c r="B27" s="219"/>
      <c r="C27" s="90" t="s">
        <v>339</v>
      </c>
      <c r="D27" s="138"/>
      <c r="E27" s="138">
        <v>0.94540000000000002</v>
      </c>
      <c r="F27" s="138">
        <v>0.95</v>
      </c>
      <c r="G27" s="138">
        <v>0.95</v>
      </c>
      <c r="H27" s="138"/>
      <c r="I27" s="138">
        <v>0.94655</v>
      </c>
      <c r="J27" s="138"/>
      <c r="K27" s="138">
        <v>0.95</v>
      </c>
      <c r="L27" s="138">
        <v>0.93210000000000004</v>
      </c>
      <c r="M27" s="138">
        <v>0.94864000000000004</v>
      </c>
      <c r="N27" s="138">
        <v>0.95</v>
      </c>
      <c r="O27" s="138"/>
      <c r="P27" s="138">
        <v>0.95</v>
      </c>
      <c r="Q27" s="138">
        <v>0.94499999999999995</v>
      </c>
      <c r="R27" s="138">
        <v>0.94820000000000004</v>
      </c>
      <c r="S27" s="138">
        <v>0.95</v>
      </c>
      <c r="T27" s="138"/>
      <c r="U27" s="156">
        <v>0.88890000000000002</v>
      </c>
      <c r="V27" s="156">
        <v>0.9425</v>
      </c>
      <c r="W27" s="156"/>
      <c r="X27" s="156">
        <v>0.93889999999999996</v>
      </c>
      <c r="Y27" s="156">
        <v>0.95</v>
      </c>
      <c r="Z27" s="156">
        <v>0.95</v>
      </c>
      <c r="AA27" s="156"/>
      <c r="AB27" s="156">
        <v>0.95299999999999996</v>
      </c>
      <c r="AC27" s="156">
        <v>0.95</v>
      </c>
      <c r="AD27" s="156"/>
      <c r="AE27" s="156">
        <v>0.95</v>
      </c>
      <c r="AF27" s="156">
        <v>0.94269999999999998</v>
      </c>
      <c r="AG27" s="156">
        <v>0.95</v>
      </c>
      <c r="AH27" s="156"/>
    </row>
    <row r="28" spans="2:34" ht="15" customHeight="1" x14ac:dyDescent="0.25">
      <c r="B28" s="220"/>
      <c r="C28" s="108" t="s">
        <v>338</v>
      </c>
      <c r="D28" s="156"/>
      <c r="E28" s="156">
        <v>5.4600000000000003E-2</v>
      </c>
      <c r="F28" s="156">
        <v>0.05</v>
      </c>
      <c r="G28" s="156">
        <v>0.05</v>
      </c>
      <c r="H28" s="156"/>
      <c r="I28" s="156">
        <v>5.3449999999999998E-2</v>
      </c>
      <c r="J28" s="156"/>
      <c r="K28" s="156">
        <v>0.05</v>
      </c>
      <c r="L28" s="156">
        <v>6.7900000000000002E-2</v>
      </c>
      <c r="M28" s="156">
        <v>5.1400000000000001E-2</v>
      </c>
      <c r="N28" s="156">
        <v>0.05</v>
      </c>
      <c r="O28" s="156"/>
      <c r="P28" s="156">
        <v>0.05</v>
      </c>
      <c r="Q28" s="156">
        <v>5.5E-2</v>
      </c>
      <c r="R28" s="156">
        <v>5.1799999999999999E-2</v>
      </c>
      <c r="S28" s="156">
        <v>0.05</v>
      </c>
      <c r="T28" s="156"/>
      <c r="U28" s="156">
        <v>0.1111</v>
      </c>
      <c r="V28" s="156">
        <v>5.7500000000000002E-2</v>
      </c>
      <c r="W28" s="156"/>
      <c r="X28" s="156">
        <v>6.1100000000000002E-2</v>
      </c>
      <c r="Y28" s="156">
        <v>0.05</v>
      </c>
      <c r="Z28" s="156">
        <v>0.05</v>
      </c>
      <c r="AA28" s="156"/>
      <c r="AB28" s="156">
        <v>4.7E-2</v>
      </c>
      <c r="AC28" s="156">
        <v>0.05</v>
      </c>
      <c r="AD28" s="156"/>
      <c r="AE28" s="156">
        <v>0.05</v>
      </c>
      <c r="AF28" s="156">
        <v>5.7299999999999997E-2</v>
      </c>
      <c r="AG28" s="156">
        <v>0.05</v>
      </c>
      <c r="AH28" s="156"/>
    </row>
    <row r="29" spans="2:34" ht="15" customHeight="1" x14ac:dyDescent="0.25">
      <c r="B29" s="34" t="s">
        <v>7</v>
      </c>
      <c r="C29" s="34"/>
      <c r="D29" s="131"/>
      <c r="E29" s="131"/>
      <c r="F29" s="131"/>
      <c r="G29" s="131"/>
      <c r="H29" s="131"/>
      <c r="I29" s="131"/>
      <c r="J29" s="131"/>
      <c r="K29" s="131">
        <v>5430</v>
      </c>
      <c r="L29" s="160">
        <v>5468</v>
      </c>
      <c r="M29" s="160">
        <v>5398</v>
      </c>
      <c r="N29" s="160">
        <v>5424</v>
      </c>
      <c r="O29" s="160"/>
      <c r="P29" s="160">
        <v>5507</v>
      </c>
      <c r="Q29" s="160">
        <v>5091</v>
      </c>
      <c r="R29" s="160">
        <v>5153</v>
      </c>
      <c r="S29" s="160">
        <v>5605</v>
      </c>
      <c r="T29" s="160">
        <v>5382</v>
      </c>
      <c r="U29" s="160">
        <v>5377</v>
      </c>
      <c r="V29" s="160">
        <v>5213</v>
      </c>
      <c r="W29" s="160">
        <v>5591</v>
      </c>
      <c r="X29" s="160">
        <v>5662</v>
      </c>
      <c r="Y29" s="160">
        <v>5621</v>
      </c>
      <c r="Z29" s="160">
        <v>5580</v>
      </c>
      <c r="AA29" s="160">
        <v>5560</v>
      </c>
      <c r="AB29" s="160">
        <v>5560</v>
      </c>
      <c r="AC29" s="160">
        <v>5425</v>
      </c>
      <c r="AD29" s="160">
        <v>5290</v>
      </c>
      <c r="AE29" s="160">
        <v>5497</v>
      </c>
      <c r="AF29" s="160">
        <v>5662</v>
      </c>
      <c r="AG29" s="160">
        <v>5500</v>
      </c>
      <c r="AH29" s="160">
        <v>5400</v>
      </c>
    </row>
    <row r="30" spans="2:34" ht="7.5" customHeight="1" thickBot="1" x14ac:dyDescent="0.3"/>
    <row r="31" spans="2:34" ht="12.75" customHeight="1" thickBot="1" x14ac:dyDescent="0.3">
      <c r="B31" s="213" t="s">
        <v>1002</v>
      </c>
      <c r="C31" s="214"/>
      <c r="D31" s="130">
        <v>77.500000000000057</v>
      </c>
      <c r="E31" s="130">
        <v>78.132558131976751</v>
      </c>
      <c r="F31" s="130">
        <v>78.334061135365204</v>
      </c>
      <c r="G31" s="130">
        <v>80.81</v>
      </c>
      <c r="H31" s="130">
        <v>80.22</v>
      </c>
      <c r="I31" s="130">
        <v>81.28</v>
      </c>
      <c r="J31" s="130">
        <v>79.569999999999993</v>
      </c>
      <c r="K31" s="130">
        <v>82.96</v>
      </c>
      <c r="L31" s="130">
        <v>79.81</v>
      </c>
      <c r="M31" s="130">
        <v>80.89</v>
      </c>
      <c r="N31" s="130">
        <v>80.69</v>
      </c>
      <c r="O31" s="130">
        <v>76.75</v>
      </c>
      <c r="P31" s="130">
        <v>82.49</v>
      </c>
      <c r="Q31" s="130">
        <v>77.432432432432464</v>
      </c>
      <c r="R31" s="130">
        <v>77.414280403123911</v>
      </c>
      <c r="S31" s="130">
        <v>78.825855523975747</v>
      </c>
      <c r="T31" s="130">
        <v>76.564853554435203</v>
      </c>
      <c r="U31" s="130">
        <v>78.441796552516962</v>
      </c>
      <c r="V31" s="130">
        <v>79.423776238535012</v>
      </c>
      <c r="W31" s="130">
        <v>77.015658424380689</v>
      </c>
      <c r="X31" s="130">
        <v>76.576241134751754</v>
      </c>
      <c r="Y31" s="130">
        <v>78.069204152249611</v>
      </c>
      <c r="Z31" s="130">
        <v>77.643356643356725</v>
      </c>
      <c r="AA31" s="130">
        <v>79.985915492957801</v>
      </c>
      <c r="AB31" s="130">
        <v>79.357702349869527</v>
      </c>
      <c r="AC31" s="130">
        <v>80.655642022373584</v>
      </c>
      <c r="AD31" s="130">
        <v>77.952228020875225</v>
      </c>
      <c r="AE31" s="130">
        <v>79.628820960698761</v>
      </c>
      <c r="AF31" s="130">
        <v>78.627309236947866</v>
      </c>
      <c r="AG31" s="130">
        <v>79.096045197740182</v>
      </c>
      <c r="AH31" s="130">
        <v>77.03</v>
      </c>
    </row>
    <row r="32" spans="2:34" ht="12.75" customHeight="1" x14ac:dyDescent="0.25">
      <c r="B32" s="114"/>
    </row>
    <row r="33" spans="2:2" ht="12.75" customHeight="1" x14ac:dyDescent="0.25">
      <c r="B33" s="114"/>
    </row>
    <row r="34" spans="2:2" ht="12.75" customHeight="1" x14ac:dyDescent="0.25">
      <c r="B34" s="114"/>
    </row>
    <row r="35" spans="2:2" ht="12.75" customHeight="1" x14ac:dyDescent="0.25">
      <c r="B35" s="114"/>
    </row>
    <row r="36" spans="2:2" ht="12.75" customHeight="1" x14ac:dyDescent="0.25">
      <c r="B36" s="114"/>
    </row>
    <row r="37" spans="2:2" ht="12.75" customHeight="1" x14ac:dyDescent="0.25">
      <c r="B37" s="114"/>
    </row>
    <row r="38" spans="2:2" ht="12.75" customHeight="1" x14ac:dyDescent="0.25">
      <c r="B38" s="114"/>
    </row>
    <row r="39" spans="2:2" ht="12.75" customHeight="1" x14ac:dyDescent="0.25">
      <c r="B39" s="114"/>
    </row>
    <row r="40" spans="2:2" ht="12.75" customHeight="1" x14ac:dyDescent="0.25">
      <c r="B40" s="114"/>
    </row>
    <row r="41" spans="2:2" ht="12.75" customHeight="1" x14ac:dyDescent="0.25">
      <c r="B41" s="114"/>
    </row>
    <row r="42" spans="2:2" ht="12.75" customHeight="1" x14ac:dyDescent="0.25">
      <c r="B42" s="114"/>
    </row>
    <row r="43" spans="2:2" ht="12.75" customHeight="1" x14ac:dyDescent="0.25">
      <c r="B43" s="114"/>
    </row>
    <row r="44" spans="2:2" ht="12.75" customHeight="1" x14ac:dyDescent="0.25">
      <c r="B44" s="114"/>
    </row>
    <row r="45" spans="2:2" x14ac:dyDescent="0.25">
      <c r="B45" s="114"/>
    </row>
    <row r="46" spans="2:2" x14ac:dyDescent="0.25">
      <c r="B46" s="114"/>
    </row>
    <row r="47" spans="2:2" x14ac:dyDescent="0.25">
      <c r="B47" s="114"/>
    </row>
    <row r="48" spans="2:2" x14ac:dyDescent="0.25">
      <c r="B48" s="114"/>
    </row>
    <row r="49" spans="2:2" x14ac:dyDescent="0.25">
      <c r="B49" s="114"/>
    </row>
    <row r="50" spans="2:2" x14ac:dyDescent="0.25">
      <c r="B50" s="114"/>
    </row>
    <row r="51" spans="2:2" x14ac:dyDescent="0.25">
      <c r="B51" s="114"/>
    </row>
    <row r="52" spans="2:2" x14ac:dyDescent="0.25">
      <c r="B52" s="114"/>
    </row>
  </sheetData>
  <mergeCells count="9">
    <mergeCell ref="B23:B25"/>
    <mergeCell ref="B26:B28"/>
    <mergeCell ref="B31:C31"/>
    <mergeCell ref="B3:B5"/>
    <mergeCell ref="B6:B8"/>
    <mergeCell ref="B9:B11"/>
    <mergeCell ref="B12:B14"/>
    <mergeCell ref="B17:B19"/>
    <mergeCell ref="B20:B22"/>
  </mergeCells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3B8DF-9A29-418A-944B-34419E8C58B1}">
  <dimension ref="B1:AH52"/>
  <sheetViews>
    <sheetView zoomScale="90" zoomScaleNormal="90" workbookViewId="0">
      <pane xSplit="3" topLeftCell="AH1" activePane="topRight" state="frozen"/>
      <selection pane="topRight" activeCell="AN12" sqref="AN12"/>
    </sheetView>
  </sheetViews>
  <sheetFormatPr defaultRowHeight="15" x14ac:dyDescent="0.25"/>
  <cols>
    <col min="3" max="3" width="28.140625" customWidth="1"/>
    <col min="4" max="34" width="10.7109375" customWidth="1"/>
  </cols>
  <sheetData>
    <row r="1" spans="2:34" ht="6" customHeight="1" thickBot="1" x14ac:dyDescent="0.3"/>
    <row r="2" spans="2:34" ht="15" customHeight="1" thickBot="1" x14ac:dyDescent="0.3">
      <c r="B2" s="94" t="s">
        <v>964</v>
      </c>
      <c r="C2" s="96" t="s">
        <v>961</v>
      </c>
      <c r="D2" s="97" t="str">
        <f t="shared" ref="D2:F2" si="0">D16</f>
        <v>01.08.2025</v>
      </c>
      <c r="E2" s="97" t="str">
        <f t="shared" si="0"/>
        <v>02.08.2025</v>
      </c>
      <c r="F2" s="97" t="str">
        <f t="shared" si="0"/>
        <v>03.08.2025</v>
      </c>
      <c r="G2" s="97" t="str">
        <f t="shared" ref="G2:H2" si="1">G16</f>
        <v>04.08.2025</v>
      </c>
      <c r="H2" s="97" t="str">
        <f t="shared" si="1"/>
        <v>05.08.2025</v>
      </c>
      <c r="I2" s="97" t="str">
        <f t="shared" ref="I2:J2" si="2">I16</f>
        <v>06.08.2025</v>
      </c>
      <c r="J2" s="97" t="str">
        <f t="shared" si="2"/>
        <v>07.08.2025</v>
      </c>
      <c r="K2" s="97" t="str">
        <f t="shared" ref="K2:N2" si="3">K16</f>
        <v>08.08.2025</v>
      </c>
      <c r="L2" s="97" t="str">
        <f t="shared" si="3"/>
        <v>09.08.2025</v>
      </c>
      <c r="M2" s="97" t="str">
        <f t="shared" si="3"/>
        <v>10.08.2025</v>
      </c>
      <c r="N2" s="97" t="str">
        <f t="shared" si="3"/>
        <v>11.08.2025</v>
      </c>
      <c r="O2" s="97" t="str">
        <f t="shared" ref="O2:P2" si="4">O16</f>
        <v>12.08.2025</v>
      </c>
      <c r="P2" s="97" t="str">
        <f t="shared" si="4"/>
        <v>13.08.2025</v>
      </c>
      <c r="Q2" s="97" t="str">
        <f t="shared" ref="Q2:R2" si="5">Q16</f>
        <v>14.08.2025</v>
      </c>
      <c r="R2" s="97" t="str">
        <f t="shared" si="5"/>
        <v>15.08.2025</v>
      </c>
      <c r="S2" s="97" t="str">
        <f t="shared" ref="S2:U2" si="6">S16</f>
        <v>16.08.2025</v>
      </c>
      <c r="T2" s="97" t="str">
        <f t="shared" si="6"/>
        <v>17.08.2025</v>
      </c>
      <c r="U2" s="97" t="str">
        <f t="shared" si="6"/>
        <v>18.08.2025</v>
      </c>
      <c r="V2" s="97" t="str">
        <f t="shared" ref="V2:W2" si="7">V16</f>
        <v>19.08.2025</v>
      </c>
      <c r="W2" s="97" t="str">
        <f t="shared" si="7"/>
        <v>20.08.2025</v>
      </c>
      <c r="X2" s="97" t="str">
        <f t="shared" ref="X2:Y2" si="8">X16</f>
        <v>21.08.2025</v>
      </c>
      <c r="Y2" s="97" t="str">
        <f t="shared" si="8"/>
        <v>22.08.2025</v>
      </c>
      <c r="Z2" s="97" t="str">
        <f t="shared" ref="Z2:AE2" si="9">Z16</f>
        <v>23.08.2025</v>
      </c>
      <c r="AA2" s="97" t="str">
        <f t="shared" si="9"/>
        <v>24.08.2025</v>
      </c>
      <c r="AB2" s="97" t="str">
        <f t="shared" si="9"/>
        <v>25.08.2025</v>
      </c>
      <c r="AC2" s="97" t="str">
        <f t="shared" si="9"/>
        <v>26.08.2025</v>
      </c>
      <c r="AD2" s="97" t="str">
        <f t="shared" si="9"/>
        <v>27.08.2025</v>
      </c>
      <c r="AE2" s="97" t="str">
        <f t="shared" si="9"/>
        <v>28.08.2025</v>
      </c>
      <c r="AF2" s="97" t="str">
        <f t="shared" ref="AF2:AH2" si="10">AF16</f>
        <v>29.08.2025</v>
      </c>
      <c r="AG2" s="97" t="str">
        <f t="shared" si="10"/>
        <v>30.08.2025</v>
      </c>
      <c r="AH2" s="97" t="str">
        <f t="shared" si="10"/>
        <v>31.08.2025</v>
      </c>
    </row>
    <row r="3" spans="2:34" ht="15" customHeight="1" x14ac:dyDescent="0.25">
      <c r="B3" s="206" t="s">
        <v>958</v>
      </c>
      <c r="C3" s="116" t="s">
        <v>957</v>
      </c>
      <c r="D3" s="117">
        <v>0.17</v>
      </c>
      <c r="E3" s="117">
        <v>0.17</v>
      </c>
      <c r="F3" s="117">
        <v>0.17</v>
      </c>
      <c r="G3" s="117">
        <v>0.17</v>
      </c>
      <c r="H3" s="117">
        <v>0.17</v>
      </c>
      <c r="I3" s="117">
        <v>0.17499999999999999</v>
      </c>
      <c r="J3" s="117">
        <v>0.1628</v>
      </c>
      <c r="K3" s="117">
        <v>0.15110000000000001</v>
      </c>
      <c r="L3" s="117">
        <v>0.17</v>
      </c>
      <c r="M3" s="117">
        <v>0.17499999999999999</v>
      </c>
      <c r="N3" s="117">
        <v>0.17710000000000001</v>
      </c>
      <c r="O3" s="117">
        <v>0.17599999999999999</v>
      </c>
      <c r="P3" s="117">
        <v>0.17</v>
      </c>
      <c r="Q3" s="117">
        <v>0.17499999999999999</v>
      </c>
      <c r="R3" s="117"/>
      <c r="S3" s="117">
        <v>0.17</v>
      </c>
      <c r="T3" s="117">
        <v>0.17499999999999999</v>
      </c>
      <c r="U3" s="117">
        <v>0.18629999999999999</v>
      </c>
      <c r="V3" s="117">
        <v>0.15970000000000001</v>
      </c>
      <c r="W3" s="117">
        <v>0.17</v>
      </c>
      <c r="X3" s="117">
        <v>0.15570000000000001</v>
      </c>
      <c r="Y3" s="117">
        <v>0.159</v>
      </c>
      <c r="Z3" s="117">
        <v>0.17</v>
      </c>
      <c r="AA3" s="117">
        <v>0.17499999999999999</v>
      </c>
      <c r="AB3" s="117">
        <v>0.17</v>
      </c>
      <c r="AC3" s="117">
        <v>0.17499999999999999</v>
      </c>
      <c r="AD3" s="117">
        <v>0.16</v>
      </c>
      <c r="AE3" s="117">
        <v>0.16889999999999999</v>
      </c>
      <c r="AF3" s="117">
        <v>0.1608</v>
      </c>
      <c r="AG3" s="117">
        <v>0.15040000000000001</v>
      </c>
      <c r="AH3" s="117">
        <v>0.1739</v>
      </c>
    </row>
    <row r="4" spans="2:34" ht="15" customHeight="1" x14ac:dyDescent="0.25">
      <c r="B4" s="207"/>
      <c r="C4" s="118" t="s">
        <v>339</v>
      </c>
      <c r="D4" s="84">
        <v>0.78</v>
      </c>
      <c r="E4" s="84">
        <v>0.78</v>
      </c>
      <c r="F4" s="84">
        <v>0.78</v>
      </c>
      <c r="G4" s="84">
        <v>0.78</v>
      </c>
      <c r="H4" s="84">
        <v>0.78</v>
      </c>
      <c r="I4" s="84">
        <v>0.77500000000000002</v>
      </c>
      <c r="J4" s="84">
        <v>0.78420000000000001</v>
      </c>
      <c r="K4" s="84">
        <v>0.79849999999999999</v>
      </c>
      <c r="L4" s="84">
        <v>0.78</v>
      </c>
      <c r="M4" s="84">
        <v>0.77</v>
      </c>
      <c r="N4" s="84">
        <v>0.77290000000000003</v>
      </c>
      <c r="O4" s="84">
        <v>0.77400000000000002</v>
      </c>
      <c r="P4" s="84">
        <v>0.78</v>
      </c>
      <c r="Q4" s="84">
        <v>0.77500000000000002</v>
      </c>
      <c r="R4" s="84"/>
      <c r="S4" s="84">
        <v>0.77</v>
      </c>
      <c r="T4" s="84">
        <v>0.77500000000000002</v>
      </c>
      <c r="U4" s="84">
        <v>0.74970000000000003</v>
      </c>
      <c r="V4" s="84">
        <v>0.79339999999999999</v>
      </c>
      <c r="W4" s="84">
        <v>0.78</v>
      </c>
      <c r="X4" s="84">
        <v>0.79530000000000001</v>
      </c>
      <c r="Y4" s="84">
        <v>0.79259999999999997</v>
      </c>
      <c r="Z4" s="84">
        <v>0.78</v>
      </c>
      <c r="AA4" s="84">
        <v>0.77500000000000002</v>
      </c>
      <c r="AB4" s="84">
        <v>0.77</v>
      </c>
      <c r="AC4" s="84">
        <v>0.76500000000000001</v>
      </c>
      <c r="AD4" s="84">
        <v>0.79</v>
      </c>
      <c r="AE4" s="84">
        <v>0.78110000000000002</v>
      </c>
      <c r="AF4" s="84">
        <v>0.79020000000000001</v>
      </c>
      <c r="AG4" s="84">
        <v>0.8</v>
      </c>
      <c r="AH4" s="84">
        <v>0.77610000000000001</v>
      </c>
    </row>
    <row r="5" spans="2:34" ht="15" customHeight="1" thickBot="1" x14ac:dyDescent="0.3">
      <c r="B5" s="208"/>
      <c r="C5" s="118" t="s">
        <v>338</v>
      </c>
      <c r="D5" s="84">
        <v>0.05</v>
      </c>
      <c r="E5" s="84">
        <v>0.05</v>
      </c>
      <c r="F5" s="84">
        <v>0.05</v>
      </c>
      <c r="G5" s="84">
        <v>0.05</v>
      </c>
      <c r="H5" s="84">
        <v>0.05</v>
      </c>
      <c r="I5" s="84">
        <v>0.05</v>
      </c>
      <c r="J5" s="84">
        <v>5.2999999999999999E-2</v>
      </c>
      <c r="K5" s="84">
        <v>5.04E-2</v>
      </c>
      <c r="L5" s="84">
        <v>0.05</v>
      </c>
      <c r="M5" s="84">
        <v>5.5E-2</v>
      </c>
      <c r="N5" s="84">
        <v>0.05</v>
      </c>
      <c r="O5" s="84">
        <v>0.05</v>
      </c>
      <c r="P5" s="84">
        <v>0.05</v>
      </c>
      <c r="Q5" s="84">
        <v>0.05</v>
      </c>
      <c r="R5" s="84"/>
      <c r="S5" s="84">
        <v>0.06</v>
      </c>
      <c r="T5" s="84">
        <v>0.05</v>
      </c>
      <c r="U5" s="84">
        <v>6.4000000000000001E-2</v>
      </c>
      <c r="V5" s="84">
        <v>4.6899999999999997E-2</v>
      </c>
      <c r="W5" s="84">
        <v>0.05</v>
      </c>
      <c r="X5" s="84">
        <v>4.9000000000000002E-2</v>
      </c>
      <c r="Y5" s="84">
        <v>4.8399999999999999E-2</v>
      </c>
      <c r="Z5" s="84">
        <v>0.05</v>
      </c>
      <c r="AA5" s="84">
        <v>0.05</v>
      </c>
      <c r="AB5" s="84">
        <v>0.06</v>
      </c>
      <c r="AC5" s="84">
        <v>0.06</v>
      </c>
      <c r="AD5" s="84">
        <v>0.05</v>
      </c>
      <c r="AE5" s="84">
        <v>0.05</v>
      </c>
      <c r="AF5" s="84">
        <v>4.9000000000000002E-2</v>
      </c>
      <c r="AG5" s="84">
        <v>4.9599999999999998E-2</v>
      </c>
      <c r="AH5" s="84">
        <v>0.05</v>
      </c>
    </row>
    <row r="6" spans="2:34" ht="15" customHeight="1" x14ac:dyDescent="0.25">
      <c r="B6" s="209" t="s">
        <v>959</v>
      </c>
      <c r="C6" s="119" t="s">
        <v>957</v>
      </c>
      <c r="D6" s="86"/>
      <c r="E6" s="86">
        <v>0.23080000000000001</v>
      </c>
      <c r="F6" s="86"/>
      <c r="G6" s="86"/>
      <c r="H6" s="86"/>
      <c r="I6" s="86">
        <v>0.25</v>
      </c>
      <c r="J6" s="86"/>
      <c r="K6" s="86"/>
      <c r="L6" s="86">
        <v>0.25</v>
      </c>
      <c r="M6" s="86">
        <v>0.23</v>
      </c>
      <c r="N6" s="86">
        <v>0.25</v>
      </c>
      <c r="O6" s="86"/>
      <c r="P6" s="86">
        <v>0.24</v>
      </c>
      <c r="Q6" s="86">
        <v>0.16520000000000001</v>
      </c>
      <c r="R6" s="86"/>
      <c r="S6" s="86">
        <v>0.1948</v>
      </c>
      <c r="T6" s="86"/>
      <c r="U6" s="86">
        <v>0.26</v>
      </c>
      <c r="V6" s="86"/>
      <c r="W6" s="86">
        <v>0.22720000000000001</v>
      </c>
      <c r="X6" s="86">
        <v>0.27610000000000001</v>
      </c>
      <c r="Y6" s="86"/>
      <c r="Z6" s="86"/>
      <c r="AA6" s="86">
        <v>0.25</v>
      </c>
      <c r="AB6" s="86"/>
      <c r="AC6" s="86">
        <v>0.25</v>
      </c>
      <c r="AD6" s="86">
        <v>0.1706</v>
      </c>
      <c r="AE6" s="86">
        <v>0.25</v>
      </c>
      <c r="AF6" s="86"/>
      <c r="AG6" s="86">
        <v>0.22</v>
      </c>
      <c r="AH6" s="86">
        <v>0.25</v>
      </c>
    </row>
    <row r="7" spans="2:34" ht="15" customHeight="1" x14ac:dyDescent="0.25">
      <c r="B7" s="210"/>
      <c r="C7" s="120" t="s">
        <v>339</v>
      </c>
      <c r="D7" s="86"/>
      <c r="E7" s="86">
        <v>0.71150000000000002</v>
      </c>
      <c r="F7" s="86"/>
      <c r="G7" s="86"/>
      <c r="H7" s="86"/>
      <c r="I7" s="86">
        <v>0.7</v>
      </c>
      <c r="J7" s="86"/>
      <c r="K7" s="86"/>
      <c r="L7" s="86">
        <v>0.7</v>
      </c>
      <c r="M7" s="86">
        <v>0.71499999999999997</v>
      </c>
      <c r="N7" s="86">
        <v>0.7</v>
      </c>
      <c r="O7" s="86"/>
      <c r="P7" s="86">
        <v>0.71</v>
      </c>
      <c r="Q7" s="86">
        <v>0.78259999999999996</v>
      </c>
      <c r="R7" s="86"/>
      <c r="S7" s="86">
        <v>0.753</v>
      </c>
      <c r="T7" s="86"/>
      <c r="U7" s="86">
        <v>0.67600000000000005</v>
      </c>
      <c r="V7" s="86"/>
      <c r="W7" s="86">
        <v>0.72729999999999995</v>
      </c>
      <c r="X7" s="86">
        <v>0.67390000000000005</v>
      </c>
      <c r="Y7" s="86"/>
      <c r="Z7" s="86"/>
      <c r="AA7" s="86">
        <v>0.7</v>
      </c>
      <c r="AB7" s="86"/>
      <c r="AC7" s="86">
        <v>0.69730000000000003</v>
      </c>
      <c r="AD7" s="86">
        <v>0.7823</v>
      </c>
      <c r="AE7" s="86">
        <v>0.68340000000000001</v>
      </c>
      <c r="AF7" s="86"/>
      <c r="AG7" s="86">
        <v>0.73</v>
      </c>
      <c r="AH7" s="86">
        <v>0.7</v>
      </c>
    </row>
    <row r="8" spans="2:34" ht="15" customHeight="1" thickBot="1" x14ac:dyDescent="0.3">
      <c r="B8" s="211"/>
      <c r="C8" s="120" t="s">
        <v>338</v>
      </c>
      <c r="D8" s="86"/>
      <c r="E8" s="86">
        <v>5.7700000000000001E-2</v>
      </c>
      <c r="F8" s="86"/>
      <c r="G8" s="86"/>
      <c r="H8" s="86"/>
      <c r="I8" s="86">
        <v>0.05</v>
      </c>
      <c r="J8" s="86"/>
      <c r="K8" s="86"/>
      <c r="L8" s="86">
        <v>0.05</v>
      </c>
      <c r="M8" s="86">
        <v>5.5E-2</v>
      </c>
      <c r="N8" s="86">
        <v>0.05</v>
      </c>
      <c r="O8" s="86"/>
      <c r="P8" s="86">
        <v>0.05</v>
      </c>
      <c r="Q8" s="86">
        <v>5.2200000000000003E-2</v>
      </c>
      <c r="R8" s="86"/>
      <c r="S8" s="86">
        <v>5.2200000000000003E-2</v>
      </c>
      <c r="T8" s="86"/>
      <c r="U8" s="86">
        <v>6.4000000000000001E-2</v>
      </c>
      <c r="V8" s="86"/>
      <c r="W8" s="86">
        <v>4.5499999999999999E-2</v>
      </c>
      <c r="X8" s="86">
        <v>0.05</v>
      </c>
      <c r="Y8" s="86"/>
      <c r="Z8" s="86"/>
      <c r="AA8" s="86">
        <v>0.05</v>
      </c>
      <c r="AB8" s="86"/>
      <c r="AC8" s="86">
        <v>5.2699999999999997E-2</v>
      </c>
      <c r="AD8" s="86">
        <v>4.7100000000000003E-2</v>
      </c>
      <c r="AE8" s="86">
        <v>6.6600000000000006E-2</v>
      </c>
      <c r="AF8" s="86"/>
      <c r="AG8" s="86">
        <v>0.05</v>
      </c>
      <c r="AH8" s="86">
        <v>0.05</v>
      </c>
    </row>
    <row r="9" spans="2:34" ht="15" customHeight="1" x14ac:dyDescent="0.25">
      <c r="B9" s="215" t="s">
        <v>960</v>
      </c>
      <c r="C9" s="121" t="s">
        <v>957</v>
      </c>
      <c r="D9" s="135"/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135"/>
      <c r="P9" s="135">
        <v>0.28000000000000003</v>
      </c>
      <c r="Q9" s="135"/>
      <c r="R9" s="135">
        <v>0.23599999999999999</v>
      </c>
      <c r="S9" s="135">
        <v>0.26</v>
      </c>
      <c r="T9" s="135"/>
      <c r="U9" s="135"/>
      <c r="V9" s="135">
        <v>0.28000000000000003</v>
      </c>
      <c r="W9" s="135"/>
      <c r="X9" s="135"/>
      <c r="Y9" s="135">
        <v>0.25</v>
      </c>
      <c r="Z9" s="135"/>
      <c r="AA9" s="135"/>
      <c r="AB9" s="135"/>
      <c r="AC9" s="135"/>
      <c r="AD9" s="135"/>
      <c r="AE9" s="135">
        <v>0.28000000000000003</v>
      </c>
      <c r="AF9" s="135">
        <v>0.18260000000000001</v>
      </c>
      <c r="AG9" s="135"/>
      <c r="AH9" s="135">
        <v>0.22140000000000001</v>
      </c>
    </row>
    <row r="10" spans="2:34" ht="15" customHeight="1" x14ac:dyDescent="0.25">
      <c r="B10" s="216"/>
      <c r="C10" s="123" t="s">
        <v>339</v>
      </c>
      <c r="D10" s="134"/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/>
      <c r="P10" s="134">
        <v>0.67</v>
      </c>
      <c r="Q10" s="134"/>
      <c r="R10" s="134">
        <v>0.71430000000000005</v>
      </c>
      <c r="S10" s="134">
        <v>0.68</v>
      </c>
      <c r="T10" s="134"/>
      <c r="U10" s="134"/>
      <c r="V10" s="134">
        <v>0.67</v>
      </c>
      <c r="W10" s="134"/>
      <c r="X10" s="134"/>
      <c r="Y10" s="134">
        <v>0.69669999999999999</v>
      </c>
      <c r="Z10" s="134"/>
      <c r="AA10" s="134"/>
      <c r="AB10" s="134"/>
      <c r="AC10" s="134"/>
      <c r="AD10" s="134"/>
      <c r="AE10" s="134">
        <v>0.67</v>
      </c>
      <c r="AF10" s="134">
        <v>0.76959999999999995</v>
      </c>
      <c r="AG10" s="134"/>
      <c r="AH10" s="134">
        <v>0.7298</v>
      </c>
    </row>
    <row r="11" spans="2:34" ht="15" customHeight="1" thickBot="1" x14ac:dyDescent="0.3">
      <c r="B11" s="221"/>
      <c r="C11" s="125" t="s">
        <v>338</v>
      </c>
      <c r="D11" s="136"/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36"/>
      <c r="P11" s="136">
        <v>0.05</v>
      </c>
      <c r="Q11" s="136"/>
      <c r="R11" s="136">
        <v>0.05</v>
      </c>
      <c r="S11" s="136">
        <v>0.06</v>
      </c>
      <c r="T11" s="136"/>
      <c r="U11" s="136"/>
      <c r="V11" s="136">
        <v>0.05</v>
      </c>
      <c r="W11" s="136"/>
      <c r="X11" s="136"/>
      <c r="Y11" s="136">
        <v>5.33E-2</v>
      </c>
      <c r="Z11" s="136"/>
      <c r="AA11" s="136"/>
      <c r="AB11" s="136"/>
      <c r="AC11" s="136"/>
      <c r="AD11" s="136"/>
      <c r="AE11" s="136">
        <v>0.05</v>
      </c>
      <c r="AF11" s="136">
        <v>4.7800000000000002E-2</v>
      </c>
      <c r="AG11" s="136"/>
      <c r="AH11" s="136">
        <v>4.8800000000000003E-2</v>
      </c>
    </row>
    <row r="12" spans="2:34" ht="15" customHeight="1" x14ac:dyDescent="0.25">
      <c r="B12" s="222" t="s">
        <v>1086</v>
      </c>
      <c r="C12" s="151" t="s">
        <v>957</v>
      </c>
      <c r="D12" s="152"/>
      <c r="E12" s="152"/>
      <c r="F12" s="152"/>
      <c r="G12" s="152"/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2"/>
      <c r="U12" s="152"/>
      <c r="V12" s="152"/>
      <c r="W12" s="152"/>
      <c r="X12" s="152"/>
      <c r="Y12" s="152"/>
      <c r="Z12" s="152"/>
      <c r="AA12" s="152"/>
      <c r="AB12" s="152"/>
      <c r="AC12" s="152"/>
      <c r="AD12" s="152"/>
      <c r="AE12" s="152"/>
      <c r="AF12" s="152"/>
      <c r="AG12" s="152"/>
      <c r="AH12" s="152"/>
    </row>
    <row r="13" spans="2:34" ht="15" customHeight="1" x14ac:dyDescent="0.25">
      <c r="B13" s="223"/>
      <c r="C13" s="90" t="s">
        <v>339</v>
      </c>
      <c r="D13" s="149"/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  <c r="AC13" s="149"/>
      <c r="AD13" s="149"/>
      <c r="AE13" s="149"/>
      <c r="AF13" s="149"/>
      <c r="AG13" s="149"/>
      <c r="AH13" s="149"/>
    </row>
    <row r="14" spans="2:34" ht="15" customHeight="1" thickBot="1" x14ac:dyDescent="0.3">
      <c r="B14" s="224"/>
      <c r="C14" s="92" t="s">
        <v>338</v>
      </c>
      <c r="D14" s="150"/>
      <c r="E14" s="150"/>
      <c r="F14" s="150"/>
      <c r="G14" s="150"/>
      <c r="H14" s="150"/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150"/>
      <c r="T14" s="150"/>
      <c r="U14" s="150"/>
      <c r="V14" s="150"/>
      <c r="W14" s="150"/>
      <c r="X14" s="150"/>
      <c r="Y14" s="150"/>
      <c r="Z14" s="150"/>
      <c r="AA14" s="150"/>
      <c r="AB14" s="150"/>
      <c r="AC14" s="150"/>
      <c r="AD14" s="150"/>
      <c r="AE14" s="150"/>
      <c r="AF14" s="150"/>
      <c r="AG14" s="150"/>
      <c r="AH14" s="150"/>
    </row>
    <row r="15" spans="2:34" ht="6.75" customHeight="1" thickBot="1" x14ac:dyDescent="0.3"/>
    <row r="16" spans="2:34" ht="15" customHeight="1" thickBot="1" x14ac:dyDescent="0.3">
      <c r="B16" s="95" t="s">
        <v>964</v>
      </c>
      <c r="C16" s="94" t="s">
        <v>963</v>
      </c>
      <c r="D16" s="94" t="s">
        <v>1306</v>
      </c>
      <c r="E16" s="94" t="s">
        <v>1307</v>
      </c>
      <c r="F16" s="94" t="s">
        <v>1308</v>
      </c>
      <c r="G16" s="94" t="s">
        <v>1309</v>
      </c>
      <c r="H16" s="94" t="s">
        <v>1310</v>
      </c>
      <c r="I16" s="94" t="s">
        <v>1311</v>
      </c>
      <c r="J16" s="94" t="s">
        <v>1312</v>
      </c>
      <c r="K16" s="94" t="s">
        <v>1313</v>
      </c>
      <c r="L16" s="94" t="s">
        <v>1314</v>
      </c>
      <c r="M16" s="94" t="s">
        <v>1315</v>
      </c>
      <c r="N16" s="94" t="s">
        <v>1316</v>
      </c>
      <c r="O16" s="94" t="s">
        <v>1317</v>
      </c>
      <c r="P16" s="94" t="s">
        <v>1318</v>
      </c>
      <c r="Q16" s="94" t="s">
        <v>1319</v>
      </c>
      <c r="R16" s="94" t="s">
        <v>1320</v>
      </c>
      <c r="S16" s="94" t="s">
        <v>1321</v>
      </c>
      <c r="T16" s="94" t="s">
        <v>1322</v>
      </c>
      <c r="U16" s="94" t="s">
        <v>1323</v>
      </c>
      <c r="V16" s="94" t="s">
        <v>1324</v>
      </c>
      <c r="W16" s="94" t="s">
        <v>1325</v>
      </c>
      <c r="X16" s="94" t="s">
        <v>1326</v>
      </c>
      <c r="Y16" s="94" t="s">
        <v>1327</v>
      </c>
      <c r="Z16" s="94" t="s">
        <v>1328</v>
      </c>
      <c r="AA16" s="94" t="s">
        <v>1329</v>
      </c>
      <c r="AB16" s="94" t="s">
        <v>1330</v>
      </c>
      <c r="AC16" s="94" t="s">
        <v>1331</v>
      </c>
      <c r="AD16" s="94" t="s">
        <v>1332</v>
      </c>
      <c r="AE16" s="94" t="s">
        <v>1333</v>
      </c>
      <c r="AF16" s="94" t="s">
        <v>1334</v>
      </c>
      <c r="AG16" s="94" t="s">
        <v>1335</v>
      </c>
      <c r="AH16" s="94" t="s">
        <v>1336</v>
      </c>
    </row>
    <row r="17" spans="2:34" ht="15" customHeight="1" x14ac:dyDescent="0.25">
      <c r="B17" s="206" t="s">
        <v>958</v>
      </c>
      <c r="C17" s="81" t="s">
        <v>957</v>
      </c>
      <c r="D17" s="117">
        <v>0.15</v>
      </c>
      <c r="E17" s="117">
        <v>0.17</v>
      </c>
      <c r="F17" s="117">
        <v>0.17</v>
      </c>
      <c r="G17" s="117">
        <v>0.17</v>
      </c>
      <c r="H17" s="117">
        <v>0.17</v>
      </c>
      <c r="I17" s="117">
        <v>0.17499999999999999</v>
      </c>
      <c r="J17" s="117">
        <v>0.1759</v>
      </c>
      <c r="K17" s="117">
        <v>0.15</v>
      </c>
      <c r="L17" s="117">
        <v>0.17369999999999999</v>
      </c>
      <c r="M17" s="117">
        <v>0.17169999999999999</v>
      </c>
      <c r="N17" s="117">
        <v>0.17399999999999999</v>
      </c>
      <c r="O17" s="117">
        <v>0.17399999999999999</v>
      </c>
      <c r="P17" s="117">
        <v>0.17199999999999999</v>
      </c>
      <c r="Q17" s="117">
        <v>0.17499999999999999</v>
      </c>
      <c r="R17" s="117">
        <v>0.16220000000000001</v>
      </c>
      <c r="S17" s="117">
        <v>0.17299999999999999</v>
      </c>
      <c r="T17" s="117">
        <v>0.17</v>
      </c>
      <c r="U17" s="117">
        <v>0.15</v>
      </c>
      <c r="V17" s="117">
        <v>0.17499999999999999</v>
      </c>
      <c r="W17" s="117">
        <v>0.17</v>
      </c>
      <c r="X17" s="117">
        <v>0.1701</v>
      </c>
      <c r="Y17" s="117">
        <v>0.17083333333333334</v>
      </c>
      <c r="Z17" s="117">
        <v>0.17</v>
      </c>
      <c r="AA17" s="117">
        <v>0.16550000000000001</v>
      </c>
      <c r="AB17" s="117">
        <v>0.17</v>
      </c>
      <c r="AC17" s="117">
        <v>0.17499999999999999</v>
      </c>
      <c r="AD17" s="117">
        <v>0.14549999999999999</v>
      </c>
      <c r="AE17" s="117">
        <v>0.17499999999999999</v>
      </c>
      <c r="AF17" s="117">
        <v>0.16700000000000001</v>
      </c>
      <c r="AG17" s="117">
        <v>0.16300000000000001</v>
      </c>
      <c r="AH17" s="117">
        <v>0.17</v>
      </c>
    </row>
    <row r="18" spans="2:34" ht="15" customHeight="1" x14ac:dyDescent="0.25">
      <c r="B18" s="207"/>
      <c r="C18" s="83" t="s">
        <v>339</v>
      </c>
      <c r="D18" s="84">
        <v>0.8</v>
      </c>
      <c r="E18" s="84">
        <v>0.78</v>
      </c>
      <c r="F18" s="84">
        <v>0.78</v>
      </c>
      <c r="G18" s="84">
        <v>0.77</v>
      </c>
      <c r="H18" s="84">
        <v>0.78</v>
      </c>
      <c r="I18" s="84">
        <v>0.77500000000000002</v>
      </c>
      <c r="J18" s="84">
        <v>0.77410000000000001</v>
      </c>
      <c r="K18" s="84">
        <v>0.8</v>
      </c>
      <c r="L18" s="84">
        <v>0.77629999999999999</v>
      </c>
      <c r="M18" s="84">
        <v>0.76829999999999998</v>
      </c>
      <c r="N18" s="84">
        <v>0.77600000000000002</v>
      </c>
      <c r="O18" s="84">
        <v>0.77600000000000002</v>
      </c>
      <c r="P18" s="84">
        <v>0.77200000000000002</v>
      </c>
      <c r="Q18" s="84">
        <v>0.77500000000000002</v>
      </c>
      <c r="R18" s="84">
        <v>0.7823</v>
      </c>
      <c r="S18" s="84">
        <v>0.76700000000000002</v>
      </c>
      <c r="T18" s="84">
        <v>0.77</v>
      </c>
      <c r="U18" s="84">
        <v>0.8</v>
      </c>
      <c r="V18" s="84">
        <v>0.77</v>
      </c>
      <c r="W18" s="84">
        <v>0.78</v>
      </c>
      <c r="X18" s="84">
        <v>0.78049999999999997</v>
      </c>
      <c r="Y18" s="84">
        <v>0.77916666666666667</v>
      </c>
      <c r="Z18" s="84">
        <v>0.78</v>
      </c>
      <c r="AA18" s="84">
        <v>0.78539999999999999</v>
      </c>
      <c r="AB18" s="84">
        <v>0.78</v>
      </c>
      <c r="AC18" s="84">
        <v>0.76551020408163273</v>
      </c>
      <c r="AD18" s="84">
        <v>0.80519480519480524</v>
      </c>
      <c r="AE18" s="84">
        <v>0.77500000000000002</v>
      </c>
      <c r="AF18" s="84">
        <v>0.78237179487179487</v>
      </c>
      <c r="AG18" s="84">
        <v>0.78632911392405069</v>
      </c>
      <c r="AH18" s="84">
        <v>0.78</v>
      </c>
    </row>
    <row r="19" spans="2:34" ht="15" customHeight="1" thickBot="1" x14ac:dyDescent="0.3">
      <c r="B19" s="208"/>
      <c r="C19" s="83" t="s">
        <v>338</v>
      </c>
      <c r="D19" s="84">
        <v>0.05</v>
      </c>
      <c r="E19" s="84">
        <v>0.05</v>
      </c>
      <c r="F19" s="84">
        <v>0.05</v>
      </c>
      <c r="G19" s="84">
        <v>0.06</v>
      </c>
      <c r="H19" s="84">
        <v>0.05</v>
      </c>
      <c r="I19" s="84">
        <v>0.05</v>
      </c>
      <c r="J19" s="84">
        <v>0.05</v>
      </c>
      <c r="K19" s="84">
        <v>0.05</v>
      </c>
      <c r="L19" s="84">
        <v>0.05</v>
      </c>
      <c r="M19" s="84">
        <v>0.06</v>
      </c>
      <c r="N19" s="84">
        <v>0.05</v>
      </c>
      <c r="O19" s="84">
        <v>0.05</v>
      </c>
      <c r="P19" s="84">
        <v>5.6000000000000001E-2</v>
      </c>
      <c r="Q19" s="84">
        <v>0.05</v>
      </c>
      <c r="R19" s="84">
        <v>5.5500000000000001E-2</v>
      </c>
      <c r="S19" s="84">
        <v>0.06</v>
      </c>
      <c r="T19" s="84">
        <v>0.06</v>
      </c>
      <c r="U19" s="84">
        <v>0.05</v>
      </c>
      <c r="V19" s="84">
        <v>5.5E-2</v>
      </c>
      <c r="W19" s="84">
        <v>0.05</v>
      </c>
      <c r="X19" s="84">
        <v>4.9399999999999999E-2</v>
      </c>
      <c r="Y19" s="84">
        <v>0.05</v>
      </c>
      <c r="Z19" s="84">
        <v>0.05</v>
      </c>
      <c r="AA19" s="84">
        <v>4.9099999999999998E-2</v>
      </c>
      <c r="AB19" s="84">
        <v>0.05</v>
      </c>
      <c r="AC19" s="84">
        <v>5.9489795918367346E-2</v>
      </c>
      <c r="AD19" s="84">
        <v>4.9350649350649353E-2</v>
      </c>
      <c r="AE19" s="84">
        <v>0.05</v>
      </c>
      <c r="AF19" s="84">
        <v>5.0599999999999999E-2</v>
      </c>
      <c r="AG19" s="84">
        <v>5.0599999999999999E-2</v>
      </c>
      <c r="AH19" s="84">
        <v>0.05</v>
      </c>
    </row>
    <row r="20" spans="2:34" ht="15" customHeight="1" x14ac:dyDescent="0.25">
      <c r="B20" s="209" t="s">
        <v>959</v>
      </c>
      <c r="C20" s="85" t="s">
        <v>957</v>
      </c>
      <c r="D20" s="132">
        <v>0.16</v>
      </c>
      <c r="E20" s="132">
        <v>0.23</v>
      </c>
      <c r="F20" s="132">
        <v>0.17499999999999999</v>
      </c>
      <c r="G20" s="132">
        <v>0.23</v>
      </c>
      <c r="H20" s="132">
        <v>0.23</v>
      </c>
      <c r="I20" s="132"/>
      <c r="J20" s="132">
        <v>0.24</v>
      </c>
      <c r="K20" s="132">
        <v>0.17</v>
      </c>
      <c r="L20" s="132">
        <v>0.2364</v>
      </c>
      <c r="M20" s="132">
        <v>0.21990000000000001</v>
      </c>
      <c r="N20" s="132"/>
      <c r="O20" s="132">
        <v>0.2</v>
      </c>
      <c r="P20" s="132">
        <v>0.25</v>
      </c>
      <c r="Q20" s="132">
        <v>0.23</v>
      </c>
      <c r="R20" s="132"/>
      <c r="S20" s="132"/>
      <c r="T20" s="132">
        <v>0.1613</v>
      </c>
      <c r="U20" s="132">
        <v>0.24</v>
      </c>
      <c r="V20" s="132">
        <v>0.25</v>
      </c>
      <c r="W20" s="132">
        <v>0.2727</v>
      </c>
      <c r="X20" s="132">
        <v>0.15</v>
      </c>
      <c r="Y20" s="132">
        <v>0.188</v>
      </c>
      <c r="Z20" s="132">
        <v>0.25</v>
      </c>
      <c r="AA20" s="132">
        <v>0.1905</v>
      </c>
      <c r="AB20" s="132">
        <v>0.1905</v>
      </c>
      <c r="AC20" s="132">
        <v>0.25</v>
      </c>
      <c r="AD20" s="132">
        <v>0.25</v>
      </c>
      <c r="AE20" s="132">
        <v>0.25</v>
      </c>
      <c r="AF20" s="132">
        <v>0.15</v>
      </c>
      <c r="AG20" s="132">
        <v>0.192</v>
      </c>
      <c r="AH20" s="132">
        <v>0.25</v>
      </c>
    </row>
    <row r="21" spans="2:34" ht="15" customHeight="1" x14ac:dyDescent="0.25">
      <c r="B21" s="210"/>
      <c r="C21" s="87" t="s">
        <v>339</v>
      </c>
      <c r="D21" s="86">
        <v>0.79</v>
      </c>
      <c r="E21" s="86">
        <v>0.71499999999999997</v>
      </c>
      <c r="F21" s="86">
        <v>0.77500000000000002</v>
      </c>
      <c r="G21" s="86">
        <v>0.71</v>
      </c>
      <c r="H21" s="86">
        <v>0.72</v>
      </c>
      <c r="I21" s="86"/>
      <c r="J21" s="86">
        <v>0.72</v>
      </c>
      <c r="K21" s="86">
        <v>0.78</v>
      </c>
      <c r="L21" s="86">
        <v>0.71360000000000001</v>
      </c>
      <c r="M21" s="86">
        <v>0.72009999999999996</v>
      </c>
      <c r="N21" s="86"/>
      <c r="O21" s="86">
        <v>0.75</v>
      </c>
      <c r="P21" s="86">
        <v>0.69299999999999995</v>
      </c>
      <c r="Q21" s="86">
        <v>0.72</v>
      </c>
      <c r="R21" s="86"/>
      <c r="S21" s="86"/>
      <c r="T21" s="86">
        <v>0.7742</v>
      </c>
      <c r="U21" s="86">
        <v>0.71</v>
      </c>
      <c r="V21" s="86">
        <v>0.69499999999999995</v>
      </c>
      <c r="W21" s="86">
        <v>0.68179999999999996</v>
      </c>
      <c r="X21" s="86">
        <v>0.8</v>
      </c>
      <c r="Y21" s="86">
        <v>0.76800000000000002</v>
      </c>
      <c r="Z21" s="86">
        <v>0.7</v>
      </c>
      <c r="AA21" s="86">
        <v>0.76190000000000002</v>
      </c>
      <c r="AB21" s="86">
        <v>0.76190000000000002</v>
      </c>
      <c r="AC21" s="86">
        <v>0.69</v>
      </c>
      <c r="AD21" s="86">
        <v>0.7</v>
      </c>
      <c r="AE21" s="86">
        <v>0.7</v>
      </c>
      <c r="AF21" s="86">
        <v>0.8</v>
      </c>
      <c r="AG21" s="86">
        <v>0.76</v>
      </c>
      <c r="AH21" s="86">
        <v>0.7</v>
      </c>
    </row>
    <row r="22" spans="2:34" ht="15" customHeight="1" thickBot="1" x14ac:dyDescent="0.3">
      <c r="B22" s="211"/>
      <c r="C22" s="87" t="s">
        <v>338</v>
      </c>
      <c r="D22" s="86">
        <v>0.05</v>
      </c>
      <c r="E22" s="86">
        <v>5.5E-2</v>
      </c>
      <c r="F22" s="86">
        <v>0.05</v>
      </c>
      <c r="G22" s="86">
        <v>0.06</v>
      </c>
      <c r="H22" s="86">
        <v>0.05</v>
      </c>
      <c r="I22" s="86"/>
      <c r="J22" s="86">
        <v>0.04</v>
      </c>
      <c r="K22" s="86">
        <v>0.05</v>
      </c>
      <c r="L22" s="86">
        <v>0.05</v>
      </c>
      <c r="M22" s="86">
        <v>0.06</v>
      </c>
      <c r="N22" s="86"/>
      <c r="O22" s="86">
        <v>0.05</v>
      </c>
      <c r="P22" s="86">
        <v>5.7000000000000002E-2</v>
      </c>
      <c r="Q22" s="86">
        <v>0.05</v>
      </c>
      <c r="R22" s="86"/>
      <c r="S22" s="86"/>
      <c r="T22" s="86">
        <v>6.4500000000000002E-2</v>
      </c>
      <c r="U22" s="86">
        <v>0.05</v>
      </c>
      <c r="V22" s="86">
        <v>5.5E-2</v>
      </c>
      <c r="W22" s="86">
        <v>4.5499999999999999E-2</v>
      </c>
      <c r="X22" s="86">
        <v>0.05</v>
      </c>
      <c r="Y22" s="86">
        <v>4.3999999999999997E-2</v>
      </c>
      <c r="Z22" s="86">
        <v>0.05</v>
      </c>
      <c r="AA22" s="86">
        <v>4.7600000000000003E-2</v>
      </c>
      <c r="AB22" s="86">
        <v>4.7600000000000003E-2</v>
      </c>
      <c r="AC22" s="86">
        <v>0.06</v>
      </c>
      <c r="AD22" s="86">
        <v>0.05</v>
      </c>
      <c r="AE22" s="86">
        <v>0.05</v>
      </c>
      <c r="AF22" s="86">
        <v>0.05</v>
      </c>
      <c r="AG22" s="86">
        <v>4.8000000000000001E-2</v>
      </c>
      <c r="AH22" s="86">
        <v>0.05</v>
      </c>
    </row>
    <row r="23" spans="2:34" ht="15" customHeight="1" x14ac:dyDescent="0.25">
      <c r="B23" s="200" t="s">
        <v>960</v>
      </c>
      <c r="C23" s="88" t="s">
        <v>957</v>
      </c>
      <c r="D23" s="135"/>
      <c r="E23" s="135"/>
      <c r="F23" s="135"/>
      <c r="G23" s="135"/>
      <c r="H23" s="135">
        <v>0.26</v>
      </c>
      <c r="I23" s="135"/>
      <c r="J23" s="135">
        <v>0.25330000000000003</v>
      </c>
      <c r="K23" s="135">
        <v>0.31809999999999999</v>
      </c>
      <c r="L23" s="135"/>
      <c r="M23" s="135"/>
      <c r="N23" s="135">
        <v>0.28000000000000003</v>
      </c>
      <c r="O23" s="135">
        <v>0.30909999999999999</v>
      </c>
      <c r="P23" s="135"/>
      <c r="Q23" s="135">
        <v>0.68020000000000003</v>
      </c>
      <c r="R23" s="135"/>
      <c r="S23" s="135">
        <v>0.26669999999999999</v>
      </c>
      <c r="T23" s="135">
        <v>0.2</v>
      </c>
      <c r="U23" s="135">
        <v>0.28000000000000003</v>
      </c>
      <c r="V23" s="135"/>
      <c r="W23" s="135">
        <v>0.28000000000000003</v>
      </c>
      <c r="X23" s="135"/>
      <c r="Y23" s="135">
        <v>0.23810000000000001</v>
      </c>
      <c r="Z23" s="135">
        <v>0.28000000000000003</v>
      </c>
      <c r="AA23" s="135">
        <v>0.28000000000000003</v>
      </c>
      <c r="AB23" s="135">
        <v>0.2</v>
      </c>
      <c r="AC23" s="135"/>
      <c r="AD23" s="135"/>
      <c r="AE23" s="135">
        <v>0.28000000000000003</v>
      </c>
      <c r="AF23" s="135">
        <v>0.1905</v>
      </c>
      <c r="AG23" s="135">
        <v>0.28000000000000003</v>
      </c>
      <c r="AH23" s="135">
        <v>0.28000000000000003</v>
      </c>
    </row>
    <row r="24" spans="2:34" ht="15" customHeight="1" x14ac:dyDescent="0.25">
      <c r="B24" s="201"/>
      <c r="C24" s="90" t="s">
        <v>339</v>
      </c>
      <c r="D24" s="134"/>
      <c r="E24" s="134"/>
      <c r="F24" s="134"/>
      <c r="G24" s="134"/>
      <c r="H24" s="134">
        <v>0.69</v>
      </c>
      <c r="I24" s="134"/>
      <c r="J24" s="134">
        <v>0.69330000000000003</v>
      </c>
      <c r="K24" s="134">
        <v>0.63639999999999997</v>
      </c>
      <c r="L24" s="134"/>
      <c r="M24" s="134"/>
      <c r="N24" s="134">
        <v>0.67</v>
      </c>
      <c r="O24" s="134">
        <v>0.63639999999999997</v>
      </c>
      <c r="P24" s="134"/>
      <c r="Q24" s="134">
        <v>0.26979999999999998</v>
      </c>
      <c r="R24" s="134"/>
      <c r="S24" s="134">
        <v>0.67330000000000001</v>
      </c>
      <c r="T24" s="134">
        <v>0.74</v>
      </c>
      <c r="U24" s="134">
        <v>0.67</v>
      </c>
      <c r="V24" s="134"/>
      <c r="W24" s="134">
        <v>0.67</v>
      </c>
      <c r="X24" s="134"/>
      <c r="Y24" s="134">
        <v>0.7142857142857143</v>
      </c>
      <c r="Z24" s="134">
        <v>0.68</v>
      </c>
      <c r="AA24" s="134">
        <v>0.67</v>
      </c>
      <c r="AB24" s="134">
        <v>0.75</v>
      </c>
      <c r="AC24" s="134"/>
      <c r="AD24" s="134"/>
      <c r="AE24" s="134">
        <v>0.67</v>
      </c>
      <c r="AF24" s="134">
        <v>0.76190476190476186</v>
      </c>
      <c r="AG24" s="134">
        <v>0.67</v>
      </c>
      <c r="AH24" s="134">
        <v>0.67</v>
      </c>
    </row>
    <row r="25" spans="2:34" ht="15" customHeight="1" thickBot="1" x14ac:dyDescent="0.3">
      <c r="B25" s="212"/>
      <c r="C25" s="108" t="s">
        <v>338</v>
      </c>
      <c r="D25" s="136"/>
      <c r="E25" s="136"/>
      <c r="F25" s="136"/>
      <c r="G25" s="136"/>
      <c r="H25" s="136">
        <v>0.05</v>
      </c>
      <c r="I25" s="136"/>
      <c r="J25" s="136">
        <v>5.33E-2</v>
      </c>
      <c r="K25" s="136">
        <v>4.5499999999999999E-2</v>
      </c>
      <c r="L25" s="136"/>
      <c r="M25" s="136"/>
      <c r="N25" s="136">
        <v>0.05</v>
      </c>
      <c r="O25" s="136">
        <v>5.45E-2</v>
      </c>
      <c r="P25" s="136"/>
      <c r="Q25" s="136">
        <v>0.05</v>
      </c>
      <c r="R25" s="136"/>
      <c r="S25" s="136">
        <v>0.06</v>
      </c>
      <c r="T25" s="136">
        <v>0.06</v>
      </c>
      <c r="U25" s="136">
        <v>0.05</v>
      </c>
      <c r="V25" s="136"/>
      <c r="W25" s="136">
        <v>0.05</v>
      </c>
      <c r="X25" s="136"/>
      <c r="Y25" s="136">
        <v>4.7619047619047616E-2</v>
      </c>
      <c r="Z25" s="136">
        <v>0.04</v>
      </c>
      <c r="AA25" s="136">
        <v>0.05</v>
      </c>
      <c r="AB25" s="136">
        <v>0.05</v>
      </c>
      <c r="AC25" s="136"/>
      <c r="AD25" s="136"/>
      <c r="AE25" s="136">
        <v>0.05</v>
      </c>
      <c r="AF25" s="136">
        <v>4.7619047619047616E-2</v>
      </c>
      <c r="AG25" s="136">
        <v>0.05</v>
      </c>
      <c r="AH25" s="136">
        <v>0.05</v>
      </c>
    </row>
    <row r="26" spans="2:34" ht="15" customHeight="1" x14ac:dyDescent="0.25">
      <c r="B26" s="218" t="s">
        <v>1086</v>
      </c>
      <c r="C26" s="88" t="s">
        <v>957</v>
      </c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  <c r="Z26" s="137"/>
      <c r="AA26" s="137"/>
      <c r="AB26" s="137"/>
      <c r="AC26" s="137"/>
      <c r="AD26" s="137"/>
      <c r="AE26" s="137"/>
      <c r="AF26" s="137"/>
      <c r="AG26" s="137"/>
      <c r="AH26" s="137"/>
    </row>
    <row r="27" spans="2:34" ht="15" customHeight="1" x14ac:dyDescent="0.25">
      <c r="B27" s="219"/>
      <c r="C27" s="90" t="s">
        <v>339</v>
      </c>
      <c r="D27" s="138"/>
      <c r="E27" s="138">
        <v>0.9536</v>
      </c>
      <c r="F27" s="138"/>
      <c r="G27" s="138">
        <v>0.93500000000000005</v>
      </c>
      <c r="H27" s="138">
        <v>0.95</v>
      </c>
      <c r="I27" s="138">
        <v>0.95169999999999999</v>
      </c>
      <c r="J27" s="138">
        <v>0.95</v>
      </c>
      <c r="K27" s="138">
        <v>0.93330000000000002</v>
      </c>
      <c r="L27" s="138">
        <v>0.94</v>
      </c>
      <c r="M27" s="138">
        <v>0.93600000000000005</v>
      </c>
      <c r="N27" s="138"/>
      <c r="O27" s="138">
        <v>0.94499999999999995</v>
      </c>
      <c r="P27" s="138">
        <v>0.94289999999999996</v>
      </c>
      <c r="Q27" s="138">
        <v>0.95</v>
      </c>
      <c r="R27" s="138">
        <v>0.95</v>
      </c>
      <c r="S27" s="138">
        <v>0.94</v>
      </c>
      <c r="T27" s="138">
        <v>0.95</v>
      </c>
      <c r="U27" s="138">
        <v>0.95</v>
      </c>
      <c r="V27" s="138">
        <v>0.94499999999999995</v>
      </c>
      <c r="W27" s="138">
        <v>0.95</v>
      </c>
      <c r="X27" s="138">
        <v>0.94</v>
      </c>
      <c r="Y27" s="138">
        <v>0.95</v>
      </c>
      <c r="Z27" s="138">
        <v>0.93300000000000005</v>
      </c>
      <c r="AA27" s="138">
        <v>0.94640000000000002</v>
      </c>
      <c r="AB27" s="138">
        <v>0.95</v>
      </c>
      <c r="AC27" s="138">
        <v>0.95</v>
      </c>
      <c r="AD27" s="138">
        <v>0.95</v>
      </c>
      <c r="AE27" s="138">
        <v>0.93330000000000002</v>
      </c>
      <c r="AF27" s="138">
        <v>0.95</v>
      </c>
      <c r="AG27" s="138">
        <v>0.95</v>
      </c>
      <c r="AH27" s="138">
        <v>0.95</v>
      </c>
    </row>
    <row r="28" spans="2:34" ht="15" customHeight="1" x14ac:dyDescent="0.25">
      <c r="B28" s="220"/>
      <c r="C28" s="108" t="s">
        <v>338</v>
      </c>
      <c r="D28" s="156"/>
      <c r="E28" s="156">
        <v>4.6300000000000001E-2</v>
      </c>
      <c r="F28" s="156"/>
      <c r="G28" s="156">
        <v>6.5000000000000002E-2</v>
      </c>
      <c r="H28" s="156">
        <v>0.05</v>
      </c>
      <c r="I28" s="156">
        <v>4.8329999999999998E-2</v>
      </c>
      <c r="J28" s="156">
        <v>0.05</v>
      </c>
      <c r="K28" s="156">
        <v>6.6699999999999995E-2</v>
      </c>
      <c r="L28" s="156">
        <v>0.06</v>
      </c>
      <c r="M28" s="156">
        <v>6.4000000000000001E-2</v>
      </c>
      <c r="N28" s="156"/>
      <c r="O28" s="156">
        <v>5.5E-2</v>
      </c>
      <c r="P28" s="156">
        <v>5.7099999999999998E-2</v>
      </c>
      <c r="Q28" s="156">
        <v>0.05</v>
      </c>
      <c r="R28" s="156">
        <v>0.05</v>
      </c>
      <c r="S28" s="156">
        <v>0.06</v>
      </c>
      <c r="T28" s="156">
        <v>0.05</v>
      </c>
      <c r="U28" s="156">
        <v>0.05</v>
      </c>
      <c r="V28" s="156">
        <v>5.5E-2</v>
      </c>
      <c r="W28" s="156">
        <v>0.05</v>
      </c>
      <c r="X28" s="156">
        <v>0.06</v>
      </c>
      <c r="Y28" s="156">
        <v>0.05</v>
      </c>
      <c r="Z28" s="156">
        <v>6.6666666666666666E-2</v>
      </c>
      <c r="AA28" s="156">
        <v>5.3600000000000002E-2</v>
      </c>
      <c r="AB28" s="156">
        <v>0.05</v>
      </c>
      <c r="AC28" s="156">
        <v>0.05</v>
      </c>
      <c r="AD28" s="156">
        <v>0.05</v>
      </c>
      <c r="AE28" s="156">
        <v>6.6699999999999995E-2</v>
      </c>
      <c r="AF28" s="156">
        <v>0.05</v>
      </c>
      <c r="AG28" s="156">
        <v>0.05</v>
      </c>
      <c r="AH28" s="156">
        <v>0.05</v>
      </c>
    </row>
    <row r="29" spans="2:34" ht="15" customHeight="1" x14ac:dyDescent="0.25">
      <c r="B29" s="34" t="s">
        <v>7</v>
      </c>
      <c r="C29" s="34"/>
      <c r="D29" s="131">
        <v>5605</v>
      </c>
      <c r="E29" s="131">
        <v>5622</v>
      </c>
      <c r="F29" s="131">
        <v>5554</v>
      </c>
      <c r="G29" s="131">
        <v>5845</v>
      </c>
      <c r="H29" s="131">
        <v>5763</v>
      </c>
      <c r="I29" s="131">
        <v>5785</v>
      </c>
      <c r="J29" s="131">
        <v>5603</v>
      </c>
      <c r="K29" s="131">
        <v>5430</v>
      </c>
      <c r="L29" s="131">
        <v>5660</v>
      </c>
      <c r="M29" s="131">
        <v>5564</v>
      </c>
      <c r="N29" s="131">
        <v>5156</v>
      </c>
      <c r="O29" s="131">
        <v>5197</v>
      </c>
      <c r="P29" s="131">
        <v>5531</v>
      </c>
      <c r="Q29" s="131">
        <v>5609</v>
      </c>
      <c r="R29" s="131">
        <v>5153</v>
      </c>
      <c r="S29" s="131">
        <v>5605</v>
      </c>
      <c r="T29" s="131">
        <v>5672</v>
      </c>
      <c r="U29" s="131">
        <v>5877</v>
      </c>
      <c r="V29" s="131">
        <v>5844</v>
      </c>
      <c r="W29" s="131">
        <v>5582</v>
      </c>
      <c r="X29" s="131">
        <v>5613</v>
      </c>
      <c r="Y29" s="131">
        <v>5820</v>
      </c>
      <c r="Z29" s="131">
        <v>5697</v>
      </c>
      <c r="AA29" s="131">
        <v>5863</v>
      </c>
      <c r="AB29" s="131">
        <v>5879</v>
      </c>
      <c r="AC29" s="131">
        <v>5921</v>
      </c>
      <c r="AD29" s="131">
        <v>5542</v>
      </c>
      <c r="AE29" s="131">
        <v>5756</v>
      </c>
      <c r="AF29" s="131">
        <v>5874</v>
      </c>
      <c r="AG29" s="131">
        <v>5500</v>
      </c>
      <c r="AH29" s="131">
        <v>5500</v>
      </c>
    </row>
    <row r="30" spans="2:34" ht="7.5" customHeight="1" thickBot="1" x14ac:dyDescent="0.3"/>
    <row r="31" spans="2:34" ht="12.75" customHeight="1" thickBot="1" x14ac:dyDescent="0.3">
      <c r="B31" s="213" t="s">
        <v>1002</v>
      </c>
      <c r="C31" s="214"/>
      <c r="D31" s="130">
        <v>78.88405797101457</v>
      </c>
      <c r="E31" s="130">
        <v>79.030970148944846</v>
      </c>
      <c r="F31" s="130">
        <v>77.959100204493836</v>
      </c>
      <c r="G31" s="130">
        <v>78.212927756654025</v>
      </c>
      <c r="H31" s="130">
        <v>78.726169844020845</v>
      </c>
      <c r="I31" s="130">
        <v>78.866906474820169</v>
      </c>
      <c r="J31" s="130">
        <v>78.149312377078587</v>
      </c>
      <c r="K31" s="130">
        <v>79.576923100398147</v>
      </c>
      <c r="L31" s="130">
        <v>77.350800565679918</v>
      </c>
      <c r="M31" s="130">
        <v>76.811214862678568</v>
      </c>
      <c r="N31" s="130">
        <v>76.038155801517519</v>
      </c>
      <c r="O31" s="130">
        <v>78.223560406523703</v>
      </c>
      <c r="P31" s="130">
        <v>76.914434507468087</v>
      </c>
      <c r="Q31" s="130">
        <v>77.326956519192024</v>
      </c>
      <c r="R31" s="130">
        <v>79.356870218093675</v>
      </c>
      <c r="S31" s="130">
        <v>77.179629616959716</v>
      </c>
      <c r="T31" s="130">
        <v>78.066536195648752</v>
      </c>
      <c r="U31" s="130">
        <v>76.398593196248584</v>
      </c>
      <c r="V31" s="130">
        <v>76.87545059000756</v>
      </c>
      <c r="W31" s="130">
        <v>78.201613306674673</v>
      </c>
      <c r="X31" s="130">
        <v>77.465909085687883</v>
      </c>
      <c r="Y31" s="130">
        <v>79.100775181190713</v>
      </c>
      <c r="Z31" s="130">
        <v>77.62406015037601</v>
      </c>
      <c r="AA31" s="130">
        <v>78.319702598773262</v>
      </c>
      <c r="AB31" s="130">
        <v>77.588703232060539</v>
      </c>
      <c r="AC31" s="130">
        <v>76.513131319290224</v>
      </c>
      <c r="AD31" s="130">
        <v>78.779527554133907</v>
      </c>
      <c r="AE31" s="130">
        <v>76.277385137809205</v>
      </c>
      <c r="AF31" s="130">
        <v>79.096830934028162</v>
      </c>
      <c r="AG31" s="130">
        <v>79.118067995957077</v>
      </c>
      <c r="AH31" s="130">
        <v>76.324689958172158</v>
      </c>
    </row>
    <row r="32" spans="2:34" ht="12.75" customHeight="1" x14ac:dyDescent="0.25">
      <c r="B32" s="114"/>
    </row>
    <row r="33" spans="2:2" ht="12.75" customHeight="1" x14ac:dyDescent="0.25">
      <c r="B33" s="114"/>
    </row>
    <row r="34" spans="2:2" ht="12.75" customHeight="1" x14ac:dyDescent="0.25">
      <c r="B34" s="114"/>
    </row>
    <row r="35" spans="2:2" ht="12.75" customHeight="1" x14ac:dyDescent="0.25">
      <c r="B35" s="114"/>
    </row>
    <row r="36" spans="2:2" ht="12.75" customHeight="1" x14ac:dyDescent="0.25">
      <c r="B36" s="114"/>
    </row>
    <row r="37" spans="2:2" ht="12.75" customHeight="1" x14ac:dyDescent="0.25">
      <c r="B37" s="114"/>
    </row>
    <row r="38" spans="2:2" ht="12.75" customHeight="1" x14ac:dyDescent="0.25">
      <c r="B38" s="114"/>
    </row>
    <row r="39" spans="2:2" ht="12.75" customHeight="1" x14ac:dyDescent="0.25">
      <c r="B39" s="114"/>
    </row>
    <row r="40" spans="2:2" ht="12.75" customHeight="1" x14ac:dyDescent="0.25">
      <c r="B40" s="114"/>
    </row>
    <row r="41" spans="2:2" ht="12.75" customHeight="1" x14ac:dyDescent="0.25">
      <c r="B41" s="114"/>
    </row>
    <row r="42" spans="2:2" ht="12.75" customHeight="1" x14ac:dyDescent="0.25">
      <c r="B42" s="114"/>
    </row>
    <row r="43" spans="2:2" ht="12.75" customHeight="1" x14ac:dyDescent="0.25">
      <c r="B43" s="114"/>
    </row>
    <row r="44" spans="2:2" ht="12.75" customHeight="1" x14ac:dyDescent="0.25">
      <c r="B44" s="114"/>
    </row>
    <row r="45" spans="2:2" x14ac:dyDescent="0.25">
      <c r="B45" s="114"/>
    </row>
    <row r="46" spans="2:2" x14ac:dyDescent="0.25">
      <c r="B46" s="114"/>
    </row>
    <row r="47" spans="2:2" x14ac:dyDescent="0.25">
      <c r="B47" s="114"/>
    </row>
    <row r="48" spans="2:2" x14ac:dyDescent="0.25">
      <c r="B48" s="114"/>
    </row>
    <row r="49" spans="2:2" x14ac:dyDescent="0.25">
      <c r="B49" s="114"/>
    </row>
    <row r="50" spans="2:2" x14ac:dyDescent="0.25">
      <c r="B50" s="114"/>
    </row>
    <row r="51" spans="2:2" x14ac:dyDescent="0.25">
      <c r="B51" s="114"/>
    </row>
    <row r="52" spans="2:2" x14ac:dyDescent="0.25">
      <c r="B52" s="114"/>
    </row>
  </sheetData>
  <mergeCells count="9">
    <mergeCell ref="B23:B25"/>
    <mergeCell ref="B26:B28"/>
    <mergeCell ref="B31:C31"/>
    <mergeCell ref="B3:B5"/>
    <mergeCell ref="B6:B8"/>
    <mergeCell ref="B9:B11"/>
    <mergeCell ref="B12:B14"/>
    <mergeCell ref="B17:B19"/>
    <mergeCell ref="B20:B22"/>
  </mergeCells>
  <pageMargins left="0.7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279F6-7FD5-4055-8BE2-A7C266B17DF0}">
  <dimension ref="B1:AG52"/>
  <sheetViews>
    <sheetView zoomScale="90" zoomScaleNormal="90" workbookViewId="0">
      <pane xSplit="3" topLeftCell="U1" activePane="topRight" state="frozen"/>
      <selection pane="topRight" activeCell="AA21" sqref="AA21"/>
    </sheetView>
  </sheetViews>
  <sheetFormatPr defaultRowHeight="15" x14ac:dyDescent="0.25"/>
  <cols>
    <col min="3" max="3" width="28.140625" customWidth="1"/>
    <col min="4" max="33" width="10.7109375" customWidth="1"/>
  </cols>
  <sheetData>
    <row r="1" spans="2:33" ht="6" customHeight="1" thickBot="1" x14ac:dyDescent="0.3"/>
    <row r="2" spans="2:33" ht="15" customHeight="1" thickBot="1" x14ac:dyDescent="0.3">
      <c r="B2" s="94" t="s">
        <v>964</v>
      </c>
      <c r="C2" s="96" t="s">
        <v>961</v>
      </c>
      <c r="D2" s="97" t="str">
        <f t="shared" ref="D2:E2" si="0">D16</f>
        <v>01.09.2025</v>
      </c>
      <c r="E2" s="97" t="str">
        <f t="shared" si="0"/>
        <v>02.09.2025</v>
      </c>
      <c r="F2" s="97" t="str">
        <f t="shared" ref="F2:G2" si="1">F16</f>
        <v>03.09.2025</v>
      </c>
      <c r="G2" s="97" t="str">
        <f t="shared" si="1"/>
        <v>04.09.2025</v>
      </c>
      <c r="H2" s="97" t="str">
        <f t="shared" ref="H2:J2" si="2">H16</f>
        <v>05.09.2025</v>
      </c>
      <c r="I2" s="97" t="str">
        <f t="shared" si="2"/>
        <v>06.09.2025</v>
      </c>
      <c r="J2" s="97" t="str">
        <f t="shared" si="2"/>
        <v>07.09.2025</v>
      </c>
      <c r="K2" s="97" t="str">
        <f t="shared" ref="K2:L2" si="3">K16</f>
        <v>08.09.2025</v>
      </c>
      <c r="L2" s="97" t="str">
        <f t="shared" si="3"/>
        <v>09.09.2025</v>
      </c>
      <c r="M2" s="97" t="str">
        <f t="shared" ref="M2:N2" si="4">M16</f>
        <v>10.09.2025</v>
      </c>
      <c r="N2" s="97" t="str">
        <f t="shared" si="4"/>
        <v>11.09.2025</v>
      </c>
      <c r="O2" s="97" t="str">
        <f t="shared" ref="O2:P2" si="5">O16</f>
        <v>12.09.2025</v>
      </c>
      <c r="P2" s="97" t="str">
        <f t="shared" si="5"/>
        <v>13.09.2025</v>
      </c>
      <c r="Q2" s="97" t="str">
        <f t="shared" ref="Q2:R2" si="6">Q16</f>
        <v>14.09.2025</v>
      </c>
      <c r="R2" s="97" t="str">
        <f t="shared" si="6"/>
        <v>15.09.2025</v>
      </c>
      <c r="S2" s="97" t="str">
        <f t="shared" ref="S2:T2" si="7">S16</f>
        <v>16.09.2025</v>
      </c>
      <c r="T2" s="97" t="str">
        <f t="shared" si="7"/>
        <v>17.09.2025</v>
      </c>
      <c r="U2" s="97" t="str">
        <f t="shared" ref="U2:V2" si="8">U16</f>
        <v>18.09.2025</v>
      </c>
      <c r="V2" s="97" t="str">
        <f t="shared" si="8"/>
        <v>19.09.2025</v>
      </c>
      <c r="W2" s="97" t="str">
        <f t="shared" ref="W2:X2" si="9">W16</f>
        <v>20.09.2025</v>
      </c>
      <c r="X2" s="97" t="str">
        <f t="shared" si="9"/>
        <v>21.09.2025</v>
      </c>
      <c r="Y2" s="97" t="str">
        <f t="shared" ref="Y2:Z2" si="10">Y16</f>
        <v>22.09.2025</v>
      </c>
      <c r="Z2" s="97" t="str">
        <f t="shared" si="10"/>
        <v>23.09.2025</v>
      </c>
      <c r="AA2" s="97" t="str">
        <f t="shared" ref="AA2:AB2" si="11">AA16</f>
        <v>24.09.2025</v>
      </c>
      <c r="AB2" s="97" t="str">
        <f t="shared" si="11"/>
        <v>25.09.2025</v>
      </c>
      <c r="AC2" s="97" t="str">
        <f t="shared" ref="AC2:AD2" si="12">AC16</f>
        <v>26.09.2025</v>
      </c>
      <c r="AD2" s="97" t="str">
        <f t="shared" si="12"/>
        <v>27.09.2025</v>
      </c>
      <c r="AE2" s="97" t="str">
        <f t="shared" ref="AE2:AF2" si="13">AE16</f>
        <v>28.09.2025</v>
      </c>
      <c r="AF2" s="97" t="str">
        <f t="shared" si="13"/>
        <v>29.09.2025</v>
      </c>
      <c r="AG2" s="97" t="str">
        <f t="shared" ref="AG2" si="14">AG16</f>
        <v>30.09.2025</v>
      </c>
    </row>
    <row r="3" spans="2:33" ht="15" customHeight="1" x14ac:dyDescent="0.25">
      <c r="B3" s="206" t="s">
        <v>958</v>
      </c>
      <c r="C3" s="116" t="s">
        <v>957</v>
      </c>
      <c r="D3" s="117">
        <v>0.15811</v>
      </c>
      <c r="E3" s="117">
        <v>0.15</v>
      </c>
      <c r="F3" s="117">
        <v>0.17</v>
      </c>
      <c r="G3" s="117">
        <v>0.15010000000000001</v>
      </c>
      <c r="H3" s="117">
        <v>0.15</v>
      </c>
      <c r="I3" s="117">
        <v>0.17</v>
      </c>
      <c r="J3" s="117">
        <v>0.17</v>
      </c>
      <c r="K3" s="117">
        <v>0.17</v>
      </c>
      <c r="L3" s="117">
        <v>0.17</v>
      </c>
      <c r="M3" s="117">
        <v>0.17199999999999999</v>
      </c>
      <c r="N3" s="117">
        <v>0.17</v>
      </c>
      <c r="O3" s="117">
        <v>0.18049999999999999</v>
      </c>
      <c r="P3" s="117">
        <v>0.18</v>
      </c>
      <c r="Q3" s="117">
        <v>0.18</v>
      </c>
      <c r="R3" s="117">
        <v>0.17899999999999999</v>
      </c>
      <c r="S3" s="117">
        <v>0.19209999999999999</v>
      </c>
      <c r="T3" s="117">
        <v>0.18</v>
      </c>
      <c r="U3" s="117">
        <v>0.18</v>
      </c>
      <c r="V3" s="117">
        <v>0.15970000000000001</v>
      </c>
      <c r="W3" s="117">
        <v>0.18</v>
      </c>
      <c r="X3" s="117">
        <v>0.17780000000000001</v>
      </c>
      <c r="Y3" s="117">
        <v>0.18</v>
      </c>
      <c r="Z3" s="117">
        <v>0.185</v>
      </c>
      <c r="AA3" s="117">
        <v>0.185</v>
      </c>
      <c r="AB3" s="117">
        <v>0.19</v>
      </c>
      <c r="AC3" s="117">
        <v>0.18729999999999999</v>
      </c>
      <c r="AD3" s="117">
        <v>0.189</v>
      </c>
      <c r="AE3" s="117">
        <v>0.18</v>
      </c>
      <c r="AF3" s="117">
        <v>0.18</v>
      </c>
      <c r="AG3" s="117">
        <v>0.18</v>
      </c>
    </row>
    <row r="4" spans="2:33" ht="15" customHeight="1" x14ac:dyDescent="0.25">
      <c r="B4" s="207"/>
      <c r="C4" s="118" t="s">
        <v>339</v>
      </c>
      <c r="D4" s="84">
        <v>0.79210000000000003</v>
      </c>
      <c r="E4" s="84">
        <v>0.79500000000000004</v>
      </c>
      <c r="F4" s="84">
        <v>0.78</v>
      </c>
      <c r="G4" s="84">
        <v>0.79239999999999999</v>
      </c>
      <c r="H4" s="84">
        <v>0.8</v>
      </c>
      <c r="I4" s="84">
        <v>0.78</v>
      </c>
      <c r="J4" s="84">
        <v>0.78</v>
      </c>
      <c r="K4" s="84">
        <v>0.78</v>
      </c>
      <c r="L4" s="84">
        <v>0.78</v>
      </c>
      <c r="M4" s="84">
        <v>0.77800000000000002</v>
      </c>
      <c r="N4" s="84">
        <v>0.78</v>
      </c>
      <c r="O4" s="84">
        <v>0.76819999999999999</v>
      </c>
      <c r="P4" s="84">
        <v>0.76700000000000002</v>
      </c>
      <c r="Q4" s="84">
        <v>0.77</v>
      </c>
      <c r="R4" s="84">
        <v>0.77100000000000002</v>
      </c>
      <c r="S4" s="84">
        <v>0.75790000000000002</v>
      </c>
      <c r="T4" s="84">
        <v>0.76400000000000001</v>
      </c>
      <c r="U4" s="84">
        <v>0.77</v>
      </c>
      <c r="V4" s="84">
        <v>0.79339999999999999</v>
      </c>
      <c r="W4" s="84">
        <v>0.77</v>
      </c>
      <c r="X4" s="84">
        <v>0.76780000000000004</v>
      </c>
      <c r="Y4" s="84">
        <v>0.77</v>
      </c>
      <c r="Z4" s="84">
        <v>0.76500000000000001</v>
      </c>
      <c r="AA4" s="84">
        <v>0.76500000000000001</v>
      </c>
      <c r="AB4" s="84">
        <v>0.76</v>
      </c>
      <c r="AC4" s="84">
        <v>0.76249999999999996</v>
      </c>
      <c r="AD4" s="84">
        <v>0.76100000000000001</v>
      </c>
      <c r="AE4" s="84">
        <v>0.77</v>
      </c>
      <c r="AF4" s="84">
        <v>0.77</v>
      </c>
      <c r="AG4" s="84">
        <v>0.77</v>
      </c>
    </row>
    <row r="5" spans="2:33" ht="15" customHeight="1" thickBot="1" x14ac:dyDescent="0.3">
      <c r="B5" s="208"/>
      <c r="C5" s="118" t="s">
        <v>338</v>
      </c>
      <c r="D5" s="84">
        <v>4.9790000000000001E-2</v>
      </c>
      <c r="E5" s="84">
        <v>5.5E-2</v>
      </c>
      <c r="F5" s="84">
        <v>0.05</v>
      </c>
      <c r="G5" s="84">
        <v>5.7500000000000002E-2</v>
      </c>
      <c r="H5" s="84">
        <v>0.05</v>
      </c>
      <c r="I5" s="84">
        <v>0.05</v>
      </c>
      <c r="J5" s="84">
        <v>0.05</v>
      </c>
      <c r="K5" s="84">
        <v>0.05</v>
      </c>
      <c r="L5" s="84">
        <v>0.05</v>
      </c>
      <c r="M5" s="84">
        <v>0.05</v>
      </c>
      <c r="N5" s="84">
        <v>0.05</v>
      </c>
      <c r="O5" s="84">
        <v>5.1299999999999998E-2</v>
      </c>
      <c r="P5" s="84">
        <v>5.2999999999999999E-2</v>
      </c>
      <c r="Q5" s="84">
        <v>0.05</v>
      </c>
      <c r="R5" s="84">
        <v>0.05</v>
      </c>
      <c r="S5" s="84">
        <v>0.05</v>
      </c>
      <c r="T5" s="84">
        <v>5.6000000000000001E-2</v>
      </c>
      <c r="U5" s="84">
        <v>0.05</v>
      </c>
      <c r="V5" s="84">
        <v>4.6899999999999997E-2</v>
      </c>
      <c r="W5" s="84">
        <v>0.05</v>
      </c>
      <c r="X5" s="84">
        <v>5.4399999999999997E-2</v>
      </c>
      <c r="Y5" s="84">
        <v>0.05</v>
      </c>
      <c r="Z5" s="84">
        <v>0.05</v>
      </c>
      <c r="AA5" s="84">
        <v>0.05</v>
      </c>
      <c r="AB5" s="84">
        <v>0.05</v>
      </c>
      <c r="AC5" s="84">
        <v>5.0200000000000002E-2</v>
      </c>
      <c r="AD5" s="84">
        <v>0.05</v>
      </c>
      <c r="AE5" s="84">
        <v>0.05</v>
      </c>
      <c r="AF5" s="84">
        <v>0.05</v>
      </c>
      <c r="AG5" s="84">
        <v>0.05</v>
      </c>
    </row>
    <row r="6" spans="2:33" ht="15" customHeight="1" x14ac:dyDescent="0.25">
      <c r="B6" s="209" t="s">
        <v>959</v>
      </c>
      <c r="C6" s="119" t="s">
        <v>957</v>
      </c>
      <c r="D6" s="86">
        <v>0.17308000000000001</v>
      </c>
      <c r="E6" s="86">
        <v>0.17</v>
      </c>
      <c r="F6" s="86"/>
      <c r="G6" s="86">
        <v>0.24</v>
      </c>
      <c r="H6" s="86">
        <v>0.17</v>
      </c>
      <c r="I6" s="86">
        <v>0.25</v>
      </c>
      <c r="J6" s="86">
        <v>0.24</v>
      </c>
      <c r="K6" s="86"/>
      <c r="L6" s="86">
        <v>0.25</v>
      </c>
      <c r="M6" s="86"/>
      <c r="N6" s="86"/>
      <c r="O6" s="86"/>
      <c r="P6" s="86">
        <v>0.24</v>
      </c>
      <c r="Q6" s="86"/>
      <c r="R6" s="86"/>
      <c r="S6" s="86"/>
      <c r="T6" s="86"/>
      <c r="U6" s="86">
        <v>0.2</v>
      </c>
      <c r="V6" s="86">
        <v>0.24</v>
      </c>
      <c r="W6" s="86">
        <v>0.24</v>
      </c>
      <c r="X6" s="86">
        <v>0.28499999999999998</v>
      </c>
      <c r="Y6" s="86"/>
      <c r="Z6" s="86"/>
      <c r="AA6" s="86"/>
      <c r="AB6" s="86"/>
      <c r="AC6" s="86">
        <v>0.25</v>
      </c>
      <c r="AD6" s="86">
        <v>0.26</v>
      </c>
      <c r="AE6" s="86"/>
      <c r="AF6" s="86"/>
      <c r="AG6" s="86"/>
    </row>
    <row r="7" spans="2:33" ht="15" customHeight="1" x14ac:dyDescent="0.25">
      <c r="B7" s="210"/>
      <c r="C7" s="120" t="s">
        <v>339</v>
      </c>
      <c r="D7" s="86">
        <v>0.77307999999999999</v>
      </c>
      <c r="E7" s="86">
        <v>0.78</v>
      </c>
      <c r="F7" s="86"/>
      <c r="G7" s="86">
        <v>0.72</v>
      </c>
      <c r="H7" s="86">
        <v>0.78</v>
      </c>
      <c r="I7" s="86">
        <v>0.66669999999999996</v>
      </c>
      <c r="J7" s="86">
        <v>0.71</v>
      </c>
      <c r="K7" s="86"/>
      <c r="L7" s="86">
        <v>0.7</v>
      </c>
      <c r="M7" s="86"/>
      <c r="N7" s="86"/>
      <c r="O7" s="86"/>
      <c r="P7" s="86">
        <v>0.71</v>
      </c>
      <c r="Q7" s="86"/>
      <c r="R7" s="86"/>
      <c r="S7" s="86"/>
      <c r="T7" s="86"/>
      <c r="U7" s="86">
        <v>0.75</v>
      </c>
      <c r="V7" s="86">
        <v>0.71</v>
      </c>
      <c r="W7" s="86">
        <v>0.71</v>
      </c>
      <c r="X7" s="86">
        <v>0.66500000000000004</v>
      </c>
      <c r="Y7" s="86"/>
      <c r="Z7" s="86"/>
      <c r="AA7" s="86"/>
      <c r="AB7" s="86"/>
      <c r="AC7" s="86">
        <v>0.7</v>
      </c>
      <c r="AD7" s="86">
        <v>0.69</v>
      </c>
      <c r="AE7" s="86"/>
      <c r="AF7" s="86"/>
      <c r="AG7" s="86"/>
    </row>
    <row r="8" spans="2:33" ht="15" customHeight="1" thickBot="1" x14ac:dyDescent="0.3">
      <c r="B8" s="211"/>
      <c r="C8" s="120" t="s">
        <v>338</v>
      </c>
      <c r="D8" s="86">
        <v>5.3850000000000002E-2</v>
      </c>
      <c r="E8" s="86">
        <v>0.05</v>
      </c>
      <c r="F8" s="86"/>
      <c r="G8" s="86">
        <v>0.04</v>
      </c>
      <c r="H8" s="86">
        <v>0.05</v>
      </c>
      <c r="I8" s="86">
        <v>8.3299999999999999E-2</v>
      </c>
      <c r="J8" s="86">
        <v>0.05</v>
      </c>
      <c r="K8" s="86"/>
      <c r="L8" s="86">
        <v>0.05</v>
      </c>
      <c r="M8" s="86"/>
      <c r="N8" s="86"/>
      <c r="O8" s="86"/>
      <c r="P8" s="86">
        <v>0.05</v>
      </c>
      <c r="Q8" s="86"/>
      <c r="R8" s="86"/>
      <c r="S8" s="86"/>
      <c r="T8" s="86"/>
      <c r="U8" s="86">
        <v>0.05</v>
      </c>
      <c r="V8" s="86">
        <v>0.05</v>
      </c>
      <c r="W8" s="86">
        <v>0.05</v>
      </c>
      <c r="X8" s="86">
        <v>0.05</v>
      </c>
      <c r="Y8" s="86"/>
      <c r="Z8" s="86"/>
      <c r="AA8" s="86"/>
      <c r="AB8" s="86"/>
      <c r="AC8" s="86">
        <v>0.05</v>
      </c>
      <c r="AD8" s="86">
        <v>0.05</v>
      </c>
      <c r="AE8" s="86"/>
      <c r="AF8" s="86"/>
      <c r="AG8" s="86"/>
    </row>
    <row r="9" spans="2:33" ht="15" customHeight="1" x14ac:dyDescent="0.25">
      <c r="B9" s="215" t="s">
        <v>960</v>
      </c>
      <c r="C9" s="121" t="s">
        <v>957</v>
      </c>
      <c r="D9" s="135"/>
      <c r="E9" s="135">
        <v>0.26</v>
      </c>
      <c r="F9" s="135">
        <v>0.27200000000000002</v>
      </c>
      <c r="G9" s="135"/>
      <c r="H9" s="135"/>
      <c r="I9" s="135">
        <v>0.27</v>
      </c>
      <c r="J9" s="135"/>
      <c r="K9" s="135">
        <v>0.27</v>
      </c>
      <c r="L9" s="135">
        <v>0.27</v>
      </c>
      <c r="M9" s="135">
        <v>0.28000000000000003</v>
      </c>
      <c r="N9" s="135">
        <v>0.28000000000000003</v>
      </c>
      <c r="O9" s="135"/>
      <c r="P9" s="135"/>
      <c r="Q9" s="135"/>
      <c r="R9" s="135">
        <v>0.27</v>
      </c>
      <c r="S9" s="135">
        <v>0.28999999999999998</v>
      </c>
      <c r="T9" s="135"/>
      <c r="U9" s="135">
        <v>0.28000000000000003</v>
      </c>
      <c r="V9" s="135"/>
      <c r="W9" s="135">
        <v>0.2843</v>
      </c>
      <c r="X9" s="135">
        <v>0.23</v>
      </c>
      <c r="Y9" s="135"/>
      <c r="Z9" s="135"/>
      <c r="AA9" s="135">
        <v>0.28670000000000001</v>
      </c>
      <c r="AB9" s="135"/>
      <c r="AC9" s="135">
        <v>0.28999999999999998</v>
      </c>
      <c r="AD9" s="135"/>
      <c r="AE9" s="135"/>
      <c r="AF9" s="135"/>
      <c r="AG9" s="135"/>
    </row>
    <row r="10" spans="2:33" ht="15" customHeight="1" x14ac:dyDescent="0.25">
      <c r="B10" s="216"/>
      <c r="C10" s="123" t="s">
        <v>339</v>
      </c>
      <c r="D10" s="134"/>
      <c r="E10" s="134">
        <v>0.68500000000000005</v>
      </c>
      <c r="F10" s="134">
        <v>0.67800000000000005</v>
      </c>
      <c r="G10" s="134"/>
      <c r="H10" s="134"/>
      <c r="I10" s="134">
        <v>0.68</v>
      </c>
      <c r="J10" s="134"/>
      <c r="K10" s="134">
        <v>0.68</v>
      </c>
      <c r="L10" s="134">
        <v>0.68</v>
      </c>
      <c r="M10" s="134">
        <v>0.67</v>
      </c>
      <c r="N10" s="134">
        <v>0.67</v>
      </c>
      <c r="O10" s="134"/>
      <c r="P10" s="134"/>
      <c r="Q10" s="134"/>
      <c r="R10" s="134">
        <v>0.68</v>
      </c>
      <c r="S10" s="134">
        <v>0.66</v>
      </c>
      <c r="T10" s="134"/>
      <c r="U10" s="134">
        <v>0.67</v>
      </c>
      <c r="V10" s="134"/>
      <c r="W10" s="134">
        <v>0.66569999999999996</v>
      </c>
      <c r="X10" s="134">
        <v>0.72</v>
      </c>
      <c r="Y10" s="134"/>
      <c r="Z10" s="134"/>
      <c r="AA10" s="134">
        <v>0.6633</v>
      </c>
      <c r="AB10" s="134"/>
      <c r="AC10" s="134">
        <v>0.66</v>
      </c>
      <c r="AD10" s="134"/>
      <c r="AE10" s="134"/>
      <c r="AF10" s="134"/>
      <c r="AG10" s="134"/>
    </row>
    <row r="11" spans="2:33" ht="15" customHeight="1" thickBot="1" x14ac:dyDescent="0.3">
      <c r="B11" s="221"/>
      <c r="C11" s="125" t="s">
        <v>338</v>
      </c>
      <c r="D11" s="136"/>
      <c r="E11" s="136">
        <v>5.5E-2</v>
      </c>
      <c r="F11" s="136">
        <v>0.05</v>
      </c>
      <c r="G11" s="136"/>
      <c r="H11" s="136"/>
      <c r="I11" s="136">
        <v>0.05</v>
      </c>
      <c r="J11" s="136"/>
      <c r="K11" s="136">
        <v>0.05</v>
      </c>
      <c r="L11" s="136">
        <v>0.05</v>
      </c>
      <c r="M11" s="136">
        <v>0.05</v>
      </c>
      <c r="N11" s="136">
        <v>0.05</v>
      </c>
      <c r="O11" s="136"/>
      <c r="P11" s="136"/>
      <c r="Q11" s="136"/>
      <c r="R11" s="136">
        <v>0.05</v>
      </c>
      <c r="S11" s="136">
        <v>0.05</v>
      </c>
      <c r="T11" s="136"/>
      <c r="U11" s="136">
        <v>0.05</v>
      </c>
      <c r="V11" s="136"/>
      <c r="W11" s="136">
        <v>0.05</v>
      </c>
      <c r="X11" s="136">
        <v>0.05</v>
      </c>
      <c r="Y11" s="136"/>
      <c r="Z11" s="136"/>
      <c r="AA11" s="136">
        <v>0.05</v>
      </c>
      <c r="AB11" s="136"/>
      <c r="AC11" s="136">
        <v>0.05</v>
      </c>
      <c r="AD11" s="136"/>
      <c r="AE11" s="136"/>
      <c r="AF11" s="136"/>
      <c r="AG11" s="136"/>
    </row>
    <row r="12" spans="2:33" ht="15" customHeight="1" x14ac:dyDescent="0.25">
      <c r="B12" s="222" t="s">
        <v>1086</v>
      </c>
      <c r="C12" s="151" t="s">
        <v>957</v>
      </c>
      <c r="D12" s="152"/>
      <c r="E12" s="152"/>
      <c r="F12" s="152"/>
      <c r="G12" s="152"/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2"/>
      <c r="U12" s="152"/>
      <c r="V12" s="152"/>
      <c r="W12" s="152"/>
      <c r="X12" s="152"/>
      <c r="Y12" s="152"/>
      <c r="Z12" s="152"/>
      <c r="AA12" s="152"/>
      <c r="AB12" s="152"/>
      <c r="AC12" s="152"/>
      <c r="AD12" s="152"/>
      <c r="AE12" s="152"/>
      <c r="AF12" s="152"/>
      <c r="AG12" s="152"/>
    </row>
    <row r="13" spans="2:33" ht="15" customHeight="1" x14ac:dyDescent="0.25">
      <c r="B13" s="223"/>
      <c r="C13" s="90" t="s">
        <v>339</v>
      </c>
      <c r="D13" s="149"/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  <c r="AC13" s="149"/>
      <c r="AD13" s="149"/>
      <c r="AE13" s="149"/>
      <c r="AF13" s="149"/>
      <c r="AG13" s="149"/>
    </row>
    <row r="14" spans="2:33" ht="15" customHeight="1" thickBot="1" x14ac:dyDescent="0.3">
      <c r="B14" s="224"/>
      <c r="C14" s="92" t="s">
        <v>338</v>
      </c>
      <c r="D14" s="150"/>
      <c r="E14" s="150"/>
      <c r="F14" s="150"/>
      <c r="G14" s="150"/>
      <c r="H14" s="150"/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150"/>
      <c r="T14" s="150"/>
      <c r="U14" s="150"/>
      <c r="V14" s="150"/>
      <c r="W14" s="150"/>
      <c r="X14" s="150"/>
      <c r="Y14" s="150"/>
      <c r="Z14" s="150"/>
      <c r="AA14" s="150"/>
      <c r="AB14" s="150"/>
      <c r="AC14" s="150"/>
      <c r="AD14" s="150"/>
      <c r="AE14" s="150"/>
      <c r="AF14" s="150"/>
      <c r="AG14" s="150"/>
    </row>
    <row r="15" spans="2:33" ht="6.75" customHeight="1" thickBot="1" x14ac:dyDescent="0.3"/>
    <row r="16" spans="2:33" ht="15" customHeight="1" thickBot="1" x14ac:dyDescent="0.3">
      <c r="B16" s="95" t="s">
        <v>964</v>
      </c>
      <c r="C16" s="94" t="s">
        <v>963</v>
      </c>
      <c r="D16" s="94" t="s">
        <v>1337</v>
      </c>
      <c r="E16" s="94" t="s">
        <v>1338</v>
      </c>
      <c r="F16" s="94" t="s">
        <v>1339</v>
      </c>
      <c r="G16" s="94" t="s">
        <v>1340</v>
      </c>
      <c r="H16" s="94" t="s">
        <v>1341</v>
      </c>
      <c r="I16" s="94" t="s">
        <v>1342</v>
      </c>
      <c r="J16" s="94" t="s">
        <v>1343</v>
      </c>
      <c r="K16" s="94" t="s">
        <v>1344</v>
      </c>
      <c r="L16" s="94" t="s">
        <v>1345</v>
      </c>
      <c r="M16" s="94" t="s">
        <v>1346</v>
      </c>
      <c r="N16" s="94" t="s">
        <v>1347</v>
      </c>
      <c r="O16" s="94" t="s">
        <v>1348</v>
      </c>
      <c r="P16" s="94" t="s">
        <v>1349</v>
      </c>
      <c r="Q16" s="94" t="s">
        <v>1350</v>
      </c>
      <c r="R16" s="94" t="s">
        <v>1351</v>
      </c>
      <c r="S16" s="94" t="s">
        <v>1352</v>
      </c>
      <c r="T16" s="94" t="s">
        <v>1353</v>
      </c>
      <c r="U16" s="94" t="s">
        <v>1354</v>
      </c>
      <c r="V16" s="94" t="s">
        <v>1355</v>
      </c>
      <c r="W16" s="94" t="s">
        <v>1356</v>
      </c>
      <c r="X16" s="94" t="s">
        <v>1357</v>
      </c>
      <c r="Y16" s="94" t="s">
        <v>1358</v>
      </c>
      <c r="Z16" s="94" t="s">
        <v>1359</v>
      </c>
      <c r="AA16" s="94" t="s">
        <v>1360</v>
      </c>
      <c r="AB16" s="94" t="s">
        <v>1361</v>
      </c>
      <c r="AC16" s="94" t="s">
        <v>1362</v>
      </c>
      <c r="AD16" s="94" t="s">
        <v>1363</v>
      </c>
      <c r="AE16" s="94" t="s">
        <v>1364</v>
      </c>
      <c r="AF16" s="94" t="s">
        <v>1365</v>
      </c>
      <c r="AG16" s="94" t="s">
        <v>1366</v>
      </c>
    </row>
    <row r="17" spans="2:33" ht="15" customHeight="1" x14ac:dyDescent="0.25">
      <c r="B17" s="206" t="s">
        <v>958</v>
      </c>
      <c r="C17" s="81" t="s">
        <v>957</v>
      </c>
      <c r="D17" s="117">
        <v>0.14760000000000001</v>
      </c>
      <c r="E17" s="117">
        <v>0.17</v>
      </c>
      <c r="F17" s="117">
        <v>0.17499999999999999</v>
      </c>
      <c r="G17" s="117">
        <v>0.14119999999999999</v>
      </c>
      <c r="H17" s="117">
        <v>0.15790000000000001</v>
      </c>
      <c r="I17" s="117">
        <v>0.17499999999999999</v>
      </c>
      <c r="J17" s="117">
        <v>0.17</v>
      </c>
      <c r="K17" s="117">
        <v>0.17</v>
      </c>
      <c r="L17" s="117">
        <v>0.17</v>
      </c>
      <c r="M17" s="117">
        <v>0.17499999999999999</v>
      </c>
      <c r="N17" s="117">
        <v>0.17</v>
      </c>
      <c r="O17" s="117">
        <v>0.1802</v>
      </c>
      <c r="P17" s="117">
        <v>0.18</v>
      </c>
      <c r="Q17" s="117">
        <v>0.17899999999999999</v>
      </c>
      <c r="R17" s="117">
        <v>0.18</v>
      </c>
      <c r="S17" s="117">
        <v>0.18</v>
      </c>
      <c r="T17" s="117">
        <v>0.18</v>
      </c>
      <c r="U17" s="117">
        <v>0.18</v>
      </c>
      <c r="V17" s="117">
        <v>0.17499999999999999</v>
      </c>
      <c r="W17" s="117">
        <v>0.17499999999999999</v>
      </c>
      <c r="X17" s="117">
        <v>0.18</v>
      </c>
      <c r="Y17" s="117">
        <v>0.17499999999999999</v>
      </c>
      <c r="Z17" s="117">
        <v>0.19</v>
      </c>
      <c r="AA17" s="117">
        <v>0.20930000000000001</v>
      </c>
      <c r="AB17" s="117">
        <v>0.185</v>
      </c>
      <c r="AC17" s="117">
        <v>0.18870000000000001</v>
      </c>
      <c r="AD17" s="117">
        <v>0.19</v>
      </c>
      <c r="AE17" s="117">
        <v>0.185</v>
      </c>
      <c r="AF17" s="117">
        <v>0.18</v>
      </c>
      <c r="AG17" s="117">
        <v>0.18</v>
      </c>
    </row>
    <row r="18" spans="2:33" ht="15" customHeight="1" x14ac:dyDescent="0.25">
      <c r="B18" s="207"/>
      <c r="C18" s="83" t="s">
        <v>339</v>
      </c>
      <c r="D18" s="84">
        <v>0.80364999999999998</v>
      </c>
      <c r="E18" s="84">
        <v>0.78</v>
      </c>
      <c r="F18" s="84">
        <v>0.77500000000000002</v>
      </c>
      <c r="G18" s="84">
        <v>0.79700000000000004</v>
      </c>
      <c r="H18" s="84">
        <v>0.80100000000000005</v>
      </c>
      <c r="I18" s="84">
        <v>0.77500000000000002</v>
      </c>
      <c r="J18" s="84">
        <v>0.78</v>
      </c>
      <c r="K18" s="84">
        <v>0.78</v>
      </c>
      <c r="L18" s="84">
        <v>0.78</v>
      </c>
      <c r="M18" s="84">
        <v>0.77500000000000002</v>
      </c>
      <c r="N18" s="84">
        <v>0.78</v>
      </c>
      <c r="O18" s="84">
        <v>0.76900000000000002</v>
      </c>
      <c r="P18" s="84">
        <v>0.77</v>
      </c>
      <c r="Q18" s="84">
        <v>0.77100000000000002</v>
      </c>
      <c r="R18" s="84">
        <v>0.77</v>
      </c>
      <c r="S18" s="84">
        <v>0.76</v>
      </c>
      <c r="T18" s="84">
        <v>0.76500000000000001</v>
      </c>
      <c r="U18" s="84">
        <v>0.77</v>
      </c>
      <c r="V18" s="84">
        <v>0.77</v>
      </c>
      <c r="W18" s="84">
        <v>0.77</v>
      </c>
      <c r="X18" s="84">
        <v>0.77</v>
      </c>
      <c r="Y18" s="84">
        <v>0.77500000000000002</v>
      </c>
      <c r="Z18" s="84">
        <v>0.75600000000000001</v>
      </c>
      <c r="AA18" s="84">
        <v>0.74070000000000003</v>
      </c>
      <c r="AB18" s="84">
        <v>0.76500000000000001</v>
      </c>
      <c r="AC18" s="84">
        <v>0.76129999999999998</v>
      </c>
      <c r="AD18" s="84">
        <v>0.76</v>
      </c>
      <c r="AE18" s="84">
        <v>0.754</v>
      </c>
      <c r="AF18" s="84">
        <v>0.77</v>
      </c>
      <c r="AG18" s="84">
        <v>0.77</v>
      </c>
    </row>
    <row r="19" spans="2:33" ht="15" customHeight="1" thickBot="1" x14ac:dyDescent="0.3">
      <c r="B19" s="208"/>
      <c r="C19" s="83" t="s">
        <v>338</v>
      </c>
      <c r="D19" s="84">
        <v>4.8779999999999997E-2</v>
      </c>
      <c r="E19" s="84">
        <v>0.05</v>
      </c>
      <c r="F19" s="84">
        <v>0.05</v>
      </c>
      <c r="G19" s="84">
        <v>6.1800000000000001E-2</v>
      </c>
      <c r="H19" s="84">
        <v>4.1099999999999998E-2</v>
      </c>
      <c r="I19" s="84">
        <v>0.05</v>
      </c>
      <c r="J19" s="84">
        <v>0.05</v>
      </c>
      <c r="K19" s="84">
        <v>0.05</v>
      </c>
      <c r="L19" s="84">
        <v>0.05</v>
      </c>
      <c r="M19" s="84">
        <v>0.05</v>
      </c>
      <c r="N19" s="84">
        <v>0.05</v>
      </c>
      <c r="O19" s="84">
        <v>5.0799999999999998E-2</v>
      </c>
      <c r="P19" s="84">
        <v>0.05</v>
      </c>
      <c r="Q19" s="84">
        <v>0.05</v>
      </c>
      <c r="R19" s="84">
        <v>0.05</v>
      </c>
      <c r="S19" s="84">
        <v>0.06</v>
      </c>
      <c r="T19" s="84">
        <v>5.5E-2</v>
      </c>
      <c r="U19" s="84">
        <v>0.05</v>
      </c>
      <c r="V19" s="84">
        <v>5.5E-2</v>
      </c>
      <c r="W19" s="84">
        <v>0.05</v>
      </c>
      <c r="X19" s="84">
        <v>0.05</v>
      </c>
      <c r="Y19" s="84">
        <v>0.05</v>
      </c>
      <c r="Z19" s="84">
        <v>5.3999999999999999E-2</v>
      </c>
      <c r="AA19" s="84">
        <v>0.05</v>
      </c>
      <c r="AB19" s="84">
        <v>0.05</v>
      </c>
      <c r="AC19" s="84">
        <v>0.05</v>
      </c>
      <c r="AD19" s="84">
        <v>0.05</v>
      </c>
      <c r="AE19" s="84">
        <v>6.0999999999999999E-2</v>
      </c>
      <c r="AF19" s="84">
        <v>0.05</v>
      </c>
      <c r="AG19" s="84">
        <v>0.05</v>
      </c>
    </row>
    <row r="20" spans="2:33" ht="15" customHeight="1" x14ac:dyDescent="0.25">
      <c r="B20" s="209" t="s">
        <v>959</v>
      </c>
      <c r="C20" s="85" t="s">
        <v>957</v>
      </c>
      <c r="D20" s="132"/>
      <c r="E20" s="132"/>
      <c r="F20" s="132"/>
      <c r="G20" s="132">
        <v>0.21249999999999999</v>
      </c>
      <c r="H20" s="132">
        <v>0.1588</v>
      </c>
      <c r="I20" s="132">
        <v>0.1905</v>
      </c>
      <c r="J20" s="132"/>
      <c r="K20" s="132">
        <v>0.25</v>
      </c>
      <c r="L20" s="132">
        <v>0.24</v>
      </c>
      <c r="M20" s="132">
        <v>0.24</v>
      </c>
      <c r="N20" s="132">
        <v>0.24</v>
      </c>
      <c r="O20" s="132">
        <v>0.1986</v>
      </c>
      <c r="P20" s="132"/>
      <c r="Q20" s="132">
        <v>0.23</v>
      </c>
      <c r="R20" s="132">
        <v>0.22639999999999999</v>
      </c>
      <c r="S20" s="132">
        <v>0.2727</v>
      </c>
      <c r="T20" s="132">
        <v>0.24</v>
      </c>
      <c r="U20" s="132">
        <v>0.21</v>
      </c>
      <c r="V20" s="132">
        <v>0.25</v>
      </c>
      <c r="W20" s="132">
        <v>0.25</v>
      </c>
      <c r="X20" s="132"/>
      <c r="Y20" s="132">
        <v>0.25</v>
      </c>
      <c r="Z20" s="132"/>
      <c r="AA20" s="132">
        <v>0.22159999999999999</v>
      </c>
      <c r="AB20" s="132">
        <v>0.2</v>
      </c>
      <c r="AC20" s="132">
        <v>0.31819999999999998</v>
      </c>
      <c r="AD20" s="132"/>
      <c r="AE20" s="132">
        <v>0.25</v>
      </c>
      <c r="AF20" s="132"/>
      <c r="AG20" s="132">
        <v>0.21379999999999999</v>
      </c>
    </row>
    <row r="21" spans="2:33" ht="15" customHeight="1" x14ac:dyDescent="0.25">
      <c r="B21" s="210"/>
      <c r="C21" s="87" t="s">
        <v>339</v>
      </c>
      <c r="D21" s="86"/>
      <c r="E21" s="86"/>
      <c r="F21" s="86"/>
      <c r="G21" s="86">
        <v>0.74229999999999996</v>
      </c>
      <c r="H21" s="86">
        <v>0.7883</v>
      </c>
      <c r="I21" s="86">
        <v>0.76190000000000002</v>
      </c>
      <c r="J21" s="86"/>
      <c r="K21" s="86">
        <v>0.7</v>
      </c>
      <c r="L21" s="86">
        <v>0.71</v>
      </c>
      <c r="M21" s="86">
        <v>0.71</v>
      </c>
      <c r="N21" s="86">
        <v>0.71</v>
      </c>
      <c r="O21" s="86">
        <v>0.75229999999999997</v>
      </c>
      <c r="P21" s="86"/>
      <c r="Q21" s="86">
        <v>0.72</v>
      </c>
      <c r="R21" s="86">
        <v>0.71699999999999997</v>
      </c>
      <c r="S21" s="86">
        <v>0.66669999999999996</v>
      </c>
      <c r="T21" s="86">
        <v>0.70499999999999996</v>
      </c>
      <c r="U21" s="86">
        <v>0.74</v>
      </c>
      <c r="V21" s="86">
        <v>0.7</v>
      </c>
      <c r="W21" s="86">
        <v>0.7</v>
      </c>
      <c r="X21" s="86"/>
      <c r="Y21" s="86">
        <v>0.7</v>
      </c>
      <c r="Z21" s="86"/>
      <c r="AA21" s="86">
        <v>0.72729999999999995</v>
      </c>
      <c r="AB21" s="86">
        <v>0.74909999999999999</v>
      </c>
      <c r="AC21" s="86">
        <v>0.63639999999999997</v>
      </c>
      <c r="AD21" s="86"/>
      <c r="AE21" s="86">
        <v>0.67920000000000003</v>
      </c>
      <c r="AF21" s="86"/>
      <c r="AG21" s="86">
        <v>0.73450000000000004</v>
      </c>
    </row>
    <row r="22" spans="2:33" ht="15" customHeight="1" thickBot="1" x14ac:dyDescent="0.3">
      <c r="B22" s="211"/>
      <c r="C22" s="87" t="s">
        <v>338</v>
      </c>
      <c r="D22" s="86"/>
      <c r="E22" s="86"/>
      <c r="F22" s="86"/>
      <c r="G22" s="86">
        <v>4.5199999999999997E-2</v>
      </c>
      <c r="H22" s="86">
        <v>5.2900000000000003E-2</v>
      </c>
      <c r="I22" s="86">
        <v>4.7600000000000003E-2</v>
      </c>
      <c r="J22" s="86"/>
      <c r="K22" s="86">
        <v>0.05</v>
      </c>
      <c r="L22" s="86">
        <v>0.05</v>
      </c>
      <c r="M22" s="86">
        <v>0.05</v>
      </c>
      <c r="N22" s="86">
        <v>0.05</v>
      </c>
      <c r="O22" s="86">
        <v>4.9099999999999998E-2</v>
      </c>
      <c r="P22" s="86"/>
      <c r="Q22" s="86">
        <v>0.05</v>
      </c>
      <c r="R22" s="86">
        <v>5.6599999999999998E-2</v>
      </c>
      <c r="S22" s="86">
        <v>6.0600000000000001E-2</v>
      </c>
      <c r="T22" s="86">
        <v>5.5E-2</v>
      </c>
      <c r="U22" s="86">
        <v>0.05</v>
      </c>
      <c r="V22" s="86">
        <v>0.05</v>
      </c>
      <c r="W22" s="86">
        <v>0.05</v>
      </c>
      <c r="X22" s="86"/>
      <c r="Y22" s="86">
        <v>0.05</v>
      </c>
      <c r="Z22" s="86"/>
      <c r="AA22" s="86">
        <v>5.11E-2</v>
      </c>
      <c r="AB22" s="86">
        <v>5.0900000000000001E-2</v>
      </c>
      <c r="AC22" s="86">
        <v>4.5400000000000003E-2</v>
      </c>
      <c r="AD22" s="86"/>
      <c r="AE22" s="86">
        <v>7.0800000000000002E-2</v>
      </c>
      <c r="AF22" s="86"/>
      <c r="AG22" s="86">
        <v>5.1700000000000003E-2</v>
      </c>
    </row>
    <row r="23" spans="2:33" ht="15" customHeight="1" x14ac:dyDescent="0.25">
      <c r="B23" s="200" t="s">
        <v>960</v>
      </c>
      <c r="C23" s="88" t="s">
        <v>957</v>
      </c>
      <c r="D23" s="135">
        <v>0.20680000000000001</v>
      </c>
      <c r="E23" s="135"/>
      <c r="F23" s="135"/>
      <c r="G23" s="135"/>
      <c r="H23" s="135"/>
      <c r="I23" s="135"/>
      <c r="J23" s="135">
        <v>0.28000000000000003</v>
      </c>
      <c r="K23" s="135"/>
      <c r="L23" s="135">
        <v>0.27</v>
      </c>
      <c r="M23" s="135"/>
      <c r="N23" s="135"/>
      <c r="O23" s="135"/>
      <c r="P23" s="135"/>
      <c r="Q23" s="135"/>
      <c r="R23" s="135"/>
      <c r="S23" s="135"/>
      <c r="T23" s="135"/>
      <c r="U23" s="135"/>
      <c r="V23" s="135">
        <v>0.21</v>
      </c>
      <c r="W23" s="135"/>
      <c r="X23" s="135"/>
      <c r="Y23" s="135">
        <v>0.28000000000000003</v>
      </c>
      <c r="Z23" s="135"/>
      <c r="AA23" s="135"/>
      <c r="AB23" s="135">
        <v>0.28999999999999998</v>
      </c>
      <c r="AC23" s="135"/>
      <c r="AD23" s="135"/>
      <c r="AE23" s="135"/>
      <c r="AF23" s="135">
        <v>0.28999999999999998</v>
      </c>
      <c r="AG23" s="135">
        <v>0.24349999999999999</v>
      </c>
    </row>
    <row r="24" spans="2:33" ht="15" customHeight="1" x14ac:dyDescent="0.25">
      <c r="B24" s="201"/>
      <c r="C24" s="90" t="s">
        <v>339</v>
      </c>
      <c r="D24" s="134">
        <v>0.74804999999999999</v>
      </c>
      <c r="E24" s="134"/>
      <c r="F24" s="134"/>
      <c r="G24" s="134"/>
      <c r="H24" s="134"/>
      <c r="I24" s="134"/>
      <c r="J24" s="134">
        <v>0.67</v>
      </c>
      <c r="K24" s="134"/>
      <c r="L24" s="134">
        <v>0.68</v>
      </c>
      <c r="M24" s="134"/>
      <c r="N24" s="134"/>
      <c r="O24" s="134"/>
      <c r="P24" s="134"/>
      <c r="Q24" s="134"/>
      <c r="R24" s="134"/>
      <c r="S24" s="134"/>
      <c r="T24" s="134"/>
      <c r="U24" s="134"/>
      <c r="V24" s="134">
        <v>0.74</v>
      </c>
      <c r="W24" s="134"/>
      <c r="X24" s="134"/>
      <c r="Y24" s="134">
        <v>0.67</v>
      </c>
      <c r="Z24" s="134"/>
      <c r="AA24" s="134"/>
      <c r="AB24" s="134">
        <v>0.64400000000000002</v>
      </c>
      <c r="AC24" s="134"/>
      <c r="AD24" s="134"/>
      <c r="AE24" s="134"/>
      <c r="AF24" s="134">
        <v>0.66</v>
      </c>
      <c r="AG24" s="134">
        <v>0.70430000000000004</v>
      </c>
    </row>
    <row r="25" spans="2:33" ht="15" customHeight="1" thickBot="1" x14ac:dyDescent="0.3">
      <c r="B25" s="212"/>
      <c r="C25" s="108" t="s">
        <v>338</v>
      </c>
      <c r="D25" s="136">
        <v>4.512E-2</v>
      </c>
      <c r="E25" s="136"/>
      <c r="F25" s="136"/>
      <c r="G25" s="136"/>
      <c r="H25" s="136"/>
      <c r="I25" s="136"/>
      <c r="J25" s="136">
        <v>0.05</v>
      </c>
      <c r="K25" s="136"/>
      <c r="L25" s="136">
        <v>0.05</v>
      </c>
      <c r="M25" s="136"/>
      <c r="N25" s="136"/>
      <c r="O25" s="136"/>
      <c r="P25" s="136"/>
      <c r="Q25" s="136"/>
      <c r="R25" s="136"/>
      <c r="S25" s="136"/>
      <c r="T25" s="136"/>
      <c r="U25" s="136"/>
      <c r="V25" s="136">
        <v>0.05</v>
      </c>
      <c r="W25" s="136"/>
      <c r="X25" s="136"/>
      <c r="Y25" s="136">
        <v>0.05</v>
      </c>
      <c r="Z25" s="136"/>
      <c r="AA25" s="136"/>
      <c r="AB25" s="136">
        <v>6.6000000000000003E-2</v>
      </c>
      <c r="AC25" s="136"/>
      <c r="AD25" s="136"/>
      <c r="AE25" s="136"/>
      <c r="AF25" s="136">
        <v>0.05</v>
      </c>
      <c r="AG25" s="136">
        <v>5.2200000000000003E-2</v>
      </c>
    </row>
    <row r="26" spans="2:33" ht="15" customHeight="1" x14ac:dyDescent="0.25">
      <c r="B26" s="218" t="s">
        <v>1086</v>
      </c>
      <c r="C26" s="88" t="s">
        <v>957</v>
      </c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156"/>
      <c r="S26" s="156"/>
      <c r="T26" s="156"/>
      <c r="U26" s="156"/>
      <c r="V26" s="156"/>
      <c r="W26" s="156"/>
      <c r="X26" s="156"/>
      <c r="Y26" s="156"/>
      <c r="Z26" s="156"/>
      <c r="AA26" s="156"/>
      <c r="AB26" s="156"/>
      <c r="AC26" s="156"/>
      <c r="AD26" s="156"/>
      <c r="AE26" s="156"/>
      <c r="AF26" s="156"/>
      <c r="AG26" s="156"/>
    </row>
    <row r="27" spans="2:33" ht="15" customHeight="1" x14ac:dyDescent="0.25">
      <c r="B27" s="219"/>
      <c r="C27" s="90" t="s">
        <v>339</v>
      </c>
      <c r="D27" s="138">
        <v>0.95</v>
      </c>
      <c r="E27" s="138">
        <v>0.94499999999999995</v>
      </c>
      <c r="F27" s="138"/>
      <c r="G27" s="138"/>
      <c r="H27" s="138">
        <v>0.93330000000000002</v>
      </c>
      <c r="I27" s="138"/>
      <c r="J27" s="138">
        <v>0.95</v>
      </c>
      <c r="K27" s="138">
        <v>0.95450000000000002</v>
      </c>
      <c r="L27" s="138">
        <v>0.95</v>
      </c>
      <c r="M27" s="138">
        <v>0.95</v>
      </c>
      <c r="N27" s="138">
        <v>0.95</v>
      </c>
      <c r="O27" s="138">
        <v>0.90910000000000002</v>
      </c>
      <c r="P27" s="138">
        <v>0.90910000000000002</v>
      </c>
      <c r="Q27" s="138">
        <v>0.94799999999999995</v>
      </c>
      <c r="R27" s="138"/>
      <c r="S27" s="138">
        <v>0.92269999999999996</v>
      </c>
      <c r="T27" s="138"/>
      <c r="U27" s="138">
        <v>0.95</v>
      </c>
      <c r="V27" s="138">
        <v>0.93440000000000001</v>
      </c>
      <c r="W27" s="138">
        <v>0.95</v>
      </c>
      <c r="X27" s="138">
        <v>0.95650000000000002</v>
      </c>
      <c r="Y27" s="138">
        <v>0.95450000000000002</v>
      </c>
      <c r="Z27" s="138">
        <v>0.94450000000000001</v>
      </c>
      <c r="AA27" s="138">
        <v>0.9345</v>
      </c>
      <c r="AB27" s="138">
        <v>0.95909999999999995</v>
      </c>
      <c r="AC27" s="138"/>
      <c r="AD27" s="138"/>
      <c r="AE27" s="138">
        <v>0.93240000000000001</v>
      </c>
      <c r="AF27" s="138"/>
      <c r="AG27" s="138">
        <v>0.95</v>
      </c>
    </row>
    <row r="28" spans="2:33" ht="15" customHeight="1" x14ac:dyDescent="0.25">
      <c r="B28" s="220"/>
      <c r="C28" s="108" t="s">
        <v>338</v>
      </c>
      <c r="D28" s="156">
        <v>0.05</v>
      </c>
      <c r="E28" s="156">
        <v>5.5E-2</v>
      </c>
      <c r="F28" s="156"/>
      <c r="G28" s="156"/>
      <c r="H28" s="156">
        <v>6.6699999999999995E-2</v>
      </c>
      <c r="I28" s="156"/>
      <c r="J28" s="156">
        <v>0.05</v>
      </c>
      <c r="K28" s="156">
        <v>4.5499999999999999E-2</v>
      </c>
      <c r="L28" s="156">
        <v>0.05</v>
      </c>
      <c r="M28" s="156">
        <v>0.05</v>
      </c>
      <c r="N28" s="156">
        <v>0.05</v>
      </c>
      <c r="O28" s="156">
        <v>9.0899999999999995E-2</v>
      </c>
      <c r="P28" s="156">
        <v>9.0899999999999995E-2</v>
      </c>
      <c r="Q28" s="156">
        <v>5.1999999999999998E-2</v>
      </c>
      <c r="R28" s="156"/>
      <c r="S28" s="156">
        <v>7.7299999999999994E-2</v>
      </c>
      <c r="T28" s="156"/>
      <c r="U28" s="156">
        <v>0.05</v>
      </c>
      <c r="V28" s="156">
        <v>6.5600000000000006E-2</v>
      </c>
      <c r="W28" s="156">
        <v>0.05</v>
      </c>
      <c r="X28" s="156">
        <v>4.3499999999999997E-2</v>
      </c>
      <c r="Y28" s="156">
        <v>4.5499999999999999E-2</v>
      </c>
      <c r="Z28" s="156">
        <v>5.5500000000000001E-2</v>
      </c>
      <c r="AA28" s="156">
        <v>6.5500000000000003E-2</v>
      </c>
      <c r="AB28" s="156">
        <v>4.0899999999999999E-2</v>
      </c>
      <c r="AC28" s="156"/>
      <c r="AD28" s="156"/>
      <c r="AE28" s="156">
        <v>6.7599999999999993E-2</v>
      </c>
      <c r="AF28" s="156"/>
      <c r="AG28" s="156">
        <v>0.05</v>
      </c>
    </row>
    <row r="29" spans="2:33" ht="15" customHeight="1" thickBot="1" x14ac:dyDescent="0.3">
      <c r="B29" s="34" t="s">
        <v>7</v>
      </c>
      <c r="C29" s="34"/>
      <c r="D29" s="160">
        <v>5756</v>
      </c>
      <c r="E29" s="160">
        <v>5636</v>
      </c>
      <c r="F29" s="160">
        <v>5683</v>
      </c>
      <c r="G29" s="160">
        <v>5774</v>
      </c>
      <c r="H29" s="160">
        <v>5796</v>
      </c>
      <c r="I29" s="160">
        <v>5639</v>
      </c>
      <c r="J29" s="160">
        <v>5700</v>
      </c>
      <c r="K29" s="160">
        <v>5764</v>
      </c>
      <c r="L29" s="160">
        <v>5557</v>
      </c>
      <c r="M29" s="160">
        <v>5736</v>
      </c>
      <c r="N29" s="160">
        <v>5804</v>
      </c>
      <c r="O29" s="160">
        <v>5678</v>
      </c>
      <c r="P29" s="160">
        <v>5594</v>
      </c>
      <c r="Q29" s="160">
        <v>5675</v>
      </c>
      <c r="R29" s="160">
        <v>5733</v>
      </c>
      <c r="S29" s="160">
        <v>5761</v>
      </c>
      <c r="T29" s="161">
        <v>5613</v>
      </c>
      <c r="U29" s="161">
        <v>5484</v>
      </c>
      <c r="V29" s="161">
        <v>5573</v>
      </c>
      <c r="W29" s="161">
        <v>5526</v>
      </c>
      <c r="X29" s="161">
        <v>5672</v>
      </c>
      <c r="Y29" s="161">
        <v>5548</v>
      </c>
      <c r="Z29" s="161">
        <v>5494</v>
      </c>
      <c r="AA29" s="161">
        <v>5571</v>
      </c>
      <c r="AB29" s="161">
        <v>5674</v>
      </c>
      <c r="AC29" s="161">
        <v>5859</v>
      </c>
      <c r="AD29" s="161">
        <v>5600</v>
      </c>
      <c r="AE29" s="161">
        <v>5744</v>
      </c>
      <c r="AF29" s="161">
        <v>5744</v>
      </c>
      <c r="AG29" s="161">
        <v>5700</v>
      </c>
    </row>
    <row r="30" spans="2:33" ht="7.5" customHeight="1" thickBot="1" x14ac:dyDescent="0.3"/>
    <row r="31" spans="2:33" s="162" customFormat="1" ht="12.75" customHeight="1" thickBot="1" x14ac:dyDescent="0.3">
      <c r="B31" s="225" t="s">
        <v>1002</v>
      </c>
      <c r="C31" s="226"/>
      <c r="D31" s="130">
        <v>79.292196100036307</v>
      </c>
      <c r="E31" s="130">
        <v>78.295774647882666</v>
      </c>
      <c r="F31" s="130">
        <v>76.007792207789734</v>
      </c>
      <c r="G31" s="130">
        <v>78.057554038637605</v>
      </c>
      <c r="H31" s="130">
        <v>80.446735456632311</v>
      </c>
      <c r="I31" s="130">
        <v>76.953608255398663</v>
      </c>
      <c r="J31" s="130">
        <v>77.186291739894614</v>
      </c>
      <c r="K31" s="130">
        <v>76.885714285734778</v>
      </c>
      <c r="L31" s="130">
        <v>76.323580034423472</v>
      </c>
      <c r="M31" s="130">
        <v>77.506329113924082</v>
      </c>
      <c r="N31" s="130">
        <v>78.250086236633393</v>
      </c>
      <c r="O31" s="130">
        <v>76.795570858153226</v>
      </c>
      <c r="P31" s="130">
        <v>76.376099327470783</v>
      </c>
      <c r="Q31" s="130">
        <v>78.116883115412435</v>
      </c>
      <c r="R31" s="130">
        <v>76.062745093641254</v>
      </c>
      <c r="S31" s="130">
        <v>75.827265972553832</v>
      </c>
      <c r="T31" s="130">
        <v>76.118983442433574</v>
      </c>
      <c r="U31" s="130">
        <v>76.39249148243006</v>
      </c>
      <c r="V31" s="130">
        <v>77.517654873358367</v>
      </c>
      <c r="W31" s="130">
        <v>75.367482508176238</v>
      </c>
      <c r="X31" s="130">
        <v>76.349829353443695</v>
      </c>
      <c r="Y31" s="130">
        <v>75.046875000017366</v>
      </c>
      <c r="Z31" s="130">
        <v>77.177622377622413</v>
      </c>
      <c r="AA31" s="130">
        <v>74.601384083694143</v>
      </c>
      <c r="AB31" s="130">
        <v>76.671515151515166</v>
      </c>
      <c r="AC31" s="130">
        <v>74.540425494503538</v>
      </c>
      <c r="AD31" s="130">
        <v>74.163878326996226</v>
      </c>
      <c r="AE31" s="130">
        <v>76.532659932659612</v>
      </c>
      <c r="AF31" s="130">
        <v>75.841898643825843</v>
      </c>
      <c r="AG31" s="130">
        <v>76.810169489352205</v>
      </c>
    </row>
    <row r="32" spans="2:33" ht="12.75" customHeight="1" x14ac:dyDescent="0.25">
      <c r="B32" s="114"/>
    </row>
    <row r="33" spans="2:2" ht="12.75" customHeight="1" x14ac:dyDescent="0.25">
      <c r="B33" s="114"/>
    </row>
    <row r="34" spans="2:2" ht="12.75" customHeight="1" x14ac:dyDescent="0.25">
      <c r="B34" s="114"/>
    </row>
    <row r="35" spans="2:2" ht="12.75" customHeight="1" x14ac:dyDescent="0.25">
      <c r="B35" s="114"/>
    </row>
    <row r="36" spans="2:2" ht="12.75" customHeight="1" x14ac:dyDescent="0.25">
      <c r="B36" s="114"/>
    </row>
    <row r="37" spans="2:2" ht="12.75" customHeight="1" x14ac:dyDescent="0.25">
      <c r="B37" s="114"/>
    </row>
    <row r="38" spans="2:2" ht="12.75" customHeight="1" x14ac:dyDescent="0.25">
      <c r="B38" s="114"/>
    </row>
    <row r="39" spans="2:2" ht="12.75" customHeight="1" x14ac:dyDescent="0.25">
      <c r="B39" s="114"/>
    </row>
    <row r="40" spans="2:2" ht="12.75" customHeight="1" x14ac:dyDescent="0.25">
      <c r="B40" s="114"/>
    </row>
    <row r="41" spans="2:2" ht="12.75" customHeight="1" x14ac:dyDescent="0.25">
      <c r="B41" s="114"/>
    </row>
    <row r="42" spans="2:2" ht="12.75" customHeight="1" x14ac:dyDescent="0.25">
      <c r="B42" s="114"/>
    </row>
    <row r="43" spans="2:2" ht="12.75" customHeight="1" x14ac:dyDescent="0.25">
      <c r="B43" s="114"/>
    </row>
    <row r="44" spans="2:2" ht="12.75" customHeight="1" x14ac:dyDescent="0.25">
      <c r="B44" s="114"/>
    </row>
    <row r="45" spans="2:2" x14ac:dyDescent="0.25">
      <c r="B45" s="114"/>
    </row>
    <row r="46" spans="2:2" x14ac:dyDescent="0.25">
      <c r="B46" s="114"/>
    </row>
    <row r="47" spans="2:2" x14ac:dyDescent="0.25">
      <c r="B47" s="114"/>
    </row>
    <row r="48" spans="2:2" x14ac:dyDescent="0.25">
      <c r="B48" s="114"/>
    </row>
    <row r="49" spans="2:2" x14ac:dyDescent="0.25">
      <c r="B49" s="114"/>
    </row>
    <row r="50" spans="2:2" x14ac:dyDescent="0.25">
      <c r="B50" s="114"/>
    </row>
    <row r="51" spans="2:2" x14ac:dyDescent="0.25">
      <c r="B51" s="114"/>
    </row>
    <row r="52" spans="2:2" x14ac:dyDescent="0.25">
      <c r="B52" s="114"/>
    </row>
  </sheetData>
  <mergeCells count="9">
    <mergeCell ref="B23:B25"/>
    <mergeCell ref="B26:B28"/>
    <mergeCell ref="B31:C31"/>
    <mergeCell ref="B3:B5"/>
    <mergeCell ref="B6:B8"/>
    <mergeCell ref="B9:B11"/>
    <mergeCell ref="B12:B14"/>
    <mergeCell ref="B17:B19"/>
    <mergeCell ref="B20:B22"/>
  </mergeCells>
  <pageMargins left="0.7" right="0.7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A3544-8636-48F9-B5BD-F84F4236CACB}">
  <dimension ref="B1:AH52"/>
  <sheetViews>
    <sheetView topLeftCell="A13" zoomScale="90" zoomScaleNormal="90" workbookViewId="0">
      <pane xSplit="3" topLeftCell="U1" activePane="topRight" state="frozen"/>
      <selection pane="topRight" activeCell="AF35" sqref="AF35"/>
    </sheetView>
  </sheetViews>
  <sheetFormatPr defaultRowHeight="15" x14ac:dyDescent="0.25"/>
  <cols>
    <col min="3" max="3" width="28.140625" customWidth="1"/>
    <col min="4" max="34" width="10.7109375" customWidth="1"/>
  </cols>
  <sheetData>
    <row r="1" spans="2:34" ht="6" customHeight="1" thickBot="1" x14ac:dyDescent="0.3"/>
    <row r="2" spans="2:34" ht="15" customHeight="1" thickBot="1" x14ac:dyDescent="0.3">
      <c r="B2" s="94" t="s">
        <v>964</v>
      </c>
      <c r="C2" s="96" t="s">
        <v>961</v>
      </c>
      <c r="D2" s="97" t="str">
        <f t="shared" ref="D2:E2" si="0">D16</f>
        <v>01.10.2025</v>
      </c>
      <c r="E2" s="97" t="str">
        <f t="shared" si="0"/>
        <v>02.10.2025</v>
      </c>
      <c r="F2" s="97" t="str">
        <f t="shared" ref="F2:G2" si="1">F16</f>
        <v>03.10.2025</v>
      </c>
      <c r="G2" s="97" t="str">
        <f t="shared" si="1"/>
        <v>04.10.2025</v>
      </c>
      <c r="H2" s="97" t="str">
        <f t="shared" ref="H2:I2" si="2">H16</f>
        <v>05.10.2025</v>
      </c>
      <c r="I2" s="97" t="str">
        <f t="shared" si="2"/>
        <v>06.10.2025</v>
      </c>
      <c r="J2" s="97" t="str">
        <f t="shared" ref="J2:K2" si="3">J16</f>
        <v>07.10.2025</v>
      </c>
      <c r="K2" s="97" t="str">
        <f t="shared" si="3"/>
        <v>08.10.2025</v>
      </c>
      <c r="L2" s="97" t="str">
        <f t="shared" ref="L2:M2" si="4">L16</f>
        <v>09.10.2025</v>
      </c>
      <c r="M2" s="97" t="str">
        <f t="shared" si="4"/>
        <v>10.10.2025</v>
      </c>
      <c r="N2" s="97" t="str">
        <f t="shared" ref="N2:O2" si="5">N16</f>
        <v>11.10.2025</v>
      </c>
      <c r="O2" s="97" t="str">
        <f t="shared" si="5"/>
        <v>12.10.2025</v>
      </c>
      <c r="P2" s="97" t="str">
        <f t="shared" ref="P2:Q2" si="6">P16</f>
        <v>13.10.2025</v>
      </c>
      <c r="Q2" s="97" t="str">
        <f t="shared" si="6"/>
        <v>14.10.2025</v>
      </c>
      <c r="R2" s="97" t="str">
        <f t="shared" ref="R2:S2" si="7">R16</f>
        <v>15.10.2025</v>
      </c>
      <c r="S2" s="97" t="str">
        <f t="shared" si="7"/>
        <v>16.10.2025</v>
      </c>
      <c r="T2" s="97" t="str">
        <f t="shared" ref="T2:V2" si="8">T16</f>
        <v>17.10.2025</v>
      </c>
      <c r="U2" s="97" t="str">
        <f t="shared" si="8"/>
        <v>18.10.2025</v>
      </c>
      <c r="V2" s="97" t="str">
        <f t="shared" si="8"/>
        <v>19.10.2025</v>
      </c>
      <c r="W2" s="97" t="str">
        <f t="shared" ref="W2:X2" si="9">W16</f>
        <v>20.10.2025</v>
      </c>
      <c r="X2" s="97" t="str">
        <f t="shared" si="9"/>
        <v>21.10.2025</v>
      </c>
      <c r="Y2" s="97" t="str">
        <f t="shared" ref="Y2:Z2" si="10">Y16</f>
        <v>22.10.2025</v>
      </c>
      <c r="Z2" s="97" t="str">
        <f t="shared" si="10"/>
        <v>23.10.2025</v>
      </c>
      <c r="AA2" s="97" t="str">
        <f t="shared" ref="AA2:AC2" si="11">AA16</f>
        <v>24.10.2025</v>
      </c>
      <c r="AB2" s="97" t="str">
        <f t="shared" si="11"/>
        <v>25.10.2025</v>
      </c>
      <c r="AC2" s="97" t="str">
        <f t="shared" si="11"/>
        <v>26.10.2025</v>
      </c>
      <c r="AD2" s="97" t="str">
        <f t="shared" ref="AD2:AE2" si="12">AD16</f>
        <v>27.10.2025</v>
      </c>
      <c r="AE2" s="97" t="str">
        <f t="shared" si="12"/>
        <v>28.10.2025</v>
      </c>
      <c r="AF2" s="97" t="str">
        <f t="shared" ref="AF2:AH2" si="13">AF16</f>
        <v>29.10.2025</v>
      </c>
      <c r="AG2" s="97" t="str">
        <f t="shared" si="13"/>
        <v>30.10.2025</v>
      </c>
      <c r="AH2" s="97" t="str">
        <f t="shared" si="13"/>
        <v>31.10.2025</v>
      </c>
    </row>
    <row r="3" spans="2:34" ht="15" customHeight="1" x14ac:dyDescent="0.25">
      <c r="B3" s="206" t="s">
        <v>958</v>
      </c>
      <c r="C3" s="116" t="s">
        <v>957</v>
      </c>
      <c r="D3" s="117">
        <v>0.185</v>
      </c>
      <c r="E3" s="117">
        <v>0.185</v>
      </c>
      <c r="F3" s="117">
        <v>0.18759999999999999</v>
      </c>
      <c r="G3" s="117">
        <v>0.18110000000000001</v>
      </c>
      <c r="H3" s="117">
        <v>0.185</v>
      </c>
      <c r="I3" s="117">
        <v>0.18</v>
      </c>
      <c r="J3" s="117">
        <v>0.18</v>
      </c>
      <c r="K3" s="117">
        <v>0.18</v>
      </c>
      <c r="L3" s="117">
        <v>0.185</v>
      </c>
      <c r="M3" s="117">
        <v>0.17630000000000001</v>
      </c>
      <c r="N3" s="117">
        <v>0.18</v>
      </c>
      <c r="O3" s="117">
        <v>0.18</v>
      </c>
      <c r="P3" s="117">
        <v>0.19500000000000001</v>
      </c>
      <c r="Q3" s="117">
        <v>0.18</v>
      </c>
      <c r="R3" s="117">
        <v>0.1789</v>
      </c>
      <c r="S3" s="117">
        <v>0.185</v>
      </c>
      <c r="T3" s="117">
        <v>0.1759</v>
      </c>
      <c r="U3" s="117">
        <v>0.18110000000000001</v>
      </c>
      <c r="V3" s="117">
        <v>0.18</v>
      </c>
      <c r="W3" s="117">
        <v>0.18</v>
      </c>
      <c r="X3" s="117">
        <v>0.18</v>
      </c>
      <c r="Y3" s="117">
        <v>0.18490000000000001</v>
      </c>
      <c r="Z3" s="117">
        <v>0.185</v>
      </c>
      <c r="AA3" s="117">
        <v>0.1807</v>
      </c>
      <c r="AB3" s="117">
        <v>0.19</v>
      </c>
      <c r="AC3" s="117">
        <v>0.17849999999999999</v>
      </c>
      <c r="AD3" s="117">
        <v>0.17871999999999999</v>
      </c>
      <c r="AE3" s="117">
        <v>0.18</v>
      </c>
      <c r="AF3" s="117">
        <v>0.17979999999999999</v>
      </c>
      <c r="AG3" s="117">
        <v>0.16919999999999999</v>
      </c>
      <c r="AH3" s="117"/>
    </row>
    <row r="4" spans="2:34" ht="15" customHeight="1" x14ac:dyDescent="0.25">
      <c r="B4" s="207"/>
      <c r="C4" s="118" t="s">
        <v>339</v>
      </c>
      <c r="D4" s="84">
        <v>0.76500000000000001</v>
      </c>
      <c r="E4" s="84">
        <v>0.76500000000000001</v>
      </c>
      <c r="F4" s="84">
        <v>0.75819999999999999</v>
      </c>
      <c r="G4" s="84">
        <v>0.7651</v>
      </c>
      <c r="H4" s="84">
        <v>0.76</v>
      </c>
      <c r="I4" s="84">
        <v>0.77</v>
      </c>
      <c r="J4" s="84">
        <v>0.77</v>
      </c>
      <c r="K4" s="84">
        <v>0.77</v>
      </c>
      <c r="L4" s="84">
        <v>0.76500000000000001</v>
      </c>
      <c r="M4" s="84">
        <v>0.77310000000000001</v>
      </c>
      <c r="N4" s="84">
        <v>0.74609999999999999</v>
      </c>
      <c r="O4" s="84">
        <v>0.77</v>
      </c>
      <c r="P4" s="84">
        <v>0.74450000000000005</v>
      </c>
      <c r="Q4" s="84">
        <v>0.77</v>
      </c>
      <c r="R4" s="84">
        <v>0.77110000000000001</v>
      </c>
      <c r="S4" s="84">
        <v>0.76500000000000001</v>
      </c>
      <c r="T4" s="84">
        <v>0.77429999999999999</v>
      </c>
      <c r="U4" s="84">
        <v>0.76470000000000005</v>
      </c>
      <c r="V4" s="84">
        <v>0.76</v>
      </c>
      <c r="W4" s="84">
        <v>0.77</v>
      </c>
      <c r="X4" s="84">
        <v>0.77</v>
      </c>
      <c r="Y4" s="84">
        <v>0.7651</v>
      </c>
      <c r="Z4" s="84">
        <v>0.76500000000000001</v>
      </c>
      <c r="AA4" s="84">
        <v>0.76919999999999999</v>
      </c>
      <c r="AB4" s="84">
        <v>0.76</v>
      </c>
      <c r="AC4" s="84">
        <v>0.77149999999999996</v>
      </c>
      <c r="AD4" s="84">
        <v>0.77039999999999997</v>
      </c>
      <c r="AE4" s="84">
        <v>0.77</v>
      </c>
      <c r="AF4" s="84">
        <v>0.7702</v>
      </c>
      <c r="AG4" s="84">
        <v>0.78159999999999996</v>
      </c>
      <c r="AH4" s="84"/>
    </row>
    <row r="5" spans="2:34" ht="15" customHeight="1" thickBot="1" x14ac:dyDescent="0.3">
      <c r="B5" s="208"/>
      <c r="C5" s="118" t="s">
        <v>338</v>
      </c>
      <c r="D5" s="84">
        <v>0.05</v>
      </c>
      <c r="E5" s="84">
        <v>0.05</v>
      </c>
      <c r="F5" s="84">
        <v>5.4199999999999998E-2</v>
      </c>
      <c r="G5" s="84">
        <v>5.3800000000000001E-2</v>
      </c>
      <c r="H5" s="84">
        <v>5.5E-2</v>
      </c>
      <c r="I5" s="84">
        <v>0.05</v>
      </c>
      <c r="J5" s="84">
        <v>0.05</v>
      </c>
      <c r="K5" s="84">
        <v>0.05</v>
      </c>
      <c r="L5" s="84">
        <v>0.05</v>
      </c>
      <c r="M5" s="84">
        <v>5.0599999999999999E-2</v>
      </c>
      <c r="N5" s="84">
        <v>7.3899999999999993E-2</v>
      </c>
      <c r="O5" s="84">
        <v>0.05</v>
      </c>
      <c r="P5" s="84">
        <v>6.0499999999999998E-2</v>
      </c>
      <c r="Q5" s="84">
        <v>0.05</v>
      </c>
      <c r="R5" s="84">
        <v>0.05</v>
      </c>
      <c r="S5" s="84">
        <v>0.05</v>
      </c>
      <c r="T5" s="84">
        <v>4.9799999999999997E-2</v>
      </c>
      <c r="U5" s="84">
        <v>5.4199999999999998E-2</v>
      </c>
      <c r="V5" s="84">
        <v>0.06</v>
      </c>
      <c r="W5" s="84">
        <v>0.05</v>
      </c>
      <c r="X5" s="84">
        <v>0.05</v>
      </c>
      <c r="Y5" s="84">
        <v>0.05</v>
      </c>
      <c r="Z5" s="84">
        <v>0.05</v>
      </c>
      <c r="AA5" s="84">
        <v>5.0099999999999999E-2</v>
      </c>
      <c r="AB5" s="84">
        <v>0.05</v>
      </c>
      <c r="AC5" s="84">
        <v>0.05</v>
      </c>
      <c r="AD5" s="84">
        <v>5.0909999999999997E-2</v>
      </c>
      <c r="AE5" s="84">
        <v>0.05</v>
      </c>
      <c r="AF5" s="84">
        <v>0.05</v>
      </c>
      <c r="AG5" s="84">
        <v>4.9200000000000001E-2</v>
      </c>
      <c r="AH5" s="84"/>
    </row>
    <row r="6" spans="2:34" ht="15" customHeight="1" x14ac:dyDescent="0.25">
      <c r="B6" s="209" t="s">
        <v>959</v>
      </c>
      <c r="C6" s="119" t="s">
        <v>957</v>
      </c>
      <c r="D6" s="86"/>
      <c r="E6" s="86"/>
      <c r="F6" s="86">
        <v>0.26400000000000001</v>
      </c>
      <c r="G6" s="86">
        <v>0.1978</v>
      </c>
      <c r="H6" s="86">
        <v>0.27</v>
      </c>
      <c r="I6" s="86">
        <v>0.26</v>
      </c>
      <c r="J6" s="86"/>
      <c r="K6" s="86"/>
      <c r="L6" s="86"/>
      <c r="M6" s="86"/>
      <c r="N6" s="86"/>
      <c r="O6" s="86">
        <v>0.2944</v>
      </c>
      <c r="P6" s="86">
        <v>0.27</v>
      </c>
      <c r="Q6" s="86">
        <v>0.26</v>
      </c>
      <c r="R6" s="86">
        <v>0.26319999999999999</v>
      </c>
      <c r="S6" s="86">
        <v>0.17949999999999999</v>
      </c>
      <c r="T6" s="86">
        <v>0.22220000000000001</v>
      </c>
      <c r="U6" s="86"/>
      <c r="V6" s="86">
        <v>0.24</v>
      </c>
      <c r="W6" s="86">
        <v>0.25</v>
      </c>
      <c r="X6" s="86"/>
      <c r="Y6" s="86">
        <v>0.26</v>
      </c>
      <c r="Z6" s="86"/>
      <c r="AA6" s="86">
        <v>0.16</v>
      </c>
      <c r="AB6" s="86"/>
      <c r="AC6" s="86">
        <v>0.25</v>
      </c>
      <c r="AD6" s="86"/>
      <c r="AE6" s="86"/>
      <c r="AF6" s="86"/>
      <c r="AG6" s="86">
        <v>0.26</v>
      </c>
      <c r="AH6" s="86"/>
    </row>
    <row r="7" spans="2:34" ht="15" customHeight="1" x14ac:dyDescent="0.25">
      <c r="B7" s="210"/>
      <c r="C7" s="120" t="s">
        <v>339</v>
      </c>
      <c r="D7" s="86"/>
      <c r="E7" s="86"/>
      <c r="F7" s="86">
        <v>0.70109999999999995</v>
      </c>
      <c r="G7" s="86">
        <v>0.74729999999999996</v>
      </c>
      <c r="H7" s="86">
        <v>0.67500000000000004</v>
      </c>
      <c r="I7" s="86">
        <v>0.69</v>
      </c>
      <c r="J7" s="86"/>
      <c r="K7" s="86"/>
      <c r="L7" s="86"/>
      <c r="M7" s="86"/>
      <c r="N7" s="86"/>
      <c r="O7" s="86">
        <v>0.64559999999999995</v>
      </c>
      <c r="P7" s="86">
        <v>0.67</v>
      </c>
      <c r="Q7" s="86">
        <v>0.68400000000000005</v>
      </c>
      <c r="R7" s="86">
        <v>0.68420000000000003</v>
      </c>
      <c r="S7" s="86">
        <v>0.77049999999999996</v>
      </c>
      <c r="T7" s="86">
        <v>0.70369999999999999</v>
      </c>
      <c r="U7" s="86"/>
      <c r="V7" s="86">
        <v>0.69399999999999995</v>
      </c>
      <c r="W7" s="86">
        <v>0.7</v>
      </c>
      <c r="X7" s="86"/>
      <c r="Y7" s="86">
        <v>0.69</v>
      </c>
      <c r="Z7" s="86"/>
      <c r="AA7" s="86">
        <v>0.8</v>
      </c>
      <c r="AB7" s="86"/>
      <c r="AC7" s="86">
        <v>0.7</v>
      </c>
      <c r="AD7" s="86"/>
      <c r="AE7" s="86"/>
      <c r="AF7" s="86"/>
      <c r="AG7" s="86">
        <v>0.69</v>
      </c>
      <c r="AH7" s="86"/>
    </row>
    <row r="8" spans="2:34" ht="15" customHeight="1" thickBot="1" x14ac:dyDescent="0.3">
      <c r="B8" s="211"/>
      <c r="C8" s="120" t="s">
        <v>338</v>
      </c>
      <c r="D8" s="86"/>
      <c r="E8" s="86"/>
      <c r="F8" s="86">
        <v>3.49E-2</v>
      </c>
      <c r="G8" s="86">
        <v>5.4899999999999997E-2</v>
      </c>
      <c r="H8" s="86">
        <v>5.5E-2</v>
      </c>
      <c r="I8" s="86">
        <v>0.05</v>
      </c>
      <c r="J8" s="86"/>
      <c r="K8" s="86"/>
      <c r="L8" s="86"/>
      <c r="M8" s="86"/>
      <c r="N8" s="86"/>
      <c r="O8" s="86">
        <v>0.06</v>
      </c>
      <c r="P8" s="86">
        <v>0.06</v>
      </c>
      <c r="Q8" s="86">
        <v>5.6000000000000001E-2</v>
      </c>
      <c r="R8" s="86">
        <v>5.2600000000000001E-2</v>
      </c>
      <c r="S8" s="86">
        <v>0.05</v>
      </c>
      <c r="T8" s="86">
        <v>7.4099999999999999E-2</v>
      </c>
      <c r="U8" s="86"/>
      <c r="V8" s="86">
        <v>6.6000000000000003E-2</v>
      </c>
      <c r="W8" s="86">
        <v>0.05</v>
      </c>
      <c r="X8" s="86"/>
      <c r="Y8" s="86">
        <v>0.05</v>
      </c>
      <c r="Z8" s="86"/>
      <c r="AA8" s="86">
        <v>0.04</v>
      </c>
      <c r="AB8" s="86"/>
      <c r="AC8" s="86">
        <v>0.05</v>
      </c>
      <c r="AD8" s="86"/>
      <c r="AE8" s="86"/>
      <c r="AF8" s="86"/>
      <c r="AG8" s="86">
        <v>0.05</v>
      </c>
      <c r="AH8" s="86"/>
    </row>
    <row r="9" spans="2:34" ht="15" customHeight="1" x14ac:dyDescent="0.25">
      <c r="B9" s="215" t="s">
        <v>960</v>
      </c>
      <c r="C9" s="121" t="s">
        <v>957</v>
      </c>
      <c r="D9" s="135"/>
      <c r="E9" s="135">
        <v>0.28000000000000003</v>
      </c>
      <c r="F9" s="135"/>
      <c r="G9" s="135">
        <v>0.29849999999999999</v>
      </c>
      <c r="H9" s="135">
        <v>0.28000000000000003</v>
      </c>
      <c r="I9" s="135"/>
      <c r="J9" s="135">
        <v>0.28010000000000002</v>
      </c>
      <c r="K9" s="135"/>
      <c r="L9" s="135">
        <v>0.3</v>
      </c>
      <c r="M9" s="135"/>
      <c r="N9" s="135"/>
      <c r="O9" s="135"/>
      <c r="P9" s="135">
        <v>0.3</v>
      </c>
      <c r="Q9" s="135"/>
      <c r="R9" s="135">
        <v>0.30769999999999997</v>
      </c>
      <c r="S9" s="135">
        <v>0.28999999999999998</v>
      </c>
      <c r="T9" s="135">
        <v>0.29289999999999999</v>
      </c>
      <c r="U9" s="135">
        <v>0.2</v>
      </c>
      <c r="V9" s="135"/>
      <c r="W9" s="135">
        <v>0.27</v>
      </c>
      <c r="X9" s="135"/>
      <c r="Y9" s="135"/>
      <c r="Z9" s="135"/>
      <c r="AA9" s="135">
        <v>0.29849999999999999</v>
      </c>
      <c r="AB9" s="135"/>
      <c r="AC9" s="135"/>
      <c r="AD9" s="135"/>
      <c r="AE9" s="135"/>
      <c r="AF9" s="135"/>
      <c r="AG9" s="135"/>
      <c r="AH9" s="135"/>
    </row>
    <row r="10" spans="2:34" ht="15" customHeight="1" x14ac:dyDescent="0.25">
      <c r="B10" s="216"/>
      <c r="C10" s="123" t="s">
        <v>339</v>
      </c>
      <c r="D10" s="134"/>
      <c r="E10" s="134">
        <v>0.67</v>
      </c>
      <c r="F10" s="134"/>
      <c r="G10" s="134">
        <v>0.65669999999999995</v>
      </c>
      <c r="H10" s="134">
        <v>0.66500000000000004</v>
      </c>
      <c r="I10" s="134"/>
      <c r="J10" s="134">
        <v>0.66990000000000005</v>
      </c>
      <c r="K10" s="134"/>
      <c r="L10" s="134">
        <v>0.65</v>
      </c>
      <c r="M10" s="134"/>
      <c r="N10" s="134"/>
      <c r="O10" s="134"/>
      <c r="P10" s="134">
        <v>0.64</v>
      </c>
      <c r="Q10" s="134"/>
      <c r="R10" s="134">
        <v>0.61539999999999995</v>
      </c>
      <c r="S10" s="134">
        <v>0.66</v>
      </c>
      <c r="T10" s="134">
        <v>0.65710000000000002</v>
      </c>
      <c r="U10" s="134">
        <v>0.75119999999999998</v>
      </c>
      <c r="V10" s="134"/>
      <c r="W10" s="134">
        <v>0.68</v>
      </c>
      <c r="X10" s="134"/>
      <c r="Y10" s="134"/>
      <c r="Z10" s="134"/>
      <c r="AA10" s="134">
        <v>0.67159999999999997</v>
      </c>
      <c r="AB10" s="134"/>
      <c r="AC10" s="134"/>
      <c r="AD10" s="134"/>
      <c r="AE10" s="134"/>
      <c r="AF10" s="134"/>
      <c r="AG10" s="134"/>
      <c r="AH10" s="134"/>
    </row>
    <row r="11" spans="2:34" ht="15" customHeight="1" thickBot="1" x14ac:dyDescent="0.3">
      <c r="B11" s="221"/>
      <c r="C11" s="125" t="s">
        <v>338</v>
      </c>
      <c r="D11" s="136"/>
      <c r="E11" s="136">
        <v>0.05</v>
      </c>
      <c r="F11" s="136"/>
      <c r="G11" s="136">
        <v>4.48E-2</v>
      </c>
      <c r="H11" s="136">
        <v>5.5E-2</v>
      </c>
      <c r="I11" s="136"/>
      <c r="J11" s="136">
        <v>0.05</v>
      </c>
      <c r="K11" s="136"/>
      <c r="L11" s="136">
        <v>0.05</v>
      </c>
      <c r="M11" s="136"/>
      <c r="N11" s="136"/>
      <c r="O11" s="136"/>
      <c r="P11" s="136">
        <v>0.06</v>
      </c>
      <c r="Q11" s="136"/>
      <c r="R11" s="136">
        <v>7.6899999999999996E-2</v>
      </c>
      <c r="S11" s="136">
        <v>0.05</v>
      </c>
      <c r="T11" s="136">
        <v>0.05</v>
      </c>
      <c r="U11" s="136">
        <v>4.8800000000000003E-2</v>
      </c>
      <c r="V11" s="136"/>
      <c r="W11" s="136">
        <v>0.05</v>
      </c>
      <c r="X11" s="136"/>
      <c r="Y11" s="136"/>
      <c r="Z11" s="136"/>
      <c r="AA11" s="136">
        <v>2.9899999999999999E-2</v>
      </c>
      <c r="AB11" s="136"/>
      <c r="AC11" s="136"/>
      <c r="AD11" s="136"/>
      <c r="AE11" s="136"/>
      <c r="AF11" s="136"/>
      <c r="AG11" s="136"/>
      <c r="AH11" s="136"/>
    </row>
    <row r="12" spans="2:34" ht="15" customHeight="1" x14ac:dyDescent="0.25">
      <c r="B12" s="222" t="s">
        <v>1086</v>
      </c>
      <c r="C12" s="151" t="s">
        <v>957</v>
      </c>
      <c r="D12" s="152"/>
      <c r="E12" s="152"/>
      <c r="F12" s="152"/>
      <c r="G12" s="152"/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2"/>
      <c r="U12" s="152"/>
      <c r="V12" s="152"/>
      <c r="W12" s="152"/>
      <c r="X12" s="152"/>
      <c r="Y12" s="152"/>
      <c r="Z12" s="152"/>
      <c r="AA12" s="152"/>
      <c r="AB12" s="152"/>
      <c r="AC12" s="152"/>
      <c r="AD12" s="152"/>
      <c r="AE12" s="152"/>
      <c r="AF12" s="152"/>
      <c r="AG12" s="152"/>
      <c r="AH12" s="152"/>
    </row>
    <row r="13" spans="2:34" ht="15" customHeight="1" x14ac:dyDescent="0.25">
      <c r="B13" s="223"/>
      <c r="C13" s="90" t="s">
        <v>339</v>
      </c>
      <c r="D13" s="149"/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  <c r="AC13" s="149"/>
      <c r="AD13" s="149"/>
      <c r="AE13" s="149"/>
      <c r="AF13" s="149"/>
      <c r="AG13" s="149"/>
      <c r="AH13" s="149"/>
    </row>
    <row r="14" spans="2:34" ht="15" customHeight="1" thickBot="1" x14ac:dyDescent="0.3">
      <c r="B14" s="224"/>
      <c r="C14" s="92" t="s">
        <v>338</v>
      </c>
      <c r="D14" s="150"/>
      <c r="E14" s="150"/>
      <c r="F14" s="150"/>
      <c r="G14" s="150"/>
      <c r="H14" s="150"/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150"/>
      <c r="T14" s="150"/>
      <c r="U14" s="150"/>
      <c r="V14" s="150"/>
      <c r="W14" s="150"/>
      <c r="X14" s="150"/>
      <c r="Y14" s="150"/>
      <c r="Z14" s="150"/>
      <c r="AA14" s="150"/>
      <c r="AB14" s="150"/>
      <c r="AC14" s="150"/>
      <c r="AD14" s="150"/>
      <c r="AE14" s="150"/>
      <c r="AF14" s="150"/>
      <c r="AG14" s="150"/>
      <c r="AH14" s="150"/>
    </row>
    <row r="15" spans="2:34" ht="6.75" customHeight="1" thickBot="1" x14ac:dyDescent="0.3"/>
    <row r="16" spans="2:34" ht="15" customHeight="1" thickBot="1" x14ac:dyDescent="0.3">
      <c r="B16" s="95" t="s">
        <v>964</v>
      </c>
      <c r="C16" s="94" t="s">
        <v>963</v>
      </c>
      <c r="D16" s="94" t="s">
        <v>1367</v>
      </c>
      <c r="E16" s="94" t="s">
        <v>1368</v>
      </c>
      <c r="F16" s="94" t="s">
        <v>1369</v>
      </c>
      <c r="G16" s="94" t="s">
        <v>1370</v>
      </c>
      <c r="H16" s="94" t="s">
        <v>1371</v>
      </c>
      <c r="I16" s="94" t="s">
        <v>1372</v>
      </c>
      <c r="J16" s="94" t="s">
        <v>1373</v>
      </c>
      <c r="K16" s="94" t="s">
        <v>1374</v>
      </c>
      <c r="L16" s="94" t="s">
        <v>1375</v>
      </c>
      <c r="M16" s="94" t="s">
        <v>1376</v>
      </c>
      <c r="N16" s="94" t="s">
        <v>1377</v>
      </c>
      <c r="O16" s="94" t="s">
        <v>1378</v>
      </c>
      <c r="P16" s="94" t="s">
        <v>1379</v>
      </c>
      <c r="Q16" s="94" t="s">
        <v>1380</v>
      </c>
      <c r="R16" s="94" t="s">
        <v>1381</v>
      </c>
      <c r="S16" s="94" t="s">
        <v>1382</v>
      </c>
      <c r="T16" s="94" t="s">
        <v>1383</v>
      </c>
      <c r="U16" s="94" t="s">
        <v>1384</v>
      </c>
      <c r="V16" s="94" t="s">
        <v>1385</v>
      </c>
      <c r="W16" s="94" t="s">
        <v>1386</v>
      </c>
      <c r="X16" s="94" t="s">
        <v>1387</v>
      </c>
      <c r="Y16" s="94" t="s">
        <v>1388</v>
      </c>
      <c r="Z16" s="94" t="s">
        <v>1389</v>
      </c>
      <c r="AA16" s="94" t="s">
        <v>1390</v>
      </c>
      <c r="AB16" s="94" t="s">
        <v>1391</v>
      </c>
      <c r="AC16" s="94" t="s">
        <v>1392</v>
      </c>
      <c r="AD16" s="94" t="s">
        <v>1393</v>
      </c>
      <c r="AE16" s="94" t="s">
        <v>1394</v>
      </c>
      <c r="AF16" s="94" t="s">
        <v>1395</v>
      </c>
      <c r="AG16" s="94" t="s">
        <v>1396</v>
      </c>
      <c r="AH16" s="94" t="s">
        <v>1397</v>
      </c>
    </row>
    <row r="17" spans="2:34" ht="15" customHeight="1" x14ac:dyDescent="0.25">
      <c r="B17" s="206" t="s">
        <v>958</v>
      </c>
      <c r="C17" s="81" t="s">
        <v>957</v>
      </c>
      <c r="D17" s="117">
        <v>0.2094</v>
      </c>
      <c r="E17" s="117">
        <v>0.18</v>
      </c>
      <c r="F17" s="117">
        <v>0.1802</v>
      </c>
      <c r="G17" s="117">
        <v>0.18820000000000001</v>
      </c>
      <c r="H17" s="117">
        <v>0.185</v>
      </c>
      <c r="I17" s="117">
        <v>0.185</v>
      </c>
      <c r="J17" s="117">
        <v>0.185</v>
      </c>
      <c r="K17" s="117">
        <v>0.19</v>
      </c>
      <c r="L17" s="117">
        <v>0.18</v>
      </c>
      <c r="M17" s="117">
        <v>0.18659999999999999</v>
      </c>
      <c r="N17" s="117">
        <v>0.1971</v>
      </c>
      <c r="O17" s="117">
        <v>0.18</v>
      </c>
      <c r="P17" s="117">
        <v>0.19</v>
      </c>
      <c r="Q17" s="117">
        <v>0.19</v>
      </c>
      <c r="R17" s="117">
        <v>0.18</v>
      </c>
      <c r="S17" s="117">
        <v>0.185</v>
      </c>
      <c r="T17" s="117">
        <v>0.17530000000000001</v>
      </c>
      <c r="U17" s="117">
        <v>0.18329999999999999</v>
      </c>
      <c r="V17" s="117">
        <v>0.18</v>
      </c>
      <c r="W17" s="117">
        <v>0.185</v>
      </c>
      <c r="X17" s="117">
        <v>0.18</v>
      </c>
      <c r="Y17" s="117">
        <v>0.18</v>
      </c>
      <c r="Z17" s="117">
        <v>0.1847</v>
      </c>
      <c r="AA17" s="117">
        <v>0.185</v>
      </c>
      <c r="AB17" s="117">
        <v>0.18</v>
      </c>
      <c r="AC17" s="117">
        <v>0.19550000000000001</v>
      </c>
      <c r="AD17" s="117">
        <v>0.20119999999999999</v>
      </c>
      <c r="AE17" s="117">
        <v>0.18</v>
      </c>
      <c r="AF17" s="117">
        <v>0.18</v>
      </c>
      <c r="AG17" s="117">
        <v>0.16950000000000001</v>
      </c>
      <c r="AH17" s="117"/>
    </row>
    <row r="18" spans="2:34" ht="15" customHeight="1" x14ac:dyDescent="0.25">
      <c r="B18" s="207"/>
      <c r="C18" s="83" t="s">
        <v>339</v>
      </c>
      <c r="D18" s="84">
        <v>0.73780000000000001</v>
      </c>
      <c r="E18" s="84">
        <v>0.77</v>
      </c>
      <c r="F18" s="84">
        <v>0.76929999999999998</v>
      </c>
      <c r="G18" s="84">
        <v>0.7601</v>
      </c>
      <c r="H18" s="84">
        <v>0.76</v>
      </c>
      <c r="I18" s="84">
        <v>0.76500000000000001</v>
      </c>
      <c r="J18" s="84">
        <v>0.76500000000000001</v>
      </c>
      <c r="K18" s="84">
        <v>0.76</v>
      </c>
      <c r="L18" s="84">
        <v>0.77</v>
      </c>
      <c r="M18" s="84">
        <v>0.76180000000000003</v>
      </c>
      <c r="N18" s="84">
        <v>0.78990000000000005</v>
      </c>
      <c r="O18" s="84">
        <v>0.77</v>
      </c>
      <c r="P18" s="84">
        <v>0.752</v>
      </c>
      <c r="Q18" s="84">
        <v>0.76</v>
      </c>
      <c r="R18" s="84">
        <v>0.77</v>
      </c>
      <c r="S18" s="84">
        <v>0.76500000000000001</v>
      </c>
      <c r="T18" s="84">
        <v>0.77449999999999997</v>
      </c>
      <c r="U18" s="84">
        <v>0.76119999999999999</v>
      </c>
      <c r="V18" s="84">
        <v>0.77</v>
      </c>
      <c r="W18" s="84">
        <v>0.76500000000000001</v>
      </c>
      <c r="X18" s="84">
        <v>0.77</v>
      </c>
      <c r="Y18" s="84">
        <v>0.77</v>
      </c>
      <c r="Z18" s="84">
        <v>0.76529999999999998</v>
      </c>
      <c r="AA18" s="84">
        <v>0.76500000000000001</v>
      </c>
      <c r="AB18" s="84">
        <v>0.7641</v>
      </c>
      <c r="AC18" s="84">
        <v>0.75149999999999995</v>
      </c>
      <c r="AD18" s="84">
        <v>0.74870000000000003</v>
      </c>
      <c r="AE18" s="84">
        <v>0.77</v>
      </c>
      <c r="AF18" s="84">
        <v>0.77</v>
      </c>
      <c r="AG18" s="84">
        <v>0.78129999999999999</v>
      </c>
      <c r="AH18" s="84"/>
    </row>
    <row r="19" spans="2:34" ht="15" customHeight="1" thickBot="1" x14ac:dyDescent="0.3">
      <c r="B19" s="208"/>
      <c r="C19" s="83" t="s">
        <v>338</v>
      </c>
      <c r="D19" s="84">
        <v>5.28E-2</v>
      </c>
      <c r="E19" s="84">
        <v>0.05</v>
      </c>
      <c r="F19" s="84">
        <v>5.0500000000000003E-2</v>
      </c>
      <c r="G19" s="84">
        <v>5.1700000000000003E-2</v>
      </c>
      <c r="H19" s="84">
        <v>5.5E-2</v>
      </c>
      <c r="I19" s="84">
        <v>0.05</v>
      </c>
      <c r="J19" s="84">
        <v>0.05</v>
      </c>
      <c r="K19" s="84">
        <v>0.05</v>
      </c>
      <c r="L19" s="84">
        <v>0.05</v>
      </c>
      <c r="M19" s="84">
        <v>5.16E-2</v>
      </c>
      <c r="N19" s="84">
        <v>1.2999999999999999E-2</v>
      </c>
      <c r="O19" s="84">
        <v>0.05</v>
      </c>
      <c r="P19" s="84">
        <v>5.8000000000000003E-2</v>
      </c>
      <c r="Q19" s="84">
        <v>0.05</v>
      </c>
      <c r="R19" s="84">
        <v>0.05</v>
      </c>
      <c r="S19" s="84">
        <v>0.05</v>
      </c>
      <c r="T19" s="84">
        <v>5.0200000000000002E-2</v>
      </c>
      <c r="U19" s="84">
        <v>5.5500000000000001E-2</v>
      </c>
      <c r="V19" s="84">
        <v>0.05</v>
      </c>
      <c r="W19" s="84">
        <v>0.05</v>
      </c>
      <c r="X19" s="84">
        <v>0.05</v>
      </c>
      <c r="Y19" s="84">
        <v>0.05</v>
      </c>
      <c r="Z19" s="84">
        <v>0.05</v>
      </c>
      <c r="AA19" s="84">
        <v>0.05</v>
      </c>
      <c r="AB19" s="84">
        <v>5.5899999999999998E-2</v>
      </c>
      <c r="AC19" s="84">
        <v>5.2999999999999999E-2</v>
      </c>
      <c r="AD19" s="84">
        <v>5.0090000000000003E-2</v>
      </c>
      <c r="AE19" s="84">
        <v>0.05</v>
      </c>
      <c r="AF19" s="84">
        <v>0.05</v>
      </c>
      <c r="AG19" s="84">
        <v>4.9200000000000001E-2</v>
      </c>
      <c r="AH19" s="84"/>
    </row>
    <row r="20" spans="2:34" ht="15" customHeight="1" x14ac:dyDescent="0.25">
      <c r="B20" s="209" t="s">
        <v>959</v>
      </c>
      <c r="C20" s="85" t="s">
        <v>957</v>
      </c>
      <c r="D20" s="132">
        <v>0.20269999999999999</v>
      </c>
      <c r="E20" s="132">
        <v>0.26279999999999998</v>
      </c>
      <c r="F20" s="132"/>
      <c r="G20" s="132"/>
      <c r="H20" s="132"/>
      <c r="I20" s="132"/>
      <c r="J20" s="132">
        <v>0.27</v>
      </c>
      <c r="K20" s="132"/>
      <c r="L20" s="132">
        <v>0.2944</v>
      </c>
      <c r="M20" s="132"/>
      <c r="N20" s="132">
        <v>0.18640000000000001</v>
      </c>
      <c r="O20" s="132"/>
      <c r="P20" s="132"/>
      <c r="Q20" s="132">
        <v>0.26</v>
      </c>
      <c r="R20" s="132">
        <v>0.26669999999999999</v>
      </c>
      <c r="S20" s="132">
        <v>0.2712</v>
      </c>
      <c r="T20" s="132">
        <v>0.27060000000000001</v>
      </c>
      <c r="U20" s="132">
        <v>0.21429999999999999</v>
      </c>
      <c r="V20" s="132">
        <v>0.26</v>
      </c>
      <c r="W20" s="132"/>
      <c r="X20" s="132"/>
      <c r="Y20" s="132">
        <v>0.25</v>
      </c>
      <c r="Z20" s="132">
        <v>0.26</v>
      </c>
      <c r="AA20" s="132">
        <v>0.2069</v>
      </c>
      <c r="AB20" s="132">
        <v>0.18690000000000001</v>
      </c>
      <c r="AC20" s="132">
        <v>0.2</v>
      </c>
      <c r="AD20" s="132">
        <v>0.23538000000000001</v>
      </c>
      <c r="AE20" s="132">
        <v>0.2167</v>
      </c>
      <c r="AF20" s="132">
        <v>0.20749999999999999</v>
      </c>
      <c r="AG20" s="132"/>
      <c r="AH20" s="132"/>
    </row>
    <row r="21" spans="2:34" ht="15" customHeight="1" x14ac:dyDescent="0.25">
      <c r="B21" s="210"/>
      <c r="C21" s="87" t="s">
        <v>339</v>
      </c>
      <c r="D21" s="86">
        <v>0.74780000000000002</v>
      </c>
      <c r="E21" s="86">
        <v>0.68979999999999997</v>
      </c>
      <c r="F21" s="86"/>
      <c r="G21" s="86"/>
      <c r="H21" s="86"/>
      <c r="I21" s="86"/>
      <c r="J21" s="86">
        <v>0.66800000000000004</v>
      </c>
      <c r="K21" s="86"/>
      <c r="L21" s="86">
        <v>0.65359999999999996</v>
      </c>
      <c r="M21" s="86"/>
      <c r="N21" s="86">
        <v>0.76280000000000003</v>
      </c>
      <c r="O21" s="86"/>
      <c r="P21" s="86"/>
      <c r="Q21" s="86">
        <v>0.69</v>
      </c>
      <c r="R21" s="86">
        <v>0.68569999999999998</v>
      </c>
      <c r="S21" s="86">
        <v>0.67879999999999996</v>
      </c>
      <c r="T21" s="86">
        <v>0.67059999999999997</v>
      </c>
      <c r="U21" s="86">
        <v>0.73529999999999995</v>
      </c>
      <c r="V21" s="86">
        <v>0.69</v>
      </c>
      <c r="W21" s="86"/>
      <c r="X21" s="86"/>
      <c r="Y21" s="86">
        <v>0.69899999999999995</v>
      </c>
      <c r="Z21" s="86">
        <v>0.69</v>
      </c>
      <c r="AA21" s="86">
        <v>0.74139999999999995</v>
      </c>
      <c r="AB21" s="86">
        <v>0.76419999999999999</v>
      </c>
      <c r="AC21" s="86">
        <v>0.75</v>
      </c>
      <c r="AD21" s="86">
        <v>0.72</v>
      </c>
      <c r="AE21" s="86">
        <v>0.73709999999999998</v>
      </c>
      <c r="AF21" s="86">
        <v>0.74719999999999998</v>
      </c>
      <c r="AG21" s="86"/>
      <c r="AH21" s="86"/>
    </row>
    <row r="22" spans="2:34" ht="15" customHeight="1" thickBot="1" x14ac:dyDescent="0.3">
      <c r="B22" s="211"/>
      <c r="C22" s="87" t="s">
        <v>338</v>
      </c>
      <c r="D22" s="86">
        <v>4.9500000000000002E-2</v>
      </c>
      <c r="E22" s="86">
        <v>4.7399999999999998E-2</v>
      </c>
      <c r="F22" s="86"/>
      <c r="G22" s="86"/>
      <c r="H22" s="86"/>
      <c r="I22" s="86"/>
      <c r="J22" s="86">
        <v>6.2E-2</v>
      </c>
      <c r="K22" s="86"/>
      <c r="L22" s="86">
        <v>5.1999999999999998E-2</v>
      </c>
      <c r="M22" s="86"/>
      <c r="N22" s="86">
        <v>5.0799999999999998E-2</v>
      </c>
      <c r="O22" s="86"/>
      <c r="P22" s="86"/>
      <c r="Q22" s="86">
        <v>0.05</v>
      </c>
      <c r="R22" s="86">
        <v>4.7600000000000003E-2</v>
      </c>
      <c r="S22" s="86">
        <v>0.05</v>
      </c>
      <c r="T22" s="86">
        <v>5.8799999999999998E-2</v>
      </c>
      <c r="U22" s="86">
        <v>5.04E-2</v>
      </c>
      <c r="V22" s="86">
        <v>0.05</v>
      </c>
      <c r="W22" s="86"/>
      <c r="X22" s="86"/>
      <c r="Y22" s="86">
        <v>5.0999999999999997E-2</v>
      </c>
      <c r="Z22" s="86">
        <v>0.05</v>
      </c>
      <c r="AA22" s="86">
        <v>5.1700000000000003E-2</v>
      </c>
      <c r="AB22" s="86">
        <v>4.8899999999999999E-2</v>
      </c>
      <c r="AC22" s="86">
        <v>0.05</v>
      </c>
      <c r="AD22" s="86">
        <v>4.4615000000000002E-2</v>
      </c>
      <c r="AE22" s="86">
        <v>4.6199999999999998E-2</v>
      </c>
      <c r="AF22" s="86">
        <v>4.53E-2</v>
      </c>
      <c r="AG22" s="86"/>
      <c r="AH22" s="86"/>
    </row>
    <row r="23" spans="2:34" ht="15" customHeight="1" x14ac:dyDescent="0.25">
      <c r="B23" s="200" t="s">
        <v>960</v>
      </c>
      <c r="C23" s="88" t="s">
        <v>957</v>
      </c>
      <c r="D23" s="135">
        <v>0.3</v>
      </c>
      <c r="E23" s="135"/>
      <c r="F23" s="135">
        <v>0.28999999999999998</v>
      </c>
      <c r="G23" s="135"/>
      <c r="H23" s="135"/>
      <c r="I23" s="135"/>
      <c r="J23" s="135">
        <v>0.3</v>
      </c>
      <c r="K23" s="135"/>
      <c r="L23" s="135"/>
      <c r="M23" s="135">
        <v>0.29099999999999998</v>
      </c>
      <c r="N23" s="135"/>
      <c r="O23" s="135"/>
      <c r="P23" s="135"/>
      <c r="Q23" s="135"/>
      <c r="R23" s="135"/>
      <c r="S23" s="135"/>
      <c r="T23" s="135"/>
      <c r="U23" s="135"/>
      <c r="V23" s="135"/>
      <c r="W23" s="135"/>
      <c r="X23" s="135">
        <v>0.28000000000000003</v>
      </c>
      <c r="Y23" s="135">
        <v>0.28000000000000003</v>
      </c>
      <c r="Z23" s="135">
        <v>0.28000000000000003</v>
      </c>
      <c r="AA23" s="135">
        <v>0.23899999999999999</v>
      </c>
      <c r="AB23" s="135">
        <v>0.20830000000000001</v>
      </c>
      <c r="AC23" s="135">
        <v>0.33900000000000002</v>
      </c>
      <c r="AD23" s="135">
        <v>0.26153799999999999</v>
      </c>
      <c r="AE23" s="135">
        <v>0.27029999999999998</v>
      </c>
      <c r="AF23" s="135">
        <v>0.2833</v>
      </c>
      <c r="AG23" s="135">
        <v>0.28000000000000003</v>
      </c>
      <c r="AH23" s="135"/>
    </row>
    <row r="24" spans="2:34" ht="15" customHeight="1" x14ac:dyDescent="0.25">
      <c r="B24" s="201"/>
      <c r="C24" s="90" t="s">
        <v>339</v>
      </c>
      <c r="D24" s="134">
        <v>0.62909999999999999</v>
      </c>
      <c r="E24" s="134"/>
      <c r="F24" s="134">
        <v>0.66</v>
      </c>
      <c r="G24" s="134"/>
      <c r="H24" s="134"/>
      <c r="I24" s="134"/>
      <c r="J24" s="134">
        <v>0.64200000000000002</v>
      </c>
      <c r="K24" s="134"/>
      <c r="L24" s="134"/>
      <c r="M24" s="134">
        <v>0.65900000000000003</v>
      </c>
      <c r="N24" s="134"/>
      <c r="O24" s="134"/>
      <c r="P24" s="134"/>
      <c r="Q24" s="134"/>
      <c r="R24" s="134"/>
      <c r="S24" s="134"/>
      <c r="T24" s="134"/>
      <c r="U24" s="134"/>
      <c r="V24" s="134"/>
      <c r="W24" s="134"/>
      <c r="X24" s="134">
        <v>0.67</v>
      </c>
      <c r="Y24" s="134">
        <v>0.67</v>
      </c>
      <c r="Z24" s="134">
        <v>0.67</v>
      </c>
      <c r="AA24" s="134">
        <v>0.71689999999999998</v>
      </c>
      <c r="AB24" s="134">
        <v>0.70840000000000003</v>
      </c>
      <c r="AC24" s="134">
        <v>0.61019999999999996</v>
      </c>
      <c r="AD24" s="134">
        <v>0.68459999999999999</v>
      </c>
      <c r="AE24" s="134">
        <v>0.67569999999999997</v>
      </c>
      <c r="AF24" s="134">
        <v>0.66669999999999996</v>
      </c>
      <c r="AG24" s="134">
        <v>0.67</v>
      </c>
      <c r="AH24" s="134"/>
    </row>
    <row r="25" spans="2:34" ht="15" customHeight="1" thickBot="1" x14ac:dyDescent="0.3">
      <c r="B25" s="212"/>
      <c r="C25" s="108" t="s">
        <v>338</v>
      </c>
      <c r="D25" s="136">
        <v>7.0900000000000005E-2</v>
      </c>
      <c r="E25" s="136"/>
      <c r="F25" s="136">
        <v>0.05</v>
      </c>
      <c r="G25" s="136"/>
      <c r="H25" s="136"/>
      <c r="I25" s="136"/>
      <c r="J25" s="136">
        <v>5.8000000000000003E-2</v>
      </c>
      <c r="K25" s="136"/>
      <c r="L25" s="136"/>
      <c r="M25" s="136">
        <v>0.05</v>
      </c>
      <c r="N25" s="136"/>
      <c r="O25" s="136"/>
      <c r="P25" s="136"/>
      <c r="Q25" s="136"/>
      <c r="R25" s="136"/>
      <c r="S25" s="136"/>
      <c r="T25" s="136"/>
      <c r="U25" s="136"/>
      <c r="V25" s="136"/>
      <c r="W25" s="136"/>
      <c r="X25" s="136">
        <v>0.05</v>
      </c>
      <c r="Y25" s="136">
        <v>0.05</v>
      </c>
      <c r="Z25" s="136">
        <v>0.05</v>
      </c>
      <c r="AA25" s="136">
        <v>4.41E-2</v>
      </c>
      <c r="AB25" s="136">
        <v>8.3299999999999999E-2</v>
      </c>
      <c r="AC25" s="136">
        <v>5.0799999999999998E-2</v>
      </c>
      <c r="AD25" s="136">
        <v>5.3845999999999998E-2</v>
      </c>
      <c r="AE25" s="136">
        <v>5.3999999999999999E-2</v>
      </c>
      <c r="AF25" s="136">
        <v>0.05</v>
      </c>
      <c r="AG25" s="136">
        <v>0.05</v>
      </c>
      <c r="AH25" s="136"/>
    </row>
    <row r="26" spans="2:34" ht="15" customHeight="1" x14ac:dyDescent="0.25">
      <c r="B26" s="218" t="s">
        <v>1086</v>
      </c>
      <c r="C26" s="88" t="s">
        <v>957</v>
      </c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156"/>
      <c r="S26" s="156"/>
      <c r="T26" s="156"/>
      <c r="U26" s="156"/>
      <c r="V26" s="156"/>
      <c r="W26" s="156"/>
      <c r="X26" s="156"/>
      <c r="Y26" s="156"/>
      <c r="Z26" s="156"/>
      <c r="AA26" s="156"/>
      <c r="AB26" s="156"/>
      <c r="AC26" s="156"/>
      <c r="AD26" s="156"/>
      <c r="AE26" s="156"/>
      <c r="AF26" s="156"/>
      <c r="AG26" s="156"/>
      <c r="AH26" s="156"/>
    </row>
    <row r="27" spans="2:34" ht="15" customHeight="1" x14ac:dyDescent="0.25">
      <c r="B27" s="219"/>
      <c r="C27" s="90" t="s">
        <v>339</v>
      </c>
      <c r="D27" s="138">
        <v>0.93</v>
      </c>
      <c r="E27" s="138">
        <v>0.9546</v>
      </c>
      <c r="F27" s="138">
        <v>0.90910000000000002</v>
      </c>
      <c r="G27" s="138"/>
      <c r="H27" s="138">
        <v>0.94499999999999995</v>
      </c>
      <c r="I27" s="138">
        <v>0.92479999999999996</v>
      </c>
      <c r="J27" s="138"/>
      <c r="K27" s="138">
        <v>0.95</v>
      </c>
      <c r="L27" s="138">
        <v>0.95150000000000001</v>
      </c>
      <c r="M27" s="138">
        <v>0.94850000000000001</v>
      </c>
      <c r="N27" s="138">
        <v>0.94550000000000001</v>
      </c>
      <c r="O27" s="138"/>
      <c r="P27" s="138">
        <v>0.94199999999999995</v>
      </c>
      <c r="Q27" s="138"/>
      <c r="R27" s="138">
        <v>0.91669999999999996</v>
      </c>
      <c r="S27" s="138"/>
      <c r="T27" s="138">
        <v>0.95</v>
      </c>
      <c r="U27" s="138"/>
      <c r="V27" s="138">
        <v>0.95</v>
      </c>
      <c r="W27" s="138">
        <v>0.94550000000000001</v>
      </c>
      <c r="X27" s="138">
        <v>0.95750000000000002</v>
      </c>
      <c r="Y27" s="138">
        <v>0.95</v>
      </c>
      <c r="Z27" s="138">
        <v>0.93969999999999998</v>
      </c>
      <c r="AA27" s="138">
        <v>0.9546</v>
      </c>
      <c r="AB27" s="138">
        <v>0.95</v>
      </c>
      <c r="AC27" s="138">
        <v>0.95830000000000004</v>
      </c>
      <c r="AD27" s="138">
        <v>0.9667</v>
      </c>
      <c r="AE27" s="138">
        <v>0.96</v>
      </c>
      <c r="AF27" s="138"/>
      <c r="AG27" s="138"/>
      <c r="AH27" s="138"/>
    </row>
    <row r="28" spans="2:34" ht="15" customHeight="1" x14ac:dyDescent="0.25">
      <c r="B28" s="220"/>
      <c r="C28" s="108" t="s">
        <v>338</v>
      </c>
      <c r="D28" s="156">
        <v>7.0000000000000007E-2</v>
      </c>
      <c r="E28" s="156">
        <v>4.5400000000000003E-2</v>
      </c>
      <c r="F28" s="156">
        <v>9.0899999999999995E-2</v>
      </c>
      <c r="G28" s="156"/>
      <c r="H28" s="156">
        <v>5.5E-2</v>
      </c>
      <c r="I28" s="156">
        <v>7.5200000000000003E-2</v>
      </c>
      <c r="J28" s="156"/>
      <c r="K28" s="156">
        <v>0.05</v>
      </c>
      <c r="L28" s="156">
        <v>4.8500000000000001E-2</v>
      </c>
      <c r="M28" s="156">
        <v>5.1499999999999997E-2</v>
      </c>
      <c r="N28" s="156">
        <v>5.45E-2</v>
      </c>
      <c r="O28" s="156"/>
      <c r="P28" s="156">
        <v>5.8000000000000003E-2</v>
      </c>
      <c r="Q28" s="156"/>
      <c r="R28" s="156">
        <v>8.3299999999999999E-2</v>
      </c>
      <c r="S28" s="156"/>
      <c r="T28" s="156">
        <v>0.05</v>
      </c>
      <c r="U28" s="156"/>
      <c r="V28" s="156">
        <v>0.05</v>
      </c>
      <c r="W28" s="156">
        <v>5.45E-2</v>
      </c>
      <c r="X28" s="156">
        <v>4.2500000000000003E-2</v>
      </c>
      <c r="Y28" s="156">
        <v>0.05</v>
      </c>
      <c r="Z28" s="156">
        <v>6.0299999999999999E-2</v>
      </c>
      <c r="AA28" s="156">
        <v>4.5400000000000003E-2</v>
      </c>
      <c r="AB28" s="156">
        <v>0.05</v>
      </c>
      <c r="AC28" s="156">
        <v>4.1700000000000001E-2</v>
      </c>
      <c r="AD28" s="156">
        <v>3.3300000000000003E-2</v>
      </c>
      <c r="AE28" s="156">
        <v>0.04</v>
      </c>
      <c r="AF28" s="156"/>
      <c r="AG28" s="156"/>
      <c r="AH28" s="156"/>
    </row>
    <row r="29" spans="2:34" ht="15" customHeight="1" x14ac:dyDescent="0.25">
      <c r="B29" s="34" t="s">
        <v>7</v>
      </c>
      <c r="C29" s="34"/>
      <c r="D29" s="160">
        <v>5664</v>
      </c>
      <c r="E29" s="160">
        <v>5641</v>
      </c>
      <c r="F29" s="160">
        <v>5809</v>
      </c>
      <c r="G29" s="160">
        <v>5615</v>
      </c>
      <c r="H29" s="160">
        <v>5537</v>
      </c>
      <c r="I29" s="160">
        <v>5680</v>
      </c>
      <c r="J29" s="160">
        <v>5693</v>
      </c>
      <c r="K29" s="160">
        <v>5539</v>
      </c>
      <c r="L29" s="160">
        <v>5644</v>
      </c>
      <c r="M29" s="160">
        <v>5563</v>
      </c>
      <c r="N29" s="160">
        <v>5666</v>
      </c>
      <c r="O29" s="160">
        <v>5776</v>
      </c>
      <c r="P29" s="160">
        <v>5873</v>
      </c>
      <c r="Q29" s="160">
        <v>5680</v>
      </c>
      <c r="R29" s="160">
        <v>5664</v>
      </c>
      <c r="S29" s="160">
        <v>5671</v>
      </c>
      <c r="T29" s="160">
        <v>5636</v>
      </c>
      <c r="U29" s="160">
        <v>5699</v>
      </c>
      <c r="V29" s="160">
        <v>5642</v>
      </c>
      <c r="W29" s="160">
        <v>5685</v>
      </c>
      <c r="X29" s="160">
        <v>5688</v>
      </c>
      <c r="Y29" s="160">
        <v>5774</v>
      </c>
      <c r="Z29" s="160">
        <v>5662</v>
      </c>
      <c r="AA29" s="160">
        <v>5685</v>
      </c>
      <c r="AB29" s="160">
        <v>5727</v>
      </c>
      <c r="AC29" s="160">
        <v>5748</v>
      </c>
      <c r="AD29" s="160">
        <v>5403</v>
      </c>
      <c r="AE29" s="160">
        <v>5463</v>
      </c>
      <c r="AF29" s="160">
        <v>5500</v>
      </c>
      <c r="AG29" s="160">
        <v>5663</v>
      </c>
      <c r="AH29" s="160">
        <v>5823</v>
      </c>
    </row>
    <row r="30" spans="2:34" ht="7.5" customHeight="1" thickBot="1" x14ac:dyDescent="0.3"/>
    <row r="31" spans="2:34" s="162" customFormat="1" ht="12.75" customHeight="1" thickBot="1" x14ac:dyDescent="0.3">
      <c r="B31" s="225" t="s">
        <v>1002</v>
      </c>
      <c r="C31" s="226"/>
      <c r="D31" s="130">
        <v>75.174914086565153</v>
      </c>
      <c r="E31" s="130">
        <v>75.643063577351342</v>
      </c>
      <c r="F31" s="130">
        <v>76.012931009205161</v>
      </c>
      <c r="G31" s="130">
        <v>74.700914883841023</v>
      </c>
      <c r="H31" s="130">
        <v>75.115646258492262</v>
      </c>
      <c r="I31" s="130">
        <v>76.86732186656225</v>
      </c>
      <c r="J31" s="130">
        <v>72.005776173319859</v>
      </c>
      <c r="K31" s="130">
        <v>77.235819869370914</v>
      </c>
      <c r="L31" s="130">
        <v>73.650537634408906</v>
      </c>
      <c r="M31" s="130">
        <v>76.581939812349844</v>
      </c>
      <c r="N31" s="130">
        <v>76.588021774605124</v>
      </c>
      <c r="O31" s="130">
        <v>73.804272514543882</v>
      </c>
      <c r="P31" s="130">
        <v>75.989618092863964</v>
      </c>
      <c r="Q31" s="130">
        <v>75.868983957219243</v>
      </c>
      <c r="R31" s="130">
        <v>75.674409878661294</v>
      </c>
      <c r="S31" s="130">
        <v>74.962257848763898</v>
      </c>
      <c r="T31" s="130">
        <v>77.033772371363796</v>
      </c>
      <c r="U31" s="130">
        <v>75.789473664431952</v>
      </c>
      <c r="V31" s="130">
        <v>74.718439716310996</v>
      </c>
      <c r="W31" s="130">
        <v>76.418687589158466</v>
      </c>
      <c r="X31" s="130">
        <v>77.949074073901357</v>
      </c>
      <c r="Y31" s="130">
        <v>75.082510578833208</v>
      </c>
      <c r="Z31" s="130">
        <v>74.30737422449522</v>
      </c>
      <c r="AA31" s="130">
        <v>76.867744608252494</v>
      </c>
      <c r="AB31" s="130">
        <v>76.351746245793663</v>
      </c>
      <c r="AC31" s="130">
        <v>76.206717451213379</v>
      </c>
      <c r="AD31" s="130">
        <v>77.81</v>
      </c>
      <c r="AE31" s="130">
        <v>76.580123797887751</v>
      </c>
      <c r="AF31" s="130">
        <v>76.403508769644546</v>
      </c>
      <c r="AG31" s="130">
        <v>72.821631871934741</v>
      </c>
      <c r="AH31" s="130"/>
    </row>
    <row r="32" spans="2:34" ht="12.75" customHeight="1" x14ac:dyDescent="0.25">
      <c r="B32" s="114"/>
    </row>
    <row r="33" spans="2:2" ht="12.75" customHeight="1" x14ac:dyDescent="0.25">
      <c r="B33" s="114"/>
    </row>
    <row r="34" spans="2:2" ht="12.75" customHeight="1" x14ac:dyDescent="0.25">
      <c r="B34" s="114"/>
    </row>
    <row r="35" spans="2:2" ht="12.75" customHeight="1" x14ac:dyDescent="0.25">
      <c r="B35" s="114"/>
    </row>
    <row r="36" spans="2:2" ht="12.75" customHeight="1" x14ac:dyDescent="0.25">
      <c r="B36" s="114"/>
    </row>
    <row r="37" spans="2:2" ht="12.75" customHeight="1" x14ac:dyDescent="0.25">
      <c r="B37" s="114"/>
    </row>
    <row r="38" spans="2:2" ht="12.75" customHeight="1" x14ac:dyDescent="0.25">
      <c r="B38" s="114"/>
    </row>
    <row r="39" spans="2:2" ht="12.75" customHeight="1" x14ac:dyDescent="0.25">
      <c r="B39" s="114"/>
    </row>
    <row r="40" spans="2:2" ht="12.75" customHeight="1" x14ac:dyDescent="0.25">
      <c r="B40" s="114"/>
    </row>
    <row r="41" spans="2:2" ht="12.75" customHeight="1" x14ac:dyDescent="0.25">
      <c r="B41" s="114"/>
    </row>
    <row r="42" spans="2:2" ht="12.75" customHeight="1" x14ac:dyDescent="0.25">
      <c r="B42" s="114"/>
    </row>
    <row r="43" spans="2:2" ht="12.75" customHeight="1" x14ac:dyDescent="0.25">
      <c r="B43" s="114"/>
    </row>
    <row r="44" spans="2:2" ht="12.75" customHeight="1" x14ac:dyDescent="0.25">
      <c r="B44" s="114"/>
    </row>
    <row r="45" spans="2:2" x14ac:dyDescent="0.25">
      <c r="B45" s="114"/>
    </row>
    <row r="46" spans="2:2" x14ac:dyDescent="0.25">
      <c r="B46" s="114"/>
    </row>
    <row r="47" spans="2:2" x14ac:dyDescent="0.25">
      <c r="B47" s="114"/>
    </row>
    <row r="48" spans="2:2" x14ac:dyDescent="0.25">
      <c r="B48" s="114"/>
    </row>
    <row r="49" spans="2:2" x14ac:dyDescent="0.25">
      <c r="B49" s="114"/>
    </row>
    <row r="50" spans="2:2" x14ac:dyDescent="0.25">
      <c r="B50" s="114"/>
    </row>
    <row r="51" spans="2:2" x14ac:dyDescent="0.25">
      <c r="B51" s="114"/>
    </row>
    <row r="52" spans="2:2" x14ac:dyDescent="0.25">
      <c r="B52" s="114"/>
    </row>
  </sheetData>
  <mergeCells count="9">
    <mergeCell ref="B23:B25"/>
    <mergeCell ref="B26:B28"/>
    <mergeCell ref="B31:C31"/>
    <mergeCell ref="B3:B5"/>
    <mergeCell ref="B6:B8"/>
    <mergeCell ref="B9:B11"/>
    <mergeCell ref="B12:B14"/>
    <mergeCell ref="B17:B19"/>
    <mergeCell ref="B20:B22"/>
  </mergeCells>
  <pageMargins left="0.7" right="0.7" top="0.75" bottom="0.75" header="0.3" footer="0.3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2C4F5-386B-4ABA-B242-0E35997219F1}">
  <dimension ref="B1:AG52"/>
  <sheetViews>
    <sheetView zoomScale="90" zoomScaleNormal="90" workbookViewId="0">
      <pane xSplit="3" topLeftCell="U1" activePane="topRight" state="frozen"/>
      <selection pane="topRight" activeCell="AA21" sqref="AA21"/>
    </sheetView>
  </sheetViews>
  <sheetFormatPr defaultRowHeight="15" x14ac:dyDescent="0.25"/>
  <cols>
    <col min="3" max="3" width="28.140625" customWidth="1"/>
    <col min="4" max="33" width="10.7109375" customWidth="1"/>
  </cols>
  <sheetData>
    <row r="1" spans="2:33" ht="6" customHeight="1" thickBot="1" x14ac:dyDescent="0.3"/>
    <row r="2" spans="2:33" ht="15" customHeight="1" thickBot="1" x14ac:dyDescent="0.3">
      <c r="B2" s="94" t="s">
        <v>964</v>
      </c>
      <c r="C2" s="96" t="s">
        <v>961</v>
      </c>
      <c r="D2" s="97" t="str">
        <f t="shared" ref="D2:N2" si="0">D16</f>
        <v>01.11.2025</v>
      </c>
      <c r="E2" s="97" t="str">
        <f t="shared" si="0"/>
        <v>02.11.2025</v>
      </c>
      <c r="F2" s="97" t="str">
        <f t="shared" si="0"/>
        <v>03.11.2025</v>
      </c>
      <c r="G2" s="97" t="str">
        <f t="shared" si="0"/>
        <v>04.11.2025</v>
      </c>
      <c r="H2" s="97" t="str">
        <f t="shared" si="0"/>
        <v>05.11.2025</v>
      </c>
      <c r="I2" s="97" t="str">
        <f t="shared" si="0"/>
        <v>06.11.2025</v>
      </c>
      <c r="J2" s="97" t="str">
        <f t="shared" si="0"/>
        <v>07.11.2025</v>
      </c>
      <c r="K2" s="97" t="str">
        <f t="shared" si="0"/>
        <v>08.11.2025</v>
      </c>
      <c r="L2" s="97" t="str">
        <f t="shared" si="0"/>
        <v>09.11.2025</v>
      </c>
      <c r="M2" s="97" t="str">
        <f t="shared" si="0"/>
        <v>10.11.2025</v>
      </c>
      <c r="N2" s="97" t="str">
        <f t="shared" si="0"/>
        <v>11.11.2025</v>
      </c>
      <c r="O2" s="97" t="str">
        <f t="shared" ref="O2:P2" si="1">O16</f>
        <v>12.11.2025</v>
      </c>
      <c r="P2" s="97" t="str">
        <f t="shared" si="1"/>
        <v>13.11.2025</v>
      </c>
      <c r="Q2" s="97" t="str">
        <f t="shared" ref="Q2:R2" si="2">Q16</f>
        <v>14.11.2025</v>
      </c>
      <c r="R2" s="97" t="str">
        <f t="shared" si="2"/>
        <v>15.11.2025</v>
      </c>
      <c r="S2" s="97" t="str">
        <f t="shared" ref="S2:T2" si="3">S16</f>
        <v>16.11.2025</v>
      </c>
      <c r="T2" s="97" t="str">
        <f t="shared" si="3"/>
        <v>17.11.2025</v>
      </c>
      <c r="U2" s="97" t="str">
        <f t="shared" ref="U2:V2" si="4">U16</f>
        <v>18.11.2025</v>
      </c>
      <c r="V2" s="97" t="str">
        <f t="shared" si="4"/>
        <v>19.11.2025</v>
      </c>
      <c r="W2" s="97" t="str">
        <f t="shared" ref="W2:X2" si="5">W16</f>
        <v>20.11.2025</v>
      </c>
      <c r="X2" s="97" t="str">
        <f t="shared" si="5"/>
        <v>21.11.2025</v>
      </c>
      <c r="Y2" s="97" t="str">
        <f t="shared" ref="Y2:AA2" si="6">Y16</f>
        <v>22.11.2025</v>
      </c>
      <c r="Z2" s="97" t="str">
        <f t="shared" si="6"/>
        <v>23.11.2025</v>
      </c>
      <c r="AA2" s="97" t="str">
        <f t="shared" si="6"/>
        <v>24.11.2025</v>
      </c>
      <c r="AB2" s="97" t="str">
        <f t="shared" ref="AB2:AC2" si="7">AB16</f>
        <v>25.11.2025</v>
      </c>
      <c r="AC2" s="97" t="str">
        <f t="shared" si="7"/>
        <v>26.11.2025</v>
      </c>
      <c r="AD2" s="97" t="str">
        <f t="shared" ref="AD2:AE2" si="8">AD16</f>
        <v>27.11.2025</v>
      </c>
      <c r="AE2" s="97" t="str">
        <f t="shared" si="8"/>
        <v>28.11.2025</v>
      </c>
      <c r="AF2" s="97" t="str">
        <f t="shared" ref="AF2:AG2" si="9">AF16</f>
        <v>29.11.2025</v>
      </c>
      <c r="AG2" s="97" t="str">
        <f t="shared" si="9"/>
        <v>30.11.2025</v>
      </c>
    </row>
    <row r="3" spans="2:33" ht="15" customHeight="1" x14ac:dyDescent="0.25">
      <c r="B3" s="206" t="s">
        <v>958</v>
      </c>
      <c r="C3" s="116" t="s">
        <v>957</v>
      </c>
      <c r="D3" s="117"/>
      <c r="E3" s="117"/>
      <c r="F3" s="117"/>
      <c r="G3" s="117">
        <v>0.18</v>
      </c>
      <c r="H3" s="117">
        <v>0.18</v>
      </c>
      <c r="I3" s="117">
        <v>0.18</v>
      </c>
      <c r="J3" s="117">
        <v>0.1714</v>
      </c>
      <c r="K3" s="117">
        <v>0.17</v>
      </c>
      <c r="L3" s="117">
        <v>0.16619999999999999</v>
      </c>
      <c r="M3" s="117">
        <v>0.16500000000000001</v>
      </c>
      <c r="N3" s="117">
        <v>0.17</v>
      </c>
      <c r="O3" s="117">
        <v>0.1673</v>
      </c>
      <c r="P3" s="117">
        <v>0.16500000000000001</v>
      </c>
      <c r="Q3" s="117">
        <v>0.17</v>
      </c>
      <c r="R3" s="117">
        <v>0.17</v>
      </c>
      <c r="S3" s="117">
        <v>0.17</v>
      </c>
      <c r="T3" s="117">
        <v>0.1711</v>
      </c>
      <c r="U3" s="117">
        <v>0.17</v>
      </c>
      <c r="V3" s="117">
        <v>0.17</v>
      </c>
      <c r="W3" s="117">
        <v>0.17499999999999999</v>
      </c>
      <c r="X3" s="117">
        <v>0.17</v>
      </c>
      <c r="Y3" s="117">
        <v>0.17</v>
      </c>
      <c r="Z3" s="117">
        <v>0.17499999999999999</v>
      </c>
      <c r="AA3" s="117">
        <v>0.17499999999999999</v>
      </c>
      <c r="AB3" s="117">
        <v>0.17</v>
      </c>
      <c r="AC3" s="117">
        <v>0.17</v>
      </c>
      <c r="AD3" s="117">
        <v>0.17499999999999999</v>
      </c>
      <c r="AE3" s="117">
        <v>0.1676</v>
      </c>
      <c r="AF3" s="117">
        <v>0.17499999999999999</v>
      </c>
      <c r="AG3" s="117">
        <v>0.16919999999999999</v>
      </c>
    </row>
    <row r="4" spans="2:33" ht="15" customHeight="1" x14ac:dyDescent="0.25">
      <c r="B4" s="207"/>
      <c r="C4" s="118" t="s">
        <v>339</v>
      </c>
      <c r="D4" s="84"/>
      <c r="E4" s="84"/>
      <c r="F4" s="84"/>
      <c r="G4" s="84">
        <v>0.77</v>
      </c>
      <c r="H4" s="84">
        <v>0.77</v>
      </c>
      <c r="I4" s="84">
        <v>0.77</v>
      </c>
      <c r="J4" s="84">
        <v>0.7792</v>
      </c>
      <c r="K4" s="84">
        <v>0.78</v>
      </c>
      <c r="L4" s="84">
        <v>0.78380000000000005</v>
      </c>
      <c r="M4" s="84">
        <v>0.78500000000000003</v>
      </c>
      <c r="N4" s="84">
        <v>0.78</v>
      </c>
      <c r="O4" s="84">
        <v>0.78269999999999995</v>
      </c>
      <c r="P4" s="84">
        <v>0.78500000000000003</v>
      </c>
      <c r="Q4" s="84">
        <v>0.78</v>
      </c>
      <c r="R4" s="84">
        <v>0.78</v>
      </c>
      <c r="S4" s="84">
        <v>0.78</v>
      </c>
      <c r="T4" s="84">
        <v>0.77890000000000004</v>
      </c>
      <c r="U4" s="84">
        <v>0.78</v>
      </c>
      <c r="V4" s="84">
        <v>0.78</v>
      </c>
      <c r="W4" s="84">
        <v>0.77500000000000002</v>
      </c>
      <c r="X4" s="84">
        <v>0.78</v>
      </c>
      <c r="Y4" s="84">
        <v>0.78</v>
      </c>
      <c r="Z4" s="84">
        <v>0.77500000000000002</v>
      </c>
      <c r="AA4" s="84">
        <v>0.77500000000000002</v>
      </c>
      <c r="AB4" s="84">
        <v>0.78</v>
      </c>
      <c r="AC4" s="84">
        <v>0.78</v>
      </c>
      <c r="AD4" s="84">
        <v>0.77500000000000002</v>
      </c>
      <c r="AE4" s="84">
        <v>0.78259999999999996</v>
      </c>
      <c r="AF4" s="84">
        <v>0.77500000000000002</v>
      </c>
      <c r="AG4" s="84">
        <v>0.78080000000000005</v>
      </c>
    </row>
    <row r="5" spans="2:33" ht="15" customHeight="1" thickBot="1" x14ac:dyDescent="0.3">
      <c r="B5" s="208"/>
      <c r="C5" s="118" t="s">
        <v>338</v>
      </c>
      <c r="D5" s="84"/>
      <c r="E5" s="84"/>
      <c r="F5" s="84"/>
      <c r="G5" s="84">
        <v>0.05</v>
      </c>
      <c r="H5" s="84">
        <v>0.05</v>
      </c>
      <c r="I5" s="84">
        <v>0.05</v>
      </c>
      <c r="J5" s="84">
        <v>4.9399999999999999E-2</v>
      </c>
      <c r="K5" s="84">
        <v>0.05</v>
      </c>
      <c r="L5" s="84">
        <v>0.05</v>
      </c>
      <c r="M5" s="84">
        <v>0.05</v>
      </c>
      <c r="N5" s="84">
        <v>0.05</v>
      </c>
      <c r="O5" s="84">
        <v>0.05</v>
      </c>
      <c r="P5" s="84">
        <v>0.05</v>
      </c>
      <c r="Q5" s="84">
        <v>0.05</v>
      </c>
      <c r="R5" s="84">
        <v>0.05</v>
      </c>
      <c r="S5" s="84">
        <v>0.05</v>
      </c>
      <c r="T5" s="84">
        <v>0.05</v>
      </c>
      <c r="U5" s="84">
        <v>0.05</v>
      </c>
      <c r="V5" s="84">
        <v>0.05</v>
      </c>
      <c r="W5" s="84">
        <v>0.05</v>
      </c>
      <c r="X5" s="84">
        <v>0.05</v>
      </c>
      <c r="Y5" s="84">
        <v>0.05</v>
      </c>
      <c r="Z5" s="84">
        <v>0.05</v>
      </c>
      <c r="AA5" s="84">
        <v>0.05</v>
      </c>
      <c r="AB5" s="84">
        <v>0.05</v>
      </c>
      <c r="AC5" s="84">
        <v>0.05</v>
      </c>
      <c r="AD5" s="84">
        <v>0.05</v>
      </c>
      <c r="AE5" s="84">
        <v>4.9799999999999997E-2</v>
      </c>
      <c r="AF5" s="84">
        <v>0.05</v>
      </c>
      <c r="AG5" s="84">
        <v>0.05</v>
      </c>
    </row>
    <row r="6" spans="2:33" ht="15" customHeight="1" x14ac:dyDescent="0.25">
      <c r="B6" s="209" t="s">
        <v>959</v>
      </c>
      <c r="C6" s="119" t="s">
        <v>957</v>
      </c>
      <c r="D6" s="86"/>
      <c r="E6" s="86"/>
      <c r="F6" s="86"/>
      <c r="G6" s="86"/>
      <c r="H6" s="86"/>
      <c r="I6" s="86">
        <v>0.18</v>
      </c>
      <c r="J6" s="86"/>
      <c r="K6" s="86">
        <v>0.192</v>
      </c>
      <c r="L6" s="86"/>
      <c r="M6" s="86"/>
      <c r="N6" s="86"/>
      <c r="O6" s="86">
        <v>0.25</v>
      </c>
      <c r="P6" s="86"/>
      <c r="Q6" s="86"/>
      <c r="R6" s="86"/>
      <c r="S6" s="86"/>
      <c r="T6" s="86"/>
      <c r="U6" s="86"/>
      <c r="V6" s="86">
        <v>0.24</v>
      </c>
      <c r="W6" s="86"/>
      <c r="X6" s="86"/>
      <c r="Y6" s="86"/>
      <c r="Z6" s="86"/>
      <c r="AA6" s="86">
        <v>0.23</v>
      </c>
      <c r="AB6" s="86"/>
      <c r="AC6" s="86"/>
      <c r="AD6" s="86">
        <v>0.26</v>
      </c>
      <c r="AE6" s="86"/>
      <c r="AF6" s="86"/>
      <c r="AG6" s="86"/>
    </row>
    <row r="7" spans="2:33" ht="15" customHeight="1" x14ac:dyDescent="0.25">
      <c r="B7" s="210"/>
      <c r="C7" s="120" t="s">
        <v>339</v>
      </c>
      <c r="D7" s="86"/>
      <c r="E7" s="86"/>
      <c r="F7" s="86"/>
      <c r="G7" s="86"/>
      <c r="H7" s="86"/>
      <c r="I7" s="86">
        <v>0.77</v>
      </c>
      <c r="J7" s="86"/>
      <c r="K7" s="86">
        <v>0.76</v>
      </c>
      <c r="L7" s="86"/>
      <c r="M7" s="86"/>
      <c r="N7" s="86"/>
      <c r="O7" s="86">
        <v>0.7</v>
      </c>
      <c r="P7" s="86"/>
      <c r="Q7" s="86"/>
      <c r="R7" s="86"/>
      <c r="S7" s="86"/>
      <c r="T7" s="86"/>
      <c r="U7" s="86"/>
      <c r="V7" s="86">
        <v>0.71</v>
      </c>
      <c r="W7" s="86"/>
      <c r="X7" s="86"/>
      <c r="Y7" s="86"/>
      <c r="Z7" s="86"/>
      <c r="AA7" s="86">
        <v>0.72</v>
      </c>
      <c r="AB7" s="86"/>
      <c r="AC7" s="86"/>
      <c r="AD7" s="86">
        <v>0.69</v>
      </c>
      <c r="AE7" s="86"/>
      <c r="AF7" s="86"/>
      <c r="AG7" s="86"/>
    </row>
    <row r="8" spans="2:33" ht="15" customHeight="1" thickBot="1" x14ac:dyDescent="0.3">
      <c r="B8" s="211"/>
      <c r="C8" s="120" t="s">
        <v>338</v>
      </c>
      <c r="D8" s="86"/>
      <c r="E8" s="86"/>
      <c r="F8" s="86"/>
      <c r="G8" s="86"/>
      <c r="H8" s="86"/>
      <c r="I8" s="86">
        <v>0.05</v>
      </c>
      <c r="J8" s="86"/>
      <c r="K8" s="86">
        <v>4.8000000000000001E-2</v>
      </c>
      <c r="L8" s="86"/>
      <c r="M8" s="86"/>
      <c r="N8" s="86"/>
      <c r="O8" s="86">
        <v>0.05</v>
      </c>
      <c r="P8" s="86"/>
      <c r="Q8" s="86"/>
      <c r="R8" s="86"/>
      <c r="S8" s="86"/>
      <c r="T8" s="86"/>
      <c r="U8" s="86"/>
      <c r="V8" s="86">
        <v>0.05</v>
      </c>
      <c r="W8" s="86"/>
      <c r="X8" s="86"/>
      <c r="Y8" s="86"/>
      <c r="Z8" s="86"/>
      <c r="AA8" s="86">
        <v>0.05</v>
      </c>
      <c r="AB8" s="86"/>
      <c r="AC8" s="86"/>
      <c r="AD8" s="86">
        <v>0.05</v>
      </c>
      <c r="AE8" s="86"/>
      <c r="AF8" s="86"/>
      <c r="AG8" s="86"/>
    </row>
    <row r="9" spans="2:33" ht="15" customHeight="1" x14ac:dyDescent="0.25">
      <c r="B9" s="215" t="s">
        <v>960</v>
      </c>
      <c r="C9" s="121" t="s">
        <v>957</v>
      </c>
      <c r="D9" s="135"/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135"/>
      <c r="P9" s="135"/>
      <c r="Q9" s="135"/>
      <c r="R9" s="135">
        <v>0.25</v>
      </c>
      <c r="S9" s="135">
        <v>0.26</v>
      </c>
      <c r="T9" s="135">
        <v>0.18</v>
      </c>
      <c r="U9" s="135">
        <v>0.2429</v>
      </c>
      <c r="V9" s="135"/>
      <c r="W9" s="135"/>
      <c r="X9" s="135">
        <v>0.26</v>
      </c>
      <c r="Y9" s="135"/>
      <c r="Z9" s="135"/>
      <c r="AA9" s="135"/>
      <c r="AB9" s="135"/>
      <c r="AC9" s="135">
        <v>0.2697</v>
      </c>
      <c r="AD9" s="135"/>
      <c r="AE9" s="135">
        <v>0.28000000000000003</v>
      </c>
      <c r="AF9" s="135">
        <v>0.28000000000000003</v>
      </c>
      <c r="AG9" s="135"/>
    </row>
    <row r="10" spans="2:33" ht="15" customHeight="1" x14ac:dyDescent="0.25">
      <c r="B10" s="216"/>
      <c r="C10" s="123" t="s">
        <v>339</v>
      </c>
      <c r="D10" s="134"/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/>
      <c r="P10" s="134"/>
      <c r="Q10" s="134"/>
      <c r="R10" s="134">
        <v>0.7</v>
      </c>
      <c r="S10" s="134">
        <v>0.68500000000000005</v>
      </c>
      <c r="T10" s="134">
        <v>0.77</v>
      </c>
      <c r="U10" s="134">
        <v>0.71419999999999995</v>
      </c>
      <c r="V10" s="134"/>
      <c r="W10" s="134"/>
      <c r="X10" s="134">
        <v>0.69</v>
      </c>
      <c r="Y10" s="134"/>
      <c r="Z10" s="134"/>
      <c r="AA10" s="134"/>
      <c r="AB10" s="134"/>
      <c r="AC10" s="134">
        <v>0.68030000000000002</v>
      </c>
      <c r="AD10" s="134"/>
      <c r="AE10" s="134">
        <v>0.67</v>
      </c>
      <c r="AF10" s="134">
        <v>0.67</v>
      </c>
      <c r="AG10" s="134"/>
    </row>
    <row r="11" spans="2:33" ht="15" customHeight="1" thickBot="1" x14ac:dyDescent="0.3">
      <c r="B11" s="221"/>
      <c r="C11" s="125" t="s">
        <v>338</v>
      </c>
      <c r="D11" s="136"/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36"/>
      <c r="P11" s="136"/>
      <c r="Q11" s="136"/>
      <c r="R11" s="136">
        <v>0.05</v>
      </c>
      <c r="S11" s="136">
        <v>5.5E-2</v>
      </c>
      <c r="T11" s="136">
        <v>0.05</v>
      </c>
      <c r="U11" s="136">
        <v>4.2900000000000001E-2</v>
      </c>
      <c r="V11" s="136"/>
      <c r="W11" s="136"/>
      <c r="X11" s="136">
        <v>0.05</v>
      </c>
      <c r="Y11" s="136"/>
      <c r="Z11" s="136"/>
      <c r="AA11" s="136"/>
      <c r="AB11" s="136"/>
      <c r="AC11" s="136">
        <v>0.05</v>
      </c>
      <c r="AD11" s="136"/>
      <c r="AE11" s="136">
        <v>0.05</v>
      </c>
      <c r="AF11" s="136">
        <v>0.05</v>
      </c>
      <c r="AG11" s="136"/>
    </row>
    <row r="12" spans="2:33" ht="15" customHeight="1" x14ac:dyDescent="0.25">
      <c r="B12" s="222" t="s">
        <v>1086</v>
      </c>
      <c r="C12" s="151" t="s">
        <v>957</v>
      </c>
      <c r="D12" s="152"/>
      <c r="E12" s="152"/>
      <c r="F12" s="152"/>
      <c r="G12" s="152"/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2"/>
      <c r="U12" s="152"/>
      <c r="V12" s="152"/>
      <c r="W12" s="152"/>
      <c r="X12" s="152"/>
      <c r="Y12" s="152"/>
      <c r="Z12" s="152"/>
      <c r="AA12" s="152"/>
      <c r="AB12" s="152"/>
      <c r="AC12" s="152"/>
      <c r="AD12" s="152"/>
      <c r="AE12" s="152"/>
      <c r="AF12" s="152"/>
      <c r="AG12" s="152"/>
    </row>
    <row r="13" spans="2:33" ht="15" customHeight="1" x14ac:dyDescent="0.25">
      <c r="B13" s="223"/>
      <c r="C13" s="90" t="s">
        <v>339</v>
      </c>
      <c r="D13" s="149"/>
      <c r="E13" s="149"/>
      <c r="F13" s="149"/>
      <c r="G13" s="149"/>
      <c r="H13" s="149"/>
      <c r="I13" s="149"/>
      <c r="J13" s="149">
        <v>0.95</v>
      </c>
      <c r="K13" s="149"/>
      <c r="L13" s="153">
        <v>0.9375</v>
      </c>
      <c r="M13" s="149"/>
      <c r="N13" s="149"/>
      <c r="O13" s="149"/>
      <c r="P13" s="149"/>
      <c r="Q13" s="149"/>
      <c r="R13" s="149"/>
      <c r="S13" s="149"/>
      <c r="T13" s="153">
        <v>0.94169999999999998</v>
      </c>
      <c r="U13" s="153"/>
      <c r="V13" s="153"/>
      <c r="W13" s="153"/>
      <c r="X13" s="153"/>
      <c r="Y13" s="153"/>
      <c r="Z13" s="153"/>
      <c r="AA13" s="153"/>
      <c r="AB13" s="153"/>
      <c r="AC13" s="153"/>
      <c r="AD13" s="153"/>
      <c r="AE13" s="153"/>
      <c r="AF13" s="153"/>
      <c r="AG13" s="153"/>
    </row>
    <row r="14" spans="2:33" ht="15" customHeight="1" thickBot="1" x14ac:dyDescent="0.3">
      <c r="B14" s="224"/>
      <c r="C14" s="92" t="s">
        <v>338</v>
      </c>
      <c r="D14" s="150"/>
      <c r="E14" s="150"/>
      <c r="F14" s="150"/>
      <c r="G14" s="150"/>
      <c r="H14" s="150"/>
      <c r="I14" s="150"/>
      <c r="J14" s="150">
        <v>0.05</v>
      </c>
      <c r="K14" s="150"/>
      <c r="L14" s="155">
        <v>6.25E-2</v>
      </c>
      <c r="M14" s="150"/>
      <c r="N14" s="150"/>
      <c r="O14" s="150"/>
      <c r="P14" s="150"/>
      <c r="Q14" s="150"/>
      <c r="R14" s="150"/>
      <c r="S14" s="150"/>
      <c r="T14" s="155">
        <v>5.8299999999999998E-2</v>
      </c>
      <c r="U14" s="155"/>
      <c r="V14" s="155"/>
      <c r="W14" s="155"/>
      <c r="X14" s="155"/>
      <c r="Y14" s="155"/>
      <c r="Z14" s="155"/>
      <c r="AA14" s="155"/>
      <c r="AB14" s="155"/>
      <c r="AC14" s="155"/>
      <c r="AD14" s="155"/>
      <c r="AE14" s="155"/>
      <c r="AF14" s="155"/>
      <c r="AG14" s="155"/>
    </row>
    <row r="15" spans="2:33" ht="6.75" customHeight="1" thickBot="1" x14ac:dyDescent="0.3"/>
    <row r="16" spans="2:33" ht="15" customHeight="1" thickBot="1" x14ac:dyDescent="0.3">
      <c r="B16" s="95" t="s">
        <v>964</v>
      </c>
      <c r="C16" s="94" t="s">
        <v>963</v>
      </c>
      <c r="D16" s="94" t="s">
        <v>1398</v>
      </c>
      <c r="E16" s="94" t="s">
        <v>1399</v>
      </c>
      <c r="F16" s="94" t="s">
        <v>1400</v>
      </c>
      <c r="G16" s="94" t="s">
        <v>1401</v>
      </c>
      <c r="H16" s="94" t="s">
        <v>1402</v>
      </c>
      <c r="I16" s="94" t="s">
        <v>1403</v>
      </c>
      <c r="J16" s="94" t="s">
        <v>1404</v>
      </c>
      <c r="K16" s="94" t="s">
        <v>1405</v>
      </c>
      <c r="L16" s="94" t="s">
        <v>1406</v>
      </c>
      <c r="M16" s="94" t="s">
        <v>1407</v>
      </c>
      <c r="N16" s="94" t="s">
        <v>1408</v>
      </c>
      <c r="O16" s="94" t="s">
        <v>1409</v>
      </c>
      <c r="P16" s="94" t="s">
        <v>1410</v>
      </c>
      <c r="Q16" s="94" t="s">
        <v>1411</v>
      </c>
      <c r="R16" s="94" t="s">
        <v>1412</v>
      </c>
      <c r="S16" s="94" t="s">
        <v>1413</v>
      </c>
      <c r="T16" s="94" t="s">
        <v>1414</v>
      </c>
      <c r="U16" s="94" t="s">
        <v>1415</v>
      </c>
      <c r="V16" s="94" t="s">
        <v>1416</v>
      </c>
      <c r="W16" s="94" t="s">
        <v>1417</v>
      </c>
      <c r="X16" s="94" t="s">
        <v>1418</v>
      </c>
      <c r="Y16" s="94" t="s">
        <v>1419</v>
      </c>
      <c r="Z16" s="94" t="s">
        <v>1420</v>
      </c>
      <c r="AA16" s="94" t="s">
        <v>1421</v>
      </c>
      <c r="AB16" s="94" t="s">
        <v>1422</v>
      </c>
      <c r="AC16" s="94" t="s">
        <v>1423</v>
      </c>
      <c r="AD16" s="94" t="s">
        <v>1424</v>
      </c>
      <c r="AE16" s="94" t="s">
        <v>1425</v>
      </c>
      <c r="AF16" s="94" t="s">
        <v>1426</v>
      </c>
      <c r="AG16" s="94" t="s">
        <v>1427</v>
      </c>
    </row>
    <row r="17" spans="2:33" ht="15" customHeight="1" x14ac:dyDescent="0.25">
      <c r="B17" s="206" t="s">
        <v>958</v>
      </c>
      <c r="C17" s="81" t="s">
        <v>957</v>
      </c>
      <c r="D17" s="117"/>
      <c r="E17" s="117"/>
      <c r="F17" s="117"/>
      <c r="G17" s="117">
        <v>0.18</v>
      </c>
      <c r="H17" s="117">
        <v>0.18</v>
      </c>
      <c r="I17" s="117"/>
      <c r="J17" s="117">
        <v>0.1865</v>
      </c>
      <c r="K17" s="117">
        <v>0.17</v>
      </c>
      <c r="L17" s="117">
        <v>0.16</v>
      </c>
      <c r="M17" s="117">
        <v>0.16500000000000001</v>
      </c>
      <c r="N17" s="117">
        <v>0.16500000000000001</v>
      </c>
      <c r="O17" s="117">
        <v>0.1709</v>
      </c>
      <c r="P17" s="117">
        <v>0.17</v>
      </c>
      <c r="Q17" s="117">
        <v>0.17</v>
      </c>
      <c r="R17" s="117">
        <v>0.17</v>
      </c>
      <c r="S17" s="117">
        <v>0.17</v>
      </c>
      <c r="T17" s="117">
        <v>0.17100000000000001</v>
      </c>
      <c r="U17" s="117">
        <v>0.17499999999999999</v>
      </c>
      <c r="V17" s="117">
        <v>0.17</v>
      </c>
      <c r="W17" s="117">
        <v>0.17499999999999999</v>
      </c>
      <c r="X17" s="117">
        <v>0.17</v>
      </c>
      <c r="Y17" s="117">
        <v>0.18</v>
      </c>
      <c r="Z17" s="117">
        <v>0.17499999999999999</v>
      </c>
      <c r="AA17" s="117">
        <v>0.17</v>
      </c>
      <c r="AB17" s="117">
        <v>0.17499999999999999</v>
      </c>
      <c r="AC17" s="117">
        <v>0.17</v>
      </c>
      <c r="AD17" s="117">
        <v>0.17499999999999999</v>
      </c>
      <c r="AE17" s="117">
        <v>0.1794</v>
      </c>
      <c r="AF17" s="117">
        <v>0.18</v>
      </c>
      <c r="AG17" s="117">
        <v>0.17349999999999999</v>
      </c>
    </row>
    <row r="18" spans="2:33" ht="15" customHeight="1" x14ac:dyDescent="0.25">
      <c r="B18" s="207"/>
      <c r="C18" s="83" t="s">
        <v>339</v>
      </c>
      <c r="D18" s="84"/>
      <c r="E18" s="84"/>
      <c r="F18" s="84"/>
      <c r="G18" s="84">
        <v>0.77</v>
      </c>
      <c r="H18" s="84">
        <v>0.77</v>
      </c>
      <c r="I18" s="84"/>
      <c r="J18" s="84">
        <v>0.76539999999999997</v>
      </c>
      <c r="K18" s="84">
        <v>0.78</v>
      </c>
      <c r="L18" s="84">
        <v>0.79</v>
      </c>
      <c r="M18" s="84">
        <v>0.78500000000000003</v>
      </c>
      <c r="N18" s="84">
        <v>0.78500000000000003</v>
      </c>
      <c r="O18" s="84">
        <v>0.77980000000000005</v>
      </c>
      <c r="P18" s="84">
        <v>0.78</v>
      </c>
      <c r="Q18" s="84">
        <v>0.78</v>
      </c>
      <c r="R18" s="84">
        <v>0.78</v>
      </c>
      <c r="S18" s="84">
        <v>0.78</v>
      </c>
      <c r="T18" s="84">
        <v>0.77900000000000003</v>
      </c>
      <c r="U18" s="84">
        <v>0.77500000000000002</v>
      </c>
      <c r="V18" s="84">
        <v>0.78</v>
      </c>
      <c r="W18" s="84">
        <v>0.77500000000000002</v>
      </c>
      <c r="X18" s="84">
        <v>0.78</v>
      </c>
      <c r="Y18" s="84">
        <v>0.77</v>
      </c>
      <c r="Z18" s="84">
        <v>0.77500000000000002</v>
      </c>
      <c r="AA18" s="84">
        <v>0.78</v>
      </c>
      <c r="AB18" s="84">
        <v>0.77500000000000002</v>
      </c>
      <c r="AC18" s="84">
        <v>0.78</v>
      </c>
      <c r="AD18" s="84">
        <v>0.77500000000000002</v>
      </c>
      <c r="AE18" s="84">
        <v>0.77170000000000005</v>
      </c>
      <c r="AF18" s="84">
        <v>0.77</v>
      </c>
      <c r="AG18" s="84">
        <v>0.77649999999999997</v>
      </c>
    </row>
    <row r="19" spans="2:33" ht="15" customHeight="1" thickBot="1" x14ac:dyDescent="0.3">
      <c r="B19" s="208"/>
      <c r="C19" s="83" t="s">
        <v>338</v>
      </c>
      <c r="D19" s="84"/>
      <c r="E19" s="84"/>
      <c r="F19" s="84"/>
      <c r="G19" s="84">
        <v>0.05</v>
      </c>
      <c r="H19" s="84">
        <v>0.05</v>
      </c>
      <c r="I19" s="84"/>
      <c r="J19" s="84">
        <v>4.8099999999999997E-2</v>
      </c>
      <c r="K19" s="84">
        <v>0.05</v>
      </c>
      <c r="L19" s="84">
        <v>0.05</v>
      </c>
      <c r="M19" s="84">
        <v>0.05</v>
      </c>
      <c r="N19" s="84">
        <v>0.05</v>
      </c>
      <c r="O19" s="84">
        <v>4.9299999999999997E-2</v>
      </c>
      <c r="P19" s="84">
        <v>0.05</v>
      </c>
      <c r="Q19" s="84">
        <v>0.05</v>
      </c>
      <c r="R19" s="84">
        <v>0.05</v>
      </c>
      <c r="S19" s="84">
        <v>0.05</v>
      </c>
      <c r="T19" s="84">
        <v>0.05</v>
      </c>
      <c r="U19" s="84">
        <v>0.05</v>
      </c>
      <c r="V19" s="84">
        <v>0.05</v>
      </c>
      <c r="W19" s="84">
        <v>0.05</v>
      </c>
      <c r="X19" s="84">
        <v>0.05</v>
      </c>
      <c r="Y19" s="84">
        <v>0.05</v>
      </c>
      <c r="Z19" s="84">
        <v>0.05</v>
      </c>
      <c r="AA19" s="84">
        <v>0.05</v>
      </c>
      <c r="AB19" s="84">
        <v>0.05</v>
      </c>
      <c r="AC19" s="84">
        <v>0.05</v>
      </c>
      <c r="AD19" s="84">
        <v>0.05</v>
      </c>
      <c r="AE19" s="84">
        <v>4.8899999999999999E-2</v>
      </c>
      <c r="AF19" s="84">
        <v>0.05</v>
      </c>
      <c r="AG19" s="84">
        <v>0.05</v>
      </c>
    </row>
    <row r="20" spans="2:33" ht="15" customHeight="1" x14ac:dyDescent="0.25">
      <c r="B20" s="209" t="s">
        <v>959</v>
      </c>
      <c r="C20" s="85" t="s">
        <v>957</v>
      </c>
      <c r="D20" s="132"/>
      <c r="E20" s="132"/>
      <c r="F20" s="132"/>
      <c r="G20" s="132"/>
      <c r="H20" s="132"/>
      <c r="I20" s="132"/>
      <c r="J20" s="132">
        <v>0.17649999999999999</v>
      </c>
      <c r="K20" s="132"/>
      <c r="L20" s="132">
        <v>0.18859999999999999</v>
      </c>
      <c r="M20" s="132">
        <v>0.25</v>
      </c>
      <c r="N20" s="132">
        <v>0.18</v>
      </c>
      <c r="O20" s="132">
        <v>0.26090000000000002</v>
      </c>
      <c r="P20" s="132">
        <v>0.18179999999999999</v>
      </c>
      <c r="Q20" s="132">
        <v>0.26</v>
      </c>
      <c r="R20" s="132">
        <v>0.2</v>
      </c>
      <c r="S20" s="132">
        <v>0.23</v>
      </c>
      <c r="T20" s="132">
        <v>0.18</v>
      </c>
      <c r="U20" s="132">
        <v>0.24</v>
      </c>
      <c r="V20" s="132">
        <v>0.18329999999999999</v>
      </c>
      <c r="W20" s="132">
        <v>0.22170000000000001</v>
      </c>
      <c r="X20" s="132">
        <v>0.25</v>
      </c>
      <c r="Y20" s="132">
        <v>0.18</v>
      </c>
      <c r="Z20" s="132">
        <v>0.18</v>
      </c>
      <c r="AA20" s="132"/>
      <c r="AB20" s="132"/>
      <c r="AC20" s="132">
        <v>0.20830000000000001</v>
      </c>
      <c r="AD20" s="132">
        <v>0.18</v>
      </c>
      <c r="AE20" s="132">
        <v>0.20330000000000001</v>
      </c>
      <c r="AF20" s="132">
        <v>0.25</v>
      </c>
      <c r="AG20" s="132">
        <v>0.2792</v>
      </c>
    </row>
    <row r="21" spans="2:33" ht="15" customHeight="1" x14ac:dyDescent="0.25">
      <c r="B21" s="210"/>
      <c r="C21" s="87" t="s">
        <v>339</v>
      </c>
      <c r="D21" s="86"/>
      <c r="E21" s="86"/>
      <c r="F21" s="86"/>
      <c r="G21" s="86"/>
      <c r="H21" s="86"/>
      <c r="I21" s="86"/>
      <c r="J21" s="86">
        <v>0.77349999999999997</v>
      </c>
      <c r="K21" s="86"/>
      <c r="L21" s="86">
        <v>0.76570000000000005</v>
      </c>
      <c r="M21" s="86">
        <v>0.7</v>
      </c>
      <c r="N21" s="86">
        <v>0.77</v>
      </c>
      <c r="O21" s="86">
        <v>0.6956</v>
      </c>
      <c r="P21" s="86">
        <v>0.76819999999999999</v>
      </c>
      <c r="Q21" s="86">
        <v>0.69</v>
      </c>
      <c r="R21" s="86">
        <v>0.75</v>
      </c>
      <c r="S21" s="86">
        <v>0.72</v>
      </c>
      <c r="T21" s="86">
        <v>0.77</v>
      </c>
      <c r="U21" s="86">
        <v>0.71</v>
      </c>
      <c r="V21" s="86">
        <v>0.76670000000000005</v>
      </c>
      <c r="W21" s="86">
        <v>0.72970000000000002</v>
      </c>
      <c r="X21" s="86">
        <v>0.7</v>
      </c>
      <c r="Y21" s="86">
        <v>0.77</v>
      </c>
      <c r="Z21" s="86">
        <v>0.77</v>
      </c>
      <c r="AA21" s="86"/>
      <c r="AB21" s="86"/>
      <c r="AC21" s="86">
        <v>0.75</v>
      </c>
      <c r="AD21" s="86">
        <v>0.77</v>
      </c>
      <c r="AE21" s="86">
        <v>0.75009999999999999</v>
      </c>
      <c r="AF21" s="86">
        <v>0.7</v>
      </c>
      <c r="AG21" s="86">
        <v>0.6875</v>
      </c>
    </row>
    <row r="22" spans="2:33" ht="15" customHeight="1" thickBot="1" x14ac:dyDescent="0.3">
      <c r="B22" s="211"/>
      <c r="C22" s="87" t="s">
        <v>338</v>
      </c>
      <c r="D22" s="86"/>
      <c r="E22" s="86"/>
      <c r="F22" s="86"/>
      <c r="G22" s="86"/>
      <c r="H22" s="86"/>
      <c r="I22" s="86"/>
      <c r="J22" s="86">
        <v>0.05</v>
      </c>
      <c r="K22" s="86"/>
      <c r="L22" s="86">
        <v>4.5699999999999998E-2</v>
      </c>
      <c r="M22" s="86">
        <v>0.05</v>
      </c>
      <c r="N22" s="86">
        <v>0.05</v>
      </c>
      <c r="O22" s="86">
        <v>4.3499999999999997E-2</v>
      </c>
      <c r="P22" s="86">
        <v>0.05</v>
      </c>
      <c r="Q22" s="86">
        <v>0.05</v>
      </c>
      <c r="R22" s="86">
        <v>0.05</v>
      </c>
      <c r="S22" s="86">
        <v>0.05</v>
      </c>
      <c r="T22" s="86">
        <v>0.05</v>
      </c>
      <c r="U22" s="86">
        <v>0.05</v>
      </c>
      <c r="V22" s="86">
        <v>0.05</v>
      </c>
      <c r="W22" s="86">
        <v>4.8599999999999997E-2</v>
      </c>
      <c r="X22" s="86">
        <v>0.05</v>
      </c>
      <c r="Y22" s="86">
        <v>0.05</v>
      </c>
      <c r="Z22" s="86">
        <v>0.05</v>
      </c>
      <c r="AA22" s="86"/>
      <c r="AB22" s="86"/>
      <c r="AC22" s="86">
        <v>4.1700000000000001E-2</v>
      </c>
      <c r="AD22" s="86">
        <v>0.05</v>
      </c>
      <c r="AE22" s="86">
        <v>4.6600000000000003E-2</v>
      </c>
      <c r="AF22" s="86">
        <v>0.05</v>
      </c>
      <c r="AG22" s="86">
        <v>3.3300000000000003E-2</v>
      </c>
    </row>
    <row r="23" spans="2:33" ht="15" customHeight="1" x14ac:dyDescent="0.25">
      <c r="B23" s="200" t="s">
        <v>960</v>
      </c>
      <c r="C23" s="88" t="s">
        <v>957</v>
      </c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135"/>
      <c r="R23" s="135"/>
      <c r="S23" s="135"/>
      <c r="T23" s="135">
        <v>0.26</v>
      </c>
      <c r="U23" s="135">
        <v>0.26140000000000002</v>
      </c>
      <c r="V23" s="135">
        <v>0.26</v>
      </c>
      <c r="W23" s="135">
        <v>0.25</v>
      </c>
      <c r="X23" s="135"/>
      <c r="Y23" s="135">
        <v>0.3</v>
      </c>
      <c r="Z23" s="135">
        <v>0.25</v>
      </c>
      <c r="AA23" s="135">
        <v>0.24</v>
      </c>
      <c r="AB23" s="135">
        <v>0.24</v>
      </c>
      <c r="AC23" s="135">
        <v>0.28000000000000003</v>
      </c>
      <c r="AD23" s="135">
        <v>0.27</v>
      </c>
      <c r="AE23" s="135"/>
      <c r="AF23" s="135"/>
      <c r="AG23" s="135">
        <v>0.1037</v>
      </c>
    </row>
    <row r="24" spans="2:33" ht="15" customHeight="1" x14ac:dyDescent="0.25">
      <c r="B24" s="201"/>
      <c r="C24" s="90" t="s">
        <v>339</v>
      </c>
      <c r="D24" s="134"/>
      <c r="E24" s="134"/>
      <c r="F24" s="134"/>
      <c r="G24" s="134"/>
      <c r="H24" s="134"/>
      <c r="I24" s="134"/>
      <c r="J24" s="134"/>
      <c r="K24" s="134"/>
      <c r="L24" s="134"/>
      <c r="M24" s="134"/>
      <c r="N24" s="134"/>
      <c r="O24" s="134"/>
      <c r="P24" s="134"/>
      <c r="Q24" s="134"/>
      <c r="R24" s="134"/>
      <c r="S24" s="134"/>
      <c r="T24" s="134">
        <v>0.68500000000000005</v>
      </c>
      <c r="U24" s="134">
        <v>0.68859999999999999</v>
      </c>
      <c r="V24" s="134">
        <v>0.69140000000000001</v>
      </c>
      <c r="W24" s="134">
        <v>0.7</v>
      </c>
      <c r="X24" s="134"/>
      <c r="Y24" s="134">
        <v>0.66669999999999996</v>
      </c>
      <c r="Z24" s="134">
        <v>0.7</v>
      </c>
      <c r="AA24" s="134">
        <v>0.71</v>
      </c>
      <c r="AB24" s="134">
        <v>0.71</v>
      </c>
      <c r="AC24" s="134">
        <v>0.67</v>
      </c>
      <c r="AD24" s="134">
        <v>0.68</v>
      </c>
      <c r="AE24" s="134"/>
      <c r="AF24" s="134"/>
      <c r="AG24" s="134">
        <v>0.84630000000000005</v>
      </c>
    </row>
    <row r="25" spans="2:33" ht="15" customHeight="1" thickBot="1" x14ac:dyDescent="0.3">
      <c r="B25" s="212"/>
      <c r="C25" s="108" t="s">
        <v>338</v>
      </c>
      <c r="D25" s="136"/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6"/>
      <c r="T25" s="136">
        <v>5.5E-2</v>
      </c>
      <c r="U25" s="136">
        <v>0.05</v>
      </c>
      <c r="V25" s="136">
        <v>4.8599999999999997E-2</v>
      </c>
      <c r="W25" s="136">
        <v>0.05</v>
      </c>
      <c r="X25" s="136"/>
      <c r="Y25" s="136">
        <v>3.3300000000000003E-2</v>
      </c>
      <c r="Z25" s="136">
        <v>0.05</v>
      </c>
      <c r="AA25" s="136">
        <v>0.05</v>
      </c>
      <c r="AB25" s="136">
        <v>0.05</v>
      </c>
      <c r="AC25" s="136">
        <v>0.05</v>
      </c>
      <c r="AD25" s="136">
        <v>0.05</v>
      </c>
      <c r="AE25" s="136"/>
      <c r="AF25" s="136"/>
      <c r="AG25" s="136">
        <v>0.05</v>
      </c>
    </row>
    <row r="26" spans="2:33" ht="15" customHeight="1" x14ac:dyDescent="0.25">
      <c r="B26" s="218" t="s">
        <v>1086</v>
      </c>
      <c r="C26" s="88" t="s">
        <v>957</v>
      </c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156"/>
      <c r="S26" s="156"/>
      <c r="T26" s="156"/>
      <c r="U26" s="156"/>
      <c r="V26" s="156"/>
      <c r="W26" s="156"/>
      <c r="X26" s="156"/>
      <c r="Y26" s="156"/>
      <c r="Z26" s="156"/>
      <c r="AA26" s="156"/>
      <c r="AB26" s="156"/>
      <c r="AC26" s="156"/>
      <c r="AD26" s="156"/>
      <c r="AE26" s="156"/>
      <c r="AF26" s="156"/>
      <c r="AG26" s="156"/>
    </row>
    <row r="27" spans="2:33" ht="15" customHeight="1" x14ac:dyDescent="0.25">
      <c r="B27" s="219"/>
      <c r="C27" s="90" t="s">
        <v>339</v>
      </c>
      <c r="D27" s="138"/>
      <c r="E27" s="138"/>
      <c r="F27" s="138"/>
      <c r="G27" s="138"/>
      <c r="H27" s="138">
        <v>0.95</v>
      </c>
      <c r="I27" s="138"/>
      <c r="J27" s="138">
        <v>0.95</v>
      </c>
      <c r="K27" s="138">
        <v>0.93330000000000002</v>
      </c>
      <c r="L27" s="138"/>
      <c r="M27" s="138">
        <v>0.96109999999999995</v>
      </c>
      <c r="N27" s="138">
        <v>0.95</v>
      </c>
      <c r="O27" s="138">
        <v>0.95450000000000002</v>
      </c>
      <c r="P27" s="138">
        <v>0.93940000000000001</v>
      </c>
      <c r="Q27" s="138">
        <v>0.96360000000000001</v>
      </c>
      <c r="R27" s="138">
        <v>0.95</v>
      </c>
      <c r="S27" s="138">
        <v>0.9667</v>
      </c>
      <c r="T27" s="138"/>
      <c r="U27" s="138">
        <v>0.93330000000000002</v>
      </c>
      <c r="V27" s="138">
        <v>0.95</v>
      </c>
      <c r="W27" s="138">
        <v>0.94289999999999996</v>
      </c>
      <c r="X27" s="138">
        <v>0.95450000000000002</v>
      </c>
      <c r="Y27" s="138">
        <v>0.95199999999999996</v>
      </c>
      <c r="Z27" s="138">
        <v>0.95</v>
      </c>
      <c r="AA27" s="138">
        <v>0.95</v>
      </c>
      <c r="AB27" s="138">
        <v>0.95</v>
      </c>
      <c r="AC27" s="138">
        <v>0.95830000000000004</v>
      </c>
      <c r="AD27" s="138">
        <v>0.95650000000000002</v>
      </c>
      <c r="AE27" s="138">
        <v>0.95589999999999997</v>
      </c>
      <c r="AF27" s="138">
        <v>0.9667</v>
      </c>
      <c r="AG27" s="138">
        <v>0.9667</v>
      </c>
    </row>
    <row r="28" spans="2:33" ht="15" customHeight="1" x14ac:dyDescent="0.25">
      <c r="B28" s="220"/>
      <c r="C28" s="108" t="s">
        <v>338</v>
      </c>
      <c r="D28" s="156"/>
      <c r="E28" s="156"/>
      <c r="F28" s="156"/>
      <c r="G28" s="156"/>
      <c r="H28" s="156">
        <v>0.05</v>
      </c>
      <c r="I28" s="156"/>
      <c r="J28" s="156">
        <v>0.05</v>
      </c>
      <c r="K28" s="156">
        <v>6.6699999999999995E-2</v>
      </c>
      <c r="L28" s="156"/>
      <c r="M28" s="156">
        <v>3.8899999999999997E-2</v>
      </c>
      <c r="N28" s="156">
        <v>0.05</v>
      </c>
      <c r="O28" s="156">
        <v>4.5499999999999999E-2</v>
      </c>
      <c r="P28" s="156">
        <v>6.0600000000000001E-2</v>
      </c>
      <c r="Q28" s="156">
        <v>3.6400000000000002E-2</v>
      </c>
      <c r="R28" s="156">
        <v>0.05</v>
      </c>
      <c r="S28" s="156">
        <v>3.3300000000000003E-2</v>
      </c>
      <c r="T28" s="156"/>
      <c r="U28" s="156">
        <v>6.6699999999999995E-2</v>
      </c>
      <c r="V28" s="156">
        <v>0.05</v>
      </c>
      <c r="W28" s="156">
        <v>5.7099999999999998E-2</v>
      </c>
      <c r="X28" s="156">
        <v>4.5499999999999999E-2</v>
      </c>
      <c r="Y28" s="156">
        <v>4.8000000000000001E-2</v>
      </c>
      <c r="Z28" s="156">
        <v>0.05</v>
      </c>
      <c r="AA28" s="156">
        <v>0.05</v>
      </c>
      <c r="AB28" s="156">
        <v>0.05</v>
      </c>
      <c r="AC28" s="156">
        <v>4.1700000000000001E-2</v>
      </c>
      <c r="AD28" s="156">
        <v>4.3499999999999997E-2</v>
      </c>
      <c r="AE28" s="156">
        <v>4.41E-2</v>
      </c>
      <c r="AF28" s="156">
        <v>3.3300000000000003E-2</v>
      </c>
      <c r="AG28" s="156">
        <v>3.3300000000000003E-2</v>
      </c>
    </row>
    <row r="29" spans="2:33" ht="15" customHeight="1" x14ac:dyDescent="0.25">
      <c r="B29" s="34" t="s">
        <v>7</v>
      </c>
      <c r="C29" s="34"/>
      <c r="D29" s="160">
        <v>5766</v>
      </c>
      <c r="E29" s="160">
        <v>5738</v>
      </c>
      <c r="F29" s="160">
        <v>5636</v>
      </c>
      <c r="G29" s="160">
        <v>5400</v>
      </c>
      <c r="H29" s="160">
        <v>5351</v>
      </c>
      <c r="I29" s="160">
        <v>5400</v>
      </c>
      <c r="J29" s="160">
        <v>5400</v>
      </c>
      <c r="K29" s="160">
        <v>5390</v>
      </c>
      <c r="L29" s="160">
        <v>5395</v>
      </c>
      <c r="M29" s="160">
        <v>5370</v>
      </c>
      <c r="N29" s="160">
        <v>5400</v>
      </c>
      <c r="O29" s="160">
        <v>5375</v>
      </c>
      <c r="P29" s="160">
        <v>0</v>
      </c>
      <c r="Q29" s="160">
        <v>0</v>
      </c>
      <c r="R29" s="160">
        <v>0</v>
      </c>
      <c r="S29" s="160">
        <v>0</v>
      </c>
      <c r="T29" s="160">
        <v>0</v>
      </c>
      <c r="U29" s="160">
        <v>0</v>
      </c>
      <c r="V29" s="160">
        <v>5400</v>
      </c>
      <c r="W29" s="160">
        <v>0</v>
      </c>
      <c r="X29" s="160"/>
      <c r="Y29" s="160">
        <v>5350</v>
      </c>
      <c r="Z29" s="160">
        <v>5350</v>
      </c>
      <c r="AA29" s="160">
        <v>5370</v>
      </c>
      <c r="AB29" s="160">
        <v>5400</v>
      </c>
      <c r="AC29" s="160">
        <v>5406</v>
      </c>
      <c r="AD29" s="160">
        <v>5420</v>
      </c>
      <c r="AE29" s="160">
        <v>5736</v>
      </c>
      <c r="AF29" s="160">
        <v>5432</v>
      </c>
      <c r="AG29" s="160">
        <v>5450</v>
      </c>
    </row>
    <row r="30" spans="2:33" ht="7.5" customHeight="1" thickBot="1" x14ac:dyDescent="0.3"/>
    <row r="31" spans="2:33" s="164" customFormat="1" ht="12.75" customHeight="1" thickBot="1" x14ac:dyDescent="0.3">
      <c r="B31" s="227" t="s">
        <v>1002</v>
      </c>
      <c r="C31" s="228"/>
      <c r="D31" s="163"/>
      <c r="E31" s="163"/>
      <c r="F31" s="163"/>
      <c r="G31" s="163">
        <v>77</v>
      </c>
      <c r="H31" s="163">
        <v>78.58391608391608</v>
      </c>
      <c r="I31" s="163">
        <v>77</v>
      </c>
      <c r="J31" s="163">
        <v>79.222566381726551</v>
      </c>
      <c r="K31" s="163">
        <v>78.679824561403606</v>
      </c>
      <c r="L31" s="163">
        <v>78.703083995688345</v>
      </c>
      <c r="M31" s="163">
        <v>79.255977496483851</v>
      </c>
      <c r="N31" s="163">
        <v>78.47969991142827</v>
      </c>
      <c r="O31" s="163">
        <v>78.319999999999993</v>
      </c>
      <c r="P31" s="163">
        <v>79.19</v>
      </c>
      <c r="Q31" s="163">
        <v>76.983979763912387</v>
      </c>
      <c r="R31" s="163">
        <v>77.441435341909354</v>
      </c>
      <c r="S31" s="163">
        <v>77.612687813022788</v>
      </c>
      <c r="T31" s="163">
        <v>77.742142857149659</v>
      </c>
      <c r="U31" s="163">
        <v>75.739999999999995</v>
      </c>
      <c r="V31" s="163">
        <v>77.39</v>
      </c>
      <c r="W31" s="163">
        <v>76.14162161469838</v>
      </c>
      <c r="X31" s="163">
        <v>76.857627118593143</v>
      </c>
      <c r="Y31" s="163">
        <v>78.113227893601845</v>
      </c>
      <c r="Z31" s="163">
        <v>77.415881561238265</v>
      </c>
      <c r="AA31" s="163">
        <v>77.015985790408592</v>
      </c>
      <c r="AB31" s="163">
        <v>77.912327846825718</v>
      </c>
      <c r="AC31" s="163">
        <v>77.119083969299311</v>
      </c>
      <c r="AD31" s="163">
        <v>77.83</v>
      </c>
      <c r="AE31" s="163">
        <v>77.530657729457459</v>
      </c>
      <c r="AF31" s="163">
        <v>76.562095951004792</v>
      </c>
      <c r="AG31" s="163">
        <v>77.631579004802262</v>
      </c>
    </row>
    <row r="32" spans="2:33" ht="12.75" customHeight="1" x14ac:dyDescent="0.25">
      <c r="B32" s="114"/>
    </row>
    <row r="33" spans="2:2" ht="12.75" customHeight="1" x14ac:dyDescent="0.25">
      <c r="B33" s="114"/>
    </row>
    <row r="34" spans="2:2" ht="12.75" customHeight="1" x14ac:dyDescent="0.25">
      <c r="B34" s="114"/>
    </row>
    <row r="35" spans="2:2" ht="12.75" customHeight="1" x14ac:dyDescent="0.25">
      <c r="B35" s="114"/>
    </row>
    <row r="36" spans="2:2" ht="12.75" customHeight="1" x14ac:dyDescent="0.25">
      <c r="B36" s="114"/>
    </row>
    <row r="37" spans="2:2" ht="12.75" customHeight="1" x14ac:dyDescent="0.25">
      <c r="B37" s="114"/>
    </row>
    <row r="38" spans="2:2" ht="12.75" customHeight="1" x14ac:dyDescent="0.25">
      <c r="B38" s="114"/>
    </row>
    <row r="39" spans="2:2" ht="12.75" customHeight="1" x14ac:dyDescent="0.25">
      <c r="B39" s="114"/>
    </row>
    <row r="40" spans="2:2" ht="12.75" customHeight="1" x14ac:dyDescent="0.25">
      <c r="B40" s="114"/>
    </row>
    <row r="41" spans="2:2" ht="12.75" customHeight="1" x14ac:dyDescent="0.25">
      <c r="B41" s="114"/>
    </row>
    <row r="42" spans="2:2" ht="12.75" customHeight="1" x14ac:dyDescent="0.25">
      <c r="B42" s="114"/>
    </row>
    <row r="43" spans="2:2" ht="12.75" customHeight="1" x14ac:dyDescent="0.25">
      <c r="B43" s="114"/>
    </row>
    <row r="44" spans="2:2" ht="12.75" customHeight="1" x14ac:dyDescent="0.25">
      <c r="B44" s="114"/>
    </row>
    <row r="45" spans="2:2" x14ac:dyDescent="0.25">
      <c r="B45" s="114"/>
    </row>
    <row r="46" spans="2:2" x14ac:dyDescent="0.25">
      <c r="B46" s="114"/>
    </row>
    <row r="47" spans="2:2" x14ac:dyDescent="0.25">
      <c r="B47" s="114"/>
    </row>
    <row r="48" spans="2:2" x14ac:dyDescent="0.25">
      <c r="B48" s="114"/>
    </row>
    <row r="49" spans="2:2" x14ac:dyDescent="0.25">
      <c r="B49" s="114"/>
    </row>
    <row r="50" spans="2:2" x14ac:dyDescent="0.25">
      <c r="B50" s="114"/>
    </row>
    <row r="51" spans="2:2" x14ac:dyDescent="0.25">
      <c r="B51" s="114"/>
    </row>
    <row r="52" spans="2:2" x14ac:dyDescent="0.25">
      <c r="B52" s="114"/>
    </row>
  </sheetData>
  <mergeCells count="9">
    <mergeCell ref="B23:B25"/>
    <mergeCell ref="B26:B28"/>
    <mergeCell ref="B31:C31"/>
    <mergeCell ref="B3:B5"/>
    <mergeCell ref="B6:B8"/>
    <mergeCell ref="B9:B11"/>
    <mergeCell ref="B12:B14"/>
    <mergeCell ref="B17:B19"/>
    <mergeCell ref="B20:B22"/>
  </mergeCells>
  <pageMargins left="0.7" right="0.7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B01C3-0486-45CB-ABA1-231803C662F8}">
  <dimension ref="B1:AH52"/>
  <sheetViews>
    <sheetView topLeftCell="A13" zoomScale="90" zoomScaleNormal="90" workbookViewId="0">
      <pane xSplit="3" topLeftCell="Y1" activePane="topRight" state="frozen"/>
      <selection pane="topRight" activeCell="AE35" sqref="AE35"/>
    </sheetView>
  </sheetViews>
  <sheetFormatPr defaultRowHeight="15" x14ac:dyDescent="0.25"/>
  <cols>
    <col min="3" max="3" width="28.140625" customWidth="1"/>
    <col min="4" max="34" width="10.7109375" customWidth="1"/>
  </cols>
  <sheetData>
    <row r="1" spans="2:34" ht="6" customHeight="1" thickBot="1" x14ac:dyDescent="0.3"/>
    <row r="2" spans="2:34" ht="15" customHeight="1" thickBot="1" x14ac:dyDescent="0.3">
      <c r="B2" s="94" t="s">
        <v>964</v>
      </c>
      <c r="C2" s="96" t="s">
        <v>961</v>
      </c>
      <c r="D2" s="97" t="str">
        <f t="shared" ref="D2:E2" si="0">D16</f>
        <v>01.12.2025</v>
      </c>
      <c r="E2" s="97" t="str">
        <f t="shared" si="0"/>
        <v>02.12.2025</v>
      </c>
      <c r="F2" s="97" t="str">
        <f t="shared" ref="F2" si="1">F16</f>
        <v>03.12.2025</v>
      </c>
      <c r="G2" s="97" t="s">
        <v>1431</v>
      </c>
      <c r="H2" s="97" t="s">
        <v>1432</v>
      </c>
      <c r="I2" s="97" t="s">
        <v>1433</v>
      </c>
      <c r="J2" s="97" t="s">
        <v>1434</v>
      </c>
      <c r="K2" s="97" t="s">
        <v>1435</v>
      </c>
      <c r="L2" s="97" t="s">
        <v>1436</v>
      </c>
      <c r="M2" s="97" t="s">
        <v>1437</v>
      </c>
      <c r="N2" s="97" t="s">
        <v>1438</v>
      </c>
      <c r="O2" s="97" t="s">
        <v>1439</v>
      </c>
      <c r="P2" s="97" t="s">
        <v>1440</v>
      </c>
      <c r="Q2" s="97" t="s">
        <v>1441</v>
      </c>
      <c r="R2" s="97" t="s">
        <v>1442</v>
      </c>
      <c r="S2" s="97" t="s">
        <v>1443</v>
      </c>
      <c r="T2" s="97" t="s">
        <v>1444</v>
      </c>
      <c r="U2" s="97" t="s">
        <v>1445</v>
      </c>
      <c r="V2" s="97" t="s">
        <v>1446</v>
      </c>
      <c r="W2" s="97" t="s">
        <v>1447</v>
      </c>
      <c r="X2" s="97" t="s">
        <v>1448</v>
      </c>
      <c r="Y2" s="97" t="s">
        <v>1449</v>
      </c>
      <c r="Z2" s="97" t="s">
        <v>1450</v>
      </c>
      <c r="AA2" s="97" t="s">
        <v>1451</v>
      </c>
      <c r="AB2" s="97" t="s">
        <v>1452</v>
      </c>
      <c r="AC2" s="97" t="s">
        <v>1453</v>
      </c>
      <c r="AD2" s="97" t="s">
        <v>1454</v>
      </c>
      <c r="AE2" s="97" t="s">
        <v>1455</v>
      </c>
      <c r="AF2" s="97" t="s">
        <v>1456</v>
      </c>
      <c r="AG2" s="97" t="s">
        <v>1457</v>
      </c>
      <c r="AH2" s="97" t="s">
        <v>1458</v>
      </c>
    </row>
    <row r="3" spans="2:34" ht="15" customHeight="1" x14ac:dyDescent="0.25">
      <c r="B3" s="206" t="s">
        <v>958</v>
      </c>
      <c r="C3" s="116" t="s">
        <v>957</v>
      </c>
      <c r="D3" s="117">
        <v>0.16500000000000001</v>
      </c>
      <c r="E3" s="117">
        <v>0.17</v>
      </c>
      <c r="F3" s="117">
        <v>0.17</v>
      </c>
      <c r="G3" s="117">
        <v>0.17385</v>
      </c>
      <c r="H3" s="117">
        <v>0.17945</v>
      </c>
      <c r="I3" s="117">
        <v>0.17088</v>
      </c>
      <c r="J3" s="117">
        <v>0.17122999999999999</v>
      </c>
      <c r="K3" s="117">
        <v>0.17355999999999999</v>
      </c>
      <c r="L3" s="117">
        <v>0.17</v>
      </c>
      <c r="M3" s="117">
        <v>0.17979999999999999</v>
      </c>
      <c r="N3" s="117">
        <v>0.17401</v>
      </c>
      <c r="O3" s="117">
        <v>0.17007</v>
      </c>
      <c r="P3" s="117">
        <v>0.17449000000000001</v>
      </c>
      <c r="Q3" s="117">
        <v>0.17049</v>
      </c>
      <c r="R3" s="117">
        <v>0.17873</v>
      </c>
      <c r="S3" s="117">
        <v>0.17032</v>
      </c>
      <c r="T3" s="117">
        <v>0.16986999999999999</v>
      </c>
      <c r="U3" s="117">
        <v>0.17019000000000001</v>
      </c>
      <c r="V3" s="117">
        <v>0.17319999999999999</v>
      </c>
      <c r="W3" s="117">
        <v>0.16556999999999999</v>
      </c>
      <c r="X3" s="117">
        <v>0.16689000000000001</v>
      </c>
      <c r="Y3" s="117">
        <v>0.16064999999999999</v>
      </c>
      <c r="Z3" s="117">
        <v>0.16753000000000001</v>
      </c>
      <c r="AA3" s="117">
        <v>0.15956999999999999</v>
      </c>
      <c r="AB3" s="117">
        <v>0.16067000000000001</v>
      </c>
      <c r="AC3" s="117">
        <v>0.16045999999999999</v>
      </c>
      <c r="AD3" s="117">
        <v>0.17</v>
      </c>
      <c r="AE3" s="117">
        <v>0.16200000000000001</v>
      </c>
      <c r="AF3" s="117">
        <v>0.16</v>
      </c>
      <c r="AG3" s="117">
        <v>0.16</v>
      </c>
      <c r="AH3" s="117">
        <v>0.15659999999999999</v>
      </c>
    </row>
    <row r="4" spans="2:34" ht="15" customHeight="1" x14ac:dyDescent="0.25">
      <c r="B4" s="207"/>
      <c r="C4" s="118" t="s">
        <v>339</v>
      </c>
      <c r="D4" s="84">
        <v>0.78500000000000003</v>
      </c>
      <c r="E4" s="84">
        <v>0.78</v>
      </c>
      <c r="F4" s="84">
        <v>0.78</v>
      </c>
      <c r="G4" s="84">
        <v>0.77537999999999996</v>
      </c>
      <c r="H4" s="84">
        <v>0.76644000000000001</v>
      </c>
      <c r="I4" s="84">
        <v>0.77859</v>
      </c>
      <c r="J4" s="84">
        <v>0.77876999999999996</v>
      </c>
      <c r="K4" s="84">
        <v>0.77595999999999998</v>
      </c>
      <c r="L4" s="84">
        <v>0.78</v>
      </c>
      <c r="M4" s="84">
        <v>0.77002999999999999</v>
      </c>
      <c r="N4" s="84">
        <v>0.77583000000000002</v>
      </c>
      <c r="O4" s="84">
        <v>0.77975000000000005</v>
      </c>
      <c r="P4" s="84">
        <v>0.77368999999999999</v>
      </c>
      <c r="Q4" s="84">
        <v>0.77902000000000005</v>
      </c>
      <c r="R4" s="84">
        <v>0.77105000000000001</v>
      </c>
      <c r="S4" s="84">
        <v>0.77805999999999997</v>
      </c>
      <c r="T4" s="84">
        <v>0.78036000000000005</v>
      </c>
      <c r="U4" s="84">
        <v>0.78173000000000004</v>
      </c>
      <c r="V4" s="84">
        <v>0.77581999999999995</v>
      </c>
      <c r="W4" s="84">
        <v>0.79325000000000001</v>
      </c>
      <c r="X4" s="84">
        <v>0.78146000000000004</v>
      </c>
      <c r="Y4" s="84">
        <v>0.79100999999999999</v>
      </c>
      <c r="Z4" s="84">
        <v>0.78212000000000004</v>
      </c>
      <c r="AA4" s="84">
        <v>0.79274</v>
      </c>
      <c r="AB4" s="84">
        <v>0.78988999999999998</v>
      </c>
      <c r="AC4" s="84">
        <v>0.78939999999999999</v>
      </c>
      <c r="AD4" s="84">
        <v>0.78</v>
      </c>
      <c r="AE4" s="84">
        <v>0.78800000000000003</v>
      </c>
      <c r="AF4" s="84">
        <v>0.79</v>
      </c>
      <c r="AG4" s="84">
        <v>0.79</v>
      </c>
      <c r="AH4" s="84">
        <v>0.79339999999999999</v>
      </c>
    </row>
    <row r="5" spans="2:34" ht="15" customHeight="1" thickBot="1" x14ac:dyDescent="0.3">
      <c r="B5" s="208"/>
      <c r="C5" s="118" t="s">
        <v>338</v>
      </c>
      <c r="D5" s="84">
        <v>0.05</v>
      </c>
      <c r="E5" s="84">
        <v>0.05</v>
      </c>
      <c r="F5" s="84">
        <v>0.05</v>
      </c>
      <c r="G5" s="84">
        <v>5.0770000000000003E-2</v>
      </c>
      <c r="H5" s="84">
        <v>5.4109999999999998E-2</v>
      </c>
      <c r="I5" s="84">
        <v>5.0529999999999999E-2</v>
      </c>
      <c r="J5" s="84">
        <v>0.05</v>
      </c>
      <c r="K5" s="84">
        <v>5.0479999999999997E-2</v>
      </c>
      <c r="L5" s="84">
        <v>0.05</v>
      </c>
      <c r="M5" s="84">
        <v>5.0160000000000003E-2</v>
      </c>
      <c r="N5" s="84">
        <v>5.0169999999999999E-2</v>
      </c>
      <c r="O5" s="84">
        <v>5.0180000000000002E-2</v>
      </c>
      <c r="P5" s="84">
        <v>5.1830000000000001E-2</v>
      </c>
      <c r="Q5" s="84">
        <v>5.049E-2</v>
      </c>
      <c r="R5" s="84">
        <v>5.0220000000000001E-2</v>
      </c>
      <c r="S5" s="84">
        <v>5.1610000000000003E-2</v>
      </c>
      <c r="T5" s="84">
        <v>4.9770000000000002E-2</v>
      </c>
      <c r="U5" s="84">
        <v>4.8079999999999998E-2</v>
      </c>
      <c r="V5" s="84">
        <v>5.0979999999999998E-2</v>
      </c>
      <c r="W5" s="84">
        <v>4.1189999999999997E-2</v>
      </c>
      <c r="X5" s="84">
        <v>5.1659999999999998E-2</v>
      </c>
      <c r="Y5" s="84">
        <v>4.8329999999999998E-2</v>
      </c>
      <c r="Z5" s="84">
        <v>5.0349999999999999E-2</v>
      </c>
      <c r="AA5" s="84">
        <v>4.7690000000000003E-2</v>
      </c>
      <c r="AB5" s="84">
        <v>4.9439999999999998E-2</v>
      </c>
      <c r="AC5" s="84">
        <v>5.0139999999999997E-2</v>
      </c>
      <c r="AD5" s="84">
        <v>0.05</v>
      </c>
      <c r="AE5" s="84">
        <v>0.05</v>
      </c>
      <c r="AF5" s="84">
        <v>0.05</v>
      </c>
      <c r="AG5" s="84">
        <v>0.05</v>
      </c>
      <c r="AH5" s="84">
        <v>0.05</v>
      </c>
    </row>
    <row r="6" spans="2:34" ht="15" customHeight="1" x14ac:dyDescent="0.25">
      <c r="B6" s="209" t="s">
        <v>959</v>
      </c>
      <c r="C6" s="119" t="s">
        <v>957</v>
      </c>
      <c r="D6" s="86">
        <v>0.25</v>
      </c>
      <c r="E6" s="86">
        <v>0.17</v>
      </c>
      <c r="F6" s="86">
        <v>0.18459999999999999</v>
      </c>
      <c r="G6" s="86">
        <v>0.16922999999999999</v>
      </c>
      <c r="H6" s="86">
        <v>0.18268999999999999</v>
      </c>
      <c r="I6" s="86"/>
      <c r="J6" s="86"/>
      <c r="K6" s="86"/>
      <c r="L6" s="86">
        <v>0.19753000000000001</v>
      </c>
      <c r="M6" s="86"/>
      <c r="N6" s="86"/>
      <c r="O6" s="86"/>
      <c r="P6" s="86"/>
      <c r="Q6" s="86"/>
      <c r="R6" s="86">
        <v>0.18</v>
      </c>
      <c r="S6" s="86"/>
      <c r="T6" s="86"/>
      <c r="U6" s="86">
        <v>0.16922999999999999</v>
      </c>
      <c r="V6" s="86"/>
      <c r="W6" s="86"/>
      <c r="X6" s="86"/>
      <c r="Y6" s="86"/>
      <c r="Z6" s="86"/>
      <c r="AA6" s="86">
        <v>0.16153999999999999</v>
      </c>
      <c r="AB6" s="86">
        <v>0.17813000000000001</v>
      </c>
      <c r="AC6" s="86"/>
      <c r="AD6" s="86"/>
      <c r="AE6" s="86"/>
      <c r="AF6" s="86"/>
      <c r="AG6" s="86"/>
      <c r="AH6" s="86"/>
    </row>
    <row r="7" spans="2:34" ht="15" customHeight="1" x14ac:dyDescent="0.25">
      <c r="B7" s="210"/>
      <c r="C7" s="120" t="s">
        <v>339</v>
      </c>
      <c r="D7" s="86">
        <v>0.7</v>
      </c>
      <c r="E7" s="86">
        <v>0.78</v>
      </c>
      <c r="F7" s="86">
        <v>0.76929999999999998</v>
      </c>
      <c r="G7" s="86">
        <v>0.78461999999999998</v>
      </c>
      <c r="H7" s="86">
        <v>0.76922999999999997</v>
      </c>
      <c r="I7" s="86"/>
      <c r="J7" s="86"/>
      <c r="K7" s="86"/>
      <c r="L7" s="86">
        <v>0.75146000000000002</v>
      </c>
      <c r="M7" s="86"/>
      <c r="N7" s="86"/>
      <c r="O7" s="86"/>
      <c r="P7" s="86"/>
      <c r="Q7" s="86"/>
      <c r="R7" s="86">
        <v>0.77</v>
      </c>
      <c r="S7" s="86"/>
      <c r="T7" s="86"/>
      <c r="U7" s="86">
        <v>0.78461999999999998</v>
      </c>
      <c r="V7" s="86"/>
      <c r="W7" s="86"/>
      <c r="X7" s="86"/>
      <c r="Y7" s="86"/>
      <c r="Z7" s="86"/>
      <c r="AA7" s="86">
        <v>0.79230999999999996</v>
      </c>
      <c r="AB7" s="86">
        <v>0.77188000000000001</v>
      </c>
      <c r="AC7" s="86"/>
      <c r="AD7" s="86"/>
      <c r="AE7" s="86"/>
      <c r="AF7" s="86"/>
      <c r="AG7" s="86"/>
      <c r="AH7" s="86"/>
    </row>
    <row r="8" spans="2:34" ht="15" customHeight="1" thickBot="1" x14ac:dyDescent="0.3">
      <c r="B8" s="211"/>
      <c r="C8" s="120" t="s">
        <v>338</v>
      </c>
      <c r="D8" s="86">
        <v>0.05</v>
      </c>
      <c r="E8" s="86">
        <v>0.05</v>
      </c>
      <c r="F8" s="86">
        <v>4.6100000000000002E-2</v>
      </c>
      <c r="G8" s="86">
        <v>4.6149999999999997E-2</v>
      </c>
      <c r="H8" s="86">
        <v>4.8079999999999998E-2</v>
      </c>
      <c r="I8" s="86"/>
      <c r="J8" s="86"/>
      <c r="K8" s="86"/>
      <c r="L8" s="86">
        <v>5.101E-2</v>
      </c>
      <c r="M8" s="86"/>
      <c r="N8" s="86"/>
      <c r="O8" s="86"/>
      <c r="P8" s="86"/>
      <c r="Q8" s="86"/>
      <c r="R8" s="86">
        <v>0.05</v>
      </c>
      <c r="S8" s="86"/>
      <c r="T8" s="86"/>
      <c r="U8" s="86">
        <v>4.6149999999999997E-2</v>
      </c>
      <c r="V8" s="86"/>
      <c r="W8" s="86"/>
      <c r="X8" s="86"/>
      <c r="Y8" s="86"/>
      <c r="Z8" s="86"/>
      <c r="AA8" s="86">
        <v>4.6149999999999997E-2</v>
      </c>
      <c r="AB8" s="86">
        <v>0.05</v>
      </c>
      <c r="AC8" s="86"/>
      <c r="AD8" s="86"/>
      <c r="AE8" s="86"/>
      <c r="AF8" s="86"/>
      <c r="AG8" s="86"/>
      <c r="AH8" s="86"/>
    </row>
    <row r="9" spans="2:34" ht="15" customHeight="1" x14ac:dyDescent="0.25">
      <c r="B9" s="215" t="s">
        <v>960</v>
      </c>
      <c r="C9" s="121" t="s">
        <v>957</v>
      </c>
      <c r="D9" s="135">
        <v>0.26</v>
      </c>
      <c r="E9" s="135"/>
      <c r="F9" s="135"/>
      <c r="G9" s="135">
        <v>0.26411000000000001</v>
      </c>
      <c r="H9" s="135">
        <v>0.28461999999999998</v>
      </c>
      <c r="I9" s="135"/>
      <c r="J9" s="135"/>
      <c r="K9" s="135"/>
      <c r="L9" s="135">
        <v>0.27</v>
      </c>
      <c r="M9" s="135"/>
      <c r="N9" s="135"/>
      <c r="O9" s="135"/>
      <c r="P9" s="135"/>
      <c r="Q9" s="135"/>
      <c r="R9" s="135"/>
      <c r="S9" s="135"/>
      <c r="T9" s="135"/>
      <c r="U9" s="135">
        <v>0.18973999999999999</v>
      </c>
      <c r="V9" s="135"/>
      <c r="W9" s="135">
        <v>0.29854999999999998</v>
      </c>
      <c r="X9" s="135"/>
      <c r="Y9" s="135"/>
      <c r="Z9" s="135"/>
      <c r="AA9" s="135"/>
      <c r="AB9" s="135"/>
      <c r="AC9" s="135"/>
      <c r="AD9" s="135"/>
      <c r="AE9" s="135"/>
      <c r="AF9" s="135"/>
      <c r="AG9" s="135"/>
      <c r="AH9" s="135"/>
    </row>
    <row r="10" spans="2:34" ht="15" customHeight="1" x14ac:dyDescent="0.25">
      <c r="B10" s="216"/>
      <c r="C10" s="123" t="s">
        <v>339</v>
      </c>
      <c r="D10" s="134">
        <v>0.69</v>
      </c>
      <c r="E10" s="134"/>
      <c r="F10" s="134"/>
      <c r="G10" s="134">
        <v>0.68879000000000001</v>
      </c>
      <c r="H10" s="134">
        <v>0.66154000000000002</v>
      </c>
      <c r="I10" s="134"/>
      <c r="J10" s="134"/>
      <c r="K10" s="134"/>
      <c r="L10" s="134">
        <v>0.68</v>
      </c>
      <c r="M10" s="134"/>
      <c r="N10" s="134"/>
      <c r="O10" s="134"/>
      <c r="P10" s="134"/>
      <c r="Q10" s="134"/>
      <c r="R10" s="134"/>
      <c r="S10" s="134"/>
      <c r="T10" s="134"/>
      <c r="U10" s="134">
        <v>0.75897000000000003</v>
      </c>
      <c r="V10" s="134"/>
      <c r="W10" s="134">
        <v>0.65217000000000003</v>
      </c>
      <c r="X10" s="134"/>
      <c r="Y10" s="134"/>
      <c r="Z10" s="134"/>
      <c r="AA10" s="134"/>
      <c r="AB10" s="134"/>
      <c r="AC10" s="134"/>
      <c r="AD10" s="134"/>
      <c r="AE10" s="134"/>
      <c r="AF10" s="134"/>
      <c r="AG10" s="134"/>
      <c r="AH10" s="134"/>
    </row>
    <row r="11" spans="2:34" ht="15" customHeight="1" thickBot="1" x14ac:dyDescent="0.3">
      <c r="B11" s="221"/>
      <c r="C11" s="125" t="s">
        <v>338</v>
      </c>
      <c r="D11" s="136">
        <v>0.05</v>
      </c>
      <c r="E11" s="136"/>
      <c r="F11" s="136"/>
      <c r="G11" s="136">
        <v>4.7100000000000003E-2</v>
      </c>
      <c r="H11" s="136">
        <v>5.3850000000000002E-2</v>
      </c>
      <c r="I11" s="136"/>
      <c r="J11" s="136"/>
      <c r="K11" s="136"/>
      <c r="L11" s="136">
        <v>0.05</v>
      </c>
      <c r="M11" s="136"/>
      <c r="N11" s="136"/>
      <c r="O11" s="136"/>
      <c r="P11" s="136"/>
      <c r="Q11" s="136"/>
      <c r="R11" s="136"/>
      <c r="S11" s="136"/>
      <c r="T11" s="136"/>
      <c r="U11" s="136">
        <v>5.1279999999999999E-2</v>
      </c>
      <c r="V11" s="136"/>
      <c r="W11" s="136">
        <v>4.9279999999999997E-2</v>
      </c>
      <c r="X11" s="136"/>
      <c r="Y11" s="136"/>
      <c r="Z11" s="136"/>
      <c r="AA11" s="136"/>
      <c r="AB11" s="136"/>
      <c r="AC11" s="136"/>
      <c r="AD11" s="136"/>
      <c r="AE11" s="136"/>
      <c r="AF11" s="136"/>
      <c r="AG11" s="136"/>
      <c r="AH11" s="136"/>
    </row>
    <row r="12" spans="2:34" ht="15" customHeight="1" x14ac:dyDescent="0.25">
      <c r="B12" s="222" t="s">
        <v>1086</v>
      </c>
      <c r="C12" s="151" t="s">
        <v>957</v>
      </c>
      <c r="D12" s="152"/>
      <c r="E12" s="152"/>
      <c r="F12" s="152"/>
      <c r="G12" s="152"/>
      <c r="H12" s="152">
        <v>0</v>
      </c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2"/>
      <c r="U12" s="152"/>
      <c r="V12" s="152"/>
      <c r="W12" s="152"/>
      <c r="X12" s="152"/>
      <c r="Y12" s="152"/>
      <c r="Z12" s="152"/>
      <c r="AA12" s="152"/>
      <c r="AB12" s="152"/>
      <c r="AC12" s="152"/>
      <c r="AD12" s="152"/>
      <c r="AE12" s="152"/>
      <c r="AF12" s="152"/>
      <c r="AG12" s="152"/>
      <c r="AH12" s="152"/>
    </row>
    <row r="13" spans="2:34" ht="15" customHeight="1" x14ac:dyDescent="0.25">
      <c r="B13" s="223"/>
      <c r="C13" s="90" t="s">
        <v>339</v>
      </c>
      <c r="D13" s="149"/>
      <c r="E13" s="149"/>
      <c r="F13" s="149"/>
      <c r="G13" s="149"/>
      <c r="H13" s="149">
        <v>0.95</v>
      </c>
      <c r="I13" s="149"/>
      <c r="J13" s="149"/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  <c r="AC13" s="149"/>
      <c r="AD13" s="149"/>
      <c r="AE13" s="149"/>
      <c r="AF13" s="149"/>
      <c r="AG13" s="149"/>
      <c r="AH13" s="149"/>
    </row>
    <row r="14" spans="2:34" ht="15" customHeight="1" thickBot="1" x14ac:dyDescent="0.3">
      <c r="B14" s="224"/>
      <c r="C14" s="92" t="s">
        <v>338</v>
      </c>
      <c r="D14" s="150"/>
      <c r="E14" s="150"/>
      <c r="F14" s="150"/>
      <c r="G14" s="150"/>
      <c r="H14" s="150">
        <v>0.05</v>
      </c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150"/>
      <c r="T14" s="150"/>
      <c r="U14" s="150"/>
      <c r="V14" s="150"/>
      <c r="W14" s="150"/>
      <c r="X14" s="150"/>
      <c r="Y14" s="150"/>
      <c r="Z14" s="150"/>
      <c r="AA14" s="150"/>
      <c r="AB14" s="150"/>
      <c r="AC14" s="150"/>
      <c r="AD14" s="150"/>
      <c r="AE14" s="150"/>
      <c r="AF14" s="150"/>
      <c r="AG14" s="150"/>
      <c r="AH14" s="150"/>
    </row>
    <row r="15" spans="2:34" ht="6.75" customHeight="1" thickBot="1" x14ac:dyDescent="0.3"/>
    <row r="16" spans="2:34" ht="15" customHeight="1" thickBot="1" x14ac:dyDescent="0.3">
      <c r="B16" s="95" t="s">
        <v>964</v>
      </c>
      <c r="C16" s="94" t="s">
        <v>963</v>
      </c>
      <c r="D16" s="94" t="s">
        <v>1428</v>
      </c>
      <c r="E16" s="94" t="s">
        <v>1429</v>
      </c>
      <c r="F16" s="94" t="s">
        <v>1430</v>
      </c>
      <c r="G16" s="94" t="str">
        <f t="shared" ref="G16:L16" si="2">G2</f>
        <v>04.12.2025</v>
      </c>
      <c r="H16" s="94" t="str">
        <f t="shared" si="2"/>
        <v>05.12.2025</v>
      </c>
      <c r="I16" s="94" t="str">
        <f t="shared" si="2"/>
        <v>06.12.2025</v>
      </c>
      <c r="J16" s="94" t="str">
        <f t="shared" si="2"/>
        <v>07.12.2025</v>
      </c>
      <c r="K16" s="94" t="str">
        <f t="shared" si="2"/>
        <v>08.12.2025</v>
      </c>
      <c r="L16" s="94" t="str">
        <f t="shared" si="2"/>
        <v>09.12.2025</v>
      </c>
      <c r="M16" s="94" t="str">
        <f t="shared" ref="M16:N16" si="3">M2</f>
        <v>10.12.2025</v>
      </c>
      <c r="N16" s="94" t="str">
        <f t="shared" si="3"/>
        <v>11.12.2025</v>
      </c>
      <c r="O16" s="94" t="str">
        <f t="shared" ref="O16:P16" si="4">O2</f>
        <v>12.12.2025</v>
      </c>
      <c r="P16" s="94" t="str">
        <f t="shared" si="4"/>
        <v>13.12.2025</v>
      </c>
      <c r="Q16" s="94" t="str">
        <f t="shared" ref="Q16:R16" si="5">Q2</f>
        <v>14.12.2025</v>
      </c>
      <c r="R16" s="94" t="str">
        <f t="shared" si="5"/>
        <v>15.12.2025</v>
      </c>
      <c r="S16" s="94" t="str">
        <f t="shared" ref="S16:T16" si="6">S2</f>
        <v>16.12.2025</v>
      </c>
      <c r="T16" s="94" t="str">
        <f t="shared" si="6"/>
        <v>17.12.2025</v>
      </c>
      <c r="U16" s="94" t="str">
        <f t="shared" ref="U16:V16" si="7">U2</f>
        <v>18.12.2025</v>
      </c>
      <c r="V16" s="94" t="str">
        <f t="shared" si="7"/>
        <v>19.12.2025</v>
      </c>
      <c r="W16" s="94" t="str">
        <f t="shared" ref="W16:X16" si="8">W2</f>
        <v>20.12.2025</v>
      </c>
      <c r="X16" s="94" t="str">
        <f t="shared" si="8"/>
        <v>21.12.2025</v>
      </c>
      <c r="Y16" s="94" t="str">
        <f t="shared" ref="Y16:Z16" si="9">Y2</f>
        <v>22.12.2025</v>
      </c>
      <c r="Z16" s="94" t="str">
        <f t="shared" si="9"/>
        <v>23.12.2025</v>
      </c>
      <c r="AA16" s="94" t="str">
        <f t="shared" ref="AA16:AB16" si="10">AA2</f>
        <v>24.12.2025</v>
      </c>
      <c r="AB16" s="94" t="str">
        <f t="shared" si="10"/>
        <v>25.12.2025</v>
      </c>
      <c r="AC16" s="94" t="str">
        <f t="shared" ref="AC16:AD16" si="11">AC2</f>
        <v>26.12.2025</v>
      </c>
      <c r="AD16" s="94" t="str">
        <f t="shared" si="11"/>
        <v>27.12.2025</v>
      </c>
      <c r="AE16" s="94" t="str">
        <f t="shared" ref="AE16:AF16" si="12">AE2</f>
        <v>28.12.2025</v>
      </c>
      <c r="AF16" s="94" t="str">
        <f t="shared" si="12"/>
        <v>29.12.2025</v>
      </c>
      <c r="AG16" s="94" t="str">
        <f t="shared" ref="AG16:AH16" si="13">AG2</f>
        <v>30.12.2025</v>
      </c>
      <c r="AH16" s="94" t="str">
        <f t="shared" si="13"/>
        <v>31.12.2025</v>
      </c>
    </row>
    <row r="17" spans="2:34" ht="15" customHeight="1" x14ac:dyDescent="0.25">
      <c r="B17" s="206" t="s">
        <v>958</v>
      </c>
      <c r="C17" s="81" t="s">
        <v>957</v>
      </c>
      <c r="D17" s="117">
        <v>0.17</v>
      </c>
      <c r="E17" s="117"/>
      <c r="F17" s="117">
        <v>0.17</v>
      </c>
      <c r="G17" s="117"/>
      <c r="H17" s="117">
        <v>0.17499999999999999</v>
      </c>
      <c r="I17" s="117">
        <v>0.17202000000000001</v>
      </c>
      <c r="J17" s="117">
        <v>0.17197000000000001</v>
      </c>
      <c r="K17" s="117">
        <v>0.17175000000000001</v>
      </c>
      <c r="L17" s="117">
        <v>0.17352000000000001</v>
      </c>
      <c r="M17" s="117"/>
      <c r="N17" s="117">
        <v>0.18</v>
      </c>
      <c r="O17" s="117">
        <v>0.18</v>
      </c>
      <c r="P17" s="117">
        <v>0.17018</v>
      </c>
      <c r="Q17" s="117">
        <v>0.17</v>
      </c>
      <c r="R17" s="117">
        <v>0.17036999999999999</v>
      </c>
      <c r="S17" s="117">
        <v>0.18013000000000001</v>
      </c>
      <c r="T17" s="117">
        <v>0.17044999999999999</v>
      </c>
      <c r="U17" s="117">
        <v>0.17</v>
      </c>
      <c r="V17" s="117">
        <v>0.17935999999999999</v>
      </c>
      <c r="W17" s="117">
        <v>0.18076999999999999</v>
      </c>
      <c r="X17" s="117">
        <v>0.16667000000000001</v>
      </c>
      <c r="Y17" s="117">
        <v>0.15970000000000001</v>
      </c>
      <c r="Z17" s="117">
        <v>0.1605</v>
      </c>
      <c r="AA17" s="117">
        <v>0.13114999999999999</v>
      </c>
      <c r="AB17" s="117">
        <v>0.15848999999999999</v>
      </c>
      <c r="AC17" s="117">
        <v>0.16053000000000001</v>
      </c>
      <c r="AD17" s="117">
        <v>0.17</v>
      </c>
      <c r="AE17" s="117">
        <v>0.17</v>
      </c>
      <c r="AF17" s="117">
        <v>0.16</v>
      </c>
      <c r="AG17" s="117">
        <v>0.16</v>
      </c>
      <c r="AH17" s="117">
        <v>0.16</v>
      </c>
    </row>
    <row r="18" spans="2:34" ht="15" customHeight="1" x14ac:dyDescent="0.25">
      <c r="B18" s="207"/>
      <c r="C18" s="83" t="s">
        <v>339</v>
      </c>
      <c r="D18" s="84">
        <v>0.78</v>
      </c>
      <c r="E18" s="84"/>
      <c r="F18" s="84">
        <v>0.78</v>
      </c>
      <c r="G18" s="84"/>
      <c r="H18" s="84">
        <v>0.77249999999999996</v>
      </c>
      <c r="I18" s="84">
        <v>0.77737999999999996</v>
      </c>
      <c r="J18" s="84">
        <v>0.77707000000000004</v>
      </c>
      <c r="K18" s="84">
        <v>0.77795999999999998</v>
      </c>
      <c r="L18" s="84">
        <v>0.77630999999999994</v>
      </c>
      <c r="M18" s="84"/>
      <c r="N18" s="84">
        <v>0.76500000000000001</v>
      </c>
      <c r="O18" s="84">
        <v>0.77</v>
      </c>
      <c r="P18" s="84">
        <v>0.77795999999999998</v>
      </c>
      <c r="Q18" s="84">
        <v>0.78</v>
      </c>
      <c r="R18" s="84">
        <v>0.77531000000000005</v>
      </c>
      <c r="S18" s="84">
        <v>0.76954</v>
      </c>
      <c r="T18" s="84">
        <v>0.77954999999999997</v>
      </c>
      <c r="U18" s="84">
        <v>0.77544999999999997</v>
      </c>
      <c r="V18" s="84">
        <v>0.76988000000000001</v>
      </c>
      <c r="W18" s="84">
        <v>0.76922999999999997</v>
      </c>
      <c r="X18" s="84">
        <v>0.78332999999999997</v>
      </c>
      <c r="Y18" s="84">
        <v>0.78954999999999997</v>
      </c>
      <c r="Z18" s="84">
        <v>0.78908</v>
      </c>
      <c r="AA18" s="84">
        <v>0.82513999999999998</v>
      </c>
      <c r="AB18" s="84">
        <v>0.79103999999999997</v>
      </c>
      <c r="AC18" s="84">
        <v>0.78947000000000001</v>
      </c>
      <c r="AD18" s="84">
        <v>0.78</v>
      </c>
      <c r="AE18" s="84">
        <v>0.78</v>
      </c>
      <c r="AF18" s="84">
        <v>0.79</v>
      </c>
      <c r="AG18" s="84">
        <v>0.79</v>
      </c>
      <c r="AH18" s="84">
        <v>0.79</v>
      </c>
    </row>
    <row r="19" spans="2:34" ht="15" customHeight="1" thickBot="1" x14ac:dyDescent="0.3">
      <c r="B19" s="208"/>
      <c r="C19" s="83" t="s">
        <v>338</v>
      </c>
      <c r="D19" s="84">
        <v>0.05</v>
      </c>
      <c r="E19" s="84"/>
      <c r="F19" s="84">
        <v>0.05</v>
      </c>
      <c r="G19" s="84"/>
      <c r="H19" s="84">
        <v>5.2499999999999998E-2</v>
      </c>
      <c r="I19" s="84">
        <v>5.0599999999999999E-2</v>
      </c>
      <c r="J19" s="84">
        <v>5.0959999999999998E-2</v>
      </c>
      <c r="K19" s="84">
        <v>5.0290000000000001E-2</v>
      </c>
      <c r="L19" s="84">
        <v>5.0169999999999999E-2</v>
      </c>
      <c r="M19" s="84"/>
      <c r="N19" s="84">
        <v>5.5E-2</v>
      </c>
      <c r="O19" s="84">
        <v>0.05</v>
      </c>
      <c r="P19" s="84">
        <v>5.1860000000000003E-2</v>
      </c>
      <c r="Q19" s="84">
        <v>0.05</v>
      </c>
      <c r="R19" s="84">
        <v>5.432E-2</v>
      </c>
      <c r="S19" s="84">
        <v>5.033E-2</v>
      </c>
      <c r="T19" s="84">
        <v>0.05</v>
      </c>
      <c r="U19" s="84">
        <v>5.4550000000000001E-2</v>
      </c>
      <c r="V19" s="84">
        <v>5.076E-2</v>
      </c>
      <c r="W19" s="84">
        <v>0.05</v>
      </c>
      <c r="X19" s="84">
        <v>0.05</v>
      </c>
      <c r="Y19" s="84">
        <v>5.0750000000000003E-2</v>
      </c>
      <c r="Z19" s="84">
        <v>5.042E-2</v>
      </c>
      <c r="AA19" s="84">
        <v>4.3720000000000002E-2</v>
      </c>
      <c r="AB19" s="84">
        <v>5.0470000000000001E-2</v>
      </c>
      <c r="AC19" s="84">
        <v>0.05</v>
      </c>
      <c r="AD19" s="84">
        <v>0.05</v>
      </c>
      <c r="AE19" s="84">
        <v>0.05</v>
      </c>
      <c r="AF19" s="84">
        <v>0.05</v>
      </c>
      <c r="AG19" s="84">
        <v>0.05</v>
      </c>
      <c r="AH19" s="84">
        <v>0.05</v>
      </c>
    </row>
    <row r="20" spans="2:34" ht="15" customHeight="1" x14ac:dyDescent="0.25">
      <c r="B20" s="209" t="s">
        <v>959</v>
      </c>
      <c r="C20" s="85" t="s">
        <v>957</v>
      </c>
      <c r="D20" s="132">
        <v>0.1875</v>
      </c>
      <c r="E20" s="132"/>
      <c r="F20" s="132">
        <v>0.1875</v>
      </c>
      <c r="G20" s="132">
        <v>0.17016000000000001</v>
      </c>
      <c r="H20" s="132"/>
      <c r="I20" s="132"/>
      <c r="J20" s="132">
        <v>0.23905000000000001</v>
      </c>
      <c r="K20" s="132"/>
      <c r="L20" s="132"/>
      <c r="M20" s="132">
        <v>0.21046999999999999</v>
      </c>
      <c r="N20" s="132"/>
      <c r="O20" s="132"/>
      <c r="P20" s="132"/>
      <c r="Q20" s="132"/>
      <c r="R20" s="132"/>
      <c r="S20" s="132">
        <v>0.19503999999999999</v>
      </c>
      <c r="T20" s="132">
        <v>0.16667000000000001</v>
      </c>
      <c r="U20" s="132"/>
      <c r="V20" s="165">
        <v>0.19355</v>
      </c>
      <c r="W20" s="165">
        <v>0.19355</v>
      </c>
      <c r="X20" s="165">
        <v>0.17624999999999999</v>
      </c>
      <c r="Y20" s="165">
        <v>0.16250000000000001</v>
      </c>
      <c r="Z20" s="165"/>
      <c r="AA20" s="165">
        <v>0.16667000000000001</v>
      </c>
      <c r="AB20" s="165">
        <v>0.27027000000000001</v>
      </c>
      <c r="AC20" s="165"/>
      <c r="AD20" s="165">
        <v>0.18029999999999999</v>
      </c>
      <c r="AE20" s="165"/>
      <c r="AF20" s="165"/>
      <c r="AG20" s="165"/>
      <c r="AH20" s="165">
        <v>0.2</v>
      </c>
    </row>
    <row r="21" spans="2:34" ht="15" customHeight="1" x14ac:dyDescent="0.25">
      <c r="B21" s="210"/>
      <c r="C21" s="87" t="s">
        <v>339</v>
      </c>
      <c r="D21" s="86">
        <v>0.77080000000000004</v>
      </c>
      <c r="E21" s="86"/>
      <c r="F21" s="86">
        <v>0.77080000000000004</v>
      </c>
      <c r="G21" s="86">
        <v>0.77951000000000004</v>
      </c>
      <c r="H21" s="86"/>
      <c r="I21" s="86"/>
      <c r="J21" s="86">
        <v>0.71094999999999997</v>
      </c>
      <c r="K21" s="86"/>
      <c r="L21" s="86"/>
      <c r="M21" s="86">
        <v>0.73941999999999997</v>
      </c>
      <c r="N21" s="86"/>
      <c r="O21" s="86"/>
      <c r="P21" s="86"/>
      <c r="Q21" s="86"/>
      <c r="R21" s="86"/>
      <c r="S21" s="86">
        <v>0.75536999999999999</v>
      </c>
      <c r="T21" s="86">
        <v>0.77778000000000003</v>
      </c>
      <c r="U21" s="86"/>
      <c r="V21" s="166">
        <v>0.75805999999999996</v>
      </c>
      <c r="W21" s="166">
        <v>0.75805999999999996</v>
      </c>
      <c r="X21" s="166">
        <v>0.77375000000000005</v>
      </c>
      <c r="Y21" s="166">
        <v>0.78749999999999998</v>
      </c>
      <c r="Z21" s="166"/>
      <c r="AA21" s="166">
        <v>0.78332999999999997</v>
      </c>
      <c r="AB21" s="166">
        <v>0.64864999999999995</v>
      </c>
      <c r="AC21" s="166"/>
      <c r="AD21" s="166">
        <v>0.77049999999999996</v>
      </c>
      <c r="AE21" s="166"/>
      <c r="AF21" s="166"/>
      <c r="AG21" s="166"/>
      <c r="AH21" s="166">
        <v>0.75</v>
      </c>
    </row>
    <row r="22" spans="2:34" ht="15" customHeight="1" thickBot="1" x14ac:dyDescent="0.3">
      <c r="B22" s="211"/>
      <c r="C22" s="87" t="s">
        <v>338</v>
      </c>
      <c r="D22" s="86">
        <v>4.1700000000000001E-2</v>
      </c>
      <c r="E22" s="86"/>
      <c r="F22" s="86">
        <v>4.1700000000000001E-2</v>
      </c>
      <c r="G22" s="86">
        <v>5.033E-2</v>
      </c>
      <c r="H22" s="86"/>
      <c r="I22" s="86"/>
      <c r="J22" s="86">
        <v>0.05</v>
      </c>
      <c r="K22" s="86"/>
      <c r="L22" s="86"/>
      <c r="M22" s="86">
        <v>5.0110000000000002E-2</v>
      </c>
      <c r="N22" s="86"/>
      <c r="O22" s="86"/>
      <c r="P22" s="86"/>
      <c r="Q22" s="86"/>
      <c r="R22" s="86"/>
      <c r="S22" s="86">
        <v>4.9590000000000002E-2</v>
      </c>
      <c r="T22" s="86">
        <v>5.5559999999999998E-2</v>
      </c>
      <c r="U22" s="86"/>
      <c r="V22" s="166">
        <v>4.8390000000000002E-2</v>
      </c>
      <c r="W22" s="166">
        <v>4.8390000000000002E-2</v>
      </c>
      <c r="X22" s="166">
        <v>0.05</v>
      </c>
      <c r="Y22" s="166">
        <v>0.05</v>
      </c>
      <c r="Z22" s="166"/>
      <c r="AA22" s="166">
        <v>0.05</v>
      </c>
      <c r="AB22" s="166">
        <v>8.1079999999999999E-2</v>
      </c>
      <c r="AC22" s="166"/>
      <c r="AD22" s="166">
        <v>4.9200000000000001E-2</v>
      </c>
      <c r="AE22" s="166"/>
      <c r="AF22" s="166"/>
      <c r="AG22" s="166"/>
      <c r="AH22" s="166">
        <v>0.05</v>
      </c>
    </row>
    <row r="23" spans="2:34" ht="15" customHeight="1" x14ac:dyDescent="0.25">
      <c r="B23" s="200" t="s">
        <v>960</v>
      </c>
      <c r="C23" s="88" t="s">
        <v>957</v>
      </c>
      <c r="D23" s="135">
        <v>0.20830000000000001</v>
      </c>
      <c r="E23" s="135">
        <v>0.26</v>
      </c>
      <c r="F23" s="135">
        <v>0.29170000000000001</v>
      </c>
      <c r="G23" s="135"/>
      <c r="H23" s="135">
        <v>0.11842</v>
      </c>
      <c r="I23" s="135">
        <v>0.22449</v>
      </c>
      <c r="J23" s="135">
        <v>0.17297000000000001</v>
      </c>
      <c r="K23" s="135"/>
      <c r="L23" s="135"/>
      <c r="M23" s="135"/>
      <c r="N23" s="135">
        <v>0.27143</v>
      </c>
      <c r="O23" s="135">
        <v>0.27424999999999999</v>
      </c>
      <c r="P23" s="135"/>
      <c r="Q23" s="135">
        <v>0.27143</v>
      </c>
      <c r="R23" s="135"/>
      <c r="S23" s="135">
        <v>0.27692</v>
      </c>
      <c r="T23" s="135"/>
      <c r="U23" s="135"/>
      <c r="V23" s="135">
        <v>0.33333000000000002</v>
      </c>
      <c r="W23" s="135">
        <v>0.27040999999999998</v>
      </c>
      <c r="X23" s="135">
        <v>0.27</v>
      </c>
      <c r="Y23" s="135">
        <v>0.27200000000000002</v>
      </c>
      <c r="Z23" s="135"/>
      <c r="AA23" s="135">
        <v>0.27</v>
      </c>
      <c r="AB23" s="135">
        <v>0.33333000000000002</v>
      </c>
      <c r="AC23" s="135"/>
      <c r="AD23" s="135">
        <v>0.28999999999999998</v>
      </c>
      <c r="AE23" s="135"/>
      <c r="AF23" s="135">
        <v>0.2</v>
      </c>
      <c r="AG23" s="135"/>
      <c r="AH23" s="135">
        <v>0.2</v>
      </c>
    </row>
    <row r="24" spans="2:34" ht="15" customHeight="1" x14ac:dyDescent="0.25">
      <c r="B24" s="201"/>
      <c r="C24" s="90" t="s">
        <v>339</v>
      </c>
      <c r="D24" s="134">
        <v>0.75</v>
      </c>
      <c r="E24" s="134">
        <v>0.69</v>
      </c>
      <c r="F24" s="134">
        <v>0.66659999999999997</v>
      </c>
      <c r="G24" s="134"/>
      <c r="H24" s="134">
        <v>0.82894999999999996</v>
      </c>
      <c r="I24" s="134">
        <v>0.72448999999999997</v>
      </c>
      <c r="J24" s="134">
        <v>0.77837999999999996</v>
      </c>
      <c r="K24" s="134"/>
      <c r="L24" s="134"/>
      <c r="M24" s="134"/>
      <c r="N24" s="134">
        <v>0.67857000000000001</v>
      </c>
      <c r="O24" s="134">
        <v>0.67537000000000003</v>
      </c>
      <c r="P24" s="134"/>
      <c r="Q24" s="134">
        <v>0.67713999999999996</v>
      </c>
      <c r="R24" s="134"/>
      <c r="S24" s="134">
        <v>0.66922999999999999</v>
      </c>
      <c r="T24" s="134"/>
      <c r="U24" s="134"/>
      <c r="V24" s="134">
        <v>0.61667000000000005</v>
      </c>
      <c r="W24" s="134">
        <v>0.67857000000000001</v>
      </c>
      <c r="X24" s="134">
        <v>0.68833</v>
      </c>
      <c r="Y24" s="134">
        <v>0.67732999999999999</v>
      </c>
      <c r="Z24" s="134"/>
      <c r="AA24" s="134">
        <v>0.68</v>
      </c>
      <c r="AB24" s="134">
        <v>0.61667000000000005</v>
      </c>
      <c r="AC24" s="134"/>
      <c r="AD24" s="134">
        <v>0.64900000000000002</v>
      </c>
      <c r="AE24" s="134"/>
      <c r="AF24" s="134">
        <v>0.75</v>
      </c>
      <c r="AG24" s="134"/>
      <c r="AH24" s="134">
        <v>0.75</v>
      </c>
    </row>
    <row r="25" spans="2:34" ht="15" customHeight="1" thickBot="1" x14ac:dyDescent="0.3">
      <c r="B25" s="212"/>
      <c r="C25" s="108" t="s">
        <v>338</v>
      </c>
      <c r="D25" s="136">
        <v>4.1700000000000001E-2</v>
      </c>
      <c r="E25" s="136">
        <v>0.05</v>
      </c>
      <c r="F25" s="136">
        <v>4.1700000000000001E-2</v>
      </c>
      <c r="G25" s="136"/>
      <c r="H25" s="136">
        <v>5.2630000000000003E-2</v>
      </c>
      <c r="I25" s="136">
        <v>5.1020000000000003E-2</v>
      </c>
      <c r="J25" s="136">
        <v>4.8649999999999999E-2</v>
      </c>
      <c r="K25" s="136"/>
      <c r="L25" s="136"/>
      <c r="M25" s="136"/>
      <c r="N25" s="136">
        <v>0.05</v>
      </c>
      <c r="O25" s="136">
        <v>5.0369999999999998E-2</v>
      </c>
      <c r="P25" s="136"/>
      <c r="Q25" s="136">
        <v>5.1429999999999997E-2</v>
      </c>
      <c r="R25" s="136"/>
      <c r="S25" s="136">
        <v>5.3850000000000002E-2</v>
      </c>
      <c r="T25" s="136"/>
      <c r="U25" s="136"/>
      <c r="V25" s="136">
        <v>0.05</v>
      </c>
      <c r="W25" s="136">
        <v>5.1020000000000003E-2</v>
      </c>
      <c r="X25" s="136">
        <v>4.1669999999999999E-2</v>
      </c>
      <c r="Y25" s="136">
        <v>5.067E-2</v>
      </c>
      <c r="Z25" s="136"/>
      <c r="AA25" s="136">
        <v>0.05</v>
      </c>
      <c r="AB25" s="136">
        <v>0.05</v>
      </c>
      <c r="AC25" s="136"/>
      <c r="AD25" s="136">
        <v>6.0999999999999999E-2</v>
      </c>
      <c r="AE25" s="136"/>
      <c r="AF25" s="136">
        <v>0.05</v>
      </c>
      <c r="AG25" s="136"/>
      <c r="AH25" s="136">
        <v>0.05</v>
      </c>
    </row>
    <row r="26" spans="2:34" ht="15" customHeight="1" x14ac:dyDescent="0.25">
      <c r="B26" s="218" t="s">
        <v>1086</v>
      </c>
      <c r="C26" s="88" t="s">
        <v>957</v>
      </c>
      <c r="D26" s="156"/>
      <c r="E26" s="156"/>
      <c r="F26" s="156"/>
      <c r="G26" s="156">
        <v>0</v>
      </c>
      <c r="H26" s="156">
        <v>0</v>
      </c>
      <c r="I26" s="156">
        <v>0</v>
      </c>
      <c r="J26" s="156"/>
      <c r="K26" s="156"/>
      <c r="L26" s="156"/>
      <c r="M26" s="156"/>
      <c r="N26" s="156">
        <v>0</v>
      </c>
      <c r="O26" s="156"/>
      <c r="P26" s="156">
        <v>0</v>
      </c>
      <c r="Q26" s="156">
        <v>0</v>
      </c>
      <c r="R26" s="156">
        <v>0</v>
      </c>
      <c r="S26" s="156"/>
      <c r="T26" s="156">
        <v>0</v>
      </c>
      <c r="U26" s="156">
        <v>0</v>
      </c>
      <c r="V26" s="156">
        <v>0</v>
      </c>
      <c r="W26" s="156">
        <v>0</v>
      </c>
      <c r="X26" s="156"/>
      <c r="Y26" s="156">
        <v>0</v>
      </c>
      <c r="Z26" s="156"/>
      <c r="AA26" s="156">
        <v>0</v>
      </c>
      <c r="AB26" s="156">
        <v>0</v>
      </c>
      <c r="AC26" s="156"/>
      <c r="AD26" s="156"/>
      <c r="AE26" s="156"/>
      <c r="AF26" s="156"/>
      <c r="AG26" s="156"/>
      <c r="AH26" s="156"/>
    </row>
    <row r="27" spans="2:34" ht="15" customHeight="1" x14ac:dyDescent="0.25">
      <c r="B27" s="219"/>
      <c r="C27" s="90" t="s">
        <v>339</v>
      </c>
      <c r="D27" s="138">
        <v>0.95489999999999997</v>
      </c>
      <c r="E27" s="138">
        <v>0.95830000000000004</v>
      </c>
      <c r="F27" s="138">
        <v>0.9556</v>
      </c>
      <c r="G27" s="138">
        <v>0.96667000000000003</v>
      </c>
      <c r="H27" s="138">
        <v>0.93332999999999999</v>
      </c>
      <c r="I27" s="138">
        <v>0.94443999999999995</v>
      </c>
      <c r="J27" s="138"/>
      <c r="K27" s="138"/>
      <c r="L27" s="138"/>
      <c r="M27" s="138"/>
      <c r="N27" s="138">
        <v>0.95833000000000002</v>
      </c>
      <c r="O27" s="138"/>
      <c r="P27" s="138">
        <v>0.94443999999999995</v>
      </c>
      <c r="Q27" s="138">
        <v>0.94443999999999995</v>
      </c>
      <c r="R27" s="138">
        <v>0.95833000000000002</v>
      </c>
      <c r="S27" s="138"/>
      <c r="T27" s="138">
        <v>0.97297</v>
      </c>
      <c r="U27" s="138">
        <v>0.95833000000000002</v>
      </c>
      <c r="V27" s="138">
        <v>0.94443999999999995</v>
      </c>
      <c r="W27" s="138">
        <v>0.94737000000000005</v>
      </c>
      <c r="X27" s="138"/>
      <c r="Y27" s="138">
        <v>0.95833000000000002</v>
      </c>
      <c r="Z27" s="138"/>
      <c r="AA27" s="138">
        <v>0.95</v>
      </c>
      <c r="AB27" s="138">
        <v>0.95833000000000002</v>
      </c>
      <c r="AC27" s="138"/>
      <c r="AD27" s="138">
        <v>0.95</v>
      </c>
      <c r="AE27" s="138">
        <v>0.95830000000000004</v>
      </c>
      <c r="AF27" s="138">
        <v>0.95830000000000004</v>
      </c>
      <c r="AG27" s="138">
        <v>0.95830000000000004</v>
      </c>
      <c r="AH27" s="138">
        <v>0.95</v>
      </c>
    </row>
    <row r="28" spans="2:34" ht="15" customHeight="1" x14ac:dyDescent="0.25">
      <c r="B28" s="220"/>
      <c r="C28" s="108" t="s">
        <v>338</v>
      </c>
      <c r="D28" s="156">
        <v>4.5100000000000001E-2</v>
      </c>
      <c r="E28" s="156">
        <v>4.1700000000000001E-2</v>
      </c>
      <c r="F28" s="156">
        <v>4.4400000000000002E-2</v>
      </c>
      <c r="G28" s="156">
        <v>3.3329999999999999E-2</v>
      </c>
      <c r="H28" s="156">
        <v>6.6669999999999993E-2</v>
      </c>
      <c r="I28" s="156">
        <v>5.5559999999999998E-2</v>
      </c>
      <c r="J28" s="156"/>
      <c r="K28" s="156"/>
      <c r="L28" s="156"/>
      <c r="M28" s="156"/>
      <c r="N28" s="156">
        <v>4.1669999999999999E-2</v>
      </c>
      <c r="O28" s="156"/>
      <c r="P28" s="156">
        <v>5.5559999999999998E-2</v>
      </c>
      <c r="Q28" s="156">
        <v>5.5559999999999998E-2</v>
      </c>
      <c r="R28" s="156">
        <v>4.1669999999999999E-2</v>
      </c>
      <c r="S28" s="156"/>
      <c r="T28" s="156">
        <v>2.7029999999999998E-2</v>
      </c>
      <c r="U28" s="156">
        <v>4.1669999999999999E-2</v>
      </c>
      <c r="V28" s="156">
        <v>5.5559999999999998E-2</v>
      </c>
      <c r="W28" s="156">
        <v>5.2630000000000003E-2</v>
      </c>
      <c r="X28" s="156"/>
      <c r="Y28" s="156">
        <v>4.1669999999999999E-2</v>
      </c>
      <c r="Z28" s="156"/>
      <c r="AA28" s="156">
        <v>0.05</v>
      </c>
      <c r="AB28" s="156">
        <v>4.1669999999999999E-2</v>
      </c>
      <c r="AC28" s="156"/>
      <c r="AD28" s="156">
        <v>0.05</v>
      </c>
      <c r="AE28" s="156">
        <v>4.1700000000000001E-2</v>
      </c>
      <c r="AF28" s="156">
        <v>4.1700000000000001E-2</v>
      </c>
      <c r="AG28" s="156">
        <v>4.1700000000000001E-2</v>
      </c>
      <c r="AH28" s="156">
        <v>0.05</v>
      </c>
    </row>
    <row r="29" spans="2:34" ht="15" customHeight="1" x14ac:dyDescent="0.25">
      <c r="B29" s="34" t="s">
        <v>7</v>
      </c>
      <c r="C29" s="34"/>
      <c r="D29" s="160">
        <v>5394</v>
      </c>
      <c r="E29" s="160">
        <v>5400</v>
      </c>
      <c r="F29" s="160">
        <v>5420</v>
      </c>
      <c r="G29" s="160">
        <v>5400</v>
      </c>
      <c r="H29" s="160">
        <v>5405</v>
      </c>
      <c r="I29" s="160">
        <v>5410</v>
      </c>
      <c r="J29" s="160">
        <v>5390</v>
      </c>
      <c r="K29" s="160">
        <v>5504</v>
      </c>
      <c r="L29" s="160">
        <v>5436</v>
      </c>
      <c r="M29" s="160">
        <v>5442</v>
      </c>
      <c r="N29" s="160">
        <v>5420</v>
      </c>
      <c r="O29" s="160">
        <v>5520</v>
      </c>
      <c r="P29" s="160">
        <v>5380</v>
      </c>
      <c r="Q29" s="160">
        <v>5420</v>
      </c>
      <c r="R29" s="160">
        <v>5465</v>
      </c>
      <c r="S29" s="160">
        <v>5440</v>
      </c>
      <c r="T29" s="160">
        <v>5439</v>
      </c>
      <c r="U29" s="160">
        <v>5300</v>
      </c>
      <c r="V29" s="160">
        <v>5330</v>
      </c>
      <c r="W29" s="160">
        <v>5310</v>
      </c>
      <c r="X29" s="160">
        <v>5370</v>
      </c>
      <c r="Y29" s="160">
        <v>5365</v>
      </c>
      <c r="Z29" s="160">
        <v>5400</v>
      </c>
      <c r="AA29" s="160">
        <v>5380</v>
      </c>
      <c r="AB29" s="160">
        <v>5455</v>
      </c>
      <c r="AC29" s="160">
        <v>5300</v>
      </c>
      <c r="AD29" s="160">
        <v>5199</v>
      </c>
      <c r="AE29" s="160">
        <v>5200</v>
      </c>
      <c r="AF29" s="160">
        <v>5200</v>
      </c>
      <c r="AG29" s="160">
        <v>5200</v>
      </c>
      <c r="AH29" s="160">
        <v>5200</v>
      </c>
    </row>
    <row r="30" spans="2:34" ht="7.5" customHeight="1" thickBot="1" x14ac:dyDescent="0.3"/>
    <row r="31" spans="2:34" s="164" customFormat="1" ht="12.75" customHeight="1" thickBot="1" x14ac:dyDescent="0.3">
      <c r="B31" s="227" t="s">
        <v>1002</v>
      </c>
      <c r="C31" s="228"/>
      <c r="D31" s="163">
        <v>78.253618421598063</v>
      </c>
      <c r="E31" s="163">
        <v>77.16</v>
      </c>
      <c r="F31" s="163">
        <v>78.44</v>
      </c>
      <c r="G31" s="163">
        <v>79.900000000000006</v>
      </c>
      <c r="H31" s="163">
        <v>81.17</v>
      </c>
      <c r="I31" s="163">
        <v>80.62</v>
      </c>
      <c r="J31" s="163">
        <v>76.13</v>
      </c>
      <c r="K31" s="163">
        <v>77.7</v>
      </c>
      <c r="L31" s="163">
        <v>74.69</v>
      </c>
      <c r="M31" s="163">
        <v>75.47</v>
      </c>
      <c r="N31" s="163">
        <v>76.203999999999994</v>
      </c>
      <c r="O31" s="163">
        <v>76.344576171239751</v>
      </c>
      <c r="P31" s="163">
        <v>78.602261122559099</v>
      </c>
      <c r="Q31" s="163">
        <v>77.737976835671645</v>
      </c>
      <c r="R31" s="163">
        <v>78.819999999999993</v>
      </c>
      <c r="S31" s="163">
        <v>76.680000000000007</v>
      </c>
      <c r="T31" s="163">
        <v>79.195088762984312</v>
      </c>
      <c r="U31" s="163">
        <v>78.56</v>
      </c>
      <c r="V31" s="163">
        <v>76.989999999999995</v>
      </c>
      <c r="W31" s="163">
        <v>76.97</v>
      </c>
      <c r="X31" s="163">
        <v>77.17</v>
      </c>
      <c r="Y31" s="163">
        <v>78.25</v>
      </c>
      <c r="Z31" s="163">
        <v>78.565328848684885</v>
      </c>
      <c r="AA31" s="163">
        <v>79.762723602138919</v>
      </c>
      <c r="AB31" s="163">
        <v>78.036529755913236</v>
      </c>
      <c r="AC31" s="163">
        <v>78.942486159573292</v>
      </c>
      <c r="AD31" s="163">
        <v>76.95</v>
      </c>
      <c r="AE31" s="163">
        <v>79.349999999999994</v>
      </c>
      <c r="AF31" s="163">
        <v>79.28</v>
      </c>
      <c r="AG31" s="163">
        <v>79.89</v>
      </c>
      <c r="AH31" s="163">
        <v>78.88</v>
      </c>
    </row>
    <row r="32" spans="2:34" ht="12.75" customHeight="1" x14ac:dyDescent="0.25">
      <c r="B32" s="114"/>
    </row>
    <row r="33" spans="2:2" ht="12.75" customHeight="1" x14ac:dyDescent="0.25">
      <c r="B33" s="114"/>
    </row>
    <row r="34" spans="2:2" ht="12.75" customHeight="1" x14ac:dyDescent="0.25">
      <c r="B34" s="114"/>
    </row>
    <row r="35" spans="2:2" ht="12.75" customHeight="1" x14ac:dyDescent="0.25">
      <c r="B35" s="114"/>
    </row>
    <row r="36" spans="2:2" ht="12.75" customHeight="1" x14ac:dyDescent="0.25">
      <c r="B36" s="114"/>
    </row>
    <row r="37" spans="2:2" ht="12.75" customHeight="1" x14ac:dyDescent="0.25">
      <c r="B37" s="114"/>
    </row>
    <row r="38" spans="2:2" ht="12.75" customHeight="1" x14ac:dyDescent="0.25">
      <c r="B38" s="114"/>
    </row>
    <row r="39" spans="2:2" ht="12.75" customHeight="1" x14ac:dyDescent="0.25">
      <c r="B39" s="114"/>
    </row>
    <row r="40" spans="2:2" ht="12.75" customHeight="1" x14ac:dyDescent="0.25">
      <c r="B40" s="114"/>
    </row>
    <row r="41" spans="2:2" ht="12.75" customHeight="1" x14ac:dyDescent="0.25">
      <c r="B41" s="114"/>
    </row>
    <row r="42" spans="2:2" ht="12.75" customHeight="1" x14ac:dyDescent="0.25">
      <c r="B42" s="114"/>
    </row>
    <row r="43" spans="2:2" ht="12.75" customHeight="1" x14ac:dyDescent="0.25">
      <c r="B43" s="114"/>
    </row>
    <row r="44" spans="2:2" ht="12.75" customHeight="1" x14ac:dyDescent="0.25">
      <c r="B44" s="114"/>
    </row>
    <row r="45" spans="2:2" x14ac:dyDescent="0.25">
      <c r="B45" s="114"/>
    </row>
    <row r="46" spans="2:2" x14ac:dyDescent="0.25">
      <c r="B46" s="114"/>
    </row>
    <row r="47" spans="2:2" x14ac:dyDescent="0.25">
      <c r="B47" s="114"/>
    </row>
    <row r="48" spans="2:2" x14ac:dyDescent="0.25">
      <c r="B48" s="114"/>
    </row>
    <row r="49" spans="2:2" x14ac:dyDescent="0.25">
      <c r="B49" s="114"/>
    </row>
    <row r="50" spans="2:2" x14ac:dyDescent="0.25">
      <c r="B50" s="114"/>
    </row>
    <row r="51" spans="2:2" x14ac:dyDescent="0.25">
      <c r="B51" s="114"/>
    </row>
    <row r="52" spans="2:2" x14ac:dyDescent="0.25">
      <c r="B52" s="114"/>
    </row>
  </sheetData>
  <mergeCells count="9">
    <mergeCell ref="B23:B25"/>
    <mergeCell ref="B26:B28"/>
    <mergeCell ref="B31:C31"/>
    <mergeCell ref="B3:B5"/>
    <mergeCell ref="B6:B8"/>
    <mergeCell ref="B9:B11"/>
    <mergeCell ref="B12:B14"/>
    <mergeCell ref="B17:B19"/>
    <mergeCell ref="B20:B22"/>
  </mergeCells>
  <pageMargins left="0.7" right="0.7" top="0.75" bottom="0.75" header="0.3" footer="0.3"/>
  <pageSetup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31A7F-0264-4446-B218-77DF8D419030}">
  <dimension ref="B1:AH52"/>
  <sheetViews>
    <sheetView topLeftCell="A8" zoomScale="90" zoomScaleNormal="90" workbookViewId="0">
      <pane xSplit="3" topLeftCell="T1" activePane="topRight" state="frozen"/>
      <selection pane="topRight" activeCell="AD16" sqref="AD16"/>
    </sheetView>
  </sheetViews>
  <sheetFormatPr defaultRowHeight="15" x14ac:dyDescent="0.25"/>
  <cols>
    <col min="3" max="3" width="28.140625" customWidth="1"/>
    <col min="4" max="34" width="10.7109375" customWidth="1"/>
  </cols>
  <sheetData>
    <row r="1" spans="2:34" ht="6" customHeight="1" thickBot="1" x14ac:dyDescent="0.3"/>
    <row r="2" spans="2:34" ht="15" customHeight="1" thickBot="1" x14ac:dyDescent="0.3">
      <c r="B2" s="94" t="s">
        <v>964</v>
      </c>
      <c r="C2" s="96" t="s">
        <v>961</v>
      </c>
      <c r="D2" s="97" t="str">
        <f t="shared" ref="D2" si="0">D16</f>
        <v>01.01.2026</v>
      </c>
      <c r="E2" s="97" t="s">
        <v>1460</v>
      </c>
      <c r="F2" s="97" t="s">
        <v>1461</v>
      </c>
      <c r="G2" s="97" t="s">
        <v>1462</v>
      </c>
      <c r="H2" s="97" t="s">
        <v>1463</v>
      </c>
      <c r="I2" s="97" t="s">
        <v>1464</v>
      </c>
      <c r="J2" s="97" t="s">
        <v>1465</v>
      </c>
      <c r="K2" s="97" t="s">
        <v>1466</v>
      </c>
      <c r="L2" s="97" t="s">
        <v>1467</v>
      </c>
      <c r="M2" s="97" t="s">
        <v>1468</v>
      </c>
      <c r="N2" s="97" t="s">
        <v>1469</v>
      </c>
      <c r="O2" s="97" t="s">
        <v>1470</v>
      </c>
      <c r="P2" s="97" t="s">
        <v>1471</v>
      </c>
      <c r="Q2" s="97" t="s">
        <v>1472</v>
      </c>
      <c r="R2" s="97" t="s">
        <v>1473</v>
      </c>
      <c r="S2" s="97" t="s">
        <v>1474</v>
      </c>
      <c r="T2" s="97" t="s">
        <v>1475</v>
      </c>
      <c r="U2" s="97" t="s">
        <v>1476</v>
      </c>
      <c r="V2" s="97" t="s">
        <v>1477</v>
      </c>
      <c r="W2" s="97" t="s">
        <v>1478</v>
      </c>
      <c r="X2" s="97" t="s">
        <v>1479</v>
      </c>
      <c r="Y2" s="97" t="s">
        <v>1480</v>
      </c>
      <c r="Z2" s="97" t="s">
        <v>1481</v>
      </c>
      <c r="AA2" s="97" t="s">
        <v>1482</v>
      </c>
      <c r="AB2" s="97" t="s">
        <v>1483</v>
      </c>
      <c r="AC2" s="97" t="s">
        <v>1484</v>
      </c>
      <c r="AD2" s="97" t="s">
        <v>1485</v>
      </c>
      <c r="AE2" s="97" t="s">
        <v>1486</v>
      </c>
      <c r="AF2" s="97" t="s">
        <v>1487</v>
      </c>
      <c r="AG2" s="97" t="s">
        <v>1488</v>
      </c>
      <c r="AH2" s="97" t="s">
        <v>1489</v>
      </c>
    </row>
    <row r="3" spans="2:34" ht="15" customHeight="1" x14ac:dyDescent="0.25">
      <c r="B3" s="206" t="s">
        <v>958</v>
      </c>
      <c r="C3" s="116" t="s">
        <v>957</v>
      </c>
      <c r="D3" s="117">
        <v>0.17</v>
      </c>
      <c r="E3" s="117">
        <v>0.15942000000000001</v>
      </c>
      <c r="F3" s="117">
        <v>0.17</v>
      </c>
      <c r="G3" s="117">
        <v>0.16</v>
      </c>
      <c r="H3" s="117">
        <v>0.17</v>
      </c>
      <c r="I3" s="117">
        <v>0.16</v>
      </c>
      <c r="J3" s="117">
        <v>0.17</v>
      </c>
      <c r="K3" s="117">
        <v>0.16</v>
      </c>
      <c r="L3" s="117">
        <v>0.15490000000000001</v>
      </c>
      <c r="M3" s="117">
        <v>0.16</v>
      </c>
      <c r="N3" s="117">
        <v>0.16200000000000001</v>
      </c>
      <c r="O3" s="117">
        <v>0.16</v>
      </c>
      <c r="P3" s="117">
        <v>0.16</v>
      </c>
      <c r="Q3" s="117">
        <v>0.16</v>
      </c>
      <c r="R3" s="117">
        <v>0.16200000000000001</v>
      </c>
      <c r="S3" s="117">
        <v>0.15390000000000001</v>
      </c>
      <c r="T3" s="117">
        <v>0.16</v>
      </c>
      <c r="U3" s="117">
        <v>0.16200000000000001</v>
      </c>
      <c r="V3" s="117">
        <v>0.16</v>
      </c>
      <c r="W3" s="117">
        <v>0.15079999999999999</v>
      </c>
      <c r="X3" s="117">
        <v>0.16</v>
      </c>
      <c r="Y3" s="117">
        <v>0.16500000000000001</v>
      </c>
      <c r="Z3" s="117">
        <v>0.15237999999999999</v>
      </c>
      <c r="AA3" s="117">
        <v>0.15848999999999999</v>
      </c>
      <c r="AB3" s="117">
        <v>0.17</v>
      </c>
      <c r="AC3" s="117">
        <v>0.17510000000000001</v>
      </c>
      <c r="AD3" s="117">
        <v>0.17</v>
      </c>
      <c r="AE3" s="117">
        <v>0.17499999999999999</v>
      </c>
      <c r="AF3" s="117">
        <v>0.17499999999999999</v>
      </c>
      <c r="AG3" s="117">
        <v>0.17499999999999999</v>
      </c>
      <c r="AH3" s="117">
        <v>0.17499999999999999</v>
      </c>
    </row>
    <row r="4" spans="2:34" ht="15" customHeight="1" x14ac:dyDescent="0.25">
      <c r="B4" s="207"/>
      <c r="C4" s="118" t="s">
        <v>339</v>
      </c>
      <c r="D4" s="84">
        <v>0.78</v>
      </c>
      <c r="E4" s="84">
        <v>0.78986000000000001</v>
      </c>
      <c r="F4" s="84">
        <v>0.78</v>
      </c>
      <c r="G4" s="84">
        <v>0.79</v>
      </c>
      <c r="H4" s="84">
        <v>0.78</v>
      </c>
      <c r="I4" s="84">
        <v>0.79</v>
      </c>
      <c r="J4" s="84">
        <v>0.78</v>
      </c>
      <c r="K4" s="84">
        <v>0.79</v>
      </c>
      <c r="L4" s="84">
        <v>0.79420000000000002</v>
      </c>
      <c r="M4" s="84">
        <v>0.79</v>
      </c>
      <c r="N4" s="84">
        <v>0.78800000000000003</v>
      </c>
      <c r="O4" s="84">
        <v>0.79</v>
      </c>
      <c r="P4" s="84">
        <v>0.79</v>
      </c>
      <c r="Q4" s="84">
        <v>0.79</v>
      </c>
      <c r="R4" s="84">
        <v>0.78800000000000003</v>
      </c>
      <c r="S4" s="84">
        <v>0.81494</v>
      </c>
      <c r="T4" s="84">
        <v>0.79</v>
      </c>
      <c r="U4" s="84">
        <v>0.78800000000000003</v>
      </c>
      <c r="V4" s="84">
        <v>0.79</v>
      </c>
      <c r="W4" s="84">
        <v>0.8</v>
      </c>
      <c r="X4" s="84">
        <v>0.79</v>
      </c>
      <c r="Y4" s="84">
        <v>0.78500000000000003</v>
      </c>
      <c r="Z4" s="84">
        <v>0.79683000000000004</v>
      </c>
      <c r="AA4" s="84">
        <v>0.78868000000000005</v>
      </c>
      <c r="AB4" s="84">
        <v>0.78</v>
      </c>
      <c r="AC4" s="84">
        <v>0.77490000000000003</v>
      </c>
      <c r="AD4" s="84">
        <v>0.78</v>
      </c>
      <c r="AE4" s="84">
        <v>0.77500000000000002</v>
      </c>
      <c r="AF4" s="84">
        <v>0.77500000000000002</v>
      </c>
      <c r="AG4" s="84">
        <v>0.77500000000000002</v>
      </c>
      <c r="AH4" s="84">
        <v>0.77500000000000002</v>
      </c>
    </row>
    <row r="5" spans="2:34" ht="15" customHeight="1" thickBot="1" x14ac:dyDescent="0.3">
      <c r="B5" s="208"/>
      <c r="C5" s="118" t="s">
        <v>338</v>
      </c>
      <c r="D5" s="84">
        <v>0.05</v>
      </c>
      <c r="E5" s="84">
        <v>5.0720000000000001E-2</v>
      </c>
      <c r="F5" s="84">
        <v>0.05</v>
      </c>
      <c r="G5" s="84">
        <v>0.05</v>
      </c>
      <c r="H5" s="84">
        <v>0.05</v>
      </c>
      <c r="I5" s="84">
        <v>0.05</v>
      </c>
      <c r="J5" s="84">
        <v>0.05</v>
      </c>
      <c r="K5" s="84">
        <v>0.05</v>
      </c>
      <c r="L5" s="84">
        <v>5.0900000000000001E-2</v>
      </c>
      <c r="M5" s="84">
        <v>0.05</v>
      </c>
      <c r="N5" s="84">
        <v>0.05</v>
      </c>
      <c r="O5" s="84">
        <v>0.05</v>
      </c>
      <c r="P5" s="84">
        <v>0.05</v>
      </c>
      <c r="Q5" s="84">
        <v>0.05</v>
      </c>
      <c r="R5" s="84">
        <v>0.05</v>
      </c>
      <c r="S5" s="84">
        <v>3.117E-2</v>
      </c>
      <c r="T5" s="84">
        <v>0.05</v>
      </c>
      <c r="U5" s="84">
        <v>0.05</v>
      </c>
      <c r="V5" s="84">
        <v>0.05</v>
      </c>
      <c r="W5" s="84">
        <v>4.9200000000000001E-2</v>
      </c>
      <c r="X5" s="84">
        <v>0.05</v>
      </c>
      <c r="Y5" s="84">
        <v>0.05</v>
      </c>
      <c r="Z5" s="84">
        <v>5.0790000000000002E-2</v>
      </c>
      <c r="AA5" s="84">
        <v>5.2830000000000002E-2</v>
      </c>
      <c r="AB5" s="84">
        <v>0.05</v>
      </c>
      <c r="AC5" s="84">
        <v>0.05</v>
      </c>
      <c r="AD5" s="84">
        <v>0.05</v>
      </c>
      <c r="AE5" s="84">
        <v>0.05</v>
      </c>
      <c r="AF5" s="84">
        <v>0.05</v>
      </c>
      <c r="AG5" s="84">
        <v>0.05</v>
      </c>
      <c r="AH5" s="84">
        <v>0.05</v>
      </c>
    </row>
    <row r="6" spans="2:34" ht="15" customHeight="1" x14ac:dyDescent="0.25">
      <c r="B6" s="209" t="s">
        <v>959</v>
      </c>
      <c r="C6" s="119" t="s">
        <v>957</v>
      </c>
      <c r="D6" s="86"/>
      <c r="E6" s="86"/>
      <c r="F6" s="86">
        <v>0.1908</v>
      </c>
      <c r="G6" s="86"/>
      <c r="H6" s="86"/>
      <c r="I6" s="86"/>
      <c r="J6" s="86"/>
      <c r="K6" s="86"/>
      <c r="L6" s="86"/>
      <c r="M6" s="86"/>
      <c r="N6" s="86">
        <v>0.18770000000000001</v>
      </c>
      <c r="O6" s="86">
        <v>0.1845</v>
      </c>
      <c r="P6" s="86"/>
      <c r="Q6" s="86">
        <v>0.25</v>
      </c>
      <c r="R6" s="86">
        <v>0.19389999999999999</v>
      </c>
      <c r="S6" s="86"/>
      <c r="T6" s="86"/>
      <c r="U6" s="86"/>
      <c r="V6" s="86"/>
      <c r="W6" s="86">
        <v>0.22</v>
      </c>
      <c r="X6" s="86">
        <v>0.19239999999999999</v>
      </c>
      <c r="Y6" s="86">
        <v>0.2</v>
      </c>
      <c r="Z6" s="86">
        <v>0.28845999999999999</v>
      </c>
      <c r="AA6" s="86">
        <v>0.16980999999999999</v>
      </c>
      <c r="AB6" s="86">
        <v>0.2</v>
      </c>
      <c r="AC6" s="86"/>
      <c r="AD6" s="86"/>
      <c r="AE6" s="86"/>
      <c r="AF6" s="86">
        <v>0.26</v>
      </c>
      <c r="AG6" s="86"/>
      <c r="AH6" s="86"/>
    </row>
    <row r="7" spans="2:34" ht="15" customHeight="1" x14ac:dyDescent="0.25">
      <c r="B7" s="210"/>
      <c r="C7" s="120" t="s">
        <v>339</v>
      </c>
      <c r="D7" s="86"/>
      <c r="E7" s="86"/>
      <c r="F7" s="86">
        <v>0.76</v>
      </c>
      <c r="G7" s="86"/>
      <c r="H7" s="86"/>
      <c r="I7" s="86"/>
      <c r="J7" s="86"/>
      <c r="K7" s="86"/>
      <c r="L7" s="86"/>
      <c r="M7" s="86"/>
      <c r="N7" s="86">
        <v>0.7631</v>
      </c>
      <c r="O7" s="86">
        <v>0.76149999999999995</v>
      </c>
      <c r="P7" s="86"/>
      <c r="Q7" s="86">
        <v>0.7</v>
      </c>
      <c r="R7" s="86">
        <v>0.75760000000000005</v>
      </c>
      <c r="S7" s="86"/>
      <c r="T7" s="86"/>
      <c r="U7" s="86"/>
      <c r="V7" s="86"/>
      <c r="W7" s="86">
        <v>0.73</v>
      </c>
      <c r="X7" s="86">
        <v>0.75949999999999995</v>
      </c>
      <c r="Y7" s="86">
        <v>0.75</v>
      </c>
      <c r="Z7" s="86">
        <v>0.67308000000000001</v>
      </c>
      <c r="AA7" s="86">
        <v>0.78112999999999999</v>
      </c>
      <c r="AB7" s="86">
        <v>0.75</v>
      </c>
      <c r="AC7" s="86"/>
      <c r="AD7" s="86"/>
      <c r="AE7" s="86"/>
      <c r="AF7" s="86">
        <v>0.69</v>
      </c>
      <c r="AG7" s="86"/>
      <c r="AH7" s="86"/>
    </row>
    <row r="8" spans="2:34" ht="15" customHeight="1" thickBot="1" x14ac:dyDescent="0.3">
      <c r="B8" s="211"/>
      <c r="C8" s="120" t="s">
        <v>338</v>
      </c>
      <c r="D8" s="86"/>
      <c r="E8" s="86"/>
      <c r="F8" s="86">
        <v>4.9200000000000001E-2</v>
      </c>
      <c r="G8" s="86"/>
      <c r="H8" s="86"/>
      <c r="I8" s="86"/>
      <c r="J8" s="86"/>
      <c r="K8" s="86"/>
      <c r="L8" s="86"/>
      <c r="M8" s="86"/>
      <c r="N8" s="86">
        <v>4.9200000000000001E-2</v>
      </c>
      <c r="O8" s="86">
        <v>5.3800000000000001E-2</v>
      </c>
      <c r="P8" s="86"/>
      <c r="Q8" s="86">
        <v>0.05</v>
      </c>
      <c r="R8" s="86">
        <v>4.8500000000000001E-2</v>
      </c>
      <c r="S8" s="86"/>
      <c r="T8" s="86"/>
      <c r="U8" s="86"/>
      <c r="V8" s="86"/>
      <c r="W8" s="86">
        <v>0.05</v>
      </c>
      <c r="X8" s="86">
        <v>4.8099999999999997E-2</v>
      </c>
      <c r="Y8" s="86">
        <v>0.05</v>
      </c>
      <c r="Z8" s="86">
        <v>3.8460000000000001E-2</v>
      </c>
      <c r="AA8" s="86">
        <v>4.9059999999999999E-2</v>
      </c>
      <c r="AB8" s="86">
        <v>0.05</v>
      </c>
      <c r="AC8" s="86"/>
      <c r="AD8" s="86"/>
      <c r="AE8" s="86"/>
      <c r="AF8" s="86">
        <v>0.05</v>
      </c>
      <c r="AG8" s="86"/>
      <c r="AH8" s="86"/>
    </row>
    <row r="9" spans="2:34" ht="15" customHeight="1" x14ac:dyDescent="0.25">
      <c r="B9" s="215" t="s">
        <v>960</v>
      </c>
      <c r="C9" s="121" t="s">
        <v>957</v>
      </c>
      <c r="D9" s="135"/>
      <c r="E9" s="135"/>
      <c r="F9" s="135"/>
      <c r="G9" s="135">
        <v>0.28000000000000003</v>
      </c>
      <c r="H9" s="135"/>
      <c r="I9" s="135"/>
      <c r="J9" s="135"/>
      <c r="K9" s="135"/>
      <c r="L9" s="135"/>
      <c r="M9" s="135">
        <v>0.23649999999999999</v>
      </c>
      <c r="N9" s="135"/>
      <c r="O9" s="135"/>
      <c r="P9" s="135">
        <v>0.25</v>
      </c>
      <c r="Q9" s="135">
        <v>0.25</v>
      </c>
      <c r="R9" s="135">
        <v>0.25</v>
      </c>
      <c r="S9" s="135"/>
      <c r="T9" s="135"/>
      <c r="U9" s="135">
        <v>0.25380000000000003</v>
      </c>
      <c r="V9" s="135">
        <v>0.2</v>
      </c>
      <c r="W9" s="135"/>
      <c r="X9" s="135"/>
      <c r="Y9" s="135"/>
      <c r="Z9" s="135">
        <v>0.29411999999999999</v>
      </c>
      <c r="AA9" s="135">
        <v>0.25385000000000002</v>
      </c>
      <c r="AB9" s="135"/>
      <c r="AC9" s="135">
        <v>0.28000000000000003</v>
      </c>
      <c r="AD9" s="135">
        <v>0.25</v>
      </c>
      <c r="AE9" s="135"/>
      <c r="AF9" s="135">
        <v>0.26350000000000001</v>
      </c>
      <c r="AG9" s="135"/>
      <c r="AH9" s="135"/>
    </row>
    <row r="10" spans="2:34" ht="15" customHeight="1" x14ac:dyDescent="0.25">
      <c r="B10" s="216"/>
      <c r="C10" s="123" t="s">
        <v>339</v>
      </c>
      <c r="D10" s="134"/>
      <c r="E10" s="134"/>
      <c r="F10" s="134"/>
      <c r="G10" s="134">
        <v>0.67</v>
      </c>
      <c r="H10" s="134"/>
      <c r="I10" s="134"/>
      <c r="J10" s="134"/>
      <c r="K10" s="134"/>
      <c r="L10" s="134"/>
      <c r="M10" s="134">
        <v>0.71350000000000002</v>
      </c>
      <c r="N10" s="134"/>
      <c r="O10" s="134"/>
      <c r="P10" s="134">
        <v>0.7</v>
      </c>
      <c r="Q10" s="134">
        <v>0.7</v>
      </c>
      <c r="R10" s="134">
        <v>0.7</v>
      </c>
      <c r="S10" s="134"/>
      <c r="T10" s="134"/>
      <c r="U10" s="134">
        <v>0.69240000000000002</v>
      </c>
      <c r="V10" s="134">
        <v>0.75</v>
      </c>
      <c r="W10" s="134"/>
      <c r="X10" s="134"/>
      <c r="Y10" s="134"/>
      <c r="Z10" s="134">
        <v>0.65441000000000005</v>
      </c>
      <c r="AA10" s="134">
        <v>0.69230999999999998</v>
      </c>
      <c r="AB10" s="134"/>
      <c r="AC10" s="134">
        <v>0.67</v>
      </c>
      <c r="AD10" s="134">
        <v>0.7</v>
      </c>
      <c r="AE10" s="134"/>
      <c r="AF10" s="134">
        <v>0.68559999999999999</v>
      </c>
      <c r="AG10" s="134"/>
      <c r="AH10" s="134"/>
    </row>
    <row r="11" spans="2:34" ht="15" customHeight="1" thickBot="1" x14ac:dyDescent="0.3">
      <c r="B11" s="221"/>
      <c r="C11" s="125" t="s">
        <v>338</v>
      </c>
      <c r="D11" s="136"/>
      <c r="E11" s="136"/>
      <c r="F11" s="136"/>
      <c r="G11" s="136">
        <v>0.05</v>
      </c>
      <c r="H11" s="136"/>
      <c r="I11" s="136"/>
      <c r="J11" s="136"/>
      <c r="K11" s="136"/>
      <c r="L11" s="136"/>
      <c r="M11" s="136">
        <v>0.05</v>
      </c>
      <c r="N11" s="136"/>
      <c r="O11" s="136"/>
      <c r="P11" s="136">
        <v>0.05</v>
      </c>
      <c r="Q11" s="136">
        <v>0.05</v>
      </c>
      <c r="R11" s="136">
        <v>0.05</v>
      </c>
      <c r="S11" s="136"/>
      <c r="T11" s="136"/>
      <c r="U11" s="136">
        <v>5.3800000000000001E-2</v>
      </c>
      <c r="V11" s="136">
        <v>0.05</v>
      </c>
      <c r="W11" s="136"/>
      <c r="X11" s="136"/>
      <c r="Y11" s="136"/>
      <c r="Z11" s="136">
        <v>5.1470000000000002E-2</v>
      </c>
      <c r="AA11" s="136">
        <v>5.3850000000000002E-2</v>
      </c>
      <c r="AB11" s="136"/>
      <c r="AC11" s="136">
        <v>0.05</v>
      </c>
      <c r="AD11" s="136">
        <v>0.05</v>
      </c>
      <c r="AE11" s="136"/>
      <c r="AF11" s="136">
        <v>5.0900000000000001E-2</v>
      </c>
      <c r="AG11" s="136"/>
      <c r="AH11" s="136"/>
    </row>
    <row r="12" spans="2:34" ht="15" customHeight="1" x14ac:dyDescent="0.25">
      <c r="B12" s="222" t="s">
        <v>1086</v>
      </c>
      <c r="C12" s="151" t="s">
        <v>957</v>
      </c>
      <c r="D12" s="152"/>
      <c r="E12" s="152"/>
      <c r="F12" s="152"/>
      <c r="G12" s="152"/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2"/>
      <c r="U12" s="152"/>
      <c r="V12" s="152"/>
      <c r="W12" s="152"/>
      <c r="X12" s="152"/>
      <c r="Y12" s="152"/>
      <c r="Z12" s="152"/>
      <c r="AA12" s="152"/>
      <c r="AB12" s="152"/>
      <c r="AC12" s="152"/>
      <c r="AD12" s="152"/>
      <c r="AE12" s="152"/>
      <c r="AF12" s="152"/>
      <c r="AG12" s="152"/>
      <c r="AH12" s="152"/>
    </row>
    <row r="13" spans="2:34" ht="15" customHeight="1" x14ac:dyDescent="0.25">
      <c r="B13" s="223"/>
      <c r="C13" s="90" t="s">
        <v>339</v>
      </c>
      <c r="D13" s="149"/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  <c r="AC13" s="149"/>
      <c r="AD13" s="149"/>
      <c r="AE13" s="149"/>
      <c r="AF13" s="149"/>
      <c r="AG13" s="149"/>
      <c r="AH13" s="149"/>
    </row>
    <row r="14" spans="2:34" ht="15" customHeight="1" thickBot="1" x14ac:dyDescent="0.3">
      <c r="B14" s="224"/>
      <c r="C14" s="92" t="s">
        <v>338</v>
      </c>
      <c r="D14" s="150"/>
      <c r="E14" s="150"/>
      <c r="F14" s="150"/>
      <c r="G14" s="150"/>
      <c r="H14" s="150"/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150"/>
      <c r="T14" s="150"/>
      <c r="U14" s="150"/>
      <c r="V14" s="150"/>
      <c r="W14" s="150"/>
      <c r="X14" s="150"/>
      <c r="Y14" s="150"/>
      <c r="Z14" s="150"/>
      <c r="AA14" s="150"/>
      <c r="AB14" s="150"/>
      <c r="AC14" s="150"/>
      <c r="AD14" s="150"/>
      <c r="AE14" s="150"/>
      <c r="AF14" s="150"/>
      <c r="AG14" s="150"/>
      <c r="AH14" s="150"/>
    </row>
    <row r="15" spans="2:34" ht="6.75" customHeight="1" thickBot="1" x14ac:dyDescent="0.3"/>
    <row r="16" spans="2:34" ht="15" customHeight="1" thickBot="1" x14ac:dyDescent="0.3">
      <c r="B16" s="95" t="s">
        <v>964</v>
      </c>
      <c r="C16" s="94" t="s">
        <v>963</v>
      </c>
      <c r="D16" s="94" t="s">
        <v>1459</v>
      </c>
      <c r="E16" s="94" t="str">
        <f t="shared" ref="E16:J16" si="1">E2</f>
        <v>02.01.2026</v>
      </c>
      <c r="F16" s="94" t="str">
        <f t="shared" si="1"/>
        <v>03.01.2026</v>
      </c>
      <c r="G16" s="94" t="str">
        <f t="shared" si="1"/>
        <v>04.01.2026</v>
      </c>
      <c r="H16" s="94" t="str">
        <f t="shared" si="1"/>
        <v>05.01.2026</v>
      </c>
      <c r="I16" s="94" t="str">
        <f t="shared" si="1"/>
        <v>06.01.2026</v>
      </c>
      <c r="J16" s="94" t="str">
        <f t="shared" si="1"/>
        <v>07.01.2026</v>
      </c>
      <c r="K16" s="94" t="str">
        <f t="shared" ref="K16:L16" si="2">K2</f>
        <v>08.01.2026</v>
      </c>
      <c r="L16" s="94" t="str">
        <f t="shared" si="2"/>
        <v>09.01.2026</v>
      </c>
      <c r="M16" s="94" t="str">
        <f t="shared" ref="M16:O16" si="3">M2</f>
        <v>10.01.2026</v>
      </c>
      <c r="N16" s="94" t="str">
        <f t="shared" si="3"/>
        <v>11.01.2026</v>
      </c>
      <c r="O16" s="94" t="str">
        <f t="shared" si="3"/>
        <v>12.01.2026</v>
      </c>
      <c r="P16" s="94" t="str">
        <f t="shared" ref="P16:Q16" si="4">P2</f>
        <v>13.01.2026</v>
      </c>
      <c r="Q16" s="94" t="str">
        <f t="shared" si="4"/>
        <v>14.01.2026</v>
      </c>
      <c r="R16" s="94" t="str">
        <f t="shared" ref="R16:S16" si="5">R2</f>
        <v>15.01.2026</v>
      </c>
      <c r="S16" s="94" t="str">
        <f t="shared" si="5"/>
        <v>16.01.2026</v>
      </c>
      <c r="T16" s="94" t="str">
        <f t="shared" ref="T16:U16" si="6">T2</f>
        <v>17.01.2026</v>
      </c>
      <c r="U16" s="94" t="str">
        <f t="shared" si="6"/>
        <v>18.01.2026</v>
      </c>
      <c r="V16" s="94" t="str">
        <f t="shared" ref="V16:W16" si="7">V2</f>
        <v>19.01.2026</v>
      </c>
      <c r="W16" s="94" t="str">
        <f t="shared" si="7"/>
        <v>20.01.2026</v>
      </c>
      <c r="X16" s="94" t="str">
        <f t="shared" ref="X16:Y16" si="8">X2</f>
        <v>21.01.2026</v>
      </c>
      <c r="Y16" s="94" t="str">
        <f t="shared" si="8"/>
        <v>22.01.2026</v>
      </c>
      <c r="Z16" s="94" t="str">
        <f t="shared" ref="Z16:AA16" si="9">Z2</f>
        <v>23.01.2026</v>
      </c>
      <c r="AA16" s="94" t="str">
        <f t="shared" si="9"/>
        <v>24.01.2026</v>
      </c>
      <c r="AB16" s="94" t="str">
        <f t="shared" ref="AB16:AC16" si="10">AB2</f>
        <v>25.01.2026</v>
      </c>
      <c r="AC16" s="94" t="str">
        <f t="shared" si="10"/>
        <v>26.01.2026</v>
      </c>
      <c r="AD16" s="94" t="str">
        <f t="shared" ref="AD16:AE16" si="11">AD2</f>
        <v>27.01.2026</v>
      </c>
      <c r="AE16" s="94" t="str">
        <f t="shared" si="11"/>
        <v>28.01.2026</v>
      </c>
      <c r="AF16" s="94" t="str">
        <f t="shared" ref="AF16:AG16" si="12">AF2</f>
        <v>29.01.2026</v>
      </c>
      <c r="AG16" s="94" t="str">
        <f t="shared" si="12"/>
        <v>30.01.2026</v>
      </c>
      <c r="AH16" s="94" t="str">
        <f t="shared" ref="AH16" si="13">AH2</f>
        <v>31.01.2026</v>
      </c>
    </row>
    <row r="17" spans="2:34" ht="15" customHeight="1" x14ac:dyDescent="0.25">
      <c r="B17" s="206" t="s">
        <v>958</v>
      </c>
      <c r="C17" s="81" t="s">
        <v>957</v>
      </c>
      <c r="D17" s="117">
        <v>0.17</v>
      </c>
      <c r="E17" s="117">
        <v>0.16003000000000001</v>
      </c>
      <c r="F17" s="117">
        <v>0.17</v>
      </c>
      <c r="G17" s="117">
        <v>0.16</v>
      </c>
      <c r="H17" s="117">
        <v>0.17</v>
      </c>
      <c r="I17" s="117">
        <v>0.16</v>
      </c>
      <c r="J17" s="117">
        <v>0.17</v>
      </c>
      <c r="K17" s="117">
        <v>0.16</v>
      </c>
      <c r="L17" s="117">
        <v>0.15459000000000001</v>
      </c>
      <c r="M17" s="117">
        <v>0.16200000000000001</v>
      </c>
      <c r="N17" s="117">
        <v>0.17499999999999999</v>
      </c>
      <c r="O17" s="117">
        <v>0.16400000000000001</v>
      </c>
      <c r="P17" s="117">
        <v>0.16</v>
      </c>
      <c r="Q17" s="117">
        <v>0.16</v>
      </c>
      <c r="R17" s="117">
        <v>0.16200000000000001</v>
      </c>
      <c r="S17" s="117">
        <v>0.15451000000000001</v>
      </c>
      <c r="T17" s="117">
        <v>0.16</v>
      </c>
      <c r="U17" s="117">
        <v>0.17</v>
      </c>
      <c r="V17" s="117">
        <v>0.16</v>
      </c>
      <c r="W17" s="117">
        <v>0.16200000000000001</v>
      </c>
      <c r="X17" s="117">
        <v>0.16</v>
      </c>
      <c r="Y17" s="117">
        <v>0.16200000000000001</v>
      </c>
      <c r="Z17" s="117">
        <v>0.15669</v>
      </c>
      <c r="AA17" s="117">
        <v>0.15384999999999999</v>
      </c>
      <c r="AB17" s="117">
        <v>0.16500000000000001</v>
      </c>
      <c r="AC17" s="117">
        <v>0.17499999999999999</v>
      </c>
      <c r="AD17" s="117">
        <v>0.17</v>
      </c>
      <c r="AE17" s="117">
        <v>0.17499999999999999</v>
      </c>
      <c r="AF17" s="117">
        <v>0.17499999999999999</v>
      </c>
      <c r="AG17" s="117">
        <v>0.17499999999999999</v>
      </c>
      <c r="AH17" s="117">
        <v>0.17269999999999999</v>
      </c>
    </row>
    <row r="18" spans="2:34" ht="15" customHeight="1" x14ac:dyDescent="0.25">
      <c r="B18" s="207"/>
      <c r="C18" s="83" t="s">
        <v>339</v>
      </c>
      <c r="D18" s="84">
        <v>0.78</v>
      </c>
      <c r="E18" s="84">
        <v>0.78985000000000005</v>
      </c>
      <c r="F18" s="84">
        <v>0.78</v>
      </c>
      <c r="G18" s="84">
        <v>0.79</v>
      </c>
      <c r="H18" s="84">
        <v>0.78</v>
      </c>
      <c r="I18" s="84">
        <v>0.79</v>
      </c>
      <c r="J18" s="84">
        <v>0.78</v>
      </c>
      <c r="K18" s="84">
        <v>0.79</v>
      </c>
      <c r="L18" s="84">
        <v>0.79476000000000002</v>
      </c>
      <c r="M18" s="84">
        <v>0.78800000000000003</v>
      </c>
      <c r="N18" s="84">
        <v>0.77500000000000002</v>
      </c>
      <c r="O18" s="84">
        <v>0.78600000000000003</v>
      </c>
      <c r="P18" s="84">
        <v>0.79</v>
      </c>
      <c r="Q18" s="84">
        <v>0.79</v>
      </c>
      <c r="R18" s="84">
        <v>0.78800000000000003</v>
      </c>
      <c r="S18" s="84">
        <v>0.79462999999999995</v>
      </c>
      <c r="T18" s="84">
        <v>0.79</v>
      </c>
      <c r="U18" s="84">
        <v>0.78</v>
      </c>
      <c r="V18" s="84">
        <v>0.79</v>
      </c>
      <c r="W18" s="84">
        <v>0.78800000000000003</v>
      </c>
      <c r="X18" s="84">
        <v>0.79</v>
      </c>
      <c r="Y18" s="84">
        <v>0.78800000000000003</v>
      </c>
      <c r="Z18" s="84">
        <v>0.79291</v>
      </c>
      <c r="AA18" s="84">
        <v>0.79676000000000002</v>
      </c>
      <c r="AB18" s="84">
        <v>0.78500000000000003</v>
      </c>
      <c r="AC18" s="84">
        <v>0.77500000000000002</v>
      </c>
      <c r="AD18" s="84">
        <v>0.78</v>
      </c>
      <c r="AE18" s="84">
        <v>0.77500000000000002</v>
      </c>
      <c r="AF18" s="84">
        <v>0.77500000000000002</v>
      </c>
      <c r="AG18" s="84">
        <v>0.77500000000000002</v>
      </c>
      <c r="AH18" s="84">
        <v>0.78759999999999997</v>
      </c>
    </row>
    <row r="19" spans="2:34" ht="15" customHeight="1" thickBot="1" x14ac:dyDescent="0.3">
      <c r="B19" s="208"/>
      <c r="C19" s="83" t="s">
        <v>338</v>
      </c>
      <c r="D19" s="84">
        <v>0.05</v>
      </c>
      <c r="E19" s="84">
        <v>5.0130000000000001E-2</v>
      </c>
      <c r="F19" s="84">
        <v>0.05</v>
      </c>
      <c r="G19" s="84">
        <v>0.05</v>
      </c>
      <c r="H19" s="84">
        <v>0.05</v>
      </c>
      <c r="I19" s="84">
        <v>0.05</v>
      </c>
      <c r="J19" s="84">
        <v>0.05</v>
      </c>
      <c r="K19" s="84">
        <v>0.05</v>
      </c>
      <c r="L19" s="84">
        <v>5.0659999999999997E-2</v>
      </c>
      <c r="M19" s="84">
        <v>0.05</v>
      </c>
      <c r="N19" s="84">
        <v>0.05</v>
      </c>
      <c r="O19" s="84">
        <v>0.05</v>
      </c>
      <c r="P19" s="84">
        <v>0.05</v>
      </c>
      <c r="Q19" s="84">
        <v>0.05</v>
      </c>
      <c r="R19" s="84">
        <v>0.05</v>
      </c>
      <c r="S19" s="84">
        <v>5.0860000000000002E-2</v>
      </c>
      <c r="T19" s="84">
        <v>0.05</v>
      </c>
      <c r="U19" s="84">
        <v>0.05</v>
      </c>
      <c r="V19" s="84">
        <v>0.05</v>
      </c>
      <c r="W19" s="84">
        <v>0.05</v>
      </c>
      <c r="X19" s="84">
        <v>0.05</v>
      </c>
      <c r="Y19" s="84">
        <v>0.05</v>
      </c>
      <c r="Z19" s="84">
        <v>5.0389999999999997E-2</v>
      </c>
      <c r="AA19" s="84">
        <v>4.9390000000000003E-2</v>
      </c>
      <c r="AB19" s="84">
        <v>0.05</v>
      </c>
      <c r="AC19" s="84">
        <v>0.05</v>
      </c>
      <c r="AD19" s="84">
        <v>0.05</v>
      </c>
      <c r="AE19" s="84">
        <v>0.05</v>
      </c>
      <c r="AF19" s="84">
        <v>0.05</v>
      </c>
      <c r="AG19" s="84">
        <v>0.05</v>
      </c>
      <c r="AH19" s="84">
        <v>3.9699999999999999E-2</v>
      </c>
    </row>
    <row r="20" spans="2:34" ht="15" customHeight="1" x14ac:dyDescent="0.25">
      <c r="B20" s="209" t="s">
        <v>959</v>
      </c>
      <c r="C20" s="85" t="s">
        <v>957</v>
      </c>
      <c r="D20" s="132"/>
      <c r="E20" s="132"/>
      <c r="F20" s="132">
        <v>0.19170000000000001</v>
      </c>
      <c r="G20" s="132">
        <v>0.21310000000000001</v>
      </c>
      <c r="H20" s="132">
        <v>0.2833</v>
      </c>
      <c r="I20" s="132">
        <v>0.22</v>
      </c>
      <c r="J20" s="132">
        <v>0.2</v>
      </c>
      <c r="K20" s="132">
        <v>0.22</v>
      </c>
      <c r="L20" s="132"/>
      <c r="M20" s="132"/>
      <c r="N20" s="132"/>
      <c r="O20" s="132"/>
      <c r="P20" s="132">
        <v>0.22</v>
      </c>
      <c r="Q20" s="132"/>
      <c r="R20" s="132"/>
      <c r="S20" s="132">
        <v>0.18065000000000001</v>
      </c>
      <c r="T20" s="132">
        <v>0.23</v>
      </c>
      <c r="U20" s="132">
        <v>0.24</v>
      </c>
      <c r="V20" s="132"/>
      <c r="W20" s="132"/>
      <c r="X20" s="132"/>
      <c r="Y20" s="132">
        <v>0.21</v>
      </c>
      <c r="Z20" s="132"/>
      <c r="AA20" s="132">
        <v>0.15384999999999999</v>
      </c>
      <c r="AB20" s="132"/>
      <c r="AC20" s="132">
        <v>0.15260000000000001</v>
      </c>
      <c r="AD20" s="132">
        <v>0.2</v>
      </c>
      <c r="AE20" s="132">
        <v>0.2051</v>
      </c>
      <c r="AF20" s="132"/>
      <c r="AG20" s="132">
        <v>0.18920000000000001</v>
      </c>
      <c r="AH20" s="132"/>
    </row>
    <row r="21" spans="2:34" ht="15" customHeight="1" x14ac:dyDescent="0.25">
      <c r="B21" s="210"/>
      <c r="C21" s="87" t="s">
        <v>339</v>
      </c>
      <c r="D21" s="86"/>
      <c r="E21" s="86"/>
      <c r="F21" s="86">
        <v>0.75829999999999997</v>
      </c>
      <c r="G21" s="86">
        <v>0.73770000000000002</v>
      </c>
      <c r="H21" s="86">
        <v>0.66379999999999995</v>
      </c>
      <c r="I21" s="86">
        <v>0.73</v>
      </c>
      <c r="J21" s="86">
        <v>0.752</v>
      </c>
      <c r="K21" s="86">
        <v>0.73</v>
      </c>
      <c r="L21" s="86"/>
      <c r="M21" s="86"/>
      <c r="N21" s="86"/>
      <c r="O21" s="86"/>
      <c r="P21" s="86">
        <v>0.73</v>
      </c>
      <c r="Q21" s="86"/>
      <c r="R21" s="86"/>
      <c r="S21" s="86">
        <v>0.77097000000000004</v>
      </c>
      <c r="T21" s="86">
        <v>0.72</v>
      </c>
      <c r="U21" s="86">
        <v>0.71</v>
      </c>
      <c r="V21" s="86"/>
      <c r="W21" s="86"/>
      <c r="X21" s="86"/>
      <c r="Y21" s="86">
        <v>0.74</v>
      </c>
      <c r="Z21" s="86"/>
      <c r="AA21" s="86">
        <v>0.80769000000000002</v>
      </c>
      <c r="AB21" s="86"/>
      <c r="AC21" s="86">
        <v>0.7974</v>
      </c>
      <c r="AD21" s="86">
        <v>0.74590000000000001</v>
      </c>
      <c r="AE21" s="86">
        <v>0.74619999999999997</v>
      </c>
      <c r="AF21" s="86"/>
      <c r="AG21" s="86">
        <v>0.75949999999999995</v>
      </c>
      <c r="AH21" s="86"/>
    </row>
    <row r="22" spans="2:34" ht="15" customHeight="1" thickBot="1" x14ac:dyDescent="0.3">
      <c r="B22" s="211"/>
      <c r="C22" s="87" t="s">
        <v>338</v>
      </c>
      <c r="D22" s="86"/>
      <c r="E22" s="86"/>
      <c r="F22" s="86">
        <v>0.05</v>
      </c>
      <c r="G22" s="86">
        <v>4.9200000000000001E-2</v>
      </c>
      <c r="H22" s="86">
        <v>5.2900000000000003E-2</v>
      </c>
      <c r="I22" s="86">
        <v>0.05</v>
      </c>
      <c r="J22" s="86">
        <v>4.8000000000000001E-2</v>
      </c>
      <c r="K22" s="86">
        <v>0.05</v>
      </c>
      <c r="L22" s="86"/>
      <c r="M22" s="86"/>
      <c r="N22" s="86"/>
      <c r="O22" s="86"/>
      <c r="P22" s="86">
        <v>0.05</v>
      </c>
      <c r="Q22" s="86"/>
      <c r="R22" s="86"/>
      <c r="S22" s="86">
        <v>4.8390000000000002E-2</v>
      </c>
      <c r="T22" s="86">
        <v>0.05</v>
      </c>
      <c r="U22" s="86">
        <v>0.05</v>
      </c>
      <c r="V22" s="86"/>
      <c r="W22" s="86"/>
      <c r="X22" s="86"/>
      <c r="Y22" s="86">
        <v>0.05</v>
      </c>
      <c r="Z22" s="86"/>
      <c r="AA22" s="86">
        <v>3.8460000000000001E-2</v>
      </c>
      <c r="AB22" s="86"/>
      <c r="AC22" s="86">
        <v>0.05</v>
      </c>
      <c r="AD22" s="86">
        <v>5.4050000000000001E-2</v>
      </c>
      <c r="AE22" s="86">
        <v>4.87E-2</v>
      </c>
      <c r="AF22" s="86"/>
      <c r="AG22" s="86">
        <v>5.1299999999999998E-2</v>
      </c>
      <c r="AH22" s="86"/>
    </row>
    <row r="23" spans="2:34" ht="15" customHeight="1" x14ac:dyDescent="0.25">
      <c r="B23" s="200" t="s">
        <v>960</v>
      </c>
      <c r="C23" s="88" t="s">
        <v>957</v>
      </c>
      <c r="D23" s="135"/>
      <c r="E23" s="135"/>
      <c r="F23" s="135">
        <v>0.2</v>
      </c>
      <c r="G23" s="135">
        <v>0.28999999999999998</v>
      </c>
      <c r="H23" s="135">
        <v>0.27</v>
      </c>
      <c r="I23" s="135">
        <v>0.28999999999999998</v>
      </c>
      <c r="J23" s="135"/>
      <c r="K23" s="135"/>
      <c r="L23" s="135"/>
      <c r="M23" s="135"/>
      <c r="N23" s="135">
        <v>0.28999999999999998</v>
      </c>
      <c r="O23" s="135"/>
      <c r="P23" s="135"/>
      <c r="Q23" s="135"/>
      <c r="R23" s="135"/>
      <c r="S23" s="135"/>
      <c r="T23" s="135"/>
      <c r="U23" s="135"/>
      <c r="V23" s="135">
        <v>0.25</v>
      </c>
      <c r="W23" s="135"/>
      <c r="X23" s="135"/>
      <c r="Y23" s="135"/>
      <c r="Z23" s="135"/>
      <c r="AA23" s="135">
        <v>0.29231000000000001</v>
      </c>
      <c r="AB23" s="135">
        <v>0.24</v>
      </c>
      <c r="AC23" s="135"/>
      <c r="AD23" s="135"/>
      <c r="AE23" s="135"/>
      <c r="AF23" s="135">
        <v>0.26</v>
      </c>
      <c r="AG23" s="135"/>
      <c r="AH23" s="135">
        <v>0.2787</v>
      </c>
    </row>
    <row r="24" spans="2:34" ht="15" customHeight="1" x14ac:dyDescent="0.25">
      <c r="B24" s="201"/>
      <c r="C24" s="90" t="s">
        <v>339</v>
      </c>
      <c r="D24" s="134"/>
      <c r="E24" s="134"/>
      <c r="F24" s="134">
        <v>0.75</v>
      </c>
      <c r="G24" s="134">
        <v>0.66</v>
      </c>
      <c r="H24" s="134">
        <v>0.68</v>
      </c>
      <c r="I24" s="134">
        <v>0.66</v>
      </c>
      <c r="J24" s="134"/>
      <c r="K24" s="134"/>
      <c r="L24" s="134"/>
      <c r="M24" s="134"/>
      <c r="N24" s="134">
        <v>0.66</v>
      </c>
      <c r="O24" s="134"/>
      <c r="P24" s="134"/>
      <c r="Q24" s="134"/>
      <c r="R24" s="134"/>
      <c r="S24" s="134"/>
      <c r="T24" s="134"/>
      <c r="U24" s="134"/>
      <c r="V24" s="134">
        <v>0.7</v>
      </c>
      <c r="W24" s="134"/>
      <c r="X24" s="134"/>
      <c r="Y24" s="134"/>
      <c r="Z24" s="134"/>
      <c r="AA24" s="134">
        <v>0.65385000000000004</v>
      </c>
      <c r="AB24" s="134">
        <v>0.71</v>
      </c>
      <c r="AC24" s="134"/>
      <c r="AD24" s="134"/>
      <c r="AE24" s="134"/>
      <c r="AF24" s="134">
        <v>0.69</v>
      </c>
      <c r="AG24" s="134"/>
      <c r="AH24" s="134">
        <v>0.67130000000000001</v>
      </c>
    </row>
    <row r="25" spans="2:34" ht="15" customHeight="1" thickBot="1" x14ac:dyDescent="0.3">
      <c r="B25" s="212"/>
      <c r="C25" s="108" t="s">
        <v>338</v>
      </c>
      <c r="D25" s="136"/>
      <c r="E25" s="136"/>
      <c r="F25" s="136">
        <v>0.05</v>
      </c>
      <c r="G25" s="136">
        <v>0.05</v>
      </c>
      <c r="H25" s="136">
        <v>0.05</v>
      </c>
      <c r="I25" s="136">
        <v>0.05</v>
      </c>
      <c r="J25" s="136"/>
      <c r="K25" s="136"/>
      <c r="L25" s="136"/>
      <c r="M25" s="136"/>
      <c r="N25" s="136">
        <v>0.05</v>
      </c>
      <c r="O25" s="136"/>
      <c r="P25" s="136"/>
      <c r="Q25" s="136"/>
      <c r="R25" s="136"/>
      <c r="S25" s="136"/>
      <c r="T25" s="136"/>
      <c r="U25" s="136"/>
      <c r="V25" s="136">
        <v>0.05</v>
      </c>
      <c r="W25" s="136"/>
      <c r="X25" s="136"/>
      <c r="Y25" s="136"/>
      <c r="Z25" s="136"/>
      <c r="AA25" s="136">
        <v>5.3850000000000002E-2</v>
      </c>
      <c r="AB25" s="136">
        <v>0.05</v>
      </c>
      <c r="AC25" s="136"/>
      <c r="AD25" s="136"/>
      <c r="AE25" s="136"/>
      <c r="AF25" s="136">
        <v>5.0900000000000001E-2</v>
      </c>
      <c r="AG25" s="136"/>
      <c r="AH25" s="136">
        <v>0.05</v>
      </c>
    </row>
    <row r="26" spans="2:34" ht="15" customHeight="1" x14ac:dyDescent="0.25">
      <c r="B26" s="218" t="s">
        <v>1086</v>
      </c>
      <c r="C26" s="88" t="s">
        <v>957</v>
      </c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156"/>
      <c r="S26" s="156"/>
      <c r="T26" s="156"/>
      <c r="U26" s="156"/>
      <c r="V26" s="156"/>
      <c r="W26" s="156"/>
      <c r="X26" s="156"/>
      <c r="Y26" s="156"/>
      <c r="Z26" s="156"/>
      <c r="AA26" s="156"/>
      <c r="AB26" s="156"/>
      <c r="AC26" s="156"/>
      <c r="AD26" s="156"/>
      <c r="AE26" s="156"/>
      <c r="AF26" s="156"/>
      <c r="AG26" s="156"/>
      <c r="AH26" s="156"/>
    </row>
    <row r="27" spans="2:34" ht="15" customHeight="1" x14ac:dyDescent="0.25">
      <c r="B27" s="219"/>
      <c r="C27" s="90" t="s">
        <v>339</v>
      </c>
      <c r="D27" s="138">
        <v>0.95830000000000004</v>
      </c>
      <c r="E27" s="138">
        <v>0.95833000000000002</v>
      </c>
      <c r="F27" s="138">
        <v>0.95330000000000004</v>
      </c>
      <c r="G27" s="138">
        <v>0.95</v>
      </c>
      <c r="H27" s="138">
        <v>0.96109999999999995</v>
      </c>
      <c r="I27" s="138">
        <v>0.94440000000000002</v>
      </c>
      <c r="J27" s="138">
        <v>0.94440000000000002</v>
      </c>
      <c r="K27" s="138">
        <v>0.94899999999999995</v>
      </c>
      <c r="L27" s="138">
        <v>0.95555999999999996</v>
      </c>
      <c r="M27" s="138">
        <v>0.95830000000000004</v>
      </c>
      <c r="N27" s="138">
        <v>0.95</v>
      </c>
      <c r="O27" s="138"/>
      <c r="P27" s="138">
        <v>0.95830000000000004</v>
      </c>
      <c r="Q27" s="138">
        <v>0.9516</v>
      </c>
      <c r="R27" s="138">
        <v>0.94450000000000001</v>
      </c>
      <c r="S27" s="138">
        <v>0.95833000000000002</v>
      </c>
      <c r="T27" s="138">
        <v>0.95</v>
      </c>
      <c r="U27" s="138"/>
      <c r="V27" s="138">
        <v>0.95830000000000004</v>
      </c>
      <c r="W27" s="138">
        <v>0.94589999999999996</v>
      </c>
      <c r="X27" s="138"/>
      <c r="Y27" s="138">
        <v>0.9355</v>
      </c>
      <c r="Z27" s="138">
        <v>0.95</v>
      </c>
      <c r="AA27" s="138">
        <v>0.95</v>
      </c>
      <c r="AB27" s="138"/>
      <c r="AC27" s="138">
        <v>0.95409999999999995</v>
      </c>
      <c r="AD27" s="138">
        <v>0.95420000000000005</v>
      </c>
      <c r="AE27" s="138">
        <v>0.95</v>
      </c>
      <c r="AF27" s="138"/>
      <c r="AG27" s="138">
        <v>0.95</v>
      </c>
      <c r="AH27" s="138">
        <v>0.95</v>
      </c>
    </row>
    <row r="28" spans="2:34" ht="15" customHeight="1" x14ac:dyDescent="0.25">
      <c r="B28" s="220"/>
      <c r="C28" s="108" t="s">
        <v>338</v>
      </c>
      <c r="D28" s="156">
        <v>4.1700000000000001E-2</v>
      </c>
      <c r="E28" s="156">
        <v>4.1669999999999999E-2</v>
      </c>
      <c r="F28" s="156">
        <v>4.6699999999999998E-2</v>
      </c>
      <c r="G28" s="156">
        <v>0.05</v>
      </c>
      <c r="H28" s="156">
        <v>3.8899999999999997E-2</v>
      </c>
      <c r="I28" s="156">
        <v>5.5599999999999997E-2</v>
      </c>
      <c r="J28" s="156">
        <v>5.5599999999999997E-2</v>
      </c>
      <c r="K28" s="156">
        <v>5.0999999999999997E-2</v>
      </c>
      <c r="L28" s="156">
        <v>4.444E-2</v>
      </c>
      <c r="M28" s="156">
        <v>4.1700000000000001E-2</v>
      </c>
      <c r="N28" s="156">
        <v>0.05</v>
      </c>
      <c r="O28" s="156"/>
      <c r="P28" s="156">
        <v>4.1700000000000001E-2</v>
      </c>
      <c r="Q28" s="156">
        <v>4.8399999999999999E-2</v>
      </c>
      <c r="R28" s="156">
        <v>5.5500000000000001E-2</v>
      </c>
      <c r="S28" s="156">
        <v>4.1669999999999999E-2</v>
      </c>
      <c r="T28" s="156">
        <v>0.05</v>
      </c>
      <c r="U28" s="156"/>
      <c r="V28" s="156">
        <v>4.1700000000000001E-2</v>
      </c>
      <c r="W28" s="156">
        <v>5.4100000000000002E-2</v>
      </c>
      <c r="X28" s="156"/>
      <c r="Y28" s="156">
        <v>6.4500000000000002E-2</v>
      </c>
      <c r="Z28" s="156">
        <v>0.05</v>
      </c>
      <c r="AA28" s="156">
        <v>0.05</v>
      </c>
      <c r="AB28" s="156"/>
      <c r="AC28" s="156">
        <v>4.5900000000000003E-2</v>
      </c>
      <c r="AD28" s="156">
        <v>4.58E-2</v>
      </c>
      <c r="AE28" s="156">
        <v>0.05</v>
      </c>
      <c r="AF28" s="156"/>
      <c r="AG28" s="156">
        <v>0.05</v>
      </c>
      <c r="AH28" s="156">
        <v>0.05</v>
      </c>
    </row>
    <row r="29" spans="2:34" ht="15" customHeight="1" x14ac:dyDescent="0.25">
      <c r="B29" s="34" t="s">
        <v>7</v>
      </c>
      <c r="C29" s="34"/>
      <c r="D29" s="160">
        <v>5200</v>
      </c>
      <c r="E29" s="160">
        <v>5200</v>
      </c>
      <c r="F29" s="160">
        <v>5050</v>
      </c>
      <c r="G29" s="160">
        <v>5200</v>
      </c>
      <c r="H29" s="160">
        <v>5199</v>
      </c>
      <c r="I29" s="160">
        <v>5200</v>
      </c>
      <c r="J29" s="160">
        <v>5200</v>
      </c>
      <c r="K29" s="160">
        <v>5200</v>
      </c>
      <c r="L29" s="160">
        <v>5200</v>
      </c>
      <c r="M29" s="160">
        <v>5200</v>
      </c>
      <c r="N29" s="160">
        <v>5200</v>
      </c>
      <c r="O29" s="160">
        <v>5200</v>
      </c>
      <c r="P29" s="160">
        <v>5200</v>
      </c>
      <c r="Q29" s="160">
        <v>5200</v>
      </c>
      <c r="R29" s="160">
        <v>5200</v>
      </c>
      <c r="S29" s="160">
        <v>5100</v>
      </c>
      <c r="T29" s="160">
        <v>5150</v>
      </c>
      <c r="U29" s="160">
        <v>5100</v>
      </c>
      <c r="V29" s="160">
        <v>5100</v>
      </c>
      <c r="W29" s="160">
        <v>5100</v>
      </c>
      <c r="X29" s="160">
        <v>5100</v>
      </c>
      <c r="Y29" s="160">
        <v>5100</v>
      </c>
      <c r="Z29" s="160">
        <v>5100</v>
      </c>
      <c r="AA29" s="160">
        <v>5100</v>
      </c>
      <c r="AB29" s="160">
        <v>5100</v>
      </c>
      <c r="AC29" s="160">
        <v>5100</v>
      </c>
      <c r="AD29" s="160">
        <v>5100</v>
      </c>
      <c r="AE29" s="160">
        <v>5100</v>
      </c>
      <c r="AF29" s="160">
        <v>5100</v>
      </c>
      <c r="AG29" s="160">
        <v>5100</v>
      </c>
      <c r="AH29" s="160">
        <v>5100</v>
      </c>
    </row>
    <row r="30" spans="2:34" ht="7.5" customHeight="1" thickBot="1" x14ac:dyDescent="0.3"/>
    <row r="31" spans="2:34" s="164" customFormat="1" ht="12.75" customHeight="1" thickBot="1" x14ac:dyDescent="0.3">
      <c r="B31" s="227" t="s">
        <v>1002</v>
      </c>
      <c r="C31" s="228"/>
      <c r="D31" s="163">
        <v>78.84</v>
      </c>
      <c r="E31" s="163">
        <v>78.84</v>
      </c>
      <c r="F31" s="163">
        <v>79.430000000000007</v>
      </c>
      <c r="G31" s="163">
        <v>76.62</v>
      </c>
      <c r="H31" s="163">
        <v>76.61822377101312</v>
      </c>
      <c r="I31" s="163">
        <v>78.919708028905163</v>
      </c>
      <c r="J31" s="163">
        <v>78.760942760942825</v>
      </c>
      <c r="K31" s="163">
        <v>79.95</v>
      </c>
      <c r="L31" s="163">
        <v>80.45677009918434</v>
      </c>
      <c r="M31" s="163">
        <v>78.254441834260831</v>
      </c>
      <c r="N31" s="163">
        <v>79.043523675557125</v>
      </c>
      <c r="O31" s="163">
        <v>78.684139325338094</v>
      </c>
      <c r="P31" s="163">
        <v>77.98</v>
      </c>
      <c r="Q31" s="163">
        <v>77.869424692962568</v>
      </c>
      <c r="R31" s="163">
        <v>78.44255319142718</v>
      </c>
      <c r="S31" s="163">
        <v>80.909694611029209</v>
      </c>
      <c r="T31" s="163">
        <v>78.445350734094689</v>
      </c>
      <c r="U31" s="163">
        <v>76.806170354211972</v>
      </c>
      <c r="V31" s="163">
        <v>78.709999999999994</v>
      </c>
      <c r="W31" s="163">
        <v>80.150000000000006</v>
      </c>
      <c r="X31" s="163">
        <v>78.551210419683443</v>
      </c>
      <c r="Y31" s="163">
        <v>78.400000000000006</v>
      </c>
      <c r="Z31" s="163">
        <v>78.48510647148936</v>
      </c>
      <c r="AA31" s="163">
        <v>78.819875908426482</v>
      </c>
      <c r="AB31" s="163">
        <v>77.650000000000006</v>
      </c>
      <c r="AC31" s="163">
        <v>79.900000000000006</v>
      </c>
      <c r="AD31" s="163">
        <v>79.12</v>
      </c>
      <c r="AE31" s="163">
        <v>77.48</v>
      </c>
      <c r="AF31" s="163">
        <v>76.09</v>
      </c>
      <c r="AG31" s="163">
        <v>78.400000000000006</v>
      </c>
      <c r="AH31" s="163">
        <v>76.91</v>
      </c>
    </row>
    <row r="32" spans="2:34" ht="12.75" customHeight="1" x14ac:dyDescent="0.25">
      <c r="B32" s="114"/>
    </row>
    <row r="33" spans="2:2" ht="12.75" customHeight="1" x14ac:dyDescent="0.25">
      <c r="B33" s="114"/>
    </row>
    <row r="34" spans="2:2" ht="12.75" customHeight="1" x14ac:dyDescent="0.25">
      <c r="B34" s="114"/>
    </row>
    <row r="35" spans="2:2" ht="12.75" customHeight="1" x14ac:dyDescent="0.25">
      <c r="B35" s="114"/>
    </row>
    <row r="36" spans="2:2" ht="12.75" customHeight="1" x14ac:dyDescent="0.25">
      <c r="B36" s="114"/>
    </row>
    <row r="37" spans="2:2" ht="12.75" customHeight="1" x14ac:dyDescent="0.25">
      <c r="B37" s="114"/>
    </row>
    <row r="38" spans="2:2" ht="12.75" customHeight="1" x14ac:dyDescent="0.25">
      <c r="B38" s="114"/>
    </row>
    <row r="39" spans="2:2" ht="12.75" customHeight="1" x14ac:dyDescent="0.25">
      <c r="B39" s="114"/>
    </row>
    <row r="40" spans="2:2" ht="12.75" customHeight="1" x14ac:dyDescent="0.25">
      <c r="B40" s="114"/>
    </row>
    <row r="41" spans="2:2" ht="12.75" customHeight="1" x14ac:dyDescent="0.25">
      <c r="B41" s="114"/>
    </row>
    <row r="42" spans="2:2" ht="12.75" customHeight="1" x14ac:dyDescent="0.25">
      <c r="B42" s="114"/>
    </row>
    <row r="43" spans="2:2" ht="12.75" customHeight="1" x14ac:dyDescent="0.25">
      <c r="B43" s="114"/>
    </row>
    <row r="44" spans="2:2" ht="12.75" customHeight="1" x14ac:dyDescent="0.25">
      <c r="B44" s="114"/>
    </row>
    <row r="45" spans="2:2" x14ac:dyDescent="0.25">
      <c r="B45" s="114"/>
    </row>
    <row r="46" spans="2:2" x14ac:dyDescent="0.25">
      <c r="B46" s="114"/>
    </row>
    <row r="47" spans="2:2" x14ac:dyDescent="0.25">
      <c r="B47" s="114"/>
    </row>
    <row r="48" spans="2:2" x14ac:dyDescent="0.25">
      <c r="B48" s="114"/>
    </row>
    <row r="49" spans="2:2" x14ac:dyDescent="0.25">
      <c r="B49" s="114"/>
    </row>
    <row r="50" spans="2:2" x14ac:dyDescent="0.25">
      <c r="B50" s="114"/>
    </row>
    <row r="51" spans="2:2" x14ac:dyDescent="0.25">
      <c r="B51" s="114"/>
    </row>
    <row r="52" spans="2:2" x14ac:dyDescent="0.25">
      <c r="B52" s="114"/>
    </row>
  </sheetData>
  <mergeCells count="9">
    <mergeCell ref="B23:B25"/>
    <mergeCell ref="B26:B28"/>
    <mergeCell ref="B31:C31"/>
    <mergeCell ref="B3:B5"/>
    <mergeCell ref="B6:B8"/>
    <mergeCell ref="B9:B11"/>
    <mergeCell ref="B12:B14"/>
    <mergeCell ref="B17:B19"/>
    <mergeCell ref="B20:B22"/>
  </mergeCells>
  <pageMargins left="0.7" right="0.7" top="0.75" bottom="0.75" header="0.3" footer="0.3"/>
  <pageSetup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84C51-58D1-4EBB-9834-74F7988AD256}">
  <dimension ref="B1:AE52"/>
  <sheetViews>
    <sheetView zoomScale="90" zoomScaleNormal="90" workbookViewId="0">
      <pane xSplit="3" topLeftCell="R1" activePane="topRight" state="frozen"/>
      <selection pane="topRight" activeCell="AF4" sqref="AF4"/>
    </sheetView>
  </sheetViews>
  <sheetFormatPr defaultRowHeight="15" x14ac:dyDescent="0.25"/>
  <cols>
    <col min="3" max="3" width="28.140625" customWidth="1"/>
    <col min="4" max="31" width="10.7109375" customWidth="1"/>
  </cols>
  <sheetData>
    <row r="1" spans="2:31" ht="6" customHeight="1" thickBot="1" x14ac:dyDescent="0.3"/>
    <row r="2" spans="2:31" ht="15" customHeight="1" thickBot="1" x14ac:dyDescent="0.3">
      <c r="B2" s="94" t="s">
        <v>964</v>
      </c>
      <c r="C2" s="96" t="s">
        <v>961</v>
      </c>
      <c r="D2" s="97" t="str">
        <f t="shared" ref="D2:E2" si="0">D16</f>
        <v>01.02.2026</v>
      </c>
      <c r="E2" s="97" t="str">
        <f t="shared" si="0"/>
        <v>02.02.2026</v>
      </c>
      <c r="F2" s="97" t="str">
        <f t="shared" ref="F2:G2" si="1">F16</f>
        <v>03.02.2026</v>
      </c>
      <c r="G2" s="97" t="str">
        <f t="shared" si="1"/>
        <v>04.02.2026</v>
      </c>
      <c r="H2" s="97" t="str">
        <f t="shared" ref="H2:I2" si="2">H16</f>
        <v>05.02.2026</v>
      </c>
      <c r="I2" s="97" t="str">
        <f t="shared" si="2"/>
        <v>06.02.2026</v>
      </c>
      <c r="J2" s="97" t="str">
        <f t="shared" ref="J2:K2" si="3">J16</f>
        <v>07.02.2026</v>
      </c>
      <c r="K2" s="97" t="str">
        <f t="shared" si="3"/>
        <v>08.02.2026</v>
      </c>
      <c r="L2" s="97" t="str">
        <f t="shared" ref="L2:M2" si="4">L16</f>
        <v>09.02.2026</v>
      </c>
      <c r="M2" s="97" t="str">
        <f t="shared" si="4"/>
        <v>10.02.2026</v>
      </c>
      <c r="N2" s="97" t="str">
        <f t="shared" ref="N2:O2" si="5">N16</f>
        <v>11.02.2026</v>
      </c>
      <c r="O2" s="97" t="str">
        <f t="shared" si="5"/>
        <v>12.02.2026</v>
      </c>
      <c r="P2" s="97" t="str">
        <f t="shared" ref="P2:Q2" si="6">P16</f>
        <v>13.02.2026</v>
      </c>
      <c r="Q2" s="97" t="str">
        <f t="shared" si="6"/>
        <v>14.02.2026</v>
      </c>
      <c r="R2" s="97" t="str">
        <f t="shared" ref="R2:S2" si="7">R16</f>
        <v>15.02.2026</v>
      </c>
      <c r="S2" s="97" t="str">
        <f t="shared" si="7"/>
        <v>16.02.2026</v>
      </c>
      <c r="T2" s="97" t="str">
        <f t="shared" ref="T2:U2" si="8">T16</f>
        <v>17.02.2026</v>
      </c>
      <c r="U2" s="97" t="str">
        <f t="shared" si="8"/>
        <v>18.02.2026</v>
      </c>
      <c r="V2" s="97" t="str">
        <f t="shared" ref="V2:W2" si="9">V16</f>
        <v>19.02.2026</v>
      </c>
      <c r="W2" s="97" t="str">
        <f t="shared" si="9"/>
        <v>20.02.2026</v>
      </c>
      <c r="X2" s="97" t="str">
        <f t="shared" ref="X2:Y2" si="10">X16</f>
        <v>21.02.2026</v>
      </c>
      <c r="Y2" s="97" t="str">
        <f t="shared" si="10"/>
        <v>22.02.2026</v>
      </c>
      <c r="Z2" s="97" t="str">
        <f t="shared" ref="Z2:AA2" si="11">Z16</f>
        <v>23.02.2026</v>
      </c>
      <c r="AA2" s="97" t="str">
        <f t="shared" si="11"/>
        <v>24.02.2026</v>
      </c>
      <c r="AB2" s="97" t="str">
        <f t="shared" ref="AB2:AC2" si="12">AB16</f>
        <v>25.02.2026</v>
      </c>
      <c r="AC2" s="97" t="str">
        <f t="shared" si="12"/>
        <v>26.02.2026</v>
      </c>
      <c r="AD2" s="97" t="str">
        <f t="shared" ref="AD2:AE2" si="13">AD16</f>
        <v>27.02.2026</v>
      </c>
      <c r="AE2" s="97" t="str">
        <f t="shared" si="13"/>
        <v>28.02.2026</v>
      </c>
    </row>
    <row r="3" spans="2:31" ht="15" customHeight="1" x14ac:dyDescent="0.25">
      <c r="B3" s="206" t="s">
        <v>958</v>
      </c>
      <c r="C3" s="116" t="s">
        <v>957</v>
      </c>
      <c r="D3" s="117">
        <v>0.17</v>
      </c>
      <c r="E3" s="117">
        <v>0.1749</v>
      </c>
      <c r="F3" s="117">
        <v>0.1527</v>
      </c>
      <c r="G3" s="117">
        <v>0.17499999999999999</v>
      </c>
      <c r="H3" s="117">
        <v>0.17499999999999999</v>
      </c>
      <c r="I3" s="117">
        <v>0.17016000000000001</v>
      </c>
      <c r="J3" s="117">
        <v>0.1719</v>
      </c>
      <c r="K3" s="117">
        <v>0.1867</v>
      </c>
      <c r="L3" s="117">
        <v>0.17499999999999999</v>
      </c>
      <c r="M3" s="117">
        <v>0.17499999999999999</v>
      </c>
      <c r="N3" s="117">
        <v>0.17499999999999999</v>
      </c>
      <c r="O3" s="117">
        <v>0.18</v>
      </c>
      <c r="P3" s="117">
        <v>0.17923</v>
      </c>
      <c r="Q3" s="117">
        <v>0.19159999999999999</v>
      </c>
      <c r="R3" s="117">
        <v>0.19</v>
      </c>
      <c r="S3" s="117">
        <v>0.19</v>
      </c>
      <c r="T3" s="117">
        <v>0.18640000000000001</v>
      </c>
      <c r="U3" s="117">
        <v>0.19</v>
      </c>
      <c r="V3" s="117">
        <v>0.192</v>
      </c>
      <c r="W3" s="117">
        <v>0.15</v>
      </c>
      <c r="X3" s="117">
        <v>0.17069999999999999</v>
      </c>
      <c r="Y3" s="117">
        <v>0.19</v>
      </c>
      <c r="Z3" s="117">
        <v>0.19</v>
      </c>
      <c r="AA3" s="117">
        <v>0.18934000000000001</v>
      </c>
      <c r="AB3" s="117">
        <v>0.185</v>
      </c>
      <c r="AC3" s="117">
        <v>0.184</v>
      </c>
      <c r="AD3" s="117">
        <v>0.18190000000000001</v>
      </c>
      <c r="AE3" s="117">
        <v>0.1925</v>
      </c>
    </row>
    <row r="4" spans="2:31" ht="15" customHeight="1" x14ac:dyDescent="0.25">
      <c r="B4" s="207"/>
      <c r="C4" s="118" t="s">
        <v>339</v>
      </c>
      <c r="D4" s="84">
        <v>0.78</v>
      </c>
      <c r="E4" s="84">
        <v>0.77510000000000001</v>
      </c>
      <c r="F4" s="84">
        <v>0.79730000000000001</v>
      </c>
      <c r="G4" s="84">
        <v>0.77500000000000002</v>
      </c>
      <c r="H4" s="84">
        <v>0.77500000000000002</v>
      </c>
      <c r="I4" s="84">
        <v>0.77978000000000003</v>
      </c>
      <c r="J4" s="84">
        <v>0.77759999999999996</v>
      </c>
      <c r="K4" s="84">
        <v>0.76329999999999998</v>
      </c>
      <c r="L4" s="84">
        <v>0.77500000000000002</v>
      </c>
      <c r="M4" s="84">
        <v>0.77500000000000002</v>
      </c>
      <c r="N4" s="84">
        <v>0.77500000000000002</v>
      </c>
      <c r="O4" s="84">
        <v>0.77</v>
      </c>
      <c r="P4" s="84">
        <v>0.77083000000000002</v>
      </c>
      <c r="Q4" s="84">
        <v>0.75829999999999997</v>
      </c>
      <c r="R4" s="84">
        <v>0.76</v>
      </c>
      <c r="S4" s="84">
        <v>0.76</v>
      </c>
      <c r="T4" s="84">
        <v>0.76359999999999995</v>
      </c>
      <c r="U4" s="84">
        <v>0.76</v>
      </c>
      <c r="V4" s="84">
        <v>0.75800000000000001</v>
      </c>
      <c r="W4" s="84">
        <v>0.8</v>
      </c>
      <c r="X4" s="84">
        <v>0.77900000000000003</v>
      </c>
      <c r="Y4" s="84">
        <v>0.76</v>
      </c>
      <c r="Z4" s="84">
        <v>0.76</v>
      </c>
      <c r="AA4" s="84">
        <v>0.75966</v>
      </c>
      <c r="AB4" s="84">
        <v>0.76500000000000001</v>
      </c>
      <c r="AC4" s="84">
        <v>0.76600000000000001</v>
      </c>
      <c r="AD4" s="84">
        <v>0.7681</v>
      </c>
      <c r="AE4" s="84">
        <v>0.75780000000000003</v>
      </c>
    </row>
    <row r="5" spans="2:31" ht="15" customHeight="1" thickBot="1" x14ac:dyDescent="0.3">
      <c r="B5" s="208"/>
      <c r="C5" s="118" t="s">
        <v>338</v>
      </c>
      <c r="D5" s="84">
        <v>0.05</v>
      </c>
      <c r="E5" s="84">
        <v>0.05</v>
      </c>
      <c r="F5" s="84">
        <v>0.05</v>
      </c>
      <c r="G5" s="84">
        <v>0.05</v>
      </c>
      <c r="H5" s="84">
        <v>0.05</v>
      </c>
      <c r="I5" s="84">
        <v>5.0049999999999997E-2</v>
      </c>
      <c r="J5" s="84">
        <v>5.0500000000000003E-2</v>
      </c>
      <c r="K5" s="84">
        <v>0.05</v>
      </c>
      <c r="L5" s="84">
        <v>0.05</v>
      </c>
      <c r="M5" s="84">
        <v>0.05</v>
      </c>
      <c r="N5" s="84">
        <v>0.05</v>
      </c>
      <c r="O5" s="84">
        <v>0.05</v>
      </c>
      <c r="P5" s="84">
        <v>4.9930000000000002E-2</v>
      </c>
      <c r="Q5" s="84">
        <v>5.0099999999999999E-2</v>
      </c>
      <c r="R5" s="84">
        <v>0.05</v>
      </c>
      <c r="S5" s="84">
        <v>0.05</v>
      </c>
      <c r="T5" s="84">
        <v>0.05</v>
      </c>
      <c r="U5" s="84">
        <v>0.05</v>
      </c>
      <c r="V5" s="84">
        <v>0.05</v>
      </c>
      <c r="W5" s="84">
        <v>0.05</v>
      </c>
      <c r="X5" s="84">
        <v>5.0299999999999997E-2</v>
      </c>
      <c r="Y5" s="84">
        <v>0.05</v>
      </c>
      <c r="Z5" s="84">
        <v>0.05</v>
      </c>
      <c r="AA5" s="84">
        <v>5.0999999999999997E-2</v>
      </c>
      <c r="AB5" s="84">
        <v>0.05</v>
      </c>
      <c r="AC5" s="84">
        <v>0.05</v>
      </c>
      <c r="AD5" s="84">
        <v>0.05</v>
      </c>
      <c r="AE5" s="84">
        <v>4.9700000000000001E-2</v>
      </c>
    </row>
    <row r="6" spans="2:31" ht="15" customHeight="1" x14ac:dyDescent="0.25">
      <c r="B6" s="209" t="s">
        <v>959</v>
      </c>
      <c r="C6" s="119" t="s">
        <v>957</v>
      </c>
      <c r="D6" s="86"/>
      <c r="E6" s="86"/>
      <c r="F6" s="86">
        <v>0.2606</v>
      </c>
      <c r="G6" s="86">
        <v>0.26</v>
      </c>
      <c r="H6" s="86">
        <v>0.26</v>
      </c>
      <c r="I6" s="86">
        <v>0.22925999999999999</v>
      </c>
      <c r="J6" s="86"/>
      <c r="K6" s="86">
        <v>0.26</v>
      </c>
      <c r="L6" s="86"/>
      <c r="M6" s="86">
        <v>0.2</v>
      </c>
      <c r="N6" s="86"/>
      <c r="O6" s="86">
        <v>0.26800000000000002</v>
      </c>
      <c r="P6" s="86"/>
      <c r="Q6" s="86"/>
      <c r="R6" s="86">
        <v>0.26</v>
      </c>
      <c r="S6" s="86">
        <v>0.26840000000000003</v>
      </c>
      <c r="T6" s="86"/>
      <c r="U6" s="86"/>
      <c r="V6" s="86"/>
      <c r="W6" s="86">
        <v>0.27</v>
      </c>
      <c r="X6" s="86"/>
      <c r="Y6" s="86"/>
      <c r="Z6" s="132">
        <v>0.25</v>
      </c>
      <c r="AA6" s="132"/>
      <c r="AB6" s="132"/>
      <c r="AC6" s="132"/>
      <c r="AD6" s="132"/>
      <c r="AE6" s="132">
        <v>0.26</v>
      </c>
    </row>
    <row r="7" spans="2:31" ht="15" customHeight="1" x14ac:dyDescent="0.25">
      <c r="B7" s="210"/>
      <c r="C7" s="120" t="s">
        <v>339</v>
      </c>
      <c r="D7" s="86"/>
      <c r="E7" s="86"/>
      <c r="F7" s="86">
        <v>0.68940000000000001</v>
      </c>
      <c r="G7" s="86">
        <v>0.69</v>
      </c>
      <c r="H7" s="86">
        <v>0.69</v>
      </c>
      <c r="I7" s="86">
        <v>0.71936</v>
      </c>
      <c r="J7" s="86"/>
      <c r="K7" s="86">
        <v>0.69</v>
      </c>
      <c r="L7" s="86"/>
      <c r="M7" s="86">
        <v>0.75</v>
      </c>
      <c r="N7" s="86"/>
      <c r="O7" s="86">
        <v>0.68200000000000005</v>
      </c>
      <c r="P7" s="86"/>
      <c r="Q7" s="86"/>
      <c r="R7" s="86">
        <v>0.69</v>
      </c>
      <c r="S7" s="86">
        <v>0.67900000000000005</v>
      </c>
      <c r="T7" s="86"/>
      <c r="U7" s="86"/>
      <c r="V7" s="86"/>
      <c r="W7" s="86">
        <v>0.68</v>
      </c>
      <c r="X7" s="86"/>
      <c r="Y7" s="86"/>
      <c r="Z7" s="86">
        <v>0.7</v>
      </c>
      <c r="AA7" s="86"/>
      <c r="AB7" s="86"/>
      <c r="AC7" s="86"/>
      <c r="AD7" s="86"/>
      <c r="AE7" s="86">
        <v>0.69</v>
      </c>
    </row>
    <row r="8" spans="2:31" ht="15" customHeight="1" thickBot="1" x14ac:dyDescent="0.3">
      <c r="B8" s="211"/>
      <c r="C8" s="120" t="s">
        <v>338</v>
      </c>
      <c r="D8" s="86"/>
      <c r="E8" s="86"/>
      <c r="F8" s="86">
        <v>0.05</v>
      </c>
      <c r="G8" s="86">
        <v>0.05</v>
      </c>
      <c r="H8" s="86">
        <v>0.05</v>
      </c>
      <c r="I8" s="86">
        <v>5.1389999999999998E-2</v>
      </c>
      <c r="J8" s="86"/>
      <c r="K8" s="86">
        <v>0.05</v>
      </c>
      <c r="L8" s="86"/>
      <c r="M8" s="86">
        <v>0.05</v>
      </c>
      <c r="N8" s="86"/>
      <c r="O8" s="86">
        <v>0.05</v>
      </c>
      <c r="P8" s="86"/>
      <c r="Q8" s="86"/>
      <c r="R8" s="86">
        <v>0.05</v>
      </c>
      <c r="S8" s="86">
        <v>5.2600000000000001E-2</v>
      </c>
      <c r="T8" s="86"/>
      <c r="U8" s="86"/>
      <c r="V8" s="86"/>
      <c r="W8" s="86">
        <v>0.05</v>
      </c>
      <c r="X8" s="86"/>
      <c r="Y8" s="86"/>
      <c r="Z8" s="86">
        <v>0.05</v>
      </c>
      <c r="AA8" s="86"/>
      <c r="AB8" s="86"/>
      <c r="AC8" s="86"/>
      <c r="AD8" s="86"/>
      <c r="AE8" s="86">
        <v>0.05</v>
      </c>
    </row>
    <row r="9" spans="2:31" ht="15" customHeight="1" x14ac:dyDescent="0.25">
      <c r="B9" s="215" t="s">
        <v>960</v>
      </c>
      <c r="C9" s="121" t="s">
        <v>957</v>
      </c>
      <c r="D9" s="135"/>
      <c r="E9" s="135"/>
      <c r="F9" s="135"/>
      <c r="G9" s="135">
        <v>0.28000000000000003</v>
      </c>
      <c r="H9" s="135"/>
      <c r="I9" s="135"/>
      <c r="J9" s="135"/>
      <c r="K9" s="135">
        <v>0.27</v>
      </c>
      <c r="L9" s="135"/>
      <c r="M9" s="135">
        <v>0.24</v>
      </c>
      <c r="N9" s="135"/>
      <c r="O9" s="135">
        <v>0.28999999999999998</v>
      </c>
      <c r="P9" s="135"/>
      <c r="Q9" s="135">
        <v>0.34210000000000002</v>
      </c>
      <c r="R9" s="135">
        <v>0.28999999999999998</v>
      </c>
      <c r="S9" s="135"/>
      <c r="T9" s="135"/>
      <c r="U9" s="135"/>
      <c r="V9" s="135">
        <v>0.3</v>
      </c>
      <c r="W9" s="135"/>
      <c r="X9" s="135"/>
      <c r="Y9" s="135"/>
      <c r="Z9" s="135"/>
      <c r="AA9" s="135"/>
      <c r="AB9" s="135"/>
      <c r="AC9" s="135">
        <v>0.28000000000000003</v>
      </c>
      <c r="AD9" s="135"/>
      <c r="AE9" s="135"/>
    </row>
    <row r="10" spans="2:31" ht="15" customHeight="1" x14ac:dyDescent="0.25">
      <c r="B10" s="216"/>
      <c r="C10" s="123" t="s">
        <v>339</v>
      </c>
      <c r="D10" s="134"/>
      <c r="E10" s="134"/>
      <c r="F10" s="134"/>
      <c r="G10" s="134">
        <v>0.67</v>
      </c>
      <c r="H10" s="134"/>
      <c r="I10" s="134"/>
      <c r="J10" s="134"/>
      <c r="K10" s="134">
        <v>0.68</v>
      </c>
      <c r="L10" s="134"/>
      <c r="M10" s="134">
        <v>0.71</v>
      </c>
      <c r="N10" s="134"/>
      <c r="O10" s="134">
        <v>0.66</v>
      </c>
      <c r="P10" s="134"/>
      <c r="Q10" s="134">
        <v>0.63160000000000005</v>
      </c>
      <c r="R10" s="134">
        <v>0.66</v>
      </c>
      <c r="S10" s="134"/>
      <c r="T10" s="134"/>
      <c r="U10" s="134"/>
      <c r="V10" s="134">
        <v>0.65</v>
      </c>
      <c r="W10" s="134"/>
      <c r="X10" s="134"/>
      <c r="Y10" s="134"/>
      <c r="Z10" s="134"/>
      <c r="AA10" s="134"/>
      <c r="AB10" s="134"/>
      <c r="AC10" s="134">
        <v>0.67</v>
      </c>
      <c r="AD10" s="134"/>
      <c r="AE10" s="134"/>
    </row>
    <row r="11" spans="2:31" ht="15" customHeight="1" thickBot="1" x14ac:dyDescent="0.3">
      <c r="B11" s="221"/>
      <c r="C11" s="125" t="s">
        <v>338</v>
      </c>
      <c r="D11" s="136"/>
      <c r="E11" s="136"/>
      <c r="F11" s="136"/>
      <c r="G11" s="136">
        <v>0.05</v>
      </c>
      <c r="H11" s="136"/>
      <c r="I11" s="136"/>
      <c r="J11" s="136"/>
      <c r="K11" s="136">
        <v>0.05</v>
      </c>
      <c r="L11" s="136"/>
      <c r="M11" s="136">
        <v>0.05</v>
      </c>
      <c r="N11" s="136"/>
      <c r="O11" s="136">
        <v>0.05</v>
      </c>
      <c r="P11" s="136"/>
      <c r="Q11" s="136">
        <v>2.63E-2</v>
      </c>
      <c r="R11" s="136">
        <v>0.05</v>
      </c>
      <c r="S11" s="136"/>
      <c r="T11" s="136"/>
      <c r="U11" s="136"/>
      <c r="V11" s="136">
        <v>0.05</v>
      </c>
      <c r="W11" s="136"/>
      <c r="X11" s="136"/>
      <c r="Y11" s="136"/>
      <c r="Z11" s="136"/>
      <c r="AA11" s="136"/>
      <c r="AB11" s="136"/>
      <c r="AC11" s="136">
        <v>0.05</v>
      </c>
      <c r="AD11" s="136"/>
      <c r="AE11" s="136"/>
    </row>
    <row r="12" spans="2:31" ht="15" customHeight="1" x14ac:dyDescent="0.25">
      <c r="B12" s="222" t="s">
        <v>1086</v>
      </c>
      <c r="C12" s="151" t="s">
        <v>957</v>
      </c>
      <c r="D12" s="152"/>
      <c r="E12" s="152"/>
      <c r="F12" s="152"/>
      <c r="G12" s="152"/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2"/>
      <c r="U12" s="152"/>
      <c r="V12" s="152"/>
      <c r="W12" s="152"/>
      <c r="X12" s="152"/>
      <c r="Y12" s="152"/>
      <c r="Z12" s="152"/>
      <c r="AA12" s="152"/>
      <c r="AB12" s="152"/>
      <c r="AC12" s="152"/>
      <c r="AD12" s="152"/>
      <c r="AE12" s="152"/>
    </row>
    <row r="13" spans="2:31" ht="15" customHeight="1" x14ac:dyDescent="0.25">
      <c r="B13" s="223"/>
      <c r="C13" s="90" t="s">
        <v>339</v>
      </c>
      <c r="D13" s="149"/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  <c r="AC13" s="149"/>
      <c r="AD13" s="149"/>
      <c r="AE13" s="149"/>
    </row>
    <row r="14" spans="2:31" ht="15" customHeight="1" thickBot="1" x14ac:dyDescent="0.3">
      <c r="B14" s="224"/>
      <c r="C14" s="92" t="s">
        <v>338</v>
      </c>
      <c r="D14" s="150"/>
      <c r="E14" s="150"/>
      <c r="F14" s="150"/>
      <c r="G14" s="150"/>
      <c r="H14" s="150"/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150"/>
      <c r="T14" s="150"/>
      <c r="U14" s="150"/>
      <c r="V14" s="150"/>
      <c r="W14" s="150"/>
      <c r="X14" s="150"/>
      <c r="Y14" s="150"/>
      <c r="Z14" s="150"/>
      <c r="AA14" s="150"/>
      <c r="AB14" s="150"/>
      <c r="AC14" s="150"/>
      <c r="AD14" s="150"/>
      <c r="AE14" s="150"/>
    </row>
    <row r="15" spans="2:31" ht="6.75" customHeight="1" thickBot="1" x14ac:dyDescent="0.3"/>
    <row r="16" spans="2:31" ht="15" customHeight="1" thickBot="1" x14ac:dyDescent="0.3">
      <c r="B16" s="95" t="s">
        <v>964</v>
      </c>
      <c r="C16" s="94" t="s">
        <v>963</v>
      </c>
      <c r="D16" s="94" t="s">
        <v>1490</v>
      </c>
      <c r="E16" s="94" t="s">
        <v>1491</v>
      </c>
      <c r="F16" s="94" t="s">
        <v>1492</v>
      </c>
      <c r="G16" s="94" t="s">
        <v>1493</v>
      </c>
      <c r="H16" s="94" t="s">
        <v>1494</v>
      </c>
      <c r="I16" s="94" t="s">
        <v>1495</v>
      </c>
      <c r="J16" s="94" t="s">
        <v>1496</v>
      </c>
      <c r="K16" s="94" t="s">
        <v>1497</v>
      </c>
      <c r="L16" s="94" t="s">
        <v>1498</v>
      </c>
      <c r="M16" s="94" t="s">
        <v>1499</v>
      </c>
      <c r="N16" s="94" t="s">
        <v>1500</v>
      </c>
      <c r="O16" s="94" t="s">
        <v>1501</v>
      </c>
      <c r="P16" s="94" t="s">
        <v>1502</v>
      </c>
      <c r="Q16" s="94" t="s">
        <v>1503</v>
      </c>
      <c r="R16" s="94" t="s">
        <v>1504</v>
      </c>
      <c r="S16" s="94" t="s">
        <v>1505</v>
      </c>
      <c r="T16" s="94" t="s">
        <v>1506</v>
      </c>
      <c r="U16" s="94" t="s">
        <v>1507</v>
      </c>
      <c r="V16" s="94" t="s">
        <v>1508</v>
      </c>
      <c r="W16" s="94" t="s">
        <v>1509</v>
      </c>
      <c r="X16" s="94" t="s">
        <v>1510</v>
      </c>
      <c r="Y16" s="94" t="s">
        <v>1511</v>
      </c>
      <c r="Z16" s="94" t="s">
        <v>1512</v>
      </c>
      <c r="AA16" s="94" t="s">
        <v>1513</v>
      </c>
      <c r="AB16" s="94" t="s">
        <v>1514</v>
      </c>
      <c r="AC16" s="94" t="s">
        <v>1515</v>
      </c>
      <c r="AD16" s="94" t="s">
        <v>1516</v>
      </c>
      <c r="AE16" s="94" t="s">
        <v>1517</v>
      </c>
    </row>
    <row r="17" spans="2:31" ht="15" customHeight="1" x14ac:dyDescent="0.25">
      <c r="B17" s="206" t="s">
        <v>958</v>
      </c>
      <c r="C17" s="81" t="s">
        <v>957</v>
      </c>
      <c r="D17" s="117">
        <v>0.17499999999999999</v>
      </c>
      <c r="E17" s="117">
        <v>0.1754</v>
      </c>
      <c r="F17" s="117">
        <v>0.17499999999999999</v>
      </c>
      <c r="G17" s="117">
        <v>0.17530000000000001</v>
      </c>
      <c r="H17" s="117">
        <v>0.17499999999999999</v>
      </c>
      <c r="I17" s="117">
        <v>0.17288999999999999</v>
      </c>
      <c r="J17" s="117">
        <v>0.16800000000000001</v>
      </c>
      <c r="K17" s="117">
        <v>0.17019999999999999</v>
      </c>
      <c r="L17" s="117">
        <v>0.17499999999999999</v>
      </c>
      <c r="M17" s="117">
        <v>0.17499999999999999</v>
      </c>
      <c r="N17" s="117">
        <v>0.17230000000000001</v>
      </c>
      <c r="O17" s="117">
        <v>0.18</v>
      </c>
      <c r="P17" s="117">
        <v>0.17705000000000001</v>
      </c>
      <c r="Q17" s="117">
        <v>0.1696</v>
      </c>
      <c r="R17" s="117">
        <v>0.19</v>
      </c>
      <c r="S17" s="117">
        <v>0.19</v>
      </c>
      <c r="T17" s="117">
        <v>0.18890000000000001</v>
      </c>
      <c r="U17" s="117">
        <v>0.19</v>
      </c>
      <c r="V17" s="117">
        <v>0.192</v>
      </c>
      <c r="W17" s="117">
        <v>0.17</v>
      </c>
      <c r="X17" s="117">
        <v>0.18790000000000001</v>
      </c>
      <c r="Y17" s="117">
        <v>0.19</v>
      </c>
      <c r="Z17" s="117">
        <v>0.19009999999999999</v>
      </c>
      <c r="AA17" s="117">
        <v>0.17938999999999999</v>
      </c>
      <c r="AB17" s="117">
        <v>0.185</v>
      </c>
      <c r="AC17" s="117">
        <v>0.184</v>
      </c>
      <c r="AD17" s="117">
        <v>0.18</v>
      </c>
      <c r="AE17" s="117">
        <v>0.17499999999999999</v>
      </c>
    </row>
    <row r="18" spans="2:31" ht="15" customHeight="1" x14ac:dyDescent="0.25">
      <c r="B18" s="207"/>
      <c r="C18" s="83" t="s">
        <v>339</v>
      </c>
      <c r="D18" s="84">
        <v>0.77500000000000002</v>
      </c>
      <c r="E18" s="84">
        <v>0.77459999999999996</v>
      </c>
      <c r="F18" s="84">
        <v>0.77500000000000002</v>
      </c>
      <c r="G18" s="84">
        <v>0.77470000000000006</v>
      </c>
      <c r="H18" s="84">
        <v>0.77500000000000002</v>
      </c>
      <c r="I18" s="84">
        <v>0.77630999999999994</v>
      </c>
      <c r="J18" s="84">
        <v>0.7823</v>
      </c>
      <c r="K18" s="84">
        <v>0.77980000000000005</v>
      </c>
      <c r="L18" s="84">
        <v>0.77500000000000002</v>
      </c>
      <c r="M18" s="84">
        <v>0.77500000000000002</v>
      </c>
      <c r="N18" s="84">
        <v>0.77659999999999996</v>
      </c>
      <c r="O18" s="84">
        <v>0.77</v>
      </c>
      <c r="P18" s="84">
        <v>0.77312999999999998</v>
      </c>
      <c r="Q18" s="84">
        <v>0.77969999999999995</v>
      </c>
      <c r="R18" s="84">
        <v>0.76</v>
      </c>
      <c r="S18" s="84">
        <v>0.76</v>
      </c>
      <c r="T18" s="84">
        <v>0.7611</v>
      </c>
      <c r="U18" s="84">
        <v>0.76</v>
      </c>
      <c r="V18" s="84">
        <v>0.75800000000000001</v>
      </c>
      <c r="W18" s="84">
        <v>0.78</v>
      </c>
      <c r="X18" s="84">
        <v>0.76190000000000002</v>
      </c>
      <c r="Y18" s="84">
        <v>0.76</v>
      </c>
      <c r="Z18" s="84">
        <v>0.75990000000000002</v>
      </c>
      <c r="AA18" s="84">
        <v>0.76946999999999999</v>
      </c>
      <c r="AB18" s="84">
        <v>0.76500000000000001</v>
      </c>
      <c r="AC18" s="84">
        <v>0.76600000000000001</v>
      </c>
      <c r="AD18" s="84">
        <v>0.77</v>
      </c>
      <c r="AE18" s="84">
        <v>0.77500000000000002</v>
      </c>
    </row>
    <row r="19" spans="2:31" ht="15" customHeight="1" thickBot="1" x14ac:dyDescent="0.3">
      <c r="B19" s="208"/>
      <c r="C19" s="83" t="s">
        <v>338</v>
      </c>
      <c r="D19" s="84">
        <v>0.05</v>
      </c>
      <c r="E19" s="84">
        <v>0.05</v>
      </c>
      <c r="F19" s="84">
        <v>0.05</v>
      </c>
      <c r="G19" s="84">
        <v>0.05</v>
      </c>
      <c r="H19" s="84">
        <v>0.05</v>
      </c>
      <c r="I19" s="84">
        <v>5.0790000000000002E-2</v>
      </c>
      <c r="J19" s="84">
        <v>4.9700000000000001E-2</v>
      </c>
      <c r="K19" s="84">
        <v>0.05</v>
      </c>
      <c r="L19" s="84">
        <v>0.05</v>
      </c>
      <c r="M19" s="84">
        <v>0.05</v>
      </c>
      <c r="N19" s="84">
        <v>5.11E-2</v>
      </c>
      <c r="O19" s="84">
        <v>0.05</v>
      </c>
      <c r="P19" s="84">
        <v>4.9829999999999999E-2</v>
      </c>
      <c r="Q19" s="84">
        <v>5.0700000000000002E-2</v>
      </c>
      <c r="R19" s="84">
        <v>0.05</v>
      </c>
      <c r="S19" s="84">
        <v>0.05</v>
      </c>
      <c r="T19" s="84">
        <v>0.05</v>
      </c>
      <c r="U19" s="84">
        <v>0.05</v>
      </c>
      <c r="V19" s="84">
        <v>0.05</v>
      </c>
      <c r="W19" s="84">
        <v>0.05</v>
      </c>
      <c r="X19" s="84">
        <v>5.0200000000000002E-2</v>
      </c>
      <c r="Y19" s="84">
        <v>0.05</v>
      </c>
      <c r="Z19" s="84">
        <v>0.05</v>
      </c>
      <c r="AA19" s="84">
        <v>5.1139999999999998E-2</v>
      </c>
      <c r="AB19" s="84">
        <v>0.05</v>
      </c>
      <c r="AC19" s="84">
        <v>0.05</v>
      </c>
      <c r="AD19" s="84">
        <v>0.05</v>
      </c>
      <c r="AE19" s="84">
        <v>0.05</v>
      </c>
    </row>
    <row r="20" spans="2:31" ht="15" customHeight="1" x14ac:dyDescent="0.25">
      <c r="B20" s="209" t="s">
        <v>959</v>
      </c>
      <c r="C20" s="85" t="s">
        <v>957</v>
      </c>
      <c r="D20" s="132">
        <v>0.20979999999999999</v>
      </c>
      <c r="E20" s="132">
        <v>0.2606</v>
      </c>
      <c r="F20" s="132">
        <v>0.27</v>
      </c>
      <c r="G20" s="132"/>
      <c r="H20" s="132">
        <v>0.26</v>
      </c>
      <c r="I20" s="132"/>
      <c r="J20" s="132">
        <v>0.18210000000000001</v>
      </c>
      <c r="K20" s="132">
        <v>0.26</v>
      </c>
      <c r="L20" s="132">
        <v>0.24660000000000001</v>
      </c>
      <c r="M20" s="132"/>
      <c r="N20" s="132">
        <v>0.22</v>
      </c>
      <c r="O20" s="132"/>
      <c r="P20" s="132"/>
      <c r="Q20" s="132">
        <v>0.2228</v>
      </c>
      <c r="R20" s="132"/>
      <c r="S20" s="132"/>
      <c r="T20" s="132">
        <v>0.26</v>
      </c>
      <c r="U20" s="132"/>
      <c r="V20" s="132">
        <v>0.27</v>
      </c>
      <c r="W20" s="132">
        <v>0.25102000000000002</v>
      </c>
      <c r="X20" s="132">
        <v>0.2651</v>
      </c>
      <c r="Y20" s="132">
        <v>0.252</v>
      </c>
      <c r="Z20" s="132"/>
      <c r="AA20" s="132"/>
      <c r="AB20" s="132">
        <v>0.25</v>
      </c>
      <c r="AC20" s="132">
        <v>0.25</v>
      </c>
      <c r="AD20" s="132">
        <v>0.25140000000000001</v>
      </c>
      <c r="AE20" s="132"/>
    </row>
    <row r="21" spans="2:31" ht="15" customHeight="1" x14ac:dyDescent="0.25">
      <c r="B21" s="210"/>
      <c r="C21" s="87" t="s">
        <v>339</v>
      </c>
      <c r="D21" s="86">
        <v>0.73919999999999997</v>
      </c>
      <c r="E21" s="86">
        <v>0.68940000000000001</v>
      </c>
      <c r="F21" s="86">
        <v>0.68</v>
      </c>
      <c r="G21" s="86"/>
      <c r="H21" s="86">
        <v>0.69</v>
      </c>
      <c r="I21" s="86"/>
      <c r="J21" s="86">
        <v>0.76919999999999999</v>
      </c>
      <c r="K21" s="86">
        <v>0.69</v>
      </c>
      <c r="L21" s="86">
        <v>0.71230000000000004</v>
      </c>
      <c r="M21" s="86"/>
      <c r="N21" s="86">
        <v>0.72799999999999998</v>
      </c>
      <c r="O21" s="86"/>
      <c r="P21" s="86"/>
      <c r="Q21" s="86">
        <v>0.72589999999999999</v>
      </c>
      <c r="R21" s="86"/>
      <c r="S21" s="86"/>
      <c r="T21" s="86">
        <v>0.69</v>
      </c>
      <c r="U21" s="86"/>
      <c r="V21" s="86">
        <v>0.68</v>
      </c>
      <c r="W21" s="86">
        <v>0.69796000000000002</v>
      </c>
      <c r="X21" s="86">
        <v>0.68569999999999998</v>
      </c>
      <c r="Y21" s="86">
        <v>0.69920000000000004</v>
      </c>
      <c r="Z21" s="86"/>
      <c r="AA21" s="86"/>
      <c r="AB21" s="86">
        <v>0.69810000000000005</v>
      </c>
      <c r="AC21" s="86">
        <v>0.7</v>
      </c>
      <c r="AD21" s="86">
        <v>0.69730000000000003</v>
      </c>
      <c r="AE21" s="86"/>
    </row>
    <row r="22" spans="2:31" ht="15" customHeight="1" thickBot="1" x14ac:dyDescent="0.3">
      <c r="B22" s="211"/>
      <c r="C22" s="87" t="s">
        <v>338</v>
      </c>
      <c r="D22" s="86">
        <v>5.0999999999999997E-2</v>
      </c>
      <c r="E22" s="86">
        <v>0.05</v>
      </c>
      <c r="F22" s="86">
        <v>0.05</v>
      </c>
      <c r="G22" s="86"/>
      <c r="H22" s="86">
        <v>0.05</v>
      </c>
      <c r="I22" s="86"/>
      <c r="J22" s="86">
        <v>4.87E-2</v>
      </c>
      <c r="K22" s="86">
        <v>0.05</v>
      </c>
      <c r="L22" s="86">
        <v>4.1099999999999998E-2</v>
      </c>
      <c r="M22" s="86"/>
      <c r="N22" s="86">
        <v>5.1999999999999998E-2</v>
      </c>
      <c r="O22" s="86"/>
      <c r="P22" s="86"/>
      <c r="Q22" s="86">
        <v>5.1299999999999998E-2</v>
      </c>
      <c r="R22" s="86"/>
      <c r="S22" s="86"/>
      <c r="T22" s="86">
        <v>0.05</v>
      </c>
      <c r="U22" s="86"/>
      <c r="V22" s="86">
        <v>0.05</v>
      </c>
      <c r="W22" s="86">
        <v>5.1020000000000003E-2</v>
      </c>
      <c r="X22" s="86">
        <v>4.9200000000000001E-2</v>
      </c>
      <c r="Y22" s="86">
        <v>4.8800000000000003E-2</v>
      </c>
      <c r="Z22" s="86"/>
      <c r="AA22" s="86"/>
      <c r="AB22" s="86">
        <v>5.1900000000000002E-2</v>
      </c>
      <c r="AC22" s="86">
        <v>0.05</v>
      </c>
      <c r="AD22" s="86">
        <v>5.1299999999999998E-2</v>
      </c>
      <c r="AE22" s="86"/>
    </row>
    <row r="23" spans="2:31" ht="15" customHeight="1" x14ac:dyDescent="0.25">
      <c r="B23" s="200" t="s">
        <v>960</v>
      </c>
      <c r="C23" s="88" t="s">
        <v>957</v>
      </c>
      <c r="D23" s="135">
        <v>0.28999999999999998</v>
      </c>
      <c r="E23" s="135">
        <v>0.26150000000000001</v>
      </c>
      <c r="F23" s="135"/>
      <c r="G23" s="135"/>
      <c r="H23" s="135">
        <v>0.28000000000000003</v>
      </c>
      <c r="I23" s="135"/>
      <c r="J23" s="135"/>
      <c r="K23" s="135"/>
      <c r="L23" s="135"/>
      <c r="M23" s="135"/>
      <c r="N23" s="135">
        <v>0.22</v>
      </c>
      <c r="O23" s="135"/>
      <c r="P23" s="135"/>
      <c r="Q23" s="135"/>
      <c r="R23" s="135"/>
      <c r="S23" s="135">
        <v>0.28999999999999998</v>
      </c>
      <c r="T23" s="135"/>
      <c r="U23" s="135"/>
      <c r="V23" s="135"/>
      <c r="W23" s="135"/>
      <c r="X23" s="135"/>
      <c r="Y23" s="135"/>
      <c r="Z23" s="135"/>
      <c r="AA23" s="135"/>
      <c r="AB23" s="135"/>
      <c r="AC23" s="135"/>
      <c r="AD23" s="135">
        <v>0.28999999999999998</v>
      </c>
      <c r="AE23" s="135">
        <v>0.33710000000000001</v>
      </c>
    </row>
    <row r="24" spans="2:31" ht="15" customHeight="1" x14ac:dyDescent="0.25">
      <c r="B24" s="201"/>
      <c r="C24" s="90" t="s">
        <v>339</v>
      </c>
      <c r="D24" s="134">
        <v>0.66</v>
      </c>
      <c r="E24" s="134">
        <v>0.68769999999999998</v>
      </c>
      <c r="F24" s="134"/>
      <c r="G24" s="134"/>
      <c r="H24" s="134">
        <v>0.67</v>
      </c>
      <c r="I24" s="134"/>
      <c r="J24" s="134"/>
      <c r="K24" s="134"/>
      <c r="L24" s="134"/>
      <c r="M24" s="134"/>
      <c r="N24" s="134">
        <v>0.72799999999999998</v>
      </c>
      <c r="O24" s="134"/>
      <c r="P24" s="134"/>
      <c r="Q24" s="134"/>
      <c r="R24" s="134"/>
      <c r="S24" s="134">
        <v>0.66</v>
      </c>
      <c r="T24" s="134"/>
      <c r="U24" s="134"/>
      <c r="V24" s="134"/>
      <c r="W24" s="134"/>
      <c r="X24" s="134"/>
      <c r="Y24" s="134"/>
      <c r="Z24" s="134"/>
      <c r="AA24" s="134"/>
      <c r="AB24" s="134"/>
      <c r="AC24" s="134"/>
      <c r="AD24" s="134">
        <v>0.66</v>
      </c>
      <c r="AE24" s="134">
        <v>0.62</v>
      </c>
    </row>
    <row r="25" spans="2:31" ht="15" customHeight="1" thickBot="1" x14ac:dyDescent="0.3">
      <c r="B25" s="212"/>
      <c r="C25" s="108" t="s">
        <v>338</v>
      </c>
      <c r="D25" s="136">
        <v>0.05</v>
      </c>
      <c r="E25" s="136">
        <v>5.0799999999999998E-2</v>
      </c>
      <c r="F25" s="136"/>
      <c r="G25" s="136"/>
      <c r="H25" s="136">
        <v>0.05</v>
      </c>
      <c r="I25" s="136"/>
      <c r="J25" s="136"/>
      <c r="K25" s="136"/>
      <c r="L25" s="136"/>
      <c r="M25" s="136"/>
      <c r="N25" s="136">
        <v>5.1999999999999998E-2</v>
      </c>
      <c r="O25" s="136"/>
      <c r="P25" s="136"/>
      <c r="Q25" s="136"/>
      <c r="R25" s="136"/>
      <c r="S25" s="136">
        <v>0.05</v>
      </c>
      <c r="T25" s="136"/>
      <c r="U25" s="136"/>
      <c r="V25" s="136"/>
      <c r="W25" s="136"/>
      <c r="X25" s="136"/>
      <c r="Y25" s="136"/>
      <c r="Z25" s="136"/>
      <c r="AA25" s="136"/>
      <c r="AB25" s="136"/>
      <c r="AC25" s="136"/>
      <c r="AD25" s="136">
        <v>0.05</v>
      </c>
      <c r="AE25" s="136">
        <v>4.2900000000000001E-2</v>
      </c>
    </row>
    <row r="26" spans="2:31" ht="15" customHeight="1" x14ac:dyDescent="0.25">
      <c r="B26" s="218" t="s">
        <v>1086</v>
      </c>
      <c r="C26" s="88" t="s">
        <v>957</v>
      </c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156"/>
      <c r="S26" s="156"/>
      <c r="T26" s="156"/>
      <c r="U26" s="156"/>
      <c r="V26" s="156"/>
      <c r="W26" s="156"/>
      <c r="X26" s="156"/>
      <c r="Y26" s="156"/>
      <c r="Z26" s="156"/>
      <c r="AA26" s="156"/>
      <c r="AB26" s="156"/>
      <c r="AC26" s="156"/>
      <c r="AD26" s="156"/>
      <c r="AE26" s="156"/>
    </row>
    <row r="27" spans="2:31" ht="15" customHeight="1" x14ac:dyDescent="0.25">
      <c r="B27" s="219"/>
      <c r="C27" s="90" t="s">
        <v>339</v>
      </c>
      <c r="D27" s="138">
        <v>0.95199999999999996</v>
      </c>
      <c r="E27" s="138">
        <v>0.95199999999999996</v>
      </c>
      <c r="F27" s="138">
        <v>0.95830000000000004</v>
      </c>
      <c r="G27" s="138">
        <v>0.95830000000000004</v>
      </c>
      <c r="H27" s="138">
        <v>0.95079999999999998</v>
      </c>
      <c r="I27" s="138"/>
      <c r="J27" s="138">
        <v>0.96799999999999997</v>
      </c>
      <c r="K27" s="138">
        <v>0.95</v>
      </c>
      <c r="L27" s="138">
        <v>0.95830000000000004</v>
      </c>
      <c r="M27" s="138">
        <v>0.95830000000000004</v>
      </c>
      <c r="N27" s="138"/>
      <c r="O27" s="138">
        <v>0.95</v>
      </c>
      <c r="P27" s="138">
        <v>0.96667000000000003</v>
      </c>
      <c r="Q27" s="138">
        <v>0.97499999999999998</v>
      </c>
      <c r="R27" s="138">
        <v>0.9516</v>
      </c>
      <c r="S27" s="138">
        <v>0.9556</v>
      </c>
      <c r="T27" s="138">
        <v>0.95899999999999996</v>
      </c>
      <c r="U27" s="138">
        <v>0.95</v>
      </c>
      <c r="V27" s="138">
        <v>0.95</v>
      </c>
      <c r="W27" s="138"/>
      <c r="X27" s="138">
        <v>0.95</v>
      </c>
      <c r="Y27" s="138">
        <v>0.95830000000000004</v>
      </c>
      <c r="Z27" s="138">
        <v>0.95</v>
      </c>
      <c r="AA27" s="138"/>
      <c r="AB27" s="138">
        <v>0.95</v>
      </c>
      <c r="AC27" s="138">
        <v>0.95</v>
      </c>
      <c r="AD27" s="138">
        <v>0.95</v>
      </c>
      <c r="AE27" s="138">
        <v>0.95</v>
      </c>
    </row>
    <row r="28" spans="2:31" ht="15" customHeight="1" x14ac:dyDescent="0.25">
      <c r="B28" s="220"/>
      <c r="C28" s="108" t="s">
        <v>338</v>
      </c>
      <c r="D28" s="156">
        <v>4.8000000000000001E-2</v>
      </c>
      <c r="E28" s="156">
        <v>0.05</v>
      </c>
      <c r="F28" s="156">
        <v>4.1700000000000001E-2</v>
      </c>
      <c r="G28" s="156">
        <v>4.1700000000000001E-2</v>
      </c>
      <c r="H28" s="156">
        <v>4.9200000000000001E-2</v>
      </c>
      <c r="I28" s="156"/>
      <c r="J28" s="156">
        <v>3.2000000000000001E-2</v>
      </c>
      <c r="K28" s="156">
        <v>0.05</v>
      </c>
      <c r="L28" s="156">
        <v>4.1700000000000001E-2</v>
      </c>
      <c r="M28" s="156">
        <v>4.1700000000000001E-2</v>
      </c>
      <c r="N28" s="156"/>
      <c r="O28" s="156">
        <v>0.05</v>
      </c>
      <c r="P28" s="156">
        <v>3.3329999999999999E-2</v>
      </c>
      <c r="Q28" s="156">
        <v>2.5000000000000001E-2</v>
      </c>
      <c r="R28" s="156">
        <v>4.8399999999999999E-2</v>
      </c>
      <c r="S28" s="156">
        <v>4.4400000000000002E-2</v>
      </c>
      <c r="T28" s="156">
        <v>4.1000000000000002E-2</v>
      </c>
      <c r="U28" s="156">
        <v>0.05</v>
      </c>
      <c r="V28" s="156">
        <v>0.05</v>
      </c>
      <c r="W28" s="156"/>
      <c r="X28" s="156">
        <v>0.05</v>
      </c>
      <c r="Y28" s="156">
        <v>4.1700000000000001E-2</v>
      </c>
      <c r="Z28" s="156">
        <v>0.05</v>
      </c>
      <c r="AA28" s="156"/>
      <c r="AB28" s="156">
        <v>0.05</v>
      </c>
      <c r="AC28" s="156">
        <v>0.05</v>
      </c>
      <c r="AD28" s="156">
        <v>0.05</v>
      </c>
      <c r="AE28" s="156">
        <v>0.05</v>
      </c>
    </row>
    <row r="29" spans="2:31" ht="15" customHeight="1" x14ac:dyDescent="0.25">
      <c r="B29" s="34" t="s">
        <v>7</v>
      </c>
      <c r="C29" s="34"/>
      <c r="D29" s="160">
        <v>5100</v>
      </c>
      <c r="E29" s="160">
        <v>5100</v>
      </c>
      <c r="F29" s="160">
        <v>5100</v>
      </c>
      <c r="G29" s="160">
        <v>5100</v>
      </c>
      <c r="H29" s="160">
        <v>5100</v>
      </c>
      <c r="I29" s="160">
        <v>5100</v>
      </c>
      <c r="J29" s="160">
        <v>5100</v>
      </c>
      <c r="K29" s="160">
        <v>5100</v>
      </c>
      <c r="L29" s="160">
        <v>5100</v>
      </c>
      <c r="M29" s="160">
        <v>5100</v>
      </c>
      <c r="N29" s="160">
        <v>5100</v>
      </c>
      <c r="O29" s="160">
        <v>5100</v>
      </c>
      <c r="P29" s="160">
        <v>5100</v>
      </c>
      <c r="Q29" s="160">
        <v>5358</v>
      </c>
      <c r="R29" s="160">
        <v>5490</v>
      </c>
      <c r="S29" s="160">
        <v>5308</v>
      </c>
      <c r="T29" s="160">
        <v>5308</v>
      </c>
      <c r="U29" s="160">
        <v>0</v>
      </c>
      <c r="V29" s="160">
        <v>5293</v>
      </c>
      <c r="W29" s="160">
        <v>5373</v>
      </c>
      <c r="X29" s="160">
        <v>5386</v>
      </c>
      <c r="Y29" s="160">
        <v>5280</v>
      </c>
      <c r="Z29" s="160">
        <v>5280</v>
      </c>
      <c r="AA29" s="160">
        <v>5346</v>
      </c>
      <c r="AB29" s="160">
        <v>5316</v>
      </c>
      <c r="AC29" s="160">
        <v>5385</v>
      </c>
      <c r="AD29" s="160">
        <v>5536</v>
      </c>
      <c r="AE29" s="160">
        <v>5320</v>
      </c>
    </row>
    <row r="30" spans="2:31" ht="7.5" customHeight="1" thickBot="1" x14ac:dyDescent="0.3"/>
    <row r="31" spans="2:31" s="164" customFormat="1" ht="12.75" customHeight="1" thickBot="1" x14ac:dyDescent="0.3">
      <c r="B31" s="227" t="s">
        <v>1002</v>
      </c>
      <c r="C31" s="228"/>
      <c r="D31" s="163">
        <v>76.760000000000005</v>
      </c>
      <c r="E31" s="163">
        <v>77.45</v>
      </c>
      <c r="F31" s="163">
        <v>75.86</v>
      </c>
      <c r="G31" s="163">
        <v>76.88</v>
      </c>
      <c r="H31" s="163">
        <v>78.33</v>
      </c>
      <c r="I31" s="163">
        <v>76.15726643200081</v>
      </c>
      <c r="J31" s="163">
        <v>78.599999999999994</v>
      </c>
      <c r="K31" s="163">
        <v>76.38</v>
      </c>
      <c r="L31" s="163">
        <v>77.47</v>
      </c>
      <c r="M31" s="163">
        <v>76.95</v>
      </c>
      <c r="N31" s="163">
        <v>76.58</v>
      </c>
      <c r="O31" s="163">
        <v>76.599999999999994</v>
      </c>
      <c r="P31" s="163">
        <v>77.584138684165268</v>
      </c>
      <c r="Q31" s="163">
        <v>75.439178089817716</v>
      </c>
      <c r="R31" s="163">
        <v>74.426711185303063</v>
      </c>
      <c r="S31" s="163">
        <v>75.989999999999995</v>
      </c>
      <c r="T31" s="163">
        <v>76.22</v>
      </c>
      <c r="U31" s="163">
        <v>77.650000000000006</v>
      </c>
      <c r="V31" s="163">
        <v>74.430000000000007</v>
      </c>
      <c r="W31" s="163">
        <v>75.561643898630152</v>
      </c>
      <c r="X31" s="163">
        <v>76.92442887073463</v>
      </c>
      <c r="Y31" s="163">
        <v>75.45</v>
      </c>
      <c r="Z31" s="163">
        <v>76.44</v>
      </c>
      <c r="AA31" s="163">
        <v>76.452241819929824</v>
      </c>
      <c r="AB31" s="163">
        <v>76.819999999999993</v>
      </c>
      <c r="AC31" s="163">
        <v>77.09</v>
      </c>
      <c r="AD31" s="163">
        <v>75.790000000000006</v>
      </c>
      <c r="AE31" s="163">
        <v>74.650000000000006</v>
      </c>
    </row>
    <row r="32" spans="2:31" ht="12.75" customHeight="1" x14ac:dyDescent="0.25">
      <c r="B32" s="114"/>
    </row>
    <row r="33" spans="2:2" ht="12.75" customHeight="1" x14ac:dyDescent="0.25">
      <c r="B33" s="114"/>
    </row>
    <row r="34" spans="2:2" ht="12.75" customHeight="1" x14ac:dyDescent="0.25">
      <c r="B34" s="114"/>
    </row>
    <row r="35" spans="2:2" ht="12.75" customHeight="1" x14ac:dyDescent="0.25">
      <c r="B35" s="114"/>
    </row>
    <row r="36" spans="2:2" ht="12.75" customHeight="1" x14ac:dyDescent="0.25">
      <c r="B36" s="114"/>
    </row>
    <row r="37" spans="2:2" ht="12.75" customHeight="1" x14ac:dyDescent="0.25">
      <c r="B37" s="114"/>
    </row>
    <row r="38" spans="2:2" ht="12.75" customHeight="1" x14ac:dyDescent="0.25">
      <c r="B38" s="114"/>
    </row>
    <row r="39" spans="2:2" ht="12.75" customHeight="1" x14ac:dyDescent="0.25">
      <c r="B39" s="114"/>
    </row>
    <row r="40" spans="2:2" ht="12.75" customHeight="1" x14ac:dyDescent="0.25">
      <c r="B40" s="114"/>
    </row>
    <row r="41" spans="2:2" ht="12.75" customHeight="1" x14ac:dyDescent="0.25">
      <c r="B41" s="114"/>
    </row>
    <row r="42" spans="2:2" ht="12.75" customHeight="1" x14ac:dyDescent="0.25">
      <c r="B42" s="114"/>
    </row>
    <row r="43" spans="2:2" ht="12.75" customHeight="1" x14ac:dyDescent="0.25">
      <c r="B43" s="114"/>
    </row>
    <row r="44" spans="2:2" ht="12.75" customHeight="1" x14ac:dyDescent="0.25">
      <c r="B44" s="114"/>
    </row>
    <row r="45" spans="2:2" x14ac:dyDescent="0.25">
      <c r="B45" s="114"/>
    </row>
    <row r="46" spans="2:2" x14ac:dyDescent="0.25">
      <c r="B46" s="114"/>
    </row>
    <row r="47" spans="2:2" x14ac:dyDescent="0.25">
      <c r="B47" s="114"/>
    </row>
    <row r="48" spans="2:2" x14ac:dyDescent="0.25">
      <c r="B48" s="114"/>
    </row>
    <row r="49" spans="2:2" x14ac:dyDescent="0.25">
      <c r="B49" s="114"/>
    </row>
    <row r="50" spans="2:2" x14ac:dyDescent="0.25">
      <c r="B50" s="114"/>
    </row>
    <row r="51" spans="2:2" x14ac:dyDescent="0.25">
      <c r="B51" s="114"/>
    </row>
    <row r="52" spans="2:2" x14ac:dyDescent="0.25">
      <c r="B52" s="114"/>
    </row>
  </sheetData>
  <mergeCells count="9">
    <mergeCell ref="B23:B25"/>
    <mergeCell ref="B26:B28"/>
    <mergeCell ref="B31:C31"/>
    <mergeCell ref="B3:B5"/>
    <mergeCell ref="B6:B8"/>
    <mergeCell ref="B9:B11"/>
    <mergeCell ref="B12:B14"/>
    <mergeCell ref="B17:B19"/>
    <mergeCell ref="B20:B22"/>
  </mergeCells>
  <pageMargins left="0.7" right="0.7" top="0.75" bottom="0.75" header="0.3" footer="0.3"/>
  <pageSetup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F25A7-B5CD-464D-B399-C39470B92D6C}">
  <dimension ref="B1:AG58"/>
  <sheetViews>
    <sheetView zoomScale="90" zoomScaleNormal="90" workbookViewId="0">
      <pane xSplit="3" topLeftCell="V1" activePane="topRight" state="frozen"/>
      <selection pane="topRight" activeCell="AI10" sqref="AI10"/>
    </sheetView>
  </sheetViews>
  <sheetFormatPr defaultRowHeight="15" x14ac:dyDescent="0.25"/>
  <cols>
    <col min="3" max="3" width="28.140625" customWidth="1"/>
    <col min="4" max="33" width="10.7109375" customWidth="1"/>
  </cols>
  <sheetData>
    <row r="1" spans="2:33" ht="6" customHeight="1" thickBot="1" x14ac:dyDescent="0.3"/>
    <row r="2" spans="2:33" ht="15" customHeight="1" thickBot="1" x14ac:dyDescent="0.3">
      <c r="B2" s="94" t="s">
        <v>964</v>
      </c>
      <c r="C2" s="96" t="s">
        <v>961</v>
      </c>
      <c r="D2" s="97" t="str">
        <f t="shared" ref="D2:E2" si="0">D19</f>
        <v>01.03.2026</v>
      </c>
      <c r="E2" s="97" t="str">
        <f t="shared" si="0"/>
        <v>02.03.2026</v>
      </c>
      <c r="F2" s="97" t="str">
        <f t="shared" ref="F2:G2" si="1">F19</f>
        <v>03.03.2026</v>
      </c>
      <c r="G2" s="97" t="str">
        <f t="shared" si="1"/>
        <v>04.03.2026</v>
      </c>
      <c r="H2" s="97" t="str">
        <f t="shared" ref="H2:I2" si="2">H19</f>
        <v>05.03.2026</v>
      </c>
      <c r="I2" s="97" t="str">
        <f t="shared" si="2"/>
        <v>06.03.2026</v>
      </c>
      <c r="J2" s="97" t="str">
        <f t="shared" ref="J2:K2" si="3">J19</f>
        <v>07.03.2026</v>
      </c>
      <c r="K2" s="97" t="str">
        <f t="shared" si="3"/>
        <v>08.03.2026</v>
      </c>
      <c r="L2" s="97" t="str">
        <f t="shared" ref="L2:M2" si="4">L19</f>
        <v>09.03.2026</v>
      </c>
      <c r="M2" s="97" t="str">
        <f t="shared" si="4"/>
        <v>10.03.2026</v>
      </c>
      <c r="N2" s="97" t="str">
        <f t="shared" ref="N2:O2" si="5">N19</f>
        <v>12.03.2026</v>
      </c>
      <c r="O2" s="97" t="str">
        <f t="shared" si="5"/>
        <v>13.03.2026</v>
      </c>
      <c r="P2" s="97" t="str">
        <f t="shared" ref="P2:Q2" si="6">P19</f>
        <v>14.03.2026</v>
      </c>
      <c r="Q2" s="97" t="str">
        <f t="shared" si="6"/>
        <v>15.03.2026</v>
      </c>
      <c r="R2" s="97" t="str">
        <f t="shared" ref="R2:S2" si="7">R19</f>
        <v>16.03.2026</v>
      </c>
      <c r="S2" s="97" t="str">
        <f t="shared" si="7"/>
        <v>17.03.2026</v>
      </c>
      <c r="T2" s="97" t="str">
        <f t="shared" ref="T2:U2" si="8">T19</f>
        <v>18.03.2026</v>
      </c>
      <c r="U2" s="97" t="str">
        <f t="shared" si="8"/>
        <v>19.03.2026</v>
      </c>
      <c r="V2" s="97" t="str">
        <f t="shared" ref="V2:W2" si="9">V19</f>
        <v>20.03.2026</v>
      </c>
      <c r="W2" s="97" t="str">
        <f t="shared" si="9"/>
        <v>21.03.2026</v>
      </c>
      <c r="X2" s="97" t="str">
        <f t="shared" ref="X2:Y2" si="10">X19</f>
        <v>22.03.2026</v>
      </c>
      <c r="Y2" s="97" t="str">
        <f t="shared" si="10"/>
        <v>23.03.2026</v>
      </c>
      <c r="Z2" s="97" t="str">
        <f t="shared" ref="Z2:AA2" si="11">Z19</f>
        <v>24.03.2026</v>
      </c>
      <c r="AA2" s="97" t="str">
        <f t="shared" si="11"/>
        <v>25.03.2026</v>
      </c>
      <c r="AB2" s="97" t="str">
        <f t="shared" ref="AB2:AC2" si="12">AB19</f>
        <v>26.03.2026</v>
      </c>
      <c r="AC2" s="97" t="str">
        <f t="shared" si="12"/>
        <v>27.03.2026</v>
      </c>
      <c r="AD2" s="97" t="str">
        <f t="shared" ref="AD2:AE2" si="13">AD19</f>
        <v>28.03.2026</v>
      </c>
      <c r="AE2" s="97" t="str">
        <f t="shared" si="13"/>
        <v>29.03.2026</v>
      </c>
      <c r="AF2" s="97" t="str">
        <f t="shared" ref="AF2:AG2" si="14">AF19</f>
        <v>30.03.2026</v>
      </c>
      <c r="AG2" s="97" t="str">
        <f t="shared" si="14"/>
        <v>31.03.2026</v>
      </c>
    </row>
    <row r="3" spans="2:33" ht="15" customHeight="1" x14ac:dyDescent="0.25">
      <c r="B3" s="206" t="s">
        <v>958</v>
      </c>
      <c r="C3" s="116" t="s">
        <v>957</v>
      </c>
      <c r="D3" s="117">
        <v>0.19</v>
      </c>
      <c r="E3" s="117">
        <v>0.19850000000000001</v>
      </c>
      <c r="F3" s="117">
        <v>0.19350000000000001</v>
      </c>
      <c r="G3" s="117">
        <v>0.18</v>
      </c>
      <c r="H3" s="117">
        <v>0.182</v>
      </c>
      <c r="I3" s="117">
        <v>0.18</v>
      </c>
      <c r="J3" s="117">
        <v>0.185</v>
      </c>
      <c r="K3" s="117">
        <v>0.18</v>
      </c>
      <c r="L3" s="117">
        <v>0.18</v>
      </c>
      <c r="M3" s="117">
        <v>0.185</v>
      </c>
      <c r="N3" s="117">
        <v>0.183</v>
      </c>
      <c r="O3" s="117">
        <v>0.18</v>
      </c>
      <c r="P3" s="117">
        <v>0.182</v>
      </c>
      <c r="Q3" s="117">
        <v>0.17499999999999999</v>
      </c>
      <c r="R3" s="117">
        <v>0.17499999999999999</v>
      </c>
      <c r="S3" s="117">
        <v>0.17799999999999999</v>
      </c>
      <c r="T3" s="117">
        <v>0.185</v>
      </c>
      <c r="U3" s="117">
        <v>0.19700000000000001</v>
      </c>
      <c r="V3" s="117">
        <v>0.2</v>
      </c>
      <c r="W3" s="117">
        <v>0.18026</v>
      </c>
      <c r="X3" s="117">
        <v>0.18</v>
      </c>
      <c r="Y3" s="117">
        <v>0.17499999999999999</v>
      </c>
      <c r="Z3" s="117">
        <v>0.18</v>
      </c>
      <c r="AA3" s="117">
        <v>0.18</v>
      </c>
      <c r="AB3" s="117">
        <v>0.17499999999999999</v>
      </c>
      <c r="AC3" s="117">
        <v>0.17985000000000001</v>
      </c>
      <c r="AD3" s="117">
        <v>0.17530000000000001</v>
      </c>
      <c r="AE3" s="117">
        <v>0.17499999999999999</v>
      </c>
      <c r="AF3" s="117">
        <v>0.18</v>
      </c>
      <c r="AG3" s="117">
        <v>0.18</v>
      </c>
    </row>
    <row r="4" spans="2:33" ht="15" customHeight="1" x14ac:dyDescent="0.25">
      <c r="B4" s="207"/>
      <c r="C4" s="118" t="s">
        <v>339</v>
      </c>
      <c r="D4" s="84">
        <v>0.75800000000000001</v>
      </c>
      <c r="E4" s="84">
        <v>0.75049999999999994</v>
      </c>
      <c r="F4" s="84">
        <v>0.75649999999999995</v>
      </c>
      <c r="G4" s="84">
        <v>0.77</v>
      </c>
      <c r="H4" s="84">
        <v>0.76800000000000002</v>
      </c>
      <c r="I4" s="84">
        <v>0.77</v>
      </c>
      <c r="J4" s="84">
        <v>0.76500000000000001</v>
      </c>
      <c r="K4" s="84">
        <v>0.77</v>
      </c>
      <c r="L4" s="84">
        <v>0.77</v>
      </c>
      <c r="M4" s="84">
        <v>0.76500000000000001</v>
      </c>
      <c r="N4" s="84">
        <v>0.76700000000000002</v>
      </c>
      <c r="O4" s="84">
        <v>0.77</v>
      </c>
      <c r="P4" s="84">
        <v>0.76800000000000002</v>
      </c>
      <c r="Q4" s="84">
        <v>0.77500000000000002</v>
      </c>
      <c r="R4" s="84">
        <v>0.77500000000000002</v>
      </c>
      <c r="S4" s="84">
        <v>0.77200000000000002</v>
      </c>
      <c r="T4" s="84">
        <v>0.76500000000000001</v>
      </c>
      <c r="U4" s="84">
        <v>0.753</v>
      </c>
      <c r="V4" s="84">
        <v>0.74965000000000004</v>
      </c>
      <c r="W4" s="84">
        <v>0.76931000000000005</v>
      </c>
      <c r="X4" s="84">
        <v>0.77</v>
      </c>
      <c r="Y4" s="84">
        <v>0.77500000000000002</v>
      </c>
      <c r="Z4" s="84">
        <v>0.77</v>
      </c>
      <c r="AA4" s="84">
        <v>0.77</v>
      </c>
      <c r="AB4" s="84">
        <v>0.77500000000000002</v>
      </c>
      <c r="AC4" s="84">
        <v>0.76936000000000004</v>
      </c>
      <c r="AD4" s="84">
        <v>0.77449999999999997</v>
      </c>
      <c r="AE4" s="84">
        <v>0.77500000000000002</v>
      </c>
      <c r="AF4" s="84">
        <v>0.77</v>
      </c>
      <c r="AG4" s="84">
        <v>0.77</v>
      </c>
    </row>
    <row r="5" spans="2:33" ht="15" customHeight="1" thickBot="1" x14ac:dyDescent="0.3">
      <c r="B5" s="208"/>
      <c r="C5" s="118" t="s">
        <v>338</v>
      </c>
      <c r="D5" s="84">
        <v>5.1999999999999998E-2</v>
      </c>
      <c r="E5" s="84">
        <v>5.0999999999999997E-2</v>
      </c>
      <c r="F5" s="84">
        <v>0.05</v>
      </c>
      <c r="G5" s="84">
        <v>0.05</v>
      </c>
      <c r="H5" s="84">
        <v>0.05</v>
      </c>
      <c r="I5" s="84">
        <v>0.05</v>
      </c>
      <c r="J5" s="84">
        <v>0.05</v>
      </c>
      <c r="K5" s="84">
        <v>0.05</v>
      </c>
      <c r="L5" s="84">
        <v>0.05</v>
      </c>
      <c r="M5" s="84">
        <v>0.05</v>
      </c>
      <c r="N5" s="84">
        <v>0.05</v>
      </c>
      <c r="O5" s="84">
        <v>0.05</v>
      </c>
      <c r="P5" s="84">
        <v>0.05</v>
      </c>
      <c r="Q5" s="84">
        <v>0.05</v>
      </c>
      <c r="R5" s="84">
        <v>0.05</v>
      </c>
      <c r="S5" s="84">
        <v>0.05</v>
      </c>
      <c r="T5" s="84">
        <v>0.05</v>
      </c>
      <c r="U5" s="84">
        <v>0.05</v>
      </c>
      <c r="V5" s="84">
        <v>5.0349999999999999E-2</v>
      </c>
      <c r="W5" s="84">
        <v>5.0430000000000003E-2</v>
      </c>
      <c r="X5" s="84">
        <v>0.05</v>
      </c>
      <c r="Y5" s="84">
        <v>0.05</v>
      </c>
      <c r="Z5" s="84">
        <v>0.05</v>
      </c>
      <c r="AA5" s="84">
        <v>0.05</v>
      </c>
      <c r="AB5" s="84">
        <v>0.05</v>
      </c>
      <c r="AC5" s="84">
        <v>5.0790000000000002E-2</v>
      </c>
      <c r="AD5" s="84">
        <v>5.0200000000000002E-2</v>
      </c>
      <c r="AE5" s="84">
        <v>0.05</v>
      </c>
      <c r="AF5" s="84">
        <v>0.05</v>
      </c>
      <c r="AG5" s="84">
        <v>0.05</v>
      </c>
    </row>
    <row r="6" spans="2:33" ht="15" customHeight="1" x14ac:dyDescent="0.25">
      <c r="B6" s="209" t="s">
        <v>959</v>
      </c>
      <c r="C6" s="119" t="s">
        <v>957</v>
      </c>
      <c r="D6" s="86"/>
      <c r="E6" s="86"/>
      <c r="F6" s="86"/>
      <c r="G6" s="86"/>
      <c r="H6" s="86"/>
      <c r="I6" s="86"/>
      <c r="J6" s="86">
        <v>0.26</v>
      </c>
      <c r="K6" s="86">
        <v>0.2316</v>
      </c>
      <c r="L6" s="86"/>
      <c r="M6" s="86"/>
      <c r="N6" s="86"/>
      <c r="O6" s="86"/>
      <c r="P6" s="86">
        <v>0.26</v>
      </c>
      <c r="Q6" s="86">
        <v>0.26</v>
      </c>
      <c r="R6" s="86">
        <v>0.24429999999999999</v>
      </c>
      <c r="S6" s="86">
        <v>0.26490000000000002</v>
      </c>
      <c r="T6" s="86"/>
      <c r="U6" s="86"/>
      <c r="V6" s="86"/>
      <c r="W6" s="86">
        <v>0.23158000000000001</v>
      </c>
      <c r="X6" s="86"/>
      <c r="Y6" s="86"/>
      <c r="Z6" s="86"/>
      <c r="AA6" s="86"/>
      <c r="AB6" s="86"/>
      <c r="AC6" s="86">
        <v>0.25396999999999997</v>
      </c>
      <c r="AD6" s="86"/>
      <c r="AE6" s="86"/>
      <c r="AF6" s="86"/>
      <c r="AG6" s="86"/>
    </row>
    <row r="7" spans="2:33" ht="15" customHeight="1" x14ac:dyDescent="0.25">
      <c r="B7" s="210"/>
      <c r="C7" s="120" t="s">
        <v>339</v>
      </c>
      <c r="D7" s="86"/>
      <c r="E7" s="86"/>
      <c r="F7" s="86"/>
      <c r="G7" s="86"/>
      <c r="H7" s="86"/>
      <c r="I7" s="86"/>
      <c r="J7" s="86">
        <v>0.69</v>
      </c>
      <c r="K7" s="86">
        <v>0.71579999999999999</v>
      </c>
      <c r="L7" s="86"/>
      <c r="M7" s="86"/>
      <c r="N7" s="86"/>
      <c r="O7" s="86"/>
      <c r="P7" s="86">
        <v>0.69</v>
      </c>
      <c r="Q7" s="86">
        <v>0.69</v>
      </c>
      <c r="R7" s="86">
        <v>0.70760000000000001</v>
      </c>
      <c r="S7" s="86">
        <v>0.68510000000000004</v>
      </c>
      <c r="T7" s="86"/>
      <c r="U7" s="86"/>
      <c r="V7" s="86"/>
      <c r="W7" s="86">
        <v>0.71579000000000004</v>
      </c>
      <c r="X7" s="86"/>
      <c r="Y7" s="86"/>
      <c r="Z7" s="86"/>
      <c r="AA7" s="86"/>
      <c r="AB7" s="86"/>
      <c r="AC7" s="86">
        <v>0.69840999999999998</v>
      </c>
      <c r="AD7" s="86"/>
      <c r="AE7" s="86"/>
      <c r="AF7" s="86"/>
      <c r="AG7" s="86"/>
    </row>
    <row r="8" spans="2:33" ht="15" customHeight="1" thickBot="1" x14ac:dyDescent="0.3">
      <c r="B8" s="211"/>
      <c r="C8" s="120" t="s">
        <v>338</v>
      </c>
      <c r="D8" s="86"/>
      <c r="E8" s="86"/>
      <c r="F8" s="86"/>
      <c r="G8" s="86"/>
      <c r="H8" s="86"/>
      <c r="I8" s="86"/>
      <c r="J8" s="86">
        <v>0.05</v>
      </c>
      <c r="K8" s="86">
        <v>5.2600000000000001E-2</v>
      </c>
      <c r="L8" s="86"/>
      <c r="M8" s="86"/>
      <c r="N8" s="86"/>
      <c r="O8" s="86"/>
      <c r="P8" s="86">
        <v>0.05</v>
      </c>
      <c r="Q8" s="86">
        <v>0.05</v>
      </c>
      <c r="R8" s="86">
        <v>4.8099999999999997E-2</v>
      </c>
      <c r="S8" s="86">
        <v>0.05</v>
      </c>
      <c r="T8" s="86"/>
      <c r="U8" s="86"/>
      <c r="V8" s="86"/>
      <c r="W8" s="86">
        <v>5.2630000000000003E-2</v>
      </c>
      <c r="X8" s="86"/>
      <c r="Y8" s="86"/>
      <c r="Z8" s="86"/>
      <c r="AA8" s="86"/>
      <c r="AB8" s="86"/>
      <c r="AC8" s="86">
        <v>4.7620000000000003E-2</v>
      </c>
      <c r="AD8" s="86"/>
      <c r="AE8" s="86"/>
      <c r="AF8" s="86"/>
      <c r="AG8" s="86"/>
    </row>
    <row r="9" spans="2:33" ht="15" customHeight="1" x14ac:dyDescent="0.25">
      <c r="B9" s="215" t="s">
        <v>960</v>
      </c>
      <c r="C9" s="121" t="s">
        <v>957</v>
      </c>
      <c r="D9" s="135"/>
      <c r="E9" s="135"/>
      <c r="F9" s="135"/>
      <c r="G9" s="135"/>
      <c r="H9" s="135"/>
      <c r="I9" s="135"/>
      <c r="J9" s="135">
        <v>0.28000000000000003</v>
      </c>
      <c r="K9" s="135"/>
      <c r="L9" s="135"/>
      <c r="M9" s="135"/>
      <c r="N9" s="135"/>
      <c r="O9" s="135">
        <v>0.26500000000000001</v>
      </c>
      <c r="P9" s="135"/>
      <c r="Q9" s="135"/>
      <c r="R9" s="135"/>
      <c r="S9" s="135">
        <v>0.27989999999999998</v>
      </c>
      <c r="T9" s="135"/>
      <c r="U9" s="135"/>
      <c r="V9" s="135"/>
      <c r="W9" s="135"/>
      <c r="X9" s="135"/>
      <c r="Y9" s="135"/>
      <c r="Z9" s="135"/>
      <c r="AA9" s="135"/>
      <c r="AB9" s="135"/>
      <c r="AC9" s="135"/>
      <c r="AD9" s="135"/>
      <c r="AE9" s="135"/>
      <c r="AF9" s="135">
        <v>0.26919999999999999</v>
      </c>
      <c r="AG9" s="135">
        <v>0.27</v>
      </c>
    </row>
    <row r="10" spans="2:33" ht="15" customHeight="1" x14ac:dyDescent="0.25">
      <c r="B10" s="216"/>
      <c r="C10" s="123" t="s">
        <v>339</v>
      </c>
      <c r="D10" s="134"/>
      <c r="E10" s="134"/>
      <c r="F10" s="134"/>
      <c r="G10" s="134"/>
      <c r="H10" s="134"/>
      <c r="I10" s="134"/>
      <c r="J10" s="134">
        <v>0.67</v>
      </c>
      <c r="K10" s="134"/>
      <c r="L10" s="134"/>
      <c r="M10" s="134"/>
      <c r="N10" s="134"/>
      <c r="O10" s="134">
        <v>0.68300000000000005</v>
      </c>
      <c r="P10" s="134"/>
      <c r="Q10" s="134"/>
      <c r="R10" s="134"/>
      <c r="S10" s="134">
        <v>0.67010000000000003</v>
      </c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4"/>
      <c r="AF10" s="134">
        <v>0.67700000000000005</v>
      </c>
      <c r="AG10" s="134">
        <v>0.68</v>
      </c>
    </row>
    <row r="11" spans="2:33" ht="15" customHeight="1" thickBot="1" x14ac:dyDescent="0.3">
      <c r="B11" s="221"/>
      <c r="C11" s="169" t="s">
        <v>338</v>
      </c>
      <c r="D11" s="138"/>
      <c r="E11" s="138"/>
      <c r="F11" s="138"/>
      <c r="G11" s="138"/>
      <c r="H11" s="138"/>
      <c r="I11" s="138"/>
      <c r="J11" s="138">
        <v>0.05</v>
      </c>
      <c r="K11" s="138"/>
      <c r="L11" s="138"/>
      <c r="M11" s="138"/>
      <c r="N11" s="138"/>
      <c r="O11" s="138">
        <v>5.1999999999999998E-2</v>
      </c>
      <c r="P11" s="138"/>
      <c r="Q11" s="138"/>
      <c r="R11" s="138"/>
      <c r="S11" s="138">
        <v>0.05</v>
      </c>
      <c r="T11" s="138"/>
      <c r="U11" s="138"/>
      <c r="V11" s="138"/>
      <c r="W11" s="138"/>
      <c r="X11" s="138"/>
      <c r="Y11" s="138"/>
      <c r="Z11" s="138"/>
      <c r="AA11" s="138"/>
      <c r="AB11" s="138"/>
      <c r="AC11" s="138"/>
      <c r="AD11" s="138"/>
      <c r="AE11" s="138"/>
      <c r="AF11" s="138">
        <v>5.3800000000000001E-2</v>
      </c>
      <c r="AG11" s="138">
        <v>0.05</v>
      </c>
    </row>
    <row r="12" spans="2:33" ht="15" customHeight="1" x14ac:dyDescent="0.25">
      <c r="B12" s="230" t="s">
        <v>1541</v>
      </c>
      <c r="C12" s="171" t="s">
        <v>957</v>
      </c>
      <c r="D12" s="170"/>
      <c r="E12" s="170"/>
      <c r="F12" s="170"/>
      <c r="G12" s="170"/>
      <c r="H12" s="170"/>
      <c r="I12" s="170"/>
      <c r="J12" s="170"/>
      <c r="K12" s="170"/>
      <c r="L12" s="170"/>
      <c r="M12" s="170"/>
      <c r="N12" s="170"/>
      <c r="O12" s="170"/>
      <c r="P12" s="170"/>
      <c r="Q12" s="170"/>
      <c r="R12" s="170"/>
      <c r="S12" s="170"/>
      <c r="T12" s="170"/>
      <c r="U12" s="170"/>
      <c r="V12" s="170"/>
      <c r="W12" s="170"/>
      <c r="X12" s="170"/>
      <c r="Y12" s="170"/>
      <c r="Z12" s="170">
        <v>0.3</v>
      </c>
      <c r="AA12" s="170"/>
      <c r="AB12" s="170"/>
      <c r="AC12" s="170">
        <v>0.26984000000000002</v>
      </c>
      <c r="AD12" s="170">
        <v>0.3</v>
      </c>
      <c r="AE12" s="170">
        <v>0.28120000000000001</v>
      </c>
      <c r="AF12" s="170">
        <v>0.25990000000000002</v>
      </c>
      <c r="AG12" s="170">
        <v>0.26</v>
      </c>
    </row>
    <row r="13" spans="2:33" ht="15" customHeight="1" x14ac:dyDescent="0.25">
      <c r="B13" s="231"/>
      <c r="C13" s="171" t="s">
        <v>339</v>
      </c>
      <c r="D13" s="170"/>
      <c r="E13" s="170"/>
      <c r="F13" s="170"/>
      <c r="G13" s="170"/>
      <c r="H13" s="170"/>
      <c r="I13" s="170"/>
      <c r="J13" s="170"/>
      <c r="K13" s="170"/>
      <c r="L13" s="170"/>
      <c r="M13" s="170"/>
      <c r="N13" s="170"/>
      <c r="O13" s="170"/>
      <c r="P13" s="170"/>
      <c r="Q13" s="170"/>
      <c r="R13" s="170"/>
      <c r="S13" s="170"/>
      <c r="T13" s="170"/>
      <c r="U13" s="170"/>
      <c r="V13" s="170"/>
      <c r="W13" s="170"/>
      <c r="X13" s="170"/>
      <c r="Y13" s="170"/>
      <c r="Z13" s="170">
        <v>0.65</v>
      </c>
      <c r="AA13" s="170"/>
      <c r="AB13" s="170"/>
      <c r="AC13" s="170">
        <v>0.68015999999999999</v>
      </c>
      <c r="AD13" s="170">
        <v>0.65</v>
      </c>
      <c r="AE13" s="170">
        <v>0.66879999999999995</v>
      </c>
      <c r="AF13" s="170">
        <v>0.69010000000000005</v>
      </c>
      <c r="AG13" s="170">
        <v>0.69</v>
      </c>
    </row>
    <row r="14" spans="2:33" ht="15" customHeight="1" thickBot="1" x14ac:dyDescent="0.3">
      <c r="B14" s="232"/>
      <c r="C14" s="171" t="s">
        <v>338</v>
      </c>
      <c r="D14" s="170"/>
      <c r="E14" s="170"/>
      <c r="F14" s="170"/>
      <c r="G14" s="170"/>
      <c r="H14" s="170"/>
      <c r="I14" s="170"/>
      <c r="J14" s="170"/>
      <c r="K14" s="170"/>
      <c r="L14" s="170"/>
      <c r="M14" s="170"/>
      <c r="N14" s="170"/>
      <c r="O14" s="170"/>
      <c r="P14" s="170"/>
      <c r="Q14" s="170"/>
      <c r="R14" s="170"/>
      <c r="S14" s="170"/>
      <c r="T14" s="170"/>
      <c r="U14" s="170"/>
      <c r="V14" s="170"/>
      <c r="W14" s="170"/>
      <c r="X14" s="170"/>
      <c r="Y14" s="170"/>
      <c r="Z14" s="170">
        <v>0.05</v>
      </c>
      <c r="AA14" s="170"/>
      <c r="AB14" s="170"/>
      <c r="AC14" s="170">
        <v>0.05</v>
      </c>
      <c r="AD14" s="170">
        <v>0.05</v>
      </c>
      <c r="AE14" s="170">
        <v>0.05</v>
      </c>
      <c r="AF14" s="170">
        <v>0.05</v>
      </c>
      <c r="AG14" s="170">
        <v>0.05</v>
      </c>
    </row>
    <row r="15" spans="2:33" ht="15" customHeight="1" x14ac:dyDescent="0.25">
      <c r="B15" s="223" t="s">
        <v>1086</v>
      </c>
      <c r="C15" s="151" t="s">
        <v>957</v>
      </c>
      <c r="D15" s="152"/>
      <c r="E15" s="152"/>
      <c r="F15" s="152"/>
      <c r="G15" s="152"/>
      <c r="H15" s="152"/>
      <c r="I15" s="152"/>
      <c r="J15" s="152"/>
      <c r="K15" s="152"/>
      <c r="L15" s="152"/>
      <c r="M15" s="152"/>
      <c r="N15" s="152"/>
      <c r="O15" s="152"/>
      <c r="P15" s="152"/>
      <c r="Q15" s="152"/>
      <c r="R15" s="152"/>
      <c r="S15" s="152"/>
      <c r="T15" s="152"/>
      <c r="U15" s="152"/>
      <c r="V15" s="152"/>
      <c r="W15" s="152"/>
      <c r="X15" s="152"/>
      <c r="Y15" s="152"/>
      <c r="Z15" s="152"/>
      <c r="AA15" s="152"/>
      <c r="AB15" s="152"/>
      <c r="AC15" s="152"/>
      <c r="AD15" s="152"/>
      <c r="AE15" s="152"/>
      <c r="AF15" s="152"/>
      <c r="AG15" s="152"/>
    </row>
    <row r="16" spans="2:33" ht="15" customHeight="1" x14ac:dyDescent="0.25">
      <c r="B16" s="223"/>
      <c r="C16" s="90" t="s">
        <v>339</v>
      </c>
      <c r="D16" s="149"/>
      <c r="E16" s="149"/>
      <c r="F16" s="149"/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  <c r="AA16" s="149"/>
      <c r="AB16" s="149"/>
      <c r="AC16" s="149"/>
      <c r="AD16" s="149"/>
      <c r="AE16" s="149"/>
      <c r="AF16" s="149"/>
      <c r="AG16" s="149"/>
    </row>
    <row r="17" spans="2:33" ht="15" customHeight="1" thickBot="1" x14ac:dyDescent="0.3">
      <c r="B17" s="224"/>
      <c r="C17" s="92" t="s">
        <v>338</v>
      </c>
      <c r="D17" s="150"/>
      <c r="E17" s="150"/>
      <c r="F17" s="150"/>
      <c r="G17" s="150"/>
      <c r="H17" s="150"/>
      <c r="I17" s="150"/>
      <c r="J17" s="150"/>
      <c r="K17" s="150"/>
      <c r="L17" s="150"/>
      <c r="M17" s="150"/>
      <c r="N17" s="150"/>
      <c r="O17" s="150"/>
      <c r="P17" s="150"/>
      <c r="Q17" s="150"/>
      <c r="R17" s="150"/>
      <c r="S17" s="150"/>
      <c r="T17" s="150"/>
      <c r="U17" s="150"/>
      <c r="V17" s="150"/>
      <c r="W17" s="150"/>
      <c r="X17" s="150"/>
      <c r="Y17" s="150"/>
      <c r="Z17" s="150"/>
      <c r="AA17" s="150"/>
      <c r="AB17" s="150"/>
      <c r="AC17" s="150"/>
      <c r="AD17" s="150"/>
      <c r="AE17" s="150"/>
      <c r="AF17" s="150"/>
      <c r="AG17" s="150"/>
    </row>
    <row r="18" spans="2:33" ht="6.75" customHeight="1" thickBot="1" x14ac:dyDescent="0.3"/>
    <row r="19" spans="2:33" ht="15" customHeight="1" thickBot="1" x14ac:dyDescent="0.3">
      <c r="B19" s="95" t="s">
        <v>964</v>
      </c>
      <c r="C19" s="94" t="s">
        <v>963</v>
      </c>
      <c r="D19" s="94" t="s">
        <v>1518</v>
      </c>
      <c r="E19" s="94" t="s">
        <v>1519</v>
      </c>
      <c r="F19" s="94" t="s">
        <v>1520</v>
      </c>
      <c r="G19" s="94" t="s">
        <v>1521</v>
      </c>
      <c r="H19" s="94" t="s">
        <v>1522</v>
      </c>
      <c r="I19" s="94" t="s">
        <v>1523</v>
      </c>
      <c r="J19" s="94" t="s">
        <v>1524</v>
      </c>
      <c r="K19" s="94" t="s">
        <v>1525</v>
      </c>
      <c r="L19" s="94" t="s">
        <v>1526</v>
      </c>
      <c r="M19" s="94" t="s">
        <v>1527</v>
      </c>
      <c r="N19" s="94" t="s">
        <v>1528</v>
      </c>
      <c r="O19" s="94" t="s">
        <v>1529</v>
      </c>
      <c r="P19" s="94" t="s">
        <v>1530</v>
      </c>
      <c r="Q19" s="94" t="s">
        <v>1531</v>
      </c>
      <c r="R19" s="94" t="s">
        <v>1532</v>
      </c>
      <c r="S19" s="94" t="s">
        <v>1533</v>
      </c>
      <c r="T19" s="94" t="s">
        <v>1534</v>
      </c>
      <c r="U19" s="94" t="s">
        <v>1535</v>
      </c>
      <c r="V19" s="94" t="s">
        <v>1536</v>
      </c>
      <c r="W19" s="94" t="s">
        <v>1537</v>
      </c>
      <c r="X19" s="94" t="s">
        <v>1538</v>
      </c>
      <c r="Y19" s="94" t="s">
        <v>1539</v>
      </c>
      <c r="Z19" s="94" t="s">
        <v>1540</v>
      </c>
      <c r="AA19" s="94" t="s">
        <v>1542</v>
      </c>
      <c r="AB19" s="94" t="s">
        <v>1543</v>
      </c>
      <c r="AC19" s="94" t="s">
        <v>1544</v>
      </c>
      <c r="AD19" s="94" t="s">
        <v>1545</v>
      </c>
      <c r="AE19" s="94" t="s">
        <v>1546</v>
      </c>
      <c r="AF19" s="94" t="s">
        <v>1547</v>
      </c>
      <c r="AG19" s="94" t="s">
        <v>1548</v>
      </c>
    </row>
    <row r="20" spans="2:33" ht="15" customHeight="1" x14ac:dyDescent="0.25">
      <c r="B20" s="206" t="s">
        <v>958</v>
      </c>
      <c r="C20" s="81" t="s">
        <v>957</v>
      </c>
      <c r="D20" s="117">
        <v>0.19</v>
      </c>
      <c r="E20" s="117">
        <v>0.18</v>
      </c>
      <c r="F20" s="117">
        <v>0.2</v>
      </c>
      <c r="G20" s="117">
        <v>0.18</v>
      </c>
      <c r="H20" s="117">
        <v>0.18179999999999999</v>
      </c>
      <c r="I20" s="117">
        <v>0.18</v>
      </c>
      <c r="J20" s="117">
        <v>0.185</v>
      </c>
      <c r="K20" s="117">
        <v>0.18</v>
      </c>
      <c r="L20" s="117">
        <v>0.1769</v>
      </c>
      <c r="M20" s="117">
        <v>0.1885</v>
      </c>
      <c r="N20" s="117">
        <v>0.183</v>
      </c>
      <c r="O20" s="117">
        <v>0.18</v>
      </c>
      <c r="P20" s="117">
        <v>0.18</v>
      </c>
      <c r="Q20" s="117">
        <v>0.18</v>
      </c>
      <c r="R20" s="117">
        <v>0.17519999999999999</v>
      </c>
      <c r="S20" s="117">
        <v>0.17799999999999999</v>
      </c>
      <c r="T20" s="117">
        <v>0.18509999999999999</v>
      </c>
      <c r="U20" s="117">
        <v>0.17499999999999999</v>
      </c>
      <c r="V20" s="117">
        <v>0.18817</v>
      </c>
      <c r="W20" s="117">
        <v>0.18060000000000001</v>
      </c>
      <c r="X20" s="117">
        <v>0.18</v>
      </c>
      <c r="Y20" s="117">
        <v>0.17499999999999999</v>
      </c>
      <c r="Z20" s="117">
        <v>0.18</v>
      </c>
      <c r="AA20" s="117">
        <v>0.18</v>
      </c>
      <c r="AB20" s="117">
        <v>0.17499999999999999</v>
      </c>
      <c r="AC20" s="117">
        <v>0.18887999999999999</v>
      </c>
      <c r="AD20" s="117">
        <v>0.1739</v>
      </c>
      <c r="AE20" s="117">
        <v>0.17499999999999999</v>
      </c>
      <c r="AF20" s="117">
        <v>0.17499999999999999</v>
      </c>
      <c r="AG20" s="117">
        <v>0.18</v>
      </c>
    </row>
    <row r="21" spans="2:33" ht="15" customHeight="1" x14ac:dyDescent="0.25">
      <c r="B21" s="207"/>
      <c r="C21" s="83" t="s">
        <v>339</v>
      </c>
      <c r="D21" s="84">
        <v>0.76</v>
      </c>
      <c r="E21" s="84">
        <v>0.77</v>
      </c>
      <c r="F21" s="84">
        <v>0.74909999999999999</v>
      </c>
      <c r="G21" s="84">
        <v>0.77</v>
      </c>
      <c r="H21" s="84">
        <v>0.76819999999999999</v>
      </c>
      <c r="I21" s="84">
        <v>0.77</v>
      </c>
      <c r="J21" s="84">
        <v>0.76500000000000001</v>
      </c>
      <c r="K21" s="84">
        <v>0.77</v>
      </c>
      <c r="L21" s="84">
        <v>0.77310000000000001</v>
      </c>
      <c r="M21" s="84">
        <v>0.76149999999999995</v>
      </c>
      <c r="N21" s="84">
        <v>0.76700000000000002</v>
      </c>
      <c r="O21" s="84">
        <v>0.77</v>
      </c>
      <c r="P21" s="84">
        <v>0.77</v>
      </c>
      <c r="Q21" s="84">
        <v>0.77</v>
      </c>
      <c r="R21" s="84">
        <v>0.77480000000000004</v>
      </c>
      <c r="S21" s="84">
        <v>0.77200000000000002</v>
      </c>
      <c r="T21" s="84">
        <v>0.76490000000000002</v>
      </c>
      <c r="U21" s="84">
        <v>0.77500000000000002</v>
      </c>
      <c r="V21" s="84">
        <v>0.76173999999999997</v>
      </c>
      <c r="W21" s="84">
        <v>0.76812000000000002</v>
      </c>
      <c r="X21" s="84">
        <v>0.77</v>
      </c>
      <c r="Y21" s="84">
        <v>0.77500000000000002</v>
      </c>
      <c r="Z21" s="84">
        <v>0.77</v>
      </c>
      <c r="AA21" s="84">
        <v>0.77</v>
      </c>
      <c r="AB21" s="84">
        <v>0.77500000000000002</v>
      </c>
      <c r="AC21" s="84">
        <v>0.75971</v>
      </c>
      <c r="AD21" s="84">
        <v>0.77639999999999998</v>
      </c>
      <c r="AE21" s="84">
        <v>0.77500000000000002</v>
      </c>
      <c r="AF21" s="84">
        <v>0.77500000000000002</v>
      </c>
      <c r="AG21" s="84">
        <v>0.77</v>
      </c>
    </row>
    <row r="22" spans="2:33" ht="15" customHeight="1" thickBot="1" x14ac:dyDescent="0.3">
      <c r="B22" s="208"/>
      <c r="C22" s="83" t="s">
        <v>338</v>
      </c>
      <c r="D22" s="84">
        <v>0.05</v>
      </c>
      <c r="E22" s="84">
        <v>0.05</v>
      </c>
      <c r="F22" s="84">
        <v>5.0900000000000001E-2</v>
      </c>
      <c r="G22" s="84">
        <v>0.05</v>
      </c>
      <c r="H22" s="84">
        <v>0.05</v>
      </c>
      <c r="I22" s="84">
        <v>0.05</v>
      </c>
      <c r="J22" s="84">
        <v>0.05</v>
      </c>
      <c r="K22" s="84">
        <v>0.05</v>
      </c>
      <c r="L22" s="84">
        <v>0.05</v>
      </c>
      <c r="M22" s="84">
        <v>0.05</v>
      </c>
      <c r="N22" s="84">
        <v>0.05</v>
      </c>
      <c r="O22" s="84">
        <v>0.05</v>
      </c>
      <c r="P22" s="84">
        <v>0.05</v>
      </c>
      <c r="Q22" s="84">
        <v>0.05</v>
      </c>
      <c r="R22" s="84">
        <v>0.05</v>
      </c>
      <c r="S22" s="84">
        <v>0.05</v>
      </c>
      <c r="T22" s="84">
        <v>0.05</v>
      </c>
      <c r="U22" s="84">
        <v>0.05</v>
      </c>
      <c r="V22" s="84">
        <v>5.0099999999999999E-2</v>
      </c>
      <c r="W22" s="84">
        <v>5.1279999999999999E-2</v>
      </c>
      <c r="X22" s="84">
        <v>0.05</v>
      </c>
      <c r="Y22" s="84">
        <v>0.05</v>
      </c>
      <c r="Z22" s="84">
        <v>0.05</v>
      </c>
      <c r="AA22" s="84">
        <v>0.05</v>
      </c>
      <c r="AB22" s="84">
        <v>0.05</v>
      </c>
      <c r="AC22" s="84">
        <v>5.142E-2</v>
      </c>
      <c r="AD22" s="84">
        <v>4.9700000000000001E-2</v>
      </c>
      <c r="AE22" s="84">
        <v>0.05</v>
      </c>
      <c r="AF22" s="84">
        <v>0.05</v>
      </c>
      <c r="AG22" s="84">
        <v>0.05</v>
      </c>
    </row>
    <row r="23" spans="2:33" ht="15" customHeight="1" x14ac:dyDescent="0.25">
      <c r="B23" s="209" t="s">
        <v>959</v>
      </c>
      <c r="C23" s="85" t="s">
        <v>957</v>
      </c>
      <c r="D23" s="132">
        <v>0.28499999999999998</v>
      </c>
      <c r="E23" s="132">
        <v>0.28499999999999998</v>
      </c>
      <c r="F23" s="132">
        <v>0.29909999999999998</v>
      </c>
      <c r="G23" s="132">
        <v>0.25940000000000002</v>
      </c>
      <c r="H23" s="132">
        <v>0.27200000000000002</v>
      </c>
      <c r="I23" s="132">
        <v>0.22520000000000001</v>
      </c>
      <c r="J23" s="132">
        <v>0.26</v>
      </c>
      <c r="K23" s="132">
        <v>0.25</v>
      </c>
      <c r="L23" s="132">
        <v>0.2324</v>
      </c>
      <c r="M23" s="132">
        <v>0.27989999999999998</v>
      </c>
      <c r="N23" s="132">
        <v>0.28999999999999998</v>
      </c>
      <c r="O23" s="132">
        <v>0.26</v>
      </c>
      <c r="P23" s="132">
        <v>0.2797</v>
      </c>
      <c r="Q23" s="132"/>
      <c r="R23" s="132"/>
      <c r="S23" s="132">
        <v>0.25</v>
      </c>
      <c r="T23" s="132">
        <v>0.23680000000000001</v>
      </c>
      <c r="U23" s="132">
        <v>0.2545</v>
      </c>
      <c r="V23" s="132">
        <v>0.23111000000000001</v>
      </c>
      <c r="W23" s="132">
        <v>0.22917000000000001</v>
      </c>
      <c r="X23" s="132">
        <v>0.22917000000000001</v>
      </c>
      <c r="Y23" s="132">
        <v>0.25</v>
      </c>
      <c r="Z23" s="132">
        <v>0.23810000000000001</v>
      </c>
      <c r="AA23" s="132">
        <v>0.24729999999999999</v>
      </c>
      <c r="AB23" s="132">
        <v>0.25</v>
      </c>
      <c r="AC23" s="132"/>
      <c r="AD23" s="132"/>
      <c r="AE23" s="132"/>
      <c r="AF23" s="132"/>
      <c r="AG23" s="132"/>
    </row>
    <row r="24" spans="2:33" ht="15" customHeight="1" x14ac:dyDescent="0.25">
      <c r="B24" s="210"/>
      <c r="C24" s="87" t="s">
        <v>339</v>
      </c>
      <c r="D24" s="86">
        <v>0.66300000000000003</v>
      </c>
      <c r="E24" s="86">
        <v>0.66500000000000004</v>
      </c>
      <c r="F24" s="86">
        <v>0.65369999999999995</v>
      </c>
      <c r="G24" s="86">
        <v>0.69059999999999999</v>
      </c>
      <c r="H24" s="86">
        <v>0.67600000000000005</v>
      </c>
      <c r="I24" s="86">
        <v>0.7248</v>
      </c>
      <c r="J24" s="86">
        <v>0.69</v>
      </c>
      <c r="K24" s="86">
        <v>0.7</v>
      </c>
      <c r="L24" s="86">
        <v>0.71360000000000001</v>
      </c>
      <c r="M24" s="86">
        <v>0.66979999999999995</v>
      </c>
      <c r="N24" s="86">
        <v>0.66</v>
      </c>
      <c r="O24" s="86">
        <v>0.69</v>
      </c>
      <c r="P24" s="86">
        <v>0.67030000000000001</v>
      </c>
      <c r="Q24" s="86"/>
      <c r="R24" s="86"/>
      <c r="S24" s="86">
        <v>0.7</v>
      </c>
      <c r="T24" s="86">
        <v>0.71060000000000001</v>
      </c>
      <c r="U24" s="86">
        <v>0.69579999999999997</v>
      </c>
      <c r="V24" s="86">
        <v>0.71889000000000003</v>
      </c>
      <c r="W24" s="86">
        <v>0.72082999999999997</v>
      </c>
      <c r="X24" s="86">
        <v>0.72082999999999997</v>
      </c>
      <c r="Y24" s="86">
        <v>0.7</v>
      </c>
      <c r="Z24" s="86">
        <v>0.71189999999999998</v>
      </c>
      <c r="AA24" s="86">
        <v>0.70179999999999998</v>
      </c>
      <c r="AB24" s="86">
        <v>0.7</v>
      </c>
      <c r="AC24" s="86"/>
      <c r="AD24" s="86"/>
      <c r="AE24" s="86"/>
      <c r="AF24" s="86"/>
      <c r="AG24" s="86"/>
    </row>
    <row r="25" spans="2:33" ht="15" customHeight="1" thickBot="1" x14ac:dyDescent="0.3">
      <c r="B25" s="211"/>
      <c r="C25" s="87" t="s">
        <v>338</v>
      </c>
      <c r="D25" s="86">
        <v>5.1999999999999998E-2</v>
      </c>
      <c r="E25" s="86">
        <v>0.05</v>
      </c>
      <c r="F25" s="86">
        <v>4.7199999999999999E-2</v>
      </c>
      <c r="G25" s="86">
        <v>0.05</v>
      </c>
      <c r="H25" s="86">
        <v>5.1999999999999998E-2</v>
      </c>
      <c r="I25" s="86">
        <v>0.05</v>
      </c>
      <c r="J25" s="86">
        <v>0.05</v>
      </c>
      <c r="K25" s="86">
        <v>0.05</v>
      </c>
      <c r="L25" s="86">
        <v>5.3999999999999999E-2</v>
      </c>
      <c r="M25" s="86">
        <v>5.0299999999999997E-2</v>
      </c>
      <c r="N25" s="86">
        <v>0.05</v>
      </c>
      <c r="O25" s="86">
        <v>0.05</v>
      </c>
      <c r="P25" s="86">
        <v>0.05</v>
      </c>
      <c r="Q25" s="86"/>
      <c r="R25" s="86"/>
      <c r="S25" s="86">
        <v>0.05</v>
      </c>
      <c r="T25" s="86">
        <v>5.2600000000000001E-2</v>
      </c>
      <c r="U25" s="86">
        <v>4.9700000000000001E-2</v>
      </c>
      <c r="V25" s="86">
        <v>0.05</v>
      </c>
      <c r="W25" s="86">
        <v>0.05</v>
      </c>
      <c r="X25" s="86">
        <v>0.05</v>
      </c>
      <c r="Y25" s="86">
        <v>0.05</v>
      </c>
      <c r="Z25" s="86">
        <v>0.05</v>
      </c>
      <c r="AA25" s="86">
        <v>5.0900000000000001E-2</v>
      </c>
      <c r="AB25" s="86">
        <v>0.05</v>
      </c>
      <c r="AC25" s="86"/>
      <c r="AD25" s="86"/>
      <c r="AE25" s="86"/>
      <c r="AF25" s="86"/>
      <c r="AG25" s="86"/>
    </row>
    <row r="26" spans="2:33" ht="15" customHeight="1" x14ac:dyDescent="0.25">
      <c r="B26" s="200" t="s">
        <v>960</v>
      </c>
      <c r="C26" s="88" t="s">
        <v>957</v>
      </c>
      <c r="D26" s="135">
        <v>0.3</v>
      </c>
      <c r="E26" s="135"/>
      <c r="F26" s="135"/>
      <c r="G26" s="135">
        <v>0.28000000000000003</v>
      </c>
      <c r="H26" s="135"/>
      <c r="I26" s="135">
        <v>0.28029999999999999</v>
      </c>
      <c r="J26" s="135"/>
      <c r="K26" s="135"/>
      <c r="L26" s="135"/>
      <c r="M26" s="135">
        <v>0.27</v>
      </c>
      <c r="N26" s="135"/>
      <c r="O26" s="135"/>
      <c r="P26" s="135"/>
      <c r="Q26" s="135"/>
      <c r="R26" s="135">
        <v>0.28000000000000003</v>
      </c>
      <c r="S26" s="135"/>
      <c r="T26" s="135"/>
      <c r="U26" s="135"/>
      <c r="V26" s="135"/>
      <c r="W26" s="135"/>
      <c r="X26" s="167"/>
      <c r="Y26" s="153">
        <v>0.26</v>
      </c>
      <c r="Z26" s="153"/>
      <c r="AA26" s="153"/>
      <c r="AB26" s="153"/>
      <c r="AC26" s="176"/>
      <c r="AD26" s="176">
        <v>0.29899999999999999</v>
      </c>
      <c r="AE26" s="176"/>
      <c r="AF26" s="176"/>
      <c r="AG26" s="176"/>
    </row>
    <row r="27" spans="2:33" ht="15" customHeight="1" x14ac:dyDescent="0.25">
      <c r="B27" s="201"/>
      <c r="C27" s="90" t="s">
        <v>339</v>
      </c>
      <c r="D27" s="134">
        <v>0.64800000000000002</v>
      </c>
      <c r="E27" s="134"/>
      <c r="F27" s="134"/>
      <c r="G27" s="134">
        <v>0.67</v>
      </c>
      <c r="H27" s="134"/>
      <c r="I27" s="134">
        <v>0.66969999999999996</v>
      </c>
      <c r="J27" s="134"/>
      <c r="K27" s="134"/>
      <c r="L27" s="134"/>
      <c r="M27" s="134">
        <v>0.68</v>
      </c>
      <c r="N27" s="134"/>
      <c r="O27" s="134"/>
      <c r="P27" s="134"/>
      <c r="Q27" s="134"/>
      <c r="R27" s="134">
        <v>0.67</v>
      </c>
      <c r="S27" s="134"/>
      <c r="T27" s="134"/>
      <c r="U27" s="134"/>
      <c r="V27" s="134"/>
      <c r="W27" s="134"/>
      <c r="X27" s="168"/>
      <c r="Y27" s="153">
        <v>0.69</v>
      </c>
      <c r="Z27" s="153"/>
      <c r="AA27" s="153"/>
      <c r="AB27" s="153"/>
      <c r="AC27" s="176"/>
      <c r="AD27" s="176">
        <v>0.65200000000000002</v>
      </c>
      <c r="AE27" s="176"/>
      <c r="AF27" s="176"/>
      <c r="AG27" s="176"/>
    </row>
    <row r="28" spans="2:33" ht="15" customHeight="1" thickBot="1" x14ac:dyDescent="0.3">
      <c r="B28" s="212"/>
      <c r="C28" s="108" t="s">
        <v>338</v>
      </c>
      <c r="D28" s="136">
        <v>5.1999999999999998E-2</v>
      </c>
      <c r="E28" s="136"/>
      <c r="F28" s="136"/>
      <c r="G28" s="136">
        <v>0.05</v>
      </c>
      <c r="H28" s="136"/>
      <c r="I28" s="136">
        <v>0.05</v>
      </c>
      <c r="J28" s="136"/>
      <c r="K28" s="136"/>
      <c r="L28" s="136"/>
      <c r="M28" s="136">
        <v>0.05</v>
      </c>
      <c r="N28" s="136"/>
      <c r="O28" s="136"/>
      <c r="P28" s="136"/>
      <c r="Q28" s="136"/>
      <c r="R28" s="136">
        <v>0.05</v>
      </c>
      <c r="S28" s="136"/>
      <c r="T28" s="136"/>
      <c r="U28" s="136"/>
      <c r="V28" s="136"/>
      <c r="W28" s="136"/>
      <c r="X28" s="136"/>
      <c r="Y28" s="134">
        <v>0.05</v>
      </c>
      <c r="Z28" s="134"/>
      <c r="AA28" s="134"/>
      <c r="AB28" s="134"/>
      <c r="AC28" s="134"/>
      <c r="AD28" s="134">
        <v>4.9000000000000002E-2</v>
      </c>
      <c r="AE28" s="134"/>
      <c r="AF28" s="134"/>
      <c r="AG28" s="134"/>
    </row>
    <row r="29" spans="2:33" ht="15" customHeight="1" x14ac:dyDescent="0.25">
      <c r="B29" s="230" t="s">
        <v>1541</v>
      </c>
      <c r="C29" s="171" t="s">
        <v>957</v>
      </c>
      <c r="D29" s="170"/>
      <c r="E29" s="170"/>
      <c r="F29" s="170"/>
      <c r="G29" s="170"/>
      <c r="H29" s="170"/>
      <c r="I29" s="170"/>
      <c r="J29" s="170"/>
      <c r="K29" s="170"/>
      <c r="L29" s="170"/>
      <c r="M29" s="170"/>
      <c r="N29" s="170"/>
      <c r="O29" s="170"/>
      <c r="P29" s="170"/>
      <c r="Q29" s="170"/>
      <c r="R29" s="170"/>
      <c r="S29" s="170"/>
      <c r="T29" s="170"/>
      <c r="U29" s="170"/>
      <c r="V29" s="170"/>
      <c r="W29" s="170"/>
      <c r="X29" s="170"/>
      <c r="Y29" s="170"/>
      <c r="Z29" s="170"/>
      <c r="AA29" s="170"/>
      <c r="AB29" s="170"/>
      <c r="AC29" s="177">
        <v>0.27778000000000003</v>
      </c>
      <c r="AD29" s="177">
        <v>0.27778000000000003</v>
      </c>
      <c r="AE29" s="177"/>
      <c r="AF29" s="177"/>
      <c r="AG29" s="177"/>
    </row>
    <row r="30" spans="2:33" ht="15" customHeight="1" x14ac:dyDescent="0.25">
      <c r="B30" s="231"/>
      <c r="C30" s="171" t="s">
        <v>339</v>
      </c>
      <c r="D30" s="170"/>
      <c r="E30" s="170"/>
      <c r="F30" s="170"/>
      <c r="G30" s="170"/>
      <c r="H30" s="170"/>
      <c r="I30" s="170"/>
      <c r="J30" s="170"/>
      <c r="K30" s="170"/>
      <c r="L30" s="170"/>
      <c r="M30" s="170"/>
      <c r="N30" s="170"/>
      <c r="O30" s="170"/>
      <c r="P30" s="170"/>
      <c r="Q30" s="170"/>
      <c r="R30" s="170"/>
      <c r="S30" s="170"/>
      <c r="T30" s="170"/>
      <c r="U30" s="170"/>
      <c r="V30" s="170"/>
      <c r="W30" s="170"/>
      <c r="X30" s="170"/>
      <c r="Y30" s="170"/>
      <c r="Z30" s="170"/>
      <c r="AA30" s="170"/>
      <c r="AB30" s="170"/>
      <c r="AC30" s="177">
        <v>0.67222000000000004</v>
      </c>
      <c r="AD30" s="177">
        <v>0.67222000000000004</v>
      </c>
      <c r="AE30" s="177"/>
      <c r="AF30" s="177"/>
      <c r="AG30" s="177"/>
    </row>
    <row r="31" spans="2:33" ht="15" customHeight="1" thickBot="1" x14ac:dyDescent="0.3">
      <c r="B31" s="232"/>
      <c r="C31" s="171" t="s">
        <v>338</v>
      </c>
      <c r="D31" s="170"/>
      <c r="E31" s="170"/>
      <c r="F31" s="170"/>
      <c r="G31" s="170"/>
      <c r="H31" s="170"/>
      <c r="I31" s="170"/>
      <c r="J31" s="170"/>
      <c r="K31" s="170"/>
      <c r="L31" s="170"/>
      <c r="M31" s="170"/>
      <c r="N31" s="170"/>
      <c r="O31" s="170"/>
      <c r="P31" s="170"/>
      <c r="Q31" s="170"/>
      <c r="R31" s="170"/>
      <c r="S31" s="170"/>
      <c r="T31" s="170"/>
      <c r="U31" s="170"/>
      <c r="V31" s="170"/>
      <c r="W31" s="170"/>
      <c r="X31" s="170"/>
      <c r="Y31" s="170"/>
      <c r="Z31" s="170"/>
      <c r="AA31" s="170"/>
      <c r="AB31" s="170"/>
      <c r="AC31" s="177">
        <v>0.05</v>
      </c>
      <c r="AD31" s="177">
        <v>0.05</v>
      </c>
      <c r="AE31" s="177"/>
      <c r="AF31" s="177"/>
      <c r="AG31" s="177"/>
    </row>
    <row r="32" spans="2:33" ht="15" customHeight="1" x14ac:dyDescent="0.25">
      <c r="B32" s="229" t="s">
        <v>1086</v>
      </c>
      <c r="C32" s="172" t="s">
        <v>957</v>
      </c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156"/>
      <c r="S32" s="156"/>
      <c r="T32" s="156"/>
      <c r="U32" s="156"/>
      <c r="V32" s="156"/>
      <c r="W32" s="156"/>
      <c r="X32" s="156"/>
      <c r="Y32" s="156"/>
      <c r="Z32" s="156"/>
      <c r="AA32" s="156"/>
      <c r="AB32" s="156"/>
      <c r="AC32" s="156"/>
      <c r="AD32" s="156"/>
      <c r="AE32" s="156"/>
      <c r="AF32" s="156"/>
      <c r="AG32" s="156"/>
    </row>
    <row r="33" spans="2:33" ht="15" customHeight="1" x14ac:dyDescent="0.25">
      <c r="B33" s="223"/>
      <c r="C33" s="173" t="s">
        <v>339</v>
      </c>
      <c r="D33" s="138">
        <v>0.94799999999999995</v>
      </c>
      <c r="E33" s="138">
        <v>0.94450000000000001</v>
      </c>
      <c r="F33" s="138">
        <v>0.94450000000000001</v>
      </c>
      <c r="G33" s="138">
        <v>0.95</v>
      </c>
      <c r="H33" s="138">
        <v>0.95</v>
      </c>
      <c r="I33" s="138">
        <v>0.95</v>
      </c>
      <c r="J33" s="138">
        <v>0.95</v>
      </c>
      <c r="K33" s="138">
        <v>0.94440000000000002</v>
      </c>
      <c r="L33" s="138">
        <v>0.95</v>
      </c>
      <c r="M33" s="138">
        <v>0.96199999999999997</v>
      </c>
      <c r="N33" s="138">
        <v>0.95</v>
      </c>
      <c r="O33" s="138">
        <v>0.9556</v>
      </c>
      <c r="P33" s="138">
        <v>0.95</v>
      </c>
      <c r="Q33" s="138">
        <v>0.94440000000000002</v>
      </c>
      <c r="R33" s="138">
        <v>0.95</v>
      </c>
      <c r="S33" s="138">
        <v>0.95</v>
      </c>
      <c r="T33" s="138">
        <v>0.95</v>
      </c>
      <c r="U33" s="138">
        <v>0.95</v>
      </c>
      <c r="V33" s="138"/>
      <c r="W33" s="138">
        <v>0.95</v>
      </c>
      <c r="X33" s="138">
        <v>0.94450000000000001</v>
      </c>
      <c r="Y33" s="138"/>
      <c r="Z33" s="138"/>
      <c r="AA33" s="138"/>
      <c r="AB33" s="138">
        <v>0.95</v>
      </c>
      <c r="AC33" s="138">
        <v>0.93332999999999999</v>
      </c>
      <c r="AD33" s="138">
        <v>0.95030000000000003</v>
      </c>
      <c r="AE33" s="138"/>
      <c r="AF33" s="138">
        <v>0.95030000000000003</v>
      </c>
      <c r="AG33" s="138">
        <v>0.94879999999999998</v>
      </c>
    </row>
    <row r="34" spans="2:33" ht="15" customHeight="1" thickBot="1" x14ac:dyDescent="0.3">
      <c r="B34" s="224"/>
      <c r="C34" s="174" t="s">
        <v>338</v>
      </c>
      <c r="D34" s="156">
        <v>5.1999999999999998E-2</v>
      </c>
      <c r="E34" s="156">
        <v>5.5500000000000001E-2</v>
      </c>
      <c r="F34" s="156">
        <v>5.5500000000000001E-2</v>
      </c>
      <c r="G34" s="156">
        <v>0.05</v>
      </c>
      <c r="H34" s="156">
        <v>0.05</v>
      </c>
      <c r="I34" s="156">
        <v>0.05</v>
      </c>
      <c r="J34" s="156">
        <v>0.05</v>
      </c>
      <c r="K34" s="156">
        <v>5.5599999999999997E-2</v>
      </c>
      <c r="L34" s="156">
        <v>0.05</v>
      </c>
      <c r="M34" s="156">
        <v>3.7999999999999999E-2</v>
      </c>
      <c r="N34" s="156">
        <v>0.05</v>
      </c>
      <c r="O34" s="156">
        <v>4.4400000000000002E-2</v>
      </c>
      <c r="P34" s="156">
        <v>0.05</v>
      </c>
      <c r="Q34" s="156">
        <v>5.5599999999999997E-2</v>
      </c>
      <c r="R34" s="156">
        <v>0.05</v>
      </c>
      <c r="S34" s="156">
        <v>0.05</v>
      </c>
      <c r="T34" s="156">
        <v>0.05</v>
      </c>
      <c r="U34" s="156">
        <v>0.05</v>
      </c>
      <c r="V34" s="156"/>
      <c r="W34" s="156">
        <v>0.05</v>
      </c>
      <c r="X34" s="156">
        <v>5.5500000000000001E-2</v>
      </c>
      <c r="Y34" s="156"/>
      <c r="Z34" s="156"/>
      <c r="AA34" s="156"/>
      <c r="AB34" s="156">
        <v>0.05</v>
      </c>
      <c r="AC34" s="156">
        <v>6.6669999999999993E-2</v>
      </c>
      <c r="AD34" s="156">
        <v>4.9700000000000001E-2</v>
      </c>
      <c r="AE34" s="156"/>
      <c r="AF34" s="156">
        <v>4.9700000000000001E-2</v>
      </c>
      <c r="AG34" s="156">
        <v>5.1200000000000002E-2</v>
      </c>
    </row>
    <row r="35" spans="2:33" ht="15" customHeight="1" x14ac:dyDescent="0.25">
      <c r="B35" s="175" t="s">
        <v>7</v>
      </c>
      <c r="C35" s="34"/>
      <c r="D35" s="160">
        <v>5473</v>
      </c>
      <c r="E35" s="160">
        <v>5393</v>
      </c>
      <c r="F35" s="160">
        <v>5363</v>
      </c>
      <c r="G35" s="160">
        <v>5329</v>
      </c>
      <c r="H35" s="160">
        <v>5373</v>
      </c>
      <c r="I35" s="160">
        <v>5389</v>
      </c>
      <c r="J35" s="160">
        <v>5546</v>
      </c>
      <c r="K35" s="160">
        <v>5363</v>
      </c>
      <c r="L35" s="160">
        <v>5438</v>
      </c>
      <c r="M35" s="160">
        <v>5378</v>
      </c>
      <c r="N35" s="160">
        <v>5388</v>
      </c>
      <c r="O35" s="160">
        <v>5478</v>
      </c>
      <c r="P35" s="160">
        <v>5574</v>
      </c>
      <c r="Q35" s="160">
        <v>5367</v>
      </c>
      <c r="R35" s="160">
        <v>5390</v>
      </c>
      <c r="S35" s="160">
        <v>5410</v>
      </c>
      <c r="T35" s="160">
        <v>5361</v>
      </c>
      <c r="U35" s="160">
        <v>5357</v>
      </c>
      <c r="V35" s="160">
        <v>5408</v>
      </c>
      <c r="W35" s="160">
        <v>5462</v>
      </c>
      <c r="X35" s="160">
        <v>0</v>
      </c>
      <c r="Y35" s="160">
        <v>0</v>
      </c>
      <c r="Z35" s="160">
        <v>0</v>
      </c>
      <c r="AA35" s="160">
        <v>0</v>
      </c>
      <c r="AB35" s="160">
        <v>0</v>
      </c>
      <c r="AC35" s="160">
        <v>0</v>
      </c>
      <c r="AD35" s="160">
        <v>0</v>
      </c>
      <c r="AE35" s="160">
        <v>0</v>
      </c>
      <c r="AF35" s="160">
        <v>0</v>
      </c>
      <c r="AG35" s="160">
        <v>0</v>
      </c>
    </row>
    <row r="36" spans="2:33" ht="7.5" customHeight="1" thickBot="1" x14ac:dyDescent="0.3"/>
    <row r="37" spans="2:33" s="164" customFormat="1" ht="12.75" customHeight="1" thickBot="1" x14ac:dyDescent="0.3">
      <c r="B37" s="227" t="s">
        <v>1002</v>
      </c>
      <c r="C37" s="228"/>
      <c r="D37" s="163">
        <v>75.05</v>
      </c>
      <c r="E37" s="163">
        <v>76.56</v>
      </c>
      <c r="F37" s="163">
        <v>73.260000000000005</v>
      </c>
      <c r="G37" s="163">
        <v>78.12</v>
      </c>
      <c r="H37" s="163">
        <v>76.75</v>
      </c>
      <c r="I37" s="163">
        <v>76.59</v>
      </c>
      <c r="J37" s="163">
        <v>76.28</v>
      </c>
      <c r="K37" s="163">
        <v>77.17</v>
      </c>
      <c r="L37" s="163">
        <v>76.989999999999995</v>
      </c>
      <c r="M37" s="163">
        <v>76.900000000000006</v>
      </c>
      <c r="N37" s="163">
        <v>76.62</v>
      </c>
      <c r="O37" s="163">
        <v>76.47</v>
      </c>
      <c r="P37" s="163">
        <v>76.900000000000006</v>
      </c>
      <c r="Q37" s="163">
        <v>76.849999999999994</v>
      </c>
      <c r="R37" s="163">
        <v>77.63</v>
      </c>
      <c r="S37" s="163">
        <v>76.38</v>
      </c>
      <c r="T37" s="163">
        <v>77.010000000000005</v>
      </c>
      <c r="U37" s="163">
        <v>77.03</v>
      </c>
      <c r="V37" s="163">
        <v>75.040000000000006</v>
      </c>
      <c r="W37" s="163">
        <v>76.05</v>
      </c>
      <c r="X37" s="163">
        <v>77.756756762007711</v>
      </c>
      <c r="Y37" s="163">
        <v>75.239963495728148</v>
      </c>
      <c r="Z37" s="163">
        <v>75.680000000000007</v>
      </c>
      <c r="AA37" s="163">
        <v>76.109774422458329</v>
      </c>
      <c r="AB37" s="163">
        <v>77.92600000000003</v>
      </c>
      <c r="AC37" s="163">
        <v>76.076428366583428</v>
      </c>
      <c r="AD37" s="163">
        <v>76.45</v>
      </c>
      <c r="AE37" s="163">
        <v>76.62</v>
      </c>
      <c r="AF37" s="163">
        <v>76.86</v>
      </c>
      <c r="AG37" s="163">
        <v>76.232142834550004</v>
      </c>
    </row>
    <row r="38" spans="2:33" ht="12.75" customHeight="1" x14ac:dyDescent="0.25">
      <c r="B38" s="114"/>
    </row>
    <row r="39" spans="2:33" ht="12.75" customHeight="1" x14ac:dyDescent="0.25">
      <c r="B39" s="114"/>
    </row>
    <row r="40" spans="2:33" ht="12.75" customHeight="1" x14ac:dyDescent="0.25">
      <c r="B40" s="114"/>
    </row>
    <row r="41" spans="2:33" ht="12.75" customHeight="1" x14ac:dyDescent="0.25">
      <c r="B41" s="114"/>
    </row>
    <row r="42" spans="2:33" ht="12.75" customHeight="1" x14ac:dyDescent="0.25">
      <c r="B42" s="114"/>
    </row>
    <row r="43" spans="2:33" ht="12.75" customHeight="1" x14ac:dyDescent="0.25">
      <c r="B43" s="114"/>
    </row>
    <row r="44" spans="2:33" ht="12.75" customHeight="1" x14ac:dyDescent="0.25">
      <c r="B44" s="114"/>
    </row>
    <row r="45" spans="2:33" ht="12.75" customHeight="1" x14ac:dyDescent="0.25">
      <c r="B45" s="114"/>
    </row>
    <row r="46" spans="2:33" ht="12.75" customHeight="1" x14ac:dyDescent="0.25">
      <c r="B46" s="114"/>
    </row>
    <row r="47" spans="2:33" ht="12.75" customHeight="1" x14ac:dyDescent="0.25">
      <c r="B47" s="114"/>
    </row>
    <row r="48" spans="2:33" ht="12.75" customHeight="1" x14ac:dyDescent="0.25">
      <c r="B48" s="114"/>
    </row>
    <row r="49" spans="2:2" ht="12.75" customHeight="1" x14ac:dyDescent="0.25">
      <c r="B49" s="114"/>
    </row>
    <row r="50" spans="2:2" ht="12.75" customHeight="1" x14ac:dyDescent="0.25">
      <c r="B50" s="114"/>
    </row>
    <row r="51" spans="2:2" x14ac:dyDescent="0.25">
      <c r="B51" s="114"/>
    </row>
    <row r="52" spans="2:2" x14ac:dyDescent="0.25">
      <c r="B52" s="114"/>
    </row>
    <row r="53" spans="2:2" x14ac:dyDescent="0.25">
      <c r="B53" s="114"/>
    </row>
    <row r="54" spans="2:2" x14ac:dyDescent="0.25">
      <c r="B54" s="114"/>
    </row>
    <row r="55" spans="2:2" x14ac:dyDescent="0.25">
      <c r="B55" s="114"/>
    </row>
    <row r="56" spans="2:2" x14ac:dyDescent="0.25">
      <c r="B56" s="114"/>
    </row>
    <row r="57" spans="2:2" x14ac:dyDescent="0.25">
      <c r="B57" s="114"/>
    </row>
    <row r="58" spans="2:2" x14ac:dyDescent="0.25">
      <c r="B58" s="114"/>
    </row>
  </sheetData>
  <mergeCells count="11">
    <mergeCell ref="B26:B28"/>
    <mergeCell ref="B32:B34"/>
    <mergeCell ref="B37:C37"/>
    <mergeCell ref="B3:B5"/>
    <mergeCell ref="B6:B8"/>
    <mergeCell ref="B9:B11"/>
    <mergeCell ref="B15:B17"/>
    <mergeCell ref="B20:B22"/>
    <mergeCell ref="B23:B25"/>
    <mergeCell ref="B12:B14"/>
    <mergeCell ref="B29:B31"/>
  </mergeCells>
  <pageMargins left="0.7" right="0.7" top="0.75" bottom="0.75" header="0.3" footer="0.3"/>
  <pageSetup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D5FBC-08C5-4567-9B7A-ABA7A121FD7B}">
  <dimension ref="B1:AG58"/>
  <sheetViews>
    <sheetView zoomScale="90" zoomScaleNormal="90" workbookViewId="0">
      <pane xSplit="3" topLeftCell="AA1" activePane="topRight" state="frozen"/>
      <selection pane="topRight" activeCell="AL15" sqref="AL15"/>
    </sheetView>
  </sheetViews>
  <sheetFormatPr defaultRowHeight="15" x14ac:dyDescent="0.25"/>
  <cols>
    <col min="3" max="3" width="28.140625" customWidth="1"/>
    <col min="4" max="12" width="10.7109375" customWidth="1"/>
    <col min="13" max="33" width="11" bestFit="1" customWidth="1"/>
  </cols>
  <sheetData>
    <row r="1" spans="2:33" ht="6" customHeight="1" thickBot="1" x14ac:dyDescent="0.3"/>
    <row r="2" spans="2:33" ht="15" customHeight="1" thickBot="1" x14ac:dyDescent="0.3">
      <c r="B2" s="94" t="s">
        <v>964</v>
      </c>
      <c r="C2" s="96" t="s">
        <v>961</v>
      </c>
      <c r="D2" s="178" t="str">
        <f t="shared" ref="D2:E2" si="0">D19</f>
        <v>01.04.2026</v>
      </c>
      <c r="E2" s="97" t="str">
        <f t="shared" si="0"/>
        <v>02.04.2026</v>
      </c>
      <c r="F2" s="97" t="str">
        <f t="shared" ref="F2:G2" si="1">F19</f>
        <v>03.04.2026</v>
      </c>
      <c r="G2" s="97" t="str">
        <f t="shared" si="1"/>
        <v>04.04.2026</v>
      </c>
      <c r="H2" s="97" t="str">
        <f t="shared" ref="H2:I2" si="2">H19</f>
        <v>05.04.2026</v>
      </c>
      <c r="I2" s="97" t="str">
        <f t="shared" si="2"/>
        <v>06.04.2026</v>
      </c>
      <c r="J2" s="97" t="str">
        <f t="shared" ref="J2:K2" si="3">J19</f>
        <v>07.04.2026</v>
      </c>
      <c r="K2" s="97" t="str">
        <f t="shared" si="3"/>
        <v>08.04.2026</v>
      </c>
      <c r="L2" s="97" t="str">
        <f t="shared" ref="L2:M2" si="4">L19</f>
        <v>09.04.2026</v>
      </c>
      <c r="M2" s="97" t="str">
        <f t="shared" si="4"/>
        <v>10.04.2026</v>
      </c>
      <c r="N2" s="97" t="str">
        <f t="shared" ref="N2:O2" si="5">N19</f>
        <v>11.04.2026</v>
      </c>
      <c r="O2" s="97" t="str">
        <f t="shared" si="5"/>
        <v>12.04.2026</v>
      </c>
      <c r="P2" s="97" t="str">
        <f t="shared" ref="P2:Q2" si="6">P19</f>
        <v>13.04.2026</v>
      </c>
      <c r="Q2" s="97" t="str">
        <f t="shared" si="6"/>
        <v>14.04.2026</v>
      </c>
      <c r="R2" s="97" t="str">
        <f t="shared" ref="R2:S2" si="7">R19</f>
        <v>15.04.2026</v>
      </c>
      <c r="S2" s="97" t="str">
        <f t="shared" si="7"/>
        <v>16.04.2026</v>
      </c>
      <c r="T2" s="97" t="str">
        <f t="shared" ref="T2:U2" si="8">T19</f>
        <v>17.04.2026</v>
      </c>
      <c r="U2" s="97" t="str">
        <f t="shared" si="8"/>
        <v>18.04.2026</v>
      </c>
      <c r="V2" s="97" t="str">
        <f t="shared" ref="V2:W2" si="9">V19</f>
        <v>19.04.2026</v>
      </c>
      <c r="W2" s="97" t="str">
        <f t="shared" si="9"/>
        <v>20.04.2026</v>
      </c>
      <c r="X2" s="97" t="str">
        <f t="shared" ref="X2:Y2" si="10">X19</f>
        <v>21.04.2026</v>
      </c>
      <c r="Y2" s="97" t="str">
        <f t="shared" si="10"/>
        <v>22.04.2026</v>
      </c>
      <c r="Z2" s="97" t="str">
        <f t="shared" ref="Z2:AA2" si="11">Z19</f>
        <v>23.04.2026</v>
      </c>
      <c r="AA2" s="97" t="str">
        <f t="shared" si="11"/>
        <v>24.04.2026</v>
      </c>
      <c r="AB2" s="97" t="str">
        <f t="shared" ref="AB2:AC2" si="12">AB19</f>
        <v>25.04.2026</v>
      </c>
      <c r="AC2" s="97" t="str">
        <f t="shared" si="12"/>
        <v>26.04.2026</v>
      </c>
      <c r="AD2" s="97" t="str">
        <f t="shared" ref="AD2:AE2" si="13">AD19</f>
        <v>27.04.2026</v>
      </c>
      <c r="AE2" s="97" t="str">
        <f t="shared" si="13"/>
        <v>28.04.2026</v>
      </c>
      <c r="AF2" s="97" t="str">
        <f t="shared" ref="AF2:AG2" si="14">AF19</f>
        <v>29.04.2026</v>
      </c>
      <c r="AG2" s="97" t="str">
        <f t="shared" si="14"/>
        <v>30.04.2026</v>
      </c>
    </row>
    <row r="3" spans="2:33" ht="15" customHeight="1" x14ac:dyDescent="0.25">
      <c r="B3" s="206" t="s">
        <v>958</v>
      </c>
      <c r="C3" s="116" t="s">
        <v>957</v>
      </c>
      <c r="D3" s="179">
        <v>0.17499999999999999</v>
      </c>
      <c r="E3" s="185">
        <v>0.17712</v>
      </c>
      <c r="F3" s="185">
        <v>0.17383999999999999</v>
      </c>
      <c r="G3" s="185">
        <v>0.17799999999999999</v>
      </c>
      <c r="H3" s="185">
        <v>0.18060000000000001</v>
      </c>
      <c r="I3" s="185">
        <v>0.18</v>
      </c>
      <c r="J3" s="179">
        <v>0.17499999999999999</v>
      </c>
      <c r="K3" s="179">
        <v>0.18</v>
      </c>
      <c r="L3" s="185"/>
      <c r="M3" s="185"/>
      <c r="N3" s="185"/>
      <c r="O3" s="185"/>
      <c r="P3" s="185"/>
      <c r="Q3" s="185">
        <v>0.18</v>
      </c>
      <c r="R3" s="185">
        <v>0.17499999999999999</v>
      </c>
      <c r="S3" s="185">
        <v>0.18</v>
      </c>
      <c r="T3" s="185">
        <v>0.18124999999999999</v>
      </c>
      <c r="U3" s="185">
        <v>0.18</v>
      </c>
      <c r="V3" s="185">
        <v>0.17</v>
      </c>
      <c r="W3" s="185">
        <v>0.17499999999999999</v>
      </c>
      <c r="X3" s="185"/>
      <c r="Y3" s="185"/>
      <c r="Z3" s="185"/>
      <c r="AA3" s="185"/>
      <c r="AB3" s="185"/>
      <c r="AC3" s="185">
        <v>0.16</v>
      </c>
      <c r="AD3" s="185">
        <v>0.16</v>
      </c>
      <c r="AE3" s="185"/>
      <c r="AF3" s="185"/>
      <c r="AG3" s="185"/>
    </row>
    <row r="4" spans="2:33" ht="15" customHeight="1" x14ac:dyDescent="0.25">
      <c r="B4" s="207"/>
      <c r="C4" s="118" t="s">
        <v>339</v>
      </c>
      <c r="D4" s="100">
        <v>0.77500000000000002</v>
      </c>
      <c r="E4" s="103">
        <v>0.77280000000000004</v>
      </c>
      <c r="F4" s="103">
        <v>0.77573999999999999</v>
      </c>
      <c r="G4" s="103">
        <v>0.77200000000000002</v>
      </c>
      <c r="H4" s="103">
        <v>0.76939999999999997</v>
      </c>
      <c r="I4" s="103">
        <v>0.77</v>
      </c>
      <c r="J4" s="100">
        <v>0.77500000000000002</v>
      </c>
      <c r="K4" s="100">
        <v>0.77</v>
      </c>
      <c r="L4" s="103"/>
      <c r="M4" s="103"/>
      <c r="N4" s="103"/>
      <c r="O4" s="103"/>
      <c r="P4" s="103"/>
      <c r="Q4" s="103">
        <v>0.77290000000000003</v>
      </c>
      <c r="R4" s="103">
        <v>0.77500000000000002</v>
      </c>
      <c r="S4" s="103">
        <v>0.77</v>
      </c>
      <c r="T4" s="103">
        <v>0.76875000000000004</v>
      </c>
      <c r="U4" s="103">
        <v>0.77</v>
      </c>
      <c r="V4" s="103">
        <v>0.78</v>
      </c>
      <c r="W4" s="103">
        <v>0.77500000000000002</v>
      </c>
      <c r="X4" s="103"/>
      <c r="Y4" s="103"/>
      <c r="Z4" s="103"/>
      <c r="AA4" s="103"/>
      <c r="AB4" s="103"/>
      <c r="AC4" s="103">
        <v>0.79</v>
      </c>
      <c r="AD4" s="103">
        <v>0.79</v>
      </c>
      <c r="AE4" s="103"/>
      <c r="AF4" s="103"/>
      <c r="AG4" s="103"/>
    </row>
    <row r="5" spans="2:33" ht="15" customHeight="1" thickBot="1" x14ac:dyDescent="0.3">
      <c r="B5" s="208"/>
      <c r="C5" s="118" t="s">
        <v>338</v>
      </c>
      <c r="D5" s="100">
        <v>0.05</v>
      </c>
      <c r="E5" s="103">
        <v>5.0090000000000003E-2</v>
      </c>
      <c r="F5" s="103">
        <v>5.042E-2</v>
      </c>
      <c r="G5" s="103">
        <v>0.05</v>
      </c>
      <c r="H5" s="103">
        <v>0.05</v>
      </c>
      <c r="I5" s="103">
        <v>0.05</v>
      </c>
      <c r="J5" s="100">
        <v>0.05</v>
      </c>
      <c r="K5" s="100">
        <v>0.05</v>
      </c>
      <c r="L5" s="194"/>
      <c r="M5" s="194"/>
      <c r="N5" s="194"/>
      <c r="O5" s="194"/>
      <c r="P5" s="194"/>
      <c r="Q5" s="194">
        <v>4.7100000000000003E-2</v>
      </c>
      <c r="R5" s="194">
        <v>0.05</v>
      </c>
      <c r="S5" s="194">
        <v>0.05</v>
      </c>
      <c r="T5" s="194">
        <v>0.05</v>
      </c>
      <c r="U5" s="194">
        <v>0.05</v>
      </c>
      <c r="V5" s="194">
        <v>0.05</v>
      </c>
      <c r="W5" s="194">
        <v>0.05</v>
      </c>
      <c r="X5" s="194"/>
      <c r="Y5" s="194"/>
      <c r="Z5" s="194"/>
      <c r="AA5" s="194"/>
      <c r="AB5" s="194"/>
      <c r="AC5" s="194">
        <v>0.05</v>
      </c>
      <c r="AD5" s="194">
        <v>0.05</v>
      </c>
      <c r="AE5" s="194"/>
      <c r="AF5" s="194"/>
      <c r="AG5" s="194"/>
    </row>
    <row r="6" spans="2:33" ht="15" customHeight="1" x14ac:dyDescent="0.25">
      <c r="B6" s="209" t="s">
        <v>959</v>
      </c>
      <c r="C6" s="119" t="s">
        <v>957</v>
      </c>
      <c r="D6" s="101"/>
      <c r="E6" s="104"/>
      <c r="F6" s="104"/>
      <c r="G6" s="104"/>
      <c r="H6" s="104"/>
      <c r="I6" s="104"/>
      <c r="J6" s="104"/>
      <c r="K6" s="104"/>
      <c r="L6" s="193"/>
      <c r="M6" s="193"/>
      <c r="N6" s="193"/>
      <c r="O6" s="193"/>
      <c r="P6" s="193"/>
      <c r="Q6" s="193"/>
      <c r="R6" s="193"/>
      <c r="S6" s="193"/>
      <c r="T6" s="193"/>
      <c r="U6" s="193"/>
      <c r="V6" s="193"/>
      <c r="W6" s="193"/>
      <c r="X6" s="193"/>
      <c r="Y6" s="193"/>
      <c r="Z6" s="193"/>
      <c r="AA6" s="193"/>
      <c r="AB6" s="193"/>
      <c r="AC6" s="193"/>
      <c r="AD6" s="193"/>
      <c r="AE6" s="193"/>
      <c r="AF6" s="193"/>
      <c r="AG6" s="193"/>
    </row>
    <row r="7" spans="2:33" ht="15" customHeight="1" x14ac:dyDescent="0.25">
      <c r="B7" s="210"/>
      <c r="C7" s="120" t="s">
        <v>339</v>
      </c>
      <c r="D7" s="101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</row>
    <row r="8" spans="2:33" ht="15" customHeight="1" thickBot="1" x14ac:dyDescent="0.3">
      <c r="B8" s="211"/>
      <c r="C8" s="120" t="s">
        <v>338</v>
      </c>
      <c r="D8" s="101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</row>
    <row r="9" spans="2:33" ht="15" customHeight="1" x14ac:dyDescent="0.25">
      <c r="B9" s="215" t="s">
        <v>960</v>
      </c>
      <c r="C9" s="121" t="s">
        <v>957</v>
      </c>
      <c r="D9" s="167"/>
      <c r="E9" s="186"/>
      <c r="F9" s="186"/>
      <c r="G9" s="186"/>
      <c r="H9" s="186">
        <v>0.25</v>
      </c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6"/>
      <c r="AB9" s="186"/>
      <c r="AC9" s="186"/>
      <c r="AD9" s="186"/>
      <c r="AE9" s="186"/>
      <c r="AF9" s="186"/>
      <c r="AG9" s="186"/>
    </row>
    <row r="10" spans="2:33" ht="15" customHeight="1" x14ac:dyDescent="0.25">
      <c r="B10" s="216"/>
      <c r="C10" s="123" t="s">
        <v>339</v>
      </c>
      <c r="D10" s="168"/>
      <c r="E10" s="187"/>
      <c r="F10" s="187"/>
      <c r="G10" s="187"/>
      <c r="H10" s="187">
        <v>0.7</v>
      </c>
      <c r="I10" s="187"/>
      <c r="J10" s="187"/>
      <c r="K10" s="187"/>
      <c r="L10" s="187"/>
      <c r="M10" s="187"/>
      <c r="N10" s="187"/>
      <c r="O10" s="187"/>
      <c r="P10" s="187"/>
      <c r="Q10" s="187"/>
      <c r="R10" s="187"/>
      <c r="S10" s="187"/>
      <c r="T10" s="187"/>
      <c r="U10" s="187"/>
      <c r="V10" s="187"/>
      <c r="W10" s="187"/>
      <c r="X10" s="187"/>
      <c r="Y10" s="187"/>
      <c r="Z10" s="187"/>
      <c r="AA10" s="187"/>
      <c r="AB10" s="187"/>
      <c r="AC10" s="187"/>
      <c r="AD10" s="187"/>
      <c r="AE10" s="187"/>
      <c r="AF10" s="187"/>
      <c r="AG10" s="187"/>
    </row>
    <row r="11" spans="2:33" ht="15" customHeight="1" thickBot="1" x14ac:dyDescent="0.3">
      <c r="B11" s="221"/>
      <c r="C11" s="169" t="s">
        <v>338</v>
      </c>
      <c r="D11" s="180"/>
      <c r="E11" s="188"/>
      <c r="F11" s="188"/>
      <c r="G11" s="188"/>
      <c r="H11" s="188">
        <v>0.05</v>
      </c>
      <c r="I11" s="188"/>
      <c r="J11" s="188"/>
      <c r="K11" s="188"/>
      <c r="L11" s="188"/>
      <c r="M11" s="188"/>
      <c r="N11" s="188"/>
      <c r="O11" s="188"/>
      <c r="P11" s="188"/>
      <c r="Q11" s="188"/>
      <c r="R11" s="188"/>
      <c r="S11" s="188"/>
      <c r="T11" s="188"/>
      <c r="U11" s="188"/>
      <c r="V11" s="188"/>
      <c r="W11" s="188"/>
      <c r="X11" s="188"/>
      <c r="Y11" s="188"/>
      <c r="Z11" s="188"/>
      <c r="AA11" s="188"/>
      <c r="AB11" s="188"/>
      <c r="AC11" s="188"/>
      <c r="AD11" s="188"/>
      <c r="AE11" s="188"/>
      <c r="AF11" s="188"/>
      <c r="AG11" s="188"/>
    </row>
    <row r="12" spans="2:33" ht="15" customHeight="1" x14ac:dyDescent="0.25">
      <c r="B12" s="230" t="s">
        <v>1541</v>
      </c>
      <c r="C12" s="171" t="s">
        <v>957</v>
      </c>
      <c r="D12" s="181">
        <v>0.25</v>
      </c>
      <c r="E12" s="189">
        <v>0.25991999999999998</v>
      </c>
      <c r="F12" s="189">
        <v>0.25</v>
      </c>
      <c r="G12" s="189">
        <v>0.25</v>
      </c>
      <c r="H12" s="189">
        <v>0.26240000000000002</v>
      </c>
      <c r="I12" s="189"/>
      <c r="J12" s="189"/>
      <c r="K12" s="189">
        <v>0.27</v>
      </c>
      <c r="L12" s="189">
        <v>0.27889999999999998</v>
      </c>
      <c r="M12" s="189"/>
      <c r="N12" s="189"/>
      <c r="O12" s="189"/>
      <c r="P12" s="189"/>
      <c r="Q12" s="189"/>
      <c r="R12" s="189"/>
      <c r="S12" s="189"/>
      <c r="T12" s="189"/>
      <c r="U12" s="189">
        <v>0.28155000000000002</v>
      </c>
      <c r="V12" s="189"/>
      <c r="W12" s="189"/>
      <c r="X12" s="189"/>
      <c r="Y12" s="189"/>
      <c r="Z12" s="189"/>
      <c r="AA12" s="189"/>
      <c r="AB12" s="189"/>
      <c r="AC12" s="189">
        <v>0.245</v>
      </c>
      <c r="AD12" s="189"/>
      <c r="AE12" s="189"/>
      <c r="AF12" s="189"/>
      <c r="AG12" s="189"/>
    </row>
    <row r="13" spans="2:33" ht="15" customHeight="1" x14ac:dyDescent="0.25">
      <c r="B13" s="231"/>
      <c r="C13" s="171" t="s">
        <v>339</v>
      </c>
      <c r="D13" s="181">
        <v>0.7</v>
      </c>
      <c r="E13" s="189">
        <v>0.69008000000000003</v>
      </c>
      <c r="F13" s="189">
        <v>0.7</v>
      </c>
      <c r="G13" s="189">
        <v>0.70769000000000004</v>
      </c>
      <c r="H13" s="189">
        <v>0.68730000000000002</v>
      </c>
      <c r="I13" s="189"/>
      <c r="J13" s="189"/>
      <c r="K13" s="189">
        <v>0.68</v>
      </c>
      <c r="L13" s="189">
        <v>0.66849999999999998</v>
      </c>
      <c r="M13" s="189"/>
      <c r="N13" s="189"/>
      <c r="O13" s="189"/>
      <c r="P13" s="189"/>
      <c r="Q13" s="189"/>
      <c r="R13" s="189"/>
      <c r="S13" s="189"/>
      <c r="T13" s="189"/>
      <c r="U13" s="189">
        <v>0.66747999999999996</v>
      </c>
      <c r="V13" s="189"/>
      <c r="W13" s="189"/>
      <c r="X13" s="189"/>
      <c r="Y13" s="189"/>
      <c r="Z13" s="189"/>
      <c r="AA13" s="189"/>
      <c r="AB13" s="189"/>
      <c r="AC13" s="189">
        <v>0.70499999999999996</v>
      </c>
      <c r="AD13" s="189"/>
      <c r="AE13" s="189"/>
      <c r="AF13" s="189"/>
      <c r="AG13" s="189"/>
    </row>
    <row r="14" spans="2:33" ht="15" customHeight="1" thickBot="1" x14ac:dyDescent="0.3">
      <c r="B14" s="232"/>
      <c r="C14" s="171" t="s">
        <v>338</v>
      </c>
      <c r="D14" s="181">
        <v>0.05</v>
      </c>
      <c r="E14" s="189">
        <v>0.05</v>
      </c>
      <c r="F14" s="189">
        <v>0.05</v>
      </c>
      <c r="G14" s="189">
        <v>4.231E-2</v>
      </c>
      <c r="H14" s="189">
        <v>5.0299999999999997E-2</v>
      </c>
      <c r="I14" s="189"/>
      <c r="J14" s="189"/>
      <c r="K14" s="189">
        <v>0.05</v>
      </c>
      <c r="L14" s="189">
        <v>5.2600000000000001E-2</v>
      </c>
      <c r="M14" s="189"/>
      <c r="N14" s="189"/>
      <c r="O14" s="189"/>
      <c r="P14" s="189"/>
      <c r="Q14" s="189"/>
      <c r="R14" s="189"/>
      <c r="S14" s="189"/>
      <c r="T14" s="189"/>
      <c r="U14" s="189">
        <v>5.0970000000000001E-2</v>
      </c>
      <c r="V14" s="189"/>
      <c r="W14" s="189"/>
      <c r="X14" s="189"/>
      <c r="Y14" s="189"/>
      <c r="Z14" s="189"/>
      <c r="AA14" s="189"/>
      <c r="AB14" s="189"/>
      <c r="AC14" s="189">
        <v>0.05</v>
      </c>
      <c r="AD14" s="189"/>
      <c r="AE14" s="189"/>
      <c r="AF14" s="189"/>
      <c r="AG14" s="189"/>
    </row>
    <row r="15" spans="2:33" ht="15" customHeight="1" x14ac:dyDescent="0.25">
      <c r="B15" s="223" t="s">
        <v>1086</v>
      </c>
      <c r="C15" s="151" t="s">
        <v>957</v>
      </c>
      <c r="D15" s="182"/>
      <c r="E15" s="190"/>
      <c r="F15" s="190"/>
      <c r="G15" s="190"/>
      <c r="H15" s="190"/>
      <c r="I15" s="190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  <c r="AG15" s="190"/>
    </row>
    <row r="16" spans="2:33" ht="15" customHeight="1" x14ac:dyDescent="0.25">
      <c r="B16" s="223"/>
      <c r="C16" s="90" t="s">
        <v>339</v>
      </c>
      <c r="D16" s="183"/>
      <c r="E16" s="191"/>
      <c r="F16" s="191"/>
      <c r="G16" s="191"/>
      <c r="H16" s="191"/>
      <c r="I16" s="191"/>
      <c r="J16" s="191"/>
      <c r="K16" s="191"/>
      <c r="L16" s="191"/>
      <c r="M16" s="191"/>
      <c r="N16" s="191"/>
      <c r="O16" s="191"/>
      <c r="P16" s="191"/>
      <c r="Q16" s="191"/>
      <c r="R16" s="191"/>
      <c r="S16" s="191"/>
      <c r="T16" s="191"/>
      <c r="U16" s="191"/>
      <c r="V16" s="191"/>
      <c r="W16" s="191"/>
      <c r="X16" s="191"/>
      <c r="Y16" s="191"/>
      <c r="Z16" s="191"/>
      <c r="AA16" s="191"/>
      <c r="AB16" s="191"/>
      <c r="AC16" s="191"/>
      <c r="AD16" s="191"/>
      <c r="AE16" s="191"/>
      <c r="AF16" s="191"/>
      <c r="AG16" s="191"/>
    </row>
    <row r="17" spans="2:33" ht="15" customHeight="1" thickBot="1" x14ac:dyDescent="0.3">
      <c r="B17" s="224"/>
      <c r="C17" s="92" t="s">
        <v>338</v>
      </c>
      <c r="D17" s="184"/>
      <c r="E17" s="192"/>
      <c r="F17" s="192"/>
      <c r="G17" s="192"/>
      <c r="H17" s="192"/>
      <c r="I17" s="192"/>
      <c r="J17" s="192"/>
      <c r="K17" s="192"/>
      <c r="L17" s="192"/>
      <c r="M17" s="192"/>
      <c r="N17" s="192"/>
      <c r="O17" s="192"/>
      <c r="P17" s="192"/>
      <c r="Q17" s="192"/>
      <c r="R17" s="192"/>
      <c r="S17" s="192"/>
      <c r="T17" s="192"/>
      <c r="U17" s="192"/>
      <c r="V17" s="192"/>
      <c r="W17" s="192"/>
      <c r="X17" s="192"/>
      <c r="Y17" s="192"/>
      <c r="Z17" s="192"/>
      <c r="AA17" s="192"/>
      <c r="AB17" s="192"/>
      <c r="AC17" s="192"/>
      <c r="AD17" s="192"/>
      <c r="AE17" s="192"/>
      <c r="AF17" s="192"/>
      <c r="AG17" s="192"/>
    </row>
    <row r="18" spans="2:33" ht="6.75" customHeight="1" thickBot="1" x14ac:dyDescent="0.3"/>
    <row r="19" spans="2:33" ht="15" customHeight="1" thickBot="1" x14ac:dyDescent="0.3">
      <c r="B19" s="95" t="s">
        <v>964</v>
      </c>
      <c r="C19" s="94" t="s">
        <v>963</v>
      </c>
      <c r="D19" s="94" t="s">
        <v>1549</v>
      </c>
      <c r="E19" s="94" t="s">
        <v>1550</v>
      </c>
      <c r="F19" s="94" t="s">
        <v>1551</v>
      </c>
      <c r="G19" s="94" t="s">
        <v>1552</v>
      </c>
      <c r="H19" s="94" t="s">
        <v>1553</v>
      </c>
      <c r="I19" s="94" t="s">
        <v>1554</v>
      </c>
      <c r="J19" s="94" t="s">
        <v>1555</v>
      </c>
      <c r="K19" s="94" t="s">
        <v>1556</v>
      </c>
      <c r="L19" s="94" t="s">
        <v>1557</v>
      </c>
      <c r="M19" s="94" t="s">
        <v>1558</v>
      </c>
      <c r="N19" s="94" t="s">
        <v>1559</v>
      </c>
      <c r="O19" s="94" t="s">
        <v>1560</v>
      </c>
      <c r="P19" s="94" t="s">
        <v>1561</v>
      </c>
      <c r="Q19" s="94" t="s">
        <v>1562</v>
      </c>
      <c r="R19" s="94" t="s">
        <v>1563</v>
      </c>
      <c r="S19" s="94" t="s">
        <v>1564</v>
      </c>
      <c r="T19" s="94" t="s">
        <v>1565</v>
      </c>
      <c r="U19" s="94" t="s">
        <v>1566</v>
      </c>
      <c r="V19" s="94" t="s">
        <v>1567</v>
      </c>
      <c r="W19" s="94" t="s">
        <v>1568</v>
      </c>
      <c r="X19" s="94" t="s">
        <v>1569</v>
      </c>
      <c r="Y19" s="94" t="s">
        <v>1570</v>
      </c>
      <c r="Z19" s="94" t="s">
        <v>1571</v>
      </c>
      <c r="AA19" s="94" t="s">
        <v>1572</v>
      </c>
      <c r="AB19" s="94" t="s">
        <v>1573</v>
      </c>
      <c r="AC19" s="94" t="s">
        <v>1574</v>
      </c>
      <c r="AD19" s="94" t="s">
        <v>1575</v>
      </c>
      <c r="AE19" s="94" t="s">
        <v>1576</v>
      </c>
      <c r="AF19" s="94" t="s">
        <v>1577</v>
      </c>
      <c r="AG19" s="94" t="s">
        <v>1578</v>
      </c>
    </row>
    <row r="20" spans="2:33" ht="15" customHeight="1" x14ac:dyDescent="0.25">
      <c r="B20" s="206" t="s">
        <v>958</v>
      </c>
      <c r="C20" s="81" t="s">
        <v>957</v>
      </c>
      <c r="D20" s="117">
        <v>0.17</v>
      </c>
      <c r="E20" s="117">
        <v>0.17712</v>
      </c>
      <c r="F20" s="117">
        <v>0.17710000000000001</v>
      </c>
      <c r="G20" s="117">
        <v>0.17496</v>
      </c>
      <c r="H20" s="117">
        <v>0.17469999999999999</v>
      </c>
      <c r="I20" s="117">
        <v>0.18</v>
      </c>
      <c r="J20" s="179">
        <v>0.17499999999999999</v>
      </c>
      <c r="K20" s="179">
        <v>0.18</v>
      </c>
      <c r="L20" s="179">
        <v>0.1749</v>
      </c>
      <c r="M20" s="117">
        <v>0.17996000000000001</v>
      </c>
      <c r="N20" s="117">
        <v>0.18017</v>
      </c>
      <c r="O20" s="117">
        <v>0.18</v>
      </c>
      <c r="P20" s="117">
        <v>0.17799999999999999</v>
      </c>
      <c r="Q20" s="117">
        <v>0.18</v>
      </c>
      <c r="R20" s="117">
        <v>0.17499999999999999</v>
      </c>
      <c r="S20" s="117">
        <v>0.18</v>
      </c>
      <c r="T20" s="117">
        <v>0.18</v>
      </c>
      <c r="U20" s="117"/>
      <c r="V20" s="117"/>
      <c r="W20" s="117"/>
      <c r="X20" s="117">
        <v>0.17</v>
      </c>
      <c r="Y20" s="117">
        <v>0.18</v>
      </c>
      <c r="Z20" s="117">
        <v>0.182</v>
      </c>
      <c r="AA20" s="117">
        <v>0.18</v>
      </c>
      <c r="AB20" s="117">
        <v>0.1802</v>
      </c>
      <c r="AC20" s="117">
        <v>0.16</v>
      </c>
      <c r="AD20" s="117">
        <v>0.16</v>
      </c>
      <c r="AE20" s="117">
        <v>0.16500000000000001</v>
      </c>
      <c r="AF20" s="117">
        <v>0.16</v>
      </c>
      <c r="AG20" s="117">
        <v>0.16500000000000001</v>
      </c>
    </row>
    <row r="21" spans="2:33" ht="15" customHeight="1" x14ac:dyDescent="0.25">
      <c r="B21" s="207"/>
      <c r="C21" s="83" t="s">
        <v>339</v>
      </c>
      <c r="D21" s="84">
        <v>0.77949999999999997</v>
      </c>
      <c r="E21" s="84">
        <v>0.77266000000000001</v>
      </c>
      <c r="F21" s="84">
        <v>0.77290000000000003</v>
      </c>
      <c r="G21" s="84">
        <v>0.77503999999999995</v>
      </c>
      <c r="H21" s="84">
        <v>0.77539999999999998</v>
      </c>
      <c r="I21" s="84">
        <v>0.77</v>
      </c>
      <c r="J21" s="100">
        <v>0.77500000000000002</v>
      </c>
      <c r="K21" s="100">
        <v>0.77</v>
      </c>
      <c r="L21" s="100">
        <v>0.77510000000000001</v>
      </c>
      <c r="M21" s="84">
        <v>0.77003999999999995</v>
      </c>
      <c r="N21" s="84">
        <v>0.76983000000000001</v>
      </c>
      <c r="O21" s="84">
        <v>0.77</v>
      </c>
      <c r="P21" s="84">
        <v>0.77200000000000002</v>
      </c>
      <c r="Q21" s="84">
        <v>0.77</v>
      </c>
      <c r="R21" s="84">
        <v>0.77500000000000002</v>
      </c>
      <c r="S21" s="84">
        <v>0.77</v>
      </c>
      <c r="T21" s="84">
        <v>0.77</v>
      </c>
      <c r="U21" s="84"/>
      <c r="V21" s="84"/>
      <c r="W21" s="84"/>
      <c r="X21" s="84">
        <v>0.78</v>
      </c>
      <c r="Y21" s="84">
        <v>0.77</v>
      </c>
      <c r="Z21" s="84">
        <v>0.76800000000000002</v>
      </c>
      <c r="AA21" s="84">
        <v>0.77</v>
      </c>
      <c r="AB21" s="84">
        <v>0.76980000000000004</v>
      </c>
      <c r="AC21" s="84">
        <v>0.79</v>
      </c>
      <c r="AD21" s="84">
        <v>0.79</v>
      </c>
      <c r="AE21" s="84">
        <v>0.78500000000000003</v>
      </c>
      <c r="AF21" s="84">
        <v>0.79</v>
      </c>
      <c r="AG21" s="84">
        <v>0.78500000000000003</v>
      </c>
    </row>
    <row r="22" spans="2:33" ht="15" customHeight="1" thickBot="1" x14ac:dyDescent="0.3">
      <c r="B22" s="208"/>
      <c r="C22" s="83" t="s">
        <v>338</v>
      </c>
      <c r="D22" s="84">
        <v>5.0500000000000003E-2</v>
      </c>
      <c r="E22" s="84">
        <v>5.0220000000000001E-2</v>
      </c>
      <c r="F22" s="84">
        <v>0.05</v>
      </c>
      <c r="G22" s="84">
        <v>0.05</v>
      </c>
      <c r="H22" s="84">
        <v>4.99E-2</v>
      </c>
      <c r="I22" s="84">
        <v>0.05</v>
      </c>
      <c r="J22" s="100">
        <v>0.05</v>
      </c>
      <c r="K22" s="100">
        <v>0.05</v>
      </c>
      <c r="L22" s="100">
        <v>0.05</v>
      </c>
      <c r="M22" s="195">
        <v>0.05</v>
      </c>
      <c r="N22" s="195">
        <v>0.05</v>
      </c>
      <c r="O22" s="195">
        <v>0.05</v>
      </c>
      <c r="P22" s="195">
        <v>0.05</v>
      </c>
      <c r="Q22" s="195">
        <v>0.05</v>
      </c>
      <c r="R22" s="195">
        <v>0.05</v>
      </c>
      <c r="S22" s="195">
        <v>0.05</v>
      </c>
      <c r="T22" s="195">
        <v>0.05</v>
      </c>
      <c r="U22" s="195"/>
      <c r="V22" s="195"/>
      <c r="W22" s="195"/>
      <c r="X22" s="195">
        <v>0.05</v>
      </c>
      <c r="Y22" s="195">
        <v>0.05</v>
      </c>
      <c r="Z22" s="195">
        <v>0.05</v>
      </c>
      <c r="AA22" s="195">
        <v>0.05</v>
      </c>
      <c r="AB22" s="195">
        <v>0.05</v>
      </c>
      <c r="AC22" s="195">
        <v>0.05</v>
      </c>
      <c r="AD22" s="195">
        <v>0.05</v>
      </c>
      <c r="AE22" s="195">
        <v>0.05</v>
      </c>
      <c r="AF22" s="195">
        <v>0.05</v>
      </c>
      <c r="AG22" s="195">
        <v>0.05</v>
      </c>
    </row>
    <row r="23" spans="2:33" ht="15" customHeight="1" x14ac:dyDescent="0.25">
      <c r="B23" s="209" t="s">
        <v>959</v>
      </c>
      <c r="C23" s="85" t="s">
        <v>957</v>
      </c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2"/>
      <c r="W23" s="132"/>
      <c r="X23" s="132"/>
      <c r="Y23" s="132"/>
      <c r="Z23" s="132"/>
      <c r="AA23" s="132"/>
      <c r="AB23" s="132"/>
      <c r="AC23" s="132"/>
      <c r="AD23" s="132"/>
      <c r="AE23" s="132"/>
      <c r="AF23" s="132"/>
      <c r="AG23" s="132"/>
    </row>
    <row r="24" spans="2:33" ht="15" customHeight="1" x14ac:dyDescent="0.25">
      <c r="B24" s="210"/>
      <c r="C24" s="87" t="s">
        <v>339</v>
      </c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</row>
    <row r="25" spans="2:33" ht="15" customHeight="1" thickBot="1" x14ac:dyDescent="0.3">
      <c r="B25" s="211"/>
      <c r="C25" s="87" t="s">
        <v>338</v>
      </c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</row>
    <row r="26" spans="2:33" ht="15" customHeight="1" x14ac:dyDescent="0.25">
      <c r="B26" s="200" t="s">
        <v>960</v>
      </c>
      <c r="C26" s="88" t="s">
        <v>957</v>
      </c>
      <c r="D26" s="135">
        <v>0.27</v>
      </c>
      <c r="E26" s="135"/>
      <c r="F26" s="135"/>
      <c r="G26" s="135"/>
      <c r="H26" s="135"/>
      <c r="I26" s="135"/>
      <c r="J26" s="135"/>
      <c r="K26" s="135"/>
      <c r="L26" s="135">
        <v>0.27</v>
      </c>
      <c r="M26" s="135">
        <v>0.29231000000000001</v>
      </c>
      <c r="N26" s="135"/>
      <c r="O26" s="135">
        <v>0.28000000000000003</v>
      </c>
      <c r="P26" s="135"/>
      <c r="Q26" s="135">
        <v>0.28000000000000003</v>
      </c>
      <c r="R26" s="135"/>
      <c r="S26" s="135">
        <v>0.28000000000000003</v>
      </c>
      <c r="T26" s="135"/>
      <c r="U26" s="135"/>
      <c r="V26" s="135"/>
      <c r="W26" s="135"/>
      <c r="X26" s="135">
        <v>0.27</v>
      </c>
      <c r="Y26" s="135"/>
      <c r="Z26" s="135"/>
      <c r="AA26" s="135"/>
      <c r="AB26" s="135"/>
      <c r="AC26" s="135"/>
      <c r="AD26" s="135">
        <v>0.26500000000000001</v>
      </c>
      <c r="AE26" s="135"/>
      <c r="AF26" s="135">
        <v>0.27500000000000002</v>
      </c>
      <c r="AG26" s="135"/>
    </row>
    <row r="27" spans="2:33" ht="15" customHeight="1" x14ac:dyDescent="0.25">
      <c r="B27" s="201"/>
      <c r="C27" s="90" t="s">
        <v>339</v>
      </c>
      <c r="D27" s="134">
        <v>0.68</v>
      </c>
      <c r="E27" s="134"/>
      <c r="F27" s="134"/>
      <c r="G27" s="134"/>
      <c r="H27" s="134"/>
      <c r="I27" s="134"/>
      <c r="J27" s="134"/>
      <c r="K27" s="134"/>
      <c r="L27" s="134">
        <v>0.68</v>
      </c>
      <c r="M27" s="134">
        <v>0.65641000000000005</v>
      </c>
      <c r="N27" s="134"/>
      <c r="O27" s="134">
        <v>0.67</v>
      </c>
      <c r="P27" s="134"/>
      <c r="Q27" s="134">
        <v>0.67</v>
      </c>
      <c r="R27" s="134"/>
      <c r="S27" s="134">
        <v>0.67</v>
      </c>
      <c r="T27" s="134"/>
      <c r="U27" s="134"/>
      <c r="V27" s="134"/>
      <c r="W27" s="134"/>
      <c r="X27" s="134">
        <v>0.68</v>
      </c>
      <c r="Y27" s="134"/>
      <c r="Z27" s="134"/>
      <c r="AA27" s="134"/>
      <c r="AB27" s="134"/>
      <c r="AC27" s="134"/>
      <c r="AD27" s="134">
        <v>0.68500000000000005</v>
      </c>
      <c r="AE27" s="134"/>
      <c r="AF27" s="134">
        <v>0.67500000000000004</v>
      </c>
      <c r="AG27" s="134"/>
    </row>
    <row r="28" spans="2:33" ht="15" customHeight="1" thickBot="1" x14ac:dyDescent="0.3">
      <c r="B28" s="212"/>
      <c r="C28" s="108" t="s">
        <v>338</v>
      </c>
      <c r="D28" s="136">
        <v>0.05</v>
      </c>
      <c r="E28" s="136"/>
      <c r="F28" s="136"/>
      <c r="G28" s="136"/>
      <c r="H28" s="136"/>
      <c r="I28" s="136"/>
      <c r="J28" s="136"/>
      <c r="K28" s="136"/>
      <c r="L28" s="136">
        <v>0.05</v>
      </c>
      <c r="M28" s="136">
        <v>5.1279999999999999E-2</v>
      </c>
      <c r="N28" s="136"/>
      <c r="O28" s="136">
        <v>0.05</v>
      </c>
      <c r="P28" s="136"/>
      <c r="Q28" s="136">
        <v>0.05</v>
      </c>
      <c r="R28" s="136"/>
      <c r="S28" s="136">
        <v>0.05</v>
      </c>
      <c r="T28" s="136"/>
      <c r="U28" s="136"/>
      <c r="V28" s="136"/>
      <c r="W28" s="136"/>
      <c r="X28" s="136">
        <v>0.05</v>
      </c>
      <c r="Y28" s="136"/>
      <c r="Z28" s="136"/>
      <c r="AA28" s="136"/>
      <c r="AB28" s="136"/>
      <c r="AC28" s="136"/>
      <c r="AD28" s="136">
        <v>0.05</v>
      </c>
      <c r="AE28" s="136"/>
      <c r="AF28" s="136">
        <v>0.05</v>
      </c>
      <c r="AG28" s="136"/>
    </row>
    <row r="29" spans="2:33" ht="15" customHeight="1" x14ac:dyDescent="0.25">
      <c r="B29" s="230" t="s">
        <v>1541</v>
      </c>
      <c r="C29" s="171" t="s">
        <v>957</v>
      </c>
      <c r="D29" s="170"/>
      <c r="E29" s="170"/>
      <c r="F29" s="170"/>
      <c r="G29" s="170"/>
      <c r="H29" s="170"/>
      <c r="I29" s="170"/>
      <c r="J29" s="170">
        <v>0.26</v>
      </c>
      <c r="K29" s="170"/>
      <c r="L29" s="181"/>
      <c r="M29" s="197">
        <v>0.28125</v>
      </c>
      <c r="N29" s="197"/>
      <c r="O29" s="197">
        <v>0.26500000000000001</v>
      </c>
      <c r="P29" s="197">
        <v>0.27</v>
      </c>
      <c r="Q29" s="197">
        <v>0.27</v>
      </c>
      <c r="R29" s="197">
        <v>0.26</v>
      </c>
      <c r="S29" s="197">
        <v>0.26500000000000001</v>
      </c>
      <c r="T29" s="197"/>
      <c r="U29" s="197">
        <v>0.28000000000000003</v>
      </c>
      <c r="V29" s="197"/>
      <c r="W29" s="197">
        <v>0.27</v>
      </c>
      <c r="X29" s="197">
        <v>0.26</v>
      </c>
      <c r="Y29" s="197"/>
      <c r="Z29" s="197"/>
      <c r="AA29" s="197"/>
      <c r="AB29" s="197"/>
      <c r="AC29" s="197">
        <v>0.26650000000000001</v>
      </c>
      <c r="AD29" s="197">
        <v>0.25</v>
      </c>
      <c r="AE29" s="197">
        <v>0.27</v>
      </c>
      <c r="AF29" s="197">
        <v>0.26</v>
      </c>
      <c r="AG29" s="197"/>
    </row>
    <row r="30" spans="2:33" ht="15" customHeight="1" x14ac:dyDescent="0.25">
      <c r="B30" s="231"/>
      <c r="C30" s="171" t="s">
        <v>339</v>
      </c>
      <c r="D30" s="170"/>
      <c r="E30" s="170"/>
      <c r="F30" s="170"/>
      <c r="G30" s="170"/>
      <c r="H30" s="170"/>
      <c r="I30" s="170"/>
      <c r="J30" s="170">
        <v>0.69</v>
      </c>
      <c r="K30" s="170"/>
      <c r="L30" s="181"/>
      <c r="M30" s="189">
        <v>0.66874999999999996</v>
      </c>
      <c r="N30" s="189"/>
      <c r="O30" s="189">
        <v>0.68500000000000005</v>
      </c>
      <c r="P30" s="189">
        <v>0.68</v>
      </c>
      <c r="Q30" s="189">
        <v>0.68100000000000005</v>
      </c>
      <c r="R30" s="189">
        <v>0.69</v>
      </c>
      <c r="S30" s="189">
        <v>0.68500000000000005</v>
      </c>
      <c r="T30" s="189"/>
      <c r="U30" s="189">
        <v>0.67</v>
      </c>
      <c r="V30" s="189"/>
      <c r="W30" s="189">
        <v>0.68</v>
      </c>
      <c r="X30" s="189">
        <v>0.69</v>
      </c>
      <c r="Y30" s="189"/>
      <c r="Z30" s="189"/>
      <c r="AA30" s="189"/>
      <c r="AB30" s="189"/>
      <c r="AC30" s="189">
        <v>0.6835</v>
      </c>
      <c r="AD30" s="189">
        <v>0.7</v>
      </c>
      <c r="AE30" s="189">
        <v>0.68</v>
      </c>
      <c r="AF30" s="189">
        <v>0.69</v>
      </c>
      <c r="AG30" s="189"/>
    </row>
    <row r="31" spans="2:33" ht="15" customHeight="1" thickBot="1" x14ac:dyDescent="0.3">
      <c r="B31" s="232"/>
      <c r="C31" s="171" t="s">
        <v>338</v>
      </c>
      <c r="D31" s="170"/>
      <c r="E31" s="170"/>
      <c r="F31" s="170"/>
      <c r="G31" s="170"/>
      <c r="H31" s="170"/>
      <c r="I31" s="170"/>
      <c r="J31" s="170">
        <v>0.05</v>
      </c>
      <c r="K31" s="170"/>
      <c r="L31" s="181"/>
      <c r="M31" s="198">
        <v>0.05</v>
      </c>
      <c r="N31" s="198"/>
      <c r="O31" s="198">
        <v>0.05</v>
      </c>
      <c r="P31" s="198">
        <v>0.05</v>
      </c>
      <c r="Q31" s="198">
        <v>4.9000000000000002E-2</v>
      </c>
      <c r="R31" s="198">
        <v>0.05</v>
      </c>
      <c r="S31" s="198">
        <v>0.05</v>
      </c>
      <c r="T31" s="198"/>
      <c r="U31" s="198">
        <v>0.05</v>
      </c>
      <c r="V31" s="198"/>
      <c r="W31" s="198">
        <v>0.05</v>
      </c>
      <c r="X31" s="198">
        <v>0.05</v>
      </c>
      <c r="Y31" s="198"/>
      <c r="Z31" s="198"/>
      <c r="AA31" s="198"/>
      <c r="AB31" s="198"/>
      <c r="AC31" s="198">
        <v>0.05</v>
      </c>
      <c r="AD31" s="198">
        <v>0.05</v>
      </c>
      <c r="AE31" s="198">
        <v>0.05</v>
      </c>
      <c r="AF31" s="198">
        <v>0.05</v>
      </c>
      <c r="AG31" s="198"/>
    </row>
    <row r="32" spans="2:33" ht="15" customHeight="1" x14ac:dyDescent="0.25">
      <c r="B32" s="229" t="s">
        <v>1086</v>
      </c>
      <c r="C32" s="172" t="s">
        <v>957</v>
      </c>
      <c r="D32" s="156"/>
      <c r="E32" s="156"/>
      <c r="F32" s="156"/>
      <c r="G32" s="156"/>
      <c r="H32" s="156"/>
      <c r="I32" s="156"/>
      <c r="J32" s="156"/>
      <c r="K32" s="156"/>
      <c r="L32" s="156"/>
      <c r="M32" s="196"/>
      <c r="N32" s="196"/>
      <c r="O32" s="196"/>
      <c r="P32" s="196"/>
      <c r="Q32" s="196"/>
      <c r="R32" s="196"/>
      <c r="S32" s="196"/>
      <c r="T32" s="196"/>
      <c r="U32" s="196"/>
      <c r="V32" s="196"/>
      <c r="W32" s="196"/>
      <c r="X32" s="196"/>
      <c r="Y32" s="196"/>
      <c r="Z32" s="196"/>
      <c r="AA32" s="196"/>
      <c r="AB32" s="196"/>
      <c r="AC32" s="196"/>
      <c r="AD32" s="196"/>
      <c r="AE32" s="196"/>
      <c r="AF32" s="196"/>
      <c r="AG32" s="196"/>
    </row>
    <row r="33" spans="2:33" ht="15" customHeight="1" x14ac:dyDescent="0.25">
      <c r="B33" s="223"/>
      <c r="C33" s="173" t="s">
        <v>339</v>
      </c>
      <c r="D33" s="138"/>
      <c r="E33" s="138">
        <v>0.94969999999999999</v>
      </c>
      <c r="F33" s="138">
        <v>0.95</v>
      </c>
      <c r="G33" s="138"/>
      <c r="H33" s="138">
        <v>0.95150000000000001</v>
      </c>
      <c r="I33" s="138">
        <v>0.95</v>
      </c>
      <c r="J33" s="138">
        <v>0.95</v>
      </c>
      <c r="K33" s="138">
        <v>0.95</v>
      </c>
      <c r="L33" s="138">
        <v>0.95</v>
      </c>
      <c r="M33" s="138"/>
      <c r="N33" s="138"/>
      <c r="O33" s="138">
        <v>0.95</v>
      </c>
      <c r="P33" s="138">
        <v>0.95</v>
      </c>
      <c r="Q33" s="138">
        <v>0.95</v>
      </c>
      <c r="R33" s="138">
        <v>0.95</v>
      </c>
      <c r="S33" s="138"/>
      <c r="T33" s="138"/>
      <c r="U33" s="138"/>
      <c r="V33" s="138"/>
      <c r="W33" s="138"/>
      <c r="X33" s="138"/>
      <c r="Y33" s="138"/>
      <c r="Z33" s="138"/>
      <c r="AA33" s="138"/>
      <c r="AB33" s="138"/>
      <c r="AC33" s="138">
        <v>0.95</v>
      </c>
      <c r="AD33" s="138"/>
      <c r="AE33" s="138"/>
      <c r="AF33" s="138">
        <v>0.95</v>
      </c>
      <c r="AG33" s="138"/>
    </row>
    <row r="34" spans="2:33" ht="15" customHeight="1" thickBot="1" x14ac:dyDescent="0.3">
      <c r="B34" s="224"/>
      <c r="C34" s="174" t="s">
        <v>338</v>
      </c>
      <c r="D34" s="156"/>
      <c r="E34" s="156">
        <v>5.0299999999999997E-2</v>
      </c>
      <c r="F34" s="156">
        <v>0.05</v>
      </c>
      <c r="G34" s="156"/>
      <c r="H34" s="156">
        <v>4.8500000000000001E-2</v>
      </c>
      <c r="I34" s="156">
        <v>0.05</v>
      </c>
      <c r="J34" s="156">
        <v>0.05</v>
      </c>
      <c r="K34" s="156">
        <v>0.05</v>
      </c>
      <c r="L34" s="156">
        <v>0.05</v>
      </c>
      <c r="M34" s="156"/>
      <c r="N34" s="156"/>
      <c r="O34" s="156">
        <v>0.05</v>
      </c>
      <c r="P34" s="156">
        <v>0.05</v>
      </c>
      <c r="Q34" s="156">
        <v>0.05</v>
      </c>
      <c r="R34" s="156">
        <v>0.05</v>
      </c>
      <c r="S34" s="156"/>
      <c r="T34" s="156"/>
      <c r="U34" s="156"/>
      <c r="V34" s="156"/>
      <c r="W34" s="156"/>
      <c r="X34" s="156"/>
      <c r="Y34" s="156"/>
      <c r="Z34" s="156"/>
      <c r="AA34" s="156"/>
      <c r="AB34" s="156"/>
      <c r="AC34" s="156">
        <v>0.05</v>
      </c>
      <c r="AD34" s="156"/>
      <c r="AE34" s="156"/>
      <c r="AF34" s="156">
        <v>0.05</v>
      </c>
      <c r="AG34" s="156"/>
    </row>
    <row r="35" spans="2:33" ht="15" customHeight="1" x14ac:dyDescent="0.25">
      <c r="B35" s="175" t="s">
        <v>7</v>
      </c>
      <c r="C35" s="34"/>
      <c r="D35" s="160">
        <v>0</v>
      </c>
      <c r="E35" s="160">
        <v>0</v>
      </c>
      <c r="F35" s="160">
        <v>5424</v>
      </c>
      <c r="G35" s="160">
        <v>5350</v>
      </c>
      <c r="H35" s="160">
        <v>0</v>
      </c>
      <c r="I35" s="160">
        <v>5384</v>
      </c>
      <c r="J35" s="160">
        <v>5473</v>
      </c>
      <c r="K35" s="160">
        <v>5351</v>
      </c>
      <c r="L35" s="160">
        <v>5323</v>
      </c>
      <c r="M35" s="160">
        <v>5380</v>
      </c>
      <c r="N35" s="160">
        <v>5402</v>
      </c>
      <c r="O35" s="160">
        <v>5423</v>
      </c>
      <c r="P35" s="160">
        <v>5438</v>
      </c>
      <c r="Q35" s="160">
        <v>5358</v>
      </c>
      <c r="R35" s="160">
        <v>5381</v>
      </c>
      <c r="S35" s="160">
        <v>5410</v>
      </c>
      <c r="T35" s="160">
        <v>5439</v>
      </c>
      <c r="U35" s="160">
        <v>5322</v>
      </c>
      <c r="V35" s="160">
        <v>5387</v>
      </c>
      <c r="W35" s="160">
        <v>5388</v>
      </c>
      <c r="X35" s="160">
        <v>5436</v>
      </c>
      <c r="Y35" s="160">
        <v>5438</v>
      </c>
      <c r="Z35" s="160">
        <v>5463</v>
      </c>
      <c r="AA35" s="160">
        <v>5418</v>
      </c>
      <c r="AB35" s="160">
        <v>5360</v>
      </c>
      <c r="AC35" s="160">
        <v>5432</v>
      </c>
      <c r="AD35" s="160">
        <v>5461</v>
      </c>
      <c r="AE35" s="160">
        <v>5378</v>
      </c>
      <c r="AF35" s="160">
        <v>5453</v>
      </c>
      <c r="AG35" s="160">
        <v>5380</v>
      </c>
    </row>
    <row r="36" spans="2:33" ht="7.5" customHeight="1" thickBot="1" x14ac:dyDescent="0.3"/>
    <row r="37" spans="2:33" s="164" customFormat="1" ht="12.75" customHeight="1" thickBot="1" x14ac:dyDescent="0.3">
      <c r="B37" s="227" t="s">
        <v>1002</v>
      </c>
      <c r="C37" s="228"/>
      <c r="D37" s="163">
        <v>76.363075651006611</v>
      </c>
      <c r="E37" s="163">
        <v>77.580882451194853</v>
      </c>
      <c r="F37" s="163">
        <v>77.063745084159365</v>
      </c>
      <c r="G37" s="163">
        <v>77.008086331060184</v>
      </c>
      <c r="H37" s="163">
        <v>74.790000000000006</v>
      </c>
      <c r="I37" s="163">
        <v>77.87</v>
      </c>
      <c r="J37" s="163">
        <v>77.73</v>
      </c>
      <c r="K37" s="163">
        <v>77.23</v>
      </c>
      <c r="L37" s="163">
        <v>76.989999999999995</v>
      </c>
      <c r="M37" s="163">
        <v>74.211409465738271</v>
      </c>
      <c r="N37" s="163">
        <v>76.983471140000006</v>
      </c>
      <c r="O37" s="163">
        <v>76.983471140000006</v>
      </c>
      <c r="P37" s="163">
        <v>77.3</v>
      </c>
      <c r="Q37" s="163">
        <v>76.16</v>
      </c>
      <c r="R37" s="163">
        <v>77.61</v>
      </c>
      <c r="S37" s="163">
        <v>75.06</v>
      </c>
      <c r="T37" s="163">
        <v>76.966292156404492</v>
      </c>
      <c r="U37" s="163">
        <v>73.097369912383868</v>
      </c>
      <c r="V37" s="163">
        <v>78</v>
      </c>
      <c r="W37" s="163">
        <v>74.13</v>
      </c>
      <c r="X37" s="163">
        <v>73.23</v>
      </c>
      <c r="Y37" s="163">
        <v>77</v>
      </c>
      <c r="Z37" s="163">
        <v>76.8</v>
      </c>
      <c r="AA37" s="163">
        <v>77</v>
      </c>
      <c r="AB37" s="163">
        <v>76.979891749999993</v>
      </c>
      <c r="AC37" s="163">
        <v>77.5</v>
      </c>
      <c r="AD37" s="163">
        <v>76.989999999999995</v>
      </c>
      <c r="AE37" s="163">
        <v>75.959999999999994</v>
      </c>
      <c r="AF37" s="163">
        <v>76.11</v>
      </c>
      <c r="AG37" s="163">
        <v>78.5</v>
      </c>
    </row>
    <row r="38" spans="2:33" ht="12.75" customHeight="1" x14ac:dyDescent="0.25">
      <c r="B38" s="114"/>
    </row>
    <row r="39" spans="2:33" ht="12.75" customHeight="1" x14ac:dyDescent="0.25">
      <c r="B39" s="114"/>
    </row>
    <row r="40" spans="2:33" ht="12.75" customHeight="1" x14ac:dyDescent="0.25">
      <c r="B40" s="114"/>
    </row>
    <row r="41" spans="2:33" ht="12.75" customHeight="1" x14ac:dyDescent="0.25">
      <c r="B41" s="114"/>
    </row>
    <row r="42" spans="2:33" ht="12.75" customHeight="1" x14ac:dyDescent="0.25">
      <c r="B42" s="114"/>
    </row>
    <row r="43" spans="2:33" ht="12.75" customHeight="1" x14ac:dyDescent="0.25">
      <c r="B43" s="114"/>
    </row>
    <row r="44" spans="2:33" ht="12.75" customHeight="1" x14ac:dyDescent="0.25">
      <c r="B44" s="114"/>
    </row>
    <row r="45" spans="2:33" ht="12.75" customHeight="1" x14ac:dyDescent="0.25">
      <c r="B45" s="114"/>
    </row>
    <row r="46" spans="2:33" ht="12.75" customHeight="1" x14ac:dyDescent="0.25">
      <c r="B46" s="114"/>
    </row>
    <row r="47" spans="2:33" ht="12.75" customHeight="1" x14ac:dyDescent="0.25">
      <c r="B47" s="114"/>
    </row>
    <row r="48" spans="2:33" ht="12.75" customHeight="1" x14ac:dyDescent="0.25">
      <c r="B48" s="114"/>
    </row>
    <row r="49" spans="2:2" ht="12.75" customHeight="1" x14ac:dyDescent="0.25">
      <c r="B49" s="114"/>
    </row>
    <row r="50" spans="2:2" ht="12.75" customHeight="1" x14ac:dyDescent="0.25">
      <c r="B50" s="114"/>
    </row>
    <row r="51" spans="2:2" x14ac:dyDescent="0.25">
      <c r="B51" s="114"/>
    </row>
    <row r="52" spans="2:2" x14ac:dyDescent="0.25">
      <c r="B52" s="114"/>
    </row>
    <row r="53" spans="2:2" x14ac:dyDescent="0.25">
      <c r="B53" s="114"/>
    </row>
    <row r="54" spans="2:2" x14ac:dyDescent="0.25">
      <c r="B54" s="114"/>
    </row>
    <row r="55" spans="2:2" x14ac:dyDescent="0.25">
      <c r="B55" s="114"/>
    </row>
    <row r="56" spans="2:2" x14ac:dyDescent="0.25">
      <c r="B56" s="114"/>
    </row>
    <row r="57" spans="2:2" x14ac:dyDescent="0.25">
      <c r="B57" s="114"/>
    </row>
    <row r="58" spans="2:2" x14ac:dyDescent="0.25">
      <c r="B58" s="114"/>
    </row>
  </sheetData>
  <mergeCells count="11">
    <mergeCell ref="B20:B22"/>
    <mergeCell ref="B3:B5"/>
    <mergeCell ref="B6:B8"/>
    <mergeCell ref="B9:B11"/>
    <mergeCell ref="B12:B14"/>
    <mergeCell ref="B15:B17"/>
    <mergeCell ref="B23:B25"/>
    <mergeCell ref="B26:B28"/>
    <mergeCell ref="B29:B31"/>
    <mergeCell ref="B32:B34"/>
    <mergeCell ref="B37:C37"/>
  </mergeCells>
  <pageMargins left="0.7" right="0.7" top="0.75" bottom="0.75" header="0.3" footer="0.3"/>
  <pageSetup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B7C1C-C5E8-4331-9A1A-7772349217CD}">
  <dimension ref="B1:W58"/>
  <sheetViews>
    <sheetView tabSelected="1" zoomScale="90" zoomScaleNormal="90" workbookViewId="0">
      <pane xSplit="3" topLeftCell="J1" activePane="topRight" state="frozen"/>
      <selection pane="topRight" activeCell="W7" sqref="W7"/>
    </sheetView>
  </sheetViews>
  <sheetFormatPr defaultRowHeight="15" x14ac:dyDescent="0.25"/>
  <cols>
    <col min="3" max="3" width="28.140625" customWidth="1"/>
    <col min="4" max="23" width="11" bestFit="1" customWidth="1"/>
  </cols>
  <sheetData>
    <row r="1" spans="2:23" ht="6" customHeight="1" thickBot="1" x14ac:dyDescent="0.3"/>
    <row r="2" spans="2:23" ht="15" customHeight="1" thickBot="1" x14ac:dyDescent="0.3">
      <c r="B2" s="94" t="s">
        <v>964</v>
      </c>
      <c r="C2" s="96" t="s">
        <v>961</v>
      </c>
      <c r="D2" s="97" t="str">
        <f t="shared" ref="D2:N2" si="0">D19</f>
        <v>01.05.2026</v>
      </c>
      <c r="E2" s="97" t="str">
        <f t="shared" si="0"/>
        <v>02.05.2026</v>
      </c>
      <c r="F2" s="97" t="str">
        <f t="shared" si="0"/>
        <v>03.05.2026</v>
      </c>
      <c r="G2" s="97" t="str">
        <f t="shared" si="0"/>
        <v>04.05.2026</v>
      </c>
      <c r="H2" s="97" t="str">
        <f t="shared" si="0"/>
        <v>05.05.2026</v>
      </c>
      <c r="I2" s="97" t="str">
        <f t="shared" si="0"/>
        <v>06.05.2026</v>
      </c>
      <c r="J2" s="97" t="str">
        <f t="shared" si="0"/>
        <v>07.05.2026</v>
      </c>
      <c r="K2" s="97" t="str">
        <f t="shared" si="0"/>
        <v>08.05.2026</v>
      </c>
      <c r="L2" s="97" t="str">
        <f t="shared" si="0"/>
        <v>09.05.2026</v>
      </c>
      <c r="M2" s="97" t="str">
        <f t="shared" si="0"/>
        <v>10.05.2026</v>
      </c>
      <c r="N2" s="97" t="str">
        <f t="shared" si="0"/>
        <v>11.05.2026</v>
      </c>
      <c r="O2" s="97" t="str">
        <f t="shared" ref="O2:P2" si="1">O19</f>
        <v>12.05.2026</v>
      </c>
      <c r="P2" s="97" t="str">
        <f t="shared" si="1"/>
        <v>13.05.2026</v>
      </c>
      <c r="Q2" s="97" t="str">
        <f t="shared" ref="Q2:R2" si="2">Q19</f>
        <v>14.05.2026</v>
      </c>
      <c r="R2" s="97" t="str">
        <f t="shared" si="2"/>
        <v>15.05.2026</v>
      </c>
      <c r="S2" s="97" t="str">
        <f t="shared" ref="S2:T2" si="3">S19</f>
        <v>16.05.2026</v>
      </c>
      <c r="T2" s="97" t="str">
        <f t="shared" si="3"/>
        <v>17.05.2026</v>
      </c>
      <c r="U2" s="97" t="str">
        <f t="shared" ref="U2:V2" si="4">U19</f>
        <v>18.05.2026</v>
      </c>
      <c r="V2" s="97" t="str">
        <f t="shared" si="4"/>
        <v>19.05.2026</v>
      </c>
      <c r="W2" s="97" t="str">
        <f t="shared" ref="W2" si="5">W19</f>
        <v>20.05.2026</v>
      </c>
    </row>
    <row r="3" spans="2:23" ht="15" customHeight="1" x14ac:dyDescent="0.25">
      <c r="B3" s="206" t="s">
        <v>958</v>
      </c>
      <c r="C3" s="116" t="s">
        <v>957</v>
      </c>
      <c r="D3" s="185"/>
      <c r="E3" s="185"/>
      <c r="F3" s="185"/>
      <c r="G3" s="185">
        <v>0.16</v>
      </c>
      <c r="H3" s="185">
        <v>0.16</v>
      </c>
      <c r="I3" s="185">
        <v>0.161</v>
      </c>
      <c r="J3" s="185">
        <v>0.17</v>
      </c>
      <c r="K3" s="185">
        <v>0.17988999999999999</v>
      </c>
      <c r="L3" s="185">
        <v>0.19001000000000001</v>
      </c>
      <c r="M3" s="185">
        <v>0.16</v>
      </c>
      <c r="N3" s="185">
        <v>0.16</v>
      </c>
      <c r="O3" s="185">
        <v>0.17</v>
      </c>
      <c r="P3" s="185">
        <v>0.18</v>
      </c>
      <c r="Q3" s="185">
        <v>0.18</v>
      </c>
      <c r="R3" s="185">
        <v>0.18</v>
      </c>
      <c r="S3" s="185">
        <v>0.17931</v>
      </c>
      <c r="T3" s="185">
        <v>0.18</v>
      </c>
      <c r="U3" s="185">
        <v>0.16</v>
      </c>
      <c r="V3" s="185">
        <v>0.16</v>
      </c>
      <c r="W3" s="185">
        <v>0.16500000000000001</v>
      </c>
    </row>
    <row r="4" spans="2:23" ht="15" customHeight="1" x14ac:dyDescent="0.25">
      <c r="B4" s="207"/>
      <c r="C4" s="118" t="s">
        <v>339</v>
      </c>
      <c r="D4" s="103"/>
      <c r="E4" s="103"/>
      <c r="F4" s="103"/>
      <c r="G4" s="103">
        <v>0.79</v>
      </c>
      <c r="H4" s="103">
        <v>0.79</v>
      </c>
      <c r="I4" s="103">
        <v>0.78900000000000003</v>
      </c>
      <c r="J4" s="103">
        <v>0.78</v>
      </c>
      <c r="K4" s="103">
        <v>0.77</v>
      </c>
      <c r="L4" s="103">
        <v>0.76</v>
      </c>
      <c r="M4" s="103">
        <v>0.79</v>
      </c>
      <c r="N4" s="103">
        <v>0.79</v>
      </c>
      <c r="O4" s="103">
        <v>0.77900000000000003</v>
      </c>
      <c r="P4" s="103">
        <v>0.77</v>
      </c>
      <c r="Q4" s="103">
        <v>0.77</v>
      </c>
      <c r="R4" s="103">
        <v>0.77</v>
      </c>
      <c r="S4" s="103">
        <v>0.77</v>
      </c>
      <c r="T4" s="103">
        <v>0.77</v>
      </c>
      <c r="U4" s="103">
        <v>0.79</v>
      </c>
      <c r="V4" s="103">
        <v>0.79</v>
      </c>
      <c r="W4" s="103">
        <v>0.78500000000000003</v>
      </c>
    </row>
    <row r="5" spans="2:23" ht="15" customHeight="1" thickBot="1" x14ac:dyDescent="0.3">
      <c r="B5" s="208"/>
      <c r="C5" s="118" t="s">
        <v>338</v>
      </c>
      <c r="D5" s="194"/>
      <c r="E5" s="194"/>
      <c r="F5" s="194"/>
      <c r="G5" s="194">
        <v>0.05</v>
      </c>
      <c r="H5" s="194">
        <v>0.05</v>
      </c>
      <c r="I5" s="194">
        <v>0.05</v>
      </c>
      <c r="J5" s="194">
        <v>0.05</v>
      </c>
      <c r="K5" s="194">
        <v>5.0110000000000002E-2</v>
      </c>
      <c r="L5" s="194">
        <v>0.05</v>
      </c>
      <c r="M5" s="194">
        <v>0.05</v>
      </c>
      <c r="N5" s="194">
        <v>0.05</v>
      </c>
      <c r="O5" s="194">
        <v>5.0999999999999997E-2</v>
      </c>
      <c r="P5" s="194">
        <v>0.05</v>
      </c>
      <c r="Q5" s="194">
        <v>0.05</v>
      </c>
      <c r="R5" s="194">
        <v>0.05</v>
      </c>
      <c r="S5" s="194">
        <v>5.0689999999999999E-2</v>
      </c>
      <c r="T5" s="194">
        <v>0.05</v>
      </c>
      <c r="U5" s="194">
        <v>0.05</v>
      </c>
      <c r="V5" s="194">
        <v>0.05</v>
      </c>
      <c r="W5" s="194">
        <v>0.05</v>
      </c>
    </row>
    <row r="6" spans="2:23" ht="15" customHeight="1" x14ac:dyDescent="0.25">
      <c r="B6" s="209" t="s">
        <v>959</v>
      </c>
      <c r="C6" s="119" t="s">
        <v>957</v>
      </c>
      <c r="D6" s="193"/>
      <c r="E6" s="193"/>
      <c r="F6" s="193"/>
      <c r="G6" s="193"/>
      <c r="H6" s="193"/>
      <c r="I6" s="193"/>
      <c r="J6" s="193"/>
      <c r="K6" s="193"/>
      <c r="L6" s="193"/>
      <c r="M6" s="193"/>
      <c r="N6" s="193"/>
      <c r="O6" s="193"/>
      <c r="P6" s="193"/>
      <c r="Q6" s="193"/>
      <c r="R6" s="193"/>
      <c r="S6" s="193"/>
      <c r="T6" s="193"/>
      <c r="U6" s="193"/>
      <c r="V6" s="193"/>
      <c r="W6" s="193"/>
    </row>
    <row r="7" spans="2:23" ht="15" customHeight="1" x14ac:dyDescent="0.25">
      <c r="B7" s="210"/>
      <c r="C7" s="120" t="s">
        <v>339</v>
      </c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</row>
    <row r="8" spans="2:23" ht="15" customHeight="1" thickBot="1" x14ac:dyDescent="0.3">
      <c r="B8" s="211"/>
      <c r="C8" s="120" t="s">
        <v>338</v>
      </c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  <c r="T8" s="104"/>
      <c r="U8" s="104"/>
      <c r="V8" s="104"/>
      <c r="W8" s="104"/>
    </row>
    <row r="9" spans="2:23" ht="15" customHeight="1" x14ac:dyDescent="0.25">
      <c r="B9" s="215" t="s">
        <v>960</v>
      </c>
      <c r="C9" s="121" t="s">
        <v>957</v>
      </c>
      <c r="D9" s="186"/>
      <c r="E9" s="186"/>
      <c r="F9" s="186"/>
      <c r="G9" s="186"/>
      <c r="H9" s="186">
        <v>0.27</v>
      </c>
      <c r="I9" s="186"/>
      <c r="J9" s="186"/>
      <c r="K9" s="186"/>
      <c r="L9" s="186"/>
      <c r="M9" s="186">
        <v>0.26</v>
      </c>
      <c r="N9" s="186"/>
      <c r="O9" s="186"/>
      <c r="P9" s="186"/>
      <c r="Q9" s="186"/>
      <c r="R9" s="186"/>
      <c r="S9" s="186"/>
      <c r="T9" s="186">
        <v>0.27</v>
      </c>
      <c r="U9" s="186">
        <v>0.26</v>
      </c>
      <c r="V9" s="186"/>
      <c r="W9" s="186"/>
    </row>
    <row r="10" spans="2:23" ht="15" customHeight="1" x14ac:dyDescent="0.25">
      <c r="B10" s="216"/>
      <c r="C10" s="123" t="s">
        <v>339</v>
      </c>
      <c r="D10" s="187"/>
      <c r="E10" s="187"/>
      <c r="F10" s="187"/>
      <c r="G10" s="187"/>
      <c r="H10" s="187">
        <v>0.68</v>
      </c>
      <c r="I10" s="187"/>
      <c r="J10" s="187"/>
      <c r="K10" s="187"/>
      <c r="L10" s="187"/>
      <c r="M10" s="187">
        <v>0.69</v>
      </c>
      <c r="N10" s="187"/>
      <c r="O10" s="187"/>
      <c r="P10" s="187"/>
      <c r="Q10" s="187"/>
      <c r="R10" s="187"/>
      <c r="S10" s="187"/>
      <c r="T10" s="187">
        <v>0.68</v>
      </c>
      <c r="U10" s="187">
        <v>0.69</v>
      </c>
      <c r="V10" s="187"/>
      <c r="W10" s="187"/>
    </row>
    <row r="11" spans="2:23" ht="15" customHeight="1" thickBot="1" x14ac:dyDescent="0.3">
      <c r="B11" s="221"/>
      <c r="C11" s="169" t="s">
        <v>338</v>
      </c>
      <c r="D11" s="188"/>
      <c r="E11" s="188"/>
      <c r="F11" s="188"/>
      <c r="G11" s="188"/>
      <c r="H11" s="188">
        <v>0.05</v>
      </c>
      <c r="I11" s="188"/>
      <c r="J11" s="188"/>
      <c r="K11" s="188"/>
      <c r="L11" s="188"/>
      <c r="M11" s="188">
        <v>0.05</v>
      </c>
      <c r="N11" s="188"/>
      <c r="O11" s="188"/>
      <c r="P11" s="188"/>
      <c r="Q11" s="188"/>
      <c r="R11" s="188"/>
      <c r="S11" s="188"/>
      <c r="T11" s="188">
        <v>0.05</v>
      </c>
      <c r="U11" s="188">
        <v>0.05</v>
      </c>
      <c r="V11" s="188"/>
      <c r="W11" s="188"/>
    </row>
    <row r="12" spans="2:23" ht="15" customHeight="1" x14ac:dyDescent="0.25">
      <c r="B12" s="230" t="s">
        <v>1541</v>
      </c>
      <c r="C12" s="171" t="s">
        <v>957</v>
      </c>
      <c r="D12" s="189"/>
      <c r="E12" s="189"/>
      <c r="F12" s="189"/>
      <c r="G12" s="189"/>
      <c r="H12" s="189">
        <v>0.26</v>
      </c>
      <c r="I12" s="189">
        <v>0.24</v>
      </c>
      <c r="J12" s="189"/>
      <c r="K12" s="189"/>
      <c r="L12" s="189"/>
      <c r="M12" s="189">
        <v>0.25</v>
      </c>
      <c r="N12" s="189">
        <v>0.25</v>
      </c>
      <c r="O12" s="189"/>
      <c r="P12" s="189"/>
      <c r="Q12" s="189"/>
      <c r="R12" s="189"/>
      <c r="S12" s="189">
        <v>0.27999000000000002</v>
      </c>
      <c r="T12" s="189">
        <v>0.27500000000000002</v>
      </c>
      <c r="U12" s="189">
        <v>0.25</v>
      </c>
      <c r="V12" s="189">
        <v>0.255</v>
      </c>
      <c r="W12" s="189">
        <v>0.25</v>
      </c>
    </row>
    <row r="13" spans="2:23" ht="15" customHeight="1" x14ac:dyDescent="0.25">
      <c r="B13" s="231"/>
      <c r="C13" s="171" t="s">
        <v>339</v>
      </c>
      <c r="D13" s="189"/>
      <c r="E13" s="189"/>
      <c r="F13" s="189"/>
      <c r="G13" s="189"/>
      <c r="H13" s="189">
        <v>0.69</v>
      </c>
      <c r="I13" s="189">
        <v>0.71</v>
      </c>
      <c r="J13" s="189"/>
      <c r="K13" s="189"/>
      <c r="L13" s="189"/>
      <c r="M13" s="189">
        <v>0.7</v>
      </c>
      <c r="N13" s="189">
        <v>0.7</v>
      </c>
      <c r="O13" s="189"/>
      <c r="P13" s="189"/>
      <c r="Q13" s="189"/>
      <c r="R13" s="189"/>
      <c r="S13" s="189">
        <v>0.67</v>
      </c>
      <c r="T13" s="189">
        <v>0.67500000000000004</v>
      </c>
      <c r="U13" s="189">
        <v>0.7</v>
      </c>
      <c r="V13" s="189">
        <v>0.69499999999999995</v>
      </c>
      <c r="W13" s="189">
        <v>0.7</v>
      </c>
    </row>
    <row r="14" spans="2:23" ht="15" customHeight="1" thickBot="1" x14ac:dyDescent="0.3">
      <c r="B14" s="232"/>
      <c r="C14" s="171" t="s">
        <v>338</v>
      </c>
      <c r="D14" s="189"/>
      <c r="E14" s="189"/>
      <c r="F14" s="189"/>
      <c r="G14" s="189"/>
      <c r="H14" s="189">
        <v>0.05</v>
      </c>
      <c r="I14" s="189">
        <v>0.05</v>
      </c>
      <c r="J14" s="189"/>
      <c r="K14" s="189"/>
      <c r="L14" s="189"/>
      <c r="M14" s="189">
        <v>0.05</v>
      </c>
      <c r="N14" s="189">
        <v>0.05</v>
      </c>
      <c r="O14" s="189"/>
      <c r="P14" s="189"/>
      <c r="Q14" s="189"/>
      <c r="R14" s="189"/>
      <c r="S14" s="189">
        <v>0.05</v>
      </c>
      <c r="T14" s="189">
        <v>0.05</v>
      </c>
      <c r="U14" s="189">
        <v>0.05</v>
      </c>
      <c r="V14" s="189">
        <v>0.05</v>
      </c>
      <c r="W14" s="189">
        <v>0.05</v>
      </c>
    </row>
    <row r="15" spans="2:23" ht="15" customHeight="1" x14ac:dyDescent="0.25">
      <c r="B15" s="223" t="s">
        <v>1086</v>
      </c>
      <c r="C15" s="151" t="s">
        <v>957</v>
      </c>
      <c r="D15" s="190"/>
      <c r="E15" s="190"/>
      <c r="F15" s="190"/>
      <c r="G15" s="190"/>
      <c r="H15" s="190"/>
      <c r="I15" s="190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</row>
    <row r="16" spans="2:23" ht="15" customHeight="1" x14ac:dyDescent="0.25">
      <c r="B16" s="223"/>
      <c r="C16" s="90" t="s">
        <v>339</v>
      </c>
      <c r="D16" s="191"/>
      <c r="E16" s="191"/>
      <c r="F16" s="191"/>
      <c r="G16" s="191"/>
      <c r="H16" s="191"/>
      <c r="I16" s="191"/>
      <c r="J16" s="191"/>
      <c r="K16" s="191"/>
      <c r="L16" s="187">
        <v>0.95</v>
      </c>
      <c r="M16" s="187"/>
      <c r="N16" s="187"/>
      <c r="O16" s="187"/>
      <c r="P16" s="187"/>
      <c r="Q16" s="187"/>
      <c r="R16" s="187"/>
      <c r="S16" s="187"/>
      <c r="T16" s="187"/>
      <c r="U16" s="187"/>
      <c r="V16" s="187"/>
      <c r="W16" s="187"/>
    </row>
    <row r="17" spans="2:23" ht="15" customHeight="1" thickBot="1" x14ac:dyDescent="0.3">
      <c r="B17" s="224"/>
      <c r="C17" s="92" t="s">
        <v>338</v>
      </c>
      <c r="D17" s="192"/>
      <c r="E17" s="192"/>
      <c r="F17" s="192"/>
      <c r="G17" s="192"/>
      <c r="H17" s="192"/>
      <c r="I17" s="192"/>
      <c r="J17" s="192"/>
      <c r="K17" s="192"/>
      <c r="L17" s="199">
        <v>0.05</v>
      </c>
      <c r="M17" s="199"/>
      <c r="N17" s="199"/>
      <c r="O17" s="199"/>
      <c r="P17" s="199"/>
      <c r="Q17" s="199"/>
      <c r="R17" s="199"/>
      <c r="S17" s="199"/>
      <c r="T17" s="199"/>
      <c r="U17" s="199"/>
      <c r="V17" s="199"/>
      <c r="W17" s="199"/>
    </row>
    <row r="18" spans="2:23" ht="6.75" customHeight="1" thickBot="1" x14ac:dyDescent="0.3"/>
    <row r="19" spans="2:23" ht="15" customHeight="1" thickBot="1" x14ac:dyDescent="0.3">
      <c r="B19" s="95" t="s">
        <v>964</v>
      </c>
      <c r="C19" s="94" t="s">
        <v>963</v>
      </c>
      <c r="D19" s="94" t="s">
        <v>1579</v>
      </c>
      <c r="E19" s="94" t="s">
        <v>1580</v>
      </c>
      <c r="F19" s="94" t="s">
        <v>1581</v>
      </c>
      <c r="G19" s="94" t="s">
        <v>1582</v>
      </c>
      <c r="H19" s="94" t="s">
        <v>1583</v>
      </c>
      <c r="I19" s="94" t="s">
        <v>1584</v>
      </c>
      <c r="J19" s="94" t="s">
        <v>1585</v>
      </c>
      <c r="K19" s="94" t="s">
        <v>1586</v>
      </c>
      <c r="L19" s="94" t="s">
        <v>1587</v>
      </c>
      <c r="M19" s="94" t="s">
        <v>1588</v>
      </c>
      <c r="N19" s="94" t="s">
        <v>1589</v>
      </c>
      <c r="O19" s="94" t="s">
        <v>1590</v>
      </c>
      <c r="P19" s="94" t="s">
        <v>1591</v>
      </c>
      <c r="Q19" s="94" t="s">
        <v>1592</v>
      </c>
      <c r="R19" s="94" t="s">
        <v>1593</v>
      </c>
      <c r="S19" s="94" t="s">
        <v>1594</v>
      </c>
      <c r="T19" s="94" t="s">
        <v>1595</v>
      </c>
      <c r="U19" s="94" t="s">
        <v>1596</v>
      </c>
      <c r="V19" s="94" t="s">
        <v>1597</v>
      </c>
      <c r="W19" s="94" t="s">
        <v>1598</v>
      </c>
    </row>
    <row r="20" spans="2:23" ht="15" customHeight="1" x14ac:dyDescent="0.25">
      <c r="B20" s="206" t="s">
        <v>958</v>
      </c>
      <c r="C20" s="81" t="s">
        <v>957</v>
      </c>
      <c r="D20" s="117">
        <v>0.18</v>
      </c>
      <c r="E20" s="117">
        <v>0.18</v>
      </c>
      <c r="F20" s="117">
        <v>0.17</v>
      </c>
      <c r="G20" s="117"/>
      <c r="H20" s="117"/>
      <c r="I20" s="117"/>
      <c r="J20" s="117">
        <v>0.17</v>
      </c>
      <c r="K20" s="117">
        <v>0.18</v>
      </c>
      <c r="L20" s="117">
        <v>0.17899000000000001</v>
      </c>
      <c r="M20" s="117">
        <v>0.16</v>
      </c>
      <c r="N20" s="117">
        <v>0.16</v>
      </c>
      <c r="O20" s="117">
        <v>0.18</v>
      </c>
      <c r="P20" s="117">
        <v>0.17799999999999999</v>
      </c>
      <c r="Q20" s="117">
        <v>0.18</v>
      </c>
      <c r="R20" s="117">
        <v>0.18</v>
      </c>
      <c r="S20" s="117">
        <v>0.18099999999999999</v>
      </c>
      <c r="T20" s="117"/>
      <c r="U20" s="117"/>
      <c r="V20" s="117">
        <v>0.16</v>
      </c>
      <c r="W20" s="117">
        <v>0.16500000000000001</v>
      </c>
    </row>
    <row r="21" spans="2:23" ht="15" customHeight="1" x14ac:dyDescent="0.25">
      <c r="B21" s="207"/>
      <c r="C21" s="83" t="s">
        <v>339</v>
      </c>
      <c r="D21" s="84">
        <v>0.77</v>
      </c>
      <c r="E21" s="84">
        <v>0.77</v>
      </c>
      <c r="F21" s="84">
        <v>0.78</v>
      </c>
      <c r="G21" s="84"/>
      <c r="H21" s="84"/>
      <c r="I21" s="84"/>
      <c r="J21" s="84">
        <v>0.78</v>
      </c>
      <c r="K21" s="84">
        <v>0.77</v>
      </c>
      <c r="L21" s="84">
        <v>0.77</v>
      </c>
      <c r="M21" s="84">
        <v>0.79</v>
      </c>
      <c r="N21" s="84">
        <v>0.79</v>
      </c>
      <c r="O21" s="84">
        <v>0.76900000000000002</v>
      </c>
      <c r="P21" s="84">
        <v>0.77200000000000002</v>
      </c>
      <c r="Q21" s="84">
        <v>0.77</v>
      </c>
      <c r="R21" s="84">
        <v>0.77</v>
      </c>
      <c r="S21" s="84">
        <v>0.76900000000000002</v>
      </c>
      <c r="T21" s="84"/>
      <c r="U21" s="84"/>
      <c r="V21" s="84">
        <v>0.79</v>
      </c>
      <c r="W21" s="84">
        <v>0.78500000000000003</v>
      </c>
    </row>
    <row r="22" spans="2:23" ht="15" customHeight="1" thickBot="1" x14ac:dyDescent="0.3">
      <c r="B22" s="208"/>
      <c r="C22" s="83" t="s">
        <v>338</v>
      </c>
      <c r="D22" s="195">
        <v>0.05</v>
      </c>
      <c r="E22" s="195">
        <v>0.05</v>
      </c>
      <c r="F22" s="195">
        <v>0.05</v>
      </c>
      <c r="G22" s="195"/>
      <c r="H22" s="195"/>
      <c r="I22" s="195"/>
      <c r="J22" s="195">
        <v>0.05</v>
      </c>
      <c r="K22" s="195">
        <v>0.05</v>
      </c>
      <c r="L22" s="195">
        <v>5.101E-2</v>
      </c>
      <c r="M22" s="195">
        <v>0.05</v>
      </c>
      <c r="N22" s="195">
        <v>5.101E-2</v>
      </c>
      <c r="O22" s="195">
        <v>5.101E-2</v>
      </c>
      <c r="P22" s="195">
        <v>0.05</v>
      </c>
      <c r="Q22" s="195">
        <v>0.05</v>
      </c>
      <c r="R22" s="195">
        <v>0.05</v>
      </c>
      <c r="S22" s="195">
        <v>0.05</v>
      </c>
      <c r="T22" s="195"/>
      <c r="U22" s="195"/>
      <c r="V22" s="195">
        <v>0.05</v>
      </c>
      <c r="W22" s="195">
        <v>0.05</v>
      </c>
    </row>
    <row r="23" spans="2:23" ht="15" customHeight="1" x14ac:dyDescent="0.25">
      <c r="B23" s="209" t="s">
        <v>959</v>
      </c>
      <c r="C23" s="85" t="s">
        <v>957</v>
      </c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2"/>
      <c r="W23" s="132"/>
    </row>
    <row r="24" spans="2:23" ht="15" customHeight="1" x14ac:dyDescent="0.25">
      <c r="B24" s="210"/>
      <c r="C24" s="87" t="s">
        <v>339</v>
      </c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</row>
    <row r="25" spans="2:23" ht="15" customHeight="1" thickBot="1" x14ac:dyDescent="0.3">
      <c r="B25" s="211"/>
      <c r="C25" s="87" t="s">
        <v>338</v>
      </c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</row>
    <row r="26" spans="2:23" ht="15" customHeight="1" x14ac:dyDescent="0.25">
      <c r="B26" s="200" t="s">
        <v>960</v>
      </c>
      <c r="C26" s="88" t="s">
        <v>957</v>
      </c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135">
        <v>0.27</v>
      </c>
      <c r="O26" s="135"/>
      <c r="P26" s="135">
        <v>0.25</v>
      </c>
      <c r="Q26" s="135">
        <v>0.27</v>
      </c>
      <c r="R26" s="135"/>
      <c r="S26" s="135"/>
      <c r="T26" s="135"/>
      <c r="U26" s="135"/>
      <c r="V26" s="135"/>
      <c r="W26" s="135"/>
    </row>
    <row r="27" spans="2:23" ht="15" customHeight="1" x14ac:dyDescent="0.25">
      <c r="B27" s="201"/>
      <c r="C27" s="90" t="s">
        <v>339</v>
      </c>
      <c r="D27" s="134"/>
      <c r="E27" s="134"/>
      <c r="F27" s="134"/>
      <c r="G27" s="134"/>
      <c r="H27" s="134"/>
      <c r="I27" s="134"/>
      <c r="J27" s="134"/>
      <c r="K27" s="134"/>
      <c r="L27" s="134"/>
      <c r="M27" s="134"/>
      <c r="N27" s="134">
        <v>0.68</v>
      </c>
      <c r="O27" s="134"/>
      <c r="P27" s="134">
        <v>0.7</v>
      </c>
      <c r="Q27" s="134">
        <v>0.68</v>
      </c>
      <c r="R27" s="134"/>
      <c r="S27" s="134"/>
      <c r="T27" s="134"/>
      <c r="U27" s="134"/>
      <c r="V27" s="134"/>
      <c r="W27" s="134"/>
    </row>
    <row r="28" spans="2:23" ht="15" customHeight="1" thickBot="1" x14ac:dyDescent="0.3">
      <c r="B28" s="212"/>
      <c r="C28" s="108" t="s">
        <v>338</v>
      </c>
      <c r="D28" s="136"/>
      <c r="E28" s="136"/>
      <c r="F28" s="136"/>
      <c r="G28" s="136"/>
      <c r="H28" s="136"/>
      <c r="I28" s="136"/>
      <c r="J28" s="136"/>
      <c r="K28" s="136"/>
      <c r="L28" s="136"/>
      <c r="M28" s="136"/>
      <c r="N28" s="136">
        <v>0.05</v>
      </c>
      <c r="O28" s="136"/>
      <c r="P28" s="136">
        <v>0.05</v>
      </c>
      <c r="Q28" s="136">
        <v>0.05</v>
      </c>
      <c r="R28" s="136"/>
      <c r="S28" s="136"/>
      <c r="T28" s="136"/>
      <c r="U28" s="136"/>
      <c r="V28" s="136"/>
      <c r="W28" s="136"/>
    </row>
    <row r="29" spans="2:23" ht="15" customHeight="1" x14ac:dyDescent="0.25">
      <c r="B29" s="230" t="s">
        <v>1541</v>
      </c>
      <c r="C29" s="171" t="s">
        <v>957</v>
      </c>
      <c r="D29" s="197">
        <v>0.28260999999999997</v>
      </c>
      <c r="E29" s="197">
        <v>0.27989000000000003</v>
      </c>
      <c r="F29" s="197"/>
      <c r="G29" s="197"/>
      <c r="H29" s="197"/>
      <c r="I29" s="197"/>
      <c r="J29" s="197">
        <v>0.26</v>
      </c>
      <c r="K29" s="197"/>
      <c r="L29" s="197">
        <v>0.28000000000000003</v>
      </c>
      <c r="M29" s="197"/>
      <c r="N29" s="197"/>
      <c r="O29" s="197">
        <v>0.27</v>
      </c>
      <c r="P29" s="197"/>
      <c r="Q29" s="197"/>
      <c r="R29" s="197"/>
      <c r="S29" s="197"/>
      <c r="T29" s="197"/>
      <c r="U29" s="197"/>
      <c r="V29" s="197"/>
      <c r="W29" s="197"/>
    </row>
    <row r="30" spans="2:23" ht="15" customHeight="1" x14ac:dyDescent="0.25">
      <c r="B30" s="231"/>
      <c r="C30" s="171" t="s">
        <v>339</v>
      </c>
      <c r="D30" s="189">
        <v>0.66739000000000004</v>
      </c>
      <c r="E30" s="189">
        <v>0.66983999999999999</v>
      </c>
      <c r="F30" s="189"/>
      <c r="G30" s="189"/>
      <c r="H30" s="189"/>
      <c r="I30" s="189"/>
      <c r="J30" s="189">
        <v>0.69</v>
      </c>
      <c r="K30" s="189"/>
      <c r="L30" s="189">
        <v>0.67</v>
      </c>
      <c r="M30" s="189"/>
      <c r="N30" s="189"/>
      <c r="O30" s="189">
        <v>0.67900000000000005</v>
      </c>
      <c r="P30" s="189"/>
      <c r="Q30" s="189"/>
      <c r="R30" s="189"/>
      <c r="S30" s="189"/>
      <c r="T30" s="189"/>
      <c r="U30" s="189"/>
      <c r="V30" s="189"/>
      <c r="W30" s="189"/>
    </row>
    <row r="31" spans="2:23" ht="15" customHeight="1" thickBot="1" x14ac:dyDescent="0.3">
      <c r="B31" s="232"/>
      <c r="C31" s="171" t="s">
        <v>338</v>
      </c>
      <c r="D31" s="198">
        <v>0.05</v>
      </c>
      <c r="E31" s="198">
        <v>5.0270000000000002E-2</v>
      </c>
      <c r="F31" s="198"/>
      <c r="G31" s="198"/>
      <c r="H31" s="198"/>
      <c r="I31" s="198"/>
      <c r="J31" s="198">
        <v>0.05</v>
      </c>
      <c r="K31" s="198"/>
      <c r="L31" s="198">
        <v>0.05</v>
      </c>
      <c r="M31" s="198"/>
      <c r="N31" s="198"/>
      <c r="O31" s="198">
        <v>5.0999999999999997E-2</v>
      </c>
      <c r="P31" s="198"/>
      <c r="Q31" s="198"/>
      <c r="R31" s="198"/>
      <c r="S31" s="198"/>
      <c r="T31" s="198"/>
      <c r="U31" s="198"/>
      <c r="V31" s="198"/>
      <c r="W31" s="198"/>
    </row>
    <row r="32" spans="2:23" ht="15" customHeight="1" x14ac:dyDescent="0.25">
      <c r="B32" s="229" t="s">
        <v>1086</v>
      </c>
      <c r="C32" s="172" t="s">
        <v>957</v>
      </c>
      <c r="D32" s="196"/>
      <c r="E32" s="196"/>
      <c r="F32" s="196"/>
      <c r="G32" s="196"/>
      <c r="H32" s="196"/>
      <c r="I32" s="196"/>
      <c r="J32" s="196"/>
      <c r="K32" s="196"/>
      <c r="L32" s="196"/>
      <c r="M32" s="196"/>
      <c r="N32" s="196"/>
      <c r="O32" s="196"/>
      <c r="P32" s="196"/>
      <c r="Q32" s="196"/>
      <c r="R32" s="196"/>
      <c r="S32" s="196"/>
      <c r="T32" s="196"/>
      <c r="U32" s="196"/>
      <c r="V32" s="196"/>
      <c r="W32" s="196"/>
    </row>
    <row r="33" spans="2:23" ht="15" customHeight="1" x14ac:dyDescent="0.25">
      <c r="B33" s="223"/>
      <c r="C33" s="173" t="s">
        <v>339</v>
      </c>
      <c r="D33" s="138"/>
      <c r="E33" s="138"/>
      <c r="F33" s="138"/>
      <c r="G33" s="138"/>
      <c r="H33" s="138"/>
      <c r="I33" s="138"/>
      <c r="J33" s="138">
        <v>0.95</v>
      </c>
      <c r="K33" s="138"/>
      <c r="L33" s="138"/>
      <c r="M33" s="138">
        <v>0.95</v>
      </c>
      <c r="N33" s="138"/>
      <c r="O33" s="138"/>
      <c r="P33" s="138"/>
      <c r="Q33" s="138"/>
      <c r="R33" s="138"/>
      <c r="S33" s="138"/>
      <c r="T33" s="138"/>
      <c r="U33" s="138"/>
      <c r="V33" s="138">
        <v>0.95</v>
      </c>
      <c r="W33" s="138"/>
    </row>
    <row r="34" spans="2:23" ht="15" customHeight="1" thickBot="1" x14ac:dyDescent="0.3">
      <c r="B34" s="224"/>
      <c r="C34" s="174" t="s">
        <v>338</v>
      </c>
      <c r="D34" s="156"/>
      <c r="E34" s="156"/>
      <c r="F34" s="156"/>
      <c r="G34" s="156"/>
      <c r="H34" s="156"/>
      <c r="I34" s="156"/>
      <c r="J34" s="156">
        <v>0.05</v>
      </c>
      <c r="K34" s="156"/>
      <c r="L34" s="156"/>
      <c r="M34" s="156">
        <v>0.05</v>
      </c>
      <c r="N34" s="156"/>
      <c r="O34" s="156"/>
      <c r="P34" s="156"/>
      <c r="Q34" s="156"/>
      <c r="R34" s="156"/>
      <c r="S34" s="156"/>
      <c r="T34" s="156"/>
      <c r="U34" s="156"/>
      <c r="V34" s="156">
        <v>0.05</v>
      </c>
      <c r="W34" s="156"/>
    </row>
    <row r="35" spans="2:23" ht="15" customHeight="1" x14ac:dyDescent="0.25">
      <c r="B35" s="175" t="s">
        <v>7</v>
      </c>
      <c r="C35" s="34"/>
      <c r="D35" s="160">
        <v>5289</v>
      </c>
      <c r="E35" s="160">
        <v>5311</v>
      </c>
      <c r="F35" s="160">
        <v>5385</v>
      </c>
      <c r="G35" s="160">
        <v>5399</v>
      </c>
      <c r="H35" s="160">
        <v>5375</v>
      </c>
      <c r="I35" s="160">
        <v>5288</v>
      </c>
      <c r="J35" s="160">
        <v>5359</v>
      </c>
      <c r="K35" s="160">
        <v>5180</v>
      </c>
      <c r="L35" s="160">
        <v>5326</v>
      </c>
      <c r="M35" s="160">
        <v>5150</v>
      </c>
      <c r="N35" s="160">
        <v>5363</v>
      </c>
      <c r="O35" s="160">
        <v>4700</v>
      </c>
      <c r="P35" s="160">
        <v>4800</v>
      </c>
      <c r="Q35" s="160">
        <v>4800</v>
      </c>
      <c r="R35" s="160">
        <v>4750</v>
      </c>
      <c r="S35" s="160">
        <v>4640</v>
      </c>
      <c r="T35" s="160">
        <v>5350</v>
      </c>
      <c r="U35" s="160">
        <v>5467</v>
      </c>
      <c r="V35" s="160">
        <v>5362</v>
      </c>
      <c r="W35" s="160">
        <v>5400</v>
      </c>
    </row>
    <row r="36" spans="2:23" ht="7.5" customHeight="1" thickBot="1" x14ac:dyDescent="0.3"/>
    <row r="37" spans="2:23" s="164" customFormat="1" ht="12.75" customHeight="1" thickBot="1" x14ac:dyDescent="0.3">
      <c r="B37" s="227" t="s">
        <v>1002</v>
      </c>
      <c r="C37" s="228"/>
      <c r="D37" s="163">
        <v>74.814814830833328</v>
      </c>
      <c r="E37" s="163">
        <v>73.844178090958906</v>
      </c>
      <c r="F37" s="163">
        <v>78</v>
      </c>
      <c r="G37" s="163">
        <v>79.000000000000071</v>
      </c>
      <c r="H37" s="163">
        <v>72.44</v>
      </c>
      <c r="I37" s="163">
        <v>76.459999999999994</v>
      </c>
      <c r="J37" s="163">
        <v>76.930525563734804</v>
      </c>
      <c r="K37" s="163">
        <v>77.000264077887792</v>
      </c>
      <c r="L37" s="163">
        <v>76.100000006179854</v>
      </c>
      <c r="M37" s="163">
        <v>77.3</v>
      </c>
      <c r="N37" s="163">
        <v>76.319999999999993</v>
      </c>
      <c r="O37" s="163">
        <v>74.819999999999993</v>
      </c>
      <c r="P37" s="163">
        <v>76.59</v>
      </c>
      <c r="Q37" s="163">
        <v>75.62</v>
      </c>
      <c r="R37" s="163">
        <v>76.999896393782379</v>
      </c>
      <c r="S37" s="163">
        <v>75.560657336760556</v>
      </c>
      <c r="T37" s="163">
        <v>71.97</v>
      </c>
      <c r="U37" s="163">
        <v>73.709999999999994</v>
      </c>
      <c r="V37" s="163">
        <v>76.92</v>
      </c>
      <c r="W37" s="163">
        <v>808</v>
      </c>
    </row>
    <row r="38" spans="2:23" ht="12.75" customHeight="1" x14ac:dyDescent="0.25">
      <c r="B38" s="114"/>
    </row>
    <row r="39" spans="2:23" ht="12.75" customHeight="1" x14ac:dyDescent="0.25">
      <c r="B39" s="114"/>
    </row>
    <row r="40" spans="2:23" ht="12.75" customHeight="1" x14ac:dyDescent="0.25">
      <c r="B40" s="114"/>
    </row>
    <row r="41" spans="2:23" ht="12.75" customHeight="1" x14ac:dyDescent="0.25">
      <c r="B41" s="114"/>
    </row>
    <row r="42" spans="2:23" ht="12.75" customHeight="1" x14ac:dyDescent="0.25">
      <c r="B42" s="114"/>
    </row>
    <row r="43" spans="2:23" ht="12.75" customHeight="1" x14ac:dyDescent="0.25">
      <c r="B43" s="114"/>
    </row>
    <row r="44" spans="2:23" ht="12.75" customHeight="1" x14ac:dyDescent="0.25">
      <c r="B44" s="114"/>
    </row>
    <row r="45" spans="2:23" ht="12.75" customHeight="1" x14ac:dyDescent="0.25">
      <c r="B45" s="114"/>
    </row>
    <row r="46" spans="2:23" ht="12.75" customHeight="1" x14ac:dyDescent="0.25">
      <c r="B46" s="114"/>
    </row>
    <row r="47" spans="2:23" ht="12.75" customHeight="1" x14ac:dyDescent="0.25">
      <c r="B47" s="114"/>
    </row>
    <row r="48" spans="2:23" ht="12.75" customHeight="1" x14ac:dyDescent="0.25">
      <c r="B48" s="114"/>
    </row>
    <row r="49" spans="2:2" ht="12.75" customHeight="1" x14ac:dyDescent="0.25">
      <c r="B49" s="114"/>
    </row>
    <row r="50" spans="2:2" ht="12.75" customHeight="1" x14ac:dyDescent="0.25">
      <c r="B50" s="114"/>
    </row>
    <row r="51" spans="2:2" x14ac:dyDescent="0.25">
      <c r="B51" s="114"/>
    </row>
    <row r="52" spans="2:2" x14ac:dyDescent="0.25">
      <c r="B52" s="114"/>
    </row>
    <row r="53" spans="2:2" x14ac:dyDescent="0.25">
      <c r="B53" s="114"/>
    </row>
    <row r="54" spans="2:2" x14ac:dyDescent="0.25">
      <c r="B54" s="114"/>
    </row>
    <row r="55" spans="2:2" x14ac:dyDescent="0.25">
      <c r="B55" s="114"/>
    </row>
    <row r="56" spans="2:2" x14ac:dyDescent="0.25">
      <c r="B56" s="114"/>
    </row>
    <row r="57" spans="2:2" x14ac:dyDescent="0.25">
      <c r="B57" s="114"/>
    </row>
    <row r="58" spans="2:2" x14ac:dyDescent="0.25">
      <c r="B58" s="114"/>
    </row>
  </sheetData>
  <mergeCells count="11">
    <mergeCell ref="B23:B25"/>
    <mergeCell ref="B26:B28"/>
    <mergeCell ref="B29:B31"/>
    <mergeCell ref="B32:B34"/>
    <mergeCell ref="B37:C37"/>
    <mergeCell ref="B20:B22"/>
    <mergeCell ref="B3:B5"/>
    <mergeCell ref="B6:B8"/>
    <mergeCell ref="B9:B11"/>
    <mergeCell ref="B12:B14"/>
    <mergeCell ref="B15:B1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54</vt:i4>
      </vt:variant>
    </vt:vector>
  </HeadingPairs>
  <TitlesOfParts>
    <vt:vector size="54" baseType="lpstr">
      <vt:lpstr>ODOO VS ERP</vt:lpstr>
      <vt:lpstr>Feb 22</vt:lpstr>
      <vt:lpstr>March 22</vt:lpstr>
      <vt:lpstr>April 22</vt:lpstr>
      <vt:lpstr>May 2022</vt:lpstr>
      <vt:lpstr>JUNE 2022</vt:lpstr>
      <vt:lpstr>JULY 2022</vt:lpstr>
      <vt:lpstr>AUGUST 2022</vt:lpstr>
      <vt:lpstr>SEPTEMBER 2022</vt:lpstr>
      <vt:lpstr>OCT 2022</vt:lpstr>
      <vt:lpstr>NOV 2022</vt:lpstr>
      <vt:lpstr>DEC 2022</vt:lpstr>
      <vt:lpstr>JAN 2023</vt:lpstr>
      <vt:lpstr>FEB 2023</vt:lpstr>
      <vt:lpstr>MARCH 2023</vt:lpstr>
      <vt:lpstr>APRIL  2023</vt:lpstr>
      <vt:lpstr>MAY 2023</vt:lpstr>
      <vt:lpstr>JUNE 2023</vt:lpstr>
      <vt:lpstr>JULY 2023</vt:lpstr>
      <vt:lpstr>AUGUST 2023</vt:lpstr>
      <vt:lpstr>SEPTEMBER 2023</vt:lpstr>
      <vt:lpstr>OCT 2023</vt:lpstr>
      <vt:lpstr>NOV 2023</vt:lpstr>
      <vt:lpstr>DEC 2023</vt:lpstr>
      <vt:lpstr>JAN 2024</vt:lpstr>
      <vt:lpstr>FEB 2024</vt:lpstr>
      <vt:lpstr>MARCH 2024 </vt:lpstr>
      <vt:lpstr>APRIL 2024  </vt:lpstr>
      <vt:lpstr>MAY 2024</vt:lpstr>
      <vt:lpstr>JUNE</vt:lpstr>
      <vt:lpstr>JULY</vt:lpstr>
      <vt:lpstr>AUG</vt:lpstr>
      <vt:lpstr>AUG (NEW)</vt:lpstr>
      <vt:lpstr>SEPT</vt:lpstr>
      <vt:lpstr>OCT 2024</vt:lpstr>
      <vt:lpstr>NOV 2024</vt:lpstr>
      <vt:lpstr>DEC 2024</vt:lpstr>
      <vt:lpstr>JAN 2025</vt:lpstr>
      <vt:lpstr>FEB 2025</vt:lpstr>
      <vt:lpstr>MARCH 2025</vt:lpstr>
      <vt:lpstr>APRIL 2025</vt:lpstr>
      <vt:lpstr>MAY 2025</vt:lpstr>
      <vt:lpstr>JUNE 2025</vt:lpstr>
      <vt:lpstr>JULY 2025</vt:lpstr>
      <vt:lpstr>August 2025 </vt:lpstr>
      <vt:lpstr>SEPT 2025 </vt:lpstr>
      <vt:lpstr>OCT 2025</vt:lpstr>
      <vt:lpstr>NOV 2025</vt:lpstr>
      <vt:lpstr>DEC 2025</vt:lpstr>
      <vt:lpstr>JAN 2026</vt:lpstr>
      <vt:lpstr>Feb 2026</vt:lpstr>
      <vt:lpstr>March 2026</vt:lpstr>
      <vt:lpstr>APRIL 2026</vt:lpstr>
      <vt:lpstr>MAY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BKaiza</dc:creator>
  <cp:lastModifiedBy>LCL PRODUCTION</cp:lastModifiedBy>
  <cp:lastPrinted>2022-12-24T06:33:28Z</cp:lastPrinted>
  <dcterms:created xsi:type="dcterms:W3CDTF">2015-06-05T18:17:20Z</dcterms:created>
  <dcterms:modified xsi:type="dcterms:W3CDTF">2026-05-21T14:03:19Z</dcterms:modified>
</cp:coreProperties>
</file>