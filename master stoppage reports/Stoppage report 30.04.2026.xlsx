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CL PRODUCTION\OneDrive - LAKE CEMENT LIMITED\APRIL 2026\"/>
    </mc:Choice>
  </mc:AlternateContent>
  <xr:revisionPtr revIDLastSave="2099" documentId="6_{BD537415-6B06-41B8-B57E-304D7F68C858}" xr6:coauthVersionLast="36" xr6:coauthVersionMax="36" xr10:uidLastSave="{340E188A-B351-4FDA-B346-9FB016DCD17C}"/>
  <bookViews>
    <workbookView xWindow="-120" yWindow="-120" windowWidth="15480" windowHeight="7770" tabRatio="486" firstSheet="3" activeTab="7" xr2:uid="{00000000-000D-0000-FFFF-FFFF00000000}"/>
  </bookViews>
  <sheets>
    <sheet name="Crusher" sheetId="10" r:id="rId1"/>
    <sheet name="Raw Mill" sheetId="4" r:id="rId2"/>
    <sheet name="Coal Mill" sheetId="5" r:id="rId3"/>
    <sheet name="Cement Mill -1" sheetId="7" r:id="rId4"/>
    <sheet name="Cement Mill -2" sheetId="11" r:id="rId5"/>
    <sheet name="Kiln" sheetId="6" r:id="rId6"/>
    <sheet name="Packing plant" sheetId="9" r:id="rId7"/>
    <sheet name="Summary " sheetId="8" r:id="rId8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55" i="9" l="1"/>
  <c r="AG63" i="9"/>
  <c r="C53" i="9"/>
  <c r="C48" i="9"/>
  <c r="AG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C25" i="9"/>
  <c r="AG6" i="9"/>
  <c r="D28" i="4"/>
  <c r="E28" i="4"/>
  <c r="AG28" i="4" s="1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C28" i="4"/>
  <c r="AG72" i="4"/>
  <c r="AG69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54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30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6" i="4"/>
  <c r="AG6" i="11" l="1"/>
  <c r="AG80" i="11"/>
  <c r="AG83" i="11"/>
  <c r="AG22" i="10" l="1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6" i="10"/>
  <c r="AG35" i="10"/>
  <c r="AG25" i="10"/>
  <c r="AG26" i="10"/>
  <c r="AG27" i="10"/>
  <c r="AG28" i="10"/>
  <c r="AG29" i="10"/>
  <c r="AG30" i="10"/>
  <c r="AG31" i="10"/>
  <c r="AG32" i="10"/>
  <c r="AG33" i="10"/>
  <c r="AG34" i="10"/>
  <c r="AG24" i="10"/>
  <c r="AG44" i="10"/>
  <c r="AG38" i="10"/>
  <c r="AG39" i="10"/>
  <c r="AG40" i="10"/>
  <c r="AG41" i="10"/>
  <c r="AG42" i="10"/>
  <c r="AG43" i="10"/>
  <c r="AG37" i="10"/>
  <c r="AG46" i="10"/>
  <c r="AF52" i="10"/>
  <c r="AF48" i="10"/>
  <c r="AF44" i="10"/>
  <c r="AF35" i="10"/>
  <c r="AF22" i="10"/>
  <c r="AE52" i="10" l="1"/>
  <c r="AE48" i="10"/>
  <c r="AE44" i="10"/>
  <c r="AE35" i="10"/>
  <c r="AE22" i="10"/>
  <c r="AD52" i="10" l="1"/>
  <c r="AD48" i="10"/>
  <c r="AD44" i="10"/>
  <c r="AD35" i="10"/>
  <c r="AD22" i="10"/>
  <c r="AC52" i="10" l="1"/>
  <c r="AC48" i="10"/>
  <c r="AC44" i="10"/>
  <c r="AC35" i="10"/>
  <c r="AC22" i="10"/>
  <c r="AB52" i="10" l="1"/>
  <c r="AA52" i="10"/>
  <c r="Z52" i="10"/>
  <c r="AB48" i="10"/>
  <c r="AA48" i="10"/>
  <c r="Z48" i="10"/>
  <c r="AB44" i="10"/>
  <c r="AA44" i="10"/>
  <c r="Z44" i="10"/>
  <c r="AB35" i="10"/>
  <c r="AA35" i="10"/>
  <c r="Z35" i="10"/>
  <c r="AB22" i="10"/>
  <c r="AA22" i="10"/>
  <c r="Z22" i="10"/>
  <c r="Y52" i="10" l="1"/>
  <c r="Y48" i="10"/>
  <c r="Y44" i="10"/>
  <c r="Y35" i="10"/>
  <c r="Y22" i="10"/>
  <c r="X52" i="10" l="1"/>
  <c r="X48" i="10"/>
  <c r="X44" i="10"/>
  <c r="X35" i="10"/>
  <c r="X22" i="10"/>
  <c r="W52" i="10" l="1"/>
  <c r="W48" i="10"/>
  <c r="W44" i="10"/>
  <c r="W35" i="10"/>
  <c r="W22" i="10"/>
  <c r="V52" i="10" l="1"/>
  <c r="V48" i="10"/>
  <c r="V44" i="10"/>
  <c r="V35" i="10"/>
  <c r="V22" i="10"/>
  <c r="U52" i="10" l="1"/>
  <c r="T52" i="10"/>
  <c r="S52" i="10"/>
  <c r="U48" i="10"/>
  <c r="T48" i="10"/>
  <c r="S48" i="10"/>
  <c r="U44" i="10"/>
  <c r="T44" i="10"/>
  <c r="S44" i="10"/>
  <c r="U35" i="10"/>
  <c r="T35" i="10"/>
  <c r="S35" i="10"/>
  <c r="U22" i="10"/>
  <c r="T22" i="10"/>
  <c r="S22" i="10"/>
  <c r="R52" i="10" l="1"/>
  <c r="R48" i="10"/>
  <c r="R44" i="10"/>
  <c r="R35" i="10"/>
  <c r="R22" i="10"/>
  <c r="Q52" i="10" l="1"/>
  <c r="Q48" i="10"/>
  <c r="Q44" i="10"/>
  <c r="Q35" i="10"/>
  <c r="Q22" i="10"/>
  <c r="P52" i="10" l="1"/>
  <c r="P48" i="10"/>
  <c r="P44" i="10"/>
  <c r="P35" i="10"/>
  <c r="P22" i="10"/>
  <c r="O52" i="10" l="1"/>
  <c r="O48" i="10"/>
  <c r="O44" i="10"/>
  <c r="O35" i="10"/>
  <c r="O22" i="10"/>
  <c r="N52" i="10" l="1"/>
  <c r="M52" i="10"/>
  <c r="L52" i="10"/>
  <c r="N48" i="10"/>
  <c r="M48" i="10"/>
  <c r="L48" i="10"/>
  <c r="N44" i="10"/>
  <c r="M44" i="10"/>
  <c r="L44" i="10"/>
  <c r="N35" i="10"/>
  <c r="M35" i="10"/>
  <c r="L35" i="10"/>
  <c r="N22" i="10"/>
  <c r="M22" i="10"/>
  <c r="L22" i="10"/>
  <c r="K52" i="10" l="1"/>
  <c r="K48" i="10"/>
  <c r="K44" i="10"/>
  <c r="K35" i="10"/>
  <c r="K22" i="10"/>
  <c r="J52" i="10" l="1"/>
  <c r="J48" i="10"/>
  <c r="J44" i="10"/>
  <c r="J35" i="10"/>
  <c r="J22" i="10"/>
  <c r="D48" i="10" l="1"/>
  <c r="E48" i="10"/>
  <c r="F48" i="10"/>
  <c r="G48" i="10"/>
  <c r="H48" i="10"/>
  <c r="I52" i="10"/>
  <c r="H52" i="10"/>
  <c r="G52" i="10"/>
  <c r="F52" i="10"/>
  <c r="E52" i="10"/>
  <c r="D52" i="10"/>
  <c r="C52" i="10"/>
  <c r="I48" i="10"/>
  <c r="C48" i="10"/>
  <c r="I44" i="10"/>
  <c r="H44" i="10"/>
  <c r="G44" i="10"/>
  <c r="F44" i="10"/>
  <c r="E44" i="10"/>
  <c r="D44" i="10"/>
  <c r="C44" i="10"/>
  <c r="I35" i="10"/>
  <c r="H35" i="10"/>
  <c r="G35" i="10"/>
  <c r="F35" i="10"/>
  <c r="E35" i="10"/>
  <c r="D35" i="10"/>
  <c r="C35" i="10"/>
  <c r="I22" i="10"/>
  <c r="H22" i="10"/>
  <c r="G22" i="10"/>
  <c r="F22" i="10"/>
  <c r="E22" i="10"/>
  <c r="D22" i="10"/>
  <c r="C22" i="10"/>
  <c r="AG62" i="9" l="1"/>
  <c r="AG61" i="9"/>
  <c r="AG59" i="9"/>
  <c r="AG44" i="9"/>
  <c r="AG21" i="9"/>
  <c r="AG6" i="7" l="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33" i="11"/>
  <c r="AG34" i="11"/>
  <c r="AG35" i="11"/>
  <c r="AG79" i="6"/>
  <c r="AG56" i="5"/>
  <c r="AG70" i="4"/>
  <c r="AG51" i="10"/>
  <c r="AG50" i="10"/>
  <c r="AG47" i="10"/>
  <c r="AG8" i="9" l="1"/>
  <c r="AG7" i="9"/>
  <c r="AG58" i="9"/>
  <c r="AG59" i="5"/>
  <c r="AG73" i="4"/>
  <c r="AG74" i="4"/>
  <c r="AF75" i="4" l="1"/>
  <c r="AF67" i="4"/>
  <c r="AF52" i="4"/>
  <c r="AG30" i="6" l="1"/>
  <c r="AG52" i="10" l="1"/>
  <c r="AG48" i="10" l="1"/>
  <c r="E67" i="4"/>
  <c r="E52" i="4"/>
  <c r="R67" i="4" l="1"/>
  <c r="AG81" i="11" l="1"/>
  <c r="AG77" i="11"/>
  <c r="AG64" i="11"/>
  <c r="AB32" i="6" l="1"/>
  <c r="AB61" i="6"/>
  <c r="AB77" i="6"/>
  <c r="AB87" i="6"/>
  <c r="AG24" i="9" l="1"/>
  <c r="Y78" i="11" l="1"/>
  <c r="N36" i="11"/>
  <c r="AG78" i="7"/>
  <c r="AG77" i="7"/>
  <c r="AG33" i="7" l="1"/>
  <c r="AD78" i="11" l="1"/>
  <c r="M60" i="7" l="1"/>
  <c r="AG42" i="5" l="1"/>
  <c r="AG39" i="5" l="1"/>
  <c r="AG40" i="5"/>
  <c r="AG41" i="5"/>
  <c r="AG43" i="5"/>
  <c r="C23" i="5" l="1"/>
  <c r="AG20" i="5"/>
  <c r="AG21" i="5"/>
  <c r="AG22" i="5"/>
  <c r="AG29" i="6" l="1"/>
  <c r="AB34" i="7" l="1"/>
  <c r="AC34" i="7"/>
  <c r="AD34" i="7"/>
  <c r="AB60" i="7"/>
  <c r="AC60" i="7"/>
  <c r="AD60" i="7"/>
  <c r="AB75" i="7"/>
  <c r="AC75" i="7"/>
  <c r="AD75" i="7"/>
  <c r="AB83" i="7"/>
  <c r="AC83" i="7"/>
  <c r="AD83" i="7"/>
  <c r="AG28" i="6" l="1"/>
  <c r="AG60" i="6" l="1"/>
  <c r="D44" i="5" l="1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C44" i="5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C61" i="6"/>
  <c r="AD61" i="6"/>
  <c r="AE61" i="6"/>
  <c r="AF61" i="6"/>
  <c r="C61" i="6"/>
  <c r="AG59" i="6"/>
  <c r="AG84" i="6"/>
  <c r="AG82" i="6"/>
  <c r="AG27" i="6" l="1"/>
  <c r="AG38" i="5" l="1"/>
  <c r="C78" i="11" l="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Z78" i="11"/>
  <c r="AG51" i="9" l="1"/>
  <c r="AG52" i="9"/>
  <c r="AG50" i="9"/>
  <c r="AG83" i="6" l="1"/>
  <c r="AG85" i="6"/>
  <c r="AG86" i="6"/>
  <c r="AG80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63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34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31" i="6"/>
  <c r="AG6" i="6"/>
  <c r="AG84" i="11"/>
  <c r="AG85" i="11"/>
  <c r="AG65" i="11"/>
  <c r="AG66" i="11"/>
  <c r="AG67" i="11"/>
  <c r="AG68" i="11"/>
  <c r="AG69" i="11"/>
  <c r="AG70" i="11"/>
  <c r="AG71" i="11"/>
  <c r="AG72" i="11"/>
  <c r="AG73" i="11"/>
  <c r="AG74" i="11"/>
  <c r="AG75" i="11"/>
  <c r="AG76" i="11"/>
  <c r="AG39" i="11"/>
  <c r="AG40" i="11"/>
  <c r="AG41" i="11"/>
  <c r="AG42" i="11"/>
  <c r="AG43" i="11"/>
  <c r="AG44" i="11"/>
  <c r="AG45" i="11"/>
  <c r="AG46" i="11"/>
  <c r="AG47" i="11"/>
  <c r="AG48" i="11"/>
  <c r="AG49" i="11"/>
  <c r="AG50" i="11"/>
  <c r="AG51" i="11"/>
  <c r="AG52" i="11"/>
  <c r="AG53" i="11"/>
  <c r="AG54" i="11"/>
  <c r="AG55" i="11"/>
  <c r="AG56" i="11"/>
  <c r="AG57" i="11"/>
  <c r="AG58" i="11"/>
  <c r="AG59" i="11"/>
  <c r="AG60" i="11"/>
  <c r="AG61" i="11"/>
  <c r="AG38" i="11"/>
  <c r="AG81" i="7"/>
  <c r="AG82" i="7"/>
  <c r="AG80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62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3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6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25" i="5"/>
  <c r="AG47" i="5"/>
  <c r="AG48" i="5"/>
  <c r="AG49" i="5"/>
  <c r="AG50" i="5"/>
  <c r="AG51" i="5"/>
  <c r="AG52" i="5"/>
  <c r="AG53" i="5"/>
  <c r="AG46" i="5"/>
  <c r="AG57" i="5"/>
  <c r="AG60" i="5"/>
  <c r="AG61" i="5"/>
  <c r="AG62" i="5"/>
  <c r="AE75" i="4"/>
  <c r="AE67" i="4"/>
  <c r="AE52" i="4"/>
  <c r="AG34" i="7" l="1"/>
  <c r="AG44" i="5"/>
  <c r="AG61" i="6"/>
  <c r="AG60" i="9" l="1"/>
  <c r="AG56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5" i="9"/>
  <c r="AG46" i="9"/>
  <c r="AG47" i="9"/>
  <c r="AG27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2" i="9"/>
  <c r="AG23" i="9"/>
  <c r="AG48" i="9" l="1"/>
  <c r="AA78" i="11" l="1"/>
  <c r="AB78" i="11"/>
  <c r="AC78" i="11"/>
  <c r="AE78" i="11"/>
  <c r="AF78" i="11"/>
  <c r="D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C52" i="4"/>
  <c r="D67" i="4"/>
  <c r="F67" i="4"/>
  <c r="G67" i="4"/>
  <c r="H67" i="4"/>
  <c r="I67" i="4"/>
  <c r="J67" i="4"/>
  <c r="K67" i="4"/>
  <c r="L67" i="4"/>
  <c r="M67" i="4"/>
  <c r="N67" i="4"/>
  <c r="O67" i="4"/>
  <c r="P67" i="4"/>
  <c r="Q67" i="4"/>
  <c r="S67" i="4"/>
  <c r="T67" i="4"/>
  <c r="U67" i="4"/>
  <c r="V67" i="4"/>
  <c r="W67" i="4"/>
  <c r="X67" i="4"/>
  <c r="Y67" i="4"/>
  <c r="Z67" i="4"/>
  <c r="AA67" i="4"/>
  <c r="AB67" i="4"/>
  <c r="AC67" i="4"/>
  <c r="AD67" i="4"/>
  <c r="C67" i="4"/>
  <c r="AG78" i="11" l="1"/>
  <c r="C36" i="11"/>
  <c r="D34" i="7" l="1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E34" i="7"/>
  <c r="AF34" i="7"/>
  <c r="C34" i="7"/>
  <c r="K75" i="4" l="1"/>
  <c r="L75" i="4"/>
  <c r="M75" i="4"/>
  <c r="P87" i="6" l="1"/>
  <c r="AF63" i="9" l="1"/>
  <c r="AF53" i="9"/>
  <c r="AF48" i="9"/>
  <c r="AE63" i="9"/>
  <c r="AE53" i="9"/>
  <c r="AE48" i="9"/>
  <c r="AF87" i="6"/>
  <c r="AF77" i="6"/>
  <c r="AF32" i="6"/>
  <c r="AE87" i="6"/>
  <c r="AE77" i="6"/>
  <c r="AE32" i="6"/>
  <c r="AF86" i="11"/>
  <c r="AF62" i="11"/>
  <c r="AF36" i="11"/>
  <c r="AE86" i="11"/>
  <c r="AE62" i="11"/>
  <c r="AE36" i="11"/>
  <c r="AF83" i="7"/>
  <c r="AF75" i="7"/>
  <c r="AF60" i="7"/>
  <c r="AE83" i="7"/>
  <c r="AE75" i="7"/>
  <c r="AE60" i="7"/>
  <c r="AF63" i="5"/>
  <c r="AF54" i="5"/>
  <c r="AF23" i="5"/>
  <c r="AE63" i="5"/>
  <c r="AE54" i="5"/>
  <c r="AE23" i="5"/>
  <c r="G10" i="8" l="1"/>
  <c r="F10" i="8"/>
  <c r="AC36" i="11" l="1"/>
  <c r="AC62" i="11"/>
  <c r="AC86" i="11"/>
  <c r="D75" i="4" l="1"/>
  <c r="O36" i="11" l="1"/>
  <c r="D36" i="11"/>
  <c r="E36" i="11"/>
  <c r="F36" i="11"/>
  <c r="G36" i="11"/>
  <c r="H36" i="11"/>
  <c r="I36" i="11"/>
  <c r="J36" i="11"/>
  <c r="K36" i="11"/>
  <c r="L36" i="11"/>
  <c r="M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D36" i="11"/>
  <c r="AG36" i="11" l="1"/>
  <c r="C10" i="8" s="1"/>
  <c r="AD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AD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AG86" i="11" l="1"/>
  <c r="AG62" i="11"/>
  <c r="D10" i="8" s="1"/>
  <c r="H10" i="8"/>
  <c r="E10" i="8"/>
  <c r="H32" i="6"/>
  <c r="I10" i="8" l="1"/>
  <c r="F63" i="9"/>
  <c r="M63" i="9"/>
  <c r="U48" i="9" l="1"/>
  <c r="U53" i="9"/>
  <c r="U63" i="9"/>
  <c r="R75" i="4" l="1"/>
  <c r="S75" i="4"/>
  <c r="AB48" i="9" l="1"/>
  <c r="AB53" i="9"/>
  <c r="AB63" i="9"/>
  <c r="X75" i="4" l="1"/>
  <c r="T63" i="9" l="1"/>
  <c r="T53" i="9"/>
  <c r="T48" i="9"/>
  <c r="V48" i="9"/>
  <c r="V53" i="9"/>
  <c r="V63" i="9"/>
  <c r="E75" i="4" l="1"/>
  <c r="F75" i="4"/>
  <c r="C87" i="6" l="1"/>
  <c r="C77" i="6"/>
  <c r="C32" i="6"/>
  <c r="C63" i="9" l="1"/>
  <c r="D48" i="9" l="1"/>
  <c r="D53" i="9"/>
  <c r="D63" i="9"/>
  <c r="O63" i="9" l="1"/>
  <c r="O53" i="9"/>
  <c r="O48" i="9"/>
  <c r="J83" i="7" l="1"/>
  <c r="K83" i="7"/>
  <c r="P63" i="9" l="1"/>
  <c r="P53" i="9"/>
  <c r="P48" i="9"/>
  <c r="E63" i="9" l="1"/>
  <c r="G63" i="9"/>
  <c r="H63" i="9"/>
  <c r="I63" i="9"/>
  <c r="J63" i="9"/>
  <c r="K63" i="9"/>
  <c r="L63" i="9"/>
  <c r="N63" i="9"/>
  <c r="Q63" i="9"/>
  <c r="R63" i="9"/>
  <c r="S63" i="9"/>
  <c r="W63" i="9"/>
  <c r="X63" i="9"/>
  <c r="Y63" i="9"/>
  <c r="Z63" i="9"/>
  <c r="AA63" i="9"/>
  <c r="AC63" i="9"/>
  <c r="AD63" i="9"/>
  <c r="AC48" i="9" l="1"/>
  <c r="AC53" i="9"/>
  <c r="E53" i="9" l="1"/>
  <c r="F53" i="9"/>
  <c r="G53" i="9"/>
  <c r="H53" i="9"/>
  <c r="I53" i="9"/>
  <c r="J53" i="9"/>
  <c r="K53" i="9"/>
  <c r="L53" i="9"/>
  <c r="M53" i="9"/>
  <c r="N53" i="9"/>
  <c r="Q53" i="9"/>
  <c r="R53" i="9"/>
  <c r="S53" i="9"/>
  <c r="W53" i="9"/>
  <c r="X53" i="9"/>
  <c r="Y53" i="9"/>
  <c r="Z53" i="9"/>
  <c r="AA53" i="9"/>
  <c r="AD53" i="9"/>
  <c r="S48" i="9"/>
  <c r="AG53" i="9" l="1"/>
  <c r="G5" i="8"/>
  <c r="F5" i="8"/>
  <c r="H5" i="8" l="1"/>
  <c r="E5" i="8"/>
  <c r="D5" i="8"/>
  <c r="C5" i="8"/>
  <c r="G11" i="8"/>
  <c r="F11" i="8"/>
  <c r="AD48" i="9"/>
  <c r="AA48" i="9"/>
  <c r="Z48" i="9"/>
  <c r="Y48" i="9"/>
  <c r="X48" i="9"/>
  <c r="W48" i="9"/>
  <c r="R48" i="9"/>
  <c r="Q48" i="9"/>
  <c r="N48" i="9"/>
  <c r="M48" i="9"/>
  <c r="L48" i="9"/>
  <c r="K48" i="9"/>
  <c r="J48" i="9"/>
  <c r="I48" i="9"/>
  <c r="H48" i="9"/>
  <c r="G48" i="9"/>
  <c r="F48" i="9"/>
  <c r="E48" i="9"/>
  <c r="I5" i="8" l="1"/>
  <c r="H11" i="8"/>
  <c r="E11" i="8"/>
  <c r="C11" i="8"/>
  <c r="D11" i="8"/>
  <c r="I11" i="8" l="1"/>
  <c r="D77" i="6" l="1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C77" i="6"/>
  <c r="AD77" i="6"/>
  <c r="P32" i="6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C75" i="7"/>
  <c r="D60" i="7"/>
  <c r="E60" i="7"/>
  <c r="F60" i="7"/>
  <c r="G60" i="7"/>
  <c r="H60" i="7"/>
  <c r="I60" i="7"/>
  <c r="J60" i="7"/>
  <c r="K60" i="7"/>
  <c r="L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C60" i="7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C54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G60" i="7" l="1"/>
  <c r="D9" i="8" s="1"/>
  <c r="AG23" i="5"/>
  <c r="C7" i="8" s="1"/>
  <c r="AG77" i="6"/>
  <c r="AG75" i="7"/>
  <c r="AG54" i="5"/>
  <c r="C9" i="8"/>
  <c r="C6" i="8"/>
  <c r="AD87" i="6"/>
  <c r="AC87" i="6"/>
  <c r="AD32" i="6"/>
  <c r="AC32" i="6"/>
  <c r="AD63" i="5"/>
  <c r="AC63" i="5"/>
  <c r="AB63" i="5"/>
  <c r="AD75" i="4"/>
  <c r="AC75" i="4"/>
  <c r="AB75" i="4"/>
  <c r="D83" i="7" l="1"/>
  <c r="E83" i="7"/>
  <c r="F83" i="7"/>
  <c r="G83" i="7"/>
  <c r="H83" i="7"/>
  <c r="I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C83" i="7"/>
  <c r="D87" i="6"/>
  <c r="E87" i="6"/>
  <c r="F87" i="6"/>
  <c r="G87" i="6"/>
  <c r="H87" i="6"/>
  <c r="I87" i="6"/>
  <c r="J87" i="6"/>
  <c r="K87" i="6"/>
  <c r="L87" i="6"/>
  <c r="M87" i="6"/>
  <c r="N87" i="6"/>
  <c r="O87" i="6"/>
  <c r="Q87" i="6"/>
  <c r="R87" i="6"/>
  <c r="S87" i="6"/>
  <c r="T87" i="6"/>
  <c r="U87" i="6"/>
  <c r="V87" i="6"/>
  <c r="W87" i="6"/>
  <c r="X87" i="6"/>
  <c r="Y87" i="6"/>
  <c r="Z87" i="6"/>
  <c r="AA87" i="6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C63" i="5"/>
  <c r="G75" i="4"/>
  <c r="H75" i="4"/>
  <c r="I75" i="4"/>
  <c r="J75" i="4"/>
  <c r="N75" i="4"/>
  <c r="O75" i="4"/>
  <c r="P75" i="4"/>
  <c r="Q75" i="4"/>
  <c r="T75" i="4"/>
  <c r="U75" i="4"/>
  <c r="V75" i="4"/>
  <c r="W75" i="4"/>
  <c r="Y75" i="4"/>
  <c r="Z75" i="4"/>
  <c r="AA75" i="4"/>
  <c r="C75" i="4"/>
  <c r="AG75" i="4" l="1"/>
  <c r="AG83" i="7"/>
  <c r="AG87" i="6"/>
  <c r="AG63" i="5"/>
  <c r="G9" i="8"/>
  <c r="G8" i="8"/>
  <c r="F8" i="8"/>
  <c r="G7" i="8"/>
  <c r="F7" i="8"/>
  <c r="G6" i="8"/>
  <c r="G12" i="8" l="1"/>
  <c r="H6" i="8"/>
  <c r="H7" i="8"/>
  <c r="H9" i="8"/>
  <c r="H8" i="8"/>
  <c r="F9" i="8"/>
  <c r="F6" i="8"/>
  <c r="AA32" i="6"/>
  <c r="Z32" i="6"/>
  <c r="Y32" i="6"/>
  <c r="X32" i="6"/>
  <c r="W32" i="6"/>
  <c r="V32" i="6"/>
  <c r="U32" i="6"/>
  <c r="T32" i="6"/>
  <c r="S32" i="6"/>
  <c r="R32" i="6"/>
  <c r="Q32" i="6"/>
  <c r="O32" i="6"/>
  <c r="N32" i="6"/>
  <c r="M32" i="6"/>
  <c r="L32" i="6"/>
  <c r="K32" i="6"/>
  <c r="J32" i="6"/>
  <c r="I32" i="6"/>
  <c r="G32" i="6"/>
  <c r="F32" i="6"/>
  <c r="E32" i="6"/>
  <c r="D32" i="6"/>
  <c r="AG32" i="6" l="1"/>
  <c r="C8" i="8" s="1"/>
  <c r="F12" i="8"/>
  <c r="H12" i="8"/>
  <c r="E8" i="8" l="1"/>
  <c r="D8" i="8"/>
  <c r="D6" i="8"/>
  <c r="I8" i="8" l="1"/>
  <c r="E9" i="8"/>
  <c r="I9" i="8" s="1"/>
  <c r="E7" i="8"/>
  <c r="D7" i="8"/>
  <c r="D12" i="8" s="1"/>
  <c r="E6" i="8" l="1"/>
  <c r="E12" i="8" l="1"/>
  <c r="I6" i="8"/>
  <c r="C12" i="8"/>
  <c r="I7" i="8" l="1"/>
  <c r="I12" i="8" s="1"/>
</calcChain>
</file>

<file path=xl/sharedStrings.xml><?xml version="1.0" encoding="utf-8"?>
<sst xmlns="http://schemas.openxmlformats.org/spreadsheetml/2006/main" count="557" uniqueCount="365">
  <si>
    <t>LAKE CEMENT LIMITED</t>
  </si>
  <si>
    <t xml:space="preserve">                                                STOPPAGE REPORT</t>
  </si>
  <si>
    <t>Crusher Section</t>
  </si>
  <si>
    <t xml:space="preserve">Total </t>
  </si>
  <si>
    <t>Mechanical</t>
  </si>
  <si>
    <t>Apron feeder Gear Box Inspection</t>
  </si>
  <si>
    <t>Spillage conveyor belt sway/ damage</t>
  </si>
  <si>
    <t>Crusher V Belt damaged</t>
  </si>
  <si>
    <t>Crusher bearing damaged</t>
  </si>
  <si>
    <t>Leakage arresting from transfer chute</t>
  </si>
  <si>
    <t>Crusher/ Belt conveyor  chute Jam</t>
  </si>
  <si>
    <t>Crusher gap adjustment</t>
  </si>
  <si>
    <t>Pulley Drum inspection</t>
  </si>
  <si>
    <t>Belt conveyor pully jam</t>
  </si>
  <si>
    <t>Belt Conveyor skirt damaged</t>
  </si>
  <si>
    <t>Belt Conveyor Sway</t>
  </si>
  <si>
    <t>Belt conveyor joint/patch repairing work</t>
  </si>
  <si>
    <t>Carrying Idler Stuck</t>
  </si>
  <si>
    <t>Stacker Guide Roller damaged</t>
  </si>
  <si>
    <t>Stacker boom damaged</t>
  </si>
  <si>
    <t>Others</t>
  </si>
  <si>
    <t>Electrical &amp; Instrumentation</t>
  </si>
  <si>
    <t>Weigh bridge/ RFID system fault</t>
  </si>
  <si>
    <t>Crusher System server failure</t>
  </si>
  <si>
    <t>Apron Feeder ZSS fault</t>
  </si>
  <si>
    <t>Diverting gate position fault</t>
  </si>
  <si>
    <t>Main Drive LRS fault</t>
  </si>
  <si>
    <t>Crusher Main Drive overload/tripped</t>
  </si>
  <si>
    <t>Conveyor Belts Overload/ZSS/Belt sway</t>
  </si>
  <si>
    <t>Stacker CRD problem</t>
  </si>
  <si>
    <t>Stacker travel drive fault</t>
  </si>
  <si>
    <t>RF Communication Fault</t>
  </si>
  <si>
    <t>Production (Mining)</t>
  </si>
  <si>
    <t>Boulder stuck in hopper discharge chute</t>
  </si>
  <si>
    <t>Crusher/ hopper cleaning</t>
  </si>
  <si>
    <t>Crusher discharge chute Jamming</t>
  </si>
  <si>
    <t>Apron Feeder Jamming</t>
  </si>
  <si>
    <t>211 MMD tripped on Overload</t>
  </si>
  <si>
    <t>211 BC2 tripped on Overload</t>
  </si>
  <si>
    <t>211 BC3 chute Jamming</t>
  </si>
  <si>
    <t>Common</t>
  </si>
  <si>
    <t>Planned maintenance</t>
  </si>
  <si>
    <t>Power restriction from CPP</t>
  </si>
  <si>
    <t>Pile full</t>
  </si>
  <si>
    <t xml:space="preserve"> </t>
  </si>
  <si>
    <t>RAW MILL SECTION</t>
  </si>
  <si>
    <t xml:space="preserve">Hopper Level Low due to Reclaimer / Transport Belt </t>
  </si>
  <si>
    <t>321 GB1 Oil pressure/flow low</t>
  </si>
  <si>
    <t>Grinding Roller Hydraulic Pressure Low</t>
  </si>
  <si>
    <t>Grinding Roller Lubrication Oil Flow Low</t>
  </si>
  <si>
    <t>Grinding Roller Bearing Failure</t>
  </si>
  <si>
    <t>RM Table Thrust Pressure Low</t>
  </si>
  <si>
    <t>321 GB1 Mill Drive Gearbox vibration high</t>
  </si>
  <si>
    <t>321 BE1 / BE2 Tripped on Overload/ maintenance</t>
  </si>
  <si>
    <t>321 BE1 ZSS Fault</t>
  </si>
  <si>
    <t>Raw Mill fan bearing temperature high</t>
  </si>
  <si>
    <t>Mill reject belt 321 BC2 maintenance</t>
  </si>
  <si>
    <t>Mill inspection</t>
  </si>
  <si>
    <t>Gear box pressure switch fault</t>
  </si>
  <si>
    <t>Grinding Roller hydraulic pressure low</t>
  </si>
  <si>
    <t>Grinding roller Up/ Down command not working</t>
  </si>
  <si>
    <t>Roller hydraulic pump overload</t>
  </si>
  <si>
    <t>Main drive LRS fault</t>
  </si>
  <si>
    <t>321 BE1 tripped due to cable damage</t>
  </si>
  <si>
    <t>321 SM1 separator tripped on available fault</t>
  </si>
  <si>
    <t>Main baghouse fan tripped on feedback fault</t>
  </si>
  <si>
    <t>Raw Mill fan bearing temperature high (False)</t>
  </si>
  <si>
    <t>321 BE2/ BE1 tripped on SFU fault</t>
  </si>
  <si>
    <t>Circuit Power tripped</t>
  </si>
  <si>
    <t>DCS server - 1 out of network</t>
  </si>
  <si>
    <t>321 RS1 tripped on SIMOCODE fault</t>
  </si>
  <si>
    <t>Production</t>
  </si>
  <si>
    <t>Surge Hopper Jammed</t>
  </si>
  <si>
    <t>321 RS1 Jamming/ Coating cleaning</t>
  </si>
  <si>
    <t>321 AS1 Jamming</t>
  </si>
  <si>
    <t>321 BC1 tripped on overload/ ZSS Fault</t>
  </si>
  <si>
    <t>321 BE1 tripped on overload/ Boot level high</t>
  </si>
  <si>
    <t>321 BC2 tripped on overload</t>
  </si>
  <si>
    <t>Mill inside inspection / Roller callibration</t>
  </si>
  <si>
    <t>Y - Chute Jammed</t>
  </si>
  <si>
    <t>Raw mill Bag house DP high</t>
  </si>
  <si>
    <t>Silo full</t>
  </si>
  <si>
    <t xml:space="preserve">Kiln stopped </t>
  </si>
  <si>
    <t>CRITICAL (Above 60 Mins)</t>
  </si>
  <si>
    <t>MEDIUM (30 - 60 Mins)</t>
  </si>
  <si>
    <t>Under Control  (Below 30 Mins)</t>
  </si>
  <si>
    <t>COAL MILL SECTION</t>
  </si>
  <si>
    <t>Coal Feeding Push Feeder breakdown</t>
  </si>
  <si>
    <t>Mill inlet bearing oil pressure/ Flow low</t>
  </si>
  <si>
    <t>Mill inlet bearing temperature high</t>
  </si>
  <si>
    <t>Mill oulet bearing oil pressure/ Flow low</t>
  </si>
  <si>
    <t>Mill oulet bearing temperature high</t>
  </si>
  <si>
    <t>Girth gear grease spray nozzle fault</t>
  </si>
  <si>
    <t>Mill Drive gearbox oil pressure/ Flow low</t>
  </si>
  <si>
    <t>Weighfeeder belt replacement</t>
  </si>
  <si>
    <t>521 RS1 RAL bolts cut off.</t>
  </si>
  <si>
    <t>521 SC1 Screw conveyor overload</t>
  </si>
  <si>
    <t>521 SC2 Screw conveyor overload</t>
  </si>
  <si>
    <t>Coal Mill Fan 521 FN1 bearing vibration high</t>
  </si>
  <si>
    <t>Coal Mill Fan 521 FN1 bearing temperature high</t>
  </si>
  <si>
    <t>Coal Feeding Push Feeder motor burnt</t>
  </si>
  <si>
    <t>girth gear grease spray system level sensor malfunction</t>
  </si>
  <si>
    <t>521 CM1 LRS fault</t>
  </si>
  <si>
    <t>521 WF1 feedback fault</t>
  </si>
  <si>
    <t>Bag house temperature high (False)</t>
  </si>
  <si>
    <t>521 FN1 Fan vibration high/ feedback fault</t>
  </si>
  <si>
    <t>521 SC1 Screw SFU fault</t>
  </si>
  <si>
    <t xml:space="preserve"> Mill inlet LP pump overloaded</t>
  </si>
  <si>
    <t>Extraction problem in raw coal hopper</t>
  </si>
  <si>
    <t>Mill inlet chute jammed</t>
  </si>
  <si>
    <t>Mill inlet duct cleaning</t>
  </si>
  <si>
    <t>Mill inlet RAL 521 RS1 jamming</t>
  </si>
  <si>
    <t>Bin Full</t>
  </si>
  <si>
    <t>Kiln stopped</t>
  </si>
  <si>
    <t>Raw coal hopper empty</t>
  </si>
  <si>
    <t>Hopper level low due to transport belt problem</t>
  </si>
  <si>
    <t>631 GB1 Oil Pressure/ Flow low</t>
  </si>
  <si>
    <t>Girth gear spray nozzle fault</t>
  </si>
  <si>
    <t>Inlet slide shoe bearing temperature high/ HP pump pressure low</t>
  </si>
  <si>
    <t>Inlet slide shoe oil pressure / flow low</t>
  </si>
  <si>
    <t>Outlet slide shoe bearing temperature high</t>
  </si>
  <si>
    <t>Outlet slide shoe oil pressure / flow low</t>
  </si>
  <si>
    <t>Pinion Inspection / Maintenance</t>
  </si>
  <si>
    <t>631 BC1 maintenance</t>
  </si>
  <si>
    <t>631 HC1 Classifier bearing temperature high</t>
  </si>
  <si>
    <t>Separator tripped on overload</t>
  </si>
  <si>
    <t>631 HC1 Rotor jamming</t>
  </si>
  <si>
    <t>Air slide jamming - Separator return/ Blower tripped</t>
  </si>
  <si>
    <t>Air slide jamming / Cloth damaged- Cement transport</t>
  </si>
  <si>
    <t>Air slide Blower Tripped</t>
  </si>
  <si>
    <t>BF3 DP high</t>
  </si>
  <si>
    <t>Bag Filter Rotary airlock tripped</t>
  </si>
  <si>
    <t>631BE2 tripped on overload / Belt sway</t>
  </si>
  <si>
    <t>Water spray problem</t>
  </si>
  <si>
    <t>Compressor air pressure low</t>
  </si>
  <si>
    <t>631 WF1 belt change</t>
  </si>
  <si>
    <t>Weigh feeder tripped</t>
  </si>
  <si>
    <t>Inlet slide shoe bearing temperature high (False)</t>
  </si>
  <si>
    <t>Outlet slide shoe bearing temperature high (False)</t>
  </si>
  <si>
    <t>Girth gear lubrication fault</t>
  </si>
  <si>
    <t>631 BM1 Feedback fault</t>
  </si>
  <si>
    <t>631 BM1 LRS fault</t>
  </si>
  <si>
    <t>631 HC1 Classifier bearing temperature high (False)</t>
  </si>
  <si>
    <t>631 BF3 DP high</t>
  </si>
  <si>
    <t>631 FN2 / FN3/FN4 tripped</t>
  </si>
  <si>
    <t>631 FN6/ FN10 Tripped</t>
  </si>
  <si>
    <t>SILO Level indication fault</t>
  </si>
  <si>
    <t>MCC Tripped/power circuit tripped</t>
  </si>
  <si>
    <t>Main water pump tripped</t>
  </si>
  <si>
    <t>Main drive cooling fan tripped in SIMOCODE</t>
  </si>
  <si>
    <t>631 HC1 Classifier tripped on available fault</t>
  </si>
  <si>
    <t>Pinion/Gearbox vibrations high</t>
  </si>
  <si>
    <t>Diverting gate jammed</t>
  </si>
  <si>
    <t>Weigh Fedder tripped due to deviation</t>
  </si>
  <si>
    <t>Mill outlet temperature high</t>
  </si>
  <si>
    <t>631BE1 tripped on overload/ Boot level high</t>
  </si>
  <si>
    <t>631 HC1 bearing temperature high</t>
  </si>
  <si>
    <t>631 BF2/BF3 DP high / inspection</t>
  </si>
  <si>
    <t>631 BE2 Boot level high</t>
  </si>
  <si>
    <t>Separator return airslide 631AS4 jammed</t>
  </si>
  <si>
    <t>Mill outlet and diaphram inspection</t>
  </si>
  <si>
    <t>Clinker hopper level low</t>
  </si>
  <si>
    <t>Power restriction from CPP/TANESCO</t>
  </si>
  <si>
    <t>Silo full/ No Orders</t>
  </si>
  <si>
    <t>Clinker not available</t>
  </si>
  <si>
    <t>632 GB1 Oil Pressure/ Flow low</t>
  </si>
  <si>
    <t>632 BC1 maintenance</t>
  </si>
  <si>
    <t>632 HC1 Classifier bearing temperature high</t>
  </si>
  <si>
    <t>632 HC1 Rotor jamming</t>
  </si>
  <si>
    <t>632 BE2 tripped on overload / Belt sway</t>
  </si>
  <si>
    <t>632 WF1 belt change</t>
  </si>
  <si>
    <t>632 BM1 Gearbox shaft damaged</t>
  </si>
  <si>
    <t>632 BM1 Feedback fault</t>
  </si>
  <si>
    <t>632 BM1 LRS fault</t>
  </si>
  <si>
    <t>632 HC1 Classifier bearing temperature high (False)</t>
  </si>
  <si>
    <t>632 BF3 DP high</t>
  </si>
  <si>
    <t>632 FN2 / FN3 tripped</t>
  </si>
  <si>
    <t>632 HC1 Classifier tripped on available fault</t>
  </si>
  <si>
    <t>632 BE1 tripped on overload/ Boot level high</t>
  </si>
  <si>
    <t>632 HC1 bearing temperature high</t>
  </si>
  <si>
    <t>632 BF2/BF3 DP high / inspection</t>
  </si>
  <si>
    <t>632 BE2 Boot level high</t>
  </si>
  <si>
    <t>KILN SECTION</t>
  </si>
  <si>
    <t>Blending silo extraction problem</t>
  </si>
  <si>
    <t>Air slide cloth damaged</t>
  </si>
  <si>
    <t>Air slide blower vibration high</t>
  </si>
  <si>
    <t>Kiln coal pump screw 541 SC2 bearing damaged</t>
  </si>
  <si>
    <t>PC/ PA blower tripped/belt cut-off</t>
  </si>
  <si>
    <t>Kiln main drive gearbox oil pressure/ flow low</t>
  </si>
  <si>
    <t>Kiln supporting roller temperature high</t>
  </si>
  <si>
    <t>Girth gear  nozzle fault</t>
  </si>
  <si>
    <t>Tip casting plate failure</t>
  </si>
  <si>
    <t>Thrust roller bolts cut off</t>
  </si>
  <si>
    <t>Grate Cooler fan bearing/ coupling failed</t>
  </si>
  <si>
    <t>Cooler grate plate damaged</t>
  </si>
  <si>
    <t>Clinker breaker maintenance / jammed</t>
  </si>
  <si>
    <t>Clinker transport 451 DB1/ DB2 tripped</t>
  </si>
  <si>
    <t>Kiln feed BE tripped on belt sway problem</t>
  </si>
  <si>
    <t>Kiln Outlet Cowl shell repair work</t>
  </si>
  <si>
    <t>PC coal line welding work</t>
  </si>
  <si>
    <t>Air slide blower motor burnt</t>
  </si>
  <si>
    <t>kiln feed BE discharge air slide fan motor problem</t>
  </si>
  <si>
    <t>PH top RAL 421 AC3 tripped with zero speed</t>
  </si>
  <si>
    <t>PC/ PA blower tripped</t>
  </si>
  <si>
    <t>Kiln Coal firing SFM 531 FM1 malfunction</t>
  </si>
  <si>
    <t xml:space="preserve"> 541 SC2 coal pumping screw motor replacement</t>
  </si>
  <si>
    <t>Pre-heater cyclone draft fluctuation</t>
  </si>
  <si>
    <t>Kiln main drive VFD problem</t>
  </si>
  <si>
    <t xml:space="preserve">DBC motor problem </t>
  </si>
  <si>
    <t>MCC Panel tripped</t>
  </si>
  <si>
    <t>Cooler fan flow unhealthy/tripped</t>
  </si>
  <si>
    <t>PC coal pumping blower 541 BL3 tripped on SIMOCODE</t>
  </si>
  <si>
    <t>Pfister drive overload</t>
  </si>
  <si>
    <t>Cooler drive tripped with available fault</t>
  </si>
  <si>
    <t>Clinker breaker tripped with ZSS fault</t>
  </si>
  <si>
    <t>Kiln feed SFM tripped tripped with available fault</t>
  </si>
  <si>
    <t>MCC3 Panel tripped</t>
  </si>
  <si>
    <t>Main bag house DP high</t>
  </si>
  <si>
    <t>Kiln feed elevator boot level high</t>
  </si>
  <si>
    <t>KC coal tripped</t>
  </si>
  <si>
    <t>Pre-heater fan vibration high</t>
  </si>
  <si>
    <t>Pre-heater cyclone jamming</t>
  </si>
  <si>
    <t>Kiln inlet / smoke chamber coating formation</t>
  </si>
  <si>
    <t>Red spot in brick lining</t>
  </si>
  <si>
    <t>Cooler undergrate hopper jammed</t>
  </si>
  <si>
    <t>Snow man formation in cooler</t>
  </si>
  <si>
    <t>DBC Discharge chute jammed</t>
  </si>
  <si>
    <t xml:space="preserve">Low level in blending silo - VRM </t>
  </si>
  <si>
    <t>Clinker silo full</t>
  </si>
  <si>
    <t>Low level in fine coal bin</t>
  </si>
  <si>
    <t>Packing plant section</t>
  </si>
  <si>
    <t>Silo extraction problem/ Blower tripped</t>
  </si>
  <si>
    <t>Air slide jammed</t>
  </si>
  <si>
    <t>Bucket Elevator belt sway</t>
  </si>
  <si>
    <t>Packer tripped with compressor air pressure low</t>
  </si>
  <si>
    <t>Paker bin overflow</t>
  </si>
  <si>
    <t xml:space="preserve">Packer bin flow control gate not operating </t>
  </si>
  <si>
    <t>Radial and tangential belt sprocket and chain damage</t>
  </si>
  <si>
    <t>Bag divertor not operating</t>
  </si>
  <si>
    <t>Packer sliencer changing</t>
  </si>
  <si>
    <t>Spout maintenance</t>
  </si>
  <si>
    <t>Screw conveyor jamming with material</t>
  </si>
  <si>
    <t>Belt conveyor tripped/ belt sway</t>
  </si>
  <si>
    <t>Belt conveyor plate adjustment work/ bag jamming</t>
  </si>
  <si>
    <t>Truck Loader maintenance</t>
  </si>
  <si>
    <t>Air slide blower tripped</t>
  </si>
  <si>
    <t>Bucket Elevator belt sway (False)</t>
  </si>
  <si>
    <t>Vibrating screen tripped</t>
  </si>
  <si>
    <t>Bin level switch fault / overflow</t>
  </si>
  <si>
    <t>Inaccuracy of weight/ Callibration of spouts</t>
  </si>
  <si>
    <t>Replacement of push button (Emmergency stop)</t>
  </si>
  <si>
    <t>Pneumatic hose pipe damaged</t>
  </si>
  <si>
    <t>Bags discharge switch problem</t>
  </si>
  <si>
    <t>Bag filter fan motor tripped</t>
  </si>
  <si>
    <t>Failure of solenoid valve to the flow control gate of big bag &amp; bulker</t>
  </si>
  <si>
    <t>Bags not discharging properly</t>
  </si>
  <si>
    <t>Belt conveyor tripped</t>
  </si>
  <si>
    <t>Truck loader out of service due to sensor/ motor problem/ brake issue</t>
  </si>
  <si>
    <t>ERP server upgrading /System failure/ Operation system interlock</t>
  </si>
  <si>
    <t>Silo extraction problem/ Gates jam</t>
  </si>
  <si>
    <t>SILO levels low</t>
  </si>
  <si>
    <t>Planned maintenance of Packer machine and Truck loaders</t>
  </si>
  <si>
    <t>No trucks available to load</t>
  </si>
  <si>
    <t>Single/Double truck to load &amp; silo changeover</t>
  </si>
  <si>
    <t>Cleaning &amp; drying of trailers due to rainfall</t>
  </si>
  <si>
    <t>Shift change</t>
  </si>
  <si>
    <t>SUMMARY</t>
  </si>
  <si>
    <t>DATE</t>
  </si>
  <si>
    <t>Mech</t>
  </si>
  <si>
    <t xml:space="preserve">E&amp;I </t>
  </si>
  <si>
    <t>Prod</t>
  </si>
  <si>
    <t>Planned Maint</t>
  </si>
  <si>
    <t>Power Rest - CPP</t>
  </si>
  <si>
    <t>CRUSHER</t>
  </si>
  <si>
    <t>RAW MILL</t>
  </si>
  <si>
    <t>COAL MILL</t>
  </si>
  <si>
    <t>KILN</t>
  </si>
  <si>
    <t>CEMENT MILL - 1</t>
  </si>
  <si>
    <t>CEMENT MILL - 2</t>
  </si>
  <si>
    <t>PACKING PLANT</t>
  </si>
  <si>
    <t>TOTAL</t>
  </si>
  <si>
    <t>Gearbox temperature high</t>
  </si>
  <si>
    <t>Limestone weigh feeder belt replacement</t>
  </si>
  <si>
    <t>Filter fan problem/Air filter bursting</t>
  </si>
  <si>
    <t>Power restriction from CPP/ TANESCO</t>
  </si>
  <si>
    <t>Mill outlet duct cleaning</t>
  </si>
  <si>
    <t>Slide shoe bearing issue</t>
  </si>
  <si>
    <t>Bag house inlet temp high</t>
  </si>
  <si>
    <t xml:space="preserve">                                                                     </t>
  </si>
  <si>
    <t>SILO blower (321 FN6) tripped on SFU fault</t>
  </si>
  <si>
    <t>Bag house chamber jammed (rain)</t>
  </si>
  <si>
    <t>631 FN4 tripped on SIMOCODE fault</t>
  </si>
  <si>
    <t>Weigh feeders tripped on vailable fault</t>
  </si>
  <si>
    <t>321 SM1 Separator Overload/Grease level low</t>
  </si>
  <si>
    <t>Packer machine not rotating/bag discharge problem</t>
  </si>
  <si>
    <t>Girth gear pump tripped with available fault</t>
  </si>
  <si>
    <t>632 BE1 tripped on overload/ Belt sway</t>
  </si>
  <si>
    <t>HP/LP pump pressure low.</t>
  </si>
  <si>
    <t>632 RA6/RA8 tripped on feedback fault</t>
  </si>
  <si>
    <t>Power restriction from Tanesco / CPP</t>
  </si>
  <si>
    <t>Proportioning Hopper Jammed</t>
  </si>
  <si>
    <t>632 cyclone 1 - 2 jammed.</t>
  </si>
  <si>
    <t>631BE2 tripped on speed monitor fault /overload / Belt sway</t>
  </si>
  <si>
    <t>631BE1 tripped on still fault/ SFU off overload</t>
  </si>
  <si>
    <t xml:space="preserve">632 BE2 tripped on speed monitor fault </t>
  </si>
  <si>
    <t>321 BC1 tripped on SIMOCODE</t>
  </si>
  <si>
    <t>Separator tripped on high DE vibrations.</t>
  </si>
  <si>
    <t xml:space="preserve">Airslide fan 631 FN11 tripped </t>
  </si>
  <si>
    <t>Air slide jamming - Cement transport/ cloth damaged</t>
  </si>
  <si>
    <t>321 SM1 bearing temperature high</t>
  </si>
  <si>
    <t>LP pump pressure low.</t>
  </si>
  <si>
    <t xml:space="preserve"> Total </t>
  </si>
  <si>
    <t>Seal air fan vibration high/Low pressure</t>
  </si>
  <si>
    <t>631BE1 tripped on overload/ Belt sway</t>
  </si>
  <si>
    <t>KC coal tripped with available fault</t>
  </si>
  <si>
    <t>321 BC1 tripped (simocode fault)/speed monitor fault</t>
  </si>
  <si>
    <t>PH fan Mech inspection/Breakdown</t>
  </si>
  <si>
    <t>631 FN10/ FN11/FN 6 tripped</t>
  </si>
  <si>
    <t>PH fan motor shaft broken</t>
  </si>
  <si>
    <t>Cooler hydraulic horse pipe leakage</t>
  </si>
  <si>
    <t>inlet RAL tripped (rubber belt stucked)</t>
  </si>
  <si>
    <t>321FN2/FN4/FN7 tripped on SIMOCODE</t>
  </si>
  <si>
    <t>Inlet RAL tripped on subcontrol fault (high load)</t>
  </si>
  <si>
    <t>Classifier tripped on available fault</t>
  </si>
  <si>
    <t>Hydraullic thruster axial position fault(solenoid issue)</t>
  </si>
  <si>
    <t>Kiln door tightening(repair)</t>
  </si>
  <si>
    <t>SILO/ hopper Level indication fault</t>
  </si>
  <si>
    <t>Reject bin jamming</t>
  </si>
  <si>
    <t>MCC tripped</t>
  </si>
  <si>
    <t>Silo extraction problem/ Blower tripped/Gate problem</t>
  </si>
  <si>
    <t>Clinker breaker jammed/Overload</t>
  </si>
  <si>
    <t>DBC roller replacement work</t>
  </si>
  <si>
    <t xml:space="preserve">Inlet RAL tripped on subcontrol fault </t>
  </si>
  <si>
    <t xml:space="preserve">541 SC3 screw coveyor tripped with ZSS fault. </t>
  </si>
  <si>
    <t>Hot air damper 500 SD1 not working.</t>
  </si>
  <si>
    <t>Seal air fan tripped / pressure low</t>
  </si>
  <si>
    <t>Main drive coupling bolts cut off</t>
  </si>
  <si>
    <t>632BE1/BE2 tripped on speed monitor fault/ ZSS fault</t>
  </si>
  <si>
    <t xml:space="preserve">321 FN1/FN2 airslide fan tripped. </t>
  </si>
  <si>
    <t>Vibrating screen damaged/leakage</t>
  </si>
  <si>
    <t>311 BC2 tail drum jamming/311 TRIPPED</t>
  </si>
  <si>
    <t>SILO top airslide blower tripped</t>
  </si>
  <si>
    <t>Maintenance on 311/321 WF1/WF2/Hopper Liners</t>
  </si>
  <si>
    <t>Hopper level low due to Reclaimer/ Transport belt/Pile change</t>
  </si>
  <si>
    <t>PH /BH fan tripped with high load</t>
  </si>
  <si>
    <t>Raw Mill/Baghouse fan tripped</t>
  </si>
  <si>
    <t>Hopper level low due to Reclaimer/ Transport Belt /Reclamer cable problem</t>
  </si>
  <si>
    <t>DPC tripped with speed monitor fault/pull cord</t>
  </si>
  <si>
    <t>CEMENT MILL- 1 SECTION</t>
  </si>
  <si>
    <t>CEMENT MILL -2 SECTION</t>
  </si>
  <si>
    <t>Pfister rotor jammed/leakage arresting work</t>
  </si>
  <si>
    <t>Kiln feed BE tripped on belt sway problem/Inspection</t>
  </si>
  <si>
    <t>321 BC2 /BC3 tripped on ZSS fault</t>
  </si>
  <si>
    <t>Mill inlet chute jammed/Inspection</t>
  </si>
  <si>
    <t>Shell liner dislocation.</t>
  </si>
  <si>
    <t>231 BC2/BC4 belt tripped/Inspection</t>
  </si>
  <si>
    <t>Kiln support roller bearing inspection</t>
  </si>
  <si>
    <t>ESP fan tripped</t>
  </si>
  <si>
    <t>632 FN6/ FN10/ FN11/FN14 Tripped</t>
  </si>
  <si>
    <t>Mill inlet inspection/Mill Inspection</t>
  </si>
  <si>
    <t>Mill inlet inspection/Inspection</t>
  </si>
  <si>
    <t>Others (Material spillage from KC bin &amp; SC3 conveyor)</t>
  </si>
  <si>
    <t>Bin extraction problem/Packer coated with materials inside</t>
  </si>
  <si>
    <t>Coal mill main drive motor tripped</t>
  </si>
  <si>
    <t>Others (wooden piece stucked on 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</si>
</sst>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.0"/>
  </numFmts>
  <fonts count="2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lstom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0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26">
    <xf numFmtId="0" fontId="0" fillId="0" borderId="0" xfId="0"/>
    <xf numFmtId="0" fontId="10" fillId="0" borderId="0" xfId="0" applyFont="1"/>
    <xf numFmtId="0" fontId="11" fillId="0" borderId="0" xfId="0" applyFont="1"/>
    <xf numFmtId="0" fontId="12" fillId="0" borderId="0" xfId="2" applyFont="1"/>
    <xf numFmtId="0" fontId="12" fillId="0" borderId="1" xfId="2" applyFont="1" applyBorder="1"/>
    <xf numFmtId="0" fontId="13" fillId="0" borderId="0" xfId="2" applyFont="1"/>
    <xf numFmtId="0" fontId="12" fillId="0" borderId="4" xfId="0" applyFont="1" applyBorder="1" applyAlignment="1">
      <alignment horizontal="left"/>
    </xf>
    <xf numFmtId="21" fontId="10" fillId="0" borderId="1" xfId="0" applyNumberFormat="1" applyFont="1" applyBorder="1"/>
    <xf numFmtId="21" fontId="12" fillId="0" borderId="1" xfId="0" applyNumberFormat="1" applyFont="1" applyBorder="1"/>
    <xf numFmtId="21" fontId="12" fillId="0" borderId="0" xfId="2" applyNumberFormat="1" applyFont="1"/>
    <xf numFmtId="2" fontId="10" fillId="0" borderId="1" xfId="0" applyNumberFormat="1" applyFont="1" applyBorder="1" applyAlignment="1">
      <alignment horizontal="left"/>
    </xf>
    <xf numFmtId="2" fontId="12" fillId="0" borderId="1" xfId="0" applyNumberFormat="1" applyFont="1" applyBorder="1" applyAlignment="1">
      <alignment horizontal="left"/>
    </xf>
    <xf numFmtId="2" fontId="13" fillId="0" borderId="1" xfId="2" applyNumberFormat="1" applyFont="1" applyBorder="1"/>
    <xf numFmtId="2" fontId="12" fillId="0" borderId="1" xfId="2" applyNumberFormat="1" applyFont="1" applyBorder="1"/>
    <xf numFmtId="0" fontId="17" fillId="0" borderId="0" xfId="0" applyFont="1"/>
    <xf numFmtId="0" fontId="12" fillId="0" borderId="0" xfId="2" applyFont="1" applyAlignment="1">
      <alignment horizontal="center"/>
    </xf>
    <xf numFmtId="0" fontId="12" fillId="6" borderId="1" xfId="2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 wrapText="1"/>
    </xf>
    <xf numFmtId="0" fontId="12" fillId="7" borderId="1" xfId="0" applyFont="1" applyFill="1" applyBorder="1" applyAlignment="1">
      <alignment horizontal="left"/>
    </xf>
    <xf numFmtId="2" fontId="12" fillId="7" borderId="1" xfId="0" applyNumberFormat="1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21" fontId="11" fillId="0" borderId="0" xfId="0" applyNumberFormat="1" applyFont="1" applyAlignment="1">
      <alignment horizontal="center" wrapText="1"/>
    </xf>
    <xf numFmtId="2" fontId="10" fillId="0" borderId="1" xfId="0" applyNumberFormat="1" applyFont="1" applyBorder="1" applyAlignment="1">
      <alignment horizontal="center" wrapText="1"/>
    </xf>
    <xf numFmtId="0" fontId="9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9" fillId="3" borderId="4" xfId="0" applyFont="1" applyFill="1" applyBorder="1" applyAlignment="1">
      <alignment horizontal="center"/>
    </xf>
    <xf numFmtId="20" fontId="14" fillId="4" borderId="4" xfId="0" applyNumberFormat="1" applyFont="1" applyFill="1" applyBorder="1" applyAlignment="1">
      <alignment horizontal="center" wrapText="1"/>
    </xf>
    <xf numFmtId="0" fontId="13" fillId="0" borderId="0" xfId="2" applyFont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20" fontId="10" fillId="4" borderId="4" xfId="0" applyNumberFormat="1" applyFont="1" applyFill="1" applyBorder="1" applyAlignment="1">
      <alignment horizontal="center" wrapText="1"/>
    </xf>
    <xf numFmtId="0" fontId="18" fillId="0" borderId="0" xfId="0" applyFont="1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2" fillId="6" borderId="1" xfId="0" applyFont="1" applyFill="1" applyBorder="1"/>
    <xf numFmtId="21" fontId="12" fillId="7" borderId="1" xfId="2" applyNumberFormat="1" applyFont="1" applyFill="1" applyBorder="1"/>
    <xf numFmtId="0" fontId="12" fillId="7" borderId="1" xfId="2" applyFont="1" applyFill="1" applyBorder="1"/>
    <xf numFmtId="0" fontId="16" fillId="0" borderId="0" xfId="0" applyFont="1"/>
    <xf numFmtId="0" fontId="17" fillId="5" borderId="15" xfId="0" applyFont="1" applyFill="1" applyBorder="1" applyAlignment="1">
      <alignment horizontal="center" vertical="center" wrapText="1"/>
    </xf>
    <xf numFmtId="0" fontId="19" fillId="0" borderId="18" xfId="1" applyFont="1" applyBorder="1" applyAlignment="1">
      <alignment horizontal="left" vertical="center" wrapText="1"/>
    </xf>
    <xf numFmtId="0" fontId="19" fillId="0" borderId="21" xfId="1" applyFont="1" applyBorder="1" applyAlignment="1">
      <alignment horizontal="left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9" fillId="7" borderId="23" xfId="1" applyFont="1" applyFill="1" applyBorder="1" applyAlignment="1">
      <alignment horizontal="left" vertical="center" wrapText="1"/>
    </xf>
    <xf numFmtId="165" fontId="16" fillId="0" borderId="19" xfId="0" applyNumberFormat="1" applyFont="1" applyBorder="1" applyAlignment="1">
      <alignment horizontal="center" wrapText="1"/>
    </xf>
    <xf numFmtId="165" fontId="16" fillId="0" borderId="1" xfId="0" applyNumberFormat="1" applyFont="1" applyBorder="1" applyAlignment="1">
      <alignment horizontal="center" wrapText="1"/>
    </xf>
    <xf numFmtId="2" fontId="16" fillId="0" borderId="20" xfId="0" applyNumberFormat="1" applyFont="1" applyBorder="1" applyAlignment="1">
      <alignment horizontal="center"/>
    </xf>
    <xf numFmtId="2" fontId="16" fillId="0" borderId="22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 wrapText="1"/>
    </xf>
    <xf numFmtId="2" fontId="17" fillId="7" borderId="24" xfId="0" applyNumberFormat="1" applyFont="1" applyFill="1" applyBorder="1" applyAlignment="1">
      <alignment horizontal="center" wrapText="1"/>
    </xf>
    <xf numFmtId="2" fontId="16" fillId="0" borderId="1" xfId="0" applyNumberFormat="1" applyFont="1" applyBorder="1" applyAlignment="1">
      <alignment horizontal="center" wrapText="1"/>
    </xf>
    <xf numFmtId="0" fontId="10" fillId="0" borderId="1" xfId="0" applyFont="1" applyBorder="1"/>
    <xf numFmtId="0" fontId="21" fillId="0" borderId="1" xfId="2" applyFont="1" applyBorder="1"/>
    <xf numFmtId="0" fontId="21" fillId="7" borderId="1" xfId="2" applyFont="1" applyFill="1" applyBorder="1"/>
    <xf numFmtId="2" fontId="22" fillId="0" borderId="1" xfId="2" applyNumberFormat="1" applyFont="1" applyBorder="1"/>
    <xf numFmtId="2" fontId="22" fillId="5" borderId="1" xfId="2" applyNumberFormat="1" applyFont="1" applyFill="1" applyBorder="1"/>
    <xf numFmtId="2" fontId="22" fillId="0" borderId="1" xfId="2" applyNumberFormat="1" applyFont="1" applyBorder="1" applyAlignment="1">
      <alignment wrapText="1"/>
    </xf>
    <xf numFmtId="2" fontId="21" fillId="0" borderId="1" xfId="2" applyNumberFormat="1" applyFont="1" applyBorder="1"/>
    <xf numFmtId="2" fontId="23" fillId="0" borderId="1" xfId="0" applyNumberFormat="1" applyFont="1" applyBorder="1" applyAlignment="1">
      <alignment horizontal="left"/>
    </xf>
    <xf numFmtId="0" fontId="22" fillId="0" borderId="0" xfId="2" applyFont="1"/>
    <xf numFmtId="0" fontId="21" fillId="0" borderId="4" xfId="0" applyFont="1" applyBorder="1" applyAlignment="1">
      <alignment horizontal="left"/>
    </xf>
    <xf numFmtId="0" fontId="19" fillId="0" borderId="25" xfId="1" applyFont="1" applyBorder="1" applyAlignment="1">
      <alignment horizontal="left" vertical="center" wrapText="1"/>
    </xf>
    <xf numFmtId="2" fontId="16" fillId="0" borderId="26" xfId="0" applyNumberFormat="1" applyFont="1" applyBorder="1" applyAlignment="1">
      <alignment horizontal="center" wrapText="1"/>
    </xf>
    <xf numFmtId="165" fontId="16" fillId="0" borderId="26" xfId="0" applyNumberFormat="1" applyFont="1" applyBorder="1" applyAlignment="1">
      <alignment horizontal="center" wrapText="1"/>
    </xf>
    <xf numFmtId="164" fontId="13" fillId="6" borderId="26" xfId="0" applyNumberFormat="1" applyFont="1" applyFill="1" applyBorder="1" applyAlignment="1">
      <alignment horizontal="center"/>
    </xf>
    <xf numFmtId="0" fontId="12" fillId="6" borderId="26" xfId="2" applyFont="1" applyFill="1" applyBorder="1" applyAlignment="1">
      <alignment horizontal="center"/>
    </xf>
    <xf numFmtId="0" fontId="12" fillId="7" borderId="2" xfId="0" applyFont="1" applyFill="1" applyBorder="1" applyAlignment="1">
      <alignment horizontal="left"/>
    </xf>
    <xf numFmtId="0" fontId="12" fillId="7" borderId="7" xfId="0" applyFont="1" applyFill="1" applyBorder="1"/>
    <xf numFmtId="2" fontId="10" fillId="0" borderId="28" xfId="0" applyNumberFormat="1" applyFont="1" applyBorder="1" applyAlignment="1">
      <alignment horizontal="center" wrapText="1"/>
    </xf>
    <xf numFmtId="2" fontId="12" fillId="7" borderId="2" xfId="0" applyNumberFormat="1" applyFont="1" applyFill="1" applyBorder="1" applyAlignment="1">
      <alignment horizontal="left"/>
    </xf>
    <xf numFmtId="2" fontId="12" fillId="7" borderId="7" xfId="0" applyNumberFormat="1" applyFont="1" applyFill="1" applyBorder="1"/>
    <xf numFmtId="2" fontId="13" fillId="0" borderId="1" xfId="0" applyNumberFormat="1" applyFont="1" applyBorder="1" applyAlignment="1">
      <alignment horizontal="left"/>
    </xf>
    <xf numFmtId="2" fontId="13" fillId="8" borderId="1" xfId="0" applyNumberFormat="1" applyFont="1" applyFill="1" applyBorder="1" applyAlignment="1">
      <alignment horizontal="left"/>
    </xf>
    <xf numFmtId="0" fontId="13" fillId="8" borderId="0" xfId="2" applyFont="1" applyFill="1"/>
    <xf numFmtId="2" fontId="11" fillId="0" borderId="2" xfId="0" applyNumberFormat="1" applyFont="1" applyBorder="1" applyAlignment="1">
      <alignment horizontal="left"/>
    </xf>
    <xf numFmtId="21" fontId="12" fillId="7" borderId="2" xfId="0" applyNumberFormat="1" applyFont="1" applyFill="1" applyBorder="1"/>
    <xf numFmtId="21" fontId="12" fillId="7" borderId="7" xfId="0" applyNumberFormat="1" applyFont="1" applyFill="1" applyBorder="1"/>
    <xf numFmtId="2" fontId="11" fillId="0" borderId="28" xfId="0" applyNumberFormat="1" applyFont="1" applyBorder="1" applyAlignment="1">
      <alignment horizontal="center" wrapText="1"/>
    </xf>
    <xf numFmtId="2" fontId="13" fillId="0" borderId="0" xfId="2" applyNumberFormat="1" applyFont="1" applyAlignment="1">
      <alignment horizontal="center"/>
    </xf>
    <xf numFmtId="0" fontId="12" fillId="7" borderId="2" xfId="0" applyFont="1" applyFill="1" applyBorder="1"/>
    <xf numFmtId="2" fontId="12" fillId="7" borderId="2" xfId="0" applyNumberFormat="1" applyFont="1" applyFill="1" applyBorder="1"/>
    <xf numFmtId="2" fontId="10" fillId="0" borderId="0" xfId="0" applyNumberFormat="1" applyFont="1" applyAlignment="1">
      <alignment horizontal="center"/>
    </xf>
    <xf numFmtId="14" fontId="18" fillId="5" borderId="11" xfId="0" applyNumberFormat="1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2" fontId="10" fillId="3" borderId="1" xfId="0" applyNumberFormat="1" applyFont="1" applyFill="1" applyBorder="1" applyAlignment="1">
      <alignment horizontal="center" wrapText="1"/>
    </xf>
    <xf numFmtId="2" fontId="10" fillId="2" borderId="1" xfId="0" applyNumberFormat="1" applyFont="1" applyFill="1" applyBorder="1" applyAlignment="1">
      <alignment horizontal="center" wrapText="1"/>
    </xf>
    <xf numFmtId="2" fontId="10" fillId="4" borderId="1" xfId="0" applyNumberFormat="1" applyFont="1" applyFill="1" applyBorder="1" applyAlignment="1">
      <alignment horizontal="center" wrapText="1"/>
    </xf>
    <xf numFmtId="0" fontId="10" fillId="0" borderId="0" xfId="0" applyFont="1" applyFill="1"/>
    <xf numFmtId="2" fontId="10" fillId="2" borderId="28" xfId="0" applyNumberFormat="1" applyFont="1" applyFill="1" applyBorder="1" applyAlignment="1">
      <alignment horizontal="center" wrapText="1"/>
    </xf>
    <xf numFmtId="2" fontId="11" fillId="0" borderId="1" xfId="0" applyNumberFormat="1" applyFont="1" applyBorder="1" applyAlignment="1">
      <alignment horizontal="center" wrapText="1"/>
    </xf>
    <xf numFmtId="164" fontId="13" fillId="6" borderId="26" xfId="0" applyNumberFormat="1" applyFont="1" applyFill="1" applyBorder="1" applyAlignment="1">
      <alignment horizontal="center"/>
    </xf>
    <xf numFmtId="2" fontId="10" fillId="0" borderId="28" xfId="0" applyNumberFormat="1" applyFont="1" applyBorder="1" applyAlignment="1">
      <alignment horizontal="center" wrapText="1"/>
    </xf>
    <xf numFmtId="0" fontId="12" fillId="7" borderId="3" xfId="0" applyFont="1" applyFill="1" applyBorder="1"/>
    <xf numFmtId="2" fontId="11" fillId="0" borderId="26" xfId="0" applyNumberFormat="1" applyFont="1" applyBorder="1" applyAlignment="1">
      <alignment horizontal="center" wrapText="1"/>
    </xf>
    <xf numFmtId="2" fontId="12" fillId="7" borderId="3" xfId="0" applyNumberFormat="1" applyFont="1" applyFill="1" applyBorder="1"/>
    <xf numFmtId="21" fontId="12" fillId="7" borderId="3" xfId="0" applyNumberFormat="1" applyFont="1" applyFill="1" applyBorder="1"/>
    <xf numFmtId="0" fontId="18" fillId="5" borderId="11" xfId="0" applyFont="1" applyFill="1" applyBorder="1" applyAlignment="1">
      <alignment horizontal="center" vertical="center" wrapText="1"/>
    </xf>
    <xf numFmtId="2" fontId="10" fillId="3" borderId="28" xfId="0" applyNumberFormat="1" applyFont="1" applyFill="1" applyBorder="1" applyAlignment="1">
      <alignment horizontal="center" wrapText="1"/>
    </xf>
    <xf numFmtId="0" fontId="10" fillId="9" borderId="1" xfId="0" applyFont="1" applyFill="1" applyBorder="1" applyAlignment="1">
      <alignment horizontal="center" wrapText="1"/>
    </xf>
    <xf numFmtId="0" fontId="18" fillId="5" borderId="31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8" fillId="5" borderId="29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8" fillId="5" borderId="30" xfId="0" applyFont="1" applyFill="1" applyBorder="1" applyAlignment="1">
      <alignment horizontal="center" vertical="center" wrapText="1"/>
    </xf>
    <xf numFmtId="2" fontId="12" fillId="7" borderId="1" xfId="0" applyNumberFormat="1" applyFont="1" applyFill="1" applyBorder="1" applyAlignment="1">
      <alignment horizontal="left"/>
    </xf>
    <xf numFmtId="21" fontId="12" fillId="7" borderId="1" xfId="0" applyNumberFormat="1" applyFont="1" applyFill="1" applyBorder="1" applyAlignment="1">
      <alignment horizontal="left"/>
    </xf>
    <xf numFmtId="0" fontId="18" fillId="5" borderId="13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/>
    </xf>
    <xf numFmtId="0" fontId="18" fillId="5" borderId="27" xfId="0" applyFont="1" applyFill="1" applyBorder="1" applyAlignment="1">
      <alignment horizontal="center" vertical="center" wrapText="1"/>
    </xf>
    <xf numFmtId="2" fontId="12" fillId="7" borderId="1" xfId="2" applyNumberFormat="1" applyFont="1" applyFill="1" applyBorder="1" applyAlignment="1">
      <alignment horizontal="left"/>
    </xf>
    <xf numFmtId="2" fontId="12" fillId="7" borderId="2" xfId="2" applyNumberFormat="1" applyFont="1" applyFill="1" applyBorder="1" applyAlignment="1">
      <alignment horizontal="left"/>
    </xf>
    <xf numFmtId="2" fontId="12" fillId="7" borderId="3" xfId="2" applyNumberFormat="1" applyFont="1" applyFill="1" applyBorder="1" applyAlignment="1">
      <alignment horizontal="left"/>
    </xf>
    <xf numFmtId="2" fontId="12" fillId="7" borderId="7" xfId="2" applyNumberFormat="1" applyFont="1" applyFill="1" applyBorder="1" applyAlignment="1">
      <alignment horizontal="left"/>
    </xf>
    <xf numFmtId="0" fontId="12" fillId="7" borderId="1" xfId="0" applyFont="1" applyFill="1" applyBorder="1" applyAlignment="1">
      <alignment horizontal="center"/>
    </xf>
    <xf numFmtId="0" fontId="18" fillId="5" borderId="8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2" fontId="12" fillId="7" borderId="5" xfId="2" applyNumberFormat="1" applyFont="1" applyFill="1" applyBorder="1" applyAlignment="1">
      <alignment horizontal="left"/>
    </xf>
    <xf numFmtId="2" fontId="12" fillId="7" borderId="6" xfId="2" applyNumberFormat="1" applyFont="1" applyFill="1" applyBorder="1" applyAlignment="1">
      <alignment horizontal="left"/>
    </xf>
    <xf numFmtId="14" fontId="17" fillId="5" borderId="16" xfId="0" applyNumberFormat="1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</cellXfs>
  <cellStyles count="9">
    <cellStyle name="Excel Built-in Normal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2 3" xfId="4" xr:uid="{00000000-0005-0000-0000-000004000000}"/>
    <cellStyle name="Normal 2 4" xfId="5" xr:uid="{00000000-0005-0000-0000-000005000000}"/>
    <cellStyle name="Normal 2 5" xfId="6" xr:uid="{00000000-0005-0000-0000-000006000000}"/>
    <cellStyle name="Normal 2 6" xfId="7" xr:uid="{00000000-0005-0000-0000-000007000000}"/>
    <cellStyle name="Normal 2 7" xfId="8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10580</xdr:colOff>
      <xdr:row>0</xdr:row>
      <xdr:rowOff>0</xdr:rowOff>
    </xdr:from>
    <xdr:to>
      <xdr:col>1</xdr:col>
      <xdr:colOff>721782</xdr:colOff>
      <xdr:row>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1555" y="0"/>
          <a:ext cx="711202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/>
      </xdr:nvCxnSpPr>
      <xdr:spPr>
        <a:xfrm>
          <a:off x="286385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679238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25</xdr:col>
      <xdr:colOff>370417</xdr:colOff>
      <xdr:row>0</xdr:row>
      <xdr:rowOff>0</xdr:rowOff>
    </xdr:from>
    <xdr:ext cx="2391833" cy="38097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12000442" y="0"/>
          <a:ext cx="2391833" cy="380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8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930567D-F4FE-40DA-B593-8B0AB2AD3F94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AE138E4-8198-4F5F-BC9E-938F4DB77011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169A8876-B403-469C-A1C4-2E43824B5833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0</xdr:colOff>
      <xdr:row>0</xdr:row>
      <xdr:rowOff>388408</xdr:rowOff>
    </xdr:from>
    <xdr:ext cx="740834" cy="52123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9F9D6C6-32DF-4D1C-948A-25BFFC874E12}"/>
            </a:ext>
          </a:extLst>
        </xdr:cNvPr>
        <xdr:cNvSpPr txBox="1"/>
      </xdr:nvSpPr>
      <xdr:spPr>
        <a:xfrm>
          <a:off x="14108906" y="388408"/>
          <a:ext cx="740834" cy="521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2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D62E1A9D-3B79-4170-AC05-0AA7476BC588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FA55D19-6C30-4FAA-ABE7-F1C746CE6AD8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3453B5A7-16FE-4D91-8448-3340FB88D395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8F9A04F3-A8E0-4211-B844-F61B110CCAF6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F24181E2-0C2E-47BB-B476-A8FA1DEAD472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D630F3C4-6FA6-44E2-BFE6-35C0BACCF659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8ADDC26B-BF71-4C85-9172-432E4C04BB24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F4C2C8D4-45A7-483D-B676-F16E1448CB45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500062</xdr:colOff>
      <xdr:row>6</xdr:row>
      <xdr:rowOff>19314</xdr:rowOff>
    </xdr:from>
    <xdr:ext cx="740834" cy="280205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C38CBE4-3DEE-4AFA-8BA6-9F44DEC3CFF0}"/>
            </a:ext>
          </a:extLst>
        </xdr:cNvPr>
        <xdr:cNvSpPr txBox="1"/>
      </xdr:nvSpPr>
      <xdr:spPr>
        <a:xfrm>
          <a:off x="17811750" y="1495689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7B975F7E-5AFD-4DAD-A279-E16F571815BC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E591A421-71AC-4EA4-8443-97037ABE13F6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2B6EE0CB-C13B-4CDC-BFB6-DF78FEA4BABC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25A9D503-7D54-4F91-AE74-80FE69862D9D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EB782B8D-485D-4B43-A848-F605930A9E1C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537D951F-A3B8-4477-8B84-6FD54CA8B4CA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5786F20F-4BB3-4AB1-B3BE-A0EC62CEFA37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58644F0C-1D2E-4A76-9493-9BE75C43D188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A9F52A46-5AEB-4F7C-BD1A-B9950C5C58DA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FF1D768-10C5-49DC-8EB7-3CFF0FCCDF2A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AC5FEFC3-7990-472D-9C4D-0E5C60606178}"/>
            </a:ext>
          </a:extLst>
        </xdr:cNvPr>
        <xdr:cNvSpPr txBox="1"/>
      </xdr:nvSpPr>
      <xdr:spPr>
        <a:xfrm>
          <a:off x="146462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FF508F8B-10DE-4CAA-989F-4BDF1F5AE20B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8244B1A1-0A76-4B3E-B18C-9D8BB17A2392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V="1">
          <a:off x="180975" y="677333"/>
          <a:ext cx="15736359" cy="105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00024" y="687917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1830050" y="1026583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25</xdr:col>
      <xdr:colOff>370417</xdr:colOff>
      <xdr:row>0</xdr:row>
      <xdr:rowOff>0</xdr:rowOff>
    </xdr:from>
    <xdr:ext cx="2391833" cy="38097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12000442" y="0"/>
          <a:ext cx="2391833" cy="380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8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1</xdr:row>
      <xdr:rowOff>257176</xdr:rowOff>
    </xdr:to>
    <xdr:pic>
      <xdr:nvPicPr>
        <xdr:cNvPr id="31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2000" y="9527"/>
          <a:ext cx="632442" cy="638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105833</xdr:rowOff>
    </xdr:from>
    <xdr:to>
      <xdr:col>33</xdr:col>
      <xdr:colOff>0</xdr:colOff>
      <xdr:row>0</xdr:row>
      <xdr:rowOff>105833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H="1">
          <a:off x="180975" y="105833"/>
          <a:ext cx="157257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33</xdr:col>
      <xdr:colOff>10584</xdr:colOff>
      <xdr:row>0</xdr:row>
      <xdr:rowOff>687917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 flipV="1">
          <a:off x="180975" y="677333"/>
          <a:ext cx="15736359" cy="105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11819467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00024" y="687917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 flipV="1">
          <a:off x="180975" y="390525"/>
          <a:ext cx="15049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>
          <a:off x="286385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1245552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1201102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1201102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1245552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1201102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679238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25</xdr:col>
      <xdr:colOff>370417</xdr:colOff>
      <xdr:row>0</xdr:row>
      <xdr:rowOff>0</xdr:rowOff>
    </xdr:from>
    <xdr:ext cx="2391833" cy="38097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12000442" y="0"/>
          <a:ext cx="2391833" cy="380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8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2</xdr:row>
      <xdr:rowOff>10583</xdr:rowOff>
    </xdr:to>
    <xdr:pic>
      <xdr:nvPicPr>
        <xdr:cNvPr id="51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0942" y="9527"/>
          <a:ext cx="632442" cy="667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33</xdr:col>
      <xdr:colOff>0</xdr:colOff>
      <xdr:row>0</xdr:row>
      <xdr:rowOff>105833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H="1">
          <a:off x="180975" y="105833"/>
          <a:ext cx="152876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33</xdr:col>
      <xdr:colOff>10584</xdr:colOff>
      <xdr:row>0</xdr:row>
      <xdr:rowOff>687917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180975" y="391583"/>
          <a:ext cx="15298209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2400492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282950" y="116417"/>
          <a:ext cx="3176" cy="278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28555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 flipV="1">
          <a:off x="180975" y="390525"/>
          <a:ext cx="152876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28295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128555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124110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124110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>
          <a:off x="120470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CxnSpPr/>
      </xdr:nvCxnSpPr>
      <xdr:spPr>
        <a:xfrm>
          <a:off x="135625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128555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124110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721148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/>
      </xdr:nvCxnSpPr>
      <xdr:spPr>
        <a:xfrm>
          <a:off x="120470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/>
      </xdr:nvCxnSpPr>
      <xdr:spPr>
        <a:xfrm>
          <a:off x="135625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1285557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/>
      </xdr:nvSpPr>
      <xdr:spPr>
        <a:xfrm>
          <a:off x="1241107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2</xdr:row>
      <xdr:rowOff>0</xdr:rowOff>
    </xdr:to>
    <xdr:pic>
      <xdr:nvPicPr>
        <xdr:cNvPr id="36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2000" y="9527"/>
          <a:ext cx="632442" cy="657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72114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/>
      </xdr:nvCxnSpPr>
      <xdr:spPr>
        <a:xfrm>
          <a:off x="1204700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CxnSpPr/>
      </xdr:nvCxnSpPr>
      <xdr:spPr>
        <a:xfrm>
          <a:off x="1356254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10580</xdr:colOff>
      <xdr:row>0</xdr:row>
      <xdr:rowOff>28575</xdr:rowOff>
    </xdr:from>
    <xdr:to>
      <xdr:col>1</xdr:col>
      <xdr:colOff>740832</xdr:colOff>
      <xdr:row>1</xdr:row>
      <xdr:rowOff>257176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1555" y="28575"/>
          <a:ext cx="730252" cy="619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2692400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122840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33</xdr:col>
      <xdr:colOff>0</xdr:colOff>
      <xdr:row>0</xdr:row>
      <xdr:rowOff>105833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>
        <a:xfrm flipH="1">
          <a:off x="180975" y="105833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33</xdr:col>
      <xdr:colOff>10584</xdr:colOff>
      <xdr:row>0</xdr:row>
      <xdr:rowOff>687917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 flipV="1">
          <a:off x="180975" y="391583"/>
          <a:ext cx="14755284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/>
      </xdr:nvCxnSpPr>
      <xdr:spPr>
        <a:xfrm>
          <a:off x="11828992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/>
      </xdr:nvCxnSpPr>
      <xdr:spPr>
        <a:xfrm>
          <a:off x="2692400" y="116417"/>
          <a:ext cx="3176" cy="278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122840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 flipV="1">
          <a:off x="180975" y="390525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662093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1228407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1183957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662093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>
          <a:off x="1147550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/>
      </xdr:nvCxnSpPr>
      <xdr:spPr>
        <a:xfrm>
          <a:off x="1299104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2882900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33</xdr:col>
      <xdr:colOff>0</xdr:colOff>
      <xdr:row>0</xdr:row>
      <xdr:rowOff>105833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 flipH="1">
          <a:off x="180975" y="105833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33</xdr:col>
      <xdr:colOff>10584</xdr:colOff>
      <xdr:row>0</xdr:row>
      <xdr:rowOff>687917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 flipV="1">
          <a:off x="180975" y="391583"/>
          <a:ext cx="14755284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>
        <a:xfrm>
          <a:off x="11828992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/>
      </xdr:nvCxnSpPr>
      <xdr:spPr>
        <a:xfrm>
          <a:off x="2692400" y="116417"/>
          <a:ext cx="3176" cy="278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122840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 flipV="1">
          <a:off x="180975" y="390525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662093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1228407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1183957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1</xdr:row>
      <xdr:rowOff>264584</xdr:rowOff>
    </xdr:to>
    <xdr:pic>
      <xdr:nvPicPr>
        <xdr:cNvPr id="38" name="Picture 10" descr="http://www.lakecement.com/images/logo.jpg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0942" y="168277"/>
          <a:ext cx="632442" cy="646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662093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/>
      </xdr:nvCxnSpPr>
      <xdr:spPr>
        <a:xfrm>
          <a:off x="1147550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CxnSpPr/>
      </xdr:nvCxnSpPr>
      <xdr:spPr>
        <a:xfrm>
          <a:off x="1299104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10580</xdr:colOff>
      <xdr:row>0</xdr:row>
      <xdr:rowOff>0</xdr:rowOff>
    </xdr:from>
    <xdr:to>
      <xdr:col>1</xdr:col>
      <xdr:colOff>721782</xdr:colOff>
      <xdr:row>2</xdr:row>
      <xdr:rowOff>21167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497" y="0"/>
          <a:ext cx="711202" cy="687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141033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33</xdr:col>
      <xdr:colOff>0</xdr:colOff>
      <xdr:row>0</xdr:row>
      <xdr:rowOff>105833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 flipH="1">
          <a:off x="180975" y="105833"/>
          <a:ext cx="149256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33</xdr:col>
      <xdr:colOff>10584</xdr:colOff>
      <xdr:row>0</xdr:row>
      <xdr:rowOff>687917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/>
      </xdr:nvCxnSpPr>
      <xdr:spPr>
        <a:xfrm flipV="1">
          <a:off x="180975" y="391583"/>
          <a:ext cx="14936259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>
        <a:xfrm>
          <a:off x="12029017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1248410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/>
      </xdr:nvCxnSpPr>
      <xdr:spPr>
        <a:xfrm flipV="1">
          <a:off x="180975" y="390525"/>
          <a:ext cx="149256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12039600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12039600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CxnSpPr/>
      </xdr:nvCxnSpPr>
      <xdr:spPr>
        <a:xfrm>
          <a:off x="11675533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CxnSpPr/>
      </xdr:nvCxnSpPr>
      <xdr:spPr>
        <a:xfrm>
          <a:off x="13191067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12039600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6820959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CxnSpPr/>
      </xdr:nvCxnSpPr>
      <xdr:spPr>
        <a:xfrm>
          <a:off x="11675533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CxnSpPr/>
      </xdr:nvCxnSpPr>
      <xdr:spPr>
        <a:xfrm>
          <a:off x="13191067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12484100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12039600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6820959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CxnSpPr/>
      </xdr:nvCxnSpPr>
      <xdr:spPr>
        <a:xfrm>
          <a:off x="11675533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CxnSpPr/>
      </xdr:nvCxnSpPr>
      <xdr:spPr>
        <a:xfrm>
          <a:off x="13191067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632442</xdr:colOff>
      <xdr:row>2</xdr:row>
      <xdr:rowOff>311547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9080" y="190500"/>
          <a:ext cx="632442" cy="593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74"/>
  <sheetViews>
    <sheetView topLeftCell="I1" zoomScale="80" zoomScaleNormal="80" workbookViewId="0">
      <pane ySplit="4" topLeftCell="A29" activePane="bottomLeft" state="frozen"/>
      <selection activeCell="F1" sqref="F1"/>
      <selection pane="bottomLeft" activeCell="AK9" sqref="AK9"/>
    </sheetView>
  </sheetViews>
  <sheetFormatPr defaultColWidth="8.85546875" defaultRowHeight="12.75"/>
  <cols>
    <col min="1" max="1" width="2.7109375" style="5" customWidth="1"/>
    <col min="2" max="2" width="36.7109375" style="1" bestFit="1" customWidth="1"/>
    <col min="3" max="4" width="7.140625" style="20" customWidth="1"/>
    <col min="5" max="5" width="7.85546875" style="27" bestFit="1" customWidth="1"/>
    <col min="6" max="32" width="7.140625" style="27" customWidth="1"/>
    <col min="33" max="33" width="13.140625" style="15" customWidth="1"/>
    <col min="34" max="16384" width="8.85546875" style="5"/>
  </cols>
  <sheetData>
    <row r="1" spans="2:33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2:33" s="31" customFormat="1" ht="22.15" customHeight="1" thickBot="1">
      <c r="B2" s="100" t="s">
        <v>0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</row>
    <row r="3" spans="2:33" s="31" customFormat="1" ht="25.15" customHeight="1" thickBot="1">
      <c r="B3" s="102" t="s">
        <v>1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4"/>
      <c r="AE3" s="84"/>
      <c r="AF3" s="84"/>
      <c r="AG3" s="82">
        <v>46142</v>
      </c>
    </row>
    <row r="4" spans="2:33">
      <c r="B4" s="34" t="s">
        <v>2</v>
      </c>
      <c r="C4" s="91">
        <v>46113</v>
      </c>
      <c r="D4" s="91">
        <v>46114</v>
      </c>
      <c r="E4" s="91">
        <v>46115</v>
      </c>
      <c r="F4" s="91">
        <v>46116</v>
      </c>
      <c r="G4" s="91">
        <v>46117</v>
      </c>
      <c r="H4" s="91">
        <v>46118</v>
      </c>
      <c r="I4" s="91">
        <v>46119</v>
      </c>
      <c r="J4" s="91">
        <v>46120</v>
      </c>
      <c r="K4" s="91">
        <v>46121</v>
      </c>
      <c r="L4" s="91">
        <v>46122</v>
      </c>
      <c r="M4" s="91">
        <v>46123</v>
      </c>
      <c r="N4" s="91">
        <v>46124</v>
      </c>
      <c r="O4" s="91">
        <v>46125</v>
      </c>
      <c r="P4" s="91">
        <v>46126</v>
      </c>
      <c r="Q4" s="91">
        <v>46127</v>
      </c>
      <c r="R4" s="91">
        <v>46128</v>
      </c>
      <c r="S4" s="91">
        <v>46129</v>
      </c>
      <c r="T4" s="91">
        <v>46130</v>
      </c>
      <c r="U4" s="91">
        <v>46131</v>
      </c>
      <c r="V4" s="91">
        <v>46132</v>
      </c>
      <c r="W4" s="91">
        <v>46133</v>
      </c>
      <c r="X4" s="91">
        <v>46134</v>
      </c>
      <c r="Y4" s="91">
        <v>46135</v>
      </c>
      <c r="Z4" s="91">
        <v>46136</v>
      </c>
      <c r="AA4" s="91">
        <v>46137</v>
      </c>
      <c r="AB4" s="91">
        <v>46138</v>
      </c>
      <c r="AC4" s="91">
        <v>46139</v>
      </c>
      <c r="AD4" s="91">
        <v>46140</v>
      </c>
      <c r="AE4" s="91">
        <v>46141</v>
      </c>
      <c r="AF4" s="91">
        <v>46142</v>
      </c>
      <c r="AG4" s="65" t="s">
        <v>3</v>
      </c>
    </row>
    <row r="5" spans="2:33">
      <c r="B5" s="66" t="s">
        <v>4</v>
      </c>
      <c r="C5" s="79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67"/>
    </row>
    <row r="6" spans="2:33">
      <c r="B6" s="10" t="s">
        <v>5</v>
      </c>
      <c r="C6" s="92">
        <v>0</v>
      </c>
      <c r="D6" s="92">
        <v>0</v>
      </c>
      <c r="E6" s="92">
        <v>0</v>
      </c>
      <c r="F6" s="92">
        <v>0</v>
      </c>
      <c r="G6" s="92">
        <v>0</v>
      </c>
      <c r="H6" s="92">
        <v>0</v>
      </c>
      <c r="I6" s="92">
        <v>0</v>
      </c>
      <c r="J6" s="92">
        <v>0</v>
      </c>
      <c r="K6" s="92"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2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92">
        <v>0</v>
      </c>
      <c r="AG6" s="68">
        <f>SUM(C6:AF6)</f>
        <v>0</v>
      </c>
    </row>
    <row r="7" spans="2:33">
      <c r="B7" s="10" t="s">
        <v>6</v>
      </c>
      <c r="C7" s="92">
        <v>0</v>
      </c>
      <c r="D7" s="92">
        <v>0</v>
      </c>
      <c r="E7" s="92">
        <v>0</v>
      </c>
      <c r="F7" s="92">
        <v>0</v>
      </c>
      <c r="G7" s="92">
        <v>0</v>
      </c>
      <c r="H7" s="92">
        <v>0</v>
      </c>
      <c r="I7" s="92">
        <v>0</v>
      </c>
      <c r="J7" s="92">
        <v>0</v>
      </c>
      <c r="K7" s="89">
        <v>4</v>
      </c>
      <c r="L7" s="92">
        <v>0</v>
      </c>
      <c r="M7" s="92">
        <v>0</v>
      </c>
      <c r="N7" s="92">
        <v>0</v>
      </c>
      <c r="O7" s="92">
        <v>0</v>
      </c>
      <c r="P7" s="92">
        <v>0</v>
      </c>
      <c r="Q7" s="92">
        <v>0</v>
      </c>
      <c r="R7" s="92">
        <v>0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92">
        <v>0</v>
      </c>
      <c r="Y7" s="92">
        <v>0</v>
      </c>
      <c r="Z7" s="92">
        <v>0</v>
      </c>
      <c r="AA7" s="92">
        <v>0</v>
      </c>
      <c r="AB7" s="92">
        <v>0</v>
      </c>
      <c r="AC7" s="92">
        <v>0</v>
      </c>
      <c r="AD7" s="92">
        <v>0</v>
      </c>
      <c r="AE7" s="92">
        <v>0</v>
      </c>
      <c r="AF7" s="92">
        <v>0</v>
      </c>
      <c r="AG7" s="92">
        <f t="shared" ref="AG7:AG21" si="0">SUM(C7:AF7)</f>
        <v>4</v>
      </c>
    </row>
    <row r="8" spans="2:33">
      <c r="B8" s="10" t="s">
        <v>7</v>
      </c>
      <c r="C8" s="92">
        <v>0</v>
      </c>
      <c r="D8" s="92">
        <v>0</v>
      </c>
      <c r="E8" s="92">
        <v>0</v>
      </c>
      <c r="F8" s="92">
        <v>0</v>
      </c>
      <c r="G8" s="92">
        <v>0</v>
      </c>
      <c r="H8" s="92">
        <v>0</v>
      </c>
      <c r="I8" s="92">
        <v>0</v>
      </c>
      <c r="J8" s="92">
        <v>0</v>
      </c>
      <c r="K8" s="92"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2">
        <v>0</v>
      </c>
      <c r="R8" s="92">
        <v>0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92">
        <v>0</v>
      </c>
      <c r="Y8" s="92">
        <v>0</v>
      </c>
      <c r="Z8" s="92">
        <v>0</v>
      </c>
      <c r="AA8" s="92">
        <v>0</v>
      </c>
      <c r="AB8" s="92">
        <v>0</v>
      </c>
      <c r="AC8" s="92">
        <v>0</v>
      </c>
      <c r="AD8" s="92">
        <v>0</v>
      </c>
      <c r="AE8" s="92">
        <v>0</v>
      </c>
      <c r="AF8" s="92">
        <v>0</v>
      </c>
      <c r="AG8" s="92">
        <f t="shared" si="0"/>
        <v>0</v>
      </c>
    </row>
    <row r="9" spans="2:33">
      <c r="B9" s="10" t="s">
        <v>8</v>
      </c>
      <c r="C9" s="92">
        <v>0</v>
      </c>
      <c r="D9" s="92">
        <v>0</v>
      </c>
      <c r="E9" s="92">
        <v>0</v>
      </c>
      <c r="F9" s="92">
        <v>0</v>
      </c>
      <c r="G9" s="92">
        <v>0</v>
      </c>
      <c r="H9" s="92">
        <v>0</v>
      </c>
      <c r="I9" s="92">
        <v>0</v>
      </c>
      <c r="J9" s="92">
        <v>0</v>
      </c>
      <c r="K9" s="92">
        <v>0</v>
      </c>
      <c r="L9" s="92">
        <v>0</v>
      </c>
      <c r="M9" s="92">
        <v>0</v>
      </c>
      <c r="N9" s="92">
        <v>0</v>
      </c>
      <c r="O9" s="92">
        <v>0</v>
      </c>
      <c r="P9" s="92">
        <v>0</v>
      </c>
      <c r="Q9" s="92">
        <v>0</v>
      </c>
      <c r="R9" s="92">
        <v>0</v>
      </c>
      <c r="S9" s="92">
        <v>0</v>
      </c>
      <c r="T9" s="92">
        <v>0</v>
      </c>
      <c r="U9" s="92">
        <v>0</v>
      </c>
      <c r="V9" s="92">
        <v>0</v>
      </c>
      <c r="W9" s="92">
        <v>0</v>
      </c>
      <c r="X9" s="92">
        <v>0</v>
      </c>
      <c r="Y9" s="92">
        <v>0</v>
      </c>
      <c r="Z9" s="92">
        <v>0</v>
      </c>
      <c r="AA9" s="92">
        <v>0</v>
      </c>
      <c r="AB9" s="92">
        <v>0</v>
      </c>
      <c r="AC9" s="92">
        <v>0</v>
      </c>
      <c r="AD9" s="92">
        <v>0</v>
      </c>
      <c r="AE9" s="92">
        <v>0</v>
      </c>
      <c r="AF9" s="92">
        <v>0</v>
      </c>
      <c r="AG9" s="92">
        <f t="shared" si="0"/>
        <v>0</v>
      </c>
    </row>
    <row r="10" spans="2:33" ht="12.75" customHeight="1">
      <c r="B10" s="10" t="s">
        <v>9</v>
      </c>
      <c r="C10" s="92">
        <v>0</v>
      </c>
      <c r="D10" s="92">
        <v>0</v>
      </c>
      <c r="E10" s="92">
        <v>0</v>
      </c>
      <c r="F10" s="92">
        <v>0</v>
      </c>
      <c r="G10" s="92">
        <v>0</v>
      </c>
      <c r="H10" s="92">
        <v>0</v>
      </c>
      <c r="I10" s="92">
        <v>0</v>
      </c>
      <c r="J10" s="92">
        <v>0</v>
      </c>
      <c r="K10" s="92">
        <v>0</v>
      </c>
      <c r="L10" s="92">
        <v>0</v>
      </c>
      <c r="M10" s="92">
        <v>0</v>
      </c>
      <c r="N10" s="92">
        <v>0</v>
      </c>
      <c r="O10" s="92">
        <v>0</v>
      </c>
      <c r="P10" s="92">
        <v>0</v>
      </c>
      <c r="Q10" s="92">
        <v>0</v>
      </c>
      <c r="R10" s="92">
        <v>0</v>
      </c>
      <c r="S10" s="92">
        <v>0</v>
      </c>
      <c r="T10" s="92">
        <v>0</v>
      </c>
      <c r="U10" s="92">
        <v>0</v>
      </c>
      <c r="V10" s="92">
        <v>0</v>
      </c>
      <c r="W10" s="92">
        <v>0</v>
      </c>
      <c r="X10" s="92">
        <v>0</v>
      </c>
      <c r="Y10" s="92">
        <v>0</v>
      </c>
      <c r="Z10" s="92">
        <v>0</v>
      </c>
      <c r="AA10" s="92">
        <v>0</v>
      </c>
      <c r="AB10" s="92">
        <v>0</v>
      </c>
      <c r="AC10" s="92">
        <v>0</v>
      </c>
      <c r="AD10" s="92">
        <v>0</v>
      </c>
      <c r="AE10" s="92">
        <v>0</v>
      </c>
      <c r="AF10" s="92">
        <v>0</v>
      </c>
      <c r="AG10" s="92">
        <f t="shared" si="0"/>
        <v>0</v>
      </c>
    </row>
    <row r="11" spans="2:33">
      <c r="B11" s="10" t="s">
        <v>10</v>
      </c>
      <c r="C11" s="92">
        <v>0</v>
      </c>
      <c r="D11" s="92">
        <v>0</v>
      </c>
      <c r="E11" s="92">
        <v>0</v>
      </c>
      <c r="F11" s="92">
        <v>0</v>
      </c>
      <c r="G11" s="92">
        <v>0</v>
      </c>
      <c r="H11" s="92">
        <v>0</v>
      </c>
      <c r="I11" s="92">
        <v>0</v>
      </c>
      <c r="J11" s="92">
        <v>0</v>
      </c>
      <c r="K11" s="92">
        <v>0</v>
      </c>
      <c r="L11" s="92">
        <v>0</v>
      </c>
      <c r="M11" s="92">
        <v>0</v>
      </c>
      <c r="N11" s="92">
        <v>0</v>
      </c>
      <c r="O11" s="92">
        <v>0</v>
      </c>
      <c r="P11" s="92">
        <v>0</v>
      </c>
      <c r="Q11" s="92">
        <v>0</v>
      </c>
      <c r="R11" s="92">
        <v>0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92">
        <v>0</v>
      </c>
      <c r="Y11" s="92">
        <v>0</v>
      </c>
      <c r="Z11" s="92">
        <v>0</v>
      </c>
      <c r="AA11" s="92">
        <v>0</v>
      </c>
      <c r="AB11" s="92">
        <v>0</v>
      </c>
      <c r="AC11" s="92">
        <v>0</v>
      </c>
      <c r="AD11" s="92">
        <v>0</v>
      </c>
      <c r="AE11" s="92">
        <v>0</v>
      </c>
      <c r="AF11" s="92">
        <v>0</v>
      </c>
      <c r="AG11" s="92">
        <f t="shared" si="0"/>
        <v>0</v>
      </c>
    </row>
    <row r="12" spans="2:33">
      <c r="B12" s="10" t="s">
        <v>11</v>
      </c>
      <c r="C12" s="92">
        <v>0</v>
      </c>
      <c r="D12" s="92">
        <v>0</v>
      </c>
      <c r="E12" s="92">
        <v>0</v>
      </c>
      <c r="F12" s="92">
        <v>0</v>
      </c>
      <c r="G12" s="92">
        <v>0</v>
      </c>
      <c r="H12" s="92">
        <v>0</v>
      </c>
      <c r="I12" s="92">
        <v>0</v>
      </c>
      <c r="J12" s="92">
        <v>0</v>
      </c>
      <c r="K12" s="92">
        <v>0</v>
      </c>
      <c r="L12" s="92">
        <v>0</v>
      </c>
      <c r="M12" s="92">
        <v>0</v>
      </c>
      <c r="N12" s="92">
        <v>0</v>
      </c>
      <c r="O12" s="92">
        <v>0</v>
      </c>
      <c r="P12" s="92">
        <v>0</v>
      </c>
      <c r="Q12" s="92">
        <v>0</v>
      </c>
      <c r="R12" s="92">
        <v>0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92">
        <v>0</v>
      </c>
      <c r="Y12" s="92">
        <v>0</v>
      </c>
      <c r="Z12" s="92">
        <v>0</v>
      </c>
      <c r="AA12" s="92">
        <v>0</v>
      </c>
      <c r="AB12" s="92">
        <v>0</v>
      </c>
      <c r="AC12" s="92">
        <v>0</v>
      </c>
      <c r="AD12" s="92">
        <v>0</v>
      </c>
      <c r="AE12" s="92">
        <v>0</v>
      </c>
      <c r="AF12" s="92">
        <v>0</v>
      </c>
      <c r="AG12" s="92">
        <f t="shared" si="0"/>
        <v>0</v>
      </c>
    </row>
    <row r="13" spans="2:33">
      <c r="B13" s="10" t="s">
        <v>12</v>
      </c>
      <c r="C13" s="92">
        <v>0</v>
      </c>
      <c r="D13" s="92">
        <v>0</v>
      </c>
      <c r="E13" s="92">
        <v>0</v>
      </c>
      <c r="F13" s="92">
        <v>0</v>
      </c>
      <c r="G13" s="92">
        <v>0</v>
      </c>
      <c r="H13" s="92">
        <v>0</v>
      </c>
      <c r="I13" s="92">
        <v>0</v>
      </c>
      <c r="J13" s="92">
        <v>0</v>
      </c>
      <c r="K13" s="92">
        <v>0</v>
      </c>
      <c r="L13" s="92">
        <v>0</v>
      </c>
      <c r="M13" s="92">
        <v>0</v>
      </c>
      <c r="N13" s="92">
        <v>0</v>
      </c>
      <c r="O13" s="92">
        <v>0</v>
      </c>
      <c r="P13" s="92">
        <v>0</v>
      </c>
      <c r="Q13" s="92">
        <v>0</v>
      </c>
      <c r="R13" s="92">
        <v>0</v>
      </c>
      <c r="S13" s="92">
        <v>0</v>
      </c>
      <c r="T13" s="92">
        <v>0</v>
      </c>
      <c r="U13" s="92">
        <v>0</v>
      </c>
      <c r="V13" s="92">
        <v>0</v>
      </c>
      <c r="W13" s="92">
        <v>0</v>
      </c>
      <c r="X13" s="92">
        <v>0</v>
      </c>
      <c r="Y13" s="92">
        <v>0</v>
      </c>
      <c r="Z13" s="92">
        <v>0</v>
      </c>
      <c r="AA13" s="92">
        <v>0</v>
      </c>
      <c r="AB13" s="92">
        <v>0</v>
      </c>
      <c r="AC13" s="92">
        <v>0</v>
      </c>
      <c r="AD13" s="92">
        <v>0</v>
      </c>
      <c r="AE13" s="92">
        <v>0</v>
      </c>
      <c r="AF13" s="92">
        <v>0</v>
      </c>
      <c r="AG13" s="92">
        <f t="shared" si="0"/>
        <v>0</v>
      </c>
    </row>
    <row r="14" spans="2:33">
      <c r="B14" s="10" t="s">
        <v>13</v>
      </c>
      <c r="C14" s="92">
        <v>0</v>
      </c>
      <c r="D14" s="92">
        <v>0</v>
      </c>
      <c r="E14" s="92">
        <v>0</v>
      </c>
      <c r="F14" s="92">
        <v>0</v>
      </c>
      <c r="G14" s="92">
        <v>0</v>
      </c>
      <c r="H14" s="92">
        <v>0</v>
      </c>
      <c r="I14" s="92">
        <v>0</v>
      </c>
      <c r="J14" s="92">
        <v>0</v>
      </c>
      <c r="K14" s="92">
        <v>0</v>
      </c>
      <c r="L14" s="92">
        <v>0</v>
      </c>
      <c r="M14" s="92">
        <v>0</v>
      </c>
      <c r="N14" s="92">
        <v>0</v>
      </c>
      <c r="O14" s="92">
        <v>0</v>
      </c>
      <c r="P14" s="92">
        <v>0</v>
      </c>
      <c r="Q14" s="92">
        <v>0</v>
      </c>
      <c r="R14" s="92">
        <v>0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92">
        <v>0</v>
      </c>
      <c r="Y14" s="92">
        <v>0</v>
      </c>
      <c r="Z14" s="92">
        <v>0</v>
      </c>
      <c r="AA14" s="92">
        <v>0</v>
      </c>
      <c r="AB14" s="92">
        <v>0</v>
      </c>
      <c r="AC14" s="92">
        <v>0</v>
      </c>
      <c r="AD14" s="92">
        <v>0</v>
      </c>
      <c r="AE14" s="92">
        <v>0</v>
      </c>
      <c r="AF14" s="92">
        <v>0</v>
      </c>
      <c r="AG14" s="92">
        <f t="shared" si="0"/>
        <v>0</v>
      </c>
    </row>
    <row r="15" spans="2:33">
      <c r="B15" s="10" t="s">
        <v>14</v>
      </c>
      <c r="C15" s="92">
        <v>0</v>
      </c>
      <c r="D15" s="92">
        <v>0</v>
      </c>
      <c r="E15" s="92">
        <v>0</v>
      </c>
      <c r="F15" s="92">
        <v>0</v>
      </c>
      <c r="G15" s="92">
        <v>0</v>
      </c>
      <c r="H15" s="92">
        <v>0</v>
      </c>
      <c r="I15" s="92">
        <v>0</v>
      </c>
      <c r="J15" s="92">
        <v>0</v>
      </c>
      <c r="K15" s="92">
        <v>0</v>
      </c>
      <c r="L15" s="92">
        <v>0</v>
      </c>
      <c r="M15" s="92">
        <v>0</v>
      </c>
      <c r="N15" s="92">
        <v>0</v>
      </c>
      <c r="O15" s="92">
        <v>0</v>
      </c>
      <c r="P15" s="92">
        <v>0</v>
      </c>
      <c r="Q15" s="92">
        <v>0</v>
      </c>
      <c r="R15" s="92">
        <v>0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92">
        <v>0</v>
      </c>
      <c r="Y15" s="92">
        <v>0</v>
      </c>
      <c r="Z15" s="92">
        <v>0</v>
      </c>
      <c r="AA15" s="92">
        <v>0</v>
      </c>
      <c r="AB15" s="92">
        <v>0</v>
      </c>
      <c r="AC15" s="92">
        <v>0</v>
      </c>
      <c r="AD15" s="92">
        <v>0</v>
      </c>
      <c r="AE15" s="92">
        <v>0</v>
      </c>
      <c r="AF15" s="92">
        <v>0</v>
      </c>
      <c r="AG15" s="92">
        <f t="shared" si="0"/>
        <v>0</v>
      </c>
    </row>
    <row r="16" spans="2:33">
      <c r="B16" s="10" t="s">
        <v>15</v>
      </c>
      <c r="C16" s="92">
        <v>0</v>
      </c>
      <c r="D16" s="92">
        <v>0</v>
      </c>
      <c r="E16" s="92">
        <v>0</v>
      </c>
      <c r="F16" s="92">
        <v>0</v>
      </c>
      <c r="G16" s="92">
        <v>0</v>
      </c>
      <c r="H16" s="92">
        <v>0</v>
      </c>
      <c r="I16" s="92">
        <v>0</v>
      </c>
      <c r="J16" s="92">
        <v>0</v>
      </c>
      <c r="K16" s="92">
        <v>0</v>
      </c>
      <c r="L16" s="92">
        <v>0</v>
      </c>
      <c r="M16" s="92">
        <v>0</v>
      </c>
      <c r="N16" s="92">
        <v>0</v>
      </c>
      <c r="O16" s="89">
        <v>2</v>
      </c>
      <c r="P16" s="92">
        <v>0</v>
      </c>
      <c r="Q16" s="92">
        <v>0</v>
      </c>
      <c r="R16" s="92">
        <v>0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92">
        <v>0</v>
      </c>
      <c r="Y16" s="92">
        <v>0</v>
      </c>
      <c r="Z16" s="92">
        <v>0</v>
      </c>
      <c r="AA16" s="92">
        <v>0</v>
      </c>
      <c r="AB16" s="92">
        <v>0</v>
      </c>
      <c r="AC16" s="92">
        <v>0</v>
      </c>
      <c r="AD16" s="92">
        <v>0</v>
      </c>
      <c r="AE16" s="92">
        <v>0</v>
      </c>
      <c r="AF16" s="92">
        <v>0</v>
      </c>
      <c r="AG16" s="92">
        <f t="shared" si="0"/>
        <v>2</v>
      </c>
    </row>
    <row r="17" spans="2:33">
      <c r="B17" s="10" t="s">
        <v>16</v>
      </c>
      <c r="C17" s="92">
        <v>0</v>
      </c>
      <c r="D17" s="92">
        <v>0</v>
      </c>
      <c r="E17" s="92">
        <v>0</v>
      </c>
      <c r="F17" s="92">
        <v>0</v>
      </c>
      <c r="G17" s="92">
        <v>0</v>
      </c>
      <c r="H17" s="92">
        <v>0</v>
      </c>
      <c r="I17" s="92">
        <v>0</v>
      </c>
      <c r="J17" s="92">
        <v>0</v>
      </c>
      <c r="K17" s="92">
        <v>0</v>
      </c>
      <c r="L17" s="92">
        <v>0</v>
      </c>
      <c r="M17" s="92">
        <v>0</v>
      </c>
      <c r="N17" s="92">
        <v>0</v>
      </c>
      <c r="O17" s="92">
        <v>0</v>
      </c>
      <c r="P17" s="92">
        <v>0</v>
      </c>
      <c r="Q17" s="92">
        <v>0</v>
      </c>
      <c r="R17" s="92">
        <v>0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92">
        <v>0</v>
      </c>
      <c r="Y17" s="92">
        <v>0</v>
      </c>
      <c r="Z17" s="92">
        <v>0</v>
      </c>
      <c r="AA17" s="92">
        <v>0</v>
      </c>
      <c r="AB17" s="92">
        <v>0</v>
      </c>
      <c r="AC17" s="92">
        <v>0</v>
      </c>
      <c r="AD17" s="92">
        <v>0</v>
      </c>
      <c r="AE17" s="92">
        <v>0</v>
      </c>
      <c r="AF17" s="92">
        <v>0</v>
      </c>
      <c r="AG17" s="92">
        <f t="shared" si="0"/>
        <v>0</v>
      </c>
    </row>
    <row r="18" spans="2:33">
      <c r="B18" s="10" t="s">
        <v>17</v>
      </c>
      <c r="C18" s="92">
        <v>0</v>
      </c>
      <c r="D18" s="92">
        <v>0</v>
      </c>
      <c r="E18" s="92">
        <v>0</v>
      </c>
      <c r="F18" s="92">
        <v>0</v>
      </c>
      <c r="G18" s="92">
        <v>0</v>
      </c>
      <c r="H18" s="92">
        <v>0</v>
      </c>
      <c r="I18" s="92">
        <v>0</v>
      </c>
      <c r="J18" s="92">
        <v>0</v>
      </c>
      <c r="K18" s="92">
        <v>0</v>
      </c>
      <c r="L18" s="92">
        <v>0</v>
      </c>
      <c r="M18" s="92">
        <v>0</v>
      </c>
      <c r="N18" s="92">
        <v>0</v>
      </c>
      <c r="O18" s="92">
        <v>0</v>
      </c>
      <c r="P18" s="92">
        <v>0</v>
      </c>
      <c r="Q18" s="92">
        <v>0</v>
      </c>
      <c r="R18" s="92">
        <v>0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92">
        <v>0</v>
      </c>
      <c r="Y18" s="92">
        <v>0</v>
      </c>
      <c r="Z18" s="92">
        <v>0</v>
      </c>
      <c r="AA18" s="92">
        <v>0</v>
      </c>
      <c r="AB18" s="92">
        <v>0</v>
      </c>
      <c r="AC18" s="92">
        <v>0</v>
      </c>
      <c r="AD18" s="92">
        <v>0</v>
      </c>
      <c r="AE18" s="92">
        <v>0</v>
      </c>
      <c r="AF18" s="92">
        <v>0</v>
      </c>
      <c r="AG18" s="92">
        <f t="shared" si="0"/>
        <v>0</v>
      </c>
    </row>
    <row r="19" spans="2:33">
      <c r="B19" s="10" t="s">
        <v>18</v>
      </c>
      <c r="C19" s="92">
        <v>0</v>
      </c>
      <c r="D19" s="92">
        <v>0</v>
      </c>
      <c r="E19" s="92">
        <v>0</v>
      </c>
      <c r="F19" s="92">
        <v>0</v>
      </c>
      <c r="G19" s="92">
        <v>0</v>
      </c>
      <c r="H19" s="92">
        <v>0</v>
      </c>
      <c r="I19" s="92">
        <v>0</v>
      </c>
      <c r="J19" s="92">
        <v>0</v>
      </c>
      <c r="K19" s="92">
        <v>0</v>
      </c>
      <c r="L19" s="92">
        <v>0</v>
      </c>
      <c r="M19" s="92">
        <v>0</v>
      </c>
      <c r="N19" s="92">
        <v>0</v>
      </c>
      <c r="O19" s="92">
        <v>0</v>
      </c>
      <c r="P19" s="92">
        <v>0</v>
      </c>
      <c r="Q19" s="92">
        <v>0</v>
      </c>
      <c r="R19" s="92">
        <v>0</v>
      </c>
      <c r="S19" s="92">
        <v>0</v>
      </c>
      <c r="T19" s="92">
        <v>0</v>
      </c>
      <c r="U19" s="92">
        <v>0</v>
      </c>
      <c r="V19" s="92">
        <v>0</v>
      </c>
      <c r="W19" s="92">
        <v>0</v>
      </c>
      <c r="X19" s="92">
        <v>0</v>
      </c>
      <c r="Y19" s="92">
        <v>0</v>
      </c>
      <c r="Z19" s="92">
        <v>0</v>
      </c>
      <c r="AA19" s="92">
        <v>0</v>
      </c>
      <c r="AB19" s="92">
        <v>0</v>
      </c>
      <c r="AC19" s="92">
        <v>0</v>
      </c>
      <c r="AD19" s="92">
        <v>0</v>
      </c>
      <c r="AE19" s="92">
        <v>0</v>
      </c>
      <c r="AF19" s="92">
        <v>0</v>
      </c>
      <c r="AG19" s="92">
        <f t="shared" si="0"/>
        <v>0</v>
      </c>
    </row>
    <row r="20" spans="2:33">
      <c r="B20" s="10" t="s">
        <v>19</v>
      </c>
      <c r="C20" s="92">
        <v>0</v>
      </c>
      <c r="D20" s="92">
        <v>0</v>
      </c>
      <c r="E20" s="92">
        <v>0</v>
      </c>
      <c r="F20" s="92">
        <v>0</v>
      </c>
      <c r="G20" s="92">
        <v>0</v>
      </c>
      <c r="H20" s="92">
        <v>0</v>
      </c>
      <c r="I20" s="92">
        <v>0</v>
      </c>
      <c r="J20" s="92">
        <v>0</v>
      </c>
      <c r="K20" s="92">
        <v>0</v>
      </c>
      <c r="L20" s="92">
        <v>0</v>
      </c>
      <c r="M20" s="92">
        <v>0</v>
      </c>
      <c r="N20" s="92">
        <v>0</v>
      </c>
      <c r="O20" s="92">
        <v>0</v>
      </c>
      <c r="P20" s="92">
        <v>0</v>
      </c>
      <c r="Q20" s="92">
        <v>0</v>
      </c>
      <c r="R20" s="92">
        <v>0</v>
      </c>
      <c r="S20" s="92">
        <v>0</v>
      </c>
      <c r="T20" s="92">
        <v>0</v>
      </c>
      <c r="U20" s="92">
        <v>0</v>
      </c>
      <c r="V20" s="92">
        <v>0</v>
      </c>
      <c r="W20" s="92">
        <v>0</v>
      </c>
      <c r="X20" s="92">
        <v>0</v>
      </c>
      <c r="Y20" s="92">
        <v>0</v>
      </c>
      <c r="Z20" s="92">
        <v>0</v>
      </c>
      <c r="AA20" s="92">
        <v>0</v>
      </c>
      <c r="AB20" s="92">
        <v>0</v>
      </c>
      <c r="AC20" s="92">
        <v>0</v>
      </c>
      <c r="AD20" s="92">
        <v>0</v>
      </c>
      <c r="AE20" s="92">
        <v>0</v>
      </c>
      <c r="AF20" s="92">
        <v>0</v>
      </c>
      <c r="AG20" s="92">
        <f t="shared" si="0"/>
        <v>0</v>
      </c>
    </row>
    <row r="21" spans="2:33">
      <c r="B21" s="10" t="s">
        <v>20</v>
      </c>
      <c r="C21" s="92">
        <v>0</v>
      </c>
      <c r="D21" s="92">
        <v>0</v>
      </c>
      <c r="E21" s="92">
        <v>0</v>
      </c>
      <c r="F21" s="92">
        <v>0</v>
      </c>
      <c r="G21" s="92">
        <v>0</v>
      </c>
      <c r="H21" s="92">
        <v>0</v>
      </c>
      <c r="I21" s="92">
        <v>0</v>
      </c>
      <c r="J21" s="92">
        <v>0</v>
      </c>
      <c r="K21" s="92">
        <v>0</v>
      </c>
      <c r="L21" s="92">
        <v>0</v>
      </c>
      <c r="M21" s="92">
        <v>0</v>
      </c>
      <c r="N21" s="92">
        <v>0</v>
      </c>
      <c r="O21" s="92">
        <v>0</v>
      </c>
      <c r="P21" s="92">
        <v>0</v>
      </c>
      <c r="Q21" s="92">
        <v>0</v>
      </c>
      <c r="R21" s="92">
        <v>0</v>
      </c>
      <c r="S21" s="92">
        <v>0</v>
      </c>
      <c r="T21" s="92">
        <v>0</v>
      </c>
      <c r="U21" s="92">
        <v>0</v>
      </c>
      <c r="V21" s="92">
        <v>0</v>
      </c>
      <c r="W21" s="92">
        <v>0</v>
      </c>
      <c r="X21" s="92">
        <v>0</v>
      </c>
      <c r="Y21" s="92">
        <v>0</v>
      </c>
      <c r="Z21" s="92">
        <v>0</v>
      </c>
      <c r="AA21" s="92">
        <v>0</v>
      </c>
      <c r="AB21" s="92">
        <v>0</v>
      </c>
      <c r="AC21" s="92">
        <v>0</v>
      </c>
      <c r="AD21" s="92">
        <v>0</v>
      </c>
      <c r="AE21" s="92">
        <v>0</v>
      </c>
      <c r="AF21" s="92">
        <v>0</v>
      </c>
      <c r="AG21" s="92">
        <f t="shared" si="0"/>
        <v>0</v>
      </c>
    </row>
    <row r="22" spans="2:33">
      <c r="B22" s="11" t="s">
        <v>3</v>
      </c>
      <c r="C22" s="94">
        <f>SUM(C6:C21)</f>
        <v>0</v>
      </c>
      <c r="D22" s="94">
        <f t="shared" ref="D22:K22" si="1">SUM(D6:D21)</f>
        <v>0</v>
      </c>
      <c r="E22" s="94">
        <f t="shared" si="1"/>
        <v>0</v>
      </c>
      <c r="F22" s="94">
        <f t="shared" si="1"/>
        <v>0</v>
      </c>
      <c r="G22" s="94">
        <f t="shared" si="1"/>
        <v>0</v>
      </c>
      <c r="H22" s="94">
        <f t="shared" si="1"/>
        <v>0</v>
      </c>
      <c r="I22" s="94">
        <f t="shared" si="1"/>
        <v>0</v>
      </c>
      <c r="J22" s="94">
        <f t="shared" si="1"/>
        <v>0</v>
      </c>
      <c r="K22" s="94">
        <f t="shared" si="1"/>
        <v>4</v>
      </c>
      <c r="L22" s="94">
        <f t="shared" ref="L22:N22" si="2">SUM(L6:L21)</f>
        <v>0</v>
      </c>
      <c r="M22" s="94">
        <f t="shared" si="2"/>
        <v>0</v>
      </c>
      <c r="N22" s="94">
        <f t="shared" si="2"/>
        <v>0</v>
      </c>
      <c r="O22" s="94">
        <f t="shared" ref="O22" si="3">SUM(O6:O21)</f>
        <v>2</v>
      </c>
      <c r="P22" s="94">
        <f t="shared" ref="P22" si="4">SUM(P6:P21)</f>
        <v>0</v>
      </c>
      <c r="Q22" s="94">
        <f t="shared" ref="Q22" si="5">SUM(Q6:Q21)</f>
        <v>0</v>
      </c>
      <c r="R22" s="94">
        <f t="shared" ref="R22" si="6">SUM(R6:R21)</f>
        <v>0</v>
      </c>
      <c r="S22" s="94">
        <f t="shared" ref="S22:U22" si="7">SUM(S6:S21)</f>
        <v>0</v>
      </c>
      <c r="T22" s="94">
        <f t="shared" si="7"/>
        <v>0</v>
      </c>
      <c r="U22" s="94">
        <f t="shared" si="7"/>
        <v>0</v>
      </c>
      <c r="V22" s="94">
        <f t="shared" ref="V22:X22" si="8">SUM(V6:V21)</f>
        <v>0</v>
      </c>
      <c r="W22" s="94">
        <f t="shared" si="8"/>
        <v>0</v>
      </c>
      <c r="X22" s="94">
        <f t="shared" si="8"/>
        <v>0</v>
      </c>
      <c r="Y22" s="94">
        <f t="shared" ref="Y22" si="9">SUM(Y6:Y21)</f>
        <v>0</v>
      </c>
      <c r="Z22" s="94">
        <f t="shared" ref="Z22:AB22" si="10">SUM(Z6:Z21)</f>
        <v>0</v>
      </c>
      <c r="AA22" s="94">
        <f t="shared" si="10"/>
        <v>0</v>
      </c>
      <c r="AB22" s="94">
        <f t="shared" si="10"/>
        <v>0</v>
      </c>
      <c r="AC22" s="94">
        <f t="shared" ref="AC22" si="11">SUM(AC6:AC21)</f>
        <v>0</v>
      </c>
      <c r="AD22" s="94">
        <f t="shared" ref="AD22" si="12">SUM(AD6:AD21)</f>
        <v>0</v>
      </c>
      <c r="AE22" s="94">
        <f t="shared" ref="AE22" si="13">SUM(AE6:AE21)</f>
        <v>0</v>
      </c>
      <c r="AF22" s="94">
        <f t="shared" ref="AF22" si="14">SUM(AF6:AF21)</f>
        <v>0</v>
      </c>
      <c r="AG22" s="92">
        <f>SUM(C22:AF22)</f>
        <v>6</v>
      </c>
    </row>
    <row r="23" spans="2:33">
      <c r="B23" s="69" t="s">
        <v>21</v>
      </c>
      <c r="C23" s="80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70"/>
    </row>
    <row r="24" spans="2:33">
      <c r="B24" s="10" t="s">
        <v>22</v>
      </c>
      <c r="C24" s="92">
        <v>0</v>
      </c>
      <c r="D24" s="92">
        <v>0</v>
      </c>
      <c r="E24" s="92">
        <v>0</v>
      </c>
      <c r="F24" s="92">
        <v>0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  <c r="N24" s="92">
        <v>0</v>
      </c>
      <c r="O24" s="92">
        <v>0</v>
      </c>
      <c r="P24" s="92">
        <v>0</v>
      </c>
      <c r="Q24" s="92">
        <v>0</v>
      </c>
      <c r="R24" s="92">
        <v>0</v>
      </c>
      <c r="S24" s="92">
        <v>0</v>
      </c>
      <c r="T24" s="92">
        <v>0</v>
      </c>
      <c r="U24" s="92">
        <v>0</v>
      </c>
      <c r="V24" s="92">
        <v>0</v>
      </c>
      <c r="W24" s="92">
        <v>0</v>
      </c>
      <c r="X24" s="92">
        <v>0</v>
      </c>
      <c r="Y24" s="92">
        <v>0</v>
      </c>
      <c r="Z24" s="92">
        <v>0</v>
      </c>
      <c r="AA24" s="92">
        <v>0</v>
      </c>
      <c r="AB24" s="92">
        <v>0</v>
      </c>
      <c r="AC24" s="92">
        <v>0</v>
      </c>
      <c r="AD24" s="92">
        <v>0</v>
      </c>
      <c r="AE24" s="92">
        <v>0</v>
      </c>
      <c r="AF24" s="92">
        <v>0</v>
      </c>
      <c r="AG24" s="68">
        <f>SUM(C24:AF24)</f>
        <v>0</v>
      </c>
    </row>
    <row r="25" spans="2:33">
      <c r="B25" s="10" t="s">
        <v>23</v>
      </c>
      <c r="C25" s="92">
        <v>0</v>
      </c>
      <c r="D25" s="92">
        <v>0</v>
      </c>
      <c r="E25" s="92">
        <v>0</v>
      </c>
      <c r="F25" s="92">
        <v>0</v>
      </c>
      <c r="G25" s="92">
        <v>0</v>
      </c>
      <c r="H25" s="92">
        <v>0</v>
      </c>
      <c r="I25" s="92">
        <v>0</v>
      </c>
      <c r="J25" s="92">
        <v>0</v>
      </c>
      <c r="K25" s="92">
        <v>0</v>
      </c>
      <c r="L25" s="92">
        <v>0</v>
      </c>
      <c r="M25" s="92">
        <v>0</v>
      </c>
      <c r="N25" s="92">
        <v>0</v>
      </c>
      <c r="O25" s="92">
        <v>0</v>
      </c>
      <c r="P25" s="92">
        <v>0</v>
      </c>
      <c r="Q25" s="92">
        <v>0</v>
      </c>
      <c r="R25" s="92">
        <v>0</v>
      </c>
      <c r="S25" s="92">
        <v>0</v>
      </c>
      <c r="T25" s="92">
        <v>0</v>
      </c>
      <c r="U25" s="92">
        <v>0</v>
      </c>
      <c r="V25" s="92">
        <v>0</v>
      </c>
      <c r="W25" s="92">
        <v>0</v>
      </c>
      <c r="X25" s="92">
        <v>0</v>
      </c>
      <c r="Y25" s="92">
        <v>0</v>
      </c>
      <c r="Z25" s="92">
        <v>0</v>
      </c>
      <c r="AA25" s="92">
        <v>0</v>
      </c>
      <c r="AB25" s="92">
        <v>0</v>
      </c>
      <c r="AC25" s="92">
        <v>0</v>
      </c>
      <c r="AD25" s="92">
        <v>0</v>
      </c>
      <c r="AE25" s="92">
        <v>0</v>
      </c>
      <c r="AF25" s="92">
        <v>0</v>
      </c>
      <c r="AG25" s="92">
        <f t="shared" ref="AG25:AG35" si="15">SUM(C25:AF25)</f>
        <v>0</v>
      </c>
    </row>
    <row r="26" spans="2:33">
      <c r="B26" s="10" t="s">
        <v>24</v>
      </c>
      <c r="C26" s="92">
        <v>0</v>
      </c>
      <c r="D26" s="92">
        <v>0</v>
      </c>
      <c r="E26" s="92">
        <v>0</v>
      </c>
      <c r="F26" s="92">
        <v>0</v>
      </c>
      <c r="G26" s="92">
        <v>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0</v>
      </c>
      <c r="Q26" s="92">
        <v>0</v>
      </c>
      <c r="R26" s="92">
        <v>0</v>
      </c>
      <c r="S26" s="92">
        <v>0</v>
      </c>
      <c r="T26" s="92">
        <v>0</v>
      </c>
      <c r="U26" s="92">
        <v>0</v>
      </c>
      <c r="V26" s="92">
        <v>0</v>
      </c>
      <c r="W26" s="92">
        <v>0</v>
      </c>
      <c r="X26" s="92">
        <v>0</v>
      </c>
      <c r="Y26" s="92">
        <v>0</v>
      </c>
      <c r="Z26" s="92">
        <v>0</v>
      </c>
      <c r="AA26" s="92">
        <v>0</v>
      </c>
      <c r="AB26" s="92">
        <v>0</v>
      </c>
      <c r="AC26" s="92">
        <v>0</v>
      </c>
      <c r="AD26" s="92">
        <v>0</v>
      </c>
      <c r="AE26" s="92">
        <v>0</v>
      </c>
      <c r="AF26" s="92">
        <v>0</v>
      </c>
      <c r="AG26" s="92">
        <f t="shared" si="15"/>
        <v>0</v>
      </c>
    </row>
    <row r="27" spans="2:33">
      <c r="B27" s="10" t="s">
        <v>25</v>
      </c>
      <c r="C27" s="92">
        <v>0</v>
      </c>
      <c r="D27" s="92">
        <v>0</v>
      </c>
      <c r="E27" s="92">
        <v>0</v>
      </c>
      <c r="F27" s="92">
        <v>0</v>
      </c>
      <c r="G27" s="92">
        <v>0</v>
      </c>
      <c r="H27" s="92">
        <v>0</v>
      </c>
      <c r="I27" s="92">
        <v>0</v>
      </c>
      <c r="J27" s="92">
        <v>0</v>
      </c>
      <c r="K27" s="92">
        <v>0</v>
      </c>
      <c r="L27" s="92">
        <v>0</v>
      </c>
      <c r="M27" s="92">
        <v>0</v>
      </c>
      <c r="N27" s="92">
        <v>0</v>
      </c>
      <c r="O27" s="92">
        <v>0</v>
      </c>
      <c r="P27" s="92">
        <v>0</v>
      </c>
      <c r="Q27" s="92">
        <v>0</v>
      </c>
      <c r="R27" s="92">
        <v>0</v>
      </c>
      <c r="S27" s="92">
        <v>0</v>
      </c>
      <c r="T27" s="92">
        <v>0</v>
      </c>
      <c r="U27" s="92">
        <v>0</v>
      </c>
      <c r="V27" s="92">
        <v>0</v>
      </c>
      <c r="W27" s="92">
        <v>0</v>
      </c>
      <c r="X27" s="92">
        <v>0</v>
      </c>
      <c r="Y27" s="92">
        <v>0</v>
      </c>
      <c r="Z27" s="92">
        <v>0</v>
      </c>
      <c r="AA27" s="92">
        <v>0</v>
      </c>
      <c r="AB27" s="92">
        <v>0</v>
      </c>
      <c r="AC27" s="92">
        <v>0</v>
      </c>
      <c r="AD27" s="92">
        <v>0</v>
      </c>
      <c r="AE27" s="92">
        <v>0</v>
      </c>
      <c r="AF27" s="92">
        <v>0</v>
      </c>
      <c r="AG27" s="92">
        <f t="shared" si="15"/>
        <v>0</v>
      </c>
    </row>
    <row r="28" spans="2:33">
      <c r="B28" s="10" t="s">
        <v>26</v>
      </c>
      <c r="C28" s="92">
        <v>0</v>
      </c>
      <c r="D28" s="92">
        <v>0</v>
      </c>
      <c r="E28" s="92">
        <v>0</v>
      </c>
      <c r="F28" s="89">
        <v>1</v>
      </c>
      <c r="G28" s="92">
        <v>0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2">
        <v>0</v>
      </c>
      <c r="O28" s="92">
        <v>0</v>
      </c>
      <c r="P28" s="92">
        <v>0</v>
      </c>
      <c r="Q28" s="92">
        <v>0</v>
      </c>
      <c r="R28" s="92">
        <v>0</v>
      </c>
      <c r="S28" s="92">
        <v>0</v>
      </c>
      <c r="T28" s="92">
        <v>0</v>
      </c>
      <c r="U28" s="92">
        <v>0</v>
      </c>
      <c r="V28" s="92">
        <v>0</v>
      </c>
      <c r="W28" s="92">
        <v>0</v>
      </c>
      <c r="X28" s="92">
        <v>0</v>
      </c>
      <c r="Y28" s="92">
        <v>0</v>
      </c>
      <c r="Z28" s="92">
        <v>0</v>
      </c>
      <c r="AA28" s="92">
        <v>0</v>
      </c>
      <c r="AB28" s="92">
        <v>0</v>
      </c>
      <c r="AC28" s="92">
        <v>0</v>
      </c>
      <c r="AD28" s="92">
        <v>0</v>
      </c>
      <c r="AE28" s="92">
        <v>0</v>
      </c>
      <c r="AF28" s="92">
        <v>0</v>
      </c>
      <c r="AG28" s="92">
        <f t="shared" si="15"/>
        <v>1</v>
      </c>
    </row>
    <row r="29" spans="2:33">
      <c r="B29" s="10" t="s">
        <v>27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2">
        <v>0</v>
      </c>
      <c r="O29" s="92">
        <v>0</v>
      </c>
      <c r="P29" s="92">
        <v>0</v>
      </c>
      <c r="Q29" s="92">
        <v>0</v>
      </c>
      <c r="R29" s="92">
        <v>0</v>
      </c>
      <c r="S29" s="92">
        <v>0</v>
      </c>
      <c r="T29" s="92">
        <v>0</v>
      </c>
      <c r="U29" s="92">
        <v>0</v>
      </c>
      <c r="V29" s="92">
        <v>0</v>
      </c>
      <c r="W29" s="92">
        <v>0</v>
      </c>
      <c r="X29" s="92">
        <v>0</v>
      </c>
      <c r="Y29" s="92">
        <v>0</v>
      </c>
      <c r="Z29" s="92">
        <v>0</v>
      </c>
      <c r="AA29" s="92">
        <v>0</v>
      </c>
      <c r="AB29" s="92">
        <v>0</v>
      </c>
      <c r="AC29" s="92">
        <v>0</v>
      </c>
      <c r="AD29" s="92">
        <v>0</v>
      </c>
      <c r="AE29" s="92">
        <v>0</v>
      </c>
      <c r="AF29" s="92">
        <v>0</v>
      </c>
      <c r="AG29" s="92">
        <f t="shared" si="15"/>
        <v>0</v>
      </c>
    </row>
    <row r="30" spans="2:33">
      <c r="B30" s="10" t="s">
        <v>28</v>
      </c>
      <c r="C30" s="92">
        <v>0</v>
      </c>
      <c r="D30" s="92">
        <v>0</v>
      </c>
      <c r="E30" s="92">
        <v>0</v>
      </c>
      <c r="F30" s="92">
        <v>0</v>
      </c>
      <c r="G30" s="92">
        <v>0</v>
      </c>
      <c r="H30" s="92">
        <v>0</v>
      </c>
      <c r="I30" s="92">
        <v>0</v>
      </c>
      <c r="J30" s="92">
        <v>0</v>
      </c>
      <c r="K30" s="92">
        <v>0</v>
      </c>
      <c r="L30" s="92">
        <v>0</v>
      </c>
      <c r="M30" s="92">
        <v>0</v>
      </c>
      <c r="N30" s="92">
        <v>0</v>
      </c>
      <c r="O30" s="92">
        <v>0</v>
      </c>
      <c r="P30" s="92">
        <v>0</v>
      </c>
      <c r="Q30" s="89">
        <v>3</v>
      </c>
      <c r="R30" s="92">
        <v>0</v>
      </c>
      <c r="S30" s="92">
        <v>0</v>
      </c>
      <c r="T30" s="92">
        <v>0</v>
      </c>
      <c r="U30" s="92">
        <v>0</v>
      </c>
      <c r="V30" s="92">
        <v>0</v>
      </c>
      <c r="W30" s="92">
        <v>0</v>
      </c>
      <c r="X30" s="92">
        <v>0</v>
      </c>
      <c r="Y30" s="92">
        <v>0</v>
      </c>
      <c r="Z30" s="92">
        <v>0</v>
      </c>
      <c r="AA30" s="92">
        <v>0</v>
      </c>
      <c r="AB30" s="92">
        <v>0</v>
      </c>
      <c r="AC30" s="92">
        <v>0</v>
      </c>
      <c r="AD30" s="92">
        <v>0</v>
      </c>
      <c r="AE30" s="92">
        <v>0</v>
      </c>
      <c r="AF30" s="92">
        <v>0</v>
      </c>
      <c r="AG30" s="92">
        <f t="shared" si="15"/>
        <v>3</v>
      </c>
    </row>
    <row r="31" spans="2:33">
      <c r="B31" s="10" t="s">
        <v>29</v>
      </c>
      <c r="C31" s="92">
        <v>0</v>
      </c>
      <c r="D31" s="92">
        <v>0</v>
      </c>
      <c r="E31" s="92">
        <v>0</v>
      </c>
      <c r="F31" s="92">
        <v>0</v>
      </c>
      <c r="G31" s="92">
        <v>0</v>
      </c>
      <c r="H31" s="92">
        <v>0</v>
      </c>
      <c r="I31" s="92">
        <v>0</v>
      </c>
      <c r="J31" s="92">
        <v>0</v>
      </c>
      <c r="K31" s="92">
        <v>0</v>
      </c>
      <c r="L31" s="92">
        <v>0</v>
      </c>
      <c r="M31" s="92">
        <v>0</v>
      </c>
      <c r="N31" s="92">
        <v>0</v>
      </c>
      <c r="O31" s="92">
        <v>0</v>
      </c>
      <c r="P31" s="92">
        <v>0</v>
      </c>
      <c r="Q31" s="92">
        <v>0</v>
      </c>
      <c r="R31" s="92">
        <v>0</v>
      </c>
      <c r="S31" s="92">
        <v>0</v>
      </c>
      <c r="T31" s="92">
        <v>0</v>
      </c>
      <c r="U31" s="92">
        <v>0</v>
      </c>
      <c r="V31" s="92">
        <v>0</v>
      </c>
      <c r="W31" s="92">
        <v>0</v>
      </c>
      <c r="X31" s="92">
        <v>0</v>
      </c>
      <c r="Y31" s="92">
        <v>0</v>
      </c>
      <c r="Z31" s="92">
        <v>0</v>
      </c>
      <c r="AA31" s="92">
        <v>0</v>
      </c>
      <c r="AB31" s="92">
        <v>0</v>
      </c>
      <c r="AC31" s="92">
        <v>0</v>
      </c>
      <c r="AD31" s="92">
        <v>0</v>
      </c>
      <c r="AE31" s="92">
        <v>0</v>
      </c>
      <c r="AF31" s="92">
        <v>0</v>
      </c>
      <c r="AG31" s="92">
        <f t="shared" si="15"/>
        <v>0</v>
      </c>
    </row>
    <row r="32" spans="2:33">
      <c r="B32" s="10" t="s">
        <v>30</v>
      </c>
      <c r="C32" s="92">
        <v>0</v>
      </c>
      <c r="D32" s="92">
        <v>0</v>
      </c>
      <c r="E32" s="92">
        <v>0</v>
      </c>
      <c r="F32" s="92">
        <v>0</v>
      </c>
      <c r="G32" s="89">
        <v>10</v>
      </c>
      <c r="H32" s="92">
        <v>0</v>
      </c>
      <c r="I32" s="92">
        <v>0</v>
      </c>
      <c r="J32" s="92">
        <v>0</v>
      </c>
      <c r="K32" s="92">
        <v>0</v>
      </c>
      <c r="L32" s="92">
        <v>0</v>
      </c>
      <c r="M32" s="92">
        <v>0</v>
      </c>
      <c r="N32" s="92">
        <v>0</v>
      </c>
      <c r="O32" s="92">
        <v>0</v>
      </c>
      <c r="P32" s="92">
        <v>0</v>
      </c>
      <c r="Q32" s="92">
        <v>0</v>
      </c>
      <c r="R32" s="92">
        <v>0</v>
      </c>
      <c r="S32" s="92">
        <v>0</v>
      </c>
      <c r="T32" s="92">
        <v>0</v>
      </c>
      <c r="U32" s="92">
        <v>0</v>
      </c>
      <c r="V32" s="92">
        <v>0</v>
      </c>
      <c r="W32" s="92">
        <v>0</v>
      </c>
      <c r="X32" s="92">
        <v>0</v>
      </c>
      <c r="Y32" s="92">
        <v>0</v>
      </c>
      <c r="Z32" s="92">
        <v>0</v>
      </c>
      <c r="AA32" s="92">
        <v>0</v>
      </c>
      <c r="AB32" s="92">
        <v>0</v>
      </c>
      <c r="AC32" s="92">
        <v>0</v>
      </c>
      <c r="AD32" s="92">
        <v>0</v>
      </c>
      <c r="AE32" s="92">
        <v>0</v>
      </c>
      <c r="AF32" s="92">
        <v>0</v>
      </c>
      <c r="AG32" s="92">
        <f t="shared" si="15"/>
        <v>10</v>
      </c>
    </row>
    <row r="33" spans="2:33">
      <c r="B33" s="10" t="s">
        <v>31</v>
      </c>
      <c r="C33" s="92">
        <v>0</v>
      </c>
      <c r="D33" s="92">
        <v>0</v>
      </c>
      <c r="E33" s="92">
        <v>0</v>
      </c>
      <c r="F33" s="92">
        <v>0</v>
      </c>
      <c r="G33" s="92">
        <v>0</v>
      </c>
      <c r="H33" s="92">
        <v>0</v>
      </c>
      <c r="I33" s="92">
        <v>0</v>
      </c>
      <c r="J33" s="92">
        <v>0</v>
      </c>
      <c r="K33" s="92">
        <v>0</v>
      </c>
      <c r="L33" s="92">
        <v>0</v>
      </c>
      <c r="M33" s="92">
        <v>0</v>
      </c>
      <c r="N33" s="92">
        <v>0</v>
      </c>
      <c r="O33" s="92">
        <v>0</v>
      </c>
      <c r="P33" s="92">
        <v>0</v>
      </c>
      <c r="Q33" s="92">
        <v>0</v>
      </c>
      <c r="R33" s="92">
        <v>0</v>
      </c>
      <c r="S33" s="92">
        <v>0</v>
      </c>
      <c r="T33" s="92">
        <v>0</v>
      </c>
      <c r="U33" s="92">
        <v>0</v>
      </c>
      <c r="V33" s="92">
        <v>0</v>
      </c>
      <c r="W33" s="92">
        <v>0</v>
      </c>
      <c r="X33" s="92">
        <v>0</v>
      </c>
      <c r="Y33" s="92">
        <v>0</v>
      </c>
      <c r="Z33" s="92">
        <v>0</v>
      </c>
      <c r="AA33" s="92">
        <v>0</v>
      </c>
      <c r="AB33" s="92">
        <v>0</v>
      </c>
      <c r="AC33" s="92">
        <v>0</v>
      </c>
      <c r="AD33" s="92">
        <v>0</v>
      </c>
      <c r="AE33" s="92">
        <v>0</v>
      </c>
      <c r="AF33" s="92">
        <v>0</v>
      </c>
      <c r="AG33" s="92">
        <f t="shared" si="15"/>
        <v>0</v>
      </c>
    </row>
    <row r="34" spans="2:33">
      <c r="B34" s="10" t="s">
        <v>20</v>
      </c>
      <c r="C34" s="92">
        <v>0</v>
      </c>
      <c r="D34" s="92">
        <v>0</v>
      </c>
      <c r="E34" s="92">
        <v>0</v>
      </c>
      <c r="F34" s="92">
        <v>0</v>
      </c>
      <c r="G34" s="92">
        <v>0</v>
      </c>
      <c r="H34" s="92">
        <v>0</v>
      </c>
      <c r="I34" s="92">
        <v>0</v>
      </c>
      <c r="J34" s="92">
        <v>0</v>
      </c>
      <c r="K34" s="92">
        <v>0</v>
      </c>
      <c r="L34" s="92">
        <v>0</v>
      </c>
      <c r="M34" s="92">
        <v>0</v>
      </c>
      <c r="N34" s="92">
        <v>0</v>
      </c>
      <c r="O34" s="92">
        <v>0</v>
      </c>
      <c r="P34" s="92">
        <v>0</v>
      </c>
      <c r="Q34" s="92">
        <v>0</v>
      </c>
      <c r="R34" s="92">
        <v>0</v>
      </c>
      <c r="S34" s="92">
        <v>0</v>
      </c>
      <c r="T34" s="92">
        <v>0</v>
      </c>
      <c r="U34" s="92">
        <v>0</v>
      </c>
      <c r="V34" s="92">
        <v>0</v>
      </c>
      <c r="W34" s="92">
        <v>0</v>
      </c>
      <c r="X34" s="92">
        <v>0</v>
      </c>
      <c r="Y34" s="92">
        <v>0</v>
      </c>
      <c r="Z34" s="92">
        <v>0</v>
      </c>
      <c r="AA34" s="92">
        <v>0</v>
      </c>
      <c r="AB34" s="92">
        <v>0</v>
      </c>
      <c r="AC34" s="92">
        <v>0</v>
      </c>
      <c r="AD34" s="92">
        <v>0</v>
      </c>
      <c r="AE34" s="92">
        <v>0</v>
      </c>
      <c r="AF34" s="92">
        <v>0</v>
      </c>
      <c r="AG34" s="92">
        <f t="shared" si="15"/>
        <v>0</v>
      </c>
    </row>
    <row r="35" spans="2:33" s="3" customFormat="1">
      <c r="B35" s="11" t="s">
        <v>3</v>
      </c>
      <c r="C35" s="94">
        <f t="shared" ref="C35:K35" si="16">SUM(C24:C34)</f>
        <v>0</v>
      </c>
      <c r="D35" s="94">
        <f t="shared" si="16"/>
        <v>0</v>
      </c>
      <c r="E35" s="94">
        <f t="shared" si="16"/>
        <v>0</v>
      </c>
      <c r="F35" s="94">
        <f t="shared" si="16"/>
        <v>1</v>
      </c>
      <c r="G35" s="94">
        <f t="shared" si="16"/>
        <v>10</v>
      </c>
      <c r="H35" s="94">
        <f t="shared" si="16"/>
        <v>0</v>
      </c>
      <c r="I35" s="94">
        <f t="shared" si="16"/>
        <v>0</v>
      </c>
      <c r="J35" s="94">
        <f t="shared" si="16"/>
        <v>0</v>
      </c>
      <c r="K35" s="94">
        <f t="shared" si="16"/>
        <v>0</v>
      </c>
      <c r="L35" s="94">
        <f t="shared" ref="L35:N35" si="17">SUM(L24:L34)</f>
        <v>0</v>
      </c>
      <c r="M35" s="94">
        <f t="shared" si="17"/>
        <v>0</v>
      </c>
      <c r="N35" s="94">
        <f t="shared" si="17"/>
        <v>0</v>
      </c>
      <c r="O35" s="94">
        <f t="shared" ref="O35" si="18">SUM(O24:O34)</f>
        <v>0</v>
      </c>
      <c r="P35" s="94">
        <f t="shared" ref="P35" si="19">SUM(P24:P34)</f>
        <v>0</v>
      </c>
      <c r="Q35" s="94">
        <f t="shared" ref="Q35" si="20">SUM(Q24:Q34)</f>
        <v>3</v>
      </c>
      <c r="R35" s="94">
        <f t="shared" ref="R35" si="21">SUM(R24:R34)</f>
        <v>0</v>
      </c>
      <c r="S35" s="94">
        <f t="shared" ref="S35:U35" si="22">SUM(S24:S34)</f>
        <v>0</v>
      </c>
      <c r="T35" s="94">
        <f t="shared" si="22"/>
        <v>0</v>
      </c>
      <c r="U35" s="94">
        <f t="shared" si="22"/>
        <v>0</v>
      </c>
      <c r="V35" s="94">
        <f t="shared" ref="V35:X35" si="23">SUM(V24:V34)</f>
        <v>0</v>
      </c>
      <c r="W35" s="94">
        <f t="shared" si="23"/>
        <v>0</v>
      </c>
      <c r="X35" s="94">
        <f t="shared" si="23"/>
        <v>0</v>
      </c>
      <c r="Y35" s="94">
        <f t="shared" ref="Y35" si="24">SUM(Y24:Y34)</f>
        <v>0</v>
      </c>
      <c r="Z35" s="94">
        <f t="shared" ref="Z35:AB35" si="25">SUM(Z24:Z34)</f>
        <v>0</v>
      </c>
      <c r="AA35" s="94">
        <f t="shared" si="25"/>
        <v>0</v>
      </c>
      <c r="AB35" s="94">
        <f t="shared" si="25"/>
        <v>0</v>
      </c>
      <c r="AC35" s="94">
        <f t="shared" ref="AC35" si="26">SUM(AC24:AC34)</f>
        <v>0</v>
      </c>
      <c r="AD35" s="94">
        <f t="shared" ref="AD35" si="27">SUM(AD24:AD34)</f>
        <v>0</v>
      </c>
      <c r="AE35" s="94">
        <f t="shared" ref="AE35" si="28">SUM(AE24:AE34)</f>
        <v>0</v>
      </c>
      <c r="AF35" s="94">
        <f t="shared" ref="AF35" si="29">SUM(AF24:AF34)</f>
        <v>0</v>
      </c>
      <c r="AG35" s="92">
        <f t="shared" si="15"/>
        <v>14</v>
      </c>
    </row>
    <row r="36" spans="2:33">
      <c r="B36" s="69" t="s">
        <v>32</v>
      </c>
      <c r="C36" s="80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70"/>
    </row>
    <row r="37" spans="2:33" s="3" customFormat="1">
      <c r="B37" s="71" t="s">
        <v>33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2">
        <v>0</v>
      </c>
      <c r="O37" s="92">
        <v>0</v>
      </c>
      <c r="P37" s="92">
        <v>0</v>
      </c>
      <c r="Q37" s="92">
        <v>0</v>
      </c>
      <c r="R37" s="89">
        <v>2</v>
      </c>
      <c r="S37" s="89">
        <v>4</v>
      </c>
      <c r="T37" s="92">
        <v>0</v>
      </c>
      <c r="U37" s="92">
        <v>0</v>
      </c>
      <c r="V37" s="92">
        <v>0</v>
      </c>
      <c r="W37" s="92">
        <v>0</v>
      </c>
      <c r="X37" s="89">
        <v>2</v>
      </c>
      <c r="Y37" s="92">
        <v>0</v>
      </c>
      <c r="Z37" s="89">
        <v>2</v>
      </c>
      <c r="AA37" s="92">
        <v>0</v>
      </c>
      <c r="AB37" s="92">
        <v>0</v>
      </c>
      <c r="AC37" s="92">
        <v>0</v>
      </c>
      <c r="AD37" s="92">
        <v>0</v>
      </c>
      <c r="AE37" s="92">
        <v>0</v>
      </c>
      <c r="AF37" s="92">
        <v>0</v>
      </c>
      <c r="AG37" s="68">
        <f>SUM(C37:AF37)</f>
        <v>10</v>
      </c>
    </row>
    <row r="38" spans="2:33" s="73" customFormat="1">
      <c r="B38" s="72" t="s">
        <v>34</v>
      </c>
      <c r="C38" s="92">
        <v>0</v>
      </c>
      <c r="D38" s="98">
        <v>0.56000000000000005</v>
      </c>
      <c r="E38" s="92">
        <v>0</v>
      </c>
      <c r="F38" s="89">
        <v>3</v>
      </c>
      <c r="G38" s="89">
        <v>2</v>
      </c>
      <c r="H38" s="92">
        <v>0</v>
      </c>
      <c r="I38" s="89">
        <v>3</v>
      </c>
      <c r="J38" s="89">
        <v>1</v>
      </c>
      <c r="K38" s="92">
        <v>0</v>
      </c>
      <c r="L38" s="89">
        <v>2</v>
      </c>
      <c r="M38" s="89">
        <v>2</v>
      </c>
      <c r="N38" s="89">
        <v>1</v>
      </c>
      <c r="O38" s="89">
        <v>2</v>
      </c>
      <c r="P38" s="89">
        <v>2</v>
      </c>
      <c r="Q38" s="89">
        <v>2</v>
      </c>
      <c r="R38" s="89">
        <v>2</v>
      </c>
      <c r="S38" s="89">
        <v>2</v>
      </c>
      <c r="T38" s="89">
        <v>2</v>
      </c>
      <c r="U38" s="89">
        <v>3</v>
      </c>
      <c r="V38" s="89">
        <v>2</v>
      </c>
      <c r="W38" s="89">
        <v>2</v>
      </c>
      <c r="X38" s="89">
        <v>2</v>
      </c>
      <c r="Y38" s="92">
        <v>0</v>
      </c>
      <c r="Z38" s="89">
        <v>1</v>
      </c>
      <c r="AA38" s="89">
        <v>2</v>
      </c>
      <c r="AB38" s="89">
        <v>1</v>
      </c>
      <c r="AC38" s="89">
        <v>2</v>
      </c>
      <c r="AD38" s="89">
        <v>2</v>
      </c>
      <c r="AE38" s="89">
        <v>2</v>
      </c>
      <c r="AF38" s="92">
        <v>0</v>
      </c>
      <c r="AG38" s="92">
        <f t="shared" ref="AG38:AG44" si="30">SUM(C38:AF38)</f>
        <v>45.56</v>
      </c>
    </row>
    <row r="39" spans="2:33">
      <c r="B39" s="10" t="s">
        <v>35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2">
        <v>0</v>
      </c>
      <c r="O39" s="92">
        <v>0</v>
      </c>
      <c r="P39" s="89">
        <v>2</v>
      </c>
      <c r="Q39" s="89">
        <v>2</v>
      </c>
      <c r="R39" s="92">
        <v>0</v>
      </c>
      <c r="S39" s="92">
        <v>0</v>
      </c>
      <c r="T39" s="89">
        <v>2</v>
      </c>
      <c r="U39" s="92">
        <v>0</v>
      </c>
      <c r="V39" s="89">
        <v>2</v>
      </c>
      <c r="W39" s="89">
        <v>2</v>
      </c>
      <c r="X39" s="92">
        <v>0</v>
      </c>
      <c r="Y39" s="92">
        <v>0</v>
      </c>
      <c r="Z39" s="92">
        <v>0</v>
      </c>
      <c r="AA39" s="92">
        <v>0</v>
      </c>
      <c r="AB39" s="92">
        <v>0</v>
      </c>
      <c r="AC39" s="92">
        <v>0</v>
      </c>
      <c r="AD39" s="89">
        <v>1</v>
      </c>
      <c r="AE39" s="92">
        <v>0</v>
      </c>
      <c r="AF39" s="92">
        <v>0</v>
      </c>
      <c r="AG39" s="92">
        <f t="shared" si="30"/>
        <v>11</v>
      </c>
    </row>
    <row r="40" spans="2:33">
      <c r="B40" s="10" t="s">
        <v>36</v>
      </c>
      <c r="C40" s="92">
        <v>0</v>
      </c>
      <c r="D40" s="92">
        <v>0</v>
      </c>
      <c r="E40" s="92">
        <v>0</v>
      </c>
      <c r="F40" s="92">
        <v>0</v>
      </c>
      <c r="G40" s="89">
        <v>2</v>
      </c>
      <c r="H40" s="92">
        <v>0</v>
      </c>
      <c r="I40" s="89">
        <v>3</v>
      </c>
      <c r="J40" s="89">
        <v>1</v>
      </c>
      <c r="K40" s="92">
        <v>0</v>
      </c>
      <c r="L40" s="92">
        <v>0</v>
      </c>
      <c r="M40" s="89">
        <v>1</v>
      </c>
      <c r="N40" s="89">
        <v>2</v>
      </c>
      <c r="O40" s="89">
        <v>2</v>
      </c>
      <c r="P40" s="89">
        <v>2</v>
      </c>
      <c r="Q40" s="89">
        <v>2</v>
      </c>
      <c r="R40" s="89">
        <v>3</v>
      </c>
      <c r="S40" s="92">
        <v>0</v>
      </c>
      <c r="T40" s="89">
        <v>2</v>
      </c>
      <c r="U40" s="89">
        <v>3</v>
      </c>
      <c r="V40" s="92">
        <v>0</v>
      </c>
      <c r="W40" s="92">
        <v>0</v>
      </c>
      <c r="X40" s="92">
        <v>0</v>
      </c>
      <c r="Y40" s="92">
        <v>0</v>
      </c>
      <c r="Z40" s="92">
        <v>0</v>
      </c>
      <c r="AA40" s="92">
        <v>0</v>
      </c>
      <c r="AB40" s="89">
        <v>2</v>
      </c>
      <c r="AC40" s="89">
        <v>1</v>
      </c>
      <c r="AD40" s="92">
        <v>0</v>
      </c>
      <c r="AE40" s="89">
        <v>2</v>
      </c>
      <c r="AF40" s="92">
        <v>0</v>
      </c>
      <c r="AG40" s="92">
        <f t="shared" si="30"/>
        <v>28</v>
      </c>
    </row>
    <row r="41" spans="2:33">
      <c r="B41" s="10" t="s">
        <v>37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2">
        <v>0</v>
      </c>
      <c r="O41" s="92">
        <v>0</v>
      </c>
      <c r="P41" s="92">
        <v>0</v>
      </c>
      <c r="Q41" s="92">
        <v>0</v>
      </c>
      <c r="R41" s="92">
        <v>0</v>
      </c>
      <c r="S41" s="92">
        <v>0</v>
      </c>
      <c r="T41" s="92">
        <v>0</v>
      </c>
      <c r="U41" s="92">
        <v>0</v>
      </c>
      <c r="V41" s="92">
        <v>0</v>
      </c>
      <c r="W41" s="92">
        <v>0</v>
      </c>
      <c r="X41" s="92">
        <v>0</v>
      </c>
      <c r="Y41" s="92">
        <v>0</v>
      </c>
      <c r="Z41" s="92">
        <v>0</v>
      </c>
      <c r="AA41" s="92">
        <v>0</v>
      </c>
      <c r="AB41" s="92">
        <v>0</v>
      </c>
      <c r="AC41" s="92">
        <v>0</v>
      </c>
      <c r="AD41" s="92">
        <v>0</v>
      </c>
      <c r="AE41" s="92">
        <v>0</v>
      </c>
      <c r="AF41" s="92">
        <v>0</v>
      </c>
      <c r="AG41" s="92">
        <f t="shared" si="30"/>
        <v>0</v>
      </c>
    </row>
    <row r="42" spans="2:33">
      <c r="B42" s="10" t="s">
        <v>38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2">
        <v>0</v>
      </c>
      <c r="O42" s="92">
        <v>0</v>
      </c>
      <c r="P42" s="92">
        <v>0</v>
      </c>
      <c r="Q42" s="92">
        <v>0</v>
      </c>
      <c r="R42" s="92">
        <v>0</v>
      </c>
      <c r="S42" s="92">
        <v>0</v>
      </c>
      <c r="T42" s="92">
        <v>0</v>
      </c>
      <c r="U42" s="92">
        <v>0</v>
      </c>
      <c r="V42" s="92">
        <v>0</v>
      </c>
      <c r="W42" s="92">
        <v>0</v>
      </c>
      <c r="X42" s="92">
        <v>0</v>
      </c>
      <c r="Y42" s="92">
        <v>0</v>
      </c>
      <c r="Z42" s="92">
        <v>0</v>
      </c>
      <c r="AA42" s="92">
        <v>0</v>
      </c>
      <c r="AB42" s="92">
        <v>0</v>
      </c>
      <c r="AC42" s="92">
        <v>0</v>
      </c>
      <c r="AD42" s="92">
        <v>0</v>
      </c>
      <c r="AE42" s="92">
        <v>0</v>
      </c>
      <c r="AF42" s="92">
        <v>0</v>
      </c>
      <c r="AG42" s="92">
        <f t="shared" si="30"/>
        <v>0</v>
      </c>
    </row>
    <row r="43" spans="2:33">
      <c r="B43" s="10" t="s">
        <v>39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89">
        <v>2</v>
      </c>
      <c r="M43" s="92">
        <v>0</v>
      </c>
      <c r="N43" s="92">
        <v>0</v>
      </c>
      <c r="O43" s="92">
        <v>0</v>
      </c>
      <c r="P43" s="92">
        <v>0</v>
      </c>
      <c r="Q43" s="92">
        <v>0</v>
      </c>
      <c r="R43" s="92">
        <v>0</v>
      </c>
      <c r="S43" s="92">
        <v>0</v>
      </c>
      <c r="T43" s="92">
        <v>0</v>
      </c>
      <c r="U43" s="92">
        <v>0</v>
      </c>
      <c r="V43" s="92">
        <v>0</v>
      </c>
      <c r="W43" s="92">
        <v>0</v>
      </c>
      <c r="X43" s="92">
        <v>0</v>
      </c>
      <c r="Y43" s="92">
        <v>0</v>
      </c>
      <c r="Z43" s="92">
        <v>0</v>
      </c>
      <c r="AA43" s="92">
        <v>0</v>
      </c>
      <c r="AB43" s="92">
        <v>0</v>
      </c>
      <c r="AC43" s="92">
        <v>0</v>
      </c>
      <c r="AD43" s="92">
        <v>0</v>
      </c>
      <c r="AE43" s="92">
        <v>0</v>
      </c>
      <c r="AF43" s="92">
        <v>0</v>
      </c>
      <c r="AG43" s="92">
        <f t="shared" si="30"/>
        <v>2</v>
      </c>
    </row>
    <row r="44" spans="2:33" s="3" customFormat="1">
      <c r="B44" s="74" t="s">
        <v>3</v>
      </c>
      <c r="C44" s="94">
        <f>SUM(C37:C43)</f>
        <v>0</v>
      </c>
      <c r="D44" s="94">
        <f t="shared" ref="D44:K44" si="31">SUM(D37:D43)</f>
        <v>0.56000000000000005</v>
      </c>
      <c r="E44" s="94">
        <f t="shared" si="31"/>
        <v>0</v>
      </c>
      <c r="F44" s="94">
        <f t="shared" si="31"/>
        <v>3</v>
      </c>
      <c r="G44" s="94">
        <f t="shared" si="31"/>
        <v>4</v>
      </c>
      <c r="H44" s="94">
        <f t="shared" si="31"/>
        <v>0</v>
      </c>
      <c r="I44" s="94">
        <f t="shared" si="31"/>
        <v>6</v>
      </c>
      <c r="J44" s="94">
        <f t="shared" si="31"/>
        <v>2</v>
      </c>
      <c r="K44" s="94">
        <f t="shared" si="31"/>
        <v>0</v>
      </c>
      <c r="L44" s="94">
        <f t="shared" ref="L44:N44" si="32">SUM(L37:L43)</f>
        <v>4</v>
      </c>
      <c r="M44" s="94">
        <f t="shared" si="32"/>
        <v>3</v>
      </c>
      <c r="N44" s="94">
        <f t="shared" si="32"/>
        <v>3</v>
      </c>
      <c r="O44" s="94">
        <f t="shared" ref="O44" si="33">SUM(O37:O43)</f>
        <v>4</v>
      </c>
      <c r="P44" s="94">
        <f t="shared" ref="P44" si="34">SUM(P37:P43)</f>
        <v>6</v>
      </c>
      <c r="Q44" s="94">
        <f t="shared" ref="Q44" si="35">SUM(Q37:Q43)</f>
        <v>6</v>
      </c>
      <c r="R44" s="94">
        <f t="shared" ref="R44" si="36">SUM(R37:R43)</f>
        <v>7</v>
      </c>
      <c r="S44" s="94">
        <f t="shared" ref="S44:U44" si="37">SUM(S37:S43)</f>
        <v>6</v>
      </c>
      <c r="T44" s="94">
        <f t="shared" si="37"/>
        <v>6</v>
      </c>
      <c r="U44" s="94">
        <f t="shared" si="37"/>
        <v>6</v>
      </c>
      <c r="V44" s="94">
        <f t="shared" ref="V44:X44" si="38">SUM(V37:V43)</f>
        <v>4</v>
      </c>
      <c r="W44" s="94">
        <f t="shared" si="38"/>
        <v>4</v>
      </c>
      <c r="X44" s="94">
        <f t="shared" si="38"/>
        <v>4</v>
      </c>
      <c r="Y44" s="94">
        <f t="shared" ref="Y44" si="39">SUM(Y37:Y43)</f>
        <v>0</v>
      </c>
      <c r="Z44" s="94">
        <f t="shared" ref="Z44:AB44" si="40">SUM(Z37:Z43)</f>
        <v>3</v>
      </c>
      <c r="AA44" s="94">
        <f t="shared" si="40"/>
        <v>2</v>
      </c>
      <c r="AB44" s="94">
        <f t="shared" si="40"/>
        <v>3</v>
      </c>
      <c r="AC44" s="94">
        <f t="shared" ref="AC44" si="41">SUM(AC37:AC43)</f>
        <v>3</v>
      </c>
      <c r="AD44" s="94">
        <f t="shared" ref="AD44" si="42">SUM(AD37:AD43)</f>
        <v>3</v>
      </c>
      <c r="AE44" s="94">
        <f t="shared" ref="AE44" si="43">SUM(AE37:AE43)</f>
        <v>4</v>
      </c>
      <c r="AF44" s="94">
        <f t="shared" ref="AF44" si="44">SUM(AF37:AF43)</f>
        <v>0</v>
      </c>
      <c r="AG44" s="92">
        <f t="shared" si="30"/>
        <v>96.56</v>
      </c>
    </row>
    <row r="45" spans="2:33">
      <c r="B45" s="75" t="s">
        <v>40</v>
      </c>
      <c r="C45" s="75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76"/>
    </row>
    <row r="46" spans="2:33">
      <c r="B46" s="7" t="s">
        <v>41</v>
      </c>
      <c r="C46" s="89">
        <v>24</v>
      </c>
      <c r="D46" s="89">
        <v>21.85</v>
      </c>
      <c r="E46" s="92">
        <v>0</v>
      </c>
      <c r="F46" s="92">
        <v>0</v>
      </c>
      <c r="G46" s="92">
        <v>0</v>
      </c>
      <c r="H46" s="92">
        <v>0</v>
      </c>
      <c r="I46" s="92">
        <v>0</v>
      </c>
      <c r="J46" s="92">
        <v>0</v>
      </c>
      <c r="K46" s="92">
        <v>0</v>
      </c>
      <c r="L46" s="92">
        <v>0</v>
      </c>
      <c r="M46" s="92">
        <v>0</v>
      </c>
      <c r="N46" s="92">
        <v>0</v>
      </c>
      <c r="O46" s="92">
        <v>0</v>
      </c>
      <c r="P46" s="92">
        <v>0</v>
      </c>
      <c r="Q46" s="92">
        <v>0</v>
      </c>
      <c r="R46" s="92">
        <v>0</v>
      </c>
      <c r="S46" s="92">
        <v>0</v>
      </c>
      <c r="T46" s="92">
        <v>0</v>
      </c>
      <c r="U46" s="92">
        <v>0</v>
      </c>
      <c r="V46" s="92">
        <v>0</v>
      </c>
      <c r="W46" s="92">
        <v>0</v>
      </c>
      <c r="X46" s="89">
        <v>7</v>
      </c>
      <c r="Y46" s="89">
        <v>17</v>
      </c>
      <c r="Z46" s="92">
        <v>0</v>
      </c>
      <c r="AA46" s="92">
        <v>0</v>
      </c>
      <c r="AB46" s="92">
        <v>0</v>
      </c>
      <c r="AC46" s="92">
        <v>0</v>
      </c>
      <c r="AD46" s="92">
        <v>0</v>
      </c>
      <c r="AE46" s="92">
        <v>0</v>
      </c>
      <c r="AF46" s="89">
        <v>12</v>
      </c>
      <c r="AG46" s="77">
        <f>SUM(C46:AF46)</f>
        <v>81.849999999999994</v>
      </c>
    </row>
    <row r="47" spans="2:33">
      <c r="B47" s="7" t="s">
        <v>42</v>
      </c>
      <c r="C47" s="92">
        <v>0</v>
      </c>
      <c r="D47" s="92">
        <v>0</v>
      </c>
      <c r="E47" s="92">
        <v>0</v>
      </c>
      <c r="F47" s="92">
        <v>0</v>
      </c>
      <c r="G47" s="92">
        <v>0</v>
      </c>
      <c r="H47" s="92">
        <v>0</v>
      </c>
      <c r="I47" s="92">
        <v>0</v>
      </c>
      <c r="J47" s="92">
        <v>0</v>
      </c>
      <c r="K47" s="92">
        <v>0</v>
      </c>
      <c r="L47" s="92">
        <v>0</v>
      </c>
      <c r="M47" s="92">
        <v>0</v>
      </c>
      <c r="N47" s="92">
        <v>0</v>
      </c>
      <c r="O47" s="92">
        <v>0</v>
      </c>
      <c r="P47" s="92">
        <v>0</v>
      </c>
      <c r="Q47" s="92">
        <v>0</v>
      </c>
      <c r="R47" s="92">
        <v>0</v>
      </c>
      <c r="S47" s="92">
        <v>0</v>
      </c>
      <c r="T47" s="92">
        <v>0</v>
      </c>
      <c r="U47" s="92">
        <v>0</v>
      </c>
      <c r="V47" s="92">
        <v>0</v>
      </c>
      <c r="W47" s="92">
        <v>0</v>
      </c>
      <c r="X47" s="92">
        <v>0</v>
      </c>
      <c r="Y47" s="92">
        <v>0</v>
      </c>
      <c r="Z47" s="92">
        <v>0</v>
      </c>
      <c r="AA47" s="92">
        <v>0</v>
      </c>
      <c r="AB47" s="92">
        <v>0</v>
      </c>
      <c r="AC47" s="92">
        <v>0</v>
      </c>
      <c r="AD47" s="92">
        <v>0</v>
      </c>
      <c r="AE47" s="92">
        <v>0</v>
      </c>
      <c r="AF47" s="92">
        <v>0</v>
      </c>
      <c r="AG47" s="77">
        <f>SUM(C47:AF47)</f>
        <v>0</v>
      </c>
    </row>
    <row r="48" spans="2:33">
      <c r="B48" s="11" t="s">
        <v>3</v>
      </c>
      <c r="C48" s="94">
        <f>SUM(C46:C47)</f>
        <v>24</v>
      </c>
      <c r="D48" s="94">
        <f t="shared" ref="D48:H48" si="45">SUM(D46:D47)</f>
        <v>21.85</v>
      </c>
      <c r="E48" s="94">
        <f t="shared" si="45"/>
        <v>0</v>
      </c>
      <c r="F48" s="94">
        <f t="shared" si="45"/>
        <v>0</v>
      </c>
      <c r="G48" s="94">
        <f t="shared" si="45"/>
        <v>0</v>
      </c>
      <c r="H48" s="94">
        <f t="shared" si="45"/>
        <v>0</v>
      </c>
      <c r="I48" s="94">
        <f t="shared" ref="I48:K48" si="46">SUM(I46:I47)</f>
        <v>0</v>
      </c>
      <c r="J48" s="94">
        <f t="shared" si="46"/>
        <v>0</v>
      </c>
      <c r="K48" s="94">
        <f t="shared" si="46"/>
        <v>0</v>
      </c>
      <c r="L48" s="94">
        <f t="shared" ref="L48:N48" si="47">SUM(L46:L47)</f>
        <v>0</v>
      </c>
      <c r="M48" s="94">
        <f t="shared" si="47"/>
        <v>0</v>
      </c>
      <c r="N48" s="94">
        <f t="shared" si="47"/>
        <v>0</v>
      </c>
      <c r="O48" s="94">
        <f t="shared" ref="O48" si="48">SUM(O46:O47)</f>
        <v>0</v>
      </c>
      <c r="P48" s="94">
        <f t="shared" ref="P48" si="49">SUM(P46:P47)</f>
        <v>0</v>
      </c>
      <c r="Q48" s="94">
        <f t="shared" ref="Q48" si="50">SUM(Q46:Q47)</f>
        <v>0</v>
      </c>
      <c r="R48" s="94">
        <f t="shared" ref="R48" si="51">SUM(R46:R47)</f>
        <v>0</v>
      </c>
      <c r="S48" s="94">
        <f t="shared" ref="S48:U48" si="52">SUM(S46:S47)</f>
        <v>0</v>
      </c>
      <c r="T48" s="94">
        <f t="shared" si="52"/>
        <v>0</v>
      </c>
      <c r="U48" s="94">
        <f t="shared" si="52"/>
        <v>0</v>
      </c>
      <c r="V48" s="94">
        <f>SUM(V46:V47)</f>
        <v>0</v>
      </c>
      <c r="W48" s="94">
        <f t="shared" ref="W48" si="53">SUM(W46:W47)</f>
        <v>0</v>
      </c>
      <c r="X48" s="94">
        <f>SUM(X46:X47)</f>
        <v>7</v>
      </c>
      <c r="Y48" s="94">
        <f t="shared" ref="Y48" si="54">SUM(Y46:Y47)</f>
        <v>17</v>
      </c>
      <c r="Z48" s="94">
        <f t="shared" ref="Z48:AB48" si="55">SUM(Z46:Z47)</f>
        <v>0</v>
      </c>
      <c r="AA48" s="94">
        <f t="shared" si="55"/>
        <v>0</v>
      </c>
      <c r="AB48" s="94">
        <f t="shared" si="55"/>
        <v>0</v>
      </c>
      <c r="AC48" s="94">
        <f t="shared" ref="AC48" si="56">SUM(AC46:AC47)</f>
        <v>0</v>
      </c>
      <c r="AD48" s="94">
        <f t="shared" ref="AD48" si="57">SUM(AD46:AD47)</f>
        <v>0</v>
      </c>
      <c r="AE48" s="94">
        <f t="shared" ref="AE48" si="58">SUM(AE46:AE47)</f>
        <v>0</v>
      </c>
      <c r="AF48" s="94">
        <f t="shared" ref="AF48" si="59">SUM(AF46:AF47)</f>
        <v>12</v>
      </c>
      <c r="AG48" s="77">
        <f>SUM(C48:AF48)</f>
        <v>81.849999999999994</v>
      </c>
    </row>
    <row r="49" spans="2:33">
      <c r="B49" s="75" t="s">
        <v>20</v>
      </c>
      <c r="C49" s="75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76"/>
    </row>
    <row r="50" spans="2:33">
      <c r="B50" s="7" t="s">
        <v>43</v>
      </c>
      <c r="C50" s="92">
        <v>0</v>
      </c>
      <c r="D50" s="92">
        <v>0</v>
      </c>
      <c r="E50" s="89">
        <v>24</v>
      </c>
      <c r="F50" s="92">
        <v>0</v>
      </c>
      <c r="G50" s="89">
        <v>6</v>
      </c>
      <c r="H50" s="89">
        <v>24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2">
        <v>0</v>
      </c>
      <c r="O50" s="92">
        <v>0</v>
      </c>
      <c r="P50" s="92">
        <v>0</v>
      </c>
      <c r="Q50" s="92">
        <v>0</v>
      </c>
      <c r="R50" s="92">
        <v>0</v>
      </c>
      <c r="S50" s="92">
        <v>0</v>
      </c>
      <c r="T50" s="92">
        <v>0</v>
      </c>
      <c r="U50" s="92">
        <v>0</v>
      </c>
      <c r="V50" s="92">
        <v>0</v>
      </c>
      <c r="W50" s="92">
        <v>0</v>
      </c>
      <c r="X50" s="92">
        <v>0</v>
      </c>
      <c r="Y50" s="92">
        <v>0</v>
      </c>
      <c r="Z50" s="92">
        <v>0</v>
      </c>
      <c r="AA50" s="92">
        <v>0</v>
      </c>
      <c r="AB50" s="92">
        <v>0</v>
      </c>
      <c r="AC50" s="92">
        <v>0</v>
      </c>
      <c r="AD50" s="89">
        <v>3</v>
      </c>
      <c r="AE50" s="92">
        <v>0</v>
      </c>
      <c r="AF50" s="92">
        <v>0</v>
      </c>
      <c r="AG50" s="68">
        <f>SUM(C50:AF50)</f>
        <v>57</v>
      </c>
    </row>
    <row r="51" spans="2:33">
      <c r="B51" s="10" t="s">
        <v>20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89">
        <v>3</v>
      </c>
      <c r="K51" s="92">
        <v>0</v>
      </c>
      <c r="L51" s="92">
        <v>0</v>
      </c>
      <c r="M51" s="92">
        <v>0</v>
      </c>
      <c r="N51" s="92">
        <v>0</v>
      </c>
      <c r="O51" s="92">
        <v>0</v>
      </c>
      <c r="P51" s="92">
        <v>0</v>
      </c>
      <c r="Q51" s="92">
        <v>0</v>
      </c>
      <c r="R51" s="92">
        <v>0</v>
      </c>
      <c r="S51" s="92">
        <v>0</v>
      </c>
      <c r="T51" s="92">
        <v>0</v>
      </c>
      <c r="U51" s="92">
        <v>0</v>
      </c>
      <c r="V51" s="92">
        <v>0</v>
      </c>
      <c r="W51" s="92">
        <v>0</v>
      </c>
      <c r="X51" s="92">
        <v>0</v>
      </c>
      <c r="Y51" s="92">
        <v>0</v>
      </c>
      <c r="Z51" s="92">
        <v>0</v>
      </c>
      <c r="AA51" s="92">
        <v>0</v>
      </c>
      <c r="AB51" s="92">
        <v>0</v>
      </c>
      <c r="AC51" s="92">
        <v>0</v>
      </c>
      <c r="AD51" s="92">
        <v>0</v>
      </c>
      <c r="AE51" s="92">
        <v>0</v>
      </c>
      <c r="AF51" s="92">
        <v>0</v>
      </c>
      <c r="AG51" s="92">
        <f>SUM(C51:AF51)</f>
        <v>3</v>
      </c>
    </row>
    <row r="52" spans="2:33">
      <c r="B52" s="8" t="s">
        <v>3</v>
      </c>
      <c r="C52" s="90">
        <f>SUM(C50:C51)</f>
        <v>0</v>
      </c>
      <c r="D52" s="90">
        <f t="shared" ref="D52:K52" si="60">SUM(D50:D51)</f>
        <v>0</v>
      </c>
      <c r="E52" s="90">
        <f t="shared" si="60"/>
        <v>24</v>
      </c>
      <c r="F52" s="90">
        <f t="shared" si="60"/>
        <v>0</v>
      </c>
      <c r="G52" s="90">
        <f t="shared" si="60"/>
        <v>6</v>
      </c>
      <c r="H52" s="90">
        <f t="shared" si="60"/>
        <v>24</v>
      </c>
      <c r="I52" s="90">
        <f t="shared" si="60"/>
        <v>0</v>
      </c>
      <c r="J52" s="90">
        <f t="shared" si="60"/>
        <v>3</v>
      </c>
      <c r="K52" s="90">
        <f t="shared" si="60"/>
        <v>0</v>
      </c>
      <c r="L52" s="90">
        <f t="shared" ref="L52:M52" si="61">SUM(L50:L51)</f>
        <v>0</v>
      </c>
      <c r="M52" s="90">
        <f t="shared" si="61"/>
        <v>0</v>
      </c>
      <c r="N52" s="90">
        <f>SUM(N50:N51)</f>
        <v>0</v>
      </c>
      <c r="O52" s="90">
        <f>SUM(O50:O51)</f>
        <v>0</v>
      </c>
      <c r="P52" s="90">
        <f t="shared" ref="P52" si="62">SUM(P50:P51)</f>
        <v>0</v>
      </c>
      <c r="Q52" s="90">
        <f t="shared" ref="Q52" si="63">SUM(Q50:Q51)</f>
        <v>0</v>
      </c>
      <c r="R52" s="90">
        <f t="shared" ref="R52" si="64">SUM(R50:R51)</f>
        <v>0</v>
      </c>
      <c r="S52" s="90">
        <f t="shared" ref="S52:U52" si="65">SUM(S50:S51)</f>
        <v>0</v>
      </c>
      <c r="T52" s="90">
        <f t="shared" si="65"/>
        <v>0</v>
      </c>
      <c r="U52" s="90">
        <f t="shared" si="65"/>
        <v>0</v>
      </c>
      <c r="V52" s="90">
        <f t="shared" ref="V52:X52" si="66">SUM(V50:V51)</f>
        <v>0</v>
      </c>
      <c r="W52" s="90">
        <f t="shared" si="66"/>
        <v>0</v>
      </c>
      <c r="X52" s="90">
        <f t="shared" si="66"/>
        <v>0</v>
      </c>
      <c r="Y52" s="90">
        <f t="shared" ref="Y52" si="67">SUM(Y50:Y51)</f>
        <v>0</v>
      </c>
      <c r="Z52" s="90">
        <f t="shared" ref="Z52:AB52" si="68">SUM(Z50:Z51)</f>
        <v>0</v>
      </c>
      <c r="AA52" s="90">
        <f t="shared" si="68"/>
        <v>0</v>
      </c>
      <c r="AB52" s="90">
        <f t="shared" si="68"/>
        <v>0</v>
      </c>
      <c r="AC52" s="90">
        <f t="shared" ref="AC52" si="69">SUM(AC50:AC51)</f>
        <v>0</v>
      </c>
      <c r="AD52" s="90">
        <f t="shared" ref="AD52" si="70">SUM(AD50:AD51)</f>
        <v>3</v>
      </c>
      <c r="AE52" s="90">
        <f t="shared" ref="AE52" si="71">SUM(AE50:AE51)</f>
        <v>0</v>
      </c>
      <c r="AF52" s="90">
        <f t="shared" ref="AF52" si="72">SUM(AF50:AF51)</f>
        <v>0</v>
      </c>
      <c r="AG52" s="92">
        <f>SUM(C52:AF52)</f>
        <v>60</v>
      </c>
    </row>
    <row r="53" spans="2:33">
      <c r="C53" s="81"/>
      <c r="D53" s="27"/>
      <c r="E53" s="78"/>
      <c r="P53" s="27" t="s">
        <v>44</v>
      </c>
    </row>
    <row r="54" spans="2:33">
      <c r="D54" s="27"/>
      <c r="K54" s="78"/>
      <c r="M54" s="78"/>
      <c r="O54" s="78"/>
      <c r="U54" s="78"/>
      <c r="V54" s="78"/>
      <c r="AA54" s="78"/>
      <c r="AF54" s="78"/>
      <c r="AG54" s="27"/>
    </row>
    <row r="55" spans="2:33">
      <c r="D55" s="27"/>
      <c r="F55" s="78"/>
      <c r="I55" s="78"/>
      <c r="J55" s="78"/>
      <c r="X55" s="78"/>
      <c r="AB55" s="78"/>
      <c r="AC55" s="78"/>
      <c r="AD55" s="78"/>
      <c r="AE55" s="78"/>
    </row>
    <row r="56" spans="2:33">
      <c r="C56" s="81"/>
      <c r="D56" s="27"/>
      <c r="G56" s="78"/>
      <c r="H56" s="78"/>
      <c r="L56" s="78"/>
      <c r="S56" s="78"/>
      <c r="T56" s="78"/>
      <c r="U56" s="78"/>
      <c r="V56" s="78"/>
      <c r="W56" s="78"/>
      <c r="X56" s="78"/>
      <c r="Z56" s="78"/>
      <c r="AA56" s="78"/>
      <c r="AB56" s="78"/>
    </row>
    <row r="57" spans="2:33">
      <c r="D57" s="78"/>
      <c r="G57" s="78"/>
      <c r="H57" s="78"/>
      <c r="I57" s="78"/>
      <c r="J57" s="78"/>
      <c r="K57" s="78"/>
      <c r="M57" s="78"/>
      <c r="N57" s="78"/>
      <c r="P57" s="78"/>
      <c r="R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</row>
    <row r="58" spans="2:33">
      <c r="D58" s="27"/>
      <c r="E58" s="78"/>
      <c r="F58" s="78"/>
      <c r="G58" s="78"/>
      <c r="H58" s="78"/>
      <c r="I58" s="78"/>
      <c r="J58" s="78"/>
      <c r="K58" s="78"/>
      <c r="L58" s="78"/>
      <c r="N58" s="78"/>
      <c r="Q58" s="78"/>
      <c r="T58" s="78"/>
      <c r="V58" s="78"/>
      <c r="W58" s="78"/>
      <c r="X58" s="78"/>
      <c r="Y58" s="78"/>
      <c r="Z58" s="78"/>
      <c r="AB58" s="78"/>
    </row>
    <row r="59" spans="2:33">
      <c r="D59" s="27"/>
      <c r="G59" s="78"/>
      <c r="I59" s="78"/>
      <c r="J59" s="78"/>
      <c r="K59" s="78"/>
      <c r="O59" s="78"/>
      <c r="R59" s="78"/>
      <c r="V59" s="78"/>
      <c r="X59" s="78"/>
      <c r="Y59" s="78"/>
    </row>
    <row r="60" spans="2:33">
      <c r="D60" s="27"/>
      <c r="E60" s="78"/>
      <c r="J60" s="78"/>
      <c r="K60" s="78"/>
      <c r="O60" s="78"/>
      <c r="R60" s="78"/>
      <c r="T60" s="78"/>
      <c r="X60" s="78"/>
      <c r="Y60" s="78"/>
      <c r="AA60" s="78"/>
    </row>
    <row r="61" spans="2:33">
      <c r="D61" s="27"/>
      <c r="K61" s="78"/>
      <c r="AA61" s="78"/>
    </row>
    <row r="62" spans="2:33">
      <c r="D62" s="27"/>
      <c r="X62" s="78"/>
    </row>
    <row r="63" spans="2:33">
      <c r="D63" s="27"/>
    </row>
    <row r="64" spans="2:33">
      <c r="D64" s="27"/>
    </row>
    <row r="65" spans="4:4">
      <c r="D65" s="27"/>
    </row>
    <row r="66" spans="4:4">
      <c r="D66" s="27"/>
    </row>
    <row r="67" spans="4:4">
      <c r="D67" s="27"/>
    </row>
    <row r="68" spans="4:4">
      <c r="D68" s="27"/>
    </row>
    <row r="69" spans="4:4">
      <c r="D69" s="27"/>
    </row>
    <row r="70" spans="4:4">
      <c r="D70" s="27"/>
    </row>
    <row r="71" spans="4:4">
      <c r="D71" s="27"/>
    </row>
    <row r="72" spans="4:4">
      <c r="D72" s="27"/>
    </row>
    <row r="73" spans="4:4">
      <c r="D73" s="27"/>
    </row>
    <row r="74" spans="4:4">
      <c r="D74" s="27"/>
    </row>
  </sheetData>
  <mergeCells count="3">
    <mergeCell ref="B1:AG1"/>
    <mergeCell ref="B2:AG2"/>
    <mergeCell ref="B3:AD3"/>
  </mergeCells>
  <pageMargins left="0" right="0" top="0.75" bottom="0.75" header="0.3" footer="0.3"/>
  <pageSetup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100"/>
  <sheetViews>
    <sheetView zoomScale="90" zoomScaleNormal="90" workbookViewId="0">
      <pane xSplit="2" ySplit="4" topLeftCell="H15" activePane="bottomRight" state="frozen"/>
      <selection pane="topRight" activeCell="C1" sqref="C1"/>
      <selection pane="bottomLeft" activeCell="A4" sqref="A4"/>
      <selection pane="bottomRight" activeCell="AH28" sqref="AH28"/>
    </sheetView>
  </sheetViews>
  <sheetFormatPr defaultColWidth="8.85546875" defaultRowHeight="12.75"/>
  <cols>
    <col min="1" max="1" width="2.7109375" style="5" customWidth="1"/>
    <col min="2" max="2" width="40.28515625" style="1" customWidth="1"/>
    <col min="3" max="3" width="6.42578125" style="20" bestFit="1" customWidth="1"/>
    <col min="4" max="4" width="5.7109375" style="20" bestFit="1" customWidth="1"/>
    <col min="5" max="29" width="5.7109375" style="27" bestFit="1" customWidth="1"/>
    <col min="30" max="32" width="5.7109375" style="27" customWidth="1"/>
    <col min="33" max="33" width="14" style="15" customWidth="1"/>
    <col min="34" max="16384" width="8.85546875" style="5"/>
  </cols>
  <sheetData>
    <row r="1" spans="2:33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2:33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2:33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83"/>
      <c r="AF3" s="97"/>
      <c r="AG3" s="82">
        <v>46142</v>
      </c>
    </row>
    <row r="4" spans="2:33">
      <c r="B4" s="34" t="s">
        <v>45</v>
      </c>
      <c r="C4" s="64">
        <v>46113</v>
      </c>
      <c r="D4" s="91">
        <v>46114</v>
      </c>
      <c r="E4" s="91">
        <v>46115</v>
      </c>
      <c r="F4" s="91">
        <v>46116</v>
      </c>
      <c r="G4" s="91">
        <v>46117</v>
      </c>
      <c r="H4" s="91">
        <v>46118</v>
      </c>
      <c r="I4" s="91">
        <v>46119</v>
      </c>
      <c r="J4" s="91">
        <v>46120</v>
      </c>
      <c r="K4" s="91">
        <v>46121</v>
      </c>
      <c r="L4" s="91">
        <v>46122</v>
      </c>
      <c r="M4" s="91">
        <v>46123</v>
      </c>
      <c r="N4" s="91">
        <v>46124</v>
      </c>
      <c r="O4" s="91">
        <v>46125</v>
      </c>
      <c r="P4" s="91">
        <v>46126</v>
      </c>
      <c r="Q4" s="91">
        <v>46127</v>
      </c>
      <c r="R4" s="91">
        <v>46128</v>
      </c>
      <c r="S4" s="91">
        <v>46129</v>
      </c>
      <c r="T4" s="91">
        <v>46130</v>
      </c>
      <c r="U4" s="91">
        <v>46131</v>
      </c>
      <c r="V4" s="91">
        <v>46132</v>
      </c>
      <c r="W4" s="91">
        <v>46133</v>
      </c>
      <c r="X4" s="91">
        <v>46134</v>
      </c>
      <c r="Y4" s="91">
        <v>46135</v>
      </c>
      <c r="Z4" s="91">
        <v>46136</v>
      </c>
      <c r="AA4" s="91">
        <v>46137</v>
      </c>
      <c r="AB4" s="91">
        <v>46138</v>
      </c>
      <c r="AC4" s="91">
        <v>46139</v>
      </c>
      <c r="AD4" s="91">
        <v>46140</v>
      </c>
      <c r="AE4" s="91">
        <v>46141</v>
      </c>
      <c r="AF4" s="91">
        <v>46142</v>
      </c>
      <c r="AG4" s="16" t="s">
        <v>3</v>
      </c>
    </row>
    <row r="5" spans="2:33">
      <c r="B5" s="18" t="s">
        <v>4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</row>
    <row r="6" spans="2:33">
      <c r="B6" s="10" t="s">
        <v>46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86">
        <v>1.58</v>
      </c>
      <c r="N6" s="22">
        <v>0</v>
      </c>
      <c r="O6" s="86">
        <v>1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86">
        <v>1.91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>SUM(C6:AF6)</f>
        <v>4.49</v>
      </c>
    </row>
    <row r="7" spans="2:33">
      <c r="B7" s="10" t="s">
        <v>342</v>
      </c>
      <c r="C7" s="22">
        <v>0</v>
      </c>
      <c r="D7" s="22">
        <v>0</v>
      </c>
      <c r="E7" s="86">
        <v>2.17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90">
        <f t="shared" ref="AG7:AG28" si="0">SUM(C7:AF7)</f>
        <v>2.17</v>
      </c>
    </row>
    <row r="8" spans="2:33">
      <c r="B8" s="10" t="s">
        <v>47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90">
        <f t="shared" si="0"/>
        <v>0</v>
      </c>
    </row>
    <row r="9" spans="2:33">
      <c r="B9" s="10" t="s">
        <v>48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90">
        <f t="shared" si="0"/>
        <v>0</v>
      </c>
    </row>
    <row r="10" spans="2:33" ht="13.5" customHeight="1">
      <c r="B10" s="10" t="s">
        <v>49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90">
        <f t="shared" si="0"/>
        <v>0</v>
      </c>
    </row>
    <row r="11" spans="2:33">
      <c r="B11" s="10" t="s">
        <v>50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90">
        <f t="shared" si="0"/>
        <v>0</v>
      </c>
    </row>
    <row r="12" spans="2:33">
      <c r="B12" s="10" t="s">
        <v>51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90">
        <f t="shared" si="0"/>
        <v>0</v>
      </c>
    </row>
    <row r="13" spans="2:33">
      <c r="B13" s="10" t="s">
        <v>52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85">
        <v>0.68</v>
      </c>
      <c r="L13" s="85">
        <v>0.67</v>
      </c>
      <c r="M13" s="22">
        <v>0</v>
      </c>
      <c r="N13" s="22">
        <v>0</v>
      </c>
      <c r="O13" s="22">
        <v>0</v>
      </c>
      <c r="P13" s="86">
        <v>1.1599999999999999</v>
      </c>
      <c r="Q13" s="22">
        <v>0</v>
      </c>
      <c r="R13" s="22">
        <v>0</v>
      </c>
      <c r="S13" s="87">
        <v>0.33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90">
        <f t="shared" si="0"/>
        <v>2.84</v>
      </c>
    </row>
    <row r="14" spans="2:33">
      <c r="B14" s="10" t="s">
        <v>312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90">
        <f t="shared" si="0"/>
        <v>0</v>
      </c>
    </row>
    <row r="15" spans="2:33">
      <c r="B15" s="10" t="s">
        <v>53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87">
        <v>0.42</v>
      </c>
      <c r="N15" s="22">
        <v>0</v>
      </c>
      <c r="O15" s="22">
        <v>0</v>
      </c>
      <c r="P15" s="86">
        <v>1.3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85">
        <v>0.67</v>
      </c>
      <c r="AG15" s="90">
        <f t="shared" si="0"/>
        <v>2.39</v>
      </c>
    </row>
    <row r="16" spans="2:33">
      <c r="B16" s="10" t="s">
        <v>54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90">
        <f t="shared" si="0"/>
        <v>0</v>
      </c>
    </row>
    <row r="17" spans="2:33">
      <c r="B17" s="10" t="s">
        <v>293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90">
        <f t="shared" si="0"/>
        <v>0</v>
      </c>
    </row>
    <row r="18" spans="2:33">
      <c r="B18" s="10" t="s">
        <v>55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90">
        <f t="shared" si="0"/>
        <v>0</v>
      </c>
    </row>
    <row r="19" spans="2:33">
      <c r="B19" s="10" t="s">
        <v>341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90">
        <f t="shared" si="0"/>
        <v>0</v>
      </c>
    </row>
    <row r="20" spans="2:33">
      <c r="B20" s="10" t="s">
        <v>56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90">
        <f t="shared" si="0"/>
        <v>0</v>
      </c>
    </row>
    <row r="21" spans="2:33">
      <c r="B21" s="10" t="s">
        <v>57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85">
        <v>0.83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90">
        <f t="shared" si="0"/>
        <v>0.83</v>
      </c>
    </row>
    <row r="22" spans="2:33">
      <c r="B22" s="10" t="s">
        <v>340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90">
        <f t="shared" si="0"/>
        <v>0</v>
      </c>
    </row>
    <row r="23" spans="2:33">
      <c r="B23" s="10" t="s">
        <v>338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90">
        <f t="shared" si="0"/>
        <v>0</v>
      </c>
    </row>
    <row r="24" spans="2:33">
      <c r="B24" s="10" t="s">
        <v>305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87">
        <v>0.47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85">
        <v>0.57999999999999996</v>
      </c>
      <c r="AC24" s="22">
        <v>0</v>
      </c>
      <c r="AD24" s="22">
        <v>0</v>
      </c>
      <c r="AE24" s="22">
        <v>0</v>
      </c>
      <c r="AF24" s="22">
        <v>0</v>
      </c>
      <c r="AG24" s="90">
        <f t="shared" si="0"/>
        <v>1.0499999999999998</v>
      </c>
    </row>
    <row r="25" spans="2:33">
      <c r="B25" s="10" t="s">
        <v>309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90">
        <f t="shared" si="0"/>
        <v>0</v>
      </c>
    </row>
    <row r="26" spans="2:33">
      <c r="B26" s="10" t="s">
        <v>355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90">
        <f t="shared" si="0"/>
        <v>0</v>
      </c>
    </row>
    <row r="27" spans="2:33">
      <c r="B27" s="10" t="s">
        <v>20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86">
        <v>1.45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87">
        <v>0.33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90">
        <f t="shared" si="0"/>
        <v>1.78</v>
      </c>
    </row>
    <row r="28" spans="2:33">
      <c r="B28" s="11" t="s">
        <v>3</v>
      </c>
      <c r="C28" s="17">
        <f>SUM(C6:C27)</f>
        <v>0</v>
      </c>
      <c r="D28" s="90">
        <f t="shared" ref="D28:AF28" si="1">SUM(D6:D27)</f>
        <v>0</v>
      </c>
      <c r="E28" s="90">
        <f t="shared" si="1"/>
        <v>2.17</v>
      </c>
      <c r="F28" s="90">
        <f t="shared" si="1"/>
        <v>0</v>
      </c>
      <c r="G28" s="90">
        <f t="shared" si="1"/>
        <v>0</v>
      </c>
      <c r="H28" s="90">
        <f t="shared" si="1"/>
        <v>0</v>
      </c>
      <c r="I28" s="90">
        <f t="shared" si="1"/>
        <v>0</v>
      </c>
      <c r="J28" s="90">
        <f t="shared" si="1"/>
        <v>0</v>
      </c>
      <c r="K28" s="90">
        <f t="shared" si="1"/>
        <v>0.68</v>
      </c>
      <c r="L28" s="90">
        <f t="shared" si="1"/>
        <v>2.12</v>
      </c>
      <c r="M28" s="90">
        <f t="shared" si="1"/>
        <v>2</v>
      </c>
      <c r="N28" s="90">
        <f t="shared" si="1"/>
        <v>0</v>
      </c>
      <c r="O28" s="90">
        <f t="shared" si="1"/>
        <v>1</v>
      </c>
      <c r="P28" s="90">
        <f t="shared" si="1"/>
        <v>2.9299999999999997</v>
      </c>
      <c r="Q28" s="90">
        <f t="shared" si="1"/>
        <v>0</v>
      </c>
      <c r="R28" s="90">
        <f t="shared" si="1"/>
        <v>0</v>
      </c>
      <c r="S28" s="90">
        <f t="shared" si="1"/>
        <v>0.33</v>
      </c>
      <c r="T28" s="90">
        <f t="shared" si="1"/>
        <v>0</v>
      </c>
      <c r="U28" s="90">
        <f t="shared" si="1"/>
        <v>0.83</v>
      </c>
      <c r="V28" s="90">
        <f t="shared" si="1"/>
        <v>0</v>
      </c>
      <c r="W28" s="90">
        <f t="shared" si="1"/>
        <v>1.91</v>
      </c>
      <c r="X28" s="90">
        <f t="shared" si="1"/>
        <v>0</v>
      </c>
      <c r="Y28" s="90">
        <f t="shared" si="1"/>
        <v>0</v>
      </c>
      <c r="Z28" s="90">
        <f t="shared" si="1"/>
        <v>0.33</v>
      </c>
      <c r="AA28" s="90">
        <f t="shared" si="1"/>
        <v>0</v>
      </c>
      <c r="AB28" s="90">
        <f t="shared" si="1"/>
        <v>0.57999999999999996</v>
      </c>
      <c r="AC28" s="90">
        <f t="shared" si="1"/>
        <v>0</v>
      </c>
      <c r="AD28" s="90">
        <f t="shared" si="1"/>
        <v>0</v>
      </c>
      <c r="AE28" s="90">
        <f t="shared" si="1"/>
        <v>0</v>
      </c>
      <c r="AF28" s="90">
        <f t="shared" si="1"/>
        <v>0.67</v>
      </c>
      <c r="AG28" s="90">
        <f t="shared" si="0"/>
        <v>15.55</v>
      </c>
    </row>
    <row r="29" spans="2:33">
      <c r="B29" s="19" t="s">
        <v>21</v>
      </c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</row>
    <row r="30" spans="2:33">
      <c r="B30" s="10" t="s">
        <v>346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86">
        <v>1.08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86">
        <v>1.25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17">
        <f>SUM(C30:AF30)</f>
        <v>2.33</v>
      </c>
    </row>
    <row r="31" spans="2:33">
      <c r="B31" s="10" t="s">
        <v>58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90">
        <f t="shared" ref="AG31:AG52" si="2">SUM(C31:AF31)</f>
        <v>0</v>
      </c>
    </row>
    <row r="32" spans="2:33">
      <c r="B32" s="10" t="s">
        <v>59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90">
        <f t="shared" si="2"/>
        <v>0</v>
      </c>
    </row>
    <row r="33" spans="2:33">
      <c r="B33" s="10" t="s">
        <v>60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85">
        <v>0.6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90">
        <f t="shared" si="2"/>
        <v>0.6</v>
      </c>
    </row>
    <row r="34" spans="2:33">
      <c r="B34" s="10" t="s">
        <v>61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90">
        <f t="shared" si="2"/>
        <v>0</v>
      </c>
    </row>
    <row r="35" spans="2:33">
      <c r="B35" s="10" t="s">
        <v>62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90">
        <f t="shared" si="2"/>
        <v>0</v>
      </c>
    </row>
    <row r="36" spans="2:33">
      <c r="B36" s="10" t="s">
        <v>54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90">
        <f t="shared" si="2"/>
        <v>0</v>
      </c>
    </row>
    <row r="37" spans="2:33">
      <c r="B37" s="10" t="s">
        <v>63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90">
        <f t="shared" si="2"/>
        <v>0</v>
      </c>
    </row>
    <row r="38" spans="2:33">
      <c r="B38" s="10" t="s">
        <v>352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90">
        <f t="shared" si="2"/>
        <v>0</v>
      </c>
    </row>
    <row r="39" spans="2:33">
      <c r="B39" s="10" t="s">
        <v>64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90">
        <f t="shared" si="2"/>
        <v>0</v>
      </c>
    </row>
    <row r="40" spans="2:33">
      <c r="B40" s="10" t="s">
        <v>321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87">
        <v>0.42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90">
        <f t="shared" si="2"/>
        <v>0.42</v>
      </c>
    </row>
    <row r="41" spans="2:33">
      <c r="B41" s="10" t="s">
        <v>345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90">
        <f t="shared" si="2"/>
        <v>0</v>
      </c>
    </row>
    <row r="42" spans="2:33">
      <c r="B42" s="12" t="s">
        <v>65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90">
        <f t="shared" si="2"/>
        <v>0</v>
      </c>
    </row>
    <row r="43" spans="2:33">
      <c r="B43" s="10" t="s">
        <v>66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90">
        <f t="shared" si="2"/>
        <v>0</v>
      </c>
    </row>
    <row r="44" spans="2:33">
      <c r="B44" s="10" t="s">
        <v>67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90">
        <f t="shared" si="2"/>
        <v>0</v>
      </c>
    </row>
    <row r="45" spans="2:33">
      <c r="B45" s="10" t="s">
        <v>68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90">
        <f t="shared" si="2"/>
        <v>0</v>
      </c>
    </row>
    <row r="46" spans="2:33">
      <c r="B46" s="10" t="s">
        <v>69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90">
        <f t="shared" si="2"/>
        <v>0</v>
      </c>
    </row>
    <row r="47" spans="2:33">
      <c r="B47" s="10" t="s">
        <v>70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90">
        <f t="shared" si="2"/>
        <v>0</v>
      </c>
    </row>
    <row r="48" spans="2:33">
      <c r="B48" s="10" t="s">
        <v>335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90">
        <f t="shared" si="2"/>
        <v>0</v>
      </c>
    </row>
    <row r="49" spans="2:33">
      <c r="B49" s="10" t="s">
        <v>289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90">
        <f t="shared" si="2"/>
        <v>0</v>
      </c>
    </row>
    <row r="50" spans="2:33">
      <c r="B50" s="10" t="s">
        <v>292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90">
        <f t="shared" si="2"/>
        <v>0</v>
      </c>
    </row>
    <row r="51" spans="2:33">
      <c r="B51" s="10" t="s">
        <v>315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90">
        <f t="shared" si="2"/>
        <v>0</v>
      </c>
    </row>
    <row r="52" spans="2:33" s="3" customFormat="1">
      <c r="B52" s="11" t="s">
        <v>3</v>
      </c>
      <c r="C52" s="17">
        <f>SUM(C30:C51)</f>
        <v>0</v>
      </c>
      <c r="D52" s="17">
        <f t="shared" ref="D52:AD52" si="3">SUM(D30:D51)</f>
        <v>0</v>
      </c>
      <c r="E52" s="17">
        <f>SUM(E30:E51)</f>
        <v>0</v>
      </c>
      <c r="F52" s="17">
        <f t="shared" si="3"/>
        <v>0</v>
      </c>
      <c r="G52" s="17">
        <f t="shared" si="3"/>
        <v>0</v>
      </c>
      <c r="H52" s="17">
        <f t="shared" si="3"/>
        <v>0</v>
      </c>
      <c r="I52" s="17">
        <f t="shared" si="3"/>
        <v>0.42</v>
      </c>
      <c r="J52" s="17">
        <f t="shared" si="3"/>
        <v>0</v>
      </c>
      <c r="K52" s="17">
        <f t="shared" si="3"/>
        <v>0</v>
      </c>
      <c r="L52" s="17">
        <f t="shared" si="3"/>
        <v>0</v>
      </c>
      <c r="M52" s="17">
        <f t="shared" si="3"/>
        <v>0</v>
      </c>
      <c r="N52" s="17">
        <f t="shared" si="3"/>
        <v>0</v>
      </c>
      <c r="O52" s="17">
        <f t="shared" si="3"/>
        <v>1.08</v>
      </c>
      <c r="P52" s="17">
        <f t="shared" si="3"/>
        <v>0</v>
      </c>
      <c r="Q52" s="17">
        <f t="shared" si="3"/>
        <v>0</v>
      </c>
      <c r="R52" s="17">
        <f t="shared" si="3"/>
        <v>0</v>
      </c>
      <c r="S52" s="17">
        <f t="shared" si="3"/>
        <v>0.6</v>
      </c>
      <c r="T52" s="17">
        <f t="shared" si="3"/>
        <v>0</v>
      </c>
      <c r="U52" s="17">
        <f t="shared" si="3"/>
        <v>1.25</v>
      </c>
      <c r="V52" s="17">
        <f t="shared" si="3"/>
        <v>0</v>
      </c>
      <c r="W52" s="17">
        <f t="shared" si="3"/>
        <v>0</v>
      </c>
      <c r="X52" s="17">
        <f t="shared" si="3"/>
        <v>0</v>
      </c>
      <c r="Y52" s="17">
        <f t="shared" si="3"/>
        <v>0</v>
      </c>
      <c r="Z52" s="17">
        <f t="shared" si="3"/>
        <v>0</v>
      </c>
      <c r="AA52" s="17">
        <f t="shared" si="3"/>
        <v>0</v>
      </c>
      <c r="AB52" s="17">
        <f t="shared" si="3"/>
        <v>0</v>
      </c>
      <c r="AC52" s="17">
        <f t="shared" si="3"/>
        <v>0</v>
      </c>
      <c r="AD52" s="17">
        <f t="shared" si="3"/>
        <v>0</v>
      </c>
      <c r="AE52" s="17">
        <f t="shared" ref="AE52:AF52" si="4">SUM(AE30:AE51)</f>
        <v>0</v>
      </c>
      <c r="AF52" s="90">
        <f t="shared" si="4"/>
        <v>0</v>
      </c>
      <c r="AG52" s="90">
        <f t="shared" si="2"/>
        <v>3.35</v>
      </c>
    </row>
    <row r="53" spans="2:33">
      <c r="B53" s="105" t="s">
        <v>71</v>
      </c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</row>
    <row r="54" spans="2:33">
      <c r="B54" s="10" t="s">
        <v>343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85">
        <v>0.5</v>
      </c>
      <c r="J54" s="86">
        <v>1.17</v>
      </c>
      <c r="K54" s="85">
        <v>0.83</v>
      </c>
      <c r="L54" s="22">
        <v>0</v>
      </c>
      <c r="M54" s="22">
        <v>0</v>
      </c>
      <c r="N54" s="22">
        <v>0</v>
      </c>
      <c r="O54" s="86">
        <v>1.32</v>
      </c>
      <c r="P54" s="22">
        <v>0</v>
      </c>
      <c r="Q54" s="86">
        <v>4.08</v>
      </c>
      <c r="R54" s="86">
        <v>4.7699999999999996</v>
      </c>
      <c r="S54" s="86">
        <v>3.5</v>
      </c>
      <c r="T54" s="86">
        <v>7.25</v>
      </c>
      <c r="U54" s="86">
        <v>1.77</v>
      </c>
      <c r="V54" s="86">
        <v>5.5</v>
      </c>
      <c r="W54" s="86">
        <v>4.42</v>
      </c>
      <c r="X54" s="86">
        <v>3</v>
      </c>
      <c r="Y54" s="86">
        <v>6.9</v>
      </c>
      <c r="Z54" s="86">
        <v>5.37</v>
      </c>
      <c r="AA54" s="86">
        <v>2.6</v>
      </c>
      <c r="AB54" s="86">
        <v>2.62</v>
      </c>
      <c r="AC54" s="86">
        <v>2.12</v>
      </c>
      <c r="AD54" s="22">
        <v>0</v>
      </c>
      <c r="AE54" s="86">
        <v>3.51</v>
      </c>
      <c r="AF54" s="86">
        <v>2.4500000000000002</v>
      </c>
      <c r="AG54" s="17">
        <f>SUM(C54:AF54)</f>
        <v>63.679999999999993</v>
      </c>
    </row>
    <row r="55" spans="2:33">
      <c r="B55" s="10" t="s">
        <v>300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86">
        <v>1.58</v>
      </c>
      <c r="M55" s="22">
        <v>0</v>
      </c>
      <c r="N55" s="22">
        <v>0</v>
      </c>
      <c r="O55" s="85">
        <v>0.92</v>
      </c>
      <c r="P55" s="22">
        <v>0</v>
      </c>
      <c r="Q55" s="22">
        <v>0</v>
      </c>
      <c r="R55" s="86">
        <v>1.03</v>
      </c>
      <c r="S55" s="86">
        <v>1.57</v>
      </c>
      <c r="T55" s="85">
        <v>0.75</v>
      </c>
      <c r="U55" s="22">
        <v>0</v>
      </c>
      <c r="V55" s="22">
        <v>0</v>
      </c>
      <c r="W55" s="85">
        <v>0.67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86">
        <v>1.68</v>
      </c>
      <c r="AE55" s="87">
        <v>0.42</v>
      </c>
      <c r="AF55" s="22">
        <v>0</v>
      </c>
      <c r="AG55" s="90">
        <f t="shared" ref="AG55:AG67" si="5">SUM(C55:AF55)</f>
        <v>8.620000000000001</v>
      </c>
    </row>
    <row r="56" spans="2:33">
      <c r="B56" s="10" t="s">
        <v>72</v>
      </c>
      <c r="C56" s="22">
        <v>0</v>
      </c>
      <c r="D56" s="22">
        <v>0</v>
      </c>
      <c r="E56" s="22">
        <v>0</v>
      </c>
      <c r="F56" s="85">
        <v>0.83</v>
      </c>
      <c r="G56" s="22">
        <v>0</v>
      </c>
      <c r="H56" s="87">
        <v>0.42</v>
      </c>
      <c r="I56" s="85">
        <v>0.98</v>
      </c>
      <c r="J56" s="85">
        <v>0.93</v>
      </c>
      <c r="K56" s="86">
        <v>1.17</v>
      </c>
      <c r="L56" s="22">
        <v>0</v>
      </c>
      <c r="M56" s="87">
        <v>0.45</v>
      </c>
      <c r="N56" s="86">
        <v>2</v>
      </c>
      <c r="O56" s="22">
        <v>0</v>
      </c>
      <c r="P56" s="86">
        <v>1.37</v>
      </c>
      <c r="Q56" s="86">
        <v>1.92</v>
      </c>
      <c r="R56" s="85">
        <v>0.67</v>
      </c>
      <c r="S56" s="22">
        <v>0</v>
      </c>
      <c r="T56" s="85">
        <v>0.83</v>
      </c>
      <c r="U56" s="86">
        <v>2.73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86">
        <v>1.33</v>
      </c>
      <c r="AB56" s="86">
        <v>1.58</v>
      </c>
      <c r="AC56" s="86">
        <v>0.78</v>
      </c>
      <c r="AD56" s="87">
        <v>0.33</v>
      </c>
      <c r="AE56" s="22">
        <v>0</v>
      </c>
      <c r="AF56" s="85">
        <v>0.57999999999999996</v>
      </c>
      <c r="AG56" s="90">
        <f t="shared" si="5"/>
        <v>18.899999999999999</v>
      </c>
    </row>
    <row r="57" spans="2:33">
      <c r="B57" s="10" t="s">
        <v>73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90">
        <f t="shared" si="5"/>
        <v>0</v>
      </c>
    </row>
    <row r="58" spans="2:33">
      <c r="B58" s="10" t="s">
        <v>74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90">
        <f t="shared" si="5"/>
        <v>0</v>
      </c>
    </row>
    <row r="59" spans="2:33">
      <c r="B59" s="10" t="s">
        <v>52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85">
        <v>0.57999999999999996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87">
        <v>0.42</v>
      </c>
      <c r="V59" s="85">
        <v>0.5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90">
        <f t="shared" si="5"/>
        <v>1.5</v>
      </c>
    </row>
    <row r="60" spans="2:33">
      <c r="B60" s="10" t="s">
        <v>75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90">
        <f t="shared" si="5"/>
        <v>0</v>
      </c>
    </row>
    <row r="61" spans="2:33">
      <c r="B61" s="10" t="s">
        <v>76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90">
        <f t="shared" si="5"/>
        <v>0</v>
      </c>
    </row>
    <row r="62" spans="2:33">
      <c r="B62" s="10" t="s">
        <v>77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87">
        <v>0.42</v>
      </c>
      <c r="AE62" s="22">
        <v>0</v>
      </c>
      <c r="AF62" s="22">
        <v>0</v>
      </c>
      <c r="AG62" s="90">
        <f t="shared" si="5"/>
        <v>0.42</v>
      </c>
    </row>
    <row r="63" spans="2:33">
      <c r="B63" s="10" t="s">
        <v>78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90">
        <f t="shared" si="5"/>
        <v>0</v>
      </c>
    </row>
    <row r="64" spans="2:33">
      <c r="B64" s="10" t="s">
        <v>79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90">
        <f t="shared" si="5"/>
        <v>0</v>
      </c>
    </row>
    <row r="65" spans="2:33">
      <c r="B65" s="10" t="s">
        <v>80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90">
        <f t="shared" si="5"/>
        <v>0</v>
      </c>
    </row>
    <row r="66" spans="2:33">
      <c r="B66" s="10" t="s">
        <v>364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85">
        <v>0.92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90">
        <f t="shared" si="5"/>
        <v>0.92</v>
      </c>
    </row>
    <row r="67" spans="2:33">
      <c r="B67" s="11" t="s">
        <v>3</v>
      </c>
      <c r="C67" s="17">
        <f>SUM(C54:C66)</f>
        <v>0</v>
      </c>
      <c r="D67" s="17">
        <f t="shared" ref="D67:AD67" si="6">SUM(D54:D66)</f>
        <v>0</v>
      </c>
      <c r="E67" s="17">
        <f>SUM(E54:E66)</f>
        <v>0</v>
      </c>
      <c r="F67" s="17">
        <f t="shared" si="6"/>
        <v>0.83</v>
      </c>
      <c r="G67" s="17">
        <f t="shared" si="6"/>
        <v>0</v>
      </c>
      <c r="H67" s="17">
        <f t="shared" si="6"/>
        <v>1</v>
      </c>
      <c r="I67" s="17">
        <f t="shared" si="6"/>
        <v>1.48</v>
      </c>
      <c r="J67" s="17">
        <f t="shared" si="6"/>
        <v>2.1</v>
      </c>
      <c r="K67" s="17">
        <f t="shared" si="6"/>
        <v>2</v>
      </c>
      <c r="L67" s="17">
        <f t="shared" si="6"/>
        <v>1.58</v>
      </c>
      <c r="M67" s="17">
        <f t="shared" si="6"/>
        <v>0.45</v>
      </c>
      <c r="N67" s="17">
        <f t="shared" si="6"/>
        <v>2</v>
      </c>
      <c r="O67" s="17">
        <f t="shared" si="6"/>
        <v>2.2400000000000002</v>
      </c>
      <c r="P67" s="17">
        <f t="shared" si="6"/>
        <v>1.37</v>
      </c>
      <c r="Q67" s="17">
        <f t="shared" si="6"/>
        <v>6</v>
      </c>
      <c r="R67" s="17">
        <f>SUM(R54:R66)</f>
        <v>6.47</v>
      </c>
      <c r="S67" s="17">
        <f t="shared" si="6"/>
        <v>5.07</v>
      </c>
      <c r="T67" s="17">
        <f t="shared" si="6"/>
        <v>8.83</v>
      </c>
      <c r="U67" s="17">
        <f t="shared" si="6"/>
        <v>4.92</v>
      </c>
      <c r="V67" s="17">
        <f t="shared" si="6"/>
        <v>6</v>
      </c>
      <c r="W67" s="17">
        <f t="shared" si="6"/>
        <v>5.09</v>
      </c>
      <c r="X67" s="17">
        <f t="shared" si="6"/>
        <v>3</v>
      </c>
      <c r="Y67" s="17">
        <f t="shared" si="6"/>
        <v>6.9</v>
      </c>
      <c r="Z67" s="17">
        <f t="shared" si="6"/>
        <v>5.37</v>
      </c>
      <c r="AA67" s="17">
        <f t="shared" si="6"/>
        <v>4.8500000000000005</v>
      </c>
      <c r="AB67" s="17">
        <f t="shared" si="6"/>
        <v>4.2</v>
      </c>
      <c r="AC67" s="17">
        <f t="shared" si="6"/>
        <v>2.9000000000000004</v>
      </c>
      <c r="AD67" s="17">
        <f t="shared" si="6"/>
        <v>2.4299999999999997</v>
      </c>
      <c r="AE67" s="17">
        <f t="shared" ref="AE67:AF67" si="7">SUM(AE54:AE66)</f>
        <v>3.9299999999999997</v>
      </c>
      <c r="AF67" s="90">
        <f t="shared" si="7"/>
        <v>3.0300000000000002</v>
      </c>
      <c r="AG67" s="90">
        <f t="shared" si="5"/>
        <v>94.04000000000002</v>
      </c>
    </row>
    <row r="68" spans="2:33">
      <c r="B68" s="106" t="s">
        <v>40</v>
      </c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</row>
    <row r="69" spans="2:33">
      <c r="B69" s="7" t="s">
        <v>41</v>
      </c>
      <c r="C69" s="86">
        <v>24</v>
      </c>
      <c r="D69" s="86">
        <v>24</v>
      </c>
      <c r="E69" s="86">
        <v>17.43</v>
      </c>
      <c r="F69" s="86">
        <v>14.17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17">
        <f>SUM(C69:AF69)</f>
        <v>79.600000000000009</v>
      </c>
    </row>
    <row r="70" spans="2:33">
      <c r="B70" s="7" t="s">
        <v>42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90">
        <f>SUM(C70:AF70)</f>
        <v>0</v>
      </c>
    </row>
    <row r="71" spans="2:33">
      <c r="B71" s="106" t="s">
        <v>20</v>
      </c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</row>
    <row r="72" spans="2:33">
      <c r="B72" s="7" t="s">
        <v>81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17">
        <f>SUM(C72:AF72)</f>
        <v>0</v>
      </c>
    </row>
    <row r="73" spans="2:33">
      <c r="B73" s="7" t="s">
        <v>82</v>
      </c>
      <c r="C73" s="22">
        <v>0</v>
      </c>
      <c r="D73" s="22">
        <v>0</v>
      </c>
      <c r="E73" s="87">
        <v>0.28000000000000003</v>
      </c>
      <c r="F73" s="22">
        <v>0</v>
      </c>
      <c r="G73" s="86">
        <v>24</v>
      </c>
      <c r="H73" s="86">
        <v>4.5</v>
      </c>
      <c r="I73" s="22">
        <v>0</v>
      </c>
      <c r="J73" s="22">
        <v>0</v>
      </c>
      <c r="K73" s="86">
        <v>2.59</v>
      </c>
      <c r="L73" s="22">
        <v>0</v>
      </c>
      <c r="M73" s="86">
        <v>2.4500000000000002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90">
        <f>SUM(C73:AF73)</f>
        <v>33.82</v>
      </c>
    </row>
    <row r="74" spans="2:33">
      <c r="B74" s="7" t="s">
        <v>20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87">
        <v>0.42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90">
        <f>SUM(C74:AF74)</f>
        <v>0.42</v>
      </c>
    </row>
    <row r="75" spans="2:33">
      <c r="B75" s="8" t="s">
        <v>3</v>
      </c>
      <c r="C75" s="17">
        <f>SUM(C72:C74)</f>
        <v>0</v>
      </c>
      <c r="D75" s="17">
        <f t="shared" ref="D75:AA75" si="8">SUM(D72:D74)</f>
        <v>0</v>
      </c>
      <c r="E75" s="17">
        <f t="shared" si="8"/>
        <v>0.28000000000000003</v>
      </c>
      <c r="F75" s="17">
        <f t="shared" si="8"/>
        <v>0</v>
      </c>
      <c r="G75" s="17">
        <f t="shared" si="8"/>
        <v>24</v>
      </c>
      <c r="H75" s="17">
        <f t="shared" si="8"/>
        <v>4.5</v>
      </c>
      <c r="I75" s="17">
        <f t="shared" si="8"/>
        <v>0</v>
      </c>
      <c r="J75" s="17">
        <f t="shared" si="8"/>
        <v>0</v>
      </c>
      <c r="K75" s="17">
        <f t="shared" si="8"/>
        <v>2.59</v>
      </c>
      <c r="L75" s="17">
        <f t="shared" si="8"/>
        <v>0</v>
      </c>
      <c r="M75" s="17">
        <f t="shared" si="8"/>
        <v>2.4500000000000002</v>
      </c>
      <c r="N75" s="17">
        <f t="shared" si="8"/>
        <v>0</v>
      </c>
      <c r="O75" s="17">
        <f t="shared" si="8"/>
        <v>0</v>
      </c>
      <c r="P75" s="17">
        <f t="shared" si="8"/>
        <v>0</v>
      </c>
      <c r="Q75" s="17">
        <f t="shared" si="8"/>
        <v>0</v>
      </c>
      <c r="R75" s="17">
        <f t="shared" si="8"/>
        <v>0</v>
      </c>
      <c r="S75" s="17">
        <f t="shared" si="8"/>
        <v>0</v>
      </c>
      <c r="T75" s="17">
        <f t="shared" si="8"/>
        <v>0</v>
      </c>
      <c r="U75" s="17">
        <f t="shared" si="8"/>
        <v>0</v>
      </c>
      <c r="V75" s="17">
        <f t="shared" si="8"/>
        <v>0</v>
      </c>
      <c r="W75" s="17">
        <f t="shared" si="8"/>
        <v>0</v>
      </c>
      <c r="X75" s="17">
        <f>SUM(X73:X74)</f>
        <v>0.42</v>
      </c>
      <c r="Y75" s="17">
        <f t="shared" si="8"/>
        <v>0</v>
      </c>
      <c r="Z75" s="17">
        <f t="shared" si="8"/>
        <v>0</v>
      </c>
      <c r="AA75" s="17">
        <f t="shared" si="8"/>
        <v>0</v>
      </c>
      <c r="AB75" s="17">
        <f t="shared" ref="AB75:AD75" si="9">SUM(AB72:AB74)</f>
        <v>0</v>
      </c>
      <c r="AC75" s="17">
        <f t="shared" si="9"/>
        <v>0</v>
      </c>
      <c r="AD75" s="17">
        <f t="shared" si="9"/>
        <v>0</v>
      </c>
      <c r="AE75" s="17">
        <f t="shared" ref="AE75:AF75" si="10">SUM(AE72:AE74)</f>
        <v>0</v>
      </c>
      <c r="AF75" s="90">
        <f t="shared" si="10"/>
        <v>0</v>
      </c>
      <c r="AG75" s="90">
        <f>SUM(C75:AF75)</f>
        <v>34.24</v>
      </c>
    </row>
    <row r="76" spans="2:33">
      <c r="D76" s="27"/>
    </row>
    <row r="77" spans="2:33">
      <c r="D77" s="27"/>
    </row>
    <row r="78" spans="2:33" ht="13.5" thickBot="1">
      <c r="D78" s="27"/>
    </row>
    <row r="79" spans="2:33" ht="13.5" thickBot="1">
      <c r="B79" s="6" t="s">
        <v>83</v>
      </c>
      <c r="C79" s="28"/>
      <c r="D79" s="27"/>
    </row>
    <row r="80" spans="2:33" ht="13.5" thickBot="1">
      <c r="B80" s="6" t="s">
        <v>84</v>
      </c>
      <c r="C80" s="29"/>
      <c r="D80" s="27"/>
    </row>
    <row r="81" spans="2:4" ht="13.5" thickBot="1">
      <c r="B81" s="6" t="s">
        <v>85</v>
      </c>
      <c r="C81" s="30"/>
      <c r="D81" s="27"/>
    </row>
    <row r="82" spans="2:4">
      <c r="D82" s="27"/>
    </row>
    <row r="83" spans="2:4">
      <c r="D83" s="27"/>
    </row>
    <row r="84" spans="2:4">
      <c r="D84" s="27"/>
    </row>
    <row r="85" spans="2:4">
      <c r="D85" s="27"/>
    </row>
    <row r="86" spans="2:4">
      <c r="D86" s="27"/>
    </row>
    <row r="87" spans="2:4">
      <c r="D87" s="27"/>
    </row>
    <row r="88" spans="2:4">
      <c r="D88" s="27"/>
    </row>
    <row r="89" spans="2:4">
      <c r="D89" s="27"/>
    </row>
    <row r="90" spans="2:4">
      <c r="D90" s="27"/>
    </row>
    <row r="91" spans="2:4">
      <c r="D91" s="27"/>
    </row>
    <row r="92" spans="2:4">
      <c r="D92" s="27"/>
    </row>
    <row r="93" spans="2:4">
      <c r="D93" s="27"/>
    </row>
    <row r="94" spans="2:4">
      <c r="D94" s="27"/>
    </row>
    <row r="95" spans="2:4">
      <c r="D95" s="27"/>
    </row>
    <row r="96" spans="2:4">
      <c r="D96" s="27"/>
    </row>
    <row r="97" spans="4:4">
      <c r="D97" s="27"/>
    </row>
    <row r="98" spans="4:4">
      <c r="D98" s="27"/>
    </row>
    <row r="99" spans="4:4">
      <c r="D99" s="27"/>
    </row>
    <row r="100" spans="4:4">
      <c r="D100" s="27"/>
    </row>
  </sheetData>
  <mergeCells count="8">
    <mergeCell ref="B1:AG1"/>
    <mergeCell ref="B53:AG53"/>
    <mergeCell ref="B68:AG68"/>
    <mergeCell ref="B71:AG71"/>
    <mergeCell ref="B3:AD3"/>
    <mergeCell ref="C5:AG5"/>
    <mergeCell ref="C29:AG29"/>
    <mergeCell ref="B2:AG2"/>
  </mergeCells>
  <pageMargins left="0" right="0" top="0.75" bottom="0" header="0.3" footer="0.3"/>
  <pageSetup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77"/>
  <sheetViews>
    <sheetView zoomScale="90" zoomScaleNormal="90" workbookViewId="0">
      <pane xSplit="2" ySplit="4" topLeftCell="J5" activePane="bottomRight" state="frozen"/>
      <selection pane="topRight" activeCell="C1" sqref="C1"/>
      <selection pane="bottomLeft" activeCell="A4" sqref="A4"/>
      <selection pane="bottomRight" activeCell="AI10" sqref="AI10"/>
    </sheetView>
  </sheetViews>
  <sheetFormatPr defaultColWidth="8.85546875" defaultRowHeight="12.75"/>
  <cols>
    <col min="1" max="1" width="2.7109375" style="1" customWidth="1"/>
    <col min="2" max="2" width="46.5703125" style="5" customWidth="1"/>
    <col min="3" max="23" width="5.7109375" style="20" bestFit="1" customWidth="1"/>
    <col min="24" max="24" width="5.42578125" style="20" customWidth="1"/>
    <col min="25" max="31" width="5.7109375" style="20" bestFit="1" customWidth="1"/>
    <col min="32" max="32" width="5.7109375" style="20" customWidth="1"/>
    <col min="33" max="33" width="11.5703125" style="20" customWidth="1"/>
    <col min="34" max="16384" width="8.85546875" style="1"/>
  </cols>
  <sheetData>
    <row r="1" spans="2:33" s="5" customFormat="1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2:33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2:33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117" t="s">
        <v>267</v>
      </c>
      <c r="AF3" s="118"/>
      <c r="AG3" s="82">
        <v>46142</v>
      </c>
    </row>
    <row r="4" spans="2:33" s="5" customFormat="1">
      <c r="B4" s="34" t="s">
        <v>86</v>
      </c>
      <c r="C4" s="64">
        <v>46113</v>
      </c>
      <c r="D4" s="91">
        <v>46114</v>
      </c>
      <c r="E4" s="91">
        <v>46115</v>
      </c>
      <c r="F4" s="91">
        <v>46116</v>
      </c>
      <c r="G4" s="91">
        <v>46117</v>
      </c>
      <c r="H4" s="91">
        <v>46118</v>
      </c>
      <c r="I4" s="91">
        <v>46119</v>
      </c>
      <c r="J4" s="91">
        <v>46120</v>
      </c>
      <c r="K4" s="91">
        <v>46121</v>
      </c>
      <c r="L4" s="91">
        <v>46122</v>
      </c>
      <c r="M4" s="91">
        <v>46123</v>
      </c>
      <c r="N4" s="91">
        <v>46124</v>
      </c>
      <c r="O4" s="91">
        <v>46125</v>
      </c>
      <c r="P4" s="91">
        <v>46126</v>
      </c>
      <c r="Q4" s="91">
        <v>46127</v>
      </c>
      <c r="R4" s="91">
        <v>46128</v>
      </c>
      <c r="S4" s="91">
        <v>46129</v>
      </c>
      <c r="T4" s="91">
        <v>46130</v>
      </c>
      <c r="U4" s="91">
        <v>46131</v>
      </c>
      <c r="V4" s="91">
        <v>46132</v>
      </c>
      <c r="W4" s="91">
        <v>46133</v>
      </c>
      <c r="X4" s="91">
        <v>46134</v>
      </c>
      <c r="Y4" s="91">
        <v>46135</v>
      </c>
      <c r="Z4" s="91">
        <v>46136</v>
      </c>
      <c r="AA4" s="91">
        <v>46137</v>
      </c>
      <c r="AB4" s="91">
        <v>46138</v>
      </c>
      <c r="AC4" s="91">
        <v>46139</v>
      </c>
      <c r="AD4" s="91">
        <v>46140</v>
      </c>
      <c r="AE4" s="91">
        <v>46141</v>
      </c>
      <c r="AF4" s="91">
        <v>46142</v>
      </c>
      <c r="AG4" s="16" t="s">
        <v>3</v>
      </c>
    </row>
    <row r="5" spans="2:33">
      <c r="B5" s="36" t="s">
        <v>4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</row>
    <row r="6" spans="2:33">
      <c r="B6" s="12" t="s">
        <v>87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 t="shared" ref="AG6:AG23" si="0">SUM(C6:AF6)</f>
        <v>0</v>
      </c>
    </row>
    <row r="7" spans="2:33">
      <c r="B7" s="12" t="s">
        <v>88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17">
        <f t="shared" si="0"/>
        <v>0</v>
      </c>
    </row>
    <row r="8" spans="2:33">
      <c r="B8" s="12" t="s">
        <v>89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17">
        <f t="shared" si="0"/>
        <v>0</v>
      </c>
    </row>
    <row r="9" spans="2:33">
      <c r="B9" s="12" t="s">
        <v>90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17">
        <f t="shared" si="0"/>
        <v>0</v>
      </c>
    </row>
    <row r="10" spans="2:33">
      <c r="B10" s="12" t="s">
        <v>91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17">
        <f t="shared" si="0"/>
        <v>0</v>
      </c>
    </row>
    <row r="11" spans="2:33">
      <c r="B11" s="12" t="s">
        <v>92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17">
        <f t="shared" si="0"/>
        <v>0</v>
      </c>
    </row>
    <row r="12" spans="2:33">
      <c r="B12" s="12" t="s">
        <v>93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17">
        <f t="shared" si="0"/>
        <v>0</v>
      </c>
    </row>
    <row r="13" spans="2:33">
      <c r="B13" s="12" t="s">
        <v>94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17">
        <f t="shared" si="0"/>
        <v>0</v>
      </c>
    </row>
    <row r="14" spans="2:33">
      <c r="B14" s="12" t="s">
        <v>95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17">
        <f t="shared" si="0"/>
        <v>0</v>
      </c>
    </row>
    <row r="15" spans="2:33">
      <c r="B15" s="12" t="s">
        <v>96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17">
        <f t="shared" si="0"/>
        <v>0</v>
      </c>
    </row>
    <row r="16" spans="2:33">
      <c r="B16" s="12" t="s">
        <v>97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17">
        <f t="shared" si="0"/>
        <v>0</v>
      </c>
    </row>
    <row r="17" spans="2:33">
      <c r="B17" s="12" t="s">
        <v>98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17">
        <f t="shared" si="0"/>
        <v>0</v>
      </c>
    </row>
    <row r="18" spans="2:33">
      <c r="B18" s="12" t="s">
        <v>99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17">
        <f t="shared" si="0"/>
        <v>0</v>
      </c>
    </row>
    <row r="19" spans="2:33">
      <c r="B19" s="12" t="s">
        <v>310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17">
        <f t="shared" si="0"/>
        <v>0</v>
      </c>
    </row>
    <row r="20" spans="2:33">
      <c r="B20" s="12" t="s">
        <v>320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17">
        <f t="shared" si="0"/>
        <v>0</v>
      </c>
    </row>
    <row r="21" spans="2:33">
      <c r="B21" s="12" t="s">
        <v>332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85">
        <v>0.56999999999999995</v>
      </c>
      <c r="AG21" s="17">
        <f t="shared" si="0"/>
        <v>0.56999999999999995</v>
      </c>
    </row>
    <row r="22" spans="2:33">
      <c r="B22" s="12" t="s">
        <v>361</v>
      </c>
      <c r="C22" s="22">
        <v>0</v>
      </c>
      <c r="D22" s="22">
        <v>0</v>
      </c>
      <c r="E22" s="86">
        <v>4.5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17">
        <f t="shared" si="0"/>
        <v>4.5</v>
      </c>
    </row>
    <row r="23" spans="2:33">
      <c r="B23" s="13" t="s">
        <v>3</v>
      </c>
      <c r="C23" s="17">
        <f>SUM(C6:C22)</f>
        <v>0</v>
      </c>
      <c r="D23" s="17">
        <f t="shared" ref="D23:AD23" si="1">SUM(D6:D22)</f>
        <v>0</v>
      </c>
      <c r="E23" s="17">
        <f t="shared" si="1"/>
        <v>4.5</v>
      </c>
      <c r="F23" s="17">
        <f t="shared" si="1"/>
        <v>0</v>
      </c>
      <c r="G23" s="17">
        <f t="shared" si="1"/>
        <v>0</v>
      </c>
      <c r="H23" s="17">
        <f t="shared" si="1"/>
        <v>0</v>
      </c>
      <c r="I23" s="17">
        <f t="shared" si="1"/>
        <v>0</v>
      </c>
      <c r="J23" s="17">
        <f t="shared" si="1"/>
        <v>0</v>
      </c>
      <c r="K23" s="17">
        <f t="shared" si="1"/>
        <v>0</v>
      </c>
      <c r="L23" s="17">
        <f t="shared" si="1"/>
        <v>0</v>
      </c>
      <c r="M23" s="17">
        <f t="shared" si="1"/>
        <v>0</v>
      </c>
      <c r="N23" s="17">
        <f t="shared" si="1"/>
        <v>0</v>
      </c>
      <c r="O23" s="17">
        <f t="shared" si="1"/>
        <v>0</v>
      </c>
      <c r="P23" s="17">
        <f t="shared" si="1"/>
        <v>0</v>
      </c>
      <c r="Q23" s="17">
        <f t="shared" si="1"/>
        <v>0</v>
      </c>
      <c r="R23" s="17">
        <f t="shared" si="1"/>
        <v>0</v>
      </c>
      <c r="S23" s="17">
        <f t="shared" si="1"/>
        <v>0</v>
      </c>
      <c r="T23" s="17">
        <f t="shared" si="1"/>
        <v>0</v>
      </c>
      <c r="U23" s="17">
        <f t="shared" si="1"/>
        <v>0</v>
      </c>
      <c r="V23" s="17">
        <f t="shared" si="1"/>
        <v>0</v>
      </c>
      <c r="W23" s="17">
        <f t="shared" si="1"/>
        <v>0</v>
      </c>
      <c r="X23" s="17">
        <f t="shared" si="1"/>
        <v>0</v>
      </c>
      <c r="Y23" s="17">
        <f t="shared" si="1"/>
        <v>0</v>
      </c>
      <c r="Z23" s="17">
        <f t="shared" si="1"/>
        <v>0</v>
      </c>
      <c r="AA23" s="17">
        <f t="shared" si="1"/>
        <v>0</v>
      </c>
      <c r="AB23" s="17">
        <f t="shared" si="1"/>
        <v>0</v>
      </c>
      <c r="AC23" s="17">
        <f t="shared" si="1"/>
        <v>0</v>
      </c>
      <c r="AD23" s="17">
        <f t="shared" si="1"/>
        <v>0</v>
      </c>
      <c r="AE23" s="17">
        <f t="shared" ref="AE23:AF23" si="2">SUM(AE6:AE22)</f>
        <v>0</v>
      </c>
      <c r="AF23" s="17">
        <f t="shared" si="2"/>
        <v>0.56999999999999995</v>
      </c>
      <c r="AG23" s="17">
        <f t="shared" si="0"/>
        <v>5.07</v>
      </c>
    </row>
    <row r="24" spans="2:33">
      <c r="B24" s="113" t="s">
        <v>21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</row>
    <row r="25" spans="2:33">
      <c r="B25" s="12" t="s">
        <v>100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17">
        <f t="shared" ref="AG25:AG43" si="3">SUM(C25:AF25)</f>
        <v>0</v>
      </c>
    </row>
    <row r="26" spans="2:33">
      <c r="B26" s="12" t="s">
        <v>88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17">
        <f t="shared" si="3"/>
        <v>0</v>
      </c>
    </row>
    <row r="27" spans="2:33">
      <c r="B27" s="12" t="s">
        <v>89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17">
        <f t="shared" si="3"/>
        <v>0</v>
      </c>
    </row>
    <row r="28" spans="2:33">
      <c r="B28" s="12" t="s">
        <v>90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17">
        <f t="shared" si="3"/>
        <v>0</v>
      </c>
    </row>
    <row r="29" spans="2:33">
      <c r="B29" s="12" t="s">
        <v>91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17">
        <f t="shared" si="3"/>
        <v>0</v>
      </c>
    </row>
    <row r="30" spans="2:33">
      <c r="B30" s="12" t="s">
        <v>101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17">
        <f t="shared" si="3"/>
        <v>0</v>
      </c>
    </row>
    <row r="31" spans="2:33">
      <c r="B31" s="12" t="s">
        <v>102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17">
        <f t="shared" si="3"/>
        <v>0</v>
      </c>
    </row>
    <row r="32" spans="2:33">
      <c r="B32" s="12" t="s">
        <v>103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17">
        <f t="shared" si="3"/>
        <v>0</v>
      </c>
    </row>
    <row r="33" spans="2:33">
      <c r="B33" s="12" t="s">
        <v>104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17">
        <f t="shared" si="3"/>
        <v>0</v>
      </c>
    </row>
    <row r="34" spans="2:33">
      <c r="B34" s="12" t="s">
        <v>105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85">
        <v>0.42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17">
        <f t="shared" si="3"/>
        <v>0.42</v>
      </c>
    </row>
    <row r="35" spans="2:33">
      <c r="B35" s="12" t="s">
        <v>106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17">
        <f t="shared" si="3"/>
        <v>0</v>
      </c>
    </row>
    <row r="36" spans="2:33">
      <c r="B36" s="12" t="s">
        <v>363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85">
        <v>0.98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17">
        <f t="shared" si="3"/>
        <v>0.98</v>
      </c>
    </row>
    <row r="37" spans="2:33">
      <c r="B37" s="12" t="s">
        <v>107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17">
        <f t="shared" si="3"/>
        <v>0</v>
      </c>
    </row>
    <row r="38" spans="2:33">
      <c r="B38" s="12" t="s">
        <v>322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17">
        <f t="shared" si="3"/>
        <v>0</v>
      </c>
    </row>
    <row r="39" spans="2:33">
      <c r="B39" s="12" t="s">
        <v>323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17">
        <f t="shared" si="3"/>
        <v>0</v>
      </c>
    </row>
    <row r="40" spans="2:33">
      <c r="B40" s="12" t="s">
        <v>328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17">
        <f t="shared" si="3"/>
        <v>0</v>
      </c>
    </row>
    <row r="41" spans="2:33">
      <c r="B41" s="12" t="s">
        <v>333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17">
        <f t="shared" si="3"/>
        <v>0</v>
      </c>
    </row>
    <row r="42" spans="2:33">
      <c r="B42" s="12" t="s">
        <v>334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17">
        <f t="shared" si="3"/>
        <v>0</v>
      </c>
    </row>
    <row r="43" spans="2:33">
      <c r="B43" s="12" t="s">
        <v>20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17">
        <f t="shared" si="3"/>
        <v>0</v>
      </c>
    </row>
    <row r="44" spans="2:33">
      <c r="B44" s="13" t="s">
        <v>3</v>
      </c>
      <c r="C44" s="17">
        <f>SUM(C25:C43)</f>
        <v>0</v>
      </c>
      <c r="D44" s="17">
        <f t="shared" ref="D44:AF44" si="4">SUM(D25:D43)</f>
        <v>0</v>
      </c>
      <c r="E44" s="17">
        <f t="shared" si="4"/>
        <v>0</v>
      </c>
      <c r="F44" s="17">
        <f t="shared" si="4"/>
        <v>0</v>
      </c>
      <c r="G44" s="17">
        <f t="shared" si="4"/>
        <v>0</v>
      </c>
      <c r="H44" s="17">
        <f t="shared" si="4"/>
        <v>0</v>
      </c>
      <c r="I44" s="17">
        <f t="shared" si="4"/>
        <v>0</v>
      </c>
      <c r="J44" s="17">
        <f t="shared" si="4"/>
        <v>0.42</v>
      </c>
      <c r="K44" s="17">
        <f t="shared" si="4"/>
        <v>0</v>
      </c>
      <c r="L44" s="17">
        <f t="shared" si="4"/>
        <v>0.98</v>
      </c>
      <c r="M44" s="17">
        <f t="shared" si="4"/>
        <v>0</v>
      </c>
      <c r="N44" s="17">
        <f t="shared" si="4"/>
        <v>0</v>
      </c>
      <c r="O44" s="17">
        <f t="shared" si="4"/>
        <v>0</v>
      </c>
      <c r="P44" s="17">
        <f t="shared" si="4"/>
        <v>0</v>
      </c>
      <c r="Q44" s="17">
        <f t="shared" si="4"/>
        <v>0</v>
      </c>
      <c r="R44" s="17">
        <f t="shared" si="4"/>
        <v>0</v>
      </c>
      <c r="S44" s="17">
        <f t="shared" si="4"/>
        <v>0</v>
      </c>
      <c r="T44" s="17">
        <f t="shared" si="4"/>
        <v>0</v>
      </c>
      <c r="U44" s="17">
        <f t="shared" si="4"/>
        <v>0</v>
      </c>
      <c r="V44" s="17">
        <f t="shared" si="4"/>
        <v>0</v>
      </c>
      <c r="W44" s="17">
        <f t="shared" si="4"/>
        <v>0</v>
      </c>
      <c r="X44" s="17">
        <f t="shared" si="4"/>
        <v>0</v>
      </c>
      <c r="Y44" s="17">
        <f t="shared" si="4"/>
        <v>0</v>
      </c>
      <c r="Z44" s="17">
        <f t="shared" si="4"/>
        <v>0</v>
      </c>
      <c r="AA44" s="17">
        <f t="shared" si="4"/>
        <v>0</v>
      </c>
      <c r="AB44" s="17">
        <f t="shared" si="4"/>
        <v>0</v>
      </c>
      <c r="AC44" s="17">
        <f t="shared" si="4"/>
        <v>0</v>
      </c>
      <c r="AD44" s="17">
        <f t="shared" si="4"/>
        <v>0</v>
      </c>
      <c r="AE44" s="17">
        <f t="shared" si="4"/>
        <v>0</v>
      </c>
      <c r="AF44" s="17">
        <f t="shared" si="4"/>
        <v>0</v>
      </c>
      <c r="AG44" s="17">
        <f>SUM(AG25:AG43)</f>
        <v>1.4</v>
      </c>
    </row>
    <row r="45" spans="2:33">
      <c r="B45" s="112" t="s">
        <v>71</v>
      </c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</row>
    <row r="46" spans="2:33">
      <c r="B46" s="12" t="s">
        <v>108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17">
        <f t="shared" ref="AG46:AG54" si="5">SUM(C46:AF46)</f>
        <v>0</v>
      </c>
    </row>
    <row r="47" spans="2:33">
      <c r="B47" s="12" t="s">
        <v>109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17">
        <f t="shared" si="5"/>
        <v>0</v>
      </c>
    </row>
    <row r="48" spans="2:33">
      <c r="B48" s="12" t="s">
        <v>110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17">
        <f t="shared" si="5"/>
        <v>0</v>
      </c>
    </row>
    <row r="49" spans="2:33">
      <c r="B49" s="12" t="s">
        <v>111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85">
        <v>0.33</v>
      </c>
      <c r="L49" s="86">
        <v>3</v>
      </c>
      <c r="M49" s="85">
        <v>0.72</v>
      </c>
      <c r="N49" s="22">
        <v>0</v>
      </c>
      <c r="O49" s="87">
        <v>0.33</v>
      </c>
      <c r="P49" s="22">
        <v>0</v>
      </c>
      <c r="Q49" s="22">
        <v>0</v>
      </c>
      <c r="R49" s="22">
        <v>0</v>
      </c>
      <c r="S49" s="86">
        <v>2.67</v>
      </c>
      <c r="T49" s="86">
        <v>1.58</v>
      </c>
      <c r="U49" s="86">
        <v>1</v>
      </c>
      <c r="V49" s="22">
        <v>0</v>
      </c>
      <c r="W49" s="22">
        <v>0</v>
      </c>
      <c r="X49" s="86">
        <v>1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85">
        <v>0.75</v>
      </c>
      <c r="AE49" s="22">
        <v>0</v>
      </c>
      <c r="AF49" s="86">
        <v>1.1299999999999999</v>
      </c>
      <c r="AG49" s="17">
        <f t="shared" si="5"/>
        <v>12.509999999999998</v>
      </c>
    </row>
    <row r="50" spans="2:33">
      <c r="B50" s="12" t="s">
        <v>96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17">
        <f t="shared" si="5"/>
        <v>0</v>
      </c>
    </row>
    <row r="51" spans="2:33">
      <c r="B51" s="12" t="s">
        <v>97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17">
        <f t="shared" si="5"/>
        <v>0</v>
      </c>
    </row>
    <row r="52" spans="2:33">
      <c r="B52" s="12" t="s">
        <v>285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17">
        <f t="shared" si="5"/>
        <v>0</v>
      </c>
    </row>
    <row r="53" spans="2:33" ht="15.6" customHeight="1">
      <c r="B53" s="12" t="s">
        <v>20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17">
        <f t="shared" si="5"/>
        <v>0</v>
      </c>
    </row>
    <row r="54" spans="2:33">
      <c r="B54" s="13" t="s">
        <v>3</v>
      </c>
      <c r="C54" s="17">
        <f>SUM(C46:C53)</f>
        <v>0</v>
      </c>
      <c r="D54" s="17">
        <f t="shared" ref="D54:AD54" si="6">SUM(D46:D53)</f>
        <v>0</v>
      </c>
      <c r="E54" s="17">
        <f t="shared" si="6"/>
        <v>0</v>
      </c>
      <c r="F54" s="17">
        <f t="shared" si="6"/>
        <v>0</v>
      </c>
      <c r="G54" s="17">
        <f t="shared" si="6"/>
        <v>0</v>
      </c>
      <c r="H54" s="17">
        <f t="shared" si="6"/>
        <v>0</v>
      </c>
      <c r="I54" s="17">
        <f t="shared" si="6"/>
        <v>0</v>
      </c>
      <c r="J54" s="17">
        <f t="shared" si="6"/>
        <v>0</v>
      </c>
      <c r="K54" s="17">
        <f t="shared" si="6"/>
        <v>0.33</v>
      </c>
      <c r="L54" s="17">
        <f t="shared" si="6"/>
        <v>3</v>
      </c>
      <c r="M54" s="17">
        <f t="shared" si="6"/>
        <v>0.72</v>
      </c>
      <c r="N54" s="17">
        <f t="shared" si="6"/>
        <v>0</v>
      </c>
      <c r="O54" s="17">
        <f t="shared" si="6"/>
        <v>0.33</v>
      </c>
      <c r="P54" s="17">
        <f t="shared" si="6"/>
        <v>0</v>
      </c>
      <c r="Q54" s="17">
        <f t="shared" si="6"/>
        <v>0</v>
      </c>
      <c r="R54" s="17">
        <f t="shared" si="6"/>
        <v>0</v>
      </c>
      <c r="S54" s="17">
        <f t="shared" si="6"/>
        <v>2.67</v>
      </c>
      <c r="T54" s="17">
        <f t="shared" si="6"/>
        <v>1.58</v>
      </c>
      <c r="U54" s="17">
        <f t="shared" si="6"/>
        <v>1</v>
      </c>
      <c r="V54" s="17">
        <f t="shared" si="6"/>
        <v>0</v>
      </c>
      <c r="W54" s="17">
        <f t="shared" si="6"/>
        <v>0</v>
      </c>
      <c r="X54" s="17">
        <f t="shared" si="6"/>
        <v>1</v>
      </c>
      <c r="Y54" s="17">
        <f t="shared" si="6"/>
        <v>0</v>
      </c>
      <c r="Z54" s="17">
        <f t="shared" si="6"/>
        <v>0</v>
      </c>
      <c r="AA54" s="17">
        <f t="shared" si="6"/>
        <v>0</v>
      </c>
      <c r="AB54" s="17">
        <f t="shared" si="6"/>
        <v>0</v>
      </c>
      <c r="AC54" s="17">
        <f t="shared" si="6"/>
        <v>0</v>
      </c>
      <c r="AD54" s="17">
        <f t="shared" si="6"/>
        <v>0.75</v>
      </c>
      <c r="AE54" s="17">
        <f t="shared" ref="AE54:AF54" si="7">SUM(AE46:AE53)</f>
        <v>0</v>
      </c>
      <c r="AF54" s="17">
        <f t="shared" si="7"/>
        <v>1.1299999999999999</v>
      </c>
      <c r="AG54" s="17">
        <f t="shared" si="5"/>
        <v>12.509999999999998</v>
      </c>
    </row>
    <row r="55" spans="2:33">
      <c r="B55" s="106" t="s">
        <v>40</v>
      </c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</row>
    <row r="56" spans="2:33">
      <c r="B56" s="12" t="s">
        <v>41</v>
      </c>
      <c r="C56" s="86">
        <v>24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17">
        <f>SUM(C56:AF56)</f>
        <v>24</v>
      </c>
    </row>
    <row r="57" spans="2:33">
      <c r="B57" s="12" t="s">
        <v>42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17">
        <f>SUM(C57:AF57)</f>
        <v>0</v>
      </c>
    </row>
    <row r="58" spans="2:33">
      <c r="B58" s="113" t="s">
        <v>20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  <c r="AF58" s="114"/>
      <c r="AG58" s="115"/>
    </row>
    <row r="59" spans="2:33">
      <c r="B59" s="12" t="s">
        <v>112</v>
      </c>
      <c r="C59" s="22">
        <v>0</v>
      </c>
      <c r="D59" s="86">
        <v>20</v>
      </c>
      <c r="E59" s="86">
        <v>8.5</v>
      </c>
      <c r="F59" s="86">
        <v>16</v>
      </c>
      <c r="G59" s="22">
        <v>0</v>
      </c>
      <c r="H59" s="86">
        <v>4.3899999999999997</v>
      </c>
      <c r="I59" s="86">
        <v>3.83</v>
      </c>
      <c r="J59" s="22">
        <v>0</v>
      </c>
      <c r="K59" s="86">
        <v>4.83</v>
      </c>
      <c r="L59" s="86">
        <v>3.02</v>
      </c>
      <c r="M59" s="86">
        <v>2.08</v>
      </c>
      <c r="N59" s="86">
        <v>1.5</v>
      </c>
      <c r="O59" s="86">
        <v>4.09</v>
      </c>
      <c r="P59" s="86">
        <v>4.9000000000000004</v>
      </c>
      <c r="Q59" s="86">
        <v>6</v>
      </c>
      <c r="R59" s="86">
        <v>8</v>
      </c>
      <c r="S59" s="86">
        <v>5.13</v>
      </c>
      <c r="T59" s="86">
        <v>3.97</v>
      </c>
      <c r="U59" s="86">
        <v>7.9</v>
      </c>
      <c r="V59" s="86">
        <v>10.5</v>
      </c>
      <c r="W59" s="86">
        <v>10.5</v>
      </c>
      <c r="X59" s="86">
        <v>10</v>
      </c>
      <c r="Y59" s="86">
        <v>10.7</v>
      </c>
      <c r="Z59" s="86">
        <v>9.5</v>
      </c>
      <c r="AA59" s="86">
        <v>7.85</v>
      </c>
      <c r="AB59" s="86">
        <v>7.63</v>
      </c>
      <c r="AC59" s="86">
        <v>7</v>
      </c>
      <c r="AD59" s="86">
        <v>5.75</v>
      </c>
      <c r="AE59" s="86">
        <v>5.42</v>
      </c>
      <c r="AF59" s="86">
        <v>2.67</v>
      </c>
      <c r="AG59" s="17">
        <f>SUM(C59:AF59)</f>
        <v>191.65999999999997</v>
      </c>
    </row>
    <row r="60" spans="2:33">
      <c r="B60" s="12" t="s">
        <v>113</v>
      </c>
      <c r="C60" s="22">
        <v>0</v>
      </c>
      <c r="D60" s="22">
        <v>0</v>
      </c>
      <c r="E60" s="22">
        <v>0</v>
      </c>
      <c r="F60" s="22">
        <v>0</v>
      </c>
      <c r="G60" s="86">
        <v>24</v>
      </c>
      <c r="H60" s="86">
        <v>1.75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17">
        <f>SUM(C60:AF60)</f>
        <v>25.75</v>
      </c>
    </row>
    <row r="61" spans="2:33">
      <c r="B61" s="12" t="s">
        <v>114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86">
        <v>1.17</v>
      </c>
      <c r="J61" s="86">
        <v>3.08</v>
      </c>
      <c r="K61" s="22">
        <v>0</v>
      </c>
      <c r="L61" s="22">
        <v>0</v>
      </c>
      <c r="M61" s="22">
        <v>0</v>
      </c>
      <c r="N61" s="86">
        <v>3.5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86">
        <v>2.25</v>
      </c>
      <c r="U61" s="85">
        <v>0.83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85">
        <v>0.5</v>
      </c>
      <c r="AE61" s="87">
        <v>0.57999999999999996</v>
      </c>
      <c r="AF61" s="86">
        <v>1.33</v>
      </c>
      <c r="AG61" s="17">
        <f>SUM(C61:AF61)</f>
        <v>13.24</v>
      </c>
    </row>
    <row r="62" spans="2:33">
      <c r="B62" s="12" t="s">
        <v>20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17">
        <f>SUM(C62:AF62)</f>
        <v>0</v>
      </c>
    </row>
    <row r="63" spans="2:33">
      <c r="B63" s="13" t="s">
        <v>3</v>
      </c>
      <c r="C63" s="17">
        <f>SUM(C59:C62)</f>
        <v>0</v>
      </c>
      <c r="D63" s="17">
        <f t="shared" ref="D63:AA63" si="8">SUM(D59:D62)</f>
        <v>20</v>
      </c>
      <c r="E63" s="17">
        <f t="shared" si="8"/>
        <v>8.5</v>
      </c>
      <c r="F63" s="17">
        <f t="shared" si="8"/>
        <v>16</v>
      </c>
      <c r="G63" s="17">
        <f t="shared" si="8"/>
        <v>24</v>
      </c>
      <c r="H63" s="17">
        <f t="shared" si="8"/>
        <v>6.14</v>
      </c>
      <c r="I63" s="17">
        <f t="shared" si="8"/>
        <v>5</v>
      </c>
      <c r="J63" s="17">
        <f t="shared" si="8"/>
        <v>3.08</v>
      </c>
      <c r="K63" s="17">
        <f t="shared" si="8"/>
        <v>4.83</v>
      </c>
      <c r="L63" s="17">
        <f t="shared" si="8"/>
        <v>3.02</v>
      </c>
      <c r="M63" s="17">
        <f t="shared" si="8"/>
        <v>2.08</v>
      </c>
      <c r="N63" s="17">
        <f t="shared" si="8"/>
        <v>5</v>
      </c>
      <c r="O63" s="17">
        <f t="shared" si="8"/>
        <v>4.09</v>
      </c>
      <c r="P63" s="17">
        <f t="shared" si="8"/>
        <v>4.9000000000000004</v>
      </c>
      <c r="Q63" s="17">
        <f>SUM(Q59:Q62)</f>
        <v>6</v>
      </c>
      <c r="R63" s="17">
        <f t="shared" si="8"/>
        <v>8</v>
      </c>
      <c r="S63" s="17">
        <f t="shared" si="8"/>
        <v>5.13</v>
      </c>
      <c r="T63" s="17">
        <f t="shared" si="8"/>
        <v>6.2200000000000006</v>
      </c>
      <c r="U63" s="17">
        <f t="shared" si="8"/>
        <v>8.73</v>
      </c>
      <c r="V63" s="17">
        <f t="shared" si="8"/>
        <v>10.5</v>
      </c>
      <c r="W63" s="17">
        <f t="shared" si="8"/>
        <v>10.5</v>
      </c>
      <c r="X63" s="17">
        <f t="shared" si="8"/>
        <v>10</v>
      </c>
      <c r="Y63" s="17">
        <f t="shared" si="8"/>
        <v>10.7</v>
      </c>
      <c r="Z63" s="17">
        <f t="shared" si="8"/>
        <v>9.5</v>
      </c>
      <c r="AA63" s="17">
        <f t="shared" si="8"/>
        <v>7.85</v>
      </c>
      <c r="AB63" s="17">
        <f t="shared" ref="AB63:AD63" si="9">SUM(AB59:AB62)</f>
        <v>7.63</v>
      </c>
      <c r="AC63" s="17">
        <f t="shared" si="9"/>
        <v>7</v>
      </c>
      <c r="AD63" s="17">
        <f t="shared" si="9"/>
        <v>6.25</v>
      </c>
      <c r="AE63" s="17">
        <f t="shared" ref="AE63:AF63" si="10">SUM(AE59:AE62)</f>
        <v>6</v>
      </c>
      <c r="AF63" s="17">
        <f t="shared" si="10"/>
        <v>4</v>
      </c>
      <c r="AG63" s="17">
        <f>SUM(C63:AF63)</f>
        <v>230.64999999999998</v>
      </c>
    </row>
    <row r="64" spans="2:33">
      <c r="B64" s="9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6" spans="2:4" ht="13.5" thickBot="1"/>
    <row r="67" spans="2:4" ht="13.5" thickBot="1">
      <c r="B67" s="6" t="s">
        <v>83</v>
      </c>
      <c r="C67" s="23"/>
      <c r="D67" s="24"/>
    </row>
    <row r="68" spans="2:4" ht="13.5" thickBot="1">
      <c r="B68" s="6" t="s">
        <v>84</v>
      </c>
      <c r="C68" s="25"/>
      <c r="D68" s="24"/>
    </row>
    <row r="69" spans="2:4" ht="13.5" thickBot="1">
      <c r="B69" s="6" t="s">
        <v>85</v>
      </c>
      <c r="C69" s="26"/>
      <c r="D69" s="24"/>
    </row>
    <row r="70" spans="2:4">
      <c r="B70" s="3"/>
      <c r="C70" s="24"/>
      <c r="D70" s="24"/>
    </row>
    <row r="71" spans="2:4">
      <c r="B71" s="3"/>
      <c r="C71" s="24"/>
      <c r="D71" s="24"/>
    </row>
    <row r="72" spans="2:4">
      <c r="B72" s="3"/>
      <c r="C72" s="24"/>
      <c r="D72" s="24"/>
    </row>
    <row r="73" spans="2:4">
      <c r="B73" s="3"/>
      <c r="C73" s="24"/>
      <c r="D73" s="24"/>
    </row>
    <row r="74" spans="2:4">
      <c r="B74" s="3"/>
      <c r="C74" s="24"/>
      <c r="D74" s="24"/>
    </row>
    <row r="75" spans="2:4">
      <c r="B75" s="3"/>
      <c r="C75" s="24"/>
      <c r="D75" s="24"/>
    </row>
    <row r="76" spans="2:4">
      <c r="B76" s="3"/>
      <c r="C76" s="24"/>
      <c r="D76" s="24"/>
    </row>
    <row r="77" spans="2:4">
      <c r="B77" s="3"/>
      <c r="C77" s="24"/>
      <c r="D77" s="24"/>
    </row>
  </sheetData>
  <mergeCells count="9">
    <mergeCell ref="B1:AG1"/>
    <mergeCell ref="B45:AG45"/>
    <mergeCell ref="B55:AG55"/>
    <mergeCell ref="B58:AG58"/>
    <mergeCell ref="B2:AG2"/>
    <mergeCell ref="B3:AD3"/>
    <mergeCell ref="C5:AG5"/>
    <mergeCell ref="B24:AG24"/>
    <mergeCell ref="AE3:AF3"/>
  </mergeCells>
  <pageMargins left="0" right="0" top="0.5" bottom="0.25" header="0.3" footer="0.3"/>
  <pageSetup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G89"/>
  <sheetViews>
    <sheetView zoomScale="90" zoomScaleNormal="90" workbookViewId="0">
      <pane xSplit="2" ySplit="4" topLeftCell="I5" activePane="bottomRight" state="frozen"/>
      <selection pane="topRight" activeCell="C1" sqref="C1"/>
      <selection pane="bottomLeft" activeCell="A4" sqref="A4"/>
      <selection pane="bottomRight" activeCell="AH14" sqref="AH14"/>
    </sheetView>
  </sheetViews>
  <sheetFormatPr defaultColWidth="8.85546875" defaultRowHeight="12.75"/>
  <cols>
    <col min="1" max="1" width="2.7109375" style="1" customWidth="1"/>
    <col min="2" max="2" width="37.7109375" style="5" customWidth="1"/>
    <col min="3" max="6" width="5.7109375" style="20" bestFit="1" customWidth="1"/>
    <col min="7" max="7" width="5.7109375" style="20" customWidth="1"/>
    <col min="8" max="15" width="5.7109375" style="20" bestFit="1" customWidth="1"/>
    <col min="16" max="16" width="5.85546875" style="20" customWidth="1"/>
    <col min="17" max="32" width="5.7109375" style="20" bestFit="1" customWidth="1"/>
    <col min="33" max="33" width="12" style="20" customWidth="1"/>
    <col min="34" max="16384" width="8.85546875" style="1"/>
  </cols>
  <sheetData>
    <row r="1" spans="2:33" s="5" customFormat="1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2:33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2:33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117" t="s">
        <v>267</v>
      </c>
      <c r="AF3" s="118"/>
      <c r="AG3" s="82">
        <v>46142</v>
      </c>
    </row>
    <row r="4" spans="2:33">
      <c r="B4" s="4" t="s">
        <v>348</v>
      </c>
      <c r="C4" s="64">
        <v>46113</v>
      </c>
      <c r="D4" s="91">
        <v>46114</v>
      </c>
      <c r="E4" s="91">
        <v>46115</v>
      </c>
      <c r="F4" s="91">
        <v>46116</v>
      </c>
      <c r="G4" s="91">
        <v>46117</v>
      </c>
      <c r="H4" s="91">
        <v>46118</v>
      </c>
      <c r="I4" s="91">
        <v>46119</v>
      </c>
      <c r="J4" s="91">
        <v>46120</v>
      </c>
      <c r="K4" s="91">
        <v>46121</v>
      </c>
      <c r="L4" s="91">
        <v>46122</v>
      </c>
      <c r="M4" s="91">
        <v>46123</v>
      </c>
      <c r="N4" s="91">
        <v>46124</v>
      </c>
      <c r="O4" s="91">
        <v>46125</v>
      </c>
      <c r="P4" s="91">
        <v>46126</v>
      </c>
      <c r="Q4" s="91">
        <v>46127</v>
      </c>
      <c r="R4" s="91">
        <v>46128</v>
      </c>
      <c r="S4" s="91">
        <v>46129</v>
      </c>
      <c r="T4" s="91">
        <v>46130</v>
      </c>
      <c r="U4" s="91">
        <v>46131</v>
      </c>
      <c r="V4" s="91">
        <v>46132</v>
      </c>
      <c r="W4" s="91">
        <v>46133</v>
      </c>
      <c r="X4" s="91">
        <v>46134</v>
      </c>
      <c r="Y4" s="91">
        <v>46135</v>
      </c>
      <c r="Z4" s="91">
        <v>46136</v>
      </c>
      <c r="AA4" s="91">
        <v>46137</v>
      </c>
      <c r="AB4" s="91">
        <v>46138</v>
      </c>
      <c r="AC4" s="91">
        <v>46139</v>
      </c>
      <c r="AD4" s="91">
        <v>46140</v>
      </c>
      <c r="AE4" s="91">
        <v>46141</v>
      </c>
      <c r="AF4" s="91">
        <v>46142</v>
      </c>
      <c r="AG4" s="16" t="s">
        <v>3</v>
      </c>
    </row>
    <row r="5" spans="2:33">
      <c r="B5" s="36" t="s">
        <v>4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</row>
    <row r="6" spans="2:33">
      <c r="B6" s="12" t="s">
        <v>115</v>
      </c>
      <c r="C6" s="22">
        <v>0</v>
      </c>
      <c r="D6" s="22">
        <v>0</v>
      </c>
      <c r="E6" s="86">
        <v>1.98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 t="shared" ref="AG6:AG33" si="0">SUM(C6:AF6)</f>
        <v>1.98</v>
      </c>
    </row>
    <row r="7" spans="2:33">
      <c r="B7" s="12" t="s">
        <v>116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17">
        <f t="shared" si="0"/>
        <v>0</v>
      </c>
    </row>
    <row r="8" spans="2:33">
      <c r="B8" s="12" t="s">
        <v>117</v>
      </c>
      <c r="C8" s="85">
        <v>0.6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17">
        <f t="shared" si="0"/>
        <v>0.6</v>
      </c>
    </row>
    <row r="9" spans="2:33">
      <c r="B9" s="12" t="s">
        <v>118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17">
        <f t="shared" si="0"/>
        <v>0</v>
      </c>
    </row>
    <row r="10" spans="2:33">
      <c r="B10" s="12" t="s">
        <v>119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17">
        <f t="shared" si="0"/>
        <v>0</v>
      </c>
    </row>
    <row r="11" spans="2:33">
      <c r="B11" s="12" t="s">
        <v>120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17">
        <f t="shared" si="0"/>
        <v>0</v>
      </c>
    </row>
    <row r="12" spans="2:33">
      <c r="B12" s="12" t="s">
        <v>121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17">
        <f t="shared" si="0"/>
        <v>0</v>
      </c>
    </row>
    <row r="13" spans="2:33">
      <c r="B13" s="12" t="s">
        <v>122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17">
        <f t="shared" si="0"/>
        <v>0</v>
      </c>
    </row>
    <row r="14" spans="2:33">
      <c r="B14" s="12" t="s">
        <v>123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17">
        <f t="shared" si="0"/>
        <v>0</v>
      </c>
    </row>
    <row r="15" spans="2:33">
      <c r="B15" s="12" t="s">
        <v>313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17">
        <f t="shared" si="0"/>
        <v>0</v>
      </c>
    </row>
    <row r="16" spans="2:33">
      <c r="B16" s="12" t="s">
        <v>124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17">
        <f t="shared" si="0"/>
        <v>0</v>
      </c>
    </row>
    <row r="17" spans="2:33">
      <c r="B17" s="12" t="s">
        <v>125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17">
        <f t="shared" si="0"/>
        <v>0</v>
      </c>
    </row>
    <row r="18" spans="2:33">
      <c r="B18" s="12" t="s">
        <v>126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17">
        <f t="shared" si="0"/>
        <v>0</v>
      </c>
    </row>
    <row r="19" spans="2:33">
      <c r="B19" s="12" t="s">
        <v>127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17">
        <f t="shared" si="0"/>
        <v>0</v>
      </c>
    </row>
    <row r="20" spans="2:33">
      <c r="B20" s="12" t="s">
        <v>128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17">
        <f t="shared" si="0"/>
        <v>0</v>
      </c>
    </row>
    <row r="21" spans="2:33">
      <c r="B21" s="12" t="s">
        <v>129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17">
        <f t="shared" si="0"/>
        <v>0</v>
      </c>
    </row>
    <row r="22" spans="2:33">
      <c r="B22" s="12" t="s">
        <v>130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17">
        <f t="shared" si="0"/>
        <v>0</v>
      </c>
    </row>
    <row r="23" spans="2:33">
      <c r="B23" s="12" t="s">
        <v>131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17">
        <f t="shared" si="0"/>
        <v>0</v>
      </c>
    </row>
    <row r="24" spans="2:33">
      <c r="B24" s="12" t="s">
        <v>132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17">
        <f t="shared" si="0"/>
        <v>0</v>
      </c>
    </row>
    <row r="25" spans="2:33">
      <c r="B25" s="12" t="s">
        <v>133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17">
        <f t="shared" si="0"/>
        <v>0</v>
      </c>
    </row>
    <row r="26" spans="2:33">
      <c r="B26" s="12" t="s">
        <v>134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17">
        <f t="shared" si="0"/>
        <v>0</v>
      </c>
    </row>
    <row r="27" spans="2:33">
      <c r="B27" s="12" t="s">
        <v>359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17">
        <f t="shared" si="0"/>
        <v>0</v>
      </c>
    </row>
    <row r="28" spans="2:33">
      <c r="B28" s="12" t="s">
        <v>135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17">
        <f t="shared" si="0"/>
        <v>0</v>
      </c>
    </row>
    <row r="29" spans="2:33">
      <c r="B29" s="12" t="s">
        <v>281</v>
      </c>
      <c r="C29" s="22">
        <v>0</v>
      </c>
      <c r="D29" s="22">
        <v>0</v>
      </c>
      <c r="E29" s="22">
        <v>0</v>
      </c>
      <c r="F29" s="22">
        <v>0</v>
      </c>
      <c r="G29" s="86">
        <v>1.17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17">
        <f t="shared" si="0"/>
        <v>1.17</v>
      </c>
    </row>
    <row r="30" spans="2:33">
      <c r="B30" s="12" t="s">
        <v>282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17">
        <f t="shared" si="0"/>
        <v>0</v>
      </c>
    </row>
    <row r="31" spans="2:33">
      <c r="B31" s="12" t="s">
        <v>291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17">
        <f t="shared" si="0"/>
        <v>0</v>
      </c>
    </row>
    <row r="32" spans="2:33">
      <c r="B32" s="12" t="s">
        <v>317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17">
        <f t="shared" si="0"/>
        <v>0</v>
      </c>
    </row>
    <row r="33" spans="2:33">
      <c r="B33" s="12" t="s">
        <v>336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17">
        <f t="shared" si="0"/>
        <v>0</v>
      </c>
    </row>
    <row r="34" spans="2:33">
      <c r="B34" s="13" t="s">
        <v>3</v>
      </c>
      <c r="C34" s="17">
        <f>SUM(C6:C32)</f>
        <v>0.6</v>
      </c>
      <c r="D34" s="17">
        <f t="shared" ref="D34:AF34" si="1">SUM(D6:D32)</f>
        <v>0</v>
      </c>
      <c r="E34" s="17">
        <f t="shared" si="1"/>
        <v>1.98</v>
      </c>
      <c r="F34" s="17">
        <f t="shared" si="1"/>
        <v>0</v>
      </c>
      <c r="G34" s="17">
        <f t="shared" si="1"/>
        <v>1.17</v>
      </c>
      <c r="H34" s="17">
        <f t="shared" si="1"/>
        <v>0</v>
      </c>
      <c r="I34" s="17">
        <f t="shared" si="1"/>
        <v>0</v>
      </c>
      <c r="J34" s="17">
        <f t="shared" si="1"/>
        <v>0</v>
      </c>
      <c r="K34" s="17">
        <f t="shared" si="1"/>
        <v>0</v>
      </c>
      <c r="L34" s="17">
        <f t="shared" si="1"/>
        <v>0</v>
      </c>
      <c r="M34" s="17">
        <f t="shared" si="1"/>
        <v>0</v>
      </c>
      <c r="N34" s="17">
        <f t="shared" si="1"/>
        <v>0</v>
      </c>
      <c r="O34" s="17">
        <f t="shared" si="1"/>
        <v>0</v>
      </c>
      <c r="P34" s="17">
        <f t="shared" si="1"/>
        <v>0</v>
      </c>
      <c r="Q34" s="17">
        <f t="shared" si="1"/>
        <v>0</v>
      </c>
      <c r="R34" s="17">
        <f t="shared" si="1"/>
        <v>0</v>
      </c>
      <c r="S34" s="17">
        <f t="shared" si="1"/>
        <v>0</v>
      </c>
      <c r="T34" s="17">
        <f t="shared" si="1"/>
        <v>0</v>
      </c>
      <c r="U34" s="17">
        <f t="shared" si="1"/>
        <v>0</v>
      </c>
      <c r="V34" s="17">
        <f t="shared" si="1"/>
        <v>0</v>
      </c>
      <c r="W34" s="17">
        <f t="shared" si="1"/>
        <v>0</v>
      </c>
      <c r="X34" s="17">
        <f t="shared" si="1"/>
        <v>0</v>
      </c>
      <c r="Y34" s="17">
        <f t="shared" si="1"/>
        <v>0</v>
      </c>
      <c r="Z34" s="17">
        <f t="shared" si="1"/>
        <v>0</v>
      </c>
      <c r="AA34" s="17">
        <f t="shared" si="1"/>
        <v>0</v>
      </c>
      <c r="AB34" s="17">
        <f t="shared" si="1"/>
        <v>0</v>
      </c>
      <c r="AC34" s="17">
        <f t="shared" si="1"/>
        <v>0</v>
      </c>
      <c r="AD34" s="17">
        <f t="shared" si="1"/>
        <v>0</v>
      </c>
      <c r="AE34" s="17">
        <f t="shared" si="1"/>
        <v>0</v>
      </c>
      <c r="AF34" s="17">
        <f t="shared" si="1"/>
        <v>0</v>
      </c>
      <c r="AG34" s="17">
        <f>SUM(AG6:AG33)</f>
        <v>3.75</v>
      </c>
    </row>
    <row r="35" spans="2:33">
      <c r="B35" s="113" t="s">
        <v>21</v>
      </c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</row>
    <row r="36" spans="2:33">
      <c r="B36" s="12" t="s">
        <v>115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17">
        <f t="shared" ref="AG36:AG60" si="2">SUM(C36:AF36)</f>
        <v>0</v>
      </c>
    </row>
    <row r="37" spans="2:33">
      <c r="B37" s="12" t="s">
        <v>136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17">
        <f t="shared" si="2"/>
        <v>0</v>
      </c>
    </row>
    <row r="38" spans="2:33">
      <c r="B38" s="12" t="s">
        <v>137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17">
        <f t="shared" si="2"/>
        <v>0</v>
      </c>
    </row>
    <row r="39" spans="2:33">
      <c r="B39" s="12" t="s">
        <v>138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17">
        <f t="shared" si="2"/>
        <v>0</v>
      </c>
    </row>
    <row r="40" spans="2:33">
      <c r="B40" s="12" t="s">
        <v>139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17">
        <f t="shared" si="2"/>
        <v>0</v>
      </c>
    </row>
    <row r="41" spans="2:33">
      <c r="B41" s="12" t="s">
        <v>140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17">
        <f t="shared" si="2"/>
        <v>0</v>
      </c>
    </row>
    <row r="42" spans="2:33">
      <c r="B42" s="12" t="s">
        <v>141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17">
        <f t="shared" si="2"/>
        <v>0</v>
      </c>
    </row>
    <row r="43" spans="2:33">
      <c r="B43" s="12" t="s">
        <v>133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17">
        <f t="shared" si="2"/>
        <v>0</v>
      </c>
    </row>
    <row r="44" spans="2:33">
      <c r="B44" s="12" t="s">
        <v>303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17">
        <f t="shared" si="2"/>
        <v>0</v>
      </c>
    </row>
    <row r="45" spans="2:33">
      <c r="B45" s="12" t="s">
        <v>142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17">
        <f t="shared" si="2"/>
        <v>0</v>
      </c>
    </row>
    <row r="46" spans="2:33">
      <c r="B46" s="12" t="s">
        <v>129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17">
        <f t="shared" si="2"/>
        <v>0</v>
      </c>
    </row>
    <row r="47" spans="2:33">
      <c r="B47" s="12" t="s">
        <v>143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17">
        <f t="shared" si="2"/>
        <v>0</v>
      </c>
    </row>
    <row r="48" spans="2:33">
      <c r="B48" s="12" t="s">
        <v>131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17">
        <f t="shared" si="2"/>
        <v>0</v>
      </c>
    </row>
    <row r="49" spans="2:33">
      <c r="B49" s="12" t="s">
        <v>144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17">
        <f t="shared" si="2"/>
        <v>0</v>
      </c>
    </row>
    <row r="50" spans="2:33">
      <c r="B50" s="12" t="s">
        <v>145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17">
        <f t="shared" si="2"/>
        <v>0</v>
      </c>
    </row>
    <row r="51" spans="2:33">
      <c r="B51" s="12" t="s">
        <v>302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17">
        <f t="shared" si="2"/>
        <v>0</v>
      </c>
    </row>
    <row r="52" spans="2:33">
      <c r="B52" s="12" t="s">
        <v>326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17">
        <f t="shared" si="2"/>
        <v>0</v>
      </c>
    </row>
    <row r="53" spans="2:33">
      <c r="B53" s="12" t="s">
        <v>147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17">
        <f t="shared" si="2"/>
        <v>0</v>
      </c>
    </row>
    <row r="54" spans="2:33">
      <c r="B54" s="12" t="s">
        <v>148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17">
        <f t="shared" si="2"/>
        <v>0</v>
      </c>
    </row>
    <row r="55" spans="2:33">
      <c r="B55" s="12" t="s">
        <v>149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17">
        <f t="shared" si="2"/>
        <v>0</v>
      </c>
    </row>
    <row r="56" spans="2:33">
      <c r="B56" s="12" t="s">
        <v>150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17">
        <f t="shared" si="2"/>
        <v>0</v>
      </c>
    </row>
    <row r="57" spans="2:33">
      <c r="B57" s="12" t="s">
        <v>151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17">
        <f t="shared" si="2"/>
        <v>0</v>
      </c>
    </row>
    <row r="58" spans="2:33">
      <c r="B58" s="12" t="s">
        <v>307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17">
        <f t="shared" si="2"/>
        <v>0</v>
      </c>
    </row>
    <row r="59" spans="2:33">
      <c r="B59" s="12" t="s">
        <v>20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17">
        <f t="shared" si="2"/>
        <v>0</v>
      </c>
    </row>
    <row r="60" spans="2:33">
      <c r="B60" s="13" t="s">
        <v>3</v>
      </c>
      <c r="C60" s="17">
        <f t="shared" ref="C60:AF60" si="3">SUM(C36:C59)</f>
        <v>0</v>
      </c>
      <c r="D60" s="17">
        <f t="shared" si="3"/>
        <v>0</v>
      </c>
      <c r="E60" s="17">
        <f t="shared" si="3"/>
        <v>0</v>
      </c>
      <c r="F60" s="17">
        <f t="shared" si="3"/>
        <v>0</v>
      </c>
      <c r="G60" s="17">
        <f t="shared" si="3"/>
        <v>0</v>
      </c>
      <c r="H60" s="17">
        <f t="shared" si="3"/>
        <v>0</v>
      </c>
      <c r="I60" s="17">
        <f t="shared" si="3"/>
        <v>0</v>
      </c>
      <c r="J60" s="17">
        <f t="shared" si="3"/>
        <v>0</v>
      </c>
      <c r="K60" s="17">
        <f t="shared" si="3"/>
        <v>0</v>
      </c>
      <c r="L60" s="17">
        <f t="shared" si="3"/>
        <v>0</v>
      </c>
      <c r="M60" s="17">
        <f t="shared" si="3"/>
        <v>0</v>
      </c>
      <c r="N60" s="17">
        <f t="shared" si="3"/>
        <v>0</v>
      </c>
      <c r="O60" s="17">
        <f t="shared" si="3"/>
        <v>0</v>
      </c>
      <c r="P60" s="17">
        <f t="shared" si="3"/>
        <v>0</v>
      </c>
      <c r="Q60" s="17">
        <f t="shared" si="3"/>
        <v>0</v>
      </c>
      <c r="R60" s="17">
        <f t="shared" si="3"/>
        <v>0</v>
      </c>
      <c r="S60" s="17">
        <f t="shared" si="3"/>
        <v>0</v>
      </c>
      <c r="T60" s="17">
        <f t="shared" si="3"/>
        <v>0</v>
      </c>
      <c r="U60" s="17">
        <f t="shared" si="3"/>
        <v>0</v>
      </c>
      <c r="V60" s="17">
        <f t="shared" si="3"/>
        <v>0</v>
      </c>
      <c r="W60" s="17">
        <f t="shared" si="3"/>
        <v>0</v>
      </c>
      <c r="X60" s="17">
        <f t="shared" si="3"/>
        <v>0</v>
      </c>
      <c r="Y60" s="17">
        <f t="shared" si="3"/>
        <v>0</v>
      </c>
      <c r="Z60" s="17">
        <f t="shared" si="3"/>
        <v>0</v>
      </c>
      <c r="AA60" s="17">
        <f t="shared" si="3"/>
        <v>0</v>
      </c>
      <c r="AB60" s="17">
        <f t="shared" si="3"/>
        <v>0</v>
      </c>
      <c r="AC60" s="17">
        <f t="shared" si="3"/>
        <v>0</v>
      </c>
      <c r="AD60" s="17">
        <f t="shared" si="3"/>
        <v>0</v>
      </c>
      <c r="AE60" s="17">
        <f t="shared" si="3"/>
        <v>0</v>
      </c>
      <c r="AF60" s="17">
        <f t="shared" si="3"/>
        <v>0</v>
      </c>
      <c r="AG60" s="17">
        <f t="shared" si="2"/>
        <v>0</v>
      </c>
    </row>
    <row r="61" spans="2:33">
      <c r="B61" s="113" t="s">
        <v>71</v>
      </c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  <c r="AF61" s="114"/>
      <c r="AG61" s="114"/>
    </row>
    <row r="62" spans="2:33">
      <c r="B62" s="10" t="s">
        <v>152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17">
        <f t="shared" ref="AG62:AG75" si="4">SUM(C62:AF62)</f>
        <v>0</v>
      </c>
    </row>
    <row r="63" spans="2:33">
      <c r="B63" s="12" t="s">
        <v>153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17">
        <f t="shared" si="4"/>
        <v>0</v>
      </c>
    </row>
    <row r="64" spans="2:33">
      <c r="B64" s="12" t="s">
        <v>109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17">
        <f t="shared" si="4"/>
        <v>0</v>
      </c>
    </row>
    <row r="65" spans="2:33">
      <c r="B65" s="12" t="s">
        <v>154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17">
        <f t="shared" si="4"/>
        <v>0</v>
      </c>
    </row>
    <row r="66" spans="2:33">
      <c r="B66" s="12" t="s">
        <v>155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17">
        <f t="shared" si="4"/>
        <v>0</v>
      </c>
    </row>
    <row r="67" spans="2:33">
      <c r="B67" s="12" t="s">
        <v>126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17">
        <f t="shared" si="4"/>
        <v>0</v>
      </c>
    </row>
    <row r="68" spans="2:33">
      <c r="B68" s="12" t="s">
        <v>156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17">
        <f t="shared" si="4"/>
        <v>0</v>
      </c>
    </row>
    <row r="69" spans="2:33">
      <c r="B69" s="12" t="s">
        <v>157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17">
        <f t="shared" si="4"/>
        <v>0</v>
      </c>
    </row>
    <row r="70" spans="2:33">
      <c r="B70" s="12" t="s">
        <v>158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17">
        <f t="shared" si="4"/>
        <v>0</v>
      </c>
    </row>
    <row r="71" spans="2:33">
      <c r="B71" s="12" t="s">
        <v>159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17">
        <f t="shared" si="4"/>
        <v>0</v>
      </c>
    </row>
    <row r="72" spans="2:33">
      <c r="B72" s="12" t="s">
        <v>160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17">
        <f t="shared" si="4"/>
        <v>0</v>
      </c>
    </row>
    <row r="73" spans="2:33">
      <c r="B73" s="12" t="s">
        <v>161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86">
        <v>3.82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17">
        <f t="shared" si="4"/>
        <v>3.82</v>
      </c>
    </row>
    <row r="74" spans="2:33">
      <c r="B74" s="12" t="s">
        <v>20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17">
        <f t="shared" si="4"/>
        <v>0</v>
      </c>
    </row>
    <row r="75" spans="2:33">
      <c r="B75" s="13" t="s">
        <v>3</v>
      </c>
      <c r="C75" s="17">
        <f t="shared" ref="C75:AD75" si="5">SUM(C62:C74)</f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7">
        <f t="shared" si="5"/>
        <v>3.82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7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7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7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ref="AE75:AF75" si="6">SUM(AE62:AE74)</f>
        <v>0</v>
      </c>
      <c r="AF75" s="17">
        <f t="shared" si="6"/>
        <v>0</v>
      </c>
      <c r="AG75" s="17">
        <f t="shared" si="4"/>
        <v>3.82</v>
      </c>
    </row>
    <row r="76" spans="2:33">
      <c r="B76" s="106" t="s">
        <v>40</v>
      </c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</row>
    <row r="77" spans="2:33">
      <c r="B77" s="12" t="s">
        <v>41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86">
        <v>21</v>
      </c>
      <c r="L77" s="86">
        <v>24</v>
      </c>
      <c r="M77" s="86">
        <v>24</v>
      </c>
      <c r="N77" s="86">
        <v>24</v>
      </c>
      <c r="O77" s="86">
        <v>24</v>
      </c>
      <c r="P77" s="86">
        <v>20.7</v>
      </c>
      <c r="Q77" s="86">
        <v>6.83</v>
      </c>
      <c r="R77" s="22">
        <v>0</v>
      </c>
      <c r="S77" s="22">
        <v>0</v>
      </c>
      <c r="T77" s="22">
        <v>0</v>
      </c>
      <c r="U77" s="22">
        <v>0</v>
      </c>
      <c r="V77" s="86">
        <v>9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17">
        <f>SUM(C77:AF77)</f>
        <v>153.53</v>
      </c>
    </row>
    <row r="78" spans="2:33">
      <c r="B78" s="12" t="s">
        <v>162</v>
      </c>
      <c r="C78" s="22">
        <v>0</v>
      </c>
      <c r="D78" s="22">
        <v>0</v>
      </c>
      <c r="E78" s="87">
        <v>0.45</v>
      </c>
      <c r="F78" s="22">
        <v>0</v>
      </c>
      <c r="G78" s="87">
        <v>0.41</v>
      </c>
      <c r="H78" s="22">
        <v>0</v>
      </c>
      <c r="I78" s="85">
        <v>0.83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17">
        <f>SUM(C78:AF78)</f>
        <v>1.69</v>
      </c>
    </row>
    <row r="79" spans="2:33">
      <c r="B79" s="113">
        <v>3</v>
      </c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  <c r="AF79" s="114"/>
      <c r="AG79" s="115"/>
    </row>
    <row r="80" spans="2:33">
      <c r="B80" s="12" t="s">
        <v>163</v>
      </c>
      <c r="C80" s="22">
        <v>0</v>
      </c>
      <c r="D80" s="22">
        <v>0</v>
      </c>
      <c r="E80" s="22">
        <v>0</v>
      </c>
      <c r="F80" s="86">
        <v>10.199999999999999</v>
      </c>
      <c r="G80" s="22">
        <v>0</v>
      </c>
      <c r="H80" s="86">
        <v>6.25</v>
      </c>
      <c r="I80" s="86">
        <v>7.55</v>
      </c>
      <c r="J80" s="86">
        <v>8.75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86">
        <v>9.9499999999999993</v>
      </c>
      <c r="S80" s="86">
        <v>19.829999999999998</v>
      </c>
      <c r="T80" s="22">
        <v>0</v>
      </c>
      <c r="U80" s="86">
        <v>8</v>
      </c>
      <c r="V80" s="86">
        <v>6.4</v>
      </c>
      <c r="W80" s="86">
        <v>24</v>
      </c>
      <c r="X80" s="86">
        <v>24</v>
      </c>
      <c r="Y80" s="86">
        <v>24</v>
      </c>
      <c r="Z80" s="86">
        <v>24</v>
      </c>
      <c r="AA80" s="86">
        <v>24</v>
      </c>
      <c r="AB80" s="86">
        <v>12.9</v>
      </c>
      <c r="AC80" s="86">
        <v>19.399999999999999</v>
      </c>
      <c r="AD80" s="86">
        <v>24</v>
      </c>
      <c r="AE80" s="86">
        <v>24</v>
      </c>
      <c r="AF80" s="86">
        <v>24</v>
      </c>
      <c r="AG80" s="17">
        <f>SUM(C80:AF80)</f>
        <v>301.23</v>
      </c>
    </row>
    <row r="81" spans="2:33">
      <c r="B81" s="12" t="s">
        <v>164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17">
        <f>SUM(C81:AF81)</f>
        <v>0</v>
      </c>
    </row>
    <row r="82" spans="2:33">
      <c r="B82" s="12" t="s">
        <v>20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17">
        <f>SUM(C82:AF82)</f>
        <v>0</v>
      </c>
    </row>
    <row r="83" spans="2:33">
      <c r="B83" s="13" t="s">
        <v>3</v>
      </c>
      <c r="C83" s="17">
        <f>SUM(C80:C82)</f>
        <v>0</v>
      </c>
      <c r="D83" s="17">
        <f t="shared" ref="D83:AA83" si="7">SUM(D80:D82)</f>
        <v>0</v>
      </c>
      <c r="E83" s="17">
        <f t="shared" si="7"/>
        <v>0</v>
      </c>
      <c r="F83" s="17">
        <f t="shared" si="7"/>
        <v>10.199999999999999</v>
      </c>
      <c r="G83" s="17">
        <f t="shared" si="7"/>
        <v>0</v>
      </c>
      <c r="H83" s="17">
        <f t="shared" si="7"/>
        <v>6.25</v>
      </c>
      <c r="I83" s="17">
        <f t="shared" si="7"/>
        <v>7.55</v>
      </c>
      <c r="J83" s="17">
        <f t="shared" si="7"/>
        <v>8.75</v>
      </c>
      <c r="K83" s="17">
        <f>SUM(K80:K82)</f>
        <v>0</v>
      </c>
      <c r="L83" s="17">
        <f t="shared" si="7"/>
        <v>0</v>
      </c>
      <c r="M83" s="17">
        <f t="shared" si="7"/>
        <v>0</v>
      </c>
      <c r="N83" s="17">
        <f t="shared" si="7"/>
        <v>0</v>
      </c>
      <c r="O83" s="17">
        <f t="shared" si="7"/>
        <v>0</v>
      </c>
      <c r="P83" s="17">
        <f t="shared" si="7"/>
        <v>0</v>
      </c>
      <c r="Q83" s="17">
        <f t="shared" si="7"/>
        <v>0</v>
      </c>
      <c r="R83" s="17">
        <f t="shared" si="7"/>
        <v>9.9499999999999993</v>
      </c>
      <c r="S83" s="17">
        <f t="shared" si="7"/>
        <v>19.829999999999998</v>
      </c>
      <c r="T83" s="17">
        <f t="shared" si="7"/>
        <v>0</v>
      </c>
      <c r="U83" s="17">
        <f t="shared" si="7"/>
        <v>8</v>
      </c>
      <c r="V83" s="17">
        <f t="shared" si="7"/>
        <v>6.4</v>
      </c>
      <c r="W83" s="17">
        <f t="shared" si="7"/>
        <v>24</v>
      </c>
      <c r="X83" s="17">
        <f t="shared" si="7"/>
        <v>24</v>
      </c>
      <c r="Y83" s="17">
        <f t="shared" si="7"/>
        <v>24</v>
      </c>
      <c r="Z83" s="17">
        <f t="shared" si="7"/>
        <v>24</v>
      </c>
      <c r="AA83" s="17">
        <f t="shared" si="7"/>
        <v>24</v>
      </c>
      <c r="AB83" s="17">
        <f t="shared" ref="AB83:AD83" si="8">SUM(AB80:AB82)</f>
        <v>12.9</v>
      </c>
      <c r="AC83" s="17">
        <f t="shared" si="8"/>
        <v>19.399999999999999</v>
      </c>
      <c r="AD83" s="17">
        <f t="shared" si="8"/>
        <v>24</v>
      </c>
      <c r="AE83" s="17">
        <f t="shared" ref="AE83:AF83" si="9">SUM(AE80:AE82)</f>
        <v>24</v>
      </c>
      <c r="AF83" s="17">
        <f t="shared" si="9"/>
        <v>24</v>
      </c>
      <c r="AG83" s="17">
        <f>SUM(C83:AF83)</f>
        <v>301.23</v>
      </c>
    </row>
    <row r="86" spans="2:33" ht="13.5" thickBot="1"/>
    <row r="87" spans="2:33" ht="13.5" thickBot="1">
      <c r="B87" s="6" t="s">
        <v>83</v>
      </c>
      <c r="C87" s="32"/>
    </row>
    <row r="88" spans="2:33" ht="13.5" thickBot="1">
      <c r="B88" s="6" t="s">
        <v>84</v>
      </c>
      <c r="C88" s="33"/>
    </row>
    <row r="89" spans="2:33" ht="13.5" thickBot="1">
      <c r="B89" s="6" t="s">
        <v>85</v>
      </c>
      <c r="C89" s="26"/>
    </row>
  </sheetData>
  <mergeCells count="9">
    <mergeCell ref="B1:AG1"/>
    <mergeCell ref="AE3:AF3"/>
    <mergeCell ref="B61:AG61"/>
    <mergeCell ref="B76:AG76"/>
    <mergeCell ref="B79:AG79"/>
    <mergeCell ref="B2:AG2"/>
    <mergeCell ref="B3:AD3"/>
    <mergeCell ref="C5:AG5"/>
    <mergeCell ref="B35:AG35"/>
  </mergeCells>
  <pageMargins left="0" right="0" top="0.25" bottom="0" header="0.3" footer="0.3"/>
  <pageSetup scale="5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G92"/>
  <sheetViews>
    <sheetView zoomScaleNormal="100" workbookViewId="0">
      <pane xSplit="2" ySplit="4" topLeftCell="O75" activePane="bottomRight" state="frozen"/>
      <selection activeCell="E81" sqref="E81"/>
      <selection pane="topRight" activeCell="E81" sqref="E81"/>
      <selection pane="bottomLeft" activeCell="E81" sqref="E81"/>
      <selection pane="bottomRight" activeCell="AG6" sqref="AG6"/>
    </sheetView>
  </sheetViews>
  <sheetFormatPr defaultColWidth="8.85546875" defaultRowHeight="12.75"/>
  <cols>
    <col min="1" max="1" width="2.7109375" style="1" customWidth="1"/>
    <col min="2" max="2" width="37.7109375" style="5" customWidth="1"/>
    <col min="3" max="6" width="5.7109375" style="20" bestFit="1" customWidth="1"/>
    <col min="7" max="7" width="5.7109375" style="20" customWidth="1"/>
    <col min="8" max="17" width="5.7109375" style="20" bestFit="1" customWidth="1"/>
    <col min="18" max="18" width="6.42578125" style="20" bestFit="1" customWidth="1"/>
    <col min="19" max="27" width="5.7109375" style="20" bestFit="1" customWidth="1"/>
    <col min="28" max="28" width="6.42578125" style="20" bestFit="1" customWidth="1"/>
    <col min="29" max="32" width="5.7109375" style="20" bestFit="1" customWidth="1"/>
    <col min="33" max="33" width="12" style="20" customWidth="1"/>
    <col min="34" max="16384" width="8.85546875" style="1"/>
  </cols>
  <sheetData>
    <row r="1" spans="2:33" s="5" customFormat="1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2:33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2:33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117" t="s">
        <v>267</v>
      </c>
      <c r="AF3" s="118"/>
      <c r="AG3" s="82">
        <v>46142</v>
      </c>
    </row>
    <row r="4" spans="2:33">
      <c r="B4" s="4" t="s">
        <v>349</v>
      </c>
      <c r="C4" s="64">
        <v>46113</v>
      </c>
      <c r="D4" s="91">
        <v>46114</v>
      </c>
      <c r="E4" s="91">
        <v>46115</v>
      </c>
      <c r="F4" s="91">
        <v>46116</v>
      </c>
      <c r="G4" s="91">
        <v>46117</v>
      </c>
      <c r="H4" s="91">
        <v>46118</v>
      </c>
      <c r="I4" s="91">
        <v>46119</v>
      </c>
      <c r="J4" s="91">
        <v>46120</v>
      </c>
      <c r="K4" s="91">
        <v>46121</v>
      </c>
      <c r="L4" s="91">
        <v>46122</v>
      </c>
      <c r="M4" s="91">
        <v>46123</v>
      </c>
      <c r="N4" s="91">
        <v>46124</v>
      </c>
      <c r="O4" s="91">
        <v>46125</v>
      </c>
      <c r="P4" s="91">
        <v>46126</v>
      </c>
      <c r="Q4" s="91">
        <v>46127</v>
      </c>
      <c r="R4" s="91">
        <v>46128</v>
      </c>
      <c r="S4" s="91">
        <v>46129</v>
      </c>
      <c r="T4" s="91">
        <v>46130</v>
      </c>
      <c r="U4" s="91">
        <v>46131</v>
      </c>
      <c r="V4" s="91">
        <v>46132</v>
      </c>
      <c r="W4" s="91">
        <v>46133</v>
      </c>
      <c r="X4" s="91">
        <v>46134</v>
      </c>
      <c r="Y4" s="91">
        <v>46135</v>
      </c>
      <c r="Z4" s="91">
        <v>46136</v>
      </c>
      <c r="AA4" s="91">
        <v>46137</v>
      </c>
      <c r="AB4" s="91">
        <v>46138</v>
      </c>
      <c r="AC4" s="91">
        <v>46139</v>
      </c>
      <c r="AD4" s="91">
        <v>46140</v>
      </c>
      <c r="AE4" s="91">
        <v>46141</v>
      </c>
      <c r="AF4" s="91">
        <v>46142</v>
      </c>
      <c r="AG4" s="16" t="s">
        <v>3</v>
      </c>
    </row>
    <row r="5" spans="2:33">
      <c r="B5" s="36" t="s">
        <v>4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</row>
    <row r="6" spans="2:33">
      <c r="B6" s="12" t="s">
        <v>115</v>
      </c>
      <c r="C6" s="22">
        <v>0</v>
      </c>
      <c r="D6" s="22">
        <v>0</v>
      </c>
      <c r="E6" s="86">
        <v>2.67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>SUM(C6:AF6)</f>
        <v>2.67</v>
      </c>
    </row>
    <row r="7" spans="2:33">
      <c r="B7" s="12" t="s">
        <v>165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90">
        <f t="shared" ref="AG6:AG36" si="0">SUM(C7:AF7)</f>
        <v>0</v>
      </c>
    </row>
    <row r="8" spans="2:33">
      <c r="B8" s="12" t="s">
        <v>117</v>
      </c>
      <c r="C8" s="86">
        <v>4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86">
        <v>3.58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85">
        <v>0.75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90">
        <f t="shared" si="0"/>
        <v>8.33</v>
      </c>
    </row>
    <row r="9" spans="2:33">
      <c r="B9" s="12" t="s">
        <v>118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90">
        <f t="shared" si="0"/>
        <v>0</v>
      </c>
    </row>
    <row r="10" spans="2:33">
      <c r="B10" s="12" t="s">
        <v>119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90">
        <f t="shared" si="0"/>
        <v>0</v>
      </c>
    </row>
    <row r="11" spans="2:33">
      <c r="B11" s="12" t="s">
        <v>120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90">
        <f t="shared" si="0"/>
        <v>0</v>
      </c>
    </row>
    <row r="12" spans="2:33">
      <c r="B12" s="12" t="s">
        <v>121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90">
        <f t="shared" si="0"/>
        <v>0</v>
      </c>
    </row>
    <row r="13" spans="2:33">
      <c r="B13" s="12" t="s">
        <v>122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90">
        <f t="shared" si="0"/>
        <v>0</v>
      </c>
    </row>
    <row r="14" spans="2:33">
      <c r="B14" s="12" t="s">
        <v>166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90">
        <f t="shared" si="0"/>
        <v>0</v>
      </c>
    </row>
    <row r="15" spans="2:33">
      <c r="B15" s="12" t="s">
        <v>296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90">
        <f t="shared" si="0"/>
        <v>0</v>
      </c>
    </row>
    <row r="16" spans="2:33">
      <c r="B16" s="12" t="s">
        <v>167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90">
        <f t="shared" si="0"/>
        <v>0</v>
      </c>
    </row>
    <row r="17" spans="2:33">
      <c r="B17" s="12" t="s">
        <v>125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90">
        <f t="shared" si="0"/>
        <v>0</v>
      </c>
    </row>
    <row r="18" spans="2:33">
      <c r="B18" s="12" t="s">
        <v>168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90">
        <f t="shared" si="0"/>
        <v>0</v>
      </c>
    </row>
    <row r="19" spans="2:33">
      <c r="B19" s="12" t="s">
        <v>127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87">
        <v>0.42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90">
        <f t="shared" si="0"/>
        <v>0.42</v>
      </c>
    </row>
    <row r="20" spans="2:33">
      <c r="B20" s="12" t="s">
        <v>308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90">
        <f t="shared" si="0"/>
        <v>0</v>
      </c>
    </row>
    <row r="21" spans="2:33">
      <c r="B21" s="12" t="s">
        <v>129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90">
        <f t="shared" si="0"/>
        <v>0</v>
      </c>
    </row>
    <row r="22" spans="2:33">
      <c r="B22" s="12" t="s">
        <v>130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90">
        <f t="shared" si="0"/>
        <v>0</v>
      </c>
    </row>
    <row r="23" spans="2:33">
      <c r="B23" s="12" t="s">
        <v>131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90">
        <f t="shared" si="0"/>
        <v>0</v>
      </c>
    </row>
    <row r="24" spans="2:33">
      <c r="B24" s="12" t="s">
        <v>169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90">
        <f t="shared" si="0"/>
        <v>0</v>
      </c>
    </row>
    <row r="25" spans="2:33">
      <c r="B25" s="12" t="s">
        <v>133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90">
        <f t="shared" si="0"/>
        <v>0</v>
      </c>
    </row>
    <row r="26" spans="2:33">
      <c r="B26" s="12" t="s">
        <v>134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90">
        <f t="shared" si="0"/>
        <v>0</v>
      </c>
    </row>
    <row r="27" spans="2:33">
      <c r="B27" s="12" t="s">
        <v>360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86">
        <v>3.68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90">
        <f t="shared" si="0"/>
        <v>3.68</v>
      </c>
    </row>
    <row r="28" spans="2:33">
      <c r="B28" s="12" t="s">
        <v>170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90">
        <f t="shared" si="0"/>
        <v>0</v>
      </c>
    </row>
    <row r="29" spans="2:33">
      <c r="B29" s="12" t="s">
        <v>171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90">
        <f t="shared" si="0"/>
        <v>0</v>
      </c>
    </row>
    <row r="30" spans="2:33">
      <c r="B30" s="12" t="s">
        <v>297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90">
        <f t="shared" si="0"/>
        <v>0</v>
      </c>
    </row>
    <row r="31" spans="2:33">
      <c r="B31" s="12" t="s">
        <v>281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90">
        <f t="shared" si="0"/>
        <v>0</v>
      </c>
    </row>
    <row r="32" spans="2:33">
      <c r="B32" s="12" t="s">
        <v>286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90">
        <f t="shared" si="0"/>
        <v>0</v>
      </c>
    </row>
    <row r="33" spans="2:33">
      <c r="B33" s="12" t="s">
        <v>306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90">
        <f t="shared" si="0"/>
        <v>0</v>
      </c>
    </row>
    <row r="34" spans="2:33">
      <c r="B34" s="12" t="s">
        <v>354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90">
        <f t="shared" si="0"/>
        <v>0</v>
      </c>
    </row>
    <row r="35" spans="2:33">
      <c r="B35" s="12" t="s">
        <v>20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90">
        <f t="shared" si="0"/>
        <v>0</v>
      </c>
    </row>
    <row r="36" spans="2:33">
      <c r="B36" s="13" t="s">
        <v>3</v>
      </c>
      <c r="C36" s="17">
        <f>SUM(C6:C35)</f>
        <v>4</v>
      </c>
      <c r="D36" s="17">
        <f t="shared" ref="D36:AD36" si="1">SUM(D6:D35)</f>
        <v>0</v>
      </c>
      <c r="E36" s="17">
        <f t="shared" si="1"/>
        <v>2.67</v>
      </c>
      <c r="F36" s="17">
        <f t="shared" si="1"/>
        <v>0</v>
      </c>
      <c r="G36" s="17">
        <f t="shared" si="1"/>
        <v>0</v>
      </c>
      <c r="H36" s="17">
        <f t="shared" si="1"/>
        <v>0</v>
      </c>
      <c r="I36" s="17">
        <f t="shared" si="1"/>
        <v>0</v>
      </c>
      <c r="J36" s="17">
        <f t="shared" si="1"/>
        <v>0</v>
      </c>
      <c r="K36" s="17">
        <f t="shared" si="1"/>
        <v>0</v>
      </c>
      <c r="L36" s="17">
        <f t="shared" si="1"/>
        <v>0</v>
      </c>
      <c r="M36" s="17">
        <f t="shared" si="1"/>
        <v>0</v>
      </c>
      <c r="N36" s="17">
        <f>SUM(N6:N35)</f>
        <v>0</v>
      </c>
      <c r="O36" s="17">
        <f t="shared" si="1"/>
        <v>3.68</v>
      </c>
      <c r="P36" s="17">
        <f t="shared" si="1"/>
        <v>0</v>
      </c>
      <c r="Q36" s="17">
        <f t="shared" si="1"/>
        <v>0</v>
      </c>
      <c r="R36" s="17">
        <f t="shared" si="1"/>
        <v>3.58</v>
      </c>
      <c r="S36" s="17">
        <f t="shared" si="1"/>
        <v>0</v>
      </c>
      <c r="T36" s="17">
        <f t="shared" si="1"/>
        <v>0</v>
      </c>
      <c r="U36" s="17">
        <f t="shared" si="1"/>
        <v>0</v>
      </c>
      <c r="V36" s="17">
        <f t="shared" si="1"/>
        <v>0</v>
      </c>
      <c r="W36" s="17">
        <f t="shared" si="1"/>
        <v>0.42</v>
      </c>
      <c r="X36" s="17">
        <f t="shared" si="1"/>
        <v>0</v>
      </c>
      <c r="Y36" s="17">
        <f t="shared" si="1"/>
        <v>0</v>
      </c>
      <c r="Z36" s="17">
        <f t="shared" si="1"/>
        <v>0</v>
      </c>
      <c r="AA36" s="17">
        <f t="shared" si="1"/>
        <v>0.75</v>
      </c>
      <c r="AB36" s="17">
        <f t="shared" si="1"/>
        <v>0</v>
      </c>
      <c r="AC36" s="17">
        <f t="shared" si="1"/>
        <v>0</v>
      </c>
      <c r="AD36" s="17">
        <f t="shared" si="1"/>
        <v>0</v>
      </c>
      <c r="AE36" s="17">
        <f>SUM(AE6:AE35)</f>
        <v>0</v>
      </c>
      <c r="AF36" s="17">
        <f t="shared" ref="AF36" si="2">SUM(AF6:AF35)</f>
        <v>0</v>
      </c>
      <c r="AG36" s="17">
        <f t="shared" si="0"/>
        <v>15.1</v>
      </c>
    </row>
    <row r="37" spans="2:33">
      <c r="B37" s="113" t="s">
        <v>21</v>
      </c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4"/>
    </row>
    <row r="38" spans="2:33">
      <c r="B38" s="12" t="s">
        <v>115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17">
        <f t="shared" ref="AG38:AG62" si="3">SUM(C38:AF38)</f>
        <v>0</v>
      </c>
    </row>
    <row r="39" spans="2:33">
      <c r="B39" s="12" t="s">
        <v>136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17">
        <f t="shared" si="3"/>
        <v>0</v>
      </c>
    </row>
    <row r="40" spans="2:33">
      <c r="B40" s="12" t="s">
        <v>137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17">
        <f t="shared" si="3"/>
        <v>0</v>
      </c>
    </row>
    <row r="41" spans="2:33">
      <c r="B41" s="12" t="s">
        <v>138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17">
        <f t="shared" si="3"/>
        <v>0</v>
      </c>
    </row>
    <row r="42" spans="2:33">
      <c r="B42" s="12" t="s">
        <v>139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17">
        <f t="shared" si="3"/>
        <v>0</v>
      </c>
    </row>
    <row r="43" spans="2:33">
      <c r="B43" s="12" t="s">
        <v>172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17">
        <f t="shared" si="3"/>
        <v>0</v>
      </c>
    </row>
    <row r="44" spans="2:33">
      <c r="B44" s="12" t="s">
        <v>173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17">
        <f t="shared" si="3"/>
        <v>0</v>
      </c>
    </row>
    <row r="45" spans="2:33">
      <c r="B45" s="12" t="s">
        <v>133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17">
        <f t="shared" si="3"/>
        <v>0</v>
      </c>
    </row>
    <row r="46" spans="2:33">
      <c r="B46" s="12" t="s">
        <v>337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17">
        <f t="shared" si="3"/>
        <v>0</v>
      </c>
    </row>
    <row r="47" spans="2:33">
      <c r="B47" s="12" t="s">
        <v>174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17">
        <f t="shared" si="3"/>
        <v>0</v>
      </c>
    </row>
    <row r="48" spans="2:33">
      <c r="B48" s="12" t="s">
        <v>129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17">
        <f t="shared" si="3"/>
        <v>0</v>
      </c>
    </row>
    <row r="49" spans="2:33">
      <c r="B49" s="12" t="s">
        <v>175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17">
        <f t="shared" si="3"/>
        <v>0</v>
      </c>
    </row>
    <row r="50" spans="2:33">
      <c r="B50" s="12" t="s">
        <v>131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17">
        <f t="shared" si="3"/>
        <v>0</v>
      </c>
    </row>
    <row r="51" spans="2:33">
      <c r="B51" s="12" t="s">
        <v>176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17">
        <f t="shared" si="3"/>
        <v>0</v>
      </c>
    </row>
    <row r="52" spans="2:33">
      <c r="B52" s="12" t="s">
        <v>358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17">
        <f t="shared" si="3"/>
        <v>0</v>
      </c>
    </row>
    <row r="53" spans="2:33">
      <c r="B53" s="12" t="s">
        <v>304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17">
        <f t="shared" si="3"/>
        <v>0</v>
      </c>
    </row>
    <row r="54" spans="2:33">
      <c r="B54" s="12" t="s">
        <v>146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17">
        <f t="shared" si="3"/>
        <v>0</v>
      </c>
    </row>
    <row r="55" spans="2:33">
      <c r="B55" s="12" t="s">
        <v>147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17">
        <f t="shared" si="3"/>
        <v>0</v>
      </c>
    </row>
    <row r="56" spans="2:33">
      <c r="B56" s="12" t="s">
        <v>148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17">
        <f t="shared" si="3"/>
        <v>0</v>
      </c>
    </row>
    <row r="57" spans="2:33">
      <c r="B57" s="12" t="s">
        <v>149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17">
        <f t="shared" si="3"/>
        <v>0</v>
      </c>
    </row>
    <row r="58" spans="2:33">
      <c r="B58" s="12" t="s">
        <v>177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86">
        <v>2.42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17">
        <f t="shared" si="3"/>
        <v>2.42</v>
      </c>
    </row>
    <row r="59" spans="2:33">
      <c r="B59" s="12" t="s">
        <v>151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17">
        <f t="shared" si="3"/>
        <v>0</v>
      </c>
    </row>
    <row r="60" spans="2:33">
      <c r="B60" s="12" t="s">
        <v>298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17">
        <f t="shared" si="3"/>
        <v>0</v>
      </c>
    </row>
    <row r="61" spans="2:33">
      <c r="B61" s="12" t="s">
        <v>20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86">
        <v>2.5499999999999998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17">
        <f t="shared" si="3"/>
        <v>2.5499999999999998</v>
      </c>
    </row>
    <row r="62" spans="2:33">
      <c r="B62" s="13" t="s">
        <v>311</v>
      </c>
      <c r="C62" s="17">
        <f t="shared" ref="C62:AF62" si="4">SUM(C38:C61)</f>
        <v>0</v>
      </c>
      <c r="D62" s="17">
        <f t="shared" si="4"/>
        <v>0</v>
      </c>
      <c r="E62" s="17">
        <f t="shared" si="4"/>
        <v>0</v>
      </c>
      <c r="F62" s="17">
        <f t="shared" si="4"/>
        <v>0</v>
      </c>
      <c r="G62" s="17">
        <f t="shared" si="4"/>
        <v>0</v>
      </c>
      <c r="H62" s="17">
        <f t="shared" si="4"/>
        <v>0</v>
      </c>
      <c r="I62" s="17">
        <f t="shared" si="4"/>
        <v>0</v>
      </c>
      <c r="J62" s="17">
        <f t="shared" si="4"/>
        <v>0</v>
      </c>
      <c r="K62" s="17">
        <f t="shared" si="4"/>
        <v>0</v>
      </c>
      <c r="L62" s="17">
        <f t="shared" si="4"/>
        <v>0</v>
      </c>
      <c r="M62" s="17">
        <f t="shared" si="4"/>
        <v>0</v>
      </c>
      <c r="N62" s="17">
        <f t="shared" si="4"/>
        <v>0</v>
      </c>
      <c r="O62" s="17">
        <f t="shared" si="4"/>
        <v>0</v>
      </c>
      <c r="P62" s="17">
        <f t="shared" si="4"/>
        <v>2.5499999999999998</v>
      </c>
      <c r="Q62" s="17">
        <f t="shared" si="4"/>
        <v>0</v>
      </c>
      <c r="R62" s="17">
        <f t="shared" si="4"/>
        <v>2.42</v>
      </c>
      <c r="S62" s="17">
        <f t="shared" si="4"/>
        <v>0</v>
      </c>
      <c r="T62" s="17">
        <f t="shared" si="4"/>
        <v>0</v>
      </c>
      <c r="U62" s="17">
        <f t="shared" si="4"/>
        <v>0</v>
      </c>
      <c r="V62" s="17">
        <f t="shared" si="4"/>
        <v>0</v>
      </c>
      <c r="W62" s="17">
        <f t="shared" si="4"/>
        <v>0</v>
      </c>
      <c r="X62" s="17">
        <f t="shared" si="4"/>
        <v>0</v>
      </c>
      <c r="Y62" s="17">
        <f t="shared" si="4"/>
        <v>0</v>
      </c>
      <c r="Z62" s="17">
        <f t="shared" si="4"/>
        <v>0</v>
      </c>
      <c r="AA62" s="17">
        <f t="shared" si="4"/>
        <v>0</v>
      </c>
      <c r="AB62" s="17">
        <f t="shared" si="4"/>
        <v>0</v>
      </c>
      <c r="AC62" s="17">
        <f t="shared" si="4"/>
        <v>0</v>
      </c>
      <c r="AD62" s="17">
        <f t="shared" si="4"/>
        <v>0</v>
      </c>
      <c r="AE62" s="17">
        <f t="shared" si="4"/>
        <v>0</v>
      </c>
      <c r="AF62" s="17">
        <f t="shared" si="4"/>
        <v>0</v>
      </c>
      <c r="AG62" s="17">
        <f t="shared" si="3"/>
        <v>4.97</v>
      </c>
    </row>
    <row r="63" spans="2:33">
      <c r="B63" s="113" t="s">
        <v>71</v>
      </c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  <c r="AF63" s="114"/>
      <c r="AG63" s="114"/>
    </row>
    <row r="64" spans="2:33">
      <c r="B64" s="10" t="s">
        <v>152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17">
        <f t="shared" ref="AG64:AG78" si="5">SUM(C64:AF64)</f>
        <v>0</v>
      </c>
    </row>
    <row r="65" spans="2:33">
      <c r="B65" s="12" t="s">
        <v>153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17">
        <f t="shared" si="5"/>
        <v>0</v>
      </c>
    </row>
    <row r="66" spans="2:33">
      <c r="B66" s="12" t="s">
        <v>353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17">
        <f t="shared" si="5"/>
        <v>0</v>
      </c>
    </row>
    <row r="67" spans="2:33">
      <c r="B67" s="12" t="s">
        <v>154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87">
        <v>0.33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17">
        <f t="shared" si="5"/>
        <v>0.33</v>
      </c>
    </row>
    <row r="68" spans="2:33">
      <c r="B68" s="12" t="s">
        <v>178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17">
        <f t="shared" si="5"/>
        <v>0</v>
      </c>
    </row>
    <row r="69" spans="2:33">
      <c r="B69" s="12" t="s">
        <v>168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17">
        <f t="shared" si="5"/>
        <v>0</v>
      </c>
    </row>
    <row r="70" spans="2:33">
      <c r="B70" s="12" t="s">
        <v>179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17">
        <f t="shared" si="5"/>
        <v>0</v>
      </c>
    </row>
    <row r="71" spans="2:33">
      <c r="B71" s="12" t="s">
        <v>180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17">
        <f t="shared" si="5"/>
        <v>0</v>
      </c>
    </row>
    <row r="72" spans="2:33">
      <c r="B72" s="12" t="s">
        <v>181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17">
        <f t="shared" si="5"/>
        <v>0</v>
      </c>
    </row>
    <row r="73" spans="2:33">
      <c r="B73" s="12" t="s">
        <v>159</v>
      </c>
      <c r="C73" s="86">
        <v>1.33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17">
        <f t="shared" si="5"/>
        <v>1.33</v>
      </c>
    </row>
    <row r="74" spans="2:33">
      <c r="B74" s="12" t="s">
        <v>160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17">
        <f t="shared" si="5"/>
        <v>0</v>
      </c>
    </row>
    <row r="75" spans="2:33">
      <c r="B75" s="12" t="s">
        <v>161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86">
        <v>2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17">
        <f t="shared" si="5"/>
        <v>2</v>
      </c>
    </row>
    <row r="76" spans="2:33">
      <c r="B76" s="12" t="s">
        <v>301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17">
        <f t="shared" si="5"/>
        <v>0</v>
      </c>
    </row>
    <row r="77" spans="2:33">
      <c r="B77" s="12" t="s">
        <v>20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17">
        <f t="shared" si="5"/>
        <v>0</v>
      </c>
    </row>
    <row r="78" spans="2:33">
      <c r="B78" s="13" t="s">
        <v>3</v>
      </c>
      <c r="C78" s="17">
        <f>SUM(C64:C77)</f>
        <v>1.33</v>
      </c>
      <c r="D78" s="17">
        <f t="shared" ref="D78:AF78" si="6">SUM(D64:D77)</f>
        <v>0</v>
      </c>
      <c r="E78" s="17">
        <f t="shared" si="6"/>
        <v>0</v>
      </c>
      <c r="F78" s="17">
        <f t="shared" si="6"/>
        <v>0</v>
      </c>
      <c r="G78" s="17">
        <f t="shared" si="6"/>
        <v>0</v>
      </c>
      <c r="H78" s="17">
        <f t="shared" si="6"/>
        <v>0</v>
      </c>
      <c r="I78" s="17">
        <f t="shared" si="6"/>
        <v>0</v>
      </c>
      <c r="J78" s="17">
        <f t="shared" si="6"/>
        <v>0</v>
      </c>
      <c r="K78" s="17">
        <f t="shared" si="6"/>
        <v>0</v>
      </c>
      <c r="L78" s="17">
        <f t="shared" si="6"/>
        <v>0</v>
      </c>
      <c r="M78" s="17">
        <f t="shared" si="6"/>
        <v>2</v>
      </c>
      <c r="N78" s="17">
        <f t="shared" si="6"/>
        <v>0</v>
      </c>
      <c r="O78" s="17">
        <f t="shared" si="6"/>
        <v>0</v>
      </c>
      <c r="P78" s="17">
        <f t="shared" si="6"/>
        <v>0</v>
      </c>
      <c r="Q78" s="17">
        <f t="shared" si="6"/>
        <v>0</v>
      </c>
      <c r="R78" s="17">
        <f t="shared" si="6"/>
        <v>0</v>
      </c>
      <c r="S78" s="17">
        <f t="shared" si="6"/>
        <v>0</v>
      </c>
      <c r="T78" s="17">
        <f t="shared" si="6"/>
        <v>0</v>
      </c>
      <c r="U78" s="17">
        <f t="shared" si="6"/>
        <v>0</v>
      </c>
      <c r="V78" s="17">
        <f t="shared" si="6"/>
        <v>0</v>
      </c>
      <c r="W78" s="17">
        <f t="shared" si="6"/>
        <v>0.33</v>
      </c>
      <c r="X78" s="17">
        <f t="shared" si="6"/>
        <v>0</v>
      </c>
      <c r="Y78" s="17">
        <f>SUM(Y64:Y77)</f>
        <v>0</v>
      </c>
      <c r="Z78" s="17">
        <f t="shared" si="6"/>
        <v>0</v>
      </c>
      <c r="AA78" s="17">
        <f t="shared" si="6"/>
        <v>0</v>
      </c>
      <c r="AB78" s="17">
        <f t="shared" si="6"/>
        <v>0</v>
      </c>
      <c r="AC78" s="17">
        <f t="shared" si="6"/>
        <v>0</v>
      </c>
      <c r="AD78" s="17">
        <f>SUM(AD64:AD77)</f>
        <v>0</v>
      </c>
      <c r="AE78" s="17">
        <f t="shared" si="6"/>
        <v>0</v>
      </c>
      <c r="AF78" s="17">
        <f t="shared" si="6"/>
        <v>0</v>
      </c>
      <c r="AG78" s="17">
        <f t="shared" si="5"/>
        <v>3.66</v>
      </c>
    </row>
    <row r="79" spans="2:33">
      <c r="B79" s="106" t="s">
        <v>40</v>
      </c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</row>
    <row r="80" spans="2:33">
      <c r="B80" s="12" t="s">
        <v>41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86">
        <v>4.33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86">
        <v>9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17">
        <f>SUM(C80:AF80)</f>
        <v>13.33</v>
      </c>
    </row>
    <row r="81" spans="2:33">
      <c r="B81" s="12" t="s">
        <v>299</v>
      </c>
      <c r="C81" s="86">
        <v>1.67</v>
      </c>
      <c r="D81" s="22">
        <v>0</v>
      </c>
      <c r="E81" s="86">
        <v>1.33</v>
      </c>
      <c r="F81" s="87">
        <v>0.38</v>
      </c>
      <c r="G81" s="22">
        <v>0</v>
      </c>
      <c r="H81" s="85">
        <v>0.65</v>
      </c>
      <c r="I81" s="85">
        <v>0.62</v>
      </c>
      <c r="J81" s="22">
        <v>0</v>
      </c>
      <c r="K81" s="22">
        <v>0</v>
      </c>
      <c r="L81" s="22">
        <v>0</v>
      </c>
      <c r="M81" s="86">
        <v>1.44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86">
        <v>0.8</v>
      </c>
      <c r="AD81" s="86">
        <v>8.9</v>
      </c>
      <c r="AE81" s="22">
        <v>0</v>
      </c>
      <c r="AF81" s="22">
        <v>0</v>
      </c>
      <c r="AG81" s="17">
        <f>SUM(C81:AF81)</f>
        <v>15.79</v>
      </c>
    </row>
    <row r="82" spans="2:33">
      <c r="B82" s="113" t="s">
        <v>20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  <c r="AF82" s="114"/>
      <c r="AG82" s="115"/>
    </row>
    <row r="83" spans="2:33">
      <c r="B83" s="12" t="s">
        <v>163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86">
        <v>12.07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86">
        <v>12.59</v>
      </c>
      <c r="T83" s="86">
        <v>19</v>
      </c>
      <c r="U83" s="86">
        <v>24</v>
      </c>
      <c r="V83" s="86">
        <v>18.52</v>
      </c>
      <c r="W83" s="86">
        <v>4.1500000000000004</v>
      </c>
      <c r="X83" s="86">
        <v>19.899999999999999</v>
      </c>
      <c r="Y83" s="86">
        <v>19.97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17">
        <f>SUM(C83:AF83)</f>
        <v>130.19999999999999</v>
      </c>
    </row>
    <row r="84" spans="2:33">
      <c r="B84" s="12" t="s">
        <v>164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17">
        <f>SUM(C84:AF84)</f>
        <v>0</v>
      </c>
    </row>
    <row r="85" spans="2:33">
      <c r="B85" s="12" t="s">
        <v>20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17">
        <f>SUM(C85:AF85)</f>
        <v>0</v>
      </c>
    </row>
    <row r="86" spans="2:33">
      <c r="B86" s="13" t="s">
        <v>3</v>
      </c>
      <c r="C86" s="17">
        <f>SUM(C83:C84)</f>
        <v>0</v>
      </c>
      <c r="D86" s="17">
        <f t="shared" ref="D86:AD86" si="7">SUM(D83:D85)</f>
        <v>0</v>
      </c>
      <c r="E86" s="17">
        <f t="shared" si="7"/>
        <v>0</v>
      </c>
      <c r="F86" s="17">
        <f t="shared" si="7"/>
        <v>0</v>
      </c>
      <c r="G86" s="17">
        <f t="shared" si="7"/>
        <v>0</v>
      </c>
      <c r="H86" s="17">
        <f t="shared" si="7"/>
        <v>0</v>
      </c>
      <c r="I86" s="17">
        <f t="shared" si="7"/>
        <v>0</v>
      </c>
      <c r="J86" s="17">
        <f t="shared" si="7"/>
        <v>12.07</v>
      </c>
      <c r="K86" s="17">
        <f>SUM(K83:K85)</f>
        <v>0</v>
      </c>
      <c r="L86" s="17">
        <f t="shared" si="7"/>
        <v>0</v>
      </c>
      <c r="M86" s="17">
        <f t="shared" si="7"/>
        <v>0</v>
      </c>
      <c r="N86" s="17">
        <f t="shared" si="7"/>
        <v>0</v>
      </c>
      <c r="O86" s="17">
        <f t="shared" si="7"/>
        <v>0</v>
      </c>
      <c r="P86" s="17">
        <f t="shared" si="7"/>
        <v>0</v>
      </c>
      <c r="Q86" s="17">
        <f t="shared" si="7"/>
        <v>0</v>
      </c>
      <c r="R86" s="17">
        <f t="shared" si="7"/>
        <v>0</v>
      </c>
      <c r="S86" s="17">
        <f t="shared" si="7"/>
        <v>12.59</v>
      </c>
      <c r="T86" s="17">
        <f t="shared" si="7"/>
        <v>19</v>
      </c>
      <c r="U86" s="17">
        <f t="shared" si="7"/>
        <v>24</v>
      </c>
      <c r="V86" s="17">
        <f t="shared" si="7"/>
        <v>18.52</v>
      </c>
      <c r="W86" s="17">
        <f t="shared" si="7"/>
        <v>4.1500000000000004</v>
      </c>
      <c r="X86" s="17">
        <f t="shared" si="7"/>
        <v>19.899999999999999</v>
      </c>
      <c r="Y86" s="17">
        <f t="shared" si="7"/>
        <v>19.97</v>
      </c>
      <c r="Z86" s="17">
        <f t="shared" si="7"/>
        <v>0</v>
      </c>
      <c r="AA86" s="17">
        <f t="shared" si="7"/>
        <v>0</v>
      </c>
      <c r="AB86" s="17">
        <f t="shared" si="7"/>
        <v>0</v>
      </c>
      <c r="AC86" s="17">
        <f t="shared" si="7"/>
        <v>0</v>
      </c>
      <c r="AD86" s="17">
        <f t="shared" si="7"/>
        <v>0</v>
      </c>
      <c r="AE86" s="17">
        <f t="shared" ref="AE86:AF86" si="8">SUM(AE83:AE85)</f>
        <v>0</v>
      </c>
      <c r="AF86" s="17">
        <f t="shared" si="8"/>
        <v>0</v>
      </c>
      <c r="AG86" s="17">
        <f>SUM(C86:AF86)</f>
        <v>130.19999999999999</v>
      </c>
    </row>
    <row r="89" spans="2:33" ht="13.5" thickBot="1"/>
    <row r="90" spans="2:33" ht="13.5" thickBot="1">
      <c r="B90" s="6" t="s">
        <v>83</v>
      </c>
      <c r="C90" s="32"/>
    </row>
    <row r="91" spans="2:33" ht="13.5" thickBot="1">
      <c r="B91" s="6" t="s">
        <v>84</v>
      </c>
      <c r="C91" s="33"/>
    </row>
    <row r="92" spans="2:33" ht="13.5" thickBot="1">
      <c r="B92" s="6" t="s">
        <v>85</v>
      </c>
      <c r="C92" s="26"/>
    </row>
  </sheetData>
  <mergeCells count="9">
    <mergeCell ref="B1:AG1"/>
    <mergeCell ref="AE3:AF3"/>
    <mergeCell ref="B79:AG79"/>
    <mergeCell ref="B82:AG82"/>
    <mergeCell ref="B2:AG2"/>
    <mergeCell ref="B3:AD3"/>
    <mergeCell ref="C5:AG5"/>
    <mergeCell ref="B37:AG37"/>
    <mergeCell ref="B63:AG63"/>
  </mergeCells>
  <pageMargins left="0" right="0" top="0.25" bottom="0" header="0.3" footer="0.3"/>
  <pageSetup scale="4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G93"/>
  <sheetViews>
    <sheetView zoomScale="90" zoomScaleNormal="90" workbookViewId="0">
      <pane xSplit="2" ySplit="4" topLeftCell="C24" activePane="bottomRight" state="frozen"/>
      <selection pane="topRight" activeCell="C1" sqref="C1"/>
      <selection pane="bottomLeft" activeCell="A4" sqref="A4"/>
      <selection pane="bottomRight" activeCell="H20" sqref="H20"/>
    </sheetView>
  </sheetViews>
  <sheetFormatPr defaultColWidth="8.85546875" defaultRowHeight="12.75"/>
  <cols>
    <col min="1" max="1" width="2.7109375" style="1" customWidth="1"/>
    <col min="2" max="2" width="40.7109375" style="5" customWidth="1"/>
    <col min="3" max="32" width="5.7109375" style="20" bestFit="1" customWidth="1"/>
    <col min="33" max="33" width="11.7109375" style="20" customWidth="1"/>
    <col min="34" max="16384" width="8.85546875" style="1"/>
  </cols>
  <sheetData>
    <row r="1" spans="2:33" s="5" customFormat="1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2:33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2:33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117" t="s">
        <v>267</v>
      </c>
      <c r="AF3" s="118"/>
      <c r="AG3" s="82">
        <v>46142</v>
      </c>
    </row>
    <row r="4" spans="2:33" s="5" customFormat="1">
      <c r="B4" s="34" t="s">
        <v>182</v>
      </c>
      <c r="C4" s="64">
        <v>46113</v>
      </c>
      <c r="D4" s="91">
        <v>46114</v>
      </c>
      <c r="E4" s="91">
        <v>46115</v>
      </c>
      <c r="F4" s="91">
        <v>46116</v>
      </c>
      <c r="G4" s="91">
        <v>46117</v>
      </c>
      <c r="H4" s="91">
        <v>46118</v>
      </c>
      <c r="I4" s="91">
        <v>46119</v>
      </c>
      <c r="J4" s="91">
        <v>46120</v>
      </c>
      <c r="K4" s="91">
        <v>46121</v>
      </c>
      <c r="L4" s="91">
        <v>46122</v>
      </c>
      <c r="M4" s="91">
        <v>46123</v>
      </c>
      <c r="N4" s="91">
        <v>46124</v>
      </c>
      <c r="O4" s="91">
        <v>46125</v>
      </c>
      <c r="P4" s="91">
        <v>46126</v>
      </c>
      <c r="Q4" s="91">
        <v>46127</v>
      </c>
      <c r="R4" s="91">
        <v>46128</v>
      </c>
      <c r="S4" s="91">
        <v>46129</v>
      </c>
      <c r="T4" s="91">
        <v>46130</v>
      </c>
      <c r="U4" s="91">
        <v>46131</v>
      </c>
      <c r="V4" s="91">
        <v>46132</v>
      </c>
      <c r="W4" s="91">
        <v>46133</v>
      </c>
      <c r="X4" s="91">
        <v>46134</v>
      </c>
      <c r="Y4" s="91">
        <v>46135</v>
      </c>
      <c r="Z4" s="91">
        <v>46136</v>
      </c>
      <c r="AA4" s="91">
        <v>46137</v>
      </c>
      <c r="AB4" s="91">
        <v>46138</v>
      </c>
      <c r="AC4" s="91">
        <v>46139</v>
      </c>
      <c r="AD4" s="91">
        <v>46140</v>
      </c>
      <c r="AE4" s="91">
        <v>46141</v>
      </c>
      <c r="AF4" s="91">
        <v>46142</v>
      </c>
      <c r="AG4" s="16" t="s">
        <v>3</v>
      </c>
    </row>
    <row r="5" spans="2:33">
      <c r="B5" s="35" t="s">
        <v>4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</row>
    <row r="6" spans="2:33">
      <c r="B6" s="12" t="s">
        <v>183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 t="shared" ref="AG6:AG32" si="0">SUM(C6:AF6)</f>
        <v>0</v>
      </c>
    </row>
    <row r="7" spans="2:33">
      <c r="B7" s="12" t="s">
        <v>184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17">
        <f t="shared" si="0"/>
        <v>0</v>
      </c>
    </row>
    <row r="8" spans="2:33">
      <c r="B8" s="12" t="s">
        <v>185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17">
        <f t="shared" si="0"/>
        <v>0</v>
      </c>
    </row>
    <row r="9" spans="2:33">
      <c r="B9" s="12" t="s">
        <v>186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17">
        <f t="shared" si="0"/>
        <v>0</v>
      </c>
    </row>
    <row r="10" spans="2:33">
      <c r="B10" s="12" t="s">
        <v>187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17">
        <f t="shared" si="0"/>
        <v>0</v>
      </c>
    </row>
    <row r="11" spans="2:33">
      <c r="B11" s="12" t="s">
        <v>350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17">
        <f t="shared" si="0"/>
        <v>0</v>
      </c>
    </row>
    <row r="12" spans="2:33">
      <c r="B12" s="12" t="s">
        <v>316</v>
      </c>
      <c r="C12" s="22">
        <v>0</v>
      </c>
      <c r="D12" s="22">
        <v>0</v>
      </c>
      <c r="E12" s="22">
        <v>0</v>
      </c>
      <c r="F12" s="86">
        <v>11.12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17">
        <f t="shared" si="0"/>
        <v>11.12</v>
      </c>
    </row>
    <row r="13" spans="2:33">
      <c r="B13" s="12" t="s">
        <v>188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17">
        <f t="shared" si="0"/>
        <v>0</v>
      </c>
    </row>
    <row r="14" spans="2:33">
      <c r="B14" s="12" t="s">
        <v>189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17">
        <f t="shared" si="0"/>
        <v>0</v>
      </c>
    </row>
    <row r="15" spans="2:33">
      <c r="B15" s="12" t="s">
        <v>190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17">
        <f t="shared" si="0"/>
        <v>0</v>
      </c>
    </row>
    <row r="16" spans="2:33">
      <c r="B16" s="12" t="s">
        <v>191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17">
        <f t="shared" si="0"/>
        <v>0</v>
      </c>
    </row>
    <row r="17" spans="2:33">
      <c r="B17" s="12" t="s">
        <v>192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17">
        <f t="shared" si="0"/>
        <v>0</v>
      </c>
    </row>
    <row r="18" spans="2:33">
      <c r="B18" s="12" t="s">
        <v>193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17">
        <f t="shared" si="0"/>
        <v>0</v>
      </c>
    </row>
    <row r="19" spans="2:33">
      <c r="B19" s="12" t="s">
        <v>194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17">
        <f t="shared" si="0"/>
        <v>0</v>
      </c>
    </row>
    <row r="20" spans="2:33">
      <c r="B20" s="12" t="s">
        <v>195</v>
      </c>
      <c r="C20" s="22">
        <v>0</v>
      </c>
      <c r="D20" s="22">
        <v>0</v>
      </c>
      <c r="E20" s="22">
        <v>0</v>
      </c>
      <c r="F20" s="86">
        <v>1.48</v>
      </c>
      <c r="G20" s="86">
        <v>24</v>
      </c>
      <c r="H20" s="86">
        <v>1.17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17">
        <f t="shared" si="0"/>
        <v>26.65</v>
      </c>
    </row>
    <row r="21" spans="2:33">
      <c r="B21" s="12" t="s">
        <v>196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17">
        <f t="shared" si="0"/>
        <v>0</v>
      </c>
    </row>
    <row r="22" spans="2:33">
      <c r="B22" s="12" t="s">
        <v>134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17">
        <f t="shared" si="0"/>
        <v>0</v>
      </c>
    </row>
    <row r="23" spans="2:33">
      <c r="B23" s="12" t="s">
        <v>351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17">
        <f t="shared" si="0"/>
        <v>0</v>
      </c>
    </row>
    <row r="24" spans="2:33">
      <c r="B24" s="12" t="s">
        <v>198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17">
        <f t="shared" si="0"/>
        <v>0</v>
      </c>
    </row>
    <row r="25" spans="2:33">
      <c r="B25" s="12" t="s">
        <v>199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17">
        <f t="shared" si="0"/>
        <v>0</v>
      </c>
    </row>
    <row r="26" spans="2:33">
      <c r="B26" s="12" t="s">
        <v>319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17">
        <f t="shared" si="0"/>
        <v>0</v>
      </c>
    </row>
    <row r="27" spans="2:33">
      <c r="B27" s="12" t="s">
        <v>356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86">
        <v>2.21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17">
        <f t="shared" si="0"/>
        <v>2.21</v>
      </c>
    </row>
    <row r="28" spans="2:33">
      <c r="B28" s="12" t="s">
        <v>325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17">
        <f t="shared" si="0"/>
        <v>0</v>
      </c>
    </row>
    <row r="29" spans="2:33">
      <c r="B29" s="12" t="s">
        <v>331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17">
        <f t="shared" si="0"/>
        <v>0</v>
      </c>
    </row>
    <row r="30" spans="2:33">
      <c r="B30" s="12" t="s">
        <v>357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17">
        <f t="shared" si="0"/>
        <v>0</v>
      </c>
    </row>
    <row r="31" spans="2:33">
      <c r="B31" s="12" t="s">
        <v>361</v>
      </c>
      <c r="C31" s="22">
        <v>0</v>
      </c>
      <c r="D31" s="22">
        <v>0</v>
      </c>
      <c r="E31" s="87">
        <v>0.17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17">
        <f t="shared" si="0"/>
        <v>0.17</v>
      </c>
    </row>
    <row r="32" spans="2:33">
      <c r="B32" s="13" t="s">
        <v>3</v>
      </c>
      <c r="C32" s="17">
        <f t="shared" ref="C32:AF32" si="1">SUM(C6:C31)</f>
        <v>0</v>
      </c>
      <c r="D32" s="17">
        <f t="shared" si="1"/>
        <v>0</v>
      </c>
      <c r="E32" s="17">
        <f t="shared" si="1"/>
        <v>0.17</v>
      </c>
      <c r="F32" s="17">
        <f t="shared" si="1"/>
        <v>12.6</v>
      </c>
      <c r="G32" s="17">
        <f t="shared" si="1"/>
        <v>24</v>
      </c>
      <c r="H32" s="17">
        <f t="shared" si="1"/>
        <v>1.17</v>
      </c>
      <c r="I32" s="17">
        <f t="shared" si="1"/>
        <v>0</v>
      </c>
      <c r="J32" s="17">
        <f t="shared" si="1"/>
        <v>0</v>
      </c>
      <c r="K32" s="17">
        <f t="shared" si="1"/>
        <v>2.21</v>
      </c>
      <c r="L32" s="17">
        <f t="shared" si="1"/>
        <v>0</v>
      </c>
      <c r="M32" s="17">
        <f t="shared" si="1"/>
        <v>0</v>
      </c>
      <c r="N32" s="17">
        <f t="shared" si="1"/>
        <v>0</v>
      </c>
      <c r="O32" s="17">
        <f t="shared" si="1"/>
        <v>0</v>
      </c>
      <c r="P32" s="17">
        <f t="shared" si="1"/>
        <v>0</v>
      </c>
      <c r="Q32" s="17">
        <f t="shared" si="1"/>
        <v>0</v>
      </c>
      <c r="R32" s="17">
        <f t="shared" si="1"/>
        <v>0</v>
      </c>
      <c r="S32" s="17">
        <f t="shared" si="1"/>
        <v>0</v>
      </c>
      <c r="T32" s="17">
        <f t="shared" si="1"/>
        <v>0</v>
      </c>
      <c r="U32" s="17">
        <f t="shared" si="1"/>
        <v>0</v>
      </c>
      <c r="V32" s="17">
        <f t="shared" si="1"/>
        <v>0</v>
      </c>
      <c r="W32" s="17">
        <f t="shared" si="1"/>
        <v>0</v>
      </c>
      <c r="X32" s="17">
        <f t="shared" si="1"/>
        <v>0</v>
      </c>
      <c r="Y32" s="17">
        <f t="shared" si="1"/>
        <v>0</v>
      </c>
      <c r="Z32" s="17">
        <f t="shared" si="1"/>
        <v>0</v>
      </c>
      <c r="AA32" s="17">
        <f t="shared" si="1"/>
        <v>0</v>
      </c>
      <c r="AB32" s="17">
        <f t="shared" si="1"/>
        <v>0</v>
      </c>
      <c r="AC32" s="17">
        <f t="shared" si="1"/>
        <v>0</v>
      </c>
      <c r="AD32" s="17">
        <f t="shared" si="1"/>
        <v>0</v>
      </c>
      <c r="AE32" s="17">
        <f t="shared" si="1"/>
        <v>0</v>
      </c>
      <c r="AF32" s="17">
        <f t="shared" si="1"/>
        <v>0</v>
      </c>
      <c r="AG32" s="17">
        <f t="shared" si="0"/>
        <v>40.15</v>
      </c>
    </row>
    <row r="33" spans="2:33">
      <c r="B33" s="119" t="s">
        <v>21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</row>
    <row r="34" spans="2:33">
      <c r="B34" s="12" t="s">
        <v>65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17">
        <f t="shared" ref="AG34:AG60" si="2">SUM(C34:AF34)</f>
        <v>0</v>
      </c>
    </row>
    <row r="35" spans="2:33">
      <c r="B35" s="12" t="s">
        <v>183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17">
        <f t="shared" si="2"/>
        <v>0</v>
      </c>
    </row>
    <row r="36" spans="2:33">
      <c r="B36" s="12" t="s">
        <v>200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17">
        <f t="shared" si="2"/>
        <v>0</v>
      </c>
    </row>
    <row r="37" spans="2:33">
      <c r="B37" s="12" t="s">
        <v>201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17">
        <f t="shared" si="2"/>
        <v>0</v>
      </c>
    </row>
    <row r="38" spans="2:33">
      <c r="B38" s="12" t="s">
        <v>202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17">
        <f t="shared" si="2"/>
        <v>0</v>
      </c>
    </row>
    <row r="39" spans="2:33">
      <c r="B39" s="12" t="s">
        <v>203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17">
        <f t="shared" si="2"/>
        <v>0</v>
      </c>
    </row>
    <row r="40" spans="2:33">
      <c r="B40" s="12" t="s">
        <v>204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17">
        <f t="shared" si="2"/>
        <v>0</v>
      </c>
    </row>
    <row r="41" spans="2:33">
      <c r="B41" s="12" t="s">
        <v>205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17">
        <f t="shared" si="2"/>
        <v>0</v>
      </c>
    </row>
    <row r="42" spans="2:33">
      <c r="B42" s="12" t="s">
        <v>206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17">
        <f t="shared" si="2"/>
        <v>0</v>
      </c>
    </row>
    <row r="43" spans="2:33">
      <c r="B43" s="12" t="s">
        <v>318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17">
        <f t="shared" si="2"/>
        <v>0</v>
      </c>
    </row>
    <row r="44" spans="2:33">
      <c r="B44" s="12" t="s">
        <v>188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17">
        <f t="shared" si="2"/>
        <v>0</v>
      </c>
    </row>
    <row r="45" spans="2:33">
      <c r="B45" s="12" t="s">
        <v>207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85">
        <v>0.5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17">
        <f t="shared" si="2"/>
        <v>0.5</v>
      </c>
    </row>
    <row r="46" spans="2:33">
      <c r="B46" s="12" t="s">
        <v>347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17">
        <f t="shared" si="2"/>
        <v>0</v>
      </c>
    </row>
    <row r="47" spans="2:33">
      <c r="B47" s="12" t="s">
        <v>208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17">
        <f t="shared" si="2"/>
        <v>0</v>
      </c>
    </row>
    <row r="48" spans="2:33">
      <c r="B48" s="12" t="s">
        <v>209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17">
        <f t="shared" si="2"/>
        <v>0</v>
      </c>
    </row>
    <row r="49" spans="2:33">
      <c r="B49" s="12" t="s">
        <v>210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17">
        <f t="shared" si="2"/>
        <v>0</v>
      </c>
    </row>
    <row r="50" spans="2:33">
      <c r="B50" s="12" t="s">
        <v>211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17">
        <f t="shared" si="2"/>
        <v>0</v>
      </c>
    </row>
    <row r="51" spans="2:33">
      <c r="B51" s="12" t="s">
        <v>212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17">
        <f t="shared" si="2"/>
        <v>0</v>
      </c>
    </row>
    <row r="52" spans="2:33">
      <c r="B52" s="12" t="s">
        <v>213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17">
        <f t="shared" si="2"/>
        <v>0</v>
      </c>
    </row>
    <row r="53" spans="2:33">
      <c r="B53" s="12" t="s">
        <v>214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17">
        <f t="shared" si="2"/>
        <v>0</v>
      </c>
    </row>
    <row r="54" spans="2:33">
      <c r="B54" s="12" t="s">
        <v>197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17">
        <f t="shared" si="2"/>
        <v>0</v>
      </c>
    </row>
    <row r="55" spans="2:33">
      <c r="B55" s="12" t="s">
        <v>215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17">
        <f t="shared" si="2"/>
        <v>0</v>
      </c>
    </row>
    <row r="56" spans="2:33">
      <c r="B56" s="12" t="s">
        <v>216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17">
        <f t="shared" si="2"/>
        <v>0</v>
      </c>
    </row>
    <row r="57" spans="2:33">
      <c r="B57" s="12" t="s">
        <v>295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17">
        <f t="shared" si="2"/>
        <v>0</v>
      </c>
    </row>
    <row r="58" spans="2:33">
      <c r="B58" s="12" t="s">
        <v>314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17">
        <f t="shared" si="2"/>
        <v>0</v>
      </c>
    </row>
    <row r="59" spans="2:33">
      <c r="B59" s="12" t="s">
        <v>344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17">
        <f t="shared" si="2"/>
        <v>0</v>
      </c>
    </row>
    <row r="60" spans="2:33">
      <c r="B60" s="12" t="s">
        <v>324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17">
        <f t="shared" si="2"/>
        <v>0</v>
      </c>
    </row>
    <row r="61" spans="2:33">
      <c r="B61" s="13" t="s">
        <v>3</v>
      </c>
      <c r="C61" s="17">
        <f t="shared" ref="C61:AF61" si="3">SUM(C34:C59)</f>
        <v>0</v>
      </c>
      <c r="D61" s="17">
        <f t="shared" si="3"/>
        <v>0</v>
      </c>
      <c r="E61" s="17">
        <f t="shared" si="3"/>
        <v>0</v>
      </c>
      <c r="F61" s="17">
        <f t="shared" si="3"/>
        <v>0</v>
      </c>
      <c r="G61" s="17">
        <f t="shared" si="3"/>
        <v>0</v>
      </c>
      <c r="H61" s="17">
        <f t="shared" si="3"/>
        <v>0</v>
      </c>
      <c r="I61" s="17">
        <f t="shared" si="3"/>
        <v>0</v>
      </c>
      <c r="J61" s="17">
        <f t="shared" si="3"/>
        <v>0</v>
      </c>
      <c r="K61" s="17">
        <f t="shared" si="3"/>
        <v>0</v>
      </c>
      <c r="L61" s="17">
        <f t="shared" si="3"/>
        <v>0.5</v>
      </c>
      <c r="M61" s="17">
        <f t="shared" si="3"/>
        <v>0</v>
      </c>
      <c r="N61" s="17">
        <f t="shared" si="3"/>
        <v>0</v>
      </c>
      <c r="O61" s="17">
        <f t="shared" si="3"/>
        <v>0</v>
      </c>
      <c r="P61" s="17">
        <f t="shared" si="3"/>
        <v>0</v>
      </c>
      <c r="Q61" s="17">
        <f t="shared" si="3"/>
        <v>0</v>
      </c>
      <c r="R61" s="17">
        <f t="shared" si="3"/>
        <v>0</v>
      </c>
      <c r="S61" s="17">
        <f t="shared" si="3"/>
        <v>0</v>
      </c>
      <c r="T61" s="17">
        <f t="shared" si="3"/>
        <v>0</v>
      </c>
      <c r="U61" s="17">
        <f t="shared" si="3"/>
        <v>0</v>
      </c>
      <c r="V61" s="17">
        <f t="shared" si="3"/>
        <v>0</v>
      </c>
      <c r="W61" s="17">
        <f t="shared" si="3"/>
        <v>0</v>
      </c>
      <c r="X61" s="17">
        <f t="shared" si="3"/>
        <v>0</v>
      </c>
      <c r="Y61" s="17">
        <f t="shared" si="3"/>
        <v>0</v>
      </c>
      <c r="Z61" s="17">
        <f t="shared" si="3"/>
        <v>0</v>
      </c>
      <c r="AA61" s="17">
        <f t="shared" si="3"/>
        <v>0</v>
      </c>
      <c r="AB61" s="17">
        <f t="shared" si="3"/>
        <v>0</v>
      </c>
      <c r="AC61" s="17">
        <f t="shared" si="3"/>
        <v>0</v>
      </c>
      <c r="AD61" s="17">
        <f t="shared" si="3"/>
        <v>0</v>
      </c>
      <c r="AE61" s="17">
        <f t="shared" si="3"/>
        <v>0</v>
      </c>
      <c r="AF61" s="17">
        <f t="shared" si="3"/>
        <v>0</v>
      </c>
      <c r="AG61" s="17">
        <f>SUM(AG34:AG60)</f>
        <v>0.5</v>
      </c>
    </row>
    <row r="62" spans="2:33">
      <c r="B62" s="113" t="s">
        <v>71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5"/>
    </row>
    <row r="63" spans="2:33">
      <c r="B63" s="12" t="s">
        <v>217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17">
        <f t="shared" ref="AG63:AG77" si="4">SUM(C63:AF63)</f>
        <v>0</v>
      </c>
    </row>
    <row r="64" spans="2:33">
      <c r="B64" s="12" t="s">
        <v>183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17">
        <f t="shared" si="4"/>
        <v>0</v>
      </c>
    </row>
    <row r="65" spans="2:33">
      <c r="B65" s="12" t="s">
        <v>218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17">
        <f t="shared" si="4"/>
        <v>0</v>
      </c>
    </row>
    <row r="66" spans="2:33">
      <c r="B66" s="51" t="s">
        <v>219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17">
        <f t="shared" si="4"/>
        <v>0</v>
      </c>
    </row>
    <row r="67" spans="2:33">
      <c r="B67" s="12" t="s">
        <v>220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17">
        <f t="shared" si="4"/>
        <v>0</v>
      </c>
    </row>
    <row r="68" spans="2:33">
      <c r="B68" s="12" t="s">
        <v>221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17">
        <f t="shared" si="4"/>
        <v>0</v>
      </c>
    </row>
    <row r="69" spans="2:33">
      <c r="B69" s="12" t="s">
        <v>222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17">
        <f t="shared" si="4"/>
        <v>0</v>
      </c>
    </row>
    <row r="70" spans="2:33">
      <c r="B70" s="12" t="s">
        <v>223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17">
        <f t="shared" si="4"/>
        <v>0</v>
      </c>
    </row>
    <row r="71" spans="2:33">
      <c r="B71" s="12" t="s">
        <v>224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17">
        <f t="shared" si="4"/>
        <v>0</v>
      </c>
    </row>
    <row r="72" spans="2:33">
      <c r="B72" s="12" t="s">
        <v>225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17">
        <f t="shared" si="4"/>
        <v>0</v>
      </c>
    </row>
    <row r="73" spans="2:33">
      <c r="B73" s="12" t="s">
        <v>330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17">
        <f t="shared" si="4"/>
        <v>0</v>
      </c>
    </row>
    <row r="74" spans="2:33">
      <c r="B74" s="12" t="s">
        <v>226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17">
        <f t="shared" si="4"/>
        <v>0</v>
      </c>
    </row>
    <row r="75" spans="2:33">
      <c r="B75" s="12" t="s">
        <v>287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17">
        <f t="shared" si="4"/>
        <v>0</v>
      </c>
    </row>
    <row r="76" spans="2:33">
      <c r="B76" s="12" t="s">
        <v>20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17">
        <f t="shared" si="4"/>
        <v>0</v>
      </c>
    </row>
    <row r="77" spans="2:33" s="2" customFormat="1">
      <c r="B77" s="13" t="s">
        <v>3</v>
      </c>
      <c r="C77" s="17">
        <f t="shared" ref="C77:AD77" si="5">SUM(C63:C76)</f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7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7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7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7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ref="AE77:AF77" si="6">SUM(AE63:AE76)</f>
        <v>0</v>
      </c>
      <c r="AF77" s="17">
        <f t="shared" si="6"/>
        <v>0</v>
      </c>
      <c r="AG77" s="17">
        <f t="shared" si="4"/>
        <v>0</v>
      </c>
    </row>
    <row r="78" spans="2:33">
      <c r="B78" s="106" t="s">
        <v>40</v>
      </c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</row>
    <row r="79" spans="2:33">
      <c r="B79" s="12" t="s">
        <v>41</v>
      </c>
      <c r="C79" s="86">
        <v>24</v>
      </c>
      <c r="D79" s="86">
        <v>24</v>
      </c>
      <c r="E79" s="86">
        <v>12.38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17">
        <f>SUM(C79:AF79)</f>
        <v>60.38</v>
      </c>
    </row>
    <row r="80" spans="2:33">
      <c r="B80" s="12" t="s">
        <v>42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17">
        <f>SUM(C80:AF80)</f>
        <v>0</v>
      </c>
    </row>
    <row r="81" spans="2:33">
      <c r="B81" s="113" t="s">
        <v>20</v>
      </c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5"/>
    </row>
    <row r="82" spans="2:33">
      <c r="B82" s="12" t="s">
        <v>227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17">
        <f t="shared" ref="AG82:AG87" si="7">SUM(C82:AF82)</f>
        <v>0</v>
      </c>
    </row>
    <row r="83" spans="2:33">
      <c r="B83" s="12" t="s">
        <v>228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17">
        <f t="shared" si="7"/>
        <v>0</v>
      </c>
    </row>
    <row r="84" spans="2:33">
      <c r="B84" s="12" t="s">
        <v>229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85">
        <v>0.7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17">
        <f t="shared" si="7"/>
        <v>0.7</v>
      </c>
    </row>
    <row r="85" spans="2:33">
      <c r="B85" s="12" t="s">
        <v>290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17">
        <f t="shared" si="7"/>
        <v>0</v>
      </c>
    </row>
    <row r="86" spans="2:33">
      <c r="B86" s="12" t="s">
        <v>20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17">
        <f t="shared" si="7"/>
        <v>0</v>
      </c>
    </row>
    <row r="87" spans="2:33">
      <c r="B87" s="13" t="s">
        <v>3</v>
      </c>
      <c r="C87" s="17">
        <f>SUM(C82:C86)</f>
        <v>0</v>
      </c>
      <c r="D87" s="17">
        <f t="shared" ref="D87:AA87" si="8">SUM(D82:D86)</f>
        <v>0</v>
      </c>
      <c r="E87" s="17">
        <f t="shared" si="8"/>
        <v>0</v>
      </c>
      <c r="F87" s="17">
        <f t="shared" si="8"/>
        <v>0</v>
      </c>
      <c r="G87" s="17">
        <f t="shared" si="8"/>
        <v>0</v>
      </c>
      <c r="H87" s="17">
        <f t="shared" si="8"/>
        <v>0</v>
      </c>
      <c r="I87" s="17">
        <f t="shared" si="8"/>
        <v>0</v>
      </c>
      <c r="J87" s="17">
        <f t="shared" si="8"/>
        <v>0</v>
      </c>
      <c r="K87" s="17">
        <f t="shared" si="8"/>
        <v>0</v>
      </c>
      <c r="L87" s="17">
        <f t="shared" si="8"/>
        <v>0</v>
      </c>
      <c r="M87" s="17">
        <f t="shared" si="8"/>
        <v>0.7</v>
      </c>
      <c r="N87" s="17">
        <f t="shared" si="8"/>
        <v>0</v>
      </c>
      <c r="O87" s="17">
        <f t="shared" si="8"/>
        <v>0</v>
      </c>
      <c r="P87" s="17">
        <f>SUM(P82:P86)</f>
        <v>0</v>
      </c>
      <c r="Q87" s="17">
        <f t="shared" si="8"/>
        <v>0</v>
      </c>
      <c r="R87" s="17">
        <f t="shared" si="8"/>
        <v>0</v>
      </c>
      <c r="S87" s="17">
        <f t="shared" si="8"/>
        <v>0</v>
      </c>
      <c r="T87" s="17">
        <f t="shared" si="8"/>
        <v>0</v>
      </c>
      <c r="U87" s="17">
        <f t="shared" si="8"/>
        <v>0</v>
      </c>
      <c r="V87" s="17">
        <f t="shared" si="8"/>
        <v>0</v>
      </c>
      <c r="W87" s="17">
        <f t="shared" si="8"/>
        <v>0</v>
      </c>
      <c r="X87" s="17">
        <f t="shared" si="8"/>
        <v>0</v>
      </c>
      <c r="Y87" s="17">
        <f t="shared" si="8"/>
        <v>0</v>
      </c>
      <c r="Z87" s="17">
        <f t="shared" si="8"/>
        <v>0</v>
      </c>
      <c r="AA87" s="17">
        <f t="shared" si="8"/>
        <v>0</v>
      </c>
      <c r="AB87" s="17">
        <f t="shared" ref="AB87:AD87" si="9">SUM(AB82:AB86)</f>
        <v>0</v>
      </c>
      <c r="AC87" s="17">
        <f t="shared" si="9"/>
        <v>0</v>
      </c>
      <c r="AD87" s="17">
        <f t="shared" si="9"/>
        <v>0</v>
      </c>
      <c r="AE87" s="17">
        <f t="shared" ref="AE87:AF87" si="10">SUM(AE82:AE86)</f>
        <v>0</v>
      </c>
      <c r="AF87" s="17">
        <f t="shared" si="10"/>
        <v>0</v>
      </c>
      <c r="AG87" s="17">
        <f t="shared" si="7"/>
        <v>0.7</v>
      </c>
    </row>
    <row r="90" spans="2:33" ht="13.5" thickBot="1"/>
    <row r="91" spans="2:33" ht="13.5" thickBot="1">
      <c r="B91" s="6" t="s">
        <v>83</v>
      </c>
      <c r="C91" s="32"/>
    </row>
    <row r="92" spans="2:33" ht="13.5" thickBot="1">
      <c r="B92" s="6" t="s">
        <v>84</v>
      </c>
      <c r="C92" s="33"/>
    </row>
    <row r="93" spans="2:33" ht="13.5" thickBot="1">
      <c r="B93" s="6" t="s">
        <v>85</v>
      </c>
      <c r="C93" s="26"/>
    </row>
  </sheetData>
  <mergeCells count="9">
    <mergeCell ref="B1:AG1"/>
    <mergeCell ref="AE3:AF3"/>
    <mergeCell ref="B62:AG62"/>
    <mergeCell ref="B78:AG78"/>
    <mergeCell ref="B81:AG81"/>
    <mergeCell ref="B2:AG2"/>
    <mergeCell ref="B3:AD3"/>
    <mergeCell ref="C5:AG5"/>
    <mergeCell ref="B33:AG33"/>
  </mergeCells>
  <phoneticPr fontId="20" type="noConversion"/>
  <pageMargins left="0" right="0" top="0.25" bottom="0.25" header="0.3" footer="0.3"/>
  <pageSetup scale="4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H69"/>
  <sheetViews>
    <sheetView topLeftCell="A47" zoomScale="90" zoomScaleNormal="90" workbookViewId="0">
      <pane xSplit="2" topLeftCell="K1" activePane="topRight" state="frozen"/>
      <selection activeCell="A10" sqref="A10"/>
      <selection pane="topRight" activeCell="Q65" sqref="Q65"/>
    </sheetView>
  </sheetViews>
  <sheetFormatPr defaultColWidth="8.85546875" defaultRowHeight="15.75"/>
  <cols>
    <col min="1" max="1" width="2.7109375" style="1" customWidth="1"/>
    <col min="2" max="2" width="53.7109375" style="59" customWidth="1"/>
    <col min="3" max="6" width="5.7109375" style="20" bestFit="1" customWidth="1"/>
    <col min="7" max="7" width="5.7109375" style="20" customWidth="1"/>
    <col min="8" max="11" width="5.7109375" style="20" bestFit="1" customWidth="1"/>
    <col min="12" max="12" width="6.42578125" style="20" bestFit="1" customWidth="1"/>
    <col min="13" max="18" width="5.7109375" style="20" bestFit="1" customWidth="1"/>
    <col min="19" max="19" width="5.5703125" style="20" customWidth="1"/>
    <col min="20" max="23" width="5.7109375" style="20" bestFit="1" customWidth="1"/>
    <col min="24" max="24" width="5.85546875" style="20" customWidth="1"/>
    <col min="25" max="26" width="5.7109375" style="20" bestFit="1" customWidth="1"/>
    <col min="27" max="27" width="5.42578125" style="20" customWidth="1"/>
    <col min="28" max="29" width="6.42578125" style="20" customWidth="1"/>
    <col min="30" max="31" width="5.7109375" style="20" bestFit="1" customWidth="1"/>
    <col min="32" max="32" width="5.85546875" style="20" customWidth="1"/>
    <col min="33" max="33" width="12" style="20" customWidth="1"/>
    <col min="34" max="16384" width="8.85546875" style="1"/>
  </cols>
  <sheetData>
    <row r="1" spans="2:33" s="5" customFormat="1" ht="31.15" customHeight="1">
      <c r="B1" s="99" t="s">
        <v>288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 spans="2:33" s="31" customFormat="1" ht="22.15" customHeight="1" thickBot="1">
      <c r="B2" s="111" t="s">
        <v>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2:33" s="31" customFormat="1" ht="25.15" customHeight="1" thickBot="1">
      <c r="B3" s="107" t="s">
        <v>1</v>
      </c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9"/>
      <c r="AE3" s="117" t="s">
        <v>267</v>
      </c>
      <c r="AF3" s="118"/>
      <c r="AG3" s="82">
        <v>46142</v>
      </c>
    </row>
    <row r="4" spans="2:33">
      <c r="B4" s="52" t="s">
        <v>230</v>
      </c>
      <c r="C4" s="64">
        <v>46113</v>
      </c>
      <c r="D4" s="91">
        <v>46114</v>
      </c>
      <c r="E4" s="91">
        <v>46115</v>
      </c>
      <c r="F4" s="91">
        <v>46116</v>
      </c>
      <c r="G4" s="91">
        <v>46117</v>
      </c>
      <c r="H4" s="91">
        <v>46118</v>
      </c>
      <c r="I4" s="91">
        <v>46119</v>
      </c>
      <c r="J4" s="91">
        <v>46120</v>
      </c>
      <c r="K4" s="91">
        <v>46121</v>
      </c>
      <c r="L4" s="91">
        <v>46122</v>
      </c>
      <c r="M4" s="91">
        <v>46123</v>
      </c>
      <c r="N4" s="91">
        <v>46124</v>
      </c>
      <c r="O4" s="91">
        <v>46125</v>
      </c>
      <c r="P4" s="91">
        <v>46126</v>
      </c>
      <c r="Q4" s="91">
        <v>46127</v>
      </c>
      <c r="R4" s="91">
        <v>46128</v>
      </c>
      <c r="S4" s="91">
        <v>46129</v>
      </c>
      <c r="T4" s="91">
        <v>46130</v>
      </c>
      <c r="U4" s="91">
        <v>46131</v>
      </c>
      <c r="V4" s="91">
        <v>46132</v>
      </c>
      <c r="W4" s="91">
        <v>46133</v>
      </c>
      <c r="X4" s="91">
        <v>46134</v>
      </c>
      <c r="Y4" s="91">
        <v>46135</v>
      </c>
      <c r="Z4" s="91">
        <v>46136</v>
      </c>
      <c r="AA4" s="91">
        <v>46137</v>
      </c>
      <c r="AB4" s="91">
        <v>46138</v>
      </c>
      <c r="AC4" s="91">
        <v>46139</v>
      </c>
      <c r="AD4" s="91">
        <v>46140</v>
      </c>
      <c r="AE4" s="91">
        <v>46141</v>
      </c>
      <c r="AF4" s="91">
        <v>46142</v>
      </c>
      <c r="AG4" s="16" t="s">
        <v>3</v>
      </c>
    </row>
    <row r="5" spans="2:33">
      <c r="B5" s="53" t="s">
        <v>4</v>
      </c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</row>
    <row r="6" spans="2:33">
      <c r="B6" s="54" t="s">
        <v>329</v>
      </c>
      <c r="C6" s="22">
        <v>0</v>
      </c>
      <c r="D6" s="22">
        <v>0</v>
      </c>
      <c r="E6" s="22">
        <v>0</v>
      </c>
      <c r="F6" s="86">
        <v>1</v>
      </c>
      <c r="G6" s="22">
        <v>0</v>
      </c>
      <c r="H6" s="86">
        <v>1.1299999999999999</v>
      </c>
      <c r="I6" s="22">
        <v>0</v>
      </c>
      <c r="J6" s="22">
        <v>0</v>
      </c>
      <c r="K6" s="86">
        <v>7.22</v>
      </c>
      <c r="L6" s="86">
        <v>3.28</v>
      </c>
      <c r="M6" s="22">
        <v>0</v>
      </c>
      <c r="N6" s="22">
        <v>0</v>
      </c>
      <c r="O6" s="86">
        <v>9.6</v>
      </c>
      <c r="P6" s="86">
        <v>11.76</v>
      </c>
      <c r="Q6" s="22">
        <v>0</v>
      </c>
      <c r="R6" s="22">
        <v>0</v>
      </c>
      <c r="S6" s="22">
        <v>0</v>
      </c>
      <c r="T6" s="86">
        <v>5.23</v>
      </c>
      <c r="U6" s="86">
        <v>2.3199999999999998</v>
      </c>
      <c r="V6" s="87">
        <v>0.42</v>
      </c>
      <c r="W6" s="22">
        <v>0</v>
      </c>
      <c r="X6" s="22">
        <v>0</v>
      </c>
      <c r="Y6" s="22">
        <v>0</v>
      </c>
      <c r="Z6" s="86">
        <v>2.73</v>
      </c>
      <c r="AA6" s="86">
        <v>1.5</v>
      </c>
      <c r="AB6" s="22">
        <v>0</v>
      </c>
      <c r="AC6" s="86">
        <v>1.5</v>
      </c>
      <c r="AD6" s="87">
        <v>0.42</v>
      </c>
      <c r="AE6" s="22">
        <v>0</v>
      </c>
      <c r="AF6" s="22">
        <v>0</v>
      </c>
      <c r="AG6" s="17">
        <f>SUM(C6:AF6)</f>
        <v>48.11</v>
      </c>
    </row>
    <row r="7" spans="2:33">
      <c r="B7" s="54" t="s">
        <v>232</v>
      </c>
      <c r="C7" s="22">
        <v>0</v>
      </c>
      <c r="D7" s="22">
        <v>0</v>
      </c>
      <c r="E7" s="22">
        <v>0</v>
      </c>
      <c r="F7" s="86">
        <v>8.16</v>
      </c>
      <c r="G7" s="22">
        <v>0</v>
      </c>
      <c r="H7" s="85">
        <v>0.67</v>
      </c>
      <c r="I7" s="22">
        <v>0</v>
      </c>
      <c r="J7" s="22">
        <v>0</v>
      </c>
      <c r="K7" s="22">
        <v>0</v>
      </c>
      <c r="L7" s="22">
        <v>0</v>
      </c>
      <c r="M7" s="85">
        <v>0.51</v>
      </c>
      <c r="N7" s="22">
        <v>0</v>
      </c>
      <c r="O7" s="85">
        <v>2.67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86">
        <v>1.62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17">
        <f t="shared" ref="AG6:AG24" si="0">SUM(C7:AF7)</f>
        <v>13.629999999999999</v>
      </c>
    </row>
    <row r="8" spans="2:33">
      <c r="B8" s="54" t="s">
        <v>233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86">
        <v>1</v>
      </c>
      <c r="W8" s="22">
        <v>0</v>
      </c>
      <c r="X8" s="22">
        <v>0</v>
      </c>
      <c r="Y8" s="22">
        <v>0</v>
      </c>
      <c r="Z8" s="22">
        <v>0</v>
      </c>
      <c r="AA8" s="85">
        <v>0.57999999999999996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17">
        <f t="shared" si="0"/>
        <v>1.58</v>
      </c>
    </row>
    <row r="9" spans="2:33">
      <c r="B9" s="54" t="s">
        <v>339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86">
        <v>14.66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17">
        <f t="shared" si="0"/>
        <v>14.66</v>
      </c>
    </row>
    <row r="10" spans="2:33">
      <c r="B10" s="54" t="s">
        <v>362</v>
      </c>
      <c r="C10" s="22">
        <v>0</v>
      </c>
      <c r="D10" s="22">
        <v>0</v>
      </c>
      <c r="E10" s="86">
        <v>1.17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17">
        <f t="shared" si="0"/>
        <v>1.17</v>
      </c>
    </row>
    <row r="11" spans="2:33">
      <c r="B11" s="54" t="s">
        <v>234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87">
        <v>0.13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17">
        <f t="shared" si="0"/>
        <v>0.13</v>
      </c>
    </row>
    <row r="12" spans="2:33">
      <c r="B12" s="55" t="s">
        <v>294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87">
        <v>0.48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17">
        <f t="shared" si="0"/>
        <v>0.48</v>
      </c>
    </row>
    <row r="13" spans="2:33">
      <c r="B13" s="55" t="s">
        <v>235</v>
      </c>
      <c r="C13" s="22">
        <v>0</v>
      </c>
      <c r="D13" s="22">
        <v>0</v>
      </c>
      <c r="E13" s="87">
        <v>0.18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86">
        <v>2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17">
        <f t="shared" si="0"/>
        <v>2.1800000000000002</v>
      </c>
    </row>
    <row r="14" spans="2:33">
      <c r="B14" s="55" t="s">
        <v>236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17">
        <f t="shared" si="0"/>
        <v>0</v>
      </c>
    </row>
    <row r="15" spans="2:33">
      <c r="B15" s="55" t="s">
        <v>237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17">
        <f t="shared" si="0"/>
        <v>0</v>
      </c>
    </row>
    <row r="16" spans="2:33">
      <c r="B16" s="55" t="s">
        <v>238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17">
        <f t="shared" si="0"/>
        <v>0</v>
      </c>
    </row>
    <row r="17" spans="2:33">
      <c r="B17" s="54" t="s">
        <v>239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17">
        <f t="shared" si="0"/>
        <v>0</v>
      </c>
    </row>
    <row r="18" spans="2:33">
      <c r="B18" s="54" t="s">
        <v>240</v>
      </c>
      <c r="C18" s="85">
        <v>0.65</v>
      </c>
      <c r="D18" s="22">
        <v>0</v>
      </c>
      <c r="E18" s="87">
        <v>0.22</v>
      </c>
      <c r="F18" s="22">
        <v>0</v>
      </c>
      <c r="G18" s="22">
        <v>0</v>
      </c>
      <c r="H18" s="86">
        <v>2.5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17">
        <f t="shared" si="0"/>
        <v>3.37</v>
      </c>
    </row>
    <row r="19" spans="2:33">
      <c r="B19" s="54" t="s">
        <v>241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17">
        <f t="shared" si="0"/>
        <v>0</v>
      </c>
    </row>
    <row r="20" spans="2:33">
      <c r="B20" s="54" t="s">
        <v>242</v>
      </c>
      <c r="C20" s="86">
        <v>2.5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17">
        <f t="shared" si="0"/>
        <v>2.5</v>
      </c>
    </row>
    <row r="21" spans="2:33">
      <c r="B21" s="54" t="s">
        <v>243</v>
      </c>
      <c r="C21" s="86">
        <v>1.3</v>
      </c>
      <c r="D21" s="85">
        <v>0.93</v>
      </c>
      <c r="E21" s="86">
        <v>2.13</v>
      </c>
      <c r="F21" s="85">
        <v>0.63</v>
      </c>
      <c r="G21" s="86">
        <v>7.72</v>
      </c>
      <c r="H21" s="86">
        <v>2.42</v>
      </c>
      <c r="I21" s="86">
        <v>2.42</v>
      </c>
      <c r="J21" s="86">
        <v>1.05</v>
      </c>
      <c r="K21" s="86">
        <v>1.17</v>
      </c>
      <c r="L21" s="86">
        <v>1.08</v>
      </c>
      <c r="M21" s="22">
        <v>0</v>
      </c>
      <c r="N21" s="22">
        <v>0</v>
      </c>
      <c r="O21" s="85">
        <v>0.72</v>
      </c>
      <c r="P21" s="87">
        <v>0.25</v>
      </c>
      <c r="Q21" s="86">
        <v>1.31</v>
      </c>
      <c r="R21" s="22">
        <v>0</v>
      </c>
      <c r="S21" s="85">
        <v>0.83</v>
      </c>
      <c r="T21" s="85">
        <v>0.53</v>
      </c>
      <c r="U21" s="87">
        <v>0.17</v>
      </c>
      <c r="V21" s="22">
        <v>0</v>
      </c>
      <c r="W21" s="22">
        <v>0</v>
      </c>
      <c r="X21" s="22">
        <v>0</v>
      </c>
      <c r="Y21" s="22">
        <v>0</v>
      </c>
      <c r="Z21" s="86">
        <v>1.22</v>
      </c>
      <c r="AA21" s="86">
        <v>1.37</v>
      </c>
      <c r="AB21" s="86">
        <v>25.5</v>
      </c>
      <c r="AC21" s="86">
        <v>11.28</v>
      </c>
      <c r="AD21" s="86">
        <v>1.37</v>
      </c>
      <c r="AE21" s="87">
        <v>0.37</v>
      </c>
      <c r="AF21" s="87">
        <v>0.38</v>
      </c>
      <c r="AG21" s="17">
        <f t="shared" si="0"/>
        <v>66.149999999999991</v>
      </c>
    </row>
    <row r="22" spans="2:33" ht="15.75" customHeight="1">
      <c r="B22" s="56" t="s">
        <v>244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86">
        <v>7.17</v>
      </c>
      <c r="M22" s="85">
        <v>0.97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86">
        <v>1.68</v>
      </c>
      <c r="AC22" s="22">
        <v>0</v>
      </c>
      <c r="AD22" s="22">
        <v>0</v>
      </c>
      <c r="AE22" s="22">
        <v>0</v>
      </c>
      <c r="AF22" s="22">
        <v>0</v>
      </c>
      <c r="AG22" s="17">
        <f t="shared" si="0"/>
        <v>9.82</v>
      </c>
    </row>
    <row r="23" spans="2:33">
      <c r="B23" s="54" t="s">
        <v>283</v>
      </c>
      <c r="C23" s="22">
        <v>0</v>
      </c>
      <c r="D23" s="22">
        <v>0</v>
      </c>
      <c r="E23" s="22">
        <v>0</v>
      </c>
      <c r="F23" s="22">
        <v>0</v>
      </c>
      <c r="G23" s="87">
        <v>0.25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87">
        <v>0.4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17">
        <f t="shared" si="0"/>
        <v>0.65</v>
      </c>
    </row>
    <row r="24" spans="2:33">
      <c r="B24" s="54" t="s">
        <v>327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17">
        <f t="shared" si="0"/>
        <v>0</v>
      </c>
    </row>
    <row r="25" spans="2:33">
      <c r="B25" s="57" t="s">
        <v>3</v>
      </c>
      <c r="C25" s="17">
        <f>SUM(C6:C24)</f>
        <v>4.45</v>
      </c>
      <c r="D25" s="90">
        <f t="shared" ref="D25:AF25" si="1">SUM(D6:D24)</f>
        <v>0.93</v>
      </c>
      <c r="E25" s="90">
        <f t="shared" si="1"/>
        <v>3.6999999999999997</v>
      </c>
      <c r="F25" s="90">
        <f t="shared" si="1"/>
        <v>9.7900000000000009</v>
      </c>
      <c r="G25" s="90">
        <f t="shared" si="1"/>
        <v>7.97</v>
      </c>
      <c r="H25" s="90">
        <f t="shared" si="1"/>
        <v>6.72</v>
      </c>
      <c r="I25" s="90">
        <f t="shared" si="1"/>
        <v>2.42</v>
      </c>
      <c r="J25" s="90">
        <f t="shared" si="1"/>
        <v>1.05</v>
      </c>
      <c r="K25" s="90">
        <f t="shared" si="1"/>
        <v>8.52</v>
      </c>
      <c r="L25" s="90">
        <f t="shared" si="1"/>
        <v>11.53</v>
      </c>
      <c r="M25" s="90">
        <f t="shared" si="1"/>
        <v>16.14</v>
      </c>
      <c r="N25" s="90">
        <f t="shared" si="1"/>
        <v>0</v>
      </c>
      <c r="O25" s="90">
        <f t="shared" si="1"/>
        <v>15.47</v>
      </c>
      <c r="P25" s="90">
        <f t="shared" si="1"/>
        <v>12.01</v>
      </c>
      <c r="Q25" s="90">
        <f t="shared" si="1"/>
        <v>1.31</v>
      </c>
      <c r="R25" s="90">
        <f t="shared" si="1"/>
        <v>0</v>
      </c>
      <c r="S25" s="90">
        <f t="shared" si="1"/>
        <v>0.83</v>
      </c>
      <c r="T25" s="90">
        <f t="shared" si="1"/>
        <v>5.7600000000000007</v>
      </c>
      <c r="U25" s="90">
        <f t="shared" si="1"/>
        <v>4.1100000000000003</v>
      </c>
      <c r="V25" s="90">
        <f t="shared" si="1"/>
        <v>1.42</v>
      </c>
      <c r="W25" s="90">
        <f t="shared" si="1"/>
        <v>0</v>
      </c>
      <c r="X25" s="90">
        <f t="shared" si="1"/>
        <v>0</v>
      </c>
      <c r="Y25" s="90">
        <f t="shared" si="1"/>
        <v>0</v>
      </c>
      <c r="Z25" s="90">
        <f t="shared" si="1"/>
        <v>3.95</v>
      </c>
      <c r="AA25" s="90">
        <f t="shared" si="1"/>
        <v>3.85</v>
      </c>
      <c r="AB25" s="90">
        <f t="shared" si="1"/>
        <v>27.18</v>
      </c>
      <c r="AC25" s="90">
        <f t="shared" si="1"/>
        <v>12.78</v>
      </c>
      <c r="AD25" s="90">
        <f t="shared" si="1"/>
        <v>1.79</v>
      </c>
      <c r="AE25" s="90">
        <f t="shared" si="1"/>
        <v>0.37</v>
      </c>
      <c r="AF25" s="90">
        <f t="shared" si="1"/>
        <v>0.38</v>
      </c>
      <c r="AG25" s="90">
        <f>SUM(AG6:AG24)</f>
        <v>164.42999999999998</v>
      </c>
    </row>
    <row r="26" spans="2:33" ht="12.75">
      <c r="B26" s="113" t="s">
        <v>21</v>
      </c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</row>
    <row r="27" spans="2:33">
      <c r="B27" s="54" t="s">
        <v>231</v>
      </c>
      <c r="C27" s="22">
        <v>0</v>
      </c>
      <c r="D27" s="22">
        <v>0</v>
      </c>
      <c r="E27" s="22">
        <v>0</v>
      </c>
      <c r="F27" s="22">
        <v>0</v>
      </c>
      <c r="G27" s="86">
        <v>2.97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86">
        <v>4.7</v>
      </c>
      <c r="R27" s="22">
        <v>0</v>
      </c>
      <c r="S27" s="22">
        <v>0</v>
      </c>
      <c r="T27" s="22">
        <v>0</v>
      </c>
      <c r="U27" s="86">
        <v>6.17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17">
        <f t="shared" ref="AG27:AG47" si="2">SUM(C27:AF27)</f>
        <v>13.84</v>
      </c>
    </row>
    <row r="28" spans="2:33">
      <c r="B28" s="54" t="s">
        <v>245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85">
        <v>0.5</v>
      </c>
      <c r="AD28" s="22">
        <v>0</v>
      </c>
      <c r="AE28" s="22">
        <v>0</v>
      </c>
      <c r="AF28" s="22">
        <v>0</v>
      </c>
      <c r="AG28" s="17">
        <f t="shared" si="2"/>
        <v>0.5</v>
      </c>
    </row>
    <row r="29" spans="2:33">
      <c r="B29" s="54" t="s">
        <v>246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86">
        <v>1.63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17">
        <f t="shared" si="2"/>
        <v>1.63</v>
      </c>
    </row>
    <row r="30" spans="2:33">
      <c r="B30" s="54" t="s">
        <v>247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17">
        <f t="shared" si="2"/>
        <v>0</v>
      </c>
    </row>
    <row r="31" spans="2:33">
      <c r="B31" s="54" t="s">
        <v>248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17">
        <f t="shared" si="2"/>
        <v>0</v>
      </c>
    </row>
    <row r="32" spans="2:33">
      <c r="B32" s="54" t="s">
        <v>249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87">
        <v>0.17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17">
        <f t="shared" si="2"/>
        <v>0.17</v>
      </c>
    </row>
    <row r="33" spans="2:33">
      <c r="B33" s="54" t="s">
        <v>240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86">
        <v>1.88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86">
        <v>1.75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87">
        <v>0.2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17">
        <f t="shared" si="2"/>
        <v>3.83</v>
      </c>
    </row>
    <row r="34" spans="2:33">
      <c r="B34" s="54" t="s">
        <v>250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17">
        <f t="shared" si="2"/>
        <v>0</v>
      </c>
    </row>
    <row r="35" spans="2:33">
      <c r="B35" s="55" t="s">
        <v>235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17">
        <f t="shared" si="2"/>
        <v>0</v>
      </c>
    </row>
    <row r="36" spans="2:33">
      <c r="B36" s="55" t="s">
        <v>236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17">
        <f t="shared" si="2"/>
        <v>0</v>
      </c>
    </row>
    <row r="37" spans="2:33">
      <c r="B37" s="55" t="s">
        <v>238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17">
        <f t="shared" si="2"/>
        <v>0</v>
      </c>
    </row>
    <row r="38" spans="2:33">
      <c r="B38" s="54" t="s">
        <v>251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17">
        <f t="shared" si="2"/>
        <v>0</v>
      </c>
    </row>
    <row r="39" spans="2:33">
      <c r="B39" s="54" t="s">
        <v>252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17">
        <f t="shared" si="2"/>
        <v>0</v>
      </c>
    </row>
    <row r="40" spans="2:33">
      <c r="B40" s="54" t="s">
        <v>134</v>
      </c>
      <c r="C40" s="85">
        <v>0.68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17">
        <f t="shared" si="2"/>
        <v>0.68</v>
      </c>
    </row>
    <row r="41" spans="2:33">
      <c r="B41" s="54" t="s">
        <v>253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17">
        <f t="shared" si="2"/>
        <v>0</v>
      </c>
    </row>
    <row r="42" spans="2:33">
      <c r="B42" s="54" t="s">
        <v>254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17">
        <f t="shared" si="2"/>
        <v>0</v>
      </c>
    </row>
    <row r="43" spans="2:33">
      <c r="B43" s="54" t="s">
        <v>255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17">
        <f t="shared" si="2"/>
        <v>0</v>
      </c>
    </row>
    <row r="44" spans="2:33">
      <c r="B44" s="54" t="s">
        <v>256</v>
      </c>
      <c r="C44" s="85">
        <v>0.57999999999999996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87">
        <v>0.33</v>
      </c>
      <c r="AC44" s="22">
        <v>0</v>
      </c>
      <c r="AD44" s="22">
        <v>0</v>
      </c>
      <c r="AE44" s="22">
        <v>0</v>
      </c>
      <c r="AF44" s="22">
        <v>0</v>
      </c>
      <c r="AG44" s="17">
        <f t="shared" si="2"/>
        <v>0.90999999999999992</v>
      </c>
    </row>
    <row r="45" spans="2:33">
      <c r="B45" s="54" t="s">
        <v>257</v>
      </c>
      <c r="C45" s="85">
        <v>0.57999999999999996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86">
        <v>1.45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85">
        <v>0.5</v>
      </c>
      <c r="AA45" s="22">
        <v>0</v>
      </c>
      <c r="AB45" s="22">
        <v>0</v>
      </c>
      <c r="AC45" s="22">
        <v>0</v>
      </c>
      <c r="AD45" s="86">
        <v>2.25</v>
      </c>
      <c r="AE45" s="22">
        <v>0</v>
      </c>
      <c r="AF45" s="22">
        <v>0</v>
      </c>
      <c r="AG45" s="17">
        <f t="shared" si="2"/>
        <v>4.7799999999999994</v>
      </c>
    </row>
    <row r="46" spans="2:33">
      <c r="B46" s="54" t="s">
        <v>258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87">
        <v>0.33</v>
      </c>
      <c r="P46" s="86">
        <v>2.75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85">
        <v>0.55000000000000004</v>
      </c>
      <c r="W46" s="22">
        <v>0</v>
      </c>
      <c r="X46" s="22">
        <v>0</v>
      </c>
      <c r="Y46" s="22">
        <v>0</v>
      </c>
      <c r="Z46" s="22">
        <v>0</v>
      </c>
      <c r="AA46" s="86">
        <v>1.83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17">
        <f t="shared" si="2"/>
        <v>5.46</v>
      </c>
    </row>
    <row r="47" spans="2:33">
      <c r="B47" s="54" t="s">
        <v>20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17">
        <f t="shared" si="2"/>
        <v>0</v>
      </c>
    </row>
    <row r="48" spans="2:33">
      <c r="B48" s="57" t="s">
        <v>3</v>
      </c>
      <c r="C48" s="17">
        <f>SUM(C27:C47)</f>
        <v>1.8399999999999999</v>
      </c>
      <c r="D48" s="17">
        <f t="shared" ref="D48:AD48" si="3">SUM(D27:D47)</f>
        <v>0</v>
      </c>
      <c r="E48" s="17">
        <f t="shared" si="3"/>
        <v>0</v>
      </c>
      <c r="F48" s="17">
        <f t="shared" si="3"/>
        <v>0</v>
      </c>
      <c r="G48" s="17">
        <f t="shared" si="3"/>
        <v>2.97</v>
      </c>
      <c r="H48" s="17">
        <f t="shared" si="3"/>
        <v>1.88</v>
      </c>
      <c r="I48" s="17">
        <f t="shared" si="3"/>
        <v>0.17</v>
      </c>
      <c r="J48" s="17">
        <f t="shared" si="3"/>
        <v>0</v>
      </c>
      <c r="K48" s="17">
        <f t="shared" si="3"/>
        <v>0</v>
      </c>
      <c r="L48" s="17">
        <f t="shared" si="3"/>
        <v>0</v>
      </c>
      <c r="M48" s="17">
        <f t="shared" si="3"/>
        <v>0</v>
      </c>
      <c r="N48" s="17">
        <f t="shared" si="3"/>
        <v>0</v>
      </c>
      <c r="O48" s="17">
        <f>SUM(O27:O47)</f>
        <v>3.71</v>
      </c>
      <c r="P48" s="17">
        <f>SUM(P27:P47)</f>
        <v>4.2</v>
      </c>
      <c r="Q48" s="17">
        <f t="shared" si="3"/>
        <v>4.7</v>
      </c>
      <c r="R48" s="17">
        <f t="shared" si="3"/>
        <v>0</v>
      </c>
      <c r="S48" s="17">
        <f t="shared" si="3"/>
        <v>0</v>
      </c>
      <c r="T48" s="17">
        <f>SUM(T27:T47)</f>
        <v>0</v>
      </c>
      <c r="U48" s="17">
        <f>SUM(U27:U47)</f>
        <v>6.17</v>
      </c>
      <c r="V48" s="17">
        <f t="shared" si="3"/>
        <v>0.55000000000000004</v>
      </c>
      <c r="W48" s="17">
        <f t="shared" si="3"/>
        <v>0</v>
      </c>
      <c r="X48" s="17">
        <f t="shared" si="3"/>
        <v>0</v>
      </c>
      <c r="Y48" s="17">
        <f t="shared" si="3"/>
        <v>0</v>
      </c>
      <c r="Z48" s="17">
        <f t="shared" si="3"/>
        <v>0.7</v>
      </c>
      <c r="AA48" s="17">
        <f t="shared" si="3"/>
        <v>1.83</v>
      </c>
      <c r="AB48" s="17">
        <f t="shared" si="3"/>
        <v>0.33</v>
      </c>
      <c r="AC48" s="17">
        <f t="shared" si="3"/>
        <v>0.5</v>
      </c>
      <c r="AD48" s="17">
        <f t="shared" si="3"/>
        <v>2.25</v>
      </c>
      <c r="AE48" s="17">
        <f t="shared" ref="AE48:AF48" si="4">SUM(AE27:AE47)</f>
        <v>0</v>
      </c>
      <c r="AF48" s="17">
        <f t="shared" si="4"/>
        <v>0</v>
      </c>
      <c r="AG48" s="17">
        <f>SUM(AG27:AG47)</f>
        <v>31.799999999999997</v>
      </c>
    </row>
    <row r="49" spans="2:34" ht="12.75">
      <c r="B49" s="113" t="s">
        <v>71</v>
      </c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4"/>
    </row>
    <row r="50" spans="2:34">
      <c r="B50" s="54" t="s">
        <v>259</v>
      </c>
      <c r="C50" s="87">
        <v>0.28000000000000003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86">
        <v>2.93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17">
        <f>SUM(C50:AF50)</f>
        <v>3.21</v>
      </c>
    </row>
    <row r="51" spans="2:34">
      <c r="B51" s="58" t="s">
        <v>260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17">
        <f>SUM(C51:AF51)</f>
        <v>0</v>
      </c>
    </row>
    <row r="52" spans="2:34">
      <c r="B52" s="54" t="s">
        <v>20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17">
        <f>SUM(C52:AF52)</f>
        <v>0</v>
      </c>
    </row>
    <row r="53" spans="2:34">
      <c r="B53" s="57" t="s">
        <v>3</v>
      </c>
      <c r="C53" s="17">
        <f>SUM(C50:C52)</f>
        <v>0.28000000000000003</v>
      </c>
      <c r="D53" s="17">
        <f t="shared" ref="D53:AD53" si="5">SUM(D50:D52)</f>
        <v>0</v>
      </c>
      <c r="E53" s="17">
        <f t="shared" si="5"/>
        <v>0</v>
      </c>
      <c r="F53" s="17">
        <f t="shared" si="5"/>
        <v>0</v>
      </c>
      <c r="G53" s="17">
        <f t="shared" si="5"/>
        <v>0</v>
      </c>
      <c r="H53" s="17">
        <f t="shared" si="5"/>
        <v>0</v>
      </c>
      <c r="I53" s="17">
        <f t="shared" si="5"/>
        <v>0</v>
      </c>
      <c r="J53" s="17">
        <f t="shared" si="5"/>
        <v>0</v>
      </c>
      <c r="K53" s="17">
        <f t="shared" si="5"/>
        <v>0</v>
      </c>
      <c r="L53" s="17">
        <f t="shared" si="5"/>
        <v>0</v>
      </c>
      <c r="M53" s="17">
        <f t="shared" si="5"/>
        <v>0</v>
      </c>
      <c r="N53" s="17">
        <f t="shared" si="5"/>
        <v>0</v>
      </c>
      <c r="O53" s="17">
        <f>SUM(O50:O52)</f>
        <v>0</v>
      </c>
      <c r="P53" s="17">
        <f>SUM(P50:P52)</f>
        <v>2.93</v>
      </c>
      <c r="Q53" s="17">
        <f t="shared" si="5"/>
        <v>0</v>
      </c>
      <c r="R53" s="17">
        <f t="shared" si="5"/>
        <v>0</v>
      </c>
      <c r="S53" s="17">
        <f t="shared" si="5"/>
        <v>0</v>
      </c>
      <c r="T53" s="17">
        <f>SUM(T50:T52)</f>
        <v>0</v>
      </c>
      <c r="U53" s="17">
        <f>SUM(U50:U52)</f>
        <v>0</v>
      </c>
      <c r="V53" s="17">
        <f t="shared" si="5"/>
        <v>0</v>
      </c>
      <c r="W53" s="17">
        <f t="shared" si="5"/>
        <v>0</v>
      </c>
      <c r="X53" s="17">
        <f t="shared" si="5"/>
        <v>0</v>
      </c>
      <c r="Y53" s="17">
        <f t="shared" si="5"/>
        <v>0</v>
      </c>
      <c r="Z53" s="17">
        <f t="shared" si="5"/>
        <v>0</v>
      </c>
      <c r="AA53" s="17">
        <f t="shared" si="5"/>
        <v>0</v>
      </c>
      <c r="AB53" s="17">
        <f t="shared" si="5"/>
        <v>0</v>
      </c>
      <c r="AC53" s="17">
        <f t="shared" si="5"/>
        <v>0</v>
      </c>
      <c r="AD53" s="17">
        <f t="shared" si="5"/>
        <v>0</v>
      </c>
      <c r="AE53" s="17">
        <f t="shared" ref="AE53:AF53" si="6">SUM(AE50:AE52)</f>
        <v>0</v>
      </c>
      <c r="AF53" s="17">
        <f t="shared" si="6"/>
        <v>0</v>
      </c>
      <c r="AG53" s="17">
        <f>SUM(C53:AF53)</f>
        <v>3.21</v>
      </c>
    </row>
    <row r="54" spans="2:34" ht="12.75">
      <c r="B54" s="106" t="s">
        <v>40</v>
      </c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</row>
    <row r="55" spans="2:34">
      <c r="B55" s="54" t="s">
        <v>261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86">
        <v>8.33</v>
      </c>
      <c r="L55" s="86">
        <v>11</v>
      </c>
      <c r="M55" s="22">
        <v>0</v>
      </c>
      <c r="N55" s="22">
        <v>0</v>
      </c>
      <c r="O55" s="86">
        <v>8</v>
      </c>
      <c r="P55" s="22">
        <v>0</v>
      </c>
      <c r="Q55" s="22">
        <v>0</v>
      </c>
      <c r="R55" s="86">
        <v>9.58</v>
      </c>
      <c r="S55" s="22">
        <v>0</v>
      </c>
      <c r="T55" s="22">
        <v>0</v>
      </c>
      <c r="U55" s="22">
        <v>0</v>
      </c>
      <c r="V55" s="86">
        <v>8.33</v>
      </c>
      <c r="W55" s="22">
        <v>0</v>
      </c>
      <c r="X55" s="22">
        <v>0</v>
      </c>
      <c r="Y55" s="22">
        <v>0</v>
      </c>
      <c r="Z55" s="86">
        <v>9.67</v>
      </c>
      <c r="AA55" s="22">
        <v>0</v>
      </c>
      <c r="AB55" s="22">
        <v>0</v>
      </c>
      <c r="AC55" s="86">
        <v>8.25</v>
      </c>
      <c r="AD55" s="22">
        <v>0</v>
      </c>
      <c r="AE55" s="22">
        <v>0</v>
      </c>
      <c r="AF55" s="22">
        <v>0</v>
      </c>
      <c r="AG55" s="17">
        <f>SUM(C55:AF55)</f>
        <v>63.16</v>
      </c>
    </row>
    <row r="56" spans="2:34">
      <c r="B56" s="54" t="s">
        <v>284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17">
        <f>SUM(C56:AF56)</f>
        <v>0</v>
      </c>
    </row>
    <row r="57" spans="2:34" ht="12.75">
      <c r="B57" s="113" t="s">
        <v>20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  <c r="AF57" s="114"/>
      <c r="AG57" s="115"/>
    </row>
    <row r="58" spans="2:34">
      <c r="B58" s="54" t="s">
        <v>262</v>
      </c>
      <c r="C58" s="22">
        <v>0</v>
      </c>
      <c r="D58" s="86">
        <v>1.92</v>
      </c>
      <c r="E58" s="86">
        <v>6.3</v>
      </c>
      <c r="F58" s="86">
        <v>5.37</v>
      </c>
      <c r="G58" s="22">
        <v>0</v>
      </c>
      <c r="H58" s="86">
        <v>2.25</v>
      </c>
      <c r="I58" s="86">
        <v>7.85</v>
      </c>
      <c r="J58" s="86">
        <v>5.8</v>
      </c>
      <c r="K58" s="86">
        <v>8.93</v>
      </c>
      <c r="L58" s="22">
        <v>0</v>
      </c>
      <c r="M58" s="22">
        <v>0</v>
      </c>
      <c r="N58" s="86">
        <v>3.05</v>
      </c>
      <c r="O58" s="22">
        <v>0</v>
      </c>
      <c r="P58" s="86">
        <v>2.37</v>
      </c>
      <c r="Q58" s="86">
        <v>9.6</v>
      </c>
      <c r="R58" s="86">
        <v>17.350000000000001</v>
      </c>
      <c r="S58" s="86">
        <v>11.1</v>
      </c>
      <c r="T58" s="86">
        <v>8.75</v>
      </c>
      <c r="U58" s="86">
        <v>5.35</v>
      </c>
      <c r="V58" s="86">
        <v>13.5</v>
      </c>
      <c r="W58" s="86">
        <v>22.9</v>
      </c>
      <c r="X58" s="86">
        <v>19.2</v>
      </c>
      <c r="Y58" s="86">
        <v>19.55</v>
      </c>
      <c r="Z58" s="86">
        <v>8.75</v>
      </c>
      <c r="AA58" s="86">
        <v>9.82</v>
      </c>
      <c r="AB58" s="22">
        <v>0</v>
      </c>
      <c r="AC58" s="86">
        <v>6.38</v>
      </c>
      <c r="AD58" s="86">
        <v>12.43</v>
      </c>
      <c r="AE58" s="86">
        <v>14.05</v>
      </c>
      <c r="AF58" s="86">
        <v>15.28</v>
      </c>
      <c r="AG58" s="17">
        <f t="shared" ref="AG58:AG63" si="7">SUM(C58:AF58)</f>
        <v>237.85</v>
      </c>
    </row>
    <row r="59" spans="2:34">
      <c r="B59" s="54" t="s">
        <v>263</v>
      </c>
      <c r="C59" s="22">
        <v>0</v>
      </c>
      <c r="D59" s="22">
        <v>0</v>
      </c>
      <c r="E59" s="22">
        <v>0</v>
      </c>
      <c r="F59" s="22">
        <v>0</v>
      </c>
      <c r="G59" s="85">
        <v>0.67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86">
        <v>1.8</v>
      </c>
      <c r="N59" s="87">
        <v>0.3</v>
      </c>
      <c r="O59" s="86">
        <v>1</v>
      </c>
      <c r="P59" s="85">
        <v>0.72</v>
      </c>
      <c r="Q59" s="22">
        <v>0</v>
      </c>
      <c r="R59" s="22">
        <v>0</v>
      </c>
      <c r="S59" s="22">
        <v>0</v>
      </c>
      <c r="T59" s="22">
        <v>0</v>
      </c>
      <c r="U59" s="87">
        <v>0.33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85">
        <v>0.56999999999999995</v>
      </c>
      <c r="AB59" s="85">
        <v>0.92</v>
      </c>
      <c r="AC59" s="22">
        <v>0</v>
      </c>
      <c r="AD59" s="22">
        <v>0</v>
      </c>
      <c r="AE59" s="22">
        <v>0</v>
      </c>
      <c r="AF59" s="22">
        <v>0</v>
      </c>
      <c r="AG59" s="17">
        <f t="shared" si="7"/>
        <v>6.3100000000000005</v>
      </c>
      <c r="AH59" s="88"/>
    </row>
    <row r="60" spans="2:34">
      <c r="B60" s="54" t="s">
        <v>264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85">
        <v>0.7</v>
      </c>
      <c r="J60" s="86">
        <v>5.0199999999999996</v>
      </c>
      <c r="K60" s="85">
        <v>0.56999999999999995</v>
      </c>
      <c r="L60" s="85">
        <v>0.8</v>
      </c>
      <c r="M60" s="86">
        <v>4.57</v>
      </c>
      <c r="N60" s="86">
        <v>2.27</v>
      </c>
      <c r="O60" s="22">
        <v>0</v>
      </c>
      <c r="P60" s="87">
        <v>0.45</v>
      </c>
      <c r="Q60" s="85">
        <v>0.88</v>
      </c>
      <c r="R60" s="22">
        <v>0</v>
      </c>
      <c r="S60" s="22">
        <v>0</v>
      </c>
      <c r="T60" s="86">
        <v>1.88</v>
      </c>
      <c r="U60" s="87">
        <v>0.33</v>
      </c>
      <c r="V60" s="85">
        <v>0.57999999999999996</v>
      </c>
      <c r="W60" s="22">
        <v>0</v>
      </c>
      <c r="X60" s="22">
        <v>0</v>
      </c>
      <c r="Y60" s="22">
        <v>0</v>
      </c>
      <c r="Z60" s="22">
        <v>0</v>
      </c>
      <c r="AA60" s="87">
        <v>0.33</v>
      </c>
      <c r="AB60" s="86">
        <v>1.28</v>
      </c>
      <c r="AC60" s="85">
        <v>0.45</v>
      </c>
      <c r="AD60" s="87">
        <v>0.37</v>
      </c>
      <c r="AE60" s="22">
        <v>0</v>
      </c>
      <c r="AF60" s="86">
        <v>1.33</v>
      </c>
      <c r="AG60" s="17">
        <f t="shared" si="7"/>
        <v>21.809999999999995</v>
      </c>
    </row>
    <row r="61" spans="2:34">
      <c r="B61" s="54" t="s">
        <v>265</v>
      </c>
      <c r="C61" s="85">
        <v>0.5</v>
      </c>
      <c r="D61" s="85">
        <v>0.5</v>
      </c>
      <c r="E61" s="85">
        <v>0.5</v>
      </c>
      <c r="F61" s="85">
        <v>0.5</v>
      </c>
      <c r="G61" s="85">
        <v>0.5</v>
      </c>
      <c r="H61" s="87">
        <v>0.25</v>
      </c>
      <c r="I61" s="85">
        <v>0.5</v>
      </c>
      <c r="J61" s="85">
        <v>0.5</v>
      </c>
      <c r="K61" s="85">
        <v>0.5</v>
      </c>
      <c r="L61" s="85">
        <v>0.5</v>
      </c>
      <c r="M61" s="85">
        <v>0.5</v>
      </c>
      <c r="N61" s="85">
        <v>0.5</v>
      </c>
      <c r="O61" s="85">
        <v>0.5</v>
      </c>
      <c r="P61" s="85">
        <v>0.5</v>
      </c>
      <c r="Q61" s="85">
        <v>0.5</v>
      </c>
      <c r="R61" s="85">
        <v>0.5</v>
      </c>
      <c r="S61" s="85">
        <v>0.5</v>
      </c>
      <c r="T61" s="85">
        <v>0.5</v>
      </c>
      <c r="U61" s="85">
        <v>0.5</v>
      </c>
      <c r="V61" s="85">
        <v>0.5</v>
      </c>
      <c r="W61" s="85">
        <v>0.5</v>
      </c>
      <c r="X61" s="85">
        <v>0.5</v>
      </c>
      <c r="Y61" s="85">
        <v>0.5</v>
      </c>
      <c r="Z61" s="85">
        <v>0.5</v>
      </c>
      <c r="AA61" s="85">
        <v>0.5</v>
      </c>
      <c r="AB61" s="85">
        <v>0.5</v>
      </c>
      <c r="AC61" s="85">
        <v>0.5</v>
      </c>
      <c r="AD61" s="85">
        <v>0.5</v>
      </c>
      <c r="AE61" s="85">
        <v>0.5</v>
      </c>
      <c r="AF61" s="85">
        <v>0.5</v>
      </c>
      <c r="AG61" s="17">
        <f t="shared" si="7"/>
        <v>14.75</v>
      </c>
    </row>
    <row r="62" spans="2:34">
      <c r="B62" s="54" t="s">
        <v>20</v>
      </c>
      <c r="C62" s="22">
        <v>0</v>
      </c>
      <c r="D62" s="22">
        <v>0</v>
      </c>
      <c r="E62" s="86">
        <v>2</v>
      </c>
      <c r="F62" s="86">
        <v>10.28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85">
        <v>0.97</v>
      </c>
      <c r="N62" s="86">
        <v>4.33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17">
        <f t="shared" si="7"/>
        <v>17.579999999999998</v>
      </c>
    </row>
    <row r="63" spans="2:34">
      <c r="B63" s="57" t="s">
        <v>3</v>
      </c>
      <c r="C63" s="17">
        <f>SUM(C58:C62)</f>
        <v>0.5</v>
      </c>
      <c r="D63" s="17">
        <f t="shared" ref="D63:AD63" si="8">SUM(D58:D62)</f>
        <v>2.42</v>
      </c>
      <c r="E63" s="17">
        <f t="shared" si="8"/>
        <v>8.8000000000000007</v>
      </c>
      <c r="F63" s="17">
        <f>SUM(F58:F62)</f>
        <v>16.149999999999999</v>
      </c>
      <c r="G63" s="17">
        <f t="shared" si="8"/>
        <v>1.17</v>
      </c>
      <c r="H63" s="17">
        <f t="shared" si="8"/>
        <v>2.5</v>
      </c>
      <c r="I63" s="17">
        <f t="shared" si="8"/>
        <v>9.0499999999999989</v>
      </c>
      <c r="J63" s="17">
        <f t="shared" si="8"/>
        <v>11.32</v>
      </c>
      <c r="K63" s="17">
        <f t="shared" si="8"/>
        <v>10</v>
      </c>
      <c r="L63" s="17">
        <f t="shared" si="8"/>
        <v>1.3</v>
      </c>
      <c r="M63" s="17">
        <f>SUM(M58:M62)</f>
        <v>7.84</v>
      </c>
      <c r="N63" s="17">
        <f t="shared" si="8"/>
        <v>10.45</v>
      </c>
      <c r="O63" s="17">
        <f>SUM(O58:O62)</f>
        <v>1.5</v>
      </c>
      <c r="P63" s="17">
        <f>SUM(P58:P62)</f>
        <v>4.04</v>
      </c>
      <c r="Q63" s="17">
        <f t="shared" si="8"/>
        <v>10.98</v>
      </c>
      <c r="R63" s="17">
        <f t="shared" si="8"/>
        <v>17.850000000000001</v>
      </c>
      <c r="S63" s="17">
        <f t="shared" si="8"/>
        <v>11.6</v>
      </c>
      <c r="T63" s="17">
        <f>SUM(T58:T62)</f>
        <v>11.129999999999999</v>
      </c>
      <c r="U63" s="17">
        <f>SUM(U58:U62)</f>
        <v>6.51</v>
      </c>
      <c r="V63" s="17">
        <f t="shared" si="8"/>
        <v>14.58</v>
      </c>
      <c r="W63" s="17">
        <f t="shared" si="8"/>
        <v>23.4</v>
      </c>
      <c r="X63" s="17">
        <f t="shared" si="8"/>
        <v>19.7</v>
      </c>
      <c r="Y63" s="17">
        <f t="shared" si="8"/>
        <v>20.05</v>
      </c>
      <c r="Z63" s="17">
        <f t="shared" si="8"/>
        <v>9.25</v>
      </c>
      <c r="AA63" s="17">
        <f t="shared" si="8"/>
        <v>11.22</v>
      </c>
      <c r="AB63" s="17">
        <f t="shared" si="8"/>
        <v>2.7</v>
      </c>
      <c r="AC63" s="17">
        <f t="shared" si="8"/>
        <v>7.33</v>
      </c>
      <c r="AD63" s="17">
        <f t="shared" si="8"/>
        <v>13.299999999999999</v>
      </c>
      <c r="AE63" s="17">
        <f t="shared" ref="AE63:AF63" si="9">SUM(AE58:AE62)</f>
        <v>14.55</v>
      </c>
      <c r="AF63" s="17">
        <f t="shared" si="9"/>
        <v>17.11</v>
      </c>
      <c r="AG63" s="17">
        <f>SUM(C63:AF63)</f>
        <v>298.3</v>
      </c>
    </row>
    <row r="66" spans="2:3" ht="16.5" thickBot="1"/>
    <row r="67" spans="2:3" ht="16.5" thickBot="1">
      <c r="B67" s="60" t="s">
        <v>83</v>
      </c>
      <c r="C67" s="32"/>
    </row>
    <row r="68" spans="2:3" ht="16.5" thickBot="1">
      <c r="B68" s="60" t="s">
        <v>84</v>
      </c>
      <c r="C68" s="33"/>
    </row>
    <row r="69" spans="2:3" ht="16.5" thickBot="1">
      <c r="B69" s="60" t="s">
        <v>85</v>
      </c>
      <c r="C69" s="26"/>
    </row>
  </sheetData>
  <mergeCells count="9">
    <mergeCell ref="B1:AG1"/>
    <mergeCell ref="AE3:AF3"/>
    <mergeCell ref="B54:AG54"/>
    <mergeCell ref="B57:AG57"/>
    <mergeCell ref="B2:AG2"/>
    <mergeCell ref="B3:AD3"/>
    <mergeCell ref="C5:AG5"/>
    <mergeCell ref="B26:AG26"/>
    <mergeCell ref="B49:AG49"/>
  </mergeCells>
  <pageMargins left="0" right="0" top="0.75" bottom="0.75" header="0.3" footer="0.3"/>
  <pageSetup scale="4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2"/>
  <sheetViews>
    <sheetView tabSelected="1" workbookViewId="0">
      <selection activeCell="L5" sqref="L5"/>
    </sheetView>
  </sheetViews>
  <sheetFormatPr defaultColWidth="8.85546875" defaultRowHeight="15"/>
  <cols>
    <col min="1" max="1" width="3.7109375" style="37" customWidth="1"/>
    <col min="2" max="2" width="16" style="14" customWidth="1"/>
    <col min="3" max="3" width="9.28515625" style="37" bestFit="1" customWidth="1"/>
    <col min="4" max="4" width="11.5703125" style="37" bestFit="1" customWidth="1"/>
    <col min="5" max="5" width="9.28515625" style="37" bestFit="1" customWidth="1"/>
    <col min="6" max="6" width="13.42578125" style="37" bestFit="1" customWidth="1"/>
    <col min="7" max="7" width="16.140625" style="37" bestFit="1" customWidth="1"/>
    <col min="8" max="8" width="11.5703125" style="37" bestFit="1" customWidth="1"/>
    <col min="9" max="16384" width="8.85546875" style="37"/>
  </cols>
  <sheetData>
    <row r="1" spans="2:9" ht="15.75" thickBot="1"/>
    <row r="2" spans="2:9" s="14" customFormat="1" ht="22.15" customHeight="1" thickBot="1">
      <c r="B2" s="123" t="s">
        <v>0</v>
      </c>
      <c r="C2" s="124"/>
      <c r="D2" s="124"/>
      <c r="E2" s="124"/>
      <c r="F2" s="124"/>
      <c r="G2" s="124"/>
      <c r="H2" s="124"/>
      <c r="I2" s="125"/>
    </row>
    <row r="3" spans="2:9" s="14" customFormat="1" ht="25.15" customHeight="1" thickBot="1">
      <c r="B3" s="123" t="s">
        <v>266</v>
      </c>
      <c r="C3" s="124"/>
      <c r="D3" s="124"/>
      <c r="E3" s="124"/>
      <c r="F3" s="125"/>
      <c r="G3" s="38" t="s">
        <v>267</v>
      </c>
      <c r="H3" s="121">
        <v>46142</v>
      </c>
      <c r="I3" s="122"/>
    </row>
    <row r="4" spans="2:9" s="14" customFormat="1" ht="25.15" customHeight="1">
      <c r="B4" s="41"/>
      <c r="C4" s="42" t="s">
        <v>268</v>
      </c>
      <c r="D4" s="42" t="s">
        <v>269</v>
      </c>
      <c r="E4" s="42" t="s">
        <v>270</v>
      </c>
      <c r="F4" s="42" t="s">
        <v>271</v>
      </c>
      <c r="G4" s="42" t="s">
        <v>272</v>
      </c>
      <c r="H4" s="42" t="s">
        <v>20</v>
      </c>
      <c r="I4" s="42" t="s">
        <v>3</v>
      </c>
    </row>
    <row r="5" spans="2:9" ht="15.75" thickBot="1">
      <c r="B5" s="61" t="s">
        <v>273</v>
      </c>
      <c r="C5" s="62">
        <f>Crusher!$AG$22</f>
        <v>6</v>
      </c>
      <c r="D5" s="62">
        <f>Crusher!$AG$35</f>
        <v>14</v>
      </c>
      <c r="E5" s="62">
        <f>Crusher!$AG$44</f>
        <v>96.56</v>
      </c>
      <c r="F5" s="62">
        <f>Crusher!$AG$46</f>
        <v>81.849999999999994</v>
      </c>
      <c r="G5" s="62">
        <f>Crusher!$AG$47</f>
        <v>0</v>
      </c>
      <c r="H5" s="63">
        <f>Crusher!$AG$52</f>
        <v>60</v>
      </c>
      <c r="I5" s="47">
        <f>SUM(C5:H5)</f>
        <v>258.40999999999997</v>
      </c>
    </row>
    <row r="6" spans="2:9">
      <c r="B6" s="39" t="s">
        <v>274</v>
      </c>
      <c r="C6" s="48">
        <f>'Raw Mill'!AG28</f>
        <v>15.55</v>
      </c>
      <c r="D6" s="48">
        <f>'Raw Mill'!AG52</f>
        <v>3.35</v>
      </c>
      <c r="E6" s="48">
        <f>'Raw Mill'!AG67</f>
        <v>94.04000000000002</v>
      </c>
      <c r="F6" s="44">
        <f>'Raw Mill'!AG69</f>
        <v>79.600000000000009</v>
      </c>
      <c r="G6" s="48">
        <f>'Raw Mill'!AG70</f>
        <v>0</v>
      </c>
      <c r="H6" s="48">
        <f>'Raw Mill'!AG75</f>
        <v>34.24</v>
      </c>
      <c r="I6" s="46">
        <f>SUM(C6:H6)</f>
        <v>226.78000000000003</v>
      </c>
    </row>
    <row r="7" spans="2:9">
      <c r="B7" s="40" t="s">
        <v>275</v>
      </c>
      <c r="C7" s="50">
        <f>'Coal Mill'!AG23</f>
        <v>5.07</v>
      </c>
      <c r="D7" s="45">
        <f>'Coal Mill'!AG44</f>
        <v>1.4</v>
      </c>
      <c r="E7" s="50">
        <f>'Coal Mill'!AG54</f>
        <v>12.509999999999998</v>
      </c>
      <c r="F7" s="45">
        <f>'Coal Mill'!AG56</f>
        <v>24</v>
      </c>
      <c r="G7" s="50">
        <f>'Coal Mill'!AG57</f>
        <v>0</v>
      </c>
      <c r="H7" s="50">
        <f>'Coal Mill'!AG63</f>
        <v>230.64999999999998</v>
      </c>
      <c r="I7" s="47">
        <f t="shared" ref="I7:I11" si="0">SUM(C7:H7)</f>
        <v>273.63</v>
      </c>
    </row>
    <row r="8" spans="2:9">
      <c r="B8" s="40" t="s">
        <v>276</v>
      </c>
      <c r="C8" s="50">
        <f>Kiln!AG32</f>
        <v>40.15</v>
      </c>
      <c r="D8" s="50">
        <f>Kiln!AG61</f>
        <v>0.5</v>
      </c>
      <c r="E8" s="50">
        <f>Kiln!AG77</f>
        <v>0</v>
      </c>
      <c r="F8" s="45">
        <f>Kiln!AG79</f>
        <v>60.38</v>
      </c>
      <c r="G8" s="50">
        <f>Kiln!AG80</f>
        <v>0</v>
      </c>
      <c r="H8" s="45">
        <f>Kiln!AG87</f>
        <v>0.7</v>
      </c>
      <c r="I8" s="47">
        <f t="shared" si="0"/>
        <v>101.73</v>
      </c>
    </row>
    <row r="9" spans="2:9">
      <c r="B9" s="40" t="s">
        <v>277</v>
      </c>
      <c r="C9" s="50">
        <f>'Cement Mill -1'!AG34</f>
        <v>3.75</v>
      </c>
      <c r="D9" s="50">
        <f>'Cement Mill -1'!AG60</f>
        <v>0</v>
      </c>
      <c r="E9" s="50">
        <f>'Cement Mill -1'!AG75</f>
        <v>3.82</v>
      </c>
      <c r="F9" s="50">
        <f>'Cement Mill -1'!AG77</f>
        <v>153.53</v>
      </c>
      <c r="G9" s="50">
        <f>'Cement Mill -1'!AG78</f>
        <v>1.69</v>
      </c>
      <c r="H9" s="45">
        <f>'Cement Mill -1'!AG83</f>
        <v>301.23</v>
      </c>
      <c r="I9" s="47">
        <f>SUM(C9:H9)</f>
        <v>464.02</v>
      </c>
    </row>
    <row r="10" spans="2:9">
      <c r="B10" s="40" t="s">
        <v>278</v>
      </c>
      <c r="C10" s="50">
        <f>'Cement Mill -2'!AG36</f>
        <v>15.1</v>
      </c>
      <c r="D10" s="50">
        <f>'Cement Mill -2'!AG62</f>
        <v>4.97</v>
      </c>
      <c r="E10" s="50">
        <f>'Cement Mill -2'!AG78</f>
        <v>3.66</v>
      </c>
      <c r="F10" s="50">
        <f>'Cement Mill -2'!AG80</f>
        <v>13.33</v>
      </c>
      <c r="G10" s="50">
        <f>'Cement Mill -2'!AG81</f>
        <v>15.79</v>
      </c>
      <c r="H10" s="45">
        <f>'Cement Mill -2'!AG86</f>
        <v>130.19999999999999</v>
      </c>
      <c r="I10" s="47">
        <f t="shared" si="0"/>
        <v>183.04999999999998</v>
      </c>
    </row>
    <row r="11" spans="2:9">
      <c r="B11" s="61" t="s">
        <v>279</v>
      </c>
      <c r="C11" s="62">
        <f>'Packing plant'!AG25</f>
        <v>164.42999999999998</v>
      </c>
      <c r="D11" s="62">
        <f>'Packing plant'!AG48</f>
        <v>31.799999999999997</v>
      </c>
      <c r="E11" s="62">
        <f>'Packing plant'!AG53</f>
        <v>3.21</v>
      </c>
      <c r="F11" s="62">
        <f>'Packing plant'!AG55</f>
        <v>63.16</v>
      </c>
      <c r="G11" s="62">
        <f>'Packing plant'!AG56</f>
        <v>0</v>
      </c>
      <c r="H11" s="63">
        <f>'Packing plant'!AG63</f>
        <v>298.3</v>
      </c>
      <c r="I11" s="47">
        <f t="shared" si="0"/>
        <v>560.9</v>
      </c>
    </row>
    <row r="12" spans="2:9" ht="15.75" thickBot="1">
      <c r="B12" s="43" t="s">
        <v>280</v>
      </c>
      <c r="C12" s="49">
        <f t="shared" ref="C12:I12" si="1">SUM(C6:C11)</f>
        <v>244.04999999999995</v>
      </c>
      <c r="D12" s="49">
        <f t="shared" si="1"/>
        <v>42.019999999999996</v>
      </c>
      <c r="E12" s="49">
        <f t="shared" si="1"/>
        <v>117.24</v>
      </c>
      <c r="F12" s="49">
        <f t="shared" si="1"/>
        <v>394</v>
      </c>
      <c r="G12" s="49">
        <f t="shared" si="1"/>
        <v>17.48</v>
      </c>
      <c r="H12" s="49">
        <f t="shared" si="1"/>
        <v>995.31999999999994</v>
      </c>
      <c r="I12" s="49">
        <f t="shared" si="1"/>
        <v>1810.1099999999997</v>
      </c>
    </row>
  </sheetData>
  <mergeCells count="3">
    <mergeCell ref="H3:I3"/>
    <mergeCell ref="B2:I2"/>
    <mergeCell ref="B3:F3"/>
  </mergeCells>
  <pageMargins left="0.17" right="0.17" top="0.75" bottom="0.75" header="0.3" footer="0.3"/>
  <pageSetup paperSize="1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Crusher</vt:lpstr>
      <vt:lpstr>Raw Mill</vt:lpstr>
      <vt:lpstr>Coal Mill</vt:lpstr>
      <vt:lpstr>Cement Mill -1</vt:lpstr>
      <vt:lpstr>Cement Mill -2</vt:lpstr>
      <vt:lpstr>Kiln</vt:lpstr>
      <vt:lpstr>Packing plant</vt:lpstr>
      <vt:lpstr>Summary 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Patel</dc:creator>
  <cp:lastModifiedBy>LCL PRODUCTION</cp:lastModifiedBy>
  <cp:revision/>
  <cp:lastPrinted>2026-01-21T06:25:54Z</cp:lastPrinted>
  <dcterms:created xsi:type="dcterms:W3CDTF">2021-06-30T10:07:19Z</dcterms:created>
  <dcterms:modified xsi:type="dcterms:W3CDTF">2026-05-01T12:30:25Z</dcterms:modified>
</cp:coreProperties>
</file>