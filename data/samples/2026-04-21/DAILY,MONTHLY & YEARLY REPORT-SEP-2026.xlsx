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MIS REPORT DONT DELETE\2026\SEPTEMBER-2026\"/>
    </mc:Choice>
  </mc:AlternateContent>
  <xr:revisionPtr revIDLastSave="0" documentId="13_ncr:1_{FAB58E84-842F-477D-8A2A-85AE512B0332}" xr6:coauthVersionLast="41" xr6:coauthVersionMax="47" xr10:uidLastSave="{00000000-0000-0000-0000-000000000000}"/>
  <bookViews>
    <workbookView xWindow="-120" yWindow="-120" windowWidth="20730" windowHeight="11160" tabRatio="946" activeTab="20" xr2:uid="{00000000-000D-0000-FFFF-FFFF00000000}"/>
  </bookViews>
  <sheets>
    <sheet name="0" sheetId="114" r:id="rId1"/>
    <sheet name="1" sheetId="33" r:id="rId2"/>
    <sheet name="2" sheetId="34" r:id="rId3"/>
    <sheet name="3" sheetId="79" r:id="rId4"/>
    <sheet name="4" sheetId="80" r:id="rId5"/>
    <sheet name="5" sheetId="81" r:id="rId6"/>
    <sheet name="6" sheetId="82" r:id="rId7"/>
    <sheet name="7" sheetId="83" r:id="rId8"/>
    <sheet name="8" sheetId="84" r:id="rId9"/>
    <sheet name="9" sheetId="85" r:id="rId10"/>
    <sheet name="10" sheetId="86" r:id="rId11"/>
    <sheet name="11" sheetId="87" r:id="rId12"/>
    <sheet name="12" sheetId="88" r:id="rId13"/>
    <sheet name="13" sheetId="89" r:id="rId14"/>
    <sheet name="14" sheetId="90" r:id="rId15"/>
    <sheet name="15" sheetId="91" r:id="rId16"/>
    <sheet name="16" sheetId="92" r:id="rId17"/>
    <sheet name="17" sheetId="93" r:id="rId18"/>
    <sheet name="18" sheetId="94" r:id="rId19"/>
    <sheet name="19" sheetId="95" r:id="rId20"/>
    <sheet name="20" sheetId="96" r:id="rId21"/>
    <sheet name="21" sheetId="97" r:id="rId22"/>
    <sheet name="22" sheetId="98" r:id="rId23"/>
    <sheet name="23" sheetId="99" r:id="rId24"/>
    <sheet name="24" sheetId="101" r:id="rId25"/>
    <sheet name="25" sheetId="100" r:id="rId26"/>
    <sheet name="26" sheetId="102" r:id="rId27"/>
    <sheet name="27" sheetId="103" r:id="rId28"/>
    <sheet name="28" sheetId="104" r:id="rId29"/>
    <sheet name="29" sheetId="115" r:id="rId30"/>
    <sheet name="30" sheetId="116" r:id="rId31"/>
  </sheets>
  <definedNames>
    <definedName name="_xlnm.Print_Area" localSheetId="0">'0'!$A$1:$H$1</definedName>
    <definedName name="_xlnm.Print_Area" localSheetId="1">'1'!$A$1:$H$41</definedName>
    <definedName name="_xlnm.Print_Area" localSheetId="10">'10'!$A$1:$H$41</definedName>
    <definedName name="_xlnm.Print_Area" localSheetId="11">'11'!$A$1:$H$41</definedName>
    <definedName name="_xlnm.Print_Area" localSheetId="12">'12'!$A$1:$H$41</definedName>
    <definedName name="_xlnm.Print_Area" localSheetId="13">'13'!$A$1:$H$41</definedName>
    <definedName name="_xlnm.Print_Area" localSheetId="14">'14'!$A$1:$H$41</definedName>
    <definedName name="_xlnm.Print_Area" localSheetId="15">'15'!$A$1:$H$41</definedName>
    <definedName name="_xlnm.Print_Area" localSheetId="16">'16'!$A$1:$H$41</definedName>
    <definedName name="_xlnm.Print_Area" localSheetId="17">'17'!$A$1:$H$41</definedName>
    <definedName name="_xlnm.Print_Area" localSheetId="18">'18'!$A$1:$H$41</definedName>
    <definedName name="_xlnm.Print_Area" localSheetId="19">'19'!$A$1:$H$41</definedName>
    <definedName name="_xlnm.Print_Area" localSheetId="2">'2'!$A$1:$H$41</definedName>
    <definedName name="_xlnm.Print_Area" localSheetId="20">'20'!$A$1:$H$41</definedName>
    <definedName name="_xlnm.Print_Area" localSheetId="21">'21'!$A$1:$H$41</definedName>
    <definedName name="_xlnm.Print_Area" localSheetId="22">'22'!$A$1:$H$41</definedName>
    <definedName name="_xlnm.Print_Area" localSheetId="23">'23'!$A$1:$H$41</definedName>
    <definedName name="_xlnm.Print_Area" localSheetId="24">'24'!$A$1:$H$41</definedName>
    <definedName name="_xlnm.Print_Area" localSheetId="25">'25'!$A$1:$H$40</definedName>
    <definedName name="_xlnm.Print_Area" localSheetId="26">'26'!$A$1:$H$40</definedName>
    <definedName name="_xlnm.Print_Area" localSheetId="27">'27'!$A$1:$H$40</definedName>
    <definedName name="_xlnm.Print_Area" localSheetId="28">'28'!$A$1:$H$41</definedName>
    <definedName name="_xlnm.Print_Area" localSheetId="29">'29'!$A$1:$H$41</definedName>
    <definedName name="_xlnm.Print_Area" localSheetId="3">'3'!$A$1:$H$41</definedName>
    <definedName name="_xlnm.Print_Area" localSheetId="30">'30'!$A$1:$H$41</definedName>
    <definedName name="_xlnm.Print_Area" localSheetId="4">'4'!$A$1:$H$41</definedName>
    <definedName name="_xlnm.Print_Area" localSheetId="5">'5'!$A$1:$H$41</definedName>
    <definedName name="_xlnm.Print_Area" localSheetId="6">'6'!$A$1:$H$41</definedName>
    <definedName name="_xlnm.Print_Area" localSheetId="7">'7'!$A$1:$H$41</definedName>
    <definedName name="_xlnm.Print_Area" localSheetId="8">'8'!$A$1:$H$41</definedName>
    <definedName name="_xlnm.Print_Area" localSheetId="9">'9'!$A$1:$H$41</definedName>
  </definedNames>
  <calcPr calcId="191029" calcOnSave="0"/>
</workbook>
</file>

<file path=xl/calcChain.xml><?xml version="1.0" encoding="utf-8"?>
<calcChain xmlns="http://schemas.openxmlformats.org/spreadsheetml/2006/main">
  <c r="E23" i="96" l="1"/>
  <c r="E20" i="34" l="1"/>
  <c r="E6" i="33" l="1"/>
  <c r="E9" i="83" l="1"/>
  <c r="E22" i="101" l="1"/>
  <c r="E22" i="97" l="1"/>
  <c r="E23" i="116" l="1"/>
  <c r="E22" i="116"/>
  <c r="E21" i="116"/>
  <c r="E20" i="116"/>
  <c r="E11" i="116"/>
  <c r="E13" i="116" s="1"/>
  <c r="E10" i="116"/>
  <c r="E9" i="116"/>
  <c r="E23" i="115"/>
  <c r="E22" i="115"/>
  <c r="E21" i="115"/>
  <c r="E20" i="115"/>
  <c r="E11" i="115"/>
  <c r="E13" i="115" s="1"/>
  <c r="E10" i="115"/>
  <c r="E9" i="115"/>
  <c r="E23" i="104"/>
  <c r="E22" i="104"/>
  <c r="E21" i="104"/>
  <c r="E20" i="104"/>
  <c r="E11" i="104"/>
  <c r="E13" i="104" s="1"/>
  <c r="E10" i="104"/>
  <c r="E9" i="104"/>
  <c r="E23" i="103"/>
  <c r="E22" i="103"/>
  <c r="E21" i="103"/>
  <c r="E20" i="103"/>
  <c r="E11" i="103"/>
  <c r="E13" i="103" s="1"/>
  <c r="E10" i="103"/>
  <c r="E9" i="103"/>
  <c r="E23" i="102"/>
  <c r="E22" i="102"/>
  <c r="E21" i="102"/>
  <c r="E20" i="102"/>
  <c r="E11" i="102"/>
  <c r="E13" i="102" s="1"/>
  <c r="E10" i="102"/>
  <c r="E9" i="102"/>
  <c r="E23" i="100"/>
  <c r="E22" i="100"/>
  <c r="E21" i="100"/>
  <c r="E20" i="100"/>
  <c r="E11" i="100"/>
  <c r="E13" i="100" s="1"/>
  <c r="E10" i="100"/>
  <c r="E9" i="100"/>
  <c r="E23" i="101"/>
  <c r="E21" i="101"/>
  <c r="E20" i="101"/>
  <c r="E11" i="101"/>
  <c r="E13" i="101" s="1"/>
  <c r="E10" i="101"/>
  <c r="E9" i="101"/>
  <c r="E23" i="99"/>
  <c r="E22" i="99"/>
  <c r="E21" i="99"/>
  <c r="E20" i="99"/>
  <c r="E11" i="99"/>
  <c r="E13" i="99" s="1"/>
  <c r="E10" i="99"/>
  <c r="E9" i="99"/>
  <c r="E23" i="98"/>
  <c r="E22" i="98"/>
  <c r="E21" i="98"/>
  <c r="E20" i="98"/>
  <c r="E11" i="98"/>
  <c r="E13" i="98" s="1"/>
  <c r="E10" i="98"/>
  <c r="E9" i="98"/>
  <c r="E23" i="97"/>
  <c r="E21" i="97"/>
  <c r="E20" i="97"/>
  <c r="E11" i="97"/>
  <c r="E13" i="97" s="1"/>
  <c r="E10" i="97"/>
  <c r="E9" i="97"/>
  <c r="E22" i="96"/>
  <c r="E21" i="96"/>
  <c r="E20" i="96"/>
  <c r="E11" i="96"/>
  <c r="E13" i="96" s="1"/>
  <c r="E10" i="96"/>
  <c r="E9" i="96"/>
  <c r="E23" i="95"/>
  <c r="E22" i="95"/>
  <c r="E21" i="95"/>
  <c r="E20" i="95"/>
  <c r="E11" i="95"/>
  <c r="E13" i="95" s="1"/>
  <c r="E10" i="95"/>
  <c r="E9" i="95"/>
  <c r="E23" i="94"/>
  <c r="E22" i="94"/>
  <c r="E21" i="94"/>
  <c r="E20" i="94"/>
  <c r="E11" i="94"/>
  <c r="E13" i="94" s="1"/>
  <c r="E10" i="94"/>
  <c r="E9" i="94"/>
  <c r="E23" i="93"/>
  <c r="E22" i="93"/>
  <c r="E21" i="93"/>
  <c r="E20" i="93"/>
  <c r="E11" i="93"/>
  <c r="E13" i="93" s="1"/>
  <c r="E10" i="93"/>
  <c r="E9" i="93"/>
  <c r="E23" i="92"/>
  <c r="E22" i="92"/>
  <c r="E21" i="92"/>
  <c r="E20" i="92"/>
  <c r="E11" i="92"/>
  <c r="E13" i="92" s="1"/>
  <c r="E10" i="92"/>
  <c r="E9" i="92"/>
  <c r="E23" i="91"/>
  <c r="E22" i="91"/>
  <c r="E21" i="91"/>
  <c r="E20" i="91"/>
  <c r="E11" i="91"/>
  <c r="E13" i="91" s="1"/>
  <c r="E10" i="91"/>
  <c r="E9" i="91"/>
  <c r="E23" i="90"/>
  <c r="E22" i="90"/>
  <c r="E21" i="90"/>
  <c r="E20" i="90"/>
  <c r="E11" i="90"/>
  <c r="E13" i="90" s="1"/>
  <c r="E10" i="90"/>
  <c r="E9" i="90"/>
  <c r="E23" i="89"/>
  <c r="E22" i="89"/>
  <c r="E21" i="89"/>
  <c r="E20" i="89"/>
  <c r="E11" i="89"/>
  <c r="E13" i="89" s="1"/>
  <c r="E10" i="89"/>
  <c r="E9" i="89"/>
  <c r="E23" i="88"/>
  <c r="E22" i="88"/>
  <c r="E21" i="88"/>
  <c r="E20" i="88"/>
  <c r="E11" i="88"/>
  <c r="E13" i="88" s="1"/>
  <c r="E10" i="88"/>
  <c r="E9" i="88"/>
  <c r="E23" i="87"/>
  <c r="E22" i="87"/>
  <c r="E21" i="87"/>
  <c r="E20" i="87"/>
  <c r="E11" i="87"/>
  <c r="E13" i="87" s="1"/>
  <c r="E10" i="87"/>
  <c r="E9" i="87"/>
  <c r="E23" i="86"/>
  <c r="E22" i="86"/>
  <c r="E21" i="86"/>
  <c r="E20" i="86"/>
  <c r="E11" i="86"/>
  <c r="E13" i="86" s="1"/>
  <c r="E10" i="86"/>
  <c r="E9" i="86"/>
  <c r="E23" i="85"/>
  <c r="E22" i="85"/>
  <c r="E21" i="85"/>
  <c r="E20" i="85"/>
  <c r="E11" i="85"/>
  <c r="E13" i="85" s="1"/>
  <c r="E10" i="85"/>
  <c r="E9" i="85"/>
  <c r="E23" i="84"/>
  <c r="E22" i="84"/>
  <c r="E21" i="84"/>
  <c r="E20" i="84"/>
  <c r="E11" i="84"/>
  <c r="E13" i="84" s="1"/>
  <c r="E10" i="84"/>
  <c r="E9" i="84"/>
  <c r="E23" i="83"/>
  <c r="E22" i="83"/>
  <c r="E21" i="83"/>
  <c r="E20" i="83"/>
  <c r="E11" i="83"/>
  <c r="E13" i="83" s="1"/>
  <c r="E10" i="83"/>
  <c r="E23" i="82"/>
  <c r="E22" i="82"/>
  <c r="E21" i="82"/>
  <c r="E20" i="82"/>
  <c r="E11" i="82"/>
  <c r="E13" i="82" s="1"/>
  <c r="E10" i="82"/>
  <c r="E9" i="82"/>
  <c r="E23" i="81"/>
  <c r="E22" i="81"/>
  <c r="E21" i="81"/>
  <c r="E20" i="81"/>
  <c r="E11" i="81"/>
  <c r="E13" i="81" s="1"/>
  <c r="E10" i="81"/>
  <c r="E9" i="81"/>
  <c r="E23" i="80"/>
  <c r="E22" i="80"/>
  <c r="E21" i="80"/>
  <c r="E20" i="80"/>
  <c r="E11" i="80"/>
  <c r="E13" i="80" s="1"/>
  <c r="E10" i="80"/>
  <c r="E9" i="80"/>
  <c r="E23" i="79"/>
  <c r="E22" i="79"/>
  <c r="E21" i="79"/>
  <c r="E20" i="79"/>
  <c r="E11" i="79"/>
  <c r="E13" i="79" s="1"/>
  <c r="E10" i="79"/>
  <c r="E9" i="79"/>
  <c r="E23" i="34"/>
  <c r="E22" i="34"/>
  <c r="E21" i="34"/>
  <c r="E11" i="34"/>
  <c r="E13" i="34" s="1"/>
  <c r="E10" i="34"/>
  <c r="E9" i="34"/>
  <c r="G37" i="33"/>
  <c r="G37" i="34" s="1"/>
  <c r="G37" i="79" s="1"/>
  <c r="G37" i="80" s="1"/>
  <c r="G37" i="81" s="1"/>
  <c r="G37" i="82" s="1"/>
  <c r="G37" i="83" s="1"/>
  <c r="G37" i="84" s="1"/>
  <c r="G37" i="85" s="1"/>
  <c r="G37" i="86" s="1"/>
  <c r="G37" i="87" s="1"/>
  <c r="G37" i="88" s="1"/>
  <c r="G37" i="89" s="1"/>
  <c r="G37" i="90" s="1"/>
  <c r="G37" i="91" s="1"/>
  <c r="G37" i="92" s="1"/>
  <c r="G37" i="93" s="1"/>
  <c r="G37" i="94" s="1"/>
  <c r="G37" i="95" s="1"/>
  <c r="G37" i="96" s="1"/>
  <c r="G37" i="97" s="1"/>
  <c r="G37" i="98" s="1"/>
  <c r="G37" i="99" s="1"/>
  <c r="G37" i="101" s="1"/>
  <c r="G37" i="100" s="1"/>
  <c r="F37" i="33"/>
  <c r="F37" i="34" s="1"/>
  <c r="F37" i="79" s="1"/>
  <c r="F37" i="80" s="1"/>
  <c r="F37" i="81" s="1"/>
  <c r="F37" i="82" s="1"/>
  <c r="F37" i="83" s="1"/>
  <c r="F37" i="84" s="1"/>
  <c r="F37" i="85" s="1"/>
  <c r="F37" i="86" s="1"/>
  <c r="F37" i="87" s="1"/>
  <c r="F37" i="88" s="1"/>
  <c r="F37" i="89" s="1"/>
  <c r="F37" i="90" s="1"/>
  <c r="F37" i="91" s="1"/>
  <c r="F37" i="92" s="1"/>
  <c r="F37" i="93" s="1"/>
  <c r="F37" i="94" s="1"/>
  <c r="F37" i="95" s="1"/>
  <c r="F37" i="96" s="1"/>
  <c r="F37" i="97" s="1"/>
  <c r="F37" i="98" s="1"/>
  <c r="F37" i="99" s="1"/>
  <c r="F37" i="101" s="1"/>
  <c r="F37" i="100" s="1"/>
  <c r="G36" i="33"/>
  <c r="G36" i="34" s="1"/>
  <c r="G36" i="79" s="1"/>
  <c r="G36" i="80" s="1"/>
  <c r="G36" i="81" s="1"/>
  <c r="G36" i="82" s="1"/>
  <c r="G36" i="83" s="1"/>
  <c r="G36" i="84" s="1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97" s="1"/>
  <c r="G36" i="98" s="1"/>
  <c r="G36" i="99" s="1"/>
  <c r="G36" i="101" s="1"/>
  <c r="G36" i="100" s="1"/>
  <c r="F36" i="33"/>
  <c r="F36" i="34" s="1"/>
  <c r="F36" i="79" s="1"/>
  <c r="F36" i="80" s="1"/>
  <c r="F36" i="81" s="1"/>
  <c r="F36" i="82" s="1"/>
  <c r="F36" i="83" s="1"/>
  <c r="F36" i="84" s="1"/>
  <c r="F36" i="85" s="1"/>
  <c r="F36" i="86" s="1"/>
  <c r="F36" i="87" s="1"/>
  <c r="F36" i="88" s="1"/>
  <c r="F36" i="89" s="1"/>
  <c r="F36" i="90" s="1"/>
  <c r="F36" i="91" s="1"/>
  <c r="F36" i="92" s="1"/>
  <c r="F36" i="93" s="1"/>
  <c r="F36" i="94" s="1"/>
  <c r="F36" i="95" s="1"/>
  <c r="F36" i="96" s="1"/>
  <c r="F36" i="97" s="1"/>
  <c r="F36" i="98" s="1"/>
  <c r="F36" i="99" s="1"/>
  <c r="F36" i="101" s="1"/>
  <c r="F36" i="100" s="1"/>
  <c r="G35" i="33"/>
  <c r="G35" i="34" s="1"/>
  <c r="G35" i="79" s="1"/>
  <c r="G35" i="80" s="1"/>
  <c r="G35" i="81" s="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97" s="1"/>
  <c r="G35" i="98" s="1"/>
  <c r="G35" i="99" s="1"/>
  <c r="G35" i="101" s="1"/>
  <c r="G35" i="100" s="1"/>
  <c r="F35" i="33"/>
  <c r="F35" i="34" s="1"/>
  <c r="F35" i="79" s="1"/>
  <c r="F35" i="80" s="1"/>
  <c r="F35" i="81" s="1"/>
  <c r="F35" i="82" s="1"/>
  <c r="F35" i="83" s="1"/>
  <c r="F35" i="84" s="1"/>
  <c r="F35" i="85" s="1"/>
  <c r="F35" i="86" s="1"/>
  <c r="F35" i="87" s="1"/>
  <c r="F35" i="88" s="1"/>
  <c r="F35" i="89" s="1"/>
  <c r="F35" i="90" s="1"/>
  <c r="F35" i="91" s="1"/>
  <c r="F35" i="92" s="1"/>
  <c r="F35" i="93" s="1"/>
  <c r="F35" i="94" s="1"/>
  <c r="F35" i="95" s="1"/>
  <c r="F35" i="96" s="1"/>
  <c r="F35" i="97" s="1"/>
  <c r="F35" i="98" s="1"/>
  <c r="F35" i="99" s="1"/>
  <c r="F35" i="101" s="1"/>
  <c r="F35" i="100" s="1"/>
  <c r="G32" i="33"/>
  <c r="G32" i="34" s="1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97" s="1"/>
  <c r="G32" i="98" s="1"/>
  <c r="G32" i="99" s="1"/>
  <c r="G32" i="101" s="1"/>
  <c r="G32" i="100" s="1"/>
  <c r="F32" i="33"/>
  <c r="F32" i="34" s="1"/>
  <c r="F32" i="79" s="1"/>
  <c r="F32" i="80" s="1"/>
  <c r="F32" i="81" s="1"/>
  <c r="F32" i="82" s="1"/>
  <c r="F32" i="83" s="1"/>
  <c r="F32" i="84" s="1"/>
  <c r="F32" i="85" s="1"/>
  <c r="F32" i="86" s="1"/>
  <c r="F32" i="87" s="1"/>
  <c r="F32" i="88" s="1"/>
  <c r="F32" i="89" s="1"/>
  <c r="F32" i="90" s="1"/>
  <c r="F32" i="91" s="1"/>
  <c r="F32" i="92" s="1"/>
  <c r="F32" i="93" s="1"/>
  <c r="F32" i="94" s="1"/>
  <c r="F32" i="95" s="1"/>
  <c r="G31" i="33"/>
  <c r="G31" i="34" s="1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G31" i="97" s="1"/>
  <c r="G31" i="98" s="1"/>
  <c r="G31" i="99" s="1"/>
  <c r="G31" i="101" s="1"/>
  <c r="G31" i="100" s="1"/>
  <c r="F31" i="33"/>
  <c r="F31" i="34" s="1"/>
  <c r="F31" i="79" s="1"/>
  <c r="F31" i="80" s="1"/>
  <c r="F31" i="81" s="1"/>
  <c r="F31" i="82" s="1"/>
  <c r="F31" i="83" s="1"/>
  <c r="F31" i="84" s="1"/>
  <c r="F31" i="85" s="1"/>
  <c r="F31" i="86" s="1"/>
  <c r="F31" i="87" s="1"/>
  <c r="F31" i="88" s="1"/>
  <c r="F31" i="89" s="1"/>
  <c r="F31" i="90" s="1"/>
  <c r="F31" i="91" s="1"/>
  <c r="F31" i="92" s="1"/>
  <c r="F31" i="93" s="1"/>
  <c r="F31" i="94" s="1"/>
  <c r="F31" i="95" s="1"/>
  <c r="F31" i="96" s="1"/>
  <c r="F31" i="97" s="1"/>
  <c r="F31" i="98" s="1"/>
  <c r="F31" i="99" s="1"/>
  <c r="F31" i="101" s="1"/>
  <c r="F31" i="100" s="1"/>
  <c r="G30" i="33"/>
  <c r="G30" i="34" s="1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30" i="97" s="1"/>
  <c r="G30" i="98" s="1"/>
  <c r="G30" i="99" s="1"/>
  <c r="G30" i="101" s="1"/>
  <c r="G30" i="100" s="1"/>
  <c r="F30" i="33"/>
  <c r="F30" i="34" s="1"/>
  <c r="F30" i="79" s="1"/>
  <c r="F30" i="80" s="1"/>
  <c r="F30" i="81" s="1"/>
  <c r="F30" i="82" s="1"/>
  <c r="F30" i="83" s="1"/>
  <c r="F30" i="84" s="1"/>
  <c r="F30" i="85" s="1"/>
  <c r="F30" i="86" s="1"/>
  <c r="F30" i="87" s="1"/>
  <c r="F30" i="88" s="1"/>
  <c r="F30" i="89" s="1"/>
  <c r="F30" i="90" s="1"/>
  <c r="F30" i="91" s="1"/>
  <c r="F30" i="92" s="1"/>
  <c r="F30" i="93" s="1"/>
  <c r="F30" i="94" s="1"/>
  <c r="F30" i="95" s="1"/>
  <c r="F30" i="96" s="1"/>
  <c r="F30" i="97" s="1"/>
  <c r="F30" i="98" s="1"/>
  <c r="F30" i="99" s="1"/>
  <c r="F30" i="101" s="1"/>
  <c r="F30" i="100" s="1"/>
  <c r="G26" i="33"/>
  <c r="G26" i="34" s="1"/>
  <c r="F26" i="33"/>
  <c r="F26" i="34" s="1"/>
  <c r="F26" i="79" s="1"/>
  <c r="G24" i="33"/>
  <c r="G24" i="34" s="1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97" s="1"/>
  <c r="G24" i="98" s="1"/>
  <c r="G24" i="99" s="1"/>
  <c r="G24" i="101" s="1"/>
  <c r="G24" i="100" s="1"/>
  <c r="G24" i="102" s="1"/>
  <c r="G24" i="103" s="1"/>
  <c r="G24" i="104" s="1"/>
  <c r="G24" i="115" s="1"/>
  <c r="G24" i="116" s="1"/>
  <c r="F24" i="33"/>
  <c r="F24" i="34" s="1"/>
  <c r="F24" i="79" s="1"/>
  <c r="F24" i="80" s="1"/>
  <c r="F24" i="81" s="1"/>
  <c r="F24" i="82" s="1"/>
  <c r="F24" i="83" s="1"/>
  <c r="F24" i="84" s="1"/>
  <c r="F24" i="85" s="1"/>
  <c r="F24" i="86" s="1"/>
  <c r="F24" i="87" s="1"/>
  <c r="F24" i="88" s="1"/>
  <c r="F24" i="89" s="1"/>
  <c r="F24" i="90" s="1"/>
  <c r="F24" i="91" s="1"/>
  <c r="F24" i="92" s="1"/>
  <c r="F24" i="93" s="1"/>
  <c r="F24" i="94" s="1"/>
  <c r="F24" i="95" s="1"/>
  <c r="F24" i="96" s="1"/>
  <c r="F24" i="97" s="1"/>
  <c r="F24" i="98" s="1"/>
  <c r="F24" i="99" s="1"/>
  <c r="F24" i="101" s="1"/>
  <c r="F24" i="100" s="1"/>
  <c r="F24" i="102" s="1"/>
  <c r="F24" i="103" s="1"/>
  <c r="F24" i="104" s="1"/>
  <c r="F24" i="115" s="1"/>
  <c r="F24" i="116" s="1"/>
  <c r="E23" i="33"/>
  <c r="E22" i="33"/>
  <c r="E21" i="33"/>
  <c r="E20" i="33"/>
  <c r="G19" i="33"/>
  <c r="G19" i="34" s="1"/>
  <c r="G19" i="79" s="1"/>
  <c r="G19" i="80" s="1"/>
  <c r="G19" i="81" s="1"/>
  <c r="G19" i="82" s="1"/>
  <c r="G19" i="83" s="1"/>
  <c r="G19" i="84" s="1"/>
  <c r="G19" i="85" s="1"/>
  <c r="G19" i="86" s="1"/>
  <c r="G19" i="87" s="1"/>
  <c r="G19" i="88" s="1"/>
  <c r="G19" i="89" s="1"/>
  <c r="G19" i="90" s="1"/>
  <c r="G19" i="91" s="1"/>
  <c r="G19" i="92" s="1"/>
  <c r="G19" i="93" s="1"/>
  <c r="G19" i="94" s="1"/>
  <c r="G19" i="95" s="1"/>
  <c r="G19" i="96" s="1"/>
  <c r="G19" i="97" s="1"/>
  <c r="G19" i="98" s="1"/>
  <c r="G19" i="99" s="1"/>
  <c r="G19" i="101" s="1"/>
  <c r="G19" i="100" s="1"/>
  <c r="G19" i="102" s="1"/>
  <c r="G19" i="103" s="1"/>
  <c r="G19" i="104" s="1"/>
  <c r="G19" i="115" s="1"/>
  <c r="G19" i="116" s="1"/>
  <c r="F19" i="33"/>
  <c r="F19" i="34" s="1"/>
  <c r="F19" i="79" s="1"/>
  <c r="F19" i="80" s="1"/>
  <c r="F19" i="81" s="1"/>
  <c r="F19" i="82" s="1"/>
  <c r="F19" i="83" s="1"/>
  <c r="F19" i="84" s="1"/>
  <c r="F19" i="85" s="1"/>
  <c r="F19" i="86" s="1"/>
  <c r="F19" i="87" s="1"/>
  <c r="F19" i="88" s="1"/>
  <c r="F19" i="89" s="1"/>
  <c r="F19" i="90" s="1"/>
  <c r="F19" i="91" s="1"/>
  <c r="F19" i="92" s="1"/>
  <c r="F19" i="93" s="1"/>
  <c r="F19" i="94" s="1"/>
  <c r="F19" i="95" s="1"/>
  <c r="F19" i="96" s="1"/>
  <c r="F19" i="97" s="1"/>
  <c r="F19" i="98" s="1"/>
  <c r="F19" i="99" s="1"/>
  <c r="F19" i="101" s="1"/>
  <c r="F19" i="100" s="1"/>
  <c r="F19" i="102" s="1"/>
  <c r="F19" i="103" s="1"/>
  <c r="F19" i="104" s="1"/>
  <c r="F19" i="115" s="1"/>
  <c r="F19" i="116" s="1"/>
  <c r="G18" i="33"/>
  <c r="G18" i="34" s="1"/>
  <c r="G18" i="79" s="1"/>
  <c r="G18" i="80" s="1"/>
  <c r="G18" i="81" s="1"/>
  <c r="G18" i="82" s="1"/>
  <c r="G18" i="83" s="1"/>
  <c r="G18" i="84" s="1"/>
  <c r="G18" i="85" s="1"/>
  <c r="G18" i="86" s="1"/>
  <c r="G18" i="87" s="1"/>
  <c r="G18" i="88" s="1"/>
  <c r="G18" i="89" s="1"/>
  <c r="G18" i="90" s="1"/>
  <c r="G18" i="91" s="1"/>
  <c r="G18" i="92" s="1"/>
  <c r="G18" i="93" s="1"/>
  <c r="G18" i="94" s="1"/>
  <c r="G18" i="95" s="1"/>
  <c r="G18" i="96" s="1"/>
  <c r="G18" i="97" s="1"/>
  <c r="G18" i="98" s="1"/>
  <c r="G18" i="99" s="1"/>
  <c r="G18" i="101" s="1"/>
  <c r="G18" i="100" s="1"/>
  <c r="G18" i="102" s="1"/>
  <c r="G18" i="103" s="1"/>
  <c r="G18" i="104" s="1"/>
  <c r="G18" i="115" s="1"/>
  <c r="G18" i="116" s="1"/>
  <c r="F18" i="33"/>
  <c r="F18" i="34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93" s="1"/>
  <c r="F18" i="94" s="1"/>
  <c r="F18" i="95" s="1"/>
  <c r="F18" i="96" s="1"/>
  <c r="F18" i="97" s="1"/>
  <c r="F18" i="98" s="1"/>
  <c r="F18" i="99" s="1"/>
  <c r="F18" i="101" s="1"/>
  <c r="F18" i="100" s="1"/>
  <c r="F18" i="102" s="1"/>
  <c r="F18" i="103" s="1"/>
  <c r="F18" i="104" s="1"/>
  <c r="F18" i="115" s="1"/>
  <c r="F18" i="116" s="1"/>
  <c r="G17" i="33"/>
  <c r="F17" i="33"/>
  <c r="G16" i="33"/>
  <c r="G16" i="34" s="1"/>
  <c r="G16" i="79" s="1"/>
  <c r="G16" i="80" s="1"/>
  <c r="G16" i="81" s="1"/>
  <c r="G16" i="82" s="1"/>
  <c r="G16" i="83" s="1"/>
  <c r="G16" i="84" s="1"/>
  <c r="G16" i="85" s="1"/>
  <c r="G16" i="86" s="1"/>
  <c r="G16" i="87" s="1"/>
  <c r="G16" i="88" s="1"/>
  <c r="G16" i="89" s="1"/>
  <c r="G16" i="90" s="1"/>
  <c r="G16" i="91" s="1"/>
  <c r="G16" i="92" s="1"/>
  <c r="G16" i="93" s="1"/>
  <c r="G16" i="94" s="1"/>
  <c r="G16" i="95" s="1"/>
  <c r="G16" i="96" s="1"/>
  <c r="G16" i="97" s="1"/>
  <c r="G16" i="98" s="1"/>
  <c r="G16" i="99" s="1"/>
  <c r="G16" i="101" s="1"/>
  <c r="G16" i="100" s="1"/>
  <c r="G16" i="102" s="1"/>
  <c r="G16" i="103" s="1"/>
  <c r="G16" i="104" s="1"/>
  <c r="G16" i="115" s="1"/>
  <c r="G16" i="116" s="1"/>
  <c r="F16" i="33"/>
  <c r="F16" i="34" s="1"/>
  <c r="F16" i="79" s="1"/>
  <c r="F16" i="80" s="1"/>
  <c r="F16" i="81" s="1"/>
  <c r="F16" i="82" s="1"/>
  <c r="F16" i="83" s="1"/>
  <c r="F16" i="84" s="1"/>
  <c r="F16" i="85" s="1"/>
  <c r="F16" i="86" s="1"/>
  <c r="F16" i="87" s="1"/>
  <c r="F16" i="88" s="1"/>
  <c r="F16" i="89" s="1"/>
  <c r="F16" i="90" s="1"/>
  <c r="F16" i="91" s="1"/>
  <c r="F16" i="92" s="1"/>
  <c r="F16" i="93" s="1"/>
  <c r="F16" i="94" s="1"/>
  <c r="F16" i="95" s="1"/>
  <c r="F16" i="96" s="1"/>
  <c r="F16" i="97" s="1"/>
  <c r="F16" i="98" s="1"/>
  <c r="F16" i="99" s="1"/>
  <c r="F16" i="101" s="1"/>
  <c r="F16" i="100" s="1"/>
  <c r="F16" i="102" s="1"/>
  <c r="F16" i="103" s="1"/>
  <c r="F16" i="104" s="1"/>
  <c r="F16" i="115" s="1"/>
  <c r="F16" i="116" s="1"/>
  <c r="G15" i="33"/>
  <c r="G15" i="34" s="1"/>
  <c r="F15" i="33"/>
  <c r="F15" i="34" s="1"/>
  <c r="G14" i="33"/>
  <c r="G14" i="34" s="1"/>
  <c r="G14" i="79" s="1"/>
  <c r="G14" i="80" s="1"/>
  <c r="G14" i="81" s="1"/>
  <c r="G14" i="82" s="1"/>
  <c r="G14" i="83" s="1"/>
  <c r="G14" i="84" s="1"/>
  <c r="G14" i="85" s="1"/>
  <c r="G14" i="86" s="1"/>
  <c r="G14" i="87" s="1"/>
  <c r="G14" i="88" s="1"/>
  <c r="G14" i="89" s="1"/>
  <c r="G14" i="90" s="1"/>
  <c r="G14" i="91" s="1"/>
  <c r="G14" i="92" s="1"/>
  <c r="G14" i="93" s="1"/>
  <c r="G14" i="94" s="1"/>
  <c r="G14" i="95" s="1"/>
  <c r="G14" i="96" s="1"/>
  <c r="G14" i="97" s="1"/>
  <c r="G14" i="98" s="1"/>
  <c r="G14" i="99" s="1"/>
  <c r="G14" i="101" s="1"/>
  <c r="G14" i="100" s="1"/>
  <c r="G14" i="102" s="1"/>
  <c r="G14" i="103" s="1"/>
  <c r="G14" i="104" s="1"/>
  <c r="G14" i="115" s="1"/>
  <c r="G14" i="116" s="1"/>
  <c r="F14" i="33"/>
  <c r="F14" i="34" s="1"/>
  <c r="F14" i="79" s="1"/>
  <c r="F14" i="80" s="1"/>
  <c r="F14" i="81" s="1"/>
  <c r="F14" i="82" s="1"/>
  <c r="F14" i="83" s="1"/>
  <c r="F14" i="84" s="1"/>
  <c r="F14" i="85" s="1"/>
  <c r="F14" i="86" s="1"/>
  <c r="F14" i="87" s="1"/>
  <c r="F14" i="88" s="1"/>
  <c r="F14" i="89" s="1"/>
  <c r="F14" i="90" s="1"/>
  <c r="F14" i="91" s="1"/>
  <c r="F14" i="92" s="1"/>
  <c r="F14" i="93" s="1"/>
  <c r="F14" i="94" s="1"/>
  <c r="F14" i="95" s="1"/>
  <c r="F14" i="96" s="1"/>
  <c r="F14" i="97" s="1"/>
  <c r="F14" i="98" s="1"/>
  <c r="F14" i="99" s="1"/>
  <c r="F14" i="101" s="1"/>
  <c r="F14" i="100" s="1"/>
  <c r="F14" i="102" s="1"/>
  <c r="F14" i="103" s="1"/>
  <c r="F14" i="104" s="1"/>
  <c r="F14" i="115" s="1"/>
  <c r="F14" i="116" s="1"/>
  <c r="G12" i="33"/>
  <c r="G12" i="34" s="1"/>
  <c r="G12" i="79" s="1"/>
  <c r="G12" i="80" s="1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97" s="1"/>
  <c r="G12" i="98" s="1"/>
  <c r="G12" i="99" s="1"/>
  <c r="G12" i="101" s="1"/>
  <c r="G12" i="100" s="1"/>
  <c r="G12" i="102" s="1"/>
  <c r="G12" i="103" s="1"/>
  <c r="G12" i="104" s="1"/>
  <c r="G12" i="115" s="1"/>
  <c r="G12" i="116" s="1"/>
  <c r="F12" i="33"/>
  <c r="F12" i="34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1" s="1"/>
  <c r="F12" i="100" s="1"/>
  <c r="F12" i="102" s="1"/>
  <c r="F12" i="103" s="1"/>
  <c r="F12" i="104" s="1"/>
  <c r="F12" i="115" s="1"/>
  <c r="F12" i="116" s="1"/>
  <c r="E11" i="33"/>
  <c r="E13" i="33" s="1"/>
  <c r="E10" i="33"/>
  <c r="E9" i="33"/>
  <c r="F9" i="33" s="1"/>
  <c r="G8" i="33"/>
  <c r="G8" i="34" s="1"/>
  <c r="F8" i="33"/>
  <c r="F8" i="34" s="1"/>
  <c r="F8" i="79" s="1"/>
  <c r="G7" i="33"/>
  <c r="G7" i="34" s="1"/>
  <c r="G7" i="79" s="1"/>
  <c r="F7" i="33"/>
  <c r="F7" i="34" s="1"/>
  <c r="E6" i="34"/>
  <c r="E6" i="79" s="1"/>
  <c r="E6" i="80" s="1"/>
  <c r="E6" i="81" s="1"/>
  <c r="E6" i="82" s="1"/>
  <c r="E6" i="83" s="1"/>
  <c r="E6" i="84" s="1"/>
  <c r="E6" i="85" s="1"/>
  <c r="E6" i="86" s="1"/>
  <c r="E6" i="87" s="1"/>
  <c r="E6" i="88" s="1"/>
  <c r="E6" i="89" s="1"/>
  <c r="E6" i="90" s="1"/>
  <c r="E6" i="91" s="1"/>
  <c r="E6" i="92" s="1"/>
  <c r="E6" i="93" s="1"/>
  <c r="E6" i="94" s="1"/>
  <c r="E6" i="95" s="1"/>
  <c r="E6" i="96" s="1"/>
  <c r="E6" i="97" s="1"/>
  <c r="E6" i="98" s="1"/>
  <c r="E6" i="99" s="1"/>
  <c r="E6" i="101" s="1"/>
  <c r="E6" i="100" s="1"/>
  <c r="E6" i="102" s="1"/>
  <c r="E6" i="103" s="1"/>
  <c r="E6" i="104" s="1"/>
  <c r="E6" i="115" s="1"/>
  <c r="E6" i="116" s="1"/>
  <c r="F32" i="96" l="1"/>
  <c r="F32" i="97" s="1"/>
  <c r="F32" i="98" s="1"/>
  <c r="F32" i="99" s="1"/>
  <c r="F32" i="101" s="1"/>
  <c r="F32" i="100" s="1"/>
  <c r="F32" i="102" s="1"/>
  <c r="F32" i="103" s="1"/>
  <c r="F32" i="104" s="1"/>
  <c r="F32" i="115" s="1"/>
  <c r="F32" i="116" s="1"/>
  <c r="G37" i="102"/>
  <c r="G37" i="103" s="1"/>
  <c r="G37" i="104" s="1"/>
  <c r="G37" i="115" s="1"/>
  <c r="G37" i="116" s="1"/>
  <c r="F37" i="102"/>
  <c r="F37" i="103" s="1"/>
  <c r="F37" i="104" s="1"/>
  <c r="F37" i="115" s="1"/>
  <c r="F37" i="116" s="1"/>
  <c r="G36" i="102"/>
  <c r="G36" i="103" s="1"/>
  <c r="G36" i="104" s="1"/>
  <c r="G36" i="115" s="1"/>
  <c r="G36" i="116" s="1"/>
  <c r="F36" i="102"/>
  <c r="F36" i="103" s="1"/>
  <c r="F36" i="104" s="1"/>
  <c r="F36" i="115" s="1"/>
  <c r="F36" i="116" s="1"/>
  <c r="G35" i="102"/>
  <c r="G35" i="103" s="1"/>
  <c r="G35" i="104" s="1"/>
  <c r="G35" i="115" s="1"/>
  <c r="G35" i="116" s="1"/>
  <c r="F35" i="102"/>
  <c r="F35" i="103" s="1"/>
  <c r="F35" i="104" s="1"/>
  <c r="F35" i="115" s="1"/>
  <c r="F35" i="116" s="1"/>
  <c r="G32" i="102"/>
  <c r="G32" i="103" s="1"/>
  <c r="G32" i="104" s="1"/>
  <c r="G32" i="115" s="1"/>
  <c r="G32" i="116" s="1"/>
  <c r="G31" i="102"/>
  <c r="G31" i="103" s="1"/>
  <c r="G31" i="104" s="1"/>
  <c r="G31" i="115" s="1"/>
  <c r="G31" i="116" s="1"/>
  <c r="F31" i="102"/>
  <c r="F31" i="103" s="1"/>
  <c r="F31" i="104" s="1"/>
  <c r="F31" i="115" s="1"/>
  <c r="F31" i="116" s="1"/>
  <c r="F30" i="102"/>
  <c r="F30" i="103" s="1"/>
  <c r="F30" i="104" s="1"/>
  <c r="F30" i="115" s="1"/>
  <c r="F30" i="116" s="1"/>
  <c r="G30" i="102"/>
  <c r="G30" i="103" s="1"/>
  <c r="G30" i="104" s="1"/>
  <c r="G30" i="115" s="1"/>
  <c r="G30" i="116" s="1"/>
  <c r="F20" i="33"/>
  <c r="F11" i="33"/>
  <c r="F13" i="33" s="1"/>
  <c r="G9" i="33"/>
  <c r="G9" i="34" s="1"/>
  <c r="G9" i="79" s="1"/>
  <c r="G9" i="80" s="1"/>
  <c r="G9" i="81" s="1"/>
  <c r="G9" i="82" s="1"/>
  <c r="G9" i="83" s="1"/>
  <c r="G9" i="84" s="1"/>
  <c r="G9" i="85" s="1"/>
  <c r="G9" i="86" s="1"/>
  <c r="G9" i="87" s="1"/>
  <c r="G9" i="88" s="1"/>
  <c r="G9" i="89" s="1"/>
  <c r="G9" i="90" s="1"/>
  <c r="G9" i="91" s="1"/>
  <c r="G9" i="92" s="1"/>
  <c r="G9" i="93" s="1"/>
  <c r="G9" i="94" s="1"/>
  <c r="G9" i="95" s="1"/>
  <c r="G9" i="96" s="1"/>
  <c r="G9" i="97" s="1"/>
  <c r="G9" i="98" s="1"/>
  <c r="G9" i="99" s="1"/>
  <c r="G9" i="101" s="1"/>
  <c r="G9" i="100" s="1"/>
  <c r="G9" i="102" s="1"/>
  <c r="G9" i="103" s="1"/>
  <c r="G9" i="104" s="1"/>
  <c r="G9" i="115" s="1"/>
  <c r="G9" i="116" s="1"/>
  <c r="G23" i="33"/>
  <c r="G21" i="34"/>
  <c r="F22" i="33"/>
  <c r="F17" i="34"/>
  <c r="F17" i="79" s="1"/>
  <c r="F17" i="80" s="1"/>
  <c r="F7" i="79"/>
  <c r="F21" i="79" s="1"/>
  <c r="F11" i="34"/>
  <c r="F13" i="34" s="1"/>
  <c r="F15" i="79"/>
  <c r="F23" i="34"/>
  <c r="G8" i="79"/>
  <c r="G10" i="34"/>
  <c r="G11" i="79"/>
  <c r="G13" i="79" s="1"/>
  <c r="G7" i="80"/>
  <c r="F9" i="34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1" s="1"/>
  <c r="F9" i="100" s="1"/>
  <c r="F9" i="102" s="1"/>
  <c r="F9" i="103" s="1"/>
  <c r="F9" i="104" s="1"/>
  <c r="F9" i="115" s="1"/>
  <c r="F9" i="116" s="1"/>
  <c r="G11" i="33"/>
  <c r="G13" i="33" s="1"/>
  <c r="G11" i="34"/>
  <c r="G13" i="34" s="1"/>
  <c r="G26" i="79"/>
  <c r="F8" i="80"/>
  <c r="F26" i="80"/>
  <c r="F10" i="33"/>
  <c r="F23" i="33"/>
  <c r="G10" i="33"/>
  <c r="G23" i="34"/>
  <c r="G17" i="34"/>
  <c r="G20" i="33"/>
  <c r="F21" i="33"/>
  <c r="G22" i="33"/>
  <c r="F10" i="34"/>
  <c r="G21" i="33"/>
  <c r="F21" i="34"/>
  <c r="G15" i="79"/>
  <c r="F22" i="34" l="1"/>
  <c r="F22" i="79"/>
  <c r="F20" i="34"/>
  <c r="F20" i="79"/>
  <c r="F26" i="81"/>
  <c r="F15" i="80"/>
  <c r="F23" i="79"/>
  <c r="G23" i="79"/>
  <c r="G15" i="80"/>
  <c r="G21" i="79"/>
  <c r="G26" i="80"/>
  <c r="F7" i="80"/>
  <c r="F21" i="80" s="1"/>
  <c r="F11" i="79"/>
  <c r="F13" i="79" s="1"/>
  <c r="F8" i="81"/>
  <c r="G22" i="34"/>
  <c r="G17" i="79"/>
  <c r="G20" i="34"/>
  <c r="F17" i="81"/>
  <c r="G8" i="80"/>
  <c r="G10" i="79"/>
  <c r="G7" i="81"/>
  <c r="G11" i="80"/>
  <c r="G13" i="80" s="1"/>
  <c r="F10" i="79"/>
  <c r="F20" i="80" l="1"/>
  <c r="F10" i="80"/>
  <c r="F22" i="80"/>
  <c r="G26" i="81"/>
  <c r="G21" i="80"/>
  <c r="F23" i="80"/>
  <c r="F15" i="81"/>
  <c r="F17" i="82"/>
  <c r="G8" i="81"/>
  <c r="G10" i="80"/>
  <c r="G22" i="79"/>
  <c r="G17" i="80"/>
  <c r="G20" i="79"/>
  <c r="G15" i="81"/>
  <c r="G23" i="80"/>
  <c r="F8" i="82"/>
  <c r="G7" i="82"/>
  <c r="G11" i="81"/>
  <c r="G13" i="81" s="1"/>
  <c r="F7" i="81"/>
  <c r="F10" i="81" s="1"/>
  <c r="F11" i="80"/>
  <c r="F13" i="80" s="1"/>
  <c r="F26" i="82"/>
  <c r="F7" i="82" l="1"/>
  <c r="F20" i="82" s="1"/>
  <c r="F11" i="81"/>
  <c r="F13" i="81" s="1"/>
  <c r="G17" i="81"/>
  <c r="G20" i="80"/>
  <c r="G22" i="80"/>
  <c r="F21" i="81"/>
  <c r="G10" i="81"/>
  <c r="G8" i="82"/>
  <c r="F23" i="81"/>
  <c r="F15" i="82"/>
  <c r="F8" i="83"/>
  <c r="F20" i="81"/>
  <c r="F17" i="83"/>
  <c r="F26" i="83"/>
  <c r="G7" i="83"/>
  <c r="G11" i="82"/>
  <c r="G13" i="82" s="1"/>
  <c r="G23" i="81"/>
  <c r="G15" i="82"/>
  <c r="F22" i="81"/>
  <c r="G26" i="82"/>
  <c r="G21" i="81"/>
  <c r="F10" i="82" l="1"/>
  <c r="F21" i="82"/>
  <c r="F22" i="82"/>
  <c r="G21" i="82"/>
  <c r="G26" i="83"/>
  <c r="G7" i="84"/>
  <c r="G11" i="83"/>
  <c r="G13" i="83" s="1"/>
  <c r="F8" i="84"/>
  <c r="G17" i="82"/>
  <c r="G20" i="81"/>
  <c r="G22" i="81"/>
  <c r="G8" i="83"/>
  <c r="G10" i="82"/>
  <c r="G23" i="82"/>
  <c r="G15" i="83"/>
  <c r="F26" i="84"/>
  <c r="F15" i="83"/>
  <c r="F23" i="82"/>
  <c r="F17" i="84"/>
  <c r="F11" i="82"/>
  <c r="F13" i="82" s="1"/>
  <c r="F7" i="83"/>
  <c r="F21" i="83" s="1"/>
  <c r="F22" i="83" l="1"/>
  <c r="F20" i="83"/>
  <c r="G7" i="85"/>
  <c r="G11" i="84"/>
  <c r="G13" i="84" s="1"/>
  <c r="F17" i="85"/>
  <c r="F26" i="85"/>
  <c r="G8" i="84"/>
  <c r="G10" i="83"/>
  <c r="F8" i="85"/>
  <c r="G21" i="83"/>
  <c r="G26" i="84"/>
  <c r="F15" i="84"/>
  <c r="F23" i="83"/>
  <c r="G22" i="82"/>
  <c r="G17" i="83"/>
  <c r="G20" i="82"/>
  <c r="F7" i="84"/>
  <c r="F20" i="84" s="1"/>
  <c r="F11" i="83"/>
  <c r="F13" i="83" s="1"/>
  <c r="G23" i="83"/>
  <c r="G15" i="84"/>
  <c r="F10" i="83"/>
  <c r="F7" i="85" l="1"/>
  <c r="F10" i="85" s="1"/>
  <c r="F11" i="84"/>
  <c r="F13" i="84" s="1"/>
  <c r="F8" i="86"/>
  <c r="F17" i="86"/>
  <c r="G15" i="85"/>
  <c r="G23" i="84"/>
  <c r="F23" i="84"/>
  <c r="F15" i="85"/>
  <c r="F10" i="84"/>
  <c r="F26" i="86"/>
  <c r="G8" i="85"/>
  <c r="G10" i="84"/>
  <c r="F21" i="84"/>
  <c r="G22" i="83"/>
  <c r="G17" i="84"/>
  <c r="G20" i="83"/>
  <c r="G26" i="85"/>
  <c r="G21" i="84"/>
  <c r="F22" i="84"/>
  <c r="G7" i="86"/>
  <c r="G11" i="85"/>
  <c r="G13" i="85" s="1"/>
  <c r="F21" i="85" l="1"/>
  <c r="F22" i="85"/>
  <c r="F20" i="85"/>
  <c r="G17" i="85"/>
  <c r="G20" i="84"/>
  <c r="G22" i="84"/>
  <c r="F23" i="85"/>
  <c r="F15" i="86"/>
  <c r="F8" i="87"/>
  <c r="F17" i="87"/>
  <c r="G7" i="87"/>
  <c r="G11" i="86"/>
  <c r="G13" i="86" s="1"/>
  <c r="G23" i="85"/>
  <c r="G15" i="86"/>
  <c r="G10" i="85"/>
  <c r="G8" i="86"/>
  <c r="G26" i="86"/>
  <c r="G21" i="85"/>
  <c r="F26" i="87"/>
  <c r="F7" i="86"/>
  <c r="F22" i="86" s="1"/>
  <c r="F11" i="85"/>
  <c r="F13" i="85" s="1"/>
  <c r="F10" i="86" l="1"/>
  <c r="F21" i="86"/>
  <c r="G8" i="87"/>
  <c r="G10" i="86"/>
  <c r="G23" i="86"/>
  <c r="G15" i="87"/>
  <c r="F8" i="88"/>
  <c r="F26" i="88"/>
  <c r="G11" i="87"/>
  <c r="G13" i="87" s="1"/>
  <c r="G7" i="88"/>
  <c r="F17" i="88"/>
  <c r="F7" i="87"/>
  <c r="F21" i="87" s="1"/>
  <c r="F11" i="86"/>
  <c r="F13" i="86" s="1"/>
  <c r="G21" i="86"/>
  <c r="G26" i="87"/>
  <c r="F20" i="86"/>
  <c r="F15" i="87"/>
  <c r="F23" i="86"/>
  <c r="G17" i="86"/>
  <c r="G20" i="85"/>
  <c r="G22" i="85"/>
  <c r="F20" i="87" l="1"/>
  <c r="G23" i="87"/>
  <c r="G15" i="88"/>
  <c r="F15" i="88"/>
  <c r="F23" i="87"/>
  <c r="F17" i="89"/>
  <c r="F7" i="88"/>
  <c r="F11" i="87"/>
  <c r="F13" i="87" s="1"/>
  <c r="G11" i="88"/>
  <c r="G13" i="88" s="1"/>
  <c r="G7" i="89"/>
  <c r="F8" i="89"/>
  <c r="F26" i="89"/>
  <c r="G22" i="86"/>
  <c r="G17" i="87"/>
  <c r="G20" i="86"/>
  <c r="G26" i="88"/>
  <c r="G21" i="87"/>
  <c r="F22" i="87"/>
  <c r="F10" i="87"/>
  <c r="G8" i="88"/>
  <c r="G10" i="87"/>
  <c r="F11" i="88" l="1"/>
  <c r="F13" i="88" s="1"/>
  <c r="F7" i="89"/>
  <c r="F20" i="89" s="1"/>
  <c r="G8" i="89"/>
  <c r="G10" i="88"/>
  <c r="F26" i="90"/>
  <c r="G11" i="89"/>
  <c r="G13" i="89" s="1"/>
  <c r="G7" i="90"/>
  <c r="F15" i="89"/>
  <c r="F23" i="88"/>
  <c r="F21" i="88"/>
  <c r="F17" i="90"/>
  <c r="G15" i="89"/>
  <c r="G23" i="88"/>
  <c r="F8" i="90"/>
  <c r="G26" i="89"/>
  <c r="G21" i="88"/>
  <c r="F22" i="88"/>
  <c r="G22" i="87"/>
  <c r="G17" i="88"/>
  <c r="G20" i="87"/>
  <c r="F10" i="88"/>
  <c r="F20" i="88"/>
  <c r="F10" i="89" l="1"/>
  <c r="F21" i="89"/>
  <c r="F22" i="89"/>
  <c r="G7" i="91"/>
  <c r="G11" i="90"/>
  <c r="G13" i="90" s="1"/>
  <c r="G20" i="88"/>
  <c r="G17" i="89"/>
  <c r="G22" i="88"/>
  <c r="G15" i="90"/>
  <c r="G23" i="89"/>
  <c r="G8" i="90"/>
  <c r="G10" i="89"/>
  <c r="F7" i="90"/>
  <c r="F22" i="90" s="1"/>
  <c r="F11" i="89"/>
  <c r="F13" i="89" s="1"/>
  <c r="F17" i="91"/>
  <c r="G21" i="89"/>
  <c r="G26" i="90"/>
  <c r="F8" i="91"/>
  <c r="F15" i="90"/>
  <c r="F23" i="89"/>
  <c r="F26" i="91"/>
  <c r="F21" i="90" l="1"/>
  <c r="G26" i="91"/>
  <c r="G21" i="90"/>
  <c r="F17" i="92"/>
  <c r="G10" i="90"/>
  <c r="G8" i="91"/>
  <c r="G22" i="89"/>
  <c r="G17" i="90"/>
  <c r="G20" i="89"/>
  <c r="F23" i="90"/>
  <c r="F15" i="91"/>
  <c r="F8" i="92"/>
  <c r="F7" i="91"/>
  <c r="F10" i="91" s="1"/>
  <c r="F11" i="90"/>
  <c r="F13" i="90" s="1"/>
  <c r="G15" i="91"/>
  <c r="G23" i="90"/>
  <c r="F26" i="92"/>
  <c r="F10" i="90"/>
  <c r="F20" i="90"/>
  <c r="G7" i="92"/>
  <c r="G11" i="91"/>
  <c r="G13" i="91" s="1"/>
  <c r="F21" i="91" l="1"/>
  <c r="F23" i="91"/>
  <c r="F15" i="92"/>
  <c r="F17" i="93"/>
  <c r="G7" i="93"/>
  <c r="G11" i="92"/>
  <c r="G13" i="92" s="1"/>
  <c r="F26" i="93"/>
  <c r="F7" i="92"/>
  <c r="F22" i="92" s="1"/>
  <c r="F11" i="91"/>
  <c r="F13" i="91" s="1"/>
  <c r="G10" i="91"/>
  <c r="G8" i="92"/>
  <c r="F22" i="91"/>
  <c r="G23" i="91"/>
  <c r="G15" i="92"/>
  <c r="F8" i="93"/>
  <c r="G17" i="91"/>
  <c r="G20" i="90"/>
  <c r="G22" i="90"/>
  <c r="F20" i="91"/>
  <c r="G26" i="92"/>
  <c r="G21" i="91"/>
  <c r="F10" i="92" l="1"/>
  <c r="F21" i="92"/>
  <c r="G26" i="93"/>
  <c r="G21" i="92"/>
  <c r="G17" i="92"/>
  <c r="G20" i="91"/>
  <c r="G22" i="91"/>
  <c r="F7" i="93"/>
  <c r="F22" i="93" s="1"/>
  <c r="F11" i="92"/>
  <c r="F13" i="92" s="1"/>
  <c r="G7" i="94"/>
  <c r="G11" i="93"/>
  <c r="G13" i="93" s="1"/>
  <c r="F15" i="93"/>
  <c r="F23" i="92"/>
  <c r="G23" i="92"/>
  <c r="G15" i="93"/>
  <c r="F17" i="94"/>
  <c r="F8" i="94"/>
  <c r="G8" i="93"/>
  <c r="G10" i="92"/>
  <c r="F26" i="94"/>
  <c r="F20" i="92"/>
  <c r="F20" i="93" l="1"/>
  <c r="F10" i="93"/>
  <c r="F21" i="93"/>
  <c r="G22" i="92"/>
  <c r="G17" i="93"/>
  <c r="G20" i="92"/>
  <c r="F8" i="95"/>
  <c r="G7" i="95"/>
  <c r="G11" i="94"/>
  <c r="G13" i="94" s="1"/>
  <c r="G8" i="94"/>
  <c r="G10" i="93"/>
  <c r="F17" i="95"/>
  <c r="F15" i="94"/>
  <c r="F23" i="93"/>
  <c r="F7" i="94"/>
  <c r="F21" i="94" s="1"/>
  <c r="F11" i="93"/>
  <c r="F13" i="93" s="1"/>
  <c r="F26" i="95"/>
  <c r="G23" i="93"/>
  <c r="G15" i="94"/>
  <c r="G21" i="93"/>
  <c r="G26" i="94"/>
  <c r="F10" i="94" l="1"/>
  <c r="F22" i="94"/>
  <c r="G15" i="95"/>
  <c r="G23" i="94"/>
  <c r="G8" i="95"/>
  <c r="G10" i="94"/>
  <c r="F20" i="94"/>
  <c r="G26" i="95"/>
  <c r="G21" i="94"/>
  <c r="F17" i="96"/>
  <c r="G7" i="96"/>
  <c r="G11" i="95"/>
  <c r="G13" i="95" s="1"/>
  <c r="G22" i="93"/>
  <c r="G17" i="94"/>
  <c r="G20" i="93"/>
  <c r="F7" i="95"/>
  <c r="F21" i="95" s="1"/>
  <c r="F11" i="94"/>
  <c r="F13" i="94" s="1"/>
  <c r="F26" i="96"/>
  <c r="F23" i="94"/>
  <c r="F15" i="95"/>
  <c r="F8" i="96"/>
  <c r="F22" i="95" l="1"/>
  <c r="G7" i="97"/>
  <c r="G11" i="96"/>
  <c r="G13" i="96" s="1"/>
  <c r="G10" i="95"/>
  <c r="G8" i="96"/>
  <c r="F7" i="96"/>
  <c r="F10" i="96" s="1"/>
  <c r="F11" i="95"/>
  <c r="F13" i="95" s="1"/>
  <c r="F10" i="95"/>
  <c r="F8" i="97"/>
  <c r="F26" i="97"/>
  <c r="G17" i="95"/>
  <c r="G20" i="94"/>
  <c r="G22" i="94"/>
  <c r="F20" i="95"/>
  <c r="G26" i="96"/>
  <c r="G21" i="95"/>
  <c r="F23" i="95"/>
  <c r="F15" i="96"/>
  <c r="F23" i="96" s="1"/>
  <c r="F17" i="97"/>
  <c r="G23" i="95"/>
  <c r="G15" i="96"/>
  <c r="G23" i="96" s="1"/>
  <c r="F21" i="96" l="1"/>
  <c r="F20" i="96"/>
  <c r="F22" i="96"/>
  <c r="F17" i="98"/>
  <c r="G17" i="96"/>
  <c r="G20" i="95"/>
  <c r="G22" i="95"/>
  <c r="G8" i="97"/>
  <c r="G10" i="96"/>
  <c r="F15" i="97"/>
  <c r="G15" i="97"/>
  <c r="G26" i="97"/>
  <c r="G21" i="96"/>
  <c r="F8" i="98"/>
  <c r="F26" i="98"/>
  <c r="F7" i="97"/>
  <c r="F11" i="96"/>
  <c r="F13" i="96" s="1"/>
  <c r="G7" i="98"/>
  <c r="G11" i="97"/>
  <c r="G13" i="97" s="1"/>
  <c r="F10" i="97" l="1"/>
  <c r="F22" i="97"/>
  <c r="F8" i="99"/>
  <c r="G23" i="97"/>
  <c r="G15" i="98"/>
  <c r="F15" i="98"/>
  <c r="F23" i="97"/>
  <c r="F17" i="99"/>
  <c r="G17" i="97"/>
  <c r="G22" i="97" s="1"/>
  <c r="G22" i="96"/>
  <c r="G20" i="96"/>
  <c r="F11" i="97"/>
  <c r="F13" i="97" s="1"/>
  <c r="F7" i="98"/>
  <c r="G8" i="98"/>
  <c r="G10" i="97"/>
  <c r="F20" i="97"/>
  <c r="F26" i="99"/>
  <c r="G7" i="99"/>
  <c r="G11" i="98"/>
  <c r="G13" i="98" s="1"/>
  <c r="F21" i="97"/>
  <c r="G21" i="97"/>
  <c r="G26" i="98"/>
  <c r="F21" i="98" l="1"/>
  <c r="F22" i="98"/>
  <c r="F20" i="98"/>
  <c r="G21" i="98"/>
  <c r="G26" i="99"/>
  <c r="G15" i="99"/>
  <c r="G23" i="98"/>
  <c r="F26" i="101"/>
  <c r="G20" i="97"/>
  <c r="G17" i="98"/>
  <c r="F8" i="101"/>
  <c r="G7" i="101"/>
  <c r="G11" i="99"/>
  <c r="G13" i="99" s="1"/>
  <c r="G8" i="99"/>
  <c r="G10" i="98"/>
  <c r="F17" i="101"/>
  <c r="F7" i="99"/>
  <c r="F21" i="99" s="1"/>
  <c r="F11" i="98"/>
  <c r="F13" i="98" s="1"/>
  <c r="F15" i="99"/>
  <c r="F23" i="98"/>
  <c r="F10" i="98"/>
  <c r="F17" i="100" l="1"/>
  <c r="G15" i="101"/>
  <c r="G23" i="99"/>
  <c r="F15" i="101"/>
  <c r="F23" i="99"/>
  <c r="F22" i="99"/>
  <c r="G8" i="101"/>
  <c r="G10" i="99"/>
  <c r="F10" i="99"/>
  <c r="G26" i="101"/>
  <c r="G21" i="99"/>
  <c r="G7" i="100"/>
  <c r="G11" i="101"/>
  <c r="G13" i="101" s="1"/>
  <c r="F7" i="101"/>
  <c r="F22" i="101" s="1"/>
  <c r="F11" i="99"/>
  <c r="F13" i="99" s="1"/>
  <c r="F8" i="100"/>
  <c r="F20" i="99"/>
  <c r="G22" i="98"/>
  <c r="G17" i="99"/>
  <c r="G20" i="98"/>
  <c r="F26" i="100"/>
  <c r="F26" i="102" s="1"/>
  <c r="F7" i="100" l="1"/>
  <c r="F20" i="100" s="1"/>
  <c r="F11" i="101"/>
  <c r="F13" i="101" s="1"/>
  <c r="G26" i="100"/>
  <c r="G26" i="102" s="1"/>
  <c r="G21" i="101"/>
  <c r="G23" i="101"/>
  <c r="G15" i="100"/>
  <c r="F8" i="102"/>
  <c r="G7" i="102"/>
  <c r="G11" i="100"/>
  <c r="G13" i="100" s="1"/>
  <c r="F23" i="101"/>
  <c r="F15" i="100"/>
  <c r="F17" i="102"/>
  <c r="F10" i="101"/>
  <c r="F20" i="101"/>
  <c r="G17" i="101"/>
  <c r="G22" i="101" s="1"/>
  <c r="G20" i="99"/>
  <c r="G22" i="99"/>
  <c r="F21" i="101"/>
  <c r="G8" i="100"/>
  <c r="G10" i="101"/>
  <c r="F22" i="100" l="1"/>
  <c r="F21" i="100"/>
  <c r="F10" i="100"/>
  <c r="G8" i="102"/>
  <c r="G10" i="100"/>
  <c r="F26" i="103"/>
  <c r="F8" i="103"/>
  <c r="F17" i="103"/>
  <c r="G23" i="100"/>
  <c r="G15" i="102"/>
  <c r="G17" i="100"/>
  <c r="G20" i="101"/>
  <c r="F23" i="100"/>
  <c r="F15" i="102"/>
  <c r="G21" i="100"/>
  <c r="G7" i="103"/>
  <c r="G11" i="102"/>
  <c r="G13" i="102" s="1"/>
  <c r="F7" i="102"/>
  <c r="F11" i="100"/>
  <c r="F13" i="100" s="1"/>
  <c r="F7" i="103" l="1"/>
  <c r="F22" i="103" s="1"/>
  <c r="F11" i="102"/>
  <c r="F13" i="102" s="1"/>
  <c r="F15" i="103"/>
  <c r="F23" i="102"/>
  <c r="G20" i="100"/>
  <c r="G22" i="100"/>
  <c r="G17" i="102"/>
  <c r="F20" i="102"/>
  <c r="F26" i="104"/>
  <c r="G7" i="104"/>
  <c r="G11" i="103"/>
  <c r="G13" i="103" s="1"/>
  <c r="G15" i="103"/>
  <c r="G23" i="102"/>
  <c r="F22" i="102"/>
  <c r="F21" i="102"/>
  <c r="G26" i="103"/>
  <c r="G21" i="102"/>
  <c r="F8" i="104"/>
  <c r="F17" i="104"/>
  <c r="F10" i="102"/>
  <c r="G8" i="103"/>
  <c r="G10" i="102"/>
  <c r="F20" i="103" l="1"/>
  <c r="F21" i="103"/>
  <c r="F10" i="103"/>
  <c r="G22" i="102"/>
  <c r="G17" i="103"/>
  <c r="G20" i="102"/>
  <c r="F8" i="115"/>
  <c r="G7" i="115"/>
  <c r="G11" i="104"/>
  <c r="G13" i="104" s="1"/>
  <c r="F15" i="104"/>
  <c r="F23" i="103"/>
  <c r="G8" i="104"/>
  <c r="G10" i="103"/>
  <c r="F17" i="115"/>
  <c r="G21" i="103"/>
  <c r="G26" i="104"/>
  <c r="G21" i="104" s="1"/>
  <c r="G23" i="103"/>
  <c r="G15" i="104"/>
  <c r="F26" i="115"/>
  <c r="F7" i="104"/>
  <c r="F11" i="103"/>
  <c r="F13" i="103" s="1"/>
  <c r="F22" i="104" l="1"/>
  <c r="F7" i="115"/>
  <c r="F7" i="116" s="1"/>
  <c r="F10" i="104"/>
  <c r="F21" i="104"/>
  <c r="G26" i="115"/>
  <c r="F26" i="116"/>
  <c r="F23" i="104"/>
  <c r="F15" i="115"/>
  <c r="G15" i="115"/>
  <c r="G23" i="104"/>
  <c r="F17" i="116"/>
  <c r="G10" i="104"/>
  <c r="G8" i="115"/>
  <c r="G7" i="116"/>
  <c r="G11" i="115"/>
  <c r="G13" i="115" s="1"/>
  <c r="G20" i="103"/>
  <c r="G22" i="103"/>
  <c r="G17" i="104"/>
  <c r="F11" i="104"/>
  <c r="F13" i="104" s="1"/>
  <c r="F20" i="104"/>
  <c r="F8" i="116"/>
  <c r="F21" i="115" l="1"/>
  <c r="F11" i="115"/>
  <c r="F13" i="115" s="1"/>
  <c r="F21" i="116"/>
  <c r="F10" i="115"/>
  <c r="F20" i="115"/>
  <c r="G17" i="115"/>
  <c r="G20" i="104"/>
  <c r="G22" i="104"/>
  <c r="G11" i="116"/>
  <c r="G13" i="116" s="1"/>
  <c r="F23" i="115"/>
  <c r="F15" i="116"/>
  <c r="G23" i="115"/>
  <c r="G15" i="116"/>
  <c r="G10" i="115"/>
  <c r="G8" i="116"/>
  <c r="F22" i="115"/>
  <c r="G21" i="115"/>
  <c r="G26" i="116"/>
  <c r="F10" i="116" l="1"/>
  <c r="F20" i="116"/>
  <c r="F22" i="116"/>
  <c r="G23" i="116"/>
  <c r="G10" i="116"/>
  <c r="F23" i="116"/>
  <c r="F11" i="116"/>
  <c r="F13" i="116" s="1"/>
  <c r="G21" i="116"/>
  <c r="G20" i="115"/>
  <c r="G17" i="116"/>
  <c r="G22" i="115"/>
  <c r="G22" i="116" l="1"/>
  <c r="G20" i="116"/>
</calcChain>
</file>

<file path=xl/sharedStrings.xml><?xml version="1.0" encoding="utf-8"?>
<sst xmlns="http://schemas.openxmlformats.org/spreadsheetml/2006/main" count="1981" uniqueCount="53">
  <si>
    <t>1*10 MW CAPTIVE POWER PLANT</t>
  </si>
  <si>
    <t>Sr. NO.</t>
  </si>
  <si>
    <t xml:space="preserve">Description </t>
  </si>
  <si>
    <t xml:space="preserve">Unit </t>
  </si>
  <si>
    <t xml:space="preserve">Month to Date </t>
  </si>
  <si>
    <t xml:space="preserve">Gross Power Generation  </t>
  </si>
  <si>
    <t>kWhr</t>
  </si>
  <si>
    <t>Auxiliary power consumption</t>
  </si>
  <si>
    <t xml:space="preserve">Net Power Exported </t>
  </si>
  <si>
    <t xml:space="preserve">Auxiliary power consumption </t>
  </si>
  <si>
    <t xml:space="preserve">( % ) </t>
  </si>
  <si>
    <t xml:space="preserve">Average Power Generation </t>
  </si>
  <si>
    <t>MWhr</t>
  </si>
  <si>
    <t xml:space="preserve">Plant Running Hours </t>
  </si>
  <si>
    <t>Hrs</t>
  </si>
  <si>
    <t>PLF</t>
  </si>
  <si>
    <t xml:space="preserve">Feed Water consumption </t>
  </si>
  <si>
    <t>MT</t>
  </si>
  <si>
    <t xml:space="preserve">Boiler Steam Generation  </t>
  </si>
  <si>
    <t>Bleed steam</t>
  </si>
  <si>
    <t>Turbine steam consumption</t>
  </si>
  <si>
    <t xml:space="preserve">Condensate Generation </t>
  </si>
  <si>
    <t>Auxilairy steam consumption</t>
  </si>
  <si>
    <t xml:space="preserve">Specific steam consumption </t>
  </si>
  <si>
    <t>Kg/Kwhr</t>
  </si>
  <si>
    <t xml:space="preserve">Specific fuel consumption </t>
  </si>
  <si>
    <t>Heat Rate(TG)2880</t>
  </si>
  <si>
    <t xml:space="preserve">Kcal/Kwh </t>
  </si>
  <si>
    <t xml:space="preserve">Heat Rate ( Plant ) 3300 @ MCR </t>
  </si>
  <si>
    <t>DG Power Generation</t>
  </si>
  <si>
    <t>FUEL Report</t>
  </si>
  <si>
    <t>Coal Consumption</t>
  </si>
  <si>
    <t>GCV ( ADB )</t>
  </si>
  <si>
    <t>Kcal/kg</t>
  </si>
  <si>
    <t xml:space="preserve">WTP Report </t>
  </si>
  <si>
    <t xml:space="preserve">DM water Generation </t>
  </si>
  <si>
    <t>m3</t>
  </si>
  <si>
    <t>DM water Consumption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</si>
  <si>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3</t>
    </r>
  </si>
  <si>
    <t>CT Makeup Water Consumption</t>
  </si>
  <si>
    <t>Fly ash combustible/ GCV</t>
  </si>
  <si>
    <t>% / kcal/kg</t>
  </si>
  <si>
    <t>FLY ASH DISPOSAL REPORT</t>
  </si>
  <si>
    <t>nos</t>
  </si>
  <si>
    <t>Fly ash to Dumpyard(Truck)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</si>
  <si>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2</t>
    </r>
  </si>
  <si>
    <t>Fly ash to cement mill</t>
  </si>
  <si>
    <t>Fly ash to Coal yard(Truck)</t>
  </si>
  <si>
    <t xml:space="preserve">                     1*10 MW CAPTIVE POWER PLANT</t>
  </si>
  <si>
    <t xml:space="preserve"> </t>
  </si>
  <si>
    <t>Fly ash to Coalyard(Truck)</t>
  </si>
  <si>
    <t xml:space="preserve">Daily,Monthly &amp; Yearly Generation Report (FRM-LCL-PP-06) </t>
  </si>
  <si>
    <t xml:space="preserve"> Year to Date(APR2026-MAR2027)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</si>
</sst>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0.0"/>
  </numFmts>
  <fonts count="1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Arial"/>
      <charset val="134"/>
    </font>
    <font>
      <sz val="16"/>
      <color theme="1"/>
      <name val="Calibri"/>
      <charset val="134"/>
      <scheme val="minor"/>
    </font>
    <font>
      <b/>
      <sz val="14"/>
      <color theme="1"/>
      <name val="Arial"/>
      <charset val="134"/>
    </font>
    <font>
      <vertAlign val="superscript"/>
      <sz val="14"/>
      <color theme="1"/>
      <name val="Calibri"/>
      <charset val="134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2" fontId="6" fillId="3" borderId="6" xfId="0" applyNumberFormat="1" applyFont="1" applyFill="1" applyBorder="1"/>
    <xf numFmtId="1" fontId="6" fillId="2" borderId="5" xfId="0" applyNumberFormat="1" applyFont="1" applyFill="1" applyBorder="1"/>
    <xf numFmtId="0" fontId="1" fillId="2" borderId="5" xfId="0" applyFont="1" applyFill="1" applyBorder="1" applyAlignment="1">
      <alignment horizontal="center"/>
    </xf>
    <xf numFmtId="165" fontId="6" fillId="3" borderId="5" xfId="0" applyNumberFormat="1" applyFont="1" applyFill="1" applyBorder="1"/>
    <xf numFmtId="165" fontId="6" fillId="3" borderId="6" xfId="0" applyNumberFormat="1" applyFont="1" applyFill="1" applyBorder="1"/>
    <xf numFmtId="166" fontId="6" fillId="3" borderId="5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/>
    <xf numFmtId="1" fontId="6" fillId="0" borderId="8" xfId="0" applyNumberFormat="1" applyFont="1" applyBorder="1"/>
    <xf numFmtId="1" fontId="6" fillId="0" borderId="9" xfId="0" applyNumberFormat="1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5" xfId="0" applyNumberFormat="1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6" fillId="3" borderId="6" xfId="0" applyNumberFormat="1" applyFont="1" applyFill="1" applyBorder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1" fillId="2" borderId="5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2" borderId="5" xfId="0" applyFont="1" applyFill="1" applyBorder="1" applyAlignment="1">
      <alignment horizontal="center" vertical="center"/>
    </xf>
    <xf numFmtId="0" fontId="10" fillId="0" borderId="8" xfId="0" applyFont="1" applyBorder="1"/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614912</xdr:colOff>
      <xdr:row>1</xdr:row>
      <xdr:rowOff>114396</xdr:rowOff>
    </xdr:from>
    <xdr:to>
      <xdr:col>6</xdr:col>
      <xdr:colOff>1815353</xdr:colOff>
      <xdr:row>4</xdr:row>
      <xdr:rowOff>289323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5780" y="507365"/>
          <a:ext cx="1200150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0</xdr:rowOff>
    </xdr:from>
    <xdr:to>
      <xdr:col>5</xdr:col>
      <xdr:colOff>1472127</xdr:colOff>
      <xdr:row>1</xdr:row>
      <xdr:rowOff>95977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0"/>
          <a:ext cx="45923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582706</xdr:colOff>
      <xdr:row>0</xdr:row>
      <xdr:rowOff>75920</xdr:rowOff>
    </xdr:from>
    <xdr:to>
      <xdr:col>6</xdr:col>
      <xdr:colOff>2061463</xdr:colOff>
      <xdr:row>4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345" y="7556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390525</xdr:rowOff>
    </xdr:from>
    <xdr:to>
      <xdr:col>5</xdr:col>
      <xdr:colOff>889421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390525"/>
          <a:ext cx="4590415" cy="484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1023938</xdr:colOff>
      <xdr:row>0</xdr:row>
      <xdr:rowOff>97631</xdr:rowOff>
    </xdr:from>
    <xdr:to>
      <xdr:col>6</xdr:col>
      <xdr:colOff>2502695</xdr:colOff>
      <xdr:row>4</xdr:row>
      <xdr:rowOff>73191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70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80959</xdr:colOff>
      <xdr:row>0</xdr:row>
      <xdr:rowOff>390525</xdr:rowOff>
    </xdr:from>
    <xdr:to>
      <xdr:col>5</xdr:col>
      <xdr:colOff>1285873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404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1000124</xdr:colOff>
      <xdr:row>0</xdr:row>
      <xdr:rowOff>109538</xdr:rowOff>
    </xdr:from>
    <xdr:to>
      <xdr:col>6</xdr:col>
      <xdr:colOff>2478881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590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991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940593</xdr:colOff>
      <xdr:row>0</xdr:row>
      <xdr:rowOff>109538</xdr:rowOff>
    </xdr:from>
    <xdr:to>
      <xdr:col>6</xdr:col>
      <xdr:colOff>2419350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385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7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750093</xdr:colOff>
      <xdr:row>0</xdr:row>
      <xdr:rowOff>0</xdr:rowOff>
    </xdr:from>
    <xdr:to>
      <xdr:col>6</xdr:col>
      <xdr:colOff>2228850</xdr:colOff>
      <xdr:row>4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410" y="0"/>
          <a:ext cx="1478915" cy="154749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2819404</xdr:colOff>
      <xdr:row>0</xdr:row>
      <xdr:rowOff>221457</xdr:rowOff>
    </xdr:from>
    <xdr:to>
      <xdr:col>5</xdr:col>
      <xdr:colOff>1059662</xdr:colOff>
      <xdr:row>2</xdr:row>
      <xdr:rowOff>73006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0980"/>
          <a:ext cx="45929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928688</xdr:colOff>
      <xdr:row>0</xdr:row>
      <xdr:rowOff>121444</xdr:rowOff>
    </xdr:from>
    <xdr:to>
      <xdr:col>6</xdr:col>
      <xdr:colOff>2407445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47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45241</xdr:colOff>
      <xdr:row>0</xdr:row>
      <xdr:rowOff>390525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48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904875</xdr:colOff>
      <xdr:row>0</xdr:row>
      <xdr:rowOff>145256</xdr:rowOff>
    </xdr:from>
    <xdr:to>
      <xdr:col>6</xdr:col>
      <xdr:colOff>2383632</xdr:colOff>
      <xdr:row>4</xdr:row>
      <xdr:rowOff>120816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44780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721064</xdr:colOff>
      <xdr:row>1</xdr:row>
      <xdr:rowOff>33337</xdr:rowOff>
    </xdr:from>
    <xdr:to>
      <xdr:col>5</xdr:col>
      <xdr:colOff>1583604</xdr:colOff>
      <xdr:row>2</xdr:row>
      <xdr:rowOff>15548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6085"/>
          <a:ext cx="4243705" cy="448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156485</xdr:rowOff>
    </xdr:from>
    <xdr:to>
      <xdr:col>6</xdr:col>
      <xdr:colOff>2428874</xdr:colOff>
      <xdr:row>4</xdr:row>
      <xdr:rowOff>61284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56210"/>
          <a:ext cx="1416685" cy="1624330"/>
        </a:xfrm>
        <a:prstGeom prst="rect">
          <a:avLst/>
        </a:prstGeom>
      </xdr:spPr>
    </xdr:pic>
    <xdr:clientData/>
  </xdr:twoCellAnchor>
  <xdr:twoCellAnchor editAs="oneCell">
    <xdr:from>
      <xdr:col>3</xdr:col>
      <xdr:colOff>88103</xdr:colOff>
      <xdr:row>0</xdr:row>
      <xdr:rowOff>390525</xdr:rowOff>
    </xdr:from>
    <xdr:to>
      <xdr:col>5</xdr:col>
      <xdr:colOff>1293017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997325</xdr:colOff>
      <xdr:row>0</xdr:row>
      <xdr:rowOff>31097</xdr:rowOff>
    </xdr:from>
    <xdr:to>
      <xdr:col>6</xdr:col>
      <xdr:colOff>1609307</xdr:colOff>
      <xdr:row>4</xdr:row>
      <xdr:rowOff>6657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304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168380</xdr:colOff>
      <xdr:row>1</xdr:row>
      <xdr:rowOff>20731</xdr:rowOff>
    </xdr:from>
    <xdr:to>
      <xdr:col>5</xdr:col>
      <xdr:colOff>1994647</xdr:colOff>
      <xdr:row>2</xdr:row>
      <xdr:rowOff>38267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292" y="412937"/>
          <a:ext cx="4134679" cy="488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0</xdr:row>
      <xdr:rowOff>75921</xdr:rowOff>
    </xdr:from>
    <xdr:to>
      <xdr:col>6</xdr:col>
      <xdr:colOff>2431257</xdr:colOff>
      <xdr:row>4</xdr:row>
      <xdr:rowOff>51481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75565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15967</xdr:colOff>
      <xdr:row>0</xdr:row>
      <xdr:rowOff>390525</xdr:rowOff>
    </xdr:from>
    <xdr:to>
      <xdr:col>5</xdr:col>
      <xdr:colOff>1218079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85725</xdr:rowOff>
    </xdr:from>
    <xdr:to>
      <xdr:col>6</xdr:col>
      <xdr:colOff>2490788</xdr:colOff>
      <xdr:row>4</xdr:row>
      <xdr:rowOff>61285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8572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97632</xdr:rowOff>
    </xdr:from>
    <xdr:to>
      <xdr:col>6</xdr:col>
      <xdr:colOff>2490788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1071562</xdr:colOff>
      <xdr:row>0</xdr:row>
      <xdr:rowOff>204788</xdr:rowOff>
    </xdr:from>
    <xdr:to>
      <xdr:col>6</xdr:col>
      <xdr:colOff>2550319</xdr:colOff>
      <xdr:row>4</xdr:row>
      <xdr:rowOff>180348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95" y="20447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278959</xdr:rowOff>
    </xdr:from>
    <xdr:to>
      <xdr:col>6</xdr:col>
      <xdr:colOff>2440781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278765"/>
          <a:ext cx="1356995" cy="1499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1238249</xdr:colOff>
      <xdr:row>0</xdr:row>
      <xdr:rowOff>385090</xdr:rowOff>
    </xdr:from>
    <xdr:to>
      <xdr:col>6</xdr:col>
      <xdr:colOff>2538412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065" y="384810"/>
          <a:ext cx="1300480" cy="14909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133350</xdr:rowOff>
    </xdr:from>
    <xdr:to>
      <xdr:col>6</xdr:col>
      <xdr:colOff>2597944</xdr:colOff>
      <xdr:row>4</xdr:row>
      <xdr:rowOff>108910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20" y="133350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1095374</xdr:colOff>
      <xdr:row>0</xdr:row>
      <xdr:rowOff>157163</xdr:rowOff>
    </xdr:from>
    <xdr:to>
      <xdr:col>6</xdr:col>
      <xdr:colOff>2574131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196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4</xdr:col>
      <xdr:colOff>2995268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1131093</xdr:colOff>
      <xdr:row>0</xdr:row>
      <xdr:rowOff>157163</xdr:rowOff>
    </xdr:from>
    <xdr:to>
      <xdr:col>6</xdr:col>
      <xdr:colOff>2609850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8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121444</xdr:rowOff>
    </xdr:from>
    <xdr:to>
      <xdr:col>6</xdr:col>
      <xdr:colOff>2562226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1035843</xdr:colOff>
      <xdr:row>0</xdr:row>
      <xdr:rowOff>180976</xdr:rowOff>
    </xdr:from>
    <xdr:to>
      <xdr:col>6</xdr:col>
      <xdr:colOff>2514600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135" y="18097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252413</xdr:rowOff>
    </xdr:from>
    <xdr:to>
      <xdr:col>6</xdr:col>
      <xdr:colOff>2483306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252095"/>
          <a:ext cx="1387475" cy="165798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169069</xdr:rowOff>
    </xdr:from>
    <xdr:to>
      <xdr:col>6</xdr:col>
      <xdr:colOff>2621755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68910"/>
          <a:ext cx="1525905" cy="1741170"/>
        </a:xfrm>
        <a:prstGeom prst="rect">
          <a:avLst/>
        </a:prstGeom>
      </xdr:spPr>
    </xdr:pic>
    <xdr:clientData/>
  </xdr:twoCellAnchor>
  <xdr:twoCellAnchor editAs="oneCell">
    <xdr:from>
      <xdr:col>3</xdr:col>
      <xdr:colOff>297655</xdr:colOff>
      <xdr:row>1</xdr:row>
      <xdr:rowOff>24179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0" y="417195"/>
          <a:ext cx="4333875" cy="4578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1083468</xdr:colOff>
      <xdr:row>0</xdr:row>
      <xdr:rowOff>119062</xdr:rowOff>
    </xdr:from>
    <xdr:to>
      <xdr:col>6</xdr:col>
      <xdr:colOff>2562225</xdr:colOff>
      <xdr:row>4</xdr:row>
      <xdr:rowOff>94622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187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121444</xdr:rowOff>
    </xdr:from>
    <xdr:to>
      <xdr:col>6</xdr:col>
      <xdr:colOff>2645569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1107280</xdr:colOff>
      <xdr:row>0</xdr:row>
      <xdr:rowOff>192882</xdr:rowOff>
    </xdr:from>
    <xdr:to>
      <xdr:col>6</xdr:col>
      <xdr:colOff>2586037</xdr:colOff>
      <xdr:row>4</xdr:row>
      <xdr:rowOff>168442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255" y="19240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97632</xdr:rowOff>
    </xdr:from>
    <xdr:to>
      <xdr:col>6</xdr:col>
      <xdr:colOff>2645569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5</xdr:col>
      <xdr:colOff>1416839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1142999</xdr:colOff>
      <xdr:row>0</xdr:row>
      <xdr:rowOff>145257</xdr:rowOff>
    </xdr:from>
    <xdr:to>
      <xdr:col>6</xdr:col>
      <xdr:colOff>2621756</xdr:colOff>
      <xdr:row>4</xdr:row>
      <xdr:rowOff>120817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0815" y="1447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1309688</xdr:colOff>
      <xdr:row>0</xdr:row>
      <xdr:rowOff>297656</xdr:rowOff>
    </xdr:from>
    <xdr:to>
      <xdr:col>6</xdr:col>
      <xdr:colOff>2609850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820" y="297180"/>
          <a:ext cx="1300480" cy="1495425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1262062</xdr:colOff>
      <xdr:row>0</xdr:row>
      <xdr:rowOff>226219</xdr:rowOff>
    </xdr:from>
    <xdr:to>
      <xdr:col>6</xdr:col>
      <xdr:colOff>2621755</xdr:colOff>
      <xdr:row>3</xdr:row>
      <xdr:rowOff>358942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195" y="226060"/>
          <a:ext cx="135953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zoomScale="85" zoomScaleNormal="85" workbookViewId="0">
      <pane xSplit="4" ySplit="1" topLeftCell="E2" activePane="bottomRight" state="frozen"/>
      <selection pane="topRight"/>
      <selection pane="bottomLeft"/>
      <selection pane="bottomRight" activeCell="E7" sqref="E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5" width="25.7109375" style="1" customWidth="1"/>
    <col min="6" max="6" width="26.28515625" style="1" customWidth="1"/>
    <col min="7" max="7" width="39.5703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91"/>
      <c r="C5" s="91"/>
      <c r="D5" s="91"/>
      <c r="E5" s="91"/>
      <c r="F5" s="91"/>
      <c r="G5" s="91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v>46265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174200</v>
      </c>
      <c r="F7" s="12">
        <v>5294051</v>
      </c>
      <c r="G7" s="13">
        <v>25020416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18213</v>
      </c>
      <c r="F8" s="12">
        <v>561948</v>
      </c>
      <c r="G8" s="13">
        <v>2715493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v>155987</v>
      </c>
      <c r="F9" s="12">
        <v>4732103</v>
      </c>
      <c r="G9" s="13">
        <v>22304923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v>10.455223880597014</v>
      </c>
      <c r="F10" s="15">
        <v>10.61470696069985</v>
      </c>
      <c r="G10" s="16">
        <v>10.853108917133913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v>7.2583333333333329</v>
      </c>
      <c r="F11" s="15">
        <v>7.1156599462365593</v>
      </c>
      <c r="G11" s="16">
        <v>6.8517923355405488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v>744</v>
      </c>
      <c r="G12" s="13">
        <v>3651.66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v>72.583333333333329</v>
      </c>
      <c r="F13" s="15">
        <v>71.156599462365591</v>
      </c>
      <c r="G13" s="16">
        <v>68.517923355405486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794</v>
      </c>
      <c r="F14" s="12">
        <v>24425</v>
      </c>
      <c r="G14" s="13">
        <v>116198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771</v>
      </c>
      <c r="F15" s="12">
        <v>23689</v>
      </c>
      <c r="G15" s="13">
        <v>112677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v>1708</v>
      </c>
      <c r="G16" s="13">
        <v>7488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726</v>
      </c>
      <c r="F17" s="12">
        <v>22119</v>
      </c>
      <c r="G17" s="13">
        <v>104292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570</v>
      </c>
      <c r="F18" s="12">
        <v>17516</v>
      </c>
      <c r="G18" s="13">
        <v>83129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v>549</v>
      </c>
      <c r="G19" s="13">
        <v>2698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v>4.1676234213547643</v>
      </c>
      <c r="F20" s="15">
        <v>4.1780859307928839</v>
      </c>
      <c r="G20" s="16">
        <v>4.1682760190717856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v>0.75774971297359361</v>
      </c>
      <c r="F21" s="19">
        <v>0.75122056814337457</v>
      </c>
      <c r="G21" s="20">
        <v>0.83216042451092742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v>2806.5327210103328</v>
      </c>
      <c r="F22" s="21">
        <v>2814.3395294076313</v>
      </c>
      <c r="G22" s="21">
        <v>2808.0027126647296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v>3818.7980217256909</v>
      </c>
      <c r="F23" s="21">
        <v>3860.8156831517354</v>
      </c>
      <c r="G23" s="21">
        <v>3885.6279177403335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v>0</v>
      </c>
      <c r="G24" s="27"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132</v>
      </c>
      <c r="F26" s="32">
        <v>3977</v>
      </c>
      <c r="G26" s="33">
        <v>20821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4601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11</v>
      </c>
      <c r="F30" s="32">
        <v>441</v>
      </c>
      <c r="G30" s="33">
        <v>2284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10</v>
      </c>
      <c r="F31" s="12">
        <v>439</v>
      </c>
      <c r="G31" s="13">
        <v>2296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v>671</v>
      </c>
      <c r="G32" s="13">
        <v>3104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19.899999999999999</v>
      </c>
      <c r="F33" s="47">
        <v>1650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93" t="s">
        <v>46</v>
      </c>
      <c r="D35" s="94" t="s">
        <v>17</v>
      </c>
      <c r="E35" s="51">
        <v>0</v>
      </c>
      <c r="F35" s="32">
        <v>858</v>
      </c>
      <c r="G35" s="33">
        <v>3807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4</v>
      </c>
      <c r="F36" s="12">
        <v>60</v>
      </c>
      <c r="G36" s="13">
        <v>369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0"/>
  <sheetViews>
    <sheetView zoomScale="85" zoomScaleNormal="85" workbookViewId="0">
      <pane xSplit="4" ySplit="6" topLeftCell="E7" activePane="bottomRight" state="frozen"/>
      <selection pane="topRight"/>
      <selection pane="bottomLeft"/>
      <selection pane="bottomRight" activeCell="F33" sqref="F33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6" width="34.425781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75" customHeight="1">
      <c r="B6" s="6" t="s">
        <v>1</v>
      </c>
      <c r="C6" s="7" t="s">
        <v>2</v>
      </c>
      <c r="D6" s="7" t="s">
        <v>3</v>
      </c>
      <c r="E6" s="8">
        <f>'0'!E6+1</f>
        <v>46266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177900</v>
      </c>
      <c r="F7" s="12">
        <f>E7</f>
        <v>177900</v>
      </c>
      <c r="G7" s="13">
        <f>E7+'0'!G7</f>
        <v>25198316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18110</v>
      </c>
      <c r="F8" s="12">
        <f t="shared" ref="F8:F9" si="0">E8</f>
        <v>18110</v>
      </c>
      <c r="G8" s="13">
        <f>E8+'0'!G8</f>
        <v>2733603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159790</v>
      </c>
      <c r="F9" s="12">
        <f t="shared" si="0"/>
        <v>159790</v>
      </c>
      <c r="G9" s="13">
        <f>E9+'0'!G9</f>
        <v>22464713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10.179876335019673</v>
      </c>
      <c r="F10" s="15">
        <f>F8/F7*100</f>
        <v>10.179876335019673</v>
      </c>
      <c r="G10" s="16">
        <f>G8/G7*100</f>
        <v>10.848355898068744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7.4124999999999996</v>
      </c>
      <c r="F11" s="15">
        <f>F7/F12/1000</f>
        <v>7.4124999999999996</v>
      </c>
      <c r="G11" s="16">
        <f>G7/G12/1000</f>
        <v>6.8554534423749747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</f>
        <v>24</v>
      </c>
      <c r="G12" s="13">
        <f>E12+'0'!G12</f>
        <v>3675.66</v>
      </c>
    </row>
    <row r="13" spans="1:12" ht="30.75" customHeight="1">
      <c r="B13" s="9">
        <v>6</v>
      </c>
      <c r="C13" s="10" t="s">
        <v>15</v>
      </c>
      <c r="D13" s="11" t="s">
        <v>10</v>
      </c>
      <c r="E13" s="15">
        <f>E11/10*100</f>
        <v>74.125</v>
      </c>
      <c r="F13" s="15">
        <f>F11/10*100</f>
        <v>74.125</v>
      </c>
      <c r="G13" s="16">
        <f>G11/10*100</f>
        <v>68.554534423749743</v>
      </c>
    </row>
    <row r="14" spans="1:12" ht="30.75" customHeight="1">
      <c r="B14" s="9">
        <v>7</v>
      </c>
      <c r="C14" s="10" t="s">
        <v>16</v>
      </c>
      <c r="D14" s="11" t="s">
        <v>17</v>
      </c>
      <c r="E14" s="12">
        <v>809</v>
      </c>
      <c r="F14" s="12">
        <f>E14</f>
        <v>809</v>
      </c>
      <c r="G14" s="13">
        <f>E14+'0'!G14</f>
        <v>117007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787</v>
      </c>
      <c r="F15" s="12">
        <f t="shared" ref="F15:F19" si="1">E15</f>
        <v>787</v>
      </c>
      <c r="G15" s="13">
        <f>E15+'0'!G15</f>
        <v>113464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 t="shared" si="1"/>
        <v>61</v>
      </c>
      <c r="G16" s="13">
        <f>E16+'0'!G16</f>
        <v>7549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741</v>
      </c>
      <c r="F17" s="12">
        <f t="shared" si="1"/>
        <v>741</v>
      </c>
      <c r="G17" s="13">
        <f>E17+'0'!G17</f>
        <v>105033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580</v>
      </c>
      <c r="F18" s="12">
        <f t="shared" si="1"/>
        <v>580</v>
      </c>
      <c r="G18" s="13">
        <f>E18+'0'!G18</f>
        <v>83709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 t="shared" si="1"/>
        <v>18</v>
      </c>
      <c r="G19" s="13">
        <f>E19+'0'!G19</f>
        <v>2716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4.1652613827993257</v>
      </c>
      <c r="F20" s="15">
        <f>F17*1000/F7</f>
        <v>4.1652613827993257</v>
      </c>
      <c r="G20" s="16">
        <f>G17*1000/G7</f>
        <v>4.1682547357529769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0.75323215289488477</v>
      </c>
      <c r="F21" s="19">
        <f>F26*1000/F7</f>
        <v>0.75323215289488477</v>
      </c>
      <c r="G21" s="20">
        <f>G26*1000/G7</f>
        <v>0.83160319126087634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2805.5817875210791</v>
      </c>
      <c r="F22" s="21">
        <f>((F17*(803-130)+F31*(30))*1000)/F7</f>
        <v>2805.5817875210791</v>
      </c>
      <c r="G22" s="78">
        <f>((G17*(803-130)+G31*(30))*1000)/G7</f>
        <v>2807.9856209438758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3816.9743878006948</v>
      </c>
      <c r="F23" s="21">
        <f t="shared" ref="F23:G23" si="2">(F15*(803-130))*1000/(F7*0.78)</f>
        <v>3816.9743878006948</v>
      </c>
      <c r="G23" s="21">
        <f t="shared" si="2"/>
        <v>3885.1432241212733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</f>
        <v>0</v>
      </c>
      <c r="G24" s="13">
        <f>E24+'0'!G24</f>
        <v>1468</v>
      </c>
    </row>
    <row r="25" spans="2:8" ht="30.95" customHeight="1">
      <c r="B25" s="108" t="s">
        <v>30</v>
      </c>
      <c r="C25" s="109"/>
      <c r="D25" s="109"/>
      <c r="E25" s="109"/>
      <c r="F25" s="109"/>
      <c r="G25" s="110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</f>
        <v>134</v>
      </c>
      <c r="G26" s="13">
        <f>E26+'0'!G26</f>
        <v>20955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4644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8" t="s">
        <v>34</v>
      </c>
      <c r="C29" s="109"/>
      <c r="D29" s="109"/>
      <c r="E29" s="109"/>
      <c r="F29" s="109"/>
      <c r="G29" s="110"/>
    </row>
    <row r="30" spans="2:8" ht="30.95" customHeight="1">
      <c r="B30" s="29">
        <v>1</v>
      </c>
      <c r="C30" s="30" t="s">
        <v>35</v>
      </c>
      <c r="D30" s="42" t="s">
        <v>45</v>
      </c>
      <c r="E30" s="32">
        <v>16</v>
      </c>
      <c r="F30" s="32">
        <f>E30</f>
        <v>16</v>
      </c>
      <c r="G30" s="13">
        <f>E30+'0'!G30</f>
        <v>2300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 t="shared" ref="F31:F32" si="3">E31</f>
        <v>14</v>
      </c>
      <c r="G31" s="13">
        <f>E31+'0'!G31</f>
        <v>2310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 t="shared" si="3"/>
        <v>18</v>
      </c>
      <c r="G32" s="13">
        <f>E32+'0'!G32</f>
        <v>3122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1421</v>
      </c>
      <c r="G33" s="48"/>
    </row>
    <row r="34" spans="2:7" ht="30.95" customHeight="1">
      <c r="B34" s="105" t="s">
        <v>42</v>
      </c>
      <c r="C34" s="106"/>
      <c r="D34" s="106"/>
      <c r="E34" s="106"/>
      <c r="F34" s="106"/>
      <c r="G34" s="10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</f>
        <v>0</v>
      </c>
      <c r="G35" s="13">
        <f>E35+'0'!G35</f>
        <v>3807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 t="shared" ref="F36:F37" si="4">E36</f>
        <v>5</v>
      </c>
      <c r="G36" s="13">
        <f>E36+'0'!G36</f>
        <v>374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 t="shared" si="4"/>
        <v>0</v>
      </c>
      <c r="G37" s="13">
        <f>E37+'0'!G37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7" orientation="portrait"/>
  <ignoredErrors>
    <ignoredError sqref="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G38" sqref="G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.285156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'1'!E6+1</f>
        <v>46267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159700</v>
      </c>
      <c r="F7" s="12">
        <f>E7+'1'!F7</f>
        <v>337600</v>
      </c>
      <c r="G7" s="13">
        <f>E7+'1'!G7</f>
        <v>25358016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17609</v>
      </c>
      <c r="F8" s="12">
        <f>E8+'1'!F8</f>
        <v>35719</v>
      </c>
      <c r="G8" s="13">
        <f>E8+'1'!G8</f>
        <v>2751212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142091</v>
      </c>
      <c r="F9" s="12">
        <f>E9+'1'!F9</f>
        <v>301881</v>
      </c>
      <c r="G9" s="13">
        <f>E9+'1'!G9</f>
        <v>22606804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11.026299311208517</v>
      </c>
      <c r="F10" s="15">
        <f>F8/F7*100</f>
        <v>10.580272511848342</v>
      </c>
      <c r="G10" s="16">
        <f>G8/G7*100</f>
        <v>10.849476552108808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6.6541666666666668</v>
      </c>
      <c r="F11" s="15">
        <f>F7/F12/1000</f>
        <v>7.0333333333333332</v>
      </c>
      <c r="G11" s="16">
        <f>G7/G12/1000</f>
        <v>6.8541476784353161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E12+'1'!F12</f>
        <v>48</v>
      </c>
      <c r="G12" s="13">
        <f>E12+'1'!G12</f>
        <v>3699.66</v>
      </c>
    </row>
    <row r="13" spans="1:12" ht="30.95" customHeight="1">
      <c r="B13" s="9">
        <v>7</v>
      </c>
      <c r="C13" s="10" t="s">
        <v>15</v>
      </c>
      <c r="D13" s="11" t="s">
        <v>10</v>
      </c>
      <c r="E13" s="15">
        <f>E11/10*100</f>
        <v>66.541666666666671</v>
      </c>
      <c r="F13" s="15">
        <f>F11/10*100</f>
        <v>70.333333333333343</v>
      </c>
      <c r="G13" s="16">
        <f>G11/10*100</f>
        <v>68.541476784353165</v>
      </c>
    </row>
    <row r="14" spans="1:12" ht="30.95" customHeight="1">
      <c r="B14" s="9">
        <v>8</v>
      </c>
      <c r="C14" s="10" t="s">
        <v>16</v>
      </c>
      <c r="D14" s="11" t="s">
        <v>17</v>
      </c>
      <c r="E14" s="12">
        <v>749</v>
      </c>
      <c r="F14" s="12">
        <f>E14+'1'!F14</f>
        <v>1558</v>
      </c>
      <c r="G14" s="13">
        <f>E14+'1'!G14</f>
        <v>117756</v>
      </c>
    </row>
    <row r="15" spans="1:12" ht="30.95" customHeight="1">
      <c r="B15" s="9">
        <v>9</v>
      </c>
      <c r="C15" s="10" t="s">
        <v>18</v>
      </c>
      <c r="D15" s="11" t="s">
        <v>17</v>
      </c>
      <c r="E15" s="12">
        <v>726</v>
      </c>
      <c r="F15" s="12">
        <f>E15+'1'!F15</f>
        <v>1513</v>
      </c>
      <c r="G15" s="13">
        <f>E15+'1'!G15</f>
        <v>114190</v>
      </c>
    </row>
    <row r="16" spans="1:12" ht="30.95" customHeight="1">
      <c r="B16" s="9">
        <v>10</v>
      </c>
      <c r="C16" s="10" t="s">
        <v>19</v>
      </c>
      <c r="D16" s="90" t="s">
        <v>17</v>
      </c>
      <c r="E16" s="12">
        <v>45</v>
      </c>
      <c r="F16" s="12">
        <f>E16+'1'!F16</f>
        <v>106</v>
      </c>
      <c r="G16" s="13">
        <f>E16+'1'!G16</f>
        <v>7594</v>
      </c>
    </row>
    <row r="17" spans="2:8" ht="30.95" customHeight="1">
      <c r="B17" s="9">
        <v>11</v>
      </c>
      <c r="C17" s="10" t="s">
        <v>20</v>
      </c>
      <c r="D17" s="11" t="s">
        <v>17</v>
      </c>
      <c r="E17" s="12">
        <v>668</v>
      </c>
      <c r="F17" s="12">
        <f>E17+'1'!F17</f>
        <v>1409</v>
      </c>
      <c r="G17" s="13">
        <f>E17+'1'!G17</f>
        <v>105701</v>
      </c>
    </row>
    <row r="18" spans="2:8" ht="30.95" customHeight="1">
      <c r="B18" s="9">
        <v>12</v>
      </c>
      <c r="C18" s="10" t="s">
        <v>21</v>
      </c>
      <c r="D18" s="11" t="s">
        <v>17</v>
      </c>
      <c r="E18" s="12">
        <v>533</v>
      </c>
      <c r="F18" s="12">
        <f>E18+'1'!F18</f>
        <v>1113</v>
      </c>
      <c r="G18" s="13">
        <f>E18+'1'!G18</f>
        <v>84242</v>
      </c>
    </row>
    <row r="19" spans="2:8" ht="30.95" customHeight="1">
      <c r="B19" s="9">
        <v>13</v>
      </c>
      <c r="C19" s="10" t="s">
        <v>22</v>
      </c>
      <c r="D19" s="18" t="s">
        <v>17</v>
      </c>
      <c r="E19" s="12">
        <v>18</v>
      </c>
      <c r="F19" s="12">
        <f>E19+'1'!F19</f>
        <v>36</v>
      </c>
      <c r="G19" s="13">
        <f>E19+'1'!G19</f>
        <v>2734</v>
      </c>
    </row>
    <row r="20" spans="2:8" ht="30.95" customHeight="1">
      <c r="B20" s="9">
        <v>14</v>
      </c>
      <c r="C20" s="10" t="s">
        <v>23</v>
      </c>
      <c r="D20" s="11" t="s">
        <v>24</v>
      </c>
      <c r="E20" s="15">
        <f>E17*1000/E7</f>
        <v>4.182842830306825</v>
      </c>
      <c r="F20" s="15">
        <f>F17*1000/F7</f>
        <v>4.173578199052133</v>
      </c>
      <c r="G20" s="16">
        <f>G17*1000/G7</f>
        <v>4.1683466088198697</v>
      </c>
    </row>
    <row r="21" spans="2:8" ht="30.95" customHeight="1">
      <c r="B21" s="9">
        <v>15</v>
      </c>
      <c r="C21" s="10" t="s">
        <v>25</v>
      </c>
      <c r="D21" s="11" t="s">
        <v>24</v>
      </c>
      <c r="E21" s="19">
        <f>E26*1000/E7</f>
        <v>0.77645585472761425</v>
      </c>
      <c r="F21" s="19">
        <f>F26*1000/F7</f>
        <v>0.76421800947867302</v>
      </c>
      <c r="G21" s="20">
        <f>G26*1000/G7</f>
        <v>0.83125588374106241</v>
      </c>
    </row>
    <row r="22" spans="2:8" ht="30.95" customHeight="1">
      <c r="B22" s="9">
        <v>16</v>
      </c>
      <c r="C22" s="10" t="s">
        <v>26</v>
      </c>
      <c r="D22" s="11" t="s">
        <v>27</v>
      </c>
      <c r="E22" s="21">
        <f>((E17*(803-130)+E31*(30))*1000)/E7</f>
        <v>2817.6831559173452</v>
      </c>
      <c r="F22" s="21">
        <f t="shared" ref="F22:G22" si="0">((F17*(803-130)+F31*(30))*1000)/F7</f>
        <v>2811.3062796208533</v>
      </c>
      <c r="G22" s="21">
        <f t="shared" si="0"/>
        <v>2808.0466941893246</v>
      </c>
    </row>
    <row r="23" spans="2:8" ht="30.95" customHeight="1">
      <c r="B23" s="9">
        <v>17</v>
      </c>
      <c r="C23" s="10" t="s">
        <v>28</v>
      </c>
      <c r="D23" s="11" t="s">
        <v>27</v>
      </c>
      <c r="E23" s="21">
        <f>(E15*(803-130))*1000/(E7*0.78)</f>
        <v>3922.4025817638844</v>
      </c>
      <c r="F23" s="21">
        <f t="shared" ref="F23:G23" si="1">(F15*(803-130))*1000/(F7*0.78)</f>
        <v>3866.8466703123099</v>
      </c>
      <c r="G23" s="21">
        <f t="shared" si="1"/>
        <v>3885.377876525291</v>
      </c>
    </row>
    <row r="24" spans="2:8" ht="30.95" customHeight="1">
      <c r="B24" s="9">
        <v>18</v>
      </c>
      <c r="C24" s="23" t="s">
        <v>29</v>
      </c>
      <c r="D24" s="24" t="s">
        <v>6</v>
      </c>
      <c r="E24" s="25">
        <v>0</v>
      </c>
      <c r="F24" s="47">
        <f>E24+'1'!F24</f>
        <v>0</v>
      </c>
      <c r="G24" s="48">
        <f>E24+'1'!G24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124</v>
      </c>
      <c r="F26" s="32">
        <f>E26+'1'!F26</f>
        <v>258</v>
      </c>
      <c r="G26" s="33">
        <f>E26+'1'!G26</f>
        <v>21079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4432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E30+'1'!F30</f>
        <v>28</v>
      </c>
      <c r="G30" s="33">
        <f>E30+'1'!G30</f>
        <v>2312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E31+'1'!F31</f>
        <v>28</v>
      </c>
      <c r="G31" s="13">
        <f>E31+'1'!G31</f>
        <v>2324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54</v>
      </c>
      <c r="F32" s="12">
        <f>E32+'1'!F32</f>
        <v>72</v>
      </c>
      <c r="G32" s="13">
        <f>E32+'1'!G32</f>
        <v>3176</v>
      </c>
    </row>
    <row r="33" spans="2:7" ht="30.95" customHeight="1">
      <c r="B33" s="44">
        <v>4</v>
      </c>
      <c r="C33" s="23" t="s">
        <v>40</v>
      </c>
      <c r="D33" s="45" t="s">
        <v>41</v>
      </c>
      <c r="E33" s="47">
        <v>21</v>
      </c>
      <c r="F33" s="47">
        <v>1542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E35+'1'!F35</f>
        <v>0</v>
      </c>
      <c r="G35" s="33">
        <f>E35+'1'!G35</f>
        <v>3807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E36+'1'!F36</f>
        <v>9</v>
      </c>
      <c r="G36" s="13">
        <f>E36+'1'!G36</f>
        <v>378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E37+'1'!F37</f>
        <v>0</v>
      </c>
      <c r="G37" s="48">
        <f>E37+'1'!G37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0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G37" sqref="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39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'2'!E6+1</f>
        <v>46268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179500</v>
      </c>
      <c r="F7" s="12">
        <f>E7+'2'!F7</f>
        <v>517100</v>
      </c>
      <c r="G7" s="13">
        <f>E7+'2'!G7</f>
        <v>25537516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17987</v>
      </c>
      <c r="F8" s="12">
        <f>E8+'2'!F8</f>
        <v>53706</v>
      </c>
      <c r="G8" s="13">
        <f>E8+'2'!G8</f>
        <v>2769199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161513</v>
      </c>
      <c r="F9" s="12">
        <f>E9+'2'!F9</f>
        <v>463394</v>
      </c>
      <c r="G9" s="13">
        <f>E9+'2'!G9</f>
        <v>22768317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10.020612813370473</v>
      </c>
      <c r="F10" s="15">
        <f>F8/F7*100</f>
        <v>10.385998839682847</v>
      </c>
      <c r="G10" s="16">
        <f>G8/G7*100</f>
        <v>10.843650572749519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7.479166666666667</v>
      </c>
      <c r="F11" s="15">
        <f>F7/F12/1000</f>
        <v>7.1819444444444445</v>
      </c>
      <c r="G11" s="16">
        <f>G7/G12/1000</f>
        <v>6.8581760955618938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E12+'2'!F12</f>
        <v>72</v>
      </c>
      <c r="G12" s="13">
        <f>E12+'2'!G12</f>
        <v>3723.66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74.791666666666671</v>
      </c>
      <c r="F13" s="15">
        <f>F11/10*100</f>
        <v>71.819444444444443</v>
      </c>
      <c r="G13" s="16">
        <f>G11/10*100</f>
        <v>68.581760955618947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825</v>
      </c>
      <c r="F14" s="12">
        <f>E14+'2'!F14</f>
        <v>2383</v>
      </c>
      <c r="G14" s="13">
        <f>E14+'2'!G14</f>
        <v>118581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795</v>
      </c>
      <c r="F15" s="12">
        <f>E15+'2'!F15</f>
        <v>2308</v>
      </c>
      <c r="G15" s="13">
        <f>E15+'2'!G15</f>
        <v>114985</v>
      </c>
    </row>
    <row r="16" spans="1:12" ht="30.95" customHeight="1">
      <c r="B16" s="9">
        <v>9</v>
      </c>
      <c r="C16" s="10" t="s">
        <v>19</v>
      </c>
      <c r="D16" s="90" t="s">
        <v>17</v>
      </c>
      <c r="E16" s="12">
        <v>46</v>
      </c>
      <c r="F16" s="70">
        <f>E16+'2'!F16</f>
        <v>152</v>
      </c>
      <c r="G16" s="13">
        <f>E16+'2'!G16</f>
        <v>7640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743</v>
      </c>
      <c r="F17" s="12">
        <f>E17+'2'!F17</f>
        <v>2152</v>
      </c>
      <c r="G17" s="13">
        <f>E17+'2'!G17</f>
        <v>106444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597</v>
      </c>
      <c r="F18" s="12">
        <f>E18+'2'!F18</f>
        <v>1710</v>
      </c>
      <c r="G18" s="13">
        <f>E18+'2'!G18</f>
        <v>84839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E19+'2'!F19</f>
        <v>53</v>
      </c>
      <c r="G19" s="13">
        <f>E19+'2'!G19</f>
        <v>2751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4.1392757660167128</v>
      </c>
      <c r="F20" s="15">
        <f>F17*1000/F7</f>
        <v>4.1616708567008311</v>
      </c>
      <c r="G20" s="16">
        <f>G17*1000/G7</f>
        <v>4.1681422735085123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0.76880222841225632</v>
      </c>
      <c r="F21" s="19">
        <f>F26*1000/F7</f>
        <v>0.76580932121446532</v>
      </c>
      <c r="G21" s="20">
        <f>G26*1000/G7</f>
        <v>0.83081690482347614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2787.4038997214484</v>
      </c>
      <c r="F22" s="21">
        <f t="shared" ref="F22:G22" si="0">((F17*(803-130)+F31*(30))*1000)/F7</f>
        <v>2803.0090891510345</v>
      </c>
      <c r="G22" s="21">
        <f t="shared" si="0"/>
        <v>2807.9015985736437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3821.4056138847227</v>
      </c>
      <c r="F23" s="21">
        <f t="shared" ref="F23:G23" si="1">(F15*(803-130))*1000/(F7*0.78)</f>
        <v>3851.0727975048221</v>
      </c>
      <c r="G23" s="21">
        <f t="shared" si="1"/>
        <v>3884.9282235071987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E24+'2'!F24</f>
        <v>0</v>
      </c>
      <c r="G24" s="48">
        <f>E24+'2'!G24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E26+'2'!F26</f>
        <v>396</v>
      </c>
      <c r="G26" s="33">
        <f>E26+'2'!G26</f>
        <v>21217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4767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9</v>
      </c>
      <c r="F30" s="32">
        <f>E30+'2'!F30</f>
        <v>37</v>
      </c>
      <c r="G30" s="33">
        <f>E30+'2'!G30</f>
        <v>2321</v>
      </c>
    </row>
    <row r="31" spans="2:8" ht="30.95" customHeight="1">
      <c r="B31" s="34">
        <v>2</v>
      </c>
      <c r="C31" s="10" t="s">
        <v>37</v>
      </c>
      <c r="D31" s="43" t="s">
        <v>38</v>
      </c>
      <c r="E31" s="35">
        <v>10</v>
      </c>
      <c r="F31" s="12">
        <f>E31+'2'!F31</f>
        <v>38</v>
      </c>
      <c r="G31" s="13">
        <f>E31+'2'!G31</f>
        <v>2334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E32+'2'!F32</f>
        <v>90</v>
      </c>
      <c r="G32" s="13">
        <f>E32+'2'!G32</f>
        <v>3194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</v>
      </c>
      <c r="F33" s="47">
        <v>1708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E35+'2'!F35</f>
        <v>0</v>
      </c>
      <c r="G35" s="33">
        <f>E35+'2'!G35</f>
        <v>3807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6</v>
      </c>
      <c r="F36" s="12">
        <f>E36+'2'!F36</f>
        <v>15</v>
      </c>
      <c r="G36" s="13">
        <f>E36+'2'!G36</f>
        <v>384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E37+'2'!F37</f>
        <v>0</v>
      </c>
      <c r="G37" s="48">
        <f>E37+'2'!G37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40"/>
  <sheetViews>
    <sheetView topLeftCell="B1" zoomScale="70" zoomScaleNormal="70" workbookViewId="0">
      <pane xSplit="3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'3'!E6+1</f>
        <v>46269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185500</v>
      </c>
      <c r="F7" s="12">
        <f>E7+'3'!F7</f>
        <v>702600</v>
      </c>
      <c r="G7" s="13">
        <f>E7+'3'!G7</f>
        <v>25723016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18143</v>
      </c>
      <c r="F8" s="12">
        <f>E8+'3'!F8</f>
        <v>71849</v>
      </c>
      <c r="G8" s="13">
        <f>E8+'3'!G8</f>
        <v>2787342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167357</v>
      </c>
      <c r="F9" s="12">
        <f>E9+'3'!F9</f>
        <v>630751</v>
      </c>
      <c r="G9" s="13">
        <f>E9+'3'!G9</f>
        <v>22935674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9.7805929919137462</v>
      </c>
      <c r="F10" s="15">
        <f>F8/F7*100</f>
        <v>10.226159977227441</v>
      </c>
      <c r="G10" s="16">
        <f>G8/G7*100</f>
        <v>10.835984396230987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7.729166666666667</v>
      </c>
      <c r="F11" s="15">
        <f>F7/F12/1000</f>
        <v>7.3187499999999996</v>
      </c>
      <c r="G11" s="16">
        <f>G7/G12/1000</f>
        <v>6.8637539157767788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E12+'3'!F12</f>
        <v>96</v>
      </c>
      <c r="G12" s="13">
        <f>E12+'3'!G12</f>
        <v>3747.66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77.291666666666671</v>
      </c>
      <c r="F13" s="15">
        <f>F11/10*100</f>
        <v>73.1875</v>
      </c>
      <c r="G13" s="16">
        <f>G11/10*100</f>
        <v>68.63753915776779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839</v>
      </c>
      <c r="F14" s="12">
        <f>E14+'3'!F14</f>
        <v>3222</v>
      </c>
      <c r="G14" s="13">
        <f>E14+'3'!G14</f>
        <v>119420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817</v>
      </c>
      <c r="F15" s="12">
        <f>E15+'3'!F15</f>
        <v>3125</v>
      </c>
      <c r="G15" s="13">
        <f>E15+'3'!G15</f>
        <v>115802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70">
        <f>E16+'3'!F16</f>
        <v>215</v>
      </c>
      <c r="G16" s="13">
        <f>E16+'3'!G16</f>
        <v>7703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772</v>
      </c>
      <c r="F17" s="12">
        <f>E17+'3'!F17</f>
        <v>2924</v>
      </c>
      <c r="G17" s="13">
        <f>E17+'3'!G17</f>
        <v>107216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603</v>
      </c>
      <c r="F18" s="12">
        <f>E18+'3'!F18</f>
        <v>2313</v>
      </c>
      <c r="G18" s="13">
        <f>E18+'3'!G18</f>
        <v>85442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E19+'3'!F19</f>
        <v>71</v>
      </c>
      <c r="G19" s="13">
        <f>E19+'3'!G19</f>
        <v>2769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4.1617250673854445</v>
      </c>
      <c r="F20" s="15">
        <f>F17*1000/F7</f>
        <v>4.1616851693709078</v>
      </c>
      <c r="G20" s="16">
        <f>G17*1000/G7</f>
        <v>4.1680959962082209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0.72237196765498657</v>
      </c>
      <c r="F21" s="19">
        <f>F26*1000/F7</f>
        <v>0.75434101907201823</v>
      </c>
      <c r="G21" s="20">
        <f>G26*1000/G7</f>
        <v>0.83003486060888043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2802.6199460916441</v>
      </c>
      <c r="F22" s="21">
        <f t="shared" ref="F22:G22" si="0">((F17*(803-130)+F31*(30))*1000)/F7</f>
        <v>2802.9063478508397</v>
      </c>
      <c r="G22" s="21">
        <f t="shared" si="0"/>
        <v>2807.8635102508974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3800.1313152256548</v>
      </c>
      <c r="F23" s="21">
        <f t="shared" ref="F23:G23" si="1">(F15*(803-130))*1000/(F7*0.78)</f>
        <v>3837.6232601253951</v>
      </c>
      <c r="G23" s="21">
        <f t="shared" si="1"/>
        <v>3884.3167156464478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E24+'3'!F24</f>
        <v>0</v>
      </c>
      <c r="G24" s="48">
        <f>E24+'3'!G24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E26+'3'!F26</f>
        <v>530</v>
      </c>
      <c r="G26" s="33">
        <f>E26+'3'!G26</f>
        <v>21351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5472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11</v>
      </c>
      <c r="F30" s="32">
        <f>E30+'3'!F30</f>
        <v>48</v>
      </c>
      <c r="G30" s="33">
        <f>E30+'3'!G30</f>
        <v>2332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E31+'3'!F31</f>
        <v>49</v>
      </c>
      <c r="G31" s="13">
        <f>E31+'3'!G31</f>
        <v>2345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20</v>
      </c>
      <c r="F32" s="12">
        <f>E32+'3'!F32</f>
        <v>110</v>
      </c>
      <c r="G32" s="13">
        <f>E32+'3'!G32</f>
        <v>3214</v>
      </c>
    </row>
    <row r="33" spans="2:7" ht="30.95" customHeight="1">
      <c r="B33" s="44">
        <v>4</v>
      </c>
      <c r="C33" s="23" t="s">
        <v>40</v>
      </c>
      <c r="D33" s="45" t="s">
        <v>41</v>
      </c>
      <c r="E33" s="88">
        <v>24.5</v>
      </c>
      <c r="F33" s="89">
        <v>1839</v>
      </c>
      <c r="G33" s="48"/>
    </row>
    <row r="34" spans="2:7" ht="30.95" customHeight="1">
      <c r="B34" s="96"/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E35+'3'!F35</f>
        <v>0</v>
      </c>
      <c r="G35" s="33">
        <f>E35+'3'!G35</f>
        <v>3807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E36+'3'!F36</f>
        <v>20</v>
      </c>
      <c r="G36" s="13">
        <f>E36+'3'!G36</f>
        <v>389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E37+'3'!F37</f>
        <v>0</v>
      </c>
      <c r="G37" s="48">
        <f>E37+'3'!G37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2.7109375" style="1" customWidth="1"/>
    <col min="6" max="6" width="35.28515625" style="1" customWidth="1"/>
    <col min="7" max="7" width="36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1" spans="1:12" ht="20.25" customHeight="1"/>
    <row r="2" spans="1:12" ht="29.2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29.2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26.2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24.7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'4'!E6+1</f>
        <v>46270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178400</v>
      </c>
      <c r="F7" s="12">
        <f>E7+'4'!F7</f>
        <v>881000</v>
      </c>
      <c r="G7" s="13">
        <f>E7+'4'!G7</f>
        <v>25901416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18081</v>
      </c>
      <c r="F8" s="12">
        <f>E8+'4'!F8</f>
        <v>89930</v>
      </c>
      <c r="G8" s="13">
        <f>E8+'4'!G8</f>
        <v>2805423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160319</v>
      </c>
      <c r="F9" s="12">
        <f>E9+'4'!F9</f>
        <v>791070</v>
      </c>
      <c r="G9" s="13">
        <f>E9+'4'!G9</f>
        <v>23095993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10.135089686098654</v>
      </c>
      <c r="F10" s="15">
        <f>F8/F7*100</f>
        <v>10.20771850170261</v>
      </c>
      <c r="G10" s="16">
        <f>G8/G7*100</f>
        <v>10.831156875747643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7.4333333333333327</v>
      </c>
      <c r="F11" s="15">
        <f>F7/F12/1000</f>
        <v>7.3416666666666668</v>
      </c>
      <c r="G11" s="16">
        <f>G7/G12/1000</f>
        <v>6.8673782896655586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E12+'4'!F12</f>
        <v>120</v>
      </c>
      <c r="G12" s="13">
        <f>E12+'4'!G12</f>
        <v>3771.66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74.333333333333329</v>
      </c>
      <c r="F13" s="15">
        <f>F11/10*100</f>
        <v>73.416666666666657</v>
      </c>
      <c r="G13" s="16">
        <f>G11/10*100</f>
        <v>68.673782896655595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817</v>
      </c>
      <c r="F14" s="12">
        <f>E14+'4'!F14</f>
        <v>4039</v>
      </c>
      <c r="G14" s="13">
        <f>E14+'4'!G14</f>
        <v>120237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788</v>
      </c>
      <c r="F15" s="12">
        <f>E15+'4'!F15</f>
        <v>3913</v>
      </c>
      <c r="G15" s="13">
        <f>E15+'4'!G15</f>
        <v>116590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70">
        <f>E16+'4'!F16</f>
        <v>272</v>
      </c>
      <c r="G16" s="13">
        <f>E16+'4'!G16</f>
        <v>7760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744</v>
      </c>
      <c r="F17" s="12">
        <f>E17+'4'!F17</f>
        <v>3668</v>
      </c>
      <c r="G17" s="13">
        <f>E17+'4'!G17</f>
        <v>107960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588</v>
      </c>
      <c r="F18" s="12">
        <f>E18+'4'!F18</f>
        <v>2901</v>
      </c>
      <c r="G18" s="13">
        <f>E18+'4'!G18</f>
        <v>86030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E19+'4'!F19</f>
        <v>88</v>
      </c>
      <c r="G19" s="13">
        <f>E19+'4'!G19</f>
        <v>2786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4.1704035874439462</v>
      </c>
      <c r="F20" s="15">
        <f>F17*1000/F7</f>
        <v>4.1634506242905793</v>
      </c>
      <c r="G20" s="16">
        <f>G17*1000/G7</f>
        <v>4.1681118900989818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0.71748878923766812</v>
      </c>
      <c r="F21" s="19">
        <f>F26*1000/F7</f>
        <v>0.7468785471055619</v>
      </c>
      <c r="G21" s="20">
        <f>G26*1000/G7</f>
        <v>0.82925968217336077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2808.8677130044844</v>
      </c>
      <c r="F22" s="21">
        <f t="shared" ref="F22:G22" si="0">((F17*(803-130)+F31*(30))*1000)/F7</f>
        <v>2804.1135073779797</v>
      </c>
      <c r="G22" s="21">
        <f t="shared" si="0"/>
        <v>2807.8704268523388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3811.1130274807406</v>
      </c>
      <c r="F23" s="21">
        <f t="shared" ref="F23:G23" si="1">(F15*(803-130))*1000/(F7*0.78)</f>
        <v>3832.2550132425276</v>
      </c>
      <c r="G23" s="21">
        <f t="shared" si="1"/>
        <v>3883.8125139468661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E24+'4'!F24</f>
        <v>0</v>
      </c>
      <c r="G24" s="48">
        <f>E24+'4'!G24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128</v>
      </c>
      <c r="F26" s="32">
        <f>E26+'4'!F26</f>
        <v>658</v>
      </c>
      <c r="G26" s="33">
        <f>E26+'4'!G26</f>
        <v>21479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5609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E30+'4'!F30</f>
        <v>63</v>
      </c>
      <c r="G30" s="33">
        <f>E30+'4'!G30</f>
        <v>2347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E31+'4'!F31</f>
        <v>62</v>
      </c>
      <c r="G31" s="13">
        <f>E31+'4'!G31</f>
        <v>2358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E32+'4'!F32</f>
        <v>128</v>
      </c>
      <c r="G32" s="13">
        <f>E32+'4'!G32</f>
        <v>3232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28</v>
      </c>
      <c r="F33" s="47">
        <v>1963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E35+'4'!F35</f>
        <v>0</v>
      </c>
      <c r="G35" s="33">
        <f>E35+'4'!G35</f>
        <v>3807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E36+'4'!F36</f>
        <v>25</v>
      </c>
      <c r="G36" s="13">
        <f>E36+'4'!G36</f>
        <v>394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E37+'4'!F37</f>
        <v>0</v>
      </c>
      <c r="G37" s="48">
        <f>E37+'4'!G37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'5'!E6+1</f>
        <v>46271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174700</v>
      </c>
      <c r="F7" s="12">
        <f>E7+'5'!F7</f>
        <v>1055700</v>
      </c>
      <c r="G7" s="13">
        <f>E7+'5'!G7</f>
        <v>26076116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17849</v>
      </c>
      <c r="F8" s="12">
        <f>E8+'5'!F8</f>
        <v>107779</v>
      </c>
      <c r="G8" s="13">
        <f>E8+'5'!G8</f>
        <v>2823272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156851</v>
      </c>
      <c r="F9" s="12">
        <f>E9+'5'!F9</f>
        <v>947921</v>
      </c>
      <c r="G9" s="13">
        <f>E9+'5'!G9</f>
        <v>23252844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10.2169433314253</v>
      </c>
      <c r="F10" s="15">
        <f>F8/F7*100</f>
        <v>10.209245050677277</v>
      </c>
      <c r="G10" s="16">
        <f>G8/G7*100</f>
        <v>10.827041880010043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7.2791666666666668</v>
      </c>
      <c r="F11" s="15">
        <f>F7/F12/1000</f>
        <v>7.3312499999999998</v>
      </c>
      <c r="G11" s="16">
        <f>G7/G12/1000</f>
        <v>6.8699820321103582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E12+'5'!F12</f>
        <v>144</v>
      </c>
      <c r="G12" s="13">
        <f>E12+'5'!G12</f>
        <v>3795.66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72.791666666666671</v>
      </c>
      <c r="F13" s="15">
        <f>F11/10*100</f>
        <v>73.3125</v>
      </c>
      <c r="G13" s="16">
        <f>G11/10*100</f>
        <v>68.699820321103573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798</v>
      </c>
      <c r="F14" s="12">
        <f>E14+'5'!F14</f>
        <v>4837</v>
      </c>
      <c r="G14" s="13">
        <f>E14+'5'!G14</f>
        <v>121035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773</v>
      </c>
      <c r="F15" s="12">
        <f>E15+'5'!F15</f>
        <v>4686</v>
      </c>
      <c r="G15" s="13">
        <f>E15+'5'!G15</f>
        <v>117363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58</v>
      </c>
      <c r="F16" s="12">
        <f>E16+'5'!F16</f>
        <v>330</v>
      </c>
      <c r="G16" s="13">
        <f>E16+'5'!G16</f>
        <v>7818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731</v>
      </c>
      <c r="F17" s="12">
        <f>E17+'5'!F17</f>
        <v>4399</v>
      </c>
      <c r="G17" s="13">
        <f>E17+'5'!G17</f>
        <v>108691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572</v>
      </c>
      <c r="F18" s="12">
        <f>E18+'5'!F18</f>
        <v>3473</v>
      </c>
      <c r="G18" s="13">
        <f>E18+'5'!G18</f>
        <v>86602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E19+'5'!F19</f>
        <v>106</v>
      </c>
      <c r="G19" s="13">
        <f>E19+'5'!G19</f>
        <v>2804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4.1843159702346879</v>
      </c>
      <c r="F20" s="15">
        <f>F17*1000/F7</f>
        <v>4.1669034763663921</v>
      </c>
      <c r="G20" s="16">
        <f>G17*1000/G7</f>
        <v>4.1682204512359124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0.7441327990841442</v>
      </c>
      <c r="F21" s="19">
        <f>F26*1000/F7</f>
        <v>0.74642417353414792</v>
      </c>
      <c r="G21" s="20">
        <f>G26*1000/G7</f>
        <v>0.82868936462776899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2818.1053234115625</v>
      </c>
      <c r="F22" s="21">
        <f t="shared" ref="F22:G22" si="0">((F17*(803-130)+F31*(30))*1000)/F7</f>
        <v>2806.4289097281426</v>
      </c>
      <c r="G22" s="21">
        <f t="shared" si="0"/>
        <v>2807.9389967432267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3817.7461729264819</v>
      </c>
      <c r="F23" s="21">
        <f t="shared" ref="F23:G23" si="1">(F15*(803-130))*1000/(F7*0.78)</f>
        <v>3829.8540523604461</v>
      </c>
      <c r="G23" s="21">
        <f t="shared" si="1"/>
        <v>3883.3698947402231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/>
      <c r="F24" s="47">
        <f>E24+'5'!F24</f>
        <v>0</v>
      </c>
      <c r="G24" s="48">
        <f>E24+'5'!G24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E26+'5'!F26</f>
        <v>788</v>
      </c>
      <c r="G26" s="33">
        <f>E26+'5'!G26</f>
        <v>21609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4121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E30+'5'!F30</f>
        <v>75</v>
      </c>
      <c r="G30" s="33">
        <f>E30+'5'!G30</f>
        <v>2359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E31+'5'!F31</f>
        <v>74</v>
      </c>
      <c r="G31" s="13">
        <f>E31+'5'!G31</f>
        <v>2370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E32+'5'!F32</f>
        <v>146</v>
      </c>
      <c r="G32" s="13">
        <f>E32+'5'!G32</f>
        <v>3250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</v>
      </c>
      <c r="F33" s="47">
        <v>1647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18</v>
      </c>
      <c r="F35" s="32">
        <f>E35+'5'!F35</f>
        <v>18</v>
      </c>
      <c r="G35" s="33">
        <f>E35+'5'!G35</f>
        <v>3825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E36+'5'!F36</f>
        <v>28</v>
      </c>
      <c r="G36" s="13">
        <f>E36+'5'!G36</f>
        <v>397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E37+'5'!F37</f>
        <v>0</v>
      </c>
      <c r="G37" s="48">
        <f>E37+'5'!G37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40"/>
  <sheetViews>
    <sheetView topLeftCell="B1" zoomScale="80" zoomScaleNormal="80" workbookViewId="0">
      <pane xSplit="3" ySplit="6" topLeftCell="E31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48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'6'!E6+1</f>
        <v>46272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172100</v>
      </c>
      <c r="F7" s="12">
        <f>E7+'6'!F7</f>
        <v>1227800</v>
      </c>
      <c r="G7" s="13">
        <f>E7+'6'!G7</f>
        <v>26248216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17662</v>
      </c>
      <c r="F8" s="12">
        <f>E8+'6'!F8</f>
        <v>125441</v>
      </c>
      <c r="G8" s="13">
        <f>E8+'6'!G8</f>
        <v>2840934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154438</v>
      </c>
      <c r="F9" s="12">
        <f>E9+'6'!F9</f>
        <v>1102359</v>
      </c>
      <c r="G9" s="13">
        <f>E9+'6'!G9</f>
        <v>23407282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10.262638001162115</v>
      </c>
      <c r="F10" s="15">
        <f>F8/F7*100</f>
        <v>10.216729108975404</v>
      </c>
      <c r="G10" s="16">
        <f>G8/G7*100</f>
        <v>10.823341289175614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7.1708333333333334</v>
      </c>
      <c r="F11" s="15">
        <f>F7/F12/1000</f>
        <v>7.3083333333333327</v>
      </c>
      <c r="G11" s="16">
        <f>G7/G12/1000</f>
        <v>6.8718723656032212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E12+'6'!F12</f>
        <v>168</v>
      </c>
      <c r="G12" s="13">
        <f>E12+'6'!G12</f>
        <v>3819.66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71.708333333333329</v>
      </c>
      <c r="F13" s="15">
        <f>F11/10*100</f>
        <v>73.083333333333329</v>
      </c>
      <c r="G13" s="16">
        <f>G11/10*100</f>
        <v>68.718723656032211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786</v>
      </c>
      <c r="F14" s="12">
        <f>E14+'6'!F14</f>
        <v>5623</v>
      </c>
      <c r="G14" s="13">
        <f>E14+'6'!G14</f>
        <v>121821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767</v>
      </c>
      <c r="F15" s="12">
        <f>E15+'6'!F15</f>
        <v>5453</v>
      </c>
      <c r="G15" s="13">
        <f>E15+'6'!G15</f>
        <v>118130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E16+'6'!F16</f>
        <v>387</v>
      </c>
      <c r="G16" s="13">
        <f>E16+'6'!G16</f>
        <v>7875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721</v>
      </c>
      <c r="F17" s="12">
        <f>E17+'6'!F17</f>
        <v>5120</v>
      </c>
      <c r="G17" s="13">
        <f>E17+'6'!G17</f>
        <v>109412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566</v>
      </c>
      <c r="F18" s="12">
        <f>E18+'6'!F18</f>
        <v>4039</v>
      </c>
      <c r="G18" s="13">
        <f>E18+'6'!G18</f>
        <v>87168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E19+'6'!F19</f>
        <v>123</v>
      </c>
      <c r="G19" s="13">
        <f>E19+'6'!G19</f>
        <v>2821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4.1894247530505524</v>
      </c>
      <c r="F20" s="15">
        <f>F17*1000/F7</f>
        <v>4.1700602704023453</v>
      </c>
      <c r="G20" s="16">
        <f>G17*1000/G7</f>
        <v>4.1683594801261918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0.74956420685647884</v>
      </c>
      <c r="F21" s="19">
        <f>F26*1000/F7</f>
        <v>0.74686431014823262</v>
      </c>
      <c r="G21" s="20">
        <f>G26*1000/G7</f>
        <v>0.82817056976367465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2821.400348634515</v>
      </c>
      <c r="F22" s="21">
        <f t="shared" ref="F22:G22" si="0">((F17*(803-130)+F31*(30))*1000)/F7</f>
        <v>2808.5274474670141</v>
      </c>
      <c r="G22" s="21">
        <f t="shared" si="0"/>
        <v>2808.0272579286911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3845.3418555103622</v>
      </c>
      <c r="F23" s="21">
        <f t="shared" ref="F23:G23" si="1">(F15*(803-130))*1000/(F7*0.78)</f>
        <v>3832.0249685700087</v>
      </c>
      <c r="G23" s="21">
        <f t="shared" si="1"/>
        <v>3883.1205587262457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E24+'6'!F24</f>
        <v>0</v>
      </c>
      <c r="G24" s="48">
        <f>E24+'6'!G24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129</v>
      </c>
      <c r="F26" s="32">
        <f>E26+'6'!F26</f>
        <v>917</v>
      </c>
      <c r="G26" s="33">
        <f>E26+'6'!G26</f>
        <v>21738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4397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/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10</v>
      </c>
      <c r="F30" s="32">
        <f>E30+'6'!F30</f>
        <v>85</v>
      </c>
      <c r="G30" s="33">
        <f>E30+'6'!G30</f>
        <v>2369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E31+'6'!F31</f>
        <v>85</v>
      </c>
      <c r="G31" s="13">
        <f>E31+'6'!G31</f>
        <v>2381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E32+'6'!F32</f>
        <v>164</v>
      </c>
      <c r="G32" s="13">
        <f>E32+'6'!G32</f>
        <v>3268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18.95</v>
      </c>
      <c r="F33" s="46">
        <v>1498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79">
        <v>17</v>
      </c>
      <c r="F35" s="80">
        <f>E35+'6'!F35</f>
        <v>35</v>
      </c>
      <c r="G35" s="81">
        <f>E35+'6'!G35</f>
        <v>3842</v>
      </c>
    </row>
    <row r="36" spans="2:7" ht="30.95" customHeight="1">
      <c r="B36" s="52">
        <v>6</v>
      </c>
      <c r="C36" s="53" t="s">
        <v>47</v>
      </c>
      <c r="D36" s="54" t="s">
        <v>43</v>
      </c>
      <c r="E36" s="82">
        <v>3</v>
      </c>
      <c r="F36" s="83">
        <f>E36+'6'!F36</f>
        <v>31</v>
      </c>
      <c r="G36" s="84">
        <f>E36+'6'!G36</f>
        <v>400</v>
      </c>
    </row>
    <row r="37" spans="2:7" ht="30.95" customHeight="1">
      <c r="B37" s="44">
        <v>7</v>
      </c>
      <c r="C37" s="56" t="s">
        <v>44</v>
      </c>
      <c r="D37" s="57" t="s">
        <v>43</v>
      </c>
      <c r="E37" s="85">
        <v>0</v>
      </c>
      <c r="F37" s="86">
        <f>E37+'6'!F37</f>
        <v>0</v>
      </c>
      <c r="G37" s="87">
        <f>E37+'6'!G37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'7'!E6+1</f>
        <v>46273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179400</v>
      </c>
      <c r="F7" s="12">
        <f>E7+'7'!F7</f>
        <v>1407200</v>
      </c>
      <c r="G7" s="13">
        <f>E7+'7'!G7</f>
        <v>26427616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18035</v>
      </c>
      <c r="F8" s="12">
        <f>E8+'7'!F8</f>
        <v>143476</v>
      </c>
      <c r="G8" s="13">
        <f>E8+'7'!G8</f>
        <v>2858969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161365</v>
      </c>
      <c r="F9" s="12">
        <f>E9+'7'!F9</f>
        <v>1263724</v>
      </c>
      <c r="G9" s="13">
        <f>E9+'7'!G9</f>
        <v>23568647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10.052954292084728</v>
      </c>
      <c r="F10" s="15">
        <f>F8/F7*100</f>
        <v>10.195849914724276</v>
      </c>
      <c r="G10" s="16">
        <f>G8/G7*100</f>
        <v>10.818111629895032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7.4749999999999996</v>
      </c>
      <c r="F11" s="15">
        <f>F7/F12/1000</f>
        <v>7.3291666666666666</v>
      </c>
      <c r="G11" s="16">
        <f>G7/G12/1000</f>
        <v>6.87563832388921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E12+'7'!F12</f>
        <v>192</v>
      </c>
      <c r="G12" s="13">
        <f>E12+'7'!G12</f>
        <v>3843.66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74.75</v>
      </c>
      <c r="F13" s="15">
        <f>F11/10*100</f>
        <v>73.291666666666671</v>
      </c>
      <c r="G13" s="16">
        <f>G11/10*100</f>
        <v>68.756383238892099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819</v>
      </c>
      <c r="F14" s="12">
        <f>E14+'7'!F14</f>
        <v>6442</v>
      </c>
      <c r="G14" s="13">
        <f>E14+'7'!G14</f>
        <v>122640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795</v>
      </c>
      <c r="F15" s="12">
        <f>E15+'7'!F15</f>
        <v>6248</v>
      </c>
      <c r="G15" s="13">
        <f>E15+'7'!G15</f>
        <v>118925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E16+'7'!F16</f>
        <v>448</v>
      </c>
      <c r="G16" s="13">
        <f>E16+'7'!G16</f>
        <v>7936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752</v>
      </c>
      <c r="F17" s="12">
        <f>E17+'7'!F17</f>
        <v>5872</v>
      </c>
      <c r="G17" s="13">
        <f>E17+'7'!G17</f>
        <v>110164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588</v>
      </c>
      <c r="F18" s="12">
        <f>E18+'7'!F18</f>
        <v>4627</v>
      </c>
      <c r="G18" s="13">
        <f>E18+'7'!G18</f>
        <v>87756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E19+'7'!F19</f>
        <v>142</v>
      </c>
      <c r="G19" s="13">
        <f>E19+'7'!G19</f>
        <v>2840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4.1917502787068006</v>
      </c>
      <c r="F20" s="15">
        <f>F17*1000/F7</f>
        <v>4.1728254690164865</v>
      </c>
      <c r="G20" s="16">
        <f>G17*1000/G7</f>
        <v>4.1685182651359849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0.74693422519509478</v>
      </c>
      <c r="F21" s="19">
        <f>F26*1000/F7</f>
        <v>0.74687322342239904</v>
      </c>
      <c r="G21" s="20">
        <f>G26*1000/G7</f>
        <v>0.8276191087383743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2823.0546265328876</v>
      </c>
      <c r="F22" s="21">
        <f t="shared" ref="F22:G22" si="0">((F17*(803-130)+F31*(30))*1000)/F7</f>
        <v>2810.3794769755541</v>
      </c>
      <c r="G22" s="21">
        <f t="shared" si="0"/>
        <v>2808.1292690191958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3823.5357173484263</v>
      </c>
      <c r="F23" s="21">
        <f t="shared" ref="F23:G23" si="1">(F15*(803-130))*1000/(F7*0.78)</f>
        <v>3830.9426976283144</v>
      </c>
      <c r="G23" s="21">
        <f t="shared" si="1"/>
        <v>3882.7160757587626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E24+'7'!F24</f>
        <v>0</v>
      </c>
      <c r="G24" s="48">
        <f>E24+'7'!G24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E26+'7'!F26</f>
        <v>1051</v>
      </c>
      <c r="G26" s="33">
        <f>E26+'7'!G26</f>
        <v>21872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4382</v>
      </c>
      <c r="F27" s="36"/>
      <c r="G27" s="37"/>
    </row>
    <row r="28" spans="2:8" ht="30.95" customHeight="1">
      <c r="B28" s="38"/>
      <c r="C28" s="23"/>
      <c r="D28" s="39"/>
      <c r="E28" s="95"/>
      <c r="F28" s="95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14</v>
      </c>
      <c r="F30" s="32">
        <f>E30+'7'!F30</f>
        <v>99</v>
      </c>
      <c r="G30" s="33">
        <f>E30+'7'!G30</f>
        <v>2383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E31+'7'!F31</f>
        <v>97</v>
      </c>
      <c r="G31" s="13">
        <f>E31+'7'!G31</f>
        <v>2393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E32+'7'!F32</f>
        <v>182</v>
      </c>
      <c r="G32" s="13">
        <f>E32+'7'!G32</f>
        <v>3286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6">
        <v>1402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E35+'7'!F35</f>
        <v>35</v>
      </c>
      <c r="G35" s="33">
        <f>E35+'7'!G35</f>
        <v>3842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E36+'7'!F36</f>
        <v>36</v>
      </c>
      <c r="G36" s="13">
        <f>E36+'7'!G36</f>
        <v>405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E37+'7'!F37</f>
        <v>0</v>
      </c>
      <c r="G37" s="48">
        <f>E37+'7'!G37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40"/>
  <sheetViews>
    <sheetView zoomScale="85" zoomScaleNormal="85" workbookViewId="0">
      <pane xSplit="4" ySplit="6" topLeftCell="E7" activePane="bottomRight" state="frozen"/>
      <selection pane="topRight"/>
      <selection pane="bottomLeft"/>
      <selection pane="bottomRight" activeCell="K4" sqref="K4"/>
    </sheetView>
  </sheetViews>
  <sheetFormatPr defaultColWidth="9.140625" defaultRowHeight="30.95" customHeight="1"/>
  <cols>
    <col min="1" max="1" width="6.28515625" style="1" customWidth="1"/>
    <col min="2" max="2" width="10.140625" style="1" customWidth="1"/>
    <col min="3" max="3" width="29.42578125" style="1" customWidth="1"/>
    <col min="4" max="4" width="14.5703125" style="2" customWidth="1"/>
    <col min="5" max="5" width="34.5703125" style="1" customWidth="1"/>
    <col min="6" max="6" width="37.28515625" style="1" customWidth="1"/>
    <col min="7" max="7" width="38.28515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'8'!E6+1</f>
        <v>46274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183200</v>
      </c>
      <c r="F7" s="12">
        <f>E7+'8'!F7</f>
        <v>1590400</v>
      </c>
      <c r="G7" s="13">
        <f>E7+'8'!G7</f>
        <v>26610816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18049</v>
      </c>
      <c r="F8" s="12">
        <f>E8+'8'!F8</f>
        <v>161525</v>
      </c>
      <c r="G8" s="13">
        <f>E8+'8'!G8</f>
        <v>2877018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165151</v>
      </c>
      <c r="F9" s="12">
        <f>E9+'8'!F9</f>
        <v>1428875</v>
      </c>
      <c r="G9" s="13">
        <f>E9+'8'!G9</f>
        <v>23733798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9.8520742358078603</v>
      </c>
      <c r="F10" s="15">
        <f>F8/F7*100</f>
        <v>10.15625</v>
      </c>
      <c r="G10" s="16">
        <f>G8/G7*100</f>
        <v>10.811461023968599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7.6333333333333329</v>
      </c>
      <c r="F11" s="15">
        <f>F7/F12/1000</f>
        <v>7.3629629629629623</v>
      </c>
      <c r="G11" s="16">
        <f>G7/G12/1000</f>
        <v>6.8803400505732153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E12+'8'!F12</f>
        <v>216</v>
      </c>
      <c r="G12" s="13">
        <f>E12+'8'!G12</f>
        <v>3867.66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76.333333333333329</v>
      </c>
      <c r="F13" s="15">
        <f>F11/10*100</f>
        <v>73.629629629629619</v>
      </c>
      <c r="G13" s="16">
        <f>G11/10*100</f>
        <v>68.803400505732142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832</v>
      </c>
      <c r="F14" s="12">
        <f>E14+'8'!F14</f>
        <v>7274</v>
      </c>
      <c r="G14" s="13">
        <f>E14+'8'!G14</f>
        <v>123472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811</v>
      </c>
      <c r="F15" s="12">
        <f>E15+'8'!F15</f>
        <v>7059</v>
      </c>
      <c r="G15" s="13">
        <f>E15+'8'!G15</f>
        <v>119736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E16+'8'!F16</f>
        <v>509</v>
      </c>
      <c r="G16" s="13">
        <f>E16+'8'!G16</f>
        <v>7997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765</v>
      </c>
      <c r="F17" s="12">
        <f>E17+'8'!F17</f>
        <v>6637</v>
      </c>
      <c r="G17" s="13">
        <f>E17+'8'!G17</f>
        <v>110929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609</v>
      </c>
      <c r="F18" s="12">
        <f>E18+'8'!F18</f>
        <v>5236</v>
      </c>
      <c r="G18" s="13">
        <f>E18+'8'!G18</f>
        <v>88365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E19+'8'!F19</f>
        <v>159</v>
      </c>
      <c r="G19" s="13">
        <f>E19+'8'!G19</f>
        <v>2857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4.1757641921397379</v>
      </c>
      <c r="F20" s="15">
        <f>F17*1000/F7</f>
        <v>4.1731639839034207</v>
      </c>
      <c r="G20" s="16">
        <f>G17*1000/G7</f>
        <v>4.1685681491315414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0.74781659388646293</v>
      </c>
      <c r="F21" s="19">
        <f>F26*1000/F7</f>
        <v>0.74698189134808857</v>
      </c>
      <c r="G21" s="20">
        <f>G26*1000/G7</f>
        <v>0.82706971481069957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2812.0906113537117</v>
      </c>
      <c r="F22" s="21">
        <f t="shared" ref="F22:G22" si="0">((F17*(803-130)+F31*(30))*1000)/F7</f>
        <v>2810.5765845070423</v>
      </c>
      <c r="G22" s="78">
        <f t="shared" si="0"/>
        <v>2808.1565405585457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3819.5820736759601</v>
      </c>
      <c r="F23" s="21">
        <f t="shared" ref="F23:G23" si="1">(F15*(803-130))*1000/(F7*0.78)</f>
        <v>3829.6340543259557</v>
      </c>
      <c r="G23" s="21">
        <f t="shared" si="1"/>
        <v>3882.2814348525399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E24+'8'!F24</f>
        <v>0</v>
      </c>
      <c r="G24" s="48">
        <f>E24+'8'!G24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E26+'8'!F26</f>
        <v>1188</v>
      </c>
      <c r="G26" s="33">
        <f>E26+'8'!G26</f>
        <v>22009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4134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E30+'8'!F30</f>
        <v>111</v>
      </c>
      <c r="G30" s="33">
        <f>E30+'8'!G30</f>
        <v>2395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E31+'8'!F31</f>
        <v>108</v>
      </c>
      <c r="G31" s="13">
        <f>E31+'8'!G31</f>
        <v>2404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E32+'8'!F32</f>
        <v>200</v>
      </c>
      <c r="G32" s="13">
        <f>E32+'8'!G32</f>
        <v>3304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6">
        <v>1540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E35+'8'!F35</f>
        <v>35</v>
      </c>
      <c r="G35" s="33">
        <f>E35+'8'!G35</f>
        <v>3842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E36+'8'!F36</f>
        <v>41</v>
      </c>
      <c r="G36" s="13">
        <f>E36+'8'!G36</f>
        <v>410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E37+'8'!F37</f>
        <v>0</v>
      </c>
      <c r="G37" s="48">
        <f>E37+'8'!G37</f>
        <v>0</v>
      </c>
    </row>
    <row r="38" spans="2:7" ht="30.95" customHeight="1">
      <c r="D38" s="1"/>
      <c r="G38" s="1" t="s">
        <v>49</v>
      </c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45" top="0.75" bottom="0.75" header="0.3" footer="0.3"/>
  <pageSetup scale="4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0"/>
  <sheetViews>
    <sheetView topLeftCell="C1" zoomScale="85" zoomScaleNormal="85" workbookViewId="0">
      <pane xSplit="2" ySplit="6" topLeftCell="E25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6.7109375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6" width="38.7109375" style="1" customWidth="1"/>
    <col min="7" max="7" width="38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'9'!E6+1</f>
        <v>46275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185100</v>
      </c>
      <c r="F7" s="36">
        <f>E7+'9'!F7</f>
        <v>1775500</v>
      </c>
      <c r="G7" s="13">
        <f>E7+'9'!G7</f>
        <v>26795916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18232</v>
      </c>
      <c r="F8" s="12">
        <f>E8+'9'!F8</f>
        <v>179757</v>
      </c>
      <c r="G8" s="13">
        <f>E8+'9'!G8</f>
        <v>2895250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166868</v>
      </c>
      <c r="F9" s="12">
        <f>E9+'9'!F9</f>
        <v>1595743</v>
      </c>
      <c r="G9" s="13">
        <f>E9+'9'!G9</f>
        <v>23900666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9.84981091301999</v>
      </c>
      <c r="F10" s="15">
        <f>F8/F7*100</f>
        <v>10.124303013235709</v>
      </c>
      <c r="G10" s="16">
        <f>G8/G7*100</f>
        <v>10.804818167066951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7.7125000000000004</v>
      </c>
      <c r="F11" s="15">
        <f>F7/F12/1000</f>
        <v>7.3979166666666671</v>
      </c>
      <c r="G11" s="16">
        <f>G7/G12/1000</f>
        <v>6.8854720093738928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E12+'9'!F12</f>
        <v>240</v>
      </c>
      <c r="G12" s="13">
        <f>E12+'9'!G12</f>
        <v>3891.66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77.125</v>
      </c>
      <c r="F13" s="15">
        <f>F11/10*100</f>
        <v>73.979166666666671</v>
      </c>
      <c r="G13" s="16">
        <f>G11/10*100</f>
        <v>68.854720093738933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845</v>
      </c>
      <c r="F14" s="12">
        <f>E14+'9'!F14</f>
        <v>8119</v>
      </c>
      <c r="G14" s="13">
        <f>E14+'9'!G14</f>
        <v>124317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817</v>
      </c>
      <c r="F15" s="12">
        <f>E15+'9'!F15</f>
        <v>7876</v>
      </c>
      <c r="G15" s="13">
        <f>E15+'9'!G15</f>
        <v>120553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62</v>
      </c>
      <c r="F16" s="70">
        <f>E16+'9'!F16</f>
        <v>571</v>
      </c>
      <c r="G16" s="13">
        <f>E16+'9'!G16</f>
        <v>8059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776</v>
      </c>
      <c r="F17" s="12">
        <f>E17+'9'!F17</f>
        <v>7413</v>
      </c>
      <c r="G17" s="13">
        <f>E17+'9'!G17</f>
        <v>111705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608</v>
      </c>
      <c r="F18" s="12">
        <f>E18+'9'!F18</f>
        <v>5844</v>
      </c>
      <c r="G18" s="13">
        <f>E18+'9'!G18</f>
        <v>88973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E19+'9'!F19</f>
        <v>177</v>
      </c>
      <c r="G19" s="13">
        <f>E19+'9'!G19</f>
        <v>2875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4.1923284710967046</v>
      </c>
      <c r="F20" s="15">
        <f>F17*1000/F7</f>
        <v>4.1751619262179664</v>
      </c>
      <c r="G20" s="16">
        <f>G17*1000/G7</f>
        <v>4.1687322799489293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0.74554294975688817</v>
      </c>
      <c r="F21" s="19">
        <f>F26*1000/F7</f>
        <v>0.74683187834412845</v>
      </c>
      <c r="G21" s="20">
        <f>G26*1000/G7</f>
        <v>0.82650654674391422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2823.5440302539168</v>
      </c>
      <c r="F22" s="21">
        <f t="shared" ref="F22:G22" si="0">((F17*(803-130)+F31*(30))*1000)/F7</f>
        <v>2811.9284708532809</v>
      </c>
      <c r="G22" s="78">
        <f t="shared" si="0"/>
        <v>2808.2628337840738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3808.3433764146894</v>
      </c>
      <c r="F23" s="21">
        <f t="shared" ref="F23:G23" si="1">(F15*(803-130))*1000/(F7*0.78)</f>
        <v>3827.4144516893039</v>
      </c>
      <c r="G23" s="21">
        <f t="shared" si="1"/>
        <v>3881.7706878186691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E24+'9'!F24</f>
        <v>0</v>
      </c>
      <c r="G24" s="48">
        <f>E24+'9'!G24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E26+'9'!F26</f>
        <v>1326</v>
      </c>
      <c r="G26" s="33">
        <f>E26+'9'!G26</f>
        <v>22147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4205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10</v>
      </c>
      <c r="F30" s="32">
        <f>E30+'9'!F30</f>
        <v>121</v>
      </c>
      <c r="G30" s="33">
        <f>E30+'9'!G30</f>
        <v>2405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E31+'9'!F31</f>
        <v>121</v>
      </c>
      <c r="G31" s="13">
        <f>E31+'9'!G31</f>
        <v>2417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E32+'9'!F32</f>
        <v>218</v>
      </c>
      <c r="G32" s="13">
        <f>E32+'9'!G32</f>
        <v>3322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19</v>
      </c>
      <c r="F33" s="35">
        <v>1533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52</v>
      </c>
      <c r="F35" s="32">
        <f>E35+'9'!F35</f>
        <v>87</v>
      </c>
      <c r="G35" s="33">
        <f>E35+'9'!G35</f>
        <v>3894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E36+'9'!F36</f>
        <v>41</v>
      </c>
      <c r="G36" s="13">
        <f>E36+'9'!G36</f>
        <v>410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E37+'9'!F37</f>
        <v>0</v>
      </c>
      <c r="G37" s="48">
        <f>E37+'9'!G37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45" right="0.45" top="0.75" bottom="0.75" header="0.3" footer="0.3"/>
  <pageSetup scale="5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28" sqref="E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'10'!E6+1</f>
        <v>46276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165700</v>
      </c>
      <c r="F7" s="12">
        <f>E7+'10'!F7</f>
        <v>1941200</v>
      </c>
      <c r="G7" s="13">
        <f>E7+'10'!G7</f>
        <v>26961616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17719</v>
      </c>
      <c r="F8" s="12">
        <f>E8+'10'!F8</f>
        <v>197476</v>
      </c>
      <c r="G8" s="13">
        <f>E8+'10'!G8</f>
        <v>2912969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147981</v>
      </c>
      <c r="F9" s="12">
        <f>E9+'10'!F9</f>
        <v>1743724</v>
      </c>
      <c r="G9" s="13">
        <f>E9+'10'!G9</f>
        <v>24048647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10.693421846710924</v>
      </c>
      <c r="F10" s="15">
        <f>F8/F7*100</f>
        <v>10.172882752936328</v>
      </c>
      <c r="G10" s="16">
        <f>G8/G7*100</f>
        <v>10.804133550451873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6.9041666666666668</v>
      </c>
      <c r="F11" s="15">
        <f>F7/F12/1000</f>
        <v>7.3530303030303026</v>
      </c>
      <c r="G11" s="16">
        <f>G7/G12/1000</f>
        <v>6.8855865933201557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E12+'10'!F12</f>
        <v>264</v>
      </c>
      <c r="G12" s="13">
        <f>E12+'10'!G12</f>
        <v>3915.66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69.041666666666671</v>
      </c>
      <c r="F13" s="15">
        <f>F11/10*100</f>
        <v>73.530303030303017</v>
      </c>
      <c r="G13" s="16">
        <f>G11/10*100</f>
        <v>68.855865933201557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759</v>
      </c>
      <c r="F14" s="12">
        <f>E14+'10'!F14</f>
        <v>8878</v>
      </c>
      <c r="G14" s="13">
        <f>E14+'10'!G14</f>
        <v>125076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737</v>
      </c>
      <c r="F15" s="12">
        <f>E15+'10'!F15</f>
        <v>8613</v>
      </c>
      <c r="G15" s="13">
        <f>E15+'10'!G15</f>
        <v>121290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56</v>
      </c>
      <c r="F16" s="70">
        <f>E16+'10'!F16</f>
        <v>627</v>
      </c>
      <c r="G16" s="13">
        <f>E16+'10'!G16</f>
        <v>8115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691</v>
      </c>
      <c r="F17" s="12">
        <f>E17+'10'!F17</f>
        <v>8104</v>
      </c>
      <c r="G17" s="13">
        <f>E17+'10'!G17</f>
        <v>112396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576</v>
      </c>
      <c r="F18" s="12">
        <f>E18+'10'!F18</f>
        <v>6420</v>
      </c>
      <c r="G18" s="13">
        <f>E18+'10'!G18</f>
        <v>89549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E19+'10'!F19</f>
        <v>194</v>
      </c>
      <c r="G19" s="13">
        <f>E19+'10'!G19</f>
        <v>2892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4.1701870850935423</v>
      </c>
      <c r="F20" s="15">
        <f>F17*1000/F7</f>
        <v>4.1747372759118075</v>
      </c>
      <c r="G20" s="16">
        <f>G17*1000/G7</f>
        <v>4.1687412208526373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0.74230537115268558</v>
      </c>
      <c r="F21" s="19">
        <f>F26*1000/F7</f>
        <v>0.74644549763033174</v>
      </c>
      <c r="G21" s="20">
        <f>G26*1000/G7</f>
        <v>0.82598906534385774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2808.8895594447799</v>
      </c>
      <c r="F22" s="21">
        <f t="shared" ref="F22:G22" si="0">((F17*(803-130)+F31*(30))*1000)/F7</f>
        <v>2811.6690706779314</v>
      </c>
      <c r="G22" s="21">
        <f t="shared" si="0"/>
        <v>2808.2666854983768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3837.6506816458536</v>
      </c>
      <c r="F23" s="21">
        <f t="shared" ref="F23:G23" si="1">(F15*(803-130))*1000/(F7*0.78)</f>
        <v>3828.288211891138</v>
      </c>
      <c r="G23" s="21">
        <f t="shared" si="1"/>
        <v>3881.499536229579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E24+'10'!F24</f>
        <v>0</v>
      </c>
      <c r="G24" s="48">
        <f>E24+'10'!G24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123</v>
      </c>
      <c r="F26" s="32">
        <f>E26+'10'!F26</f>
        <v>1449</v>
      </c>
      <c r="G26" s="33">
        <f>E26+'10'!G26</f>
        <v>22270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4371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8" t="s">
        <v>34</v>
      </c>
      <c r="C29" s="109"/>
      <c r="D29" s="109"/>
      <c r="E29" s="109"/>
      <c r="F29" s="109"/>
      <c r="G29" s="110"/>
    </row>
    <row r="30" spans="2:8" ht="30.95" customHeight="1">
      <c r="B30" s="74">
        <v>1</v>
      </c>
      <c r="C30" s="75" t="s">
        <v>35</v>
      </c>
      <c r="D30" s="76" t="s">
        <v>38</v>
      </c>
      <c r="E30" s="71">
        <v>13</v>
      </c>
      <c r="F30" s="71">
        <f>E30+'10'!F30</f>
        <v>134</v>
      </c>
      <c r="G30" s="72">
        <f>E30+'10'!G30</f>
        <v>2418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E31+'10'!F31</f>
        <v>134</v>
      </c>
      <c r="G31" s="13">
        <f>E31+'10'!G31</f>
        <v>2430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E32+'10'!F32</f>
        <v>236</v>
      </c>
      <c r="G32" s="13">
        <f>E32+'10'!G32</f>
        <v>3340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19</v>
      </c>
      <c r="F33" s="35">
        <v>1599</v>
      </c>
      <c r="G33" s="73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25</v>
      </c>
      <c r="F35" s="32">
        <f>E35+'10'!F35</f>
        <v>112</v>
      </c>
      <c r="G35" s="33">
        <f>E35+'10'!G35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E36+'10'!F36</f>
        <v>43</v>
      </c>
      <c r="G36" s="13">
        <f>E36+'10'!G36</f>
        <v>412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E37+'10'!F37</f>
        <v>0</v>
      </c>
      <c r="G37" s="48">
        <f>E37+'10'!G37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19" sqref="E19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'11'!E6+1</f>
        <v>46277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168100</v>
      </c>
      <c r="F7" s="12">
        <f>E7+'11'!F7</f>
        <v>2109300</v>
      </c>
      <c r="G7" s="13">
        <f>E7+'11'!G7</f>
        <v>27129716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17857</v>
      </c>
      <c r="F8" s="12">
        <f>E8+'11'!F8</f>
        <v>215333</v>
      </c>
      <c r="G8" s="13">
        <f>E8+'11'!G8</f>
        <v>2930826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150243</v>
      </c>
      <c r="F9" s="12">
        <f>E9+'11'!F9</f>
        <v>1893967</v>
      </c>
      <c r="G9" s="13">
        <f>E9+'11'!G9</f>
        <v>24198890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10.622843545508626</v>
      </c>
      <c r="F10" s="15">
        <f>F8/F7*100</f>
        <v>10.20874223676101</v>
      </c>
      <c r="G10" s="16">
        <f>G8/G7*100</f>
        <v>10.803010248983071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7.0041666666666673</v>
      </c>
      <c r="F11" s="15">
        <f>F7/F12/1000</f>
        <v>7.3239583333333327</v>
      </c>
      <c r="G11" s="16">
        <f>G7/G12/1000</f>
        <v>6.8863089708248939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E12+'11'!F12</f>
        <v>288</v>
      </c>
      <c r="G12" s="13">
        <f>E12+'11'!G12</f>
        <v>3939.66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70.041666666666671</v>
      </c>
      <c r="F13" s="15">
        <f>F11/10*100</f>
        <v>73.239583333333329</v>
      </c>
      <c r="G13" s="16">
        <f>G11/10*100</f>
        <v>68.863089708248935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764</v>
      </c>
      <c r="F14" s="12">
        <f>E14+'11'!F14</f>
        <v>9642</v>
      </c>
      <c r="G14" s="13">
        <f>E14+'11'!G14</f>
        <v>125840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743</v>
      </c>
      <c r="F15" s="12">
        <f>E15+'11'!F15</f>
        <v>9356</v>
      </c>
      <c r="G15" s="13">
        <f>E15+'11'!G15</f>
        <v>122033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70">
        <f>E16+'11'!F16</f>
        <v>684</v>
      </c>
      <c r="G16" s="13">
        <f>E16+'11'!G16</f>
        <v>8172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698</v>
      </c>
      <c r="F17" s="12">
        <f>E17+'11'!F17</f>
        <v>8802</v>
      </c>
      <c r="G17" s="13">
        <f>E17+'11'!G17</f>
        <v>113094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551</v>
      </c>
      <c r="F18" s="12">
        <f>E18+'11'!F18</f>
        <v>6971</v>
      </c>
      <c r="G18" s="13">
        <f>E18+'11'!G18</f>
        <v>90100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E19+'11'!F19</f>
        <v>212</v>
      </c>
      <c r="G19" s="13">
        <f>E19+'11'!G19</f>
        <v>2910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4.1522903033908385</v>
      </c>
      <c r="F20" s="15">
        <f>F17*1000/F7</f>
        <v>4.172948371497653</v>
      </c>
      <c r="G20" s="16">
        <f>G17*1000/G7</f>
        <v>4.1686392883729413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0.73765615704937537</v>
      </c>
      <c r="F21" s="19">
        <f>F26*1000/F7</f>
        <v>0.74574503389750157</v>
      </c>
      <c r="G21" s="20">
        <f>G26*1000/G7</f>
        <v>0.82544174070970744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2796.454491374182</v>
      </c>
      <c r="F22" s="21">
        <f t="shared" ref="F22:G22" si="0">((F17*(803-130)+F31*(30))*1000)/F7</f>
        <v>2810.4565495662068</v>
      </c>
      <c r="G22" s="21">
        <f t="shared" si="0"/>
        <v>2808.1934952802308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3813.6564011043488</v>
      </c>
      <c r="F23" s="21">
        <f t="shared" ref="F23:G23" si="1">(F15*(803-130))*1000/(F7*0.78)</f>
        <v>3827.1221343330576</v>
      </c>
      <c r="G23" s="21">
        <f t="shared" si="1"/>
        <v>3881.0791694622103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E24+'11'!F24</f>
        <v>0</v>
      </c>
      <c r="G24" s="48">
        <f>E24+'11'!G24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124</v>
      </c>
      <c r="F26" s="32">
        <f>E26+'11'!F26</f>
        <v>1573</v>
      </c>
      <c r="G26" s="33">
        <f>E26+'11'!G26</f>
        <v>22394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4614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E30+'11'!F30</f>
        <v>147</v>
      </c>
      <c r="G30" s="33">
        <f>E30+'11'!G30</f>
        <v>2431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11</v>
      </c>
      <c r="F31" s="12">
        <f>E31+'11'!F31</f>
        <v>145</v>
      </c>
      <c r="G31" s="13">
        <f>E31+'11'!G31</f>
        <v>2441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E32+'11'!F32</f>
        <v>254</v>
      </c>
      <c r="G32" s="13">
        <f>E32+'11'!G32</f>
        <v>3358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6">
        <v>1523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E35+'11'!F35</f>
        <v>112</v>
      </c>
      <c r="G35" s="33">
        <f>E35+'11'!G35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E36+'11'!F36</f>
        <v>47</v>
      </c>
      <c r="G36" s="13">
        <f>E36+'11'!G36</f>
        <v>416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E37+'11'!F37</f>
        <v>0</v>
      </c>
      <c r="G37" s="48">
        <f>E37+'11'!G37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J4" sqref="J4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'12'!E6+1</f>
        <v>46278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134000</v>
      </c>
      <c r="F7" s="12">
        <f>E7+'12'!F7</f>
        <v>2243300</v>
      </c>
      <c r="G7" s="13">
        <f>E7+'12'!G7</f>
        <v>27263716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18045</v>
      </c>
      <c r="F8" s="12">
        <f>E8+'12'!F8</f>
        <v>233378</v>
      </c>
      <c r="G8" s="13">
        <f>E8+'12'!G8</f>
        <v>2948871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115955</v>
      </c>
      <c r="F9" s="12">
        <f>E9+'12'!F9</f>
        <v>2009922</v>
      </c>
      <c r="G9" s="13">
        <f>E9+'12'!G9</f>
        <v>24314845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13.466417910447761</v>
      </c>
      <c r="F10" s="15">
        <f>F8/F7*100</f>
        <v>10.40333437346766</v>
      </c>
      <c r="G10" s="16">
        <f>G8/G7*100</f>
        <v>10.816100783913681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5.583333333333333</v>
      </c>
      <c r="F11" s="15">
        <f>F7/F12/1000</f>
        <v>7.1900641025641026</v>
      </c>
      <c r="G11" s="16">
        <f>G7/G12/1000</f>
        <v>6.878419440618015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E12+'12'!F12</f>
        <v>312</v>
      </c>
      <c r="G12" s="13">
        <f>E12+'12'!G12</f>
        <v>3963.66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55.833333333333336</v>
      </c>
      <c r="F13" s="15">
        <f>F11/10*100</f>
        <v>71.900641025641022</v>
      </c>
      <c r="G13" s="16">
        <f>G11/10*100</f>
        <v>68.784194406180148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640</v>
      </c>
      <c r="F14" s="12">
        <f>E14+'12'!F14</f>
        <v>10282</v>
      </c>
      <c r="G14" s="13">
        <f>E14+'12'!G14</f>
        <v>126480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610</v>
      </c>
      <c r="F15" s="12">
        <f>E15+'12'!F15</f>
        <v>9966</v>
      </c>
      <c r="G15" s="13">
        <f>E15+'12'!G15</f>
        <v>122643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43</v>
      </c>
      <c r="F16" s="12">
        <f>E16+'12'!F16</f>
        <v>727</v>
      </c>
      <c r="G16" s="13">
        <f>E16+'12'!G16</f>
        <v>8215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565</v>
      </c>
      <c r="F17" s="12">
        <f>E17+'12'!F17</f>
        <v>9367</v>
      </c>
      <c r="G17" s="13">
        <f>E17+'12'!G17</f>
        <v>113659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479</v>
      </c>
      <c r="F18" s="12">
        <f>E18+'12'!F18</f>
        <v>7450</v>
      </c>
      <c r="G18" s="13">
        <f>E18+'12'!G18</f>
        <v>90579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16</v>
      </c>
      <c r="F19" s="12">
        <f>E19+'12'!F19</f>
        <v>228</v>
      </c>
      <c r="G19" s="13">
        <f>E19+'12'!G19</f>
        <v>2926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4.2164179104477615</v>
      </c>
      <c r="F20" s="15">
        <f>F17*1000/F7</f>
        <v>4.1755449560914721</v>
      </c>
      <c r="G20" s="16">
        <f>G17*1000/G7</f>
        <v>4.1688741182603284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0.75373134328358204</v>
      </c>
      <c r="F21" s="19">
        <f>F26*1000/F7</f>
        <v>0.74622208353764541</v>
      </c>
      <c r="G21" s="20">
        <f>G26*1000/G7</f>
        <v>0.82508928716833763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2843.0223880597014</v>
      </c>
      <c r="F22" s="21">
        <f t="shared" ref="F22:G22" si="0">((F17*(803-130)+F31*(30))*1000)/F7</f>
        <v>2812.4018187491642</v>
      </c>
      <c r="G22" s="21">
        <f t="shared" si="0"/>
        <v>2808.3646778010743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3927.7650210486031</v>
      </c>
      <c r="F23" s="21">
        <f t="shared" ref="F23:G23" si="1">(F15*(803-130))*1000/(F7*0.78)</f>
        <v>3833.1338790038026</v>
      </c>
      <c r="G23" s="21">
        <f t="shared" si="1"/>
        <v>3881.3086284293072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E24+'12'!F24</f>
        <v>0</v>
      </c>
      <c r="G24" s="48">
        <f>E24+'12'!G24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101</v>
      </c>
      <c r="F26" s="32">
        <f>E26+'12'!F26</f>
        <v>1674</v>
      </c>
      <c r="G26" s="33">
        <f>E26+'12'!G26</f>
        <v>22495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4542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21</v>
      </c>
      <c r="F30" s="32">
        <f>E30+'12'!F30</f>
        <v>168</v>
      </c>
      <c r="G30" s="33">
        <f>E30+'12'!G30</f>
        <v>2452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24</v>
      </c>
      <c r="F31" s="12">
        <f>E31+'12'!F31</f>
        <v>169</v>
      </c>
      <c r="G31" s="13">
        <f>E31+'12'!G31</f>
        <v>2465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E32+'12'!F32</f>
        <v>272</v>
      </c>
      <c r="G32" s="13">
        <f>E32+'12'!G32</f>
        <v>3376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21.8</v>
      </c>
      <c r="F33" s="46">
        <v>1674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E35+'12'!F35</f>
        <v>112</v>
      </c>
      <c r="G35" s="33">
        <f>E35+'12'!G35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E36+'12'!F36</f>
        <v>50</v>
      </c>
      <c r="G36" s="13">
        <f>E36+'12'!G36</f>
        <v>419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E37+'12'!F37</f>
        <v>0</v>
      </c>
      <c r="G37" s="48">
        <f>E37+'12'!G37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'13'!E6+1</f>
        <v>46279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E7+'13'!F7</f>
        <v>2243300</v>
      </c>
      <c r="G7" s="13">
        <f>E7+'13'!G7</f>
        <v>27263716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E8+'13'!F8</f>
        <v>233378</v>
      </c>
      <c r="G8" s="13">
        <f>E8+'13'!G8</f>
        <v>2948871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E9+'13'!F9</f>
        <v>2009922</v>
      </c>
      <c r="G9" s="13">
        <f>E9+'13'!G9</f>
        <v>24314845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10.40333437346766</v>
      </c>
      <c r="G10" s="16">
        <f>G8/G7*100</f>
        <v>10.816100783913681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7.1900641025641026</v>
      </c>
      <c r="G11" s="16">
        <f>G7/G12/1000</f>
        <v>6.878419440618015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E12+'13'!F12</f>
        <v>312</v>
      </c>
      <c r="G12" s="13">
        <f>E12+'13'!G12</f>
        <v>3963.66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71.900641025641022</v>
      </c>
      <c r="G13" s="16">
        <f>G11/10*100</f>
        <v>68.784194406180148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E14+'13'!F14</f>
        <v>10282</v>
      </c>
      <c r="G14" s="13">
        <f>E14+'13'!G14</f>
        <v>126480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E15+'13'!F15</f>
        <v>9966</v>
      </c>
      <c r="G15" s="13">
        <f>E15+'13'!G15</f>
        <v>122643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E16+'13'!F16</f>
        <v>727</v>
      </c>
      <c r="G16" s="13">
        <f>E16+'13'!G16</f>
        <v>8215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E17+'13'!F17</f>
        <v>9367</v>
      </c>
      <c r="G17" s="13">
        <f>E17+'13'!G17</f>
        <v>113659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E18+'13'!F18</f>
        <v>7450</v>
      </c>
      <c r="G18" s="13">
        <f>E18+'13'!G18</f>
        <v>90579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E19+'13'!F19</f>
        <v>228</v>
      </c>
      <c r="G19" s="13">
        <f>E19+'13'!G19</f>
        <v>2926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4.1755449560914721</v>
      </c>
      <c r="G20" s="16">
        <f>G17*1000/G7</f>
        <v>4.1688741182603284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0.74622208353764541</v>
      </c>
      <c r="G21" s="20">
        <f>G26*1000/G7</f>
        <v>0.82508928716833763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2812.4018187491642</v>
      </c>
      <c r="G22" s="21">
        <f t="shared" si="0"/>
        <v>2808.3646778010743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3833.1338790038026</v>
      </c>
      <c r="G23" s="21">
        <f t="shared" si="1"/>
        <v>3881.3086284293072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E24+'13'!F24</f>
        <v>0</v>
      </c>
      <c r="G24" s="48">
        <f>E24+'13'!G24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E26+'13'!F26</f>
        <v>1674</v>
      </c>
      <c r="G26" s="33">
        <f>E26+'13'!G26</f>
        <v>22495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E30+'13'!F30</f>
        <v>168</v>
      </c>
      <c r="G30" s="33">
        <f>E30+'13'!G30</f>
        <v>2452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E31+'13'!F31</f>
        <v>169</v>
      </c>
      <c r="G31" s="13">
        <f>E31+'13'!G31</f>
        <v>2465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E32+'13'!F32</f>
        <v>272</v>
      </c>
      <c r="G32" s="13">
        <f>E32+'13'!G32</f>
        <v>3376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0</v>
      </c>
      <c r="F33" s="46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E35+'13'!F35</f>
        <v>112</v>
      </c>
      <c r="G35" s="33">
        <f>E35+'13'!G35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E36+'13'!F36</f>
        <v>50</v>
      </c>
      <c r="G36" s="13">
        <f>E36+'13'!G36</f>
        <v>419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E37+'13'!F37</f>
        <v>0</v>
      </c>
      <c r="G37" s="48">
        <f>E37+'13'!G37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40"/>
  <sheetViews>
    <sheetView topLeftCell="C1" zoomScale="80" zoomScaleNormal="80" workbookViewId="0">
      <pane xSplit="2" ySplit="6" topLeftCell="E32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'14'!E6+1</f>
        <v>46280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E7+'14'!F7</f>
        <v>2243300</v>
      </c>
      <c r="G7" s="13">
        <f>E7+'14'!G7</f>
        <v>27263716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E8+'14'!F8</f>
        <v>233378</v>
      </c>
      <c r="G8" s="13">
        <f>E8+'14'!G8</f>
        <v>2948871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E9+'14'!F9</f>
        <v>2009922</v>
      </c>
      <c r="G9" s="13">
        <f>E9+'14'!G9</f>
        <v>24314845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10.40333437346766</v>
      </c>
      <c r="G10" s="16">
        <f>G8/G7*100</f>
        <v>10.816100783913681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7.1900641025641026</v>
      </c>
      <c r="G11" s="16">
        <f>G7/G12/1000</f>
        <v>6.878419440618015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E12+'14'!F12</f>
        <v>312</v>
      </c>
      <c r="G12" s="13">
        <f>E12+'14'!G12</f>
        <v>3963.66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71.900641025641022</v>
      </c>
      <c r="G13" s="16">
        <f>G11/10*100</f>
        <v>68.784194406180148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E14+'14'!F14</f>
        <v>10282</v>
      </c>
      <c r="G14" s="13">
        <f>E14+'14'!G14</f>
        <v>126480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E15+'14'!F15</f>
        <v>9966</v>
      </c>
      <c r="G15" s="13">
        <f>E15+'14'!G15</f>
        <v>122643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E16+'14'!F16</f>
        <v>727</v>
      </c>
      <c r="G16" s="13">
        <f>E16+'14'!G16</f>
        <v>8215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E17+'14'!F17</f>
        <v>9367</v>
      </c>
      <c r="G17" s="13">
        <f>E17+'14'!G17</f>
        <v>113659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E18+'14'!F18</f>
        <v>7450</v>
      </c>
      <c r="G18" s="13">
        <f>E18+'14'!G18</f>
        <v>90579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E19+'14'!F19</f>
        <v>228</v>
      </c>
      <c r="G19" s="13">
        <f>E19+'14'!G19</f>
        <v>2926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4.1755449560914721</v>
      </c>
      <c r="G20" s="16">
        <f>G17*1000/G7</f>
        <v>4.1688741182603284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0.74622208353764541</v>
      </c>
      <c r="G21" s="20">
        <f>G26*1000/G7</f>
        <v>0.82508928716833763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2812.4018187491642</v>
      </c>
      <c r="G22" s="21">
        <f t="shared" si="0"/>
        <v>2808.3646778010743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3833.1338790038026</v>
      </c>
      <c r="G23" s="21">
        <f t="shared" si="1"/>
        <v>3881.3086284293072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E24+'14'!F24</f>
        <v>0</v>
      </c>
      <c r="G24" s="48">
        <f>E24+'14'!G24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E26+'14'!F26</f>
        <v>1674</v>
      </c>
      <c r="G26" s="33">
        <f>E26+'14'!G26</f>
        <v>22495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E30+'14'!F30</f>
        <v>168</v>
      </c>
      <c r="G30" s="33">
        <f>E30+'14'!G30</f>
        <v>2452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E31+'14'!F31</f>
        <v>169</v>
      </c>
      <c r="G31" s="13">
        <f>E31+'14'!G31</f>
        <v>2465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E32+'14'!F32</f>
        <v>272</v>
      </c>
      <c r="G32" s="13">
        <f>E32+'14'!G32</f>
        <v>3376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0</v>
      </c>
      <c r="F33" s="46">
        <v>0</v>
      </c>
      <c r="G33" s="73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E35+'14'!F35</f>
        <v>112</v>
      </c>
      <c r="G35" s="33">
        <f>E35+'14'!G35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E36+'14'!F36</f>
        <v>50</v>
      </c>
      <c r="G36" s="13">
        <f>E36+'14'!G36</f>
        <v>419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E37+'14'!F37</f>
        <v>0</v>
      </c>
      <c r="G37" s="48">
        <f>E37+'14'!G37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L40"/>
  <sheetViews>
    <sheetView topLeftCell="C1" zoomScale="80" zoomScaleNormal="80" workbookViewId="0">
      <pane xSplit="2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'15'!E6+1</f>
        <v>46281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E7+'15'!F7</f>
        <v>2243300</v>
      </c>
      <c r="G7" s="13">
        <f>E7+'15'!G7</f>
        <v>27263716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E8+'15'!F8</f>
        <v>233378</v>
      </c>
      <c r="G8" s="13">
        <f>E8+'15'!G8</f>
        <v>2948871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E9+'15'!F9</f>
        <v>2009922</v>
      </c>
      <c r="G9" s="13">
        <f>E9+'15'!G9</f>
        <v>24314845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10.40333437346766</v>
      </c>
      <c r="G10" s="16">
        <f>G8/G7*100</f>
        <v>10.816100783913681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7.1900641025641026</v>
      </c>
      <c r="G11" s="16">
        <f>G7/G12/1000</f>
        <v>6.878419440618015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E12+'15'!F12</f>
        <v>312</v>
      </c>
      <c r="G12" s="13">
        <f>E12+'15'!G12</f>
        <v>3963.66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71.900641025641022</v>
      </c>
      <c r="G13" s="16">
        <f>G11/10*100</f>
        <v>68.784194406180148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E14+'15'!F14</f>
        <v>10282</v>
      </c>
      <c r="G14" s="13">
        <f>E14+'15'!G14</f>
        <v>126480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E15+'15'!F15</f>
        <v>9966</v>
      </c>
      <c r="G15" s="13">
        <f>E15+'15'!G15</f>
        <v>122643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70">
        <f>E16+'15'!F16</f>
        <v>727</v>
      </c>
      <c r="G16" s="13">
        <f>E16+'15'!G16</f>
        <v>8215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E17+'15'!F17</f>
        <v>9367</v>
      </c>
      <c r="G17" s="13">
        <f>E17+'15'!G17</f>
        <v>113659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E18+'15'!F18</f>
        <v>7450</v>
      </c>
      <c r="G18" s="13">
        <f>E18+'15'!G18</f>
        <v>90579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E19+'15'!F19</f>
        <v>228</v>
      </c>
      <c r="G19" s="13">
        <f>E19+'15'!G19</f>
        <v>2926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4.1755449560914721</v>
      </c>
      <c r="G20" s="16">
        <f>G17*1000/G7</f>
        <v>4.1688741182603284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0.74622208353764541</v>
      </c>
      <c r="G21" s="20">
        <f>G26*1000/G7</f>
        <v>0.82508928716833763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2812.4018187491642</v>
      </c>
      <c r="G22" s="21">
        <f t="shared" si="0"/>
        <v>2808.3646778010743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3833.1338790038026</v>
      </c>
      <c r="G23" s="21">
        <f t="shared" si="1"/>
        <v>3881.3086284293072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E24+'15'!F24</f>
        <v>0</v>
      </c>
      <c r="G24" s="48">
        <f>E24+'15'!G24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E26+'15'!F26</f>
        <v>1674</v>
      </c>
      <c r="G26" s="33">
        <f>E26+'15'!G26</f>
        <v>22495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E30+'15'!F30</f>
        <v>168</v>
      </c>
      <c r="G30" s="33">
        <f>E30+'15'!G30</f>
        <v>2452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E31+'15'!F31</f>
        <v>169</v>
      </c>
      <c r="G31" s="13">
        <f>E31+'15'!G31</f>
        <v>2465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E32+'15'!F32</f>
        <v>272</v>
      </c>
      <c r="G32" s="13">
        <f>E32+'15'!G32</f>
        <v>3376</v>
      </c>
    </row>
    <row r="33" spans="2:7" ht="30.95" customHeight="1">
      <c r="B33" s="67">
        <v>4</v>
      </c>
      <c r="C33" s="10" t="s">
        <v>40</v>
      </c>
      <c r="D33" s="43" t="s">
        <v>41</v>
      </c>
      <c r="E33" s="35">
        <v>0</v>
      </c>
      <c r="F33" s="35">
        <v>0</v>
      </c>
      <c r="G33" s="12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5">
        <v>0</v>
      </c>
      <c r="F35" s="12">
        <f>E35+'15'!F35</f>
        <v>112</v>
      </c>
      <c r="G35" s="12">
        <f>E35+'15'!G35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E36+'15'!F36</f>
        <v>50</v>
      </c>
      <c r="G36" s="13">
        <f>E36+'15'!G36</f>
        <v>419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E37+'15'!F37</f>
        <v>0</v>
      </c>
      <c r="G37" s="48">
        <f>E37+'15'!G37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39" right="0.7" top="0.75" bottom="0.75" header="0.3" footer="0.3"/>
  <pageSetup scale="4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0"/>
  <sheetViews>
    <sheetView topLeftCell="C1" zoomScale="78" zoomScaleNormal="78" workbookViewId="0">
      <pane xSplit="2" ySplit="6" topLeftCell="E30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27" style="2" customWidth="1"/>
    <col min="5" max="5" width="45.140625" style="1" customWidth="1"/>
    <col min="6" max="6" width="44" style="1" customWidth="1"/>
    <col min="7" max="7" width="43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'16'!E6+1</f>
        <v>46282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E7+'16'!F7</f>
        <v>2243300</v>
      </c>
      <c r="G7" s="13">
        <f>E7+'16'!G7</f>
        <v>27263716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E8+'16'!F8</f>
        <v>233378</v>
      </c>
      <c r="G8" s="13">
        <f>E8+'16'!G8</f>
        <v>2948871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E9+'16'!F9</f>
        <v>2009922</v>
      </c>
      <c r="G9" s="13">
        <f>E9+'16'!G9</f>
        <v>24314845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10.40333437346766</v>
      </c>
      <c r="G10" s="16">
        <f>G8/G7*100</f>
        <v>10.816100783913681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7.1900641025641026</v>
      </c>
      <c r="G11" s="16">
        <f>G7/G12/1000</f>
        <v>6.878419440618015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E12+'16'!F12</f>
        <v>312</v>
      </c>
      <c r="G12" s="13">
        <f>E12+'16'!G12</f>
        <v>3963.66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71.900641025641022</v>
      </c>
      <c r="G13" s="16">
        <f>G11/10*100</f>
        <v>68.784194406180148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E14+'16'!F14</f>
        <v>10282</v>
      </c>
      <c r="G14" s="13">
        <f>E14+'16'!G14</f>
        <v>126480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E15+'16'!F15</f>
        <v>9966</v>
      </c>
      <c r="G15" s="13">
        <f>E15+'16'!G15</f>
        <v>122643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70">
        <f>E16+'16'!F16</f>
        <v>727</v>
      </c>
      <c r="G16" s="13">
        <f>E16+'16'!G16</f>
        <v>8215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E17+'16'!F17</f>
        <v>9367</v>
      </c>
      <c r="G17" s="13">
        <f>E17+'16'!G17</f>
        <v>113659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E18+'16'!F18</f>
        <v>7450</v>
      </c>
      <c r="G18" s="13">
        <f>E18+'16'!G18</f>
        <v>90579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E19+'16'!F19</f>
        <v>228</v>
      </c>
      <c r="G19" s="13">
        <f>E19+'16'!G19</f>
        <v>2926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4.1755449560914721</v>
      </c>
      <c r="G20" s="16">
        <f>G17*1000/G7</f>
        <v>4.1688741182603284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0.74622208353764541</v>
      </c>
      <c r="G21" s="20">
        <f>G26*1000/G7</f>
        <v>0.82508928716833763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2812.4018187491642</v>
      </c>
      <c r="G22" s="21">
        <f t="shared" si="0"/>
        <v>2808.3646778010743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3833.1338790038026</v>
      </c>
      <c r="G23" s="21">
        <f t="shared" si="1"/>
        <v>3881.3086284293072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E24+'16'!F24</f>
        <v>0</v>
      </c>
      <c r="G24" s="48">
        <f>E24+'16'!G24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E26+'16'!F26</f>
        <v>1674</v>
      </c>
      <c r="G26" s="33">
        <f>E26+'16'!G26</f>
        <v>22495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E30+'16'!F30</f>
        <v>168</v>
      </c>
      <c r="G30" s="33">
        <f>E30+'16'!G30</f>
        <v>2452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E31+'16'!F31</f>
        <v>169</v>
      </c>
      <c r="G31" s="13">
        <f>E31+'16'!G31</f>
        <v>2465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E32+'16'!F32</f>
        <v>272</v>
      </c>
      <c r="G32" s="13">
        <f>E32+'16'!G32</f>
        <v>3376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0</v>
      </c>
      <c r="F33" s="46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E35+'16'!F35</f>
        <v>112</v>
      </c>
      <c r="G35" s="33">
        <f>E35+'16'!G35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E36+'16'!F36</f>
        <v>50</v>
      </c>
      <c r="G36" s="13">
        <f>E36+'16'!G36</f>
        <v>419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E37+'16'!F37</f>
        <v>0</v>
      </c>
      <c r="G37" s="48">
        <f>E37+'16'!G37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L40"/>
  <sheetViews>
    <sheetView topLeftCell="C1" zoomScale="85" zoomScaleNormal="85" workbookViewId="0">
      <pane xSplit="2" ySplit="6" topLeftCell="E15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11.285156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'17'!E6+1</f>
        <v>46283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E7+'17'!F7</f>
        <v>2243300</v>
      </c>
      <c r="G7" s="13">
        <f>E7+'17'!G7</f>
        <v>27263716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E8+'17'!F8</f>
        <v>233378</v>
      </c>
      <c r="G8" s="13">
        <f>E8+'17'!G8</f>
        <v>2948871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E9+'17'!F9</f>
        <v>2009922</v>
      </c>
      <c r="G9" s="13">
        <f>E9+'17'!G9</f>
        <v>24314845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10.40333437346766</v>
      </c>
      <c r="G10" s="16">
        <f>G8/G7*100</f>
        <v>10.816100783913681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7.1900641025641026</v>
      </c>
      <c r="G11" s="16">
        <f>G7/G12/1000</f>
        <v>6.878419440618015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E12+'17'!F12</f>
        <v>312</v>
      </c>
      <c r="G12" s="13">
        <f>E12+'17'!G12</f>
        <v>3963.66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71.900641025641022</v>
      </c>
      <c r="G13" s="16">
        <f>G11/10*100</f>
        <v>68.784194406180148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E14+'17'!F14</f>
        <v>10282</v>
      </c>
      <c r="G14" s="13">
        <f>E14+'17'!G14</f>
        <v>126480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E15+'17'!F15</f>
        <v>9966</v>
      </c>
      <c r="G15" s="13">
        <f>E15+'17'!G15</f>
        <v>122643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70">
        <f>E16+'17'!F16</f>
        <v>727</v>
      </c>
      <c r="G16" s="13">
        <f>E16+'17'!G16</f>
        <v>8215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E17+'17'!F17</f>
        <v>9367</v>
      </c>
      <c r="G17" s="13">
        <f>E17+'17'!G17</f>
        <v>113659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E18+'17'!F18</f>
        <v>7450</v>
      </c>
      <c r="G18" s="13">
        <f>E18+'17'!G18</f>
        <v>90579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E19+'17'!F19</f>
        <v>228</v>
      </c>
      <c r="G19" s="13">
        <f>E19+'17'!G19</f>
        <v>2926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4.1755449560914721</v>
      </c>
      <c r="G20" s="16">
        <f>G17*1000/G7</f>
        <v>4.1688741182603284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0.74622208353764541</v>
      </c>
      <c r="G21" s="20">
        <f>G26*1000/G7</f>
        <v>0.82508928716833763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2812.4018187491642</v>
      </c>
      <c r="G22" s="21">
        <f t="shared" si="0"/>
        <v>2808.3646778010743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3833.1338790038026</v>
      </c>
      <c r="G23" s="21">
        <f t="shared" si="1"/>
        <v>3881.3086284293072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E24+'17'!F24</f>
        <v>0</v>
      </c>
      <c r="G24" s="48">
        <f>E24+'17'!G24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E26+'17'!F26</f>
        <v>1674</v>
      </c>
      <c r="G26" s="33">
        <f>E26+'17'!G26</f>
        <v>22495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E30+'17'!F30</f>
        <v>168</v>
      </c>
      <c r="G30" s="33">
        <f>E30+'17'!G30</f>
        <v>2452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E31+'17'!F31</f>
        <v>169</v>
      </c>
      <c r="G31" s="13">
        <f>E31+'17'!G31</f>
        <v>2465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E32+'17'!F32</f>
        <v>272</v>
      </c>
      <c r="G32" s="13">
        <f>E32+'17'!G32</f>
        <v>3376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E35+'17'!F35</f>
        <v>112</v>
      </c>
      <c r="G35" s="33">
        <f>E35+'17'!G35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E36+'17'!F36</f>
        <v>50</v>
      </c>
      <c r="G36" s="13">
        <f>E36+'17'!G36</f>
        <v>419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E37+'17'!F37</f>
        <v>0</v>
      </c>
      <c r="G37" s="48">
        <f>E37+'17'!G37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L40"/>
  <sheetViews>
    <sheetView topLeftCell="C1" zoomScale="80" zoomScaleNormal="80" workbookViewId="0">
      <pane xSplit="2" ySplit="6" topLeftCell="E22" activePane="bottomRight" state="frozen"/>
      <selection pane="topRight"/>
      <selection pane="bottomLeft"/>
      <selection pane="bottomRight" activeCell="B25" sqref="B25:G2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'18'!E6+1</f>
        <v>46284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34400</v>
      </c>
      <c r="F7" s="12">
        <f>E7+'18'!F7</f>
        <v>2277700</v>
      </c>
      <c r="G7" s="13">
        <f>E7+'18'!G7</f>
        <v>27298116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8609</v>
      </c>
      <c r="F8" s="12">
        <f>E8+'18'!F8</f>
        <v>241987</v>
      </c>
      <c r="G8" s="13">
        <f>E8+'18'!G8</f>
        <v>2957480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25791</v>
      </c>
      <c r="F9" s="12">
        <f>E9+'18'!F9</f>
        <v>2035713</v>
      </c>
      <c r="G9" s="13">
        <f>E9+'18'!G9</f>
        <v>24340636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25.026162790697676</v>
      </c>
      <c r="F10" s="15">
        <f>F8/F7*100</f>
        <v>10.624182289151337</v>
      </c>
      <c r="G10" s="16">
        <f>G8/G7*100</f>
        <v>10.834007738849085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4.5866666666666669</v>
      </c>
      <c r="F11" s="15">
        <f>F7/F12/1000</f>
        <v>7.1289514866979653</v>
      </c>
      <c r="G11" s="16">
        <f>G7/G12/1000</f>
        <v>6.8740911975342227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7.5</v>
      </c>
      <c r="F12" s="12">
        <f>E12+'18'!F12</f>
        <v>319.5</v>
      </c>
      <c r="G12" s="13">
        <f>E12+'18'!G12</f>
        <v>3971.16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45.866666666666667</v>
      </c>
      <c r="F13" s="15">
        <f>F11/10*100</f>
        <v>71.289514866979658</v>
      </c>
      <c r="G13" s="16">
        <f>G11/10*100</f>
        <v>68.740911975342229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534</v>
      </c>
      <c r="F14" s="12">
        <f>E14+'18'!F14</f>
        <v>10816</v>
      </c>
      <c r="G14" s="13">
        <f>E14+'18'!G14</f>
        <v>127014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469</v>
      </c>
      <c r="F15" s="12">
        <f>E15+'18'!F15</f>
        <v>10435</v>
      </c>
      <c r="G15" s="13">
        <f>E15+'18'!G15</f>
        <v>123112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17</v>
      </c>
      <c r="F16" s="70">
        <f>E16+'18'!F16</f>
        <v>744</v>
      </c>
      <c r="G16" s="13">
        <f>E16+'18'!G16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391</v>
      </c>
      <c r="F17" s="12">
        <f>E17+'18'!F17</f>
        <v>9758</v>
      </c>
      <c r="G17" s="13">
        <f>E17+'18'!G17</f>
        <v>114050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540</v>
      </c>
      <c r="F18" s="12">
        <f>E18+'18'!F18</f>
        <v>7990</v>
      </c>
      <c r="G18" s="13">
        <f>E18+'18'!G18</f>
        <v>91119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27</v>
      </c>
      <c r="F19" s="12">
        <f>E19+'18'!F19</f>
        <v>255</v>
      </c>
      <c r="G19" s="13">
        <f>E19+'18'!G19</f>
        <v>2953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11.366279069767442</v>
      </c>
      <c r="F20" s="15">
        <f>F17*1000/F7</f>
        <v>4.2841462879220265</v>
      </c>
      <c r="G20" s="16">
        <f>G17*1000/G7</f>
        <v>4.1779440017032679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0.72674418604651159</v>
      </c>
      <c r="F21" s="19">
        <f>F26*1000/F7</f>
        <v>0.74592790973350309</v>
      </c>
      <c r="G21" s="20">
        <f>G26*1000/G7</f>
        <v>0.8249653565835825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7734.8401162790697</v>
      </c>
      <c r="F22" s="21">
        <f t="shared" ref="F22:G22" si="0">((F17*(803-130)+F31*(30))*1000)/F7</f>
        <v>2886.7451815427844</v>
      </c>
      <c r="G22" s="21">
        <f t="shared" si="0"/>
        <v>2814.5728261979693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11763.454084675015</v>
      </c>
      <c r="F23" s="21">
        <f t="shared" ref="F23:G23" si="1">(F15*(803-130))*1000/(F7*0.78)</f>
        <v>3952.905146104426</v>
      </c>
      <c r="G23" s="21">
        <f t="shared" si="1"/>
        <v>3891.2413946207485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23659</v>
      </c>
      <c r="F24" s="26">
        <f>E24+'18'!F24</f>
        <v>23659</v>
      </c>
      <c r="G24" s="48">
        <f>E24+'18'!G24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25</v>
      </c>
      <c r="F26" s="32">
        <f>E26+'18'!F26</f>
        <v>1699</v>
      </c>
      <c r="G26" s="33">
        <f>E26+'18'!G26</f>
        <v>22520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5870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98.45</v>
      </c>
      <c r="F30" s="32">
        <f>E30+'18'!F30</f>
        <v>266.45</v>
      </c>
      <c r="G30" s="33">
        <f>E30+'18'!G30</f>
        <v>2550.4499999999998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97.85</v>
      </c>
      <c r="F31" s="12">
        <f>E31+'18'!F31</f>
        <v>266.85000000000002</v>
      </c>
      <c r="G31" s="13">
        <f>E31+'18'!G31</f>
        <v>2562.85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32</v>
      </c>
      <c r="F32" s="12">
        <f>E32+'18'!F32</f>
        <v>304</v>
      </c>
      <c r="G32" s="13">
        <f>E32+'18'!G32</f>
        <v>3408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31</v>
      </c>
      <c r="F33" s="47">
        <v>2256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E35+'18'!F35</f>
        <v>112</v>
      </c>
      <c r="G35" s="33">
        <f>E35+'18'!G35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E36+'18'!F36</f>
        <v>52</v>
      </c>
      <c r="G36" s="13">
        <f>E36+'18'!G36</f>
        <v>421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E37+'18'!F37</f>
        <v>0</v>
      </c>
      <c r="G37" s="48">
        <f>E37+'18'!G37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L40"/>
  <sheetViews>
    <sheetView tabSelected="1"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J28" sqref="J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'19'!E6+1</f>
        <v>46285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133000</v>
      </c>
      <c r="F7" s="12">
        <f>E7+'19'!F7</f>
        <v>2410700</v>
      </c>
      <c r="G7" s="13">
        <f>E7+'19'!G7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17211</v>
      </c>
      <c r="F8" s="12">
        <f>E8+'19'!F8</f>
        <v>259198</v>
      </c>
      <c r="G8" s="13">
        <f>E8+'19'!G8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115789</v>
      </c>
      <c r="F9" s="12">
        <f>E9+'19'!F9</f>
        <v>2151502</v>
      </c>
      <c r="G9" s="13">
        <f>E9+'19'!G9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12.9406015037594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5.541666666666667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E12+'19'!F12</f>
        <v>343.5</v>
      </c>
      <c r="G12" s="13">
        <f>E12+'19'!G12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55.416666666666671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706</v>
      </c>
      <c r="F14" s="12">
        <f>E14+'19'!F14</f>
        <v>11522</v>
      </c>
      <c r="G14" s="13">
        <f>E14+'19'!G14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617</v>
      </c>
      <c r="F15" s="12">
        <f>E15+'19'!F15</f>
        <v>11052</v>
      </c>
      <c r="G15" s="13">
        <f>E15+'19'!G15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E16+'19'!F16</f>
        <v>744</v>
      </c>
      <c r="G16" s="13">
        <f>E16+'19'!G16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542</v>
      </c>
      <c r="F17" s="12">
        <f>E17+'19'!F17</f>
        <v>10300</v>
      </c>
      <c r="G17" s="13">
        <f>E17+'19'!G17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528</v>
      </c>
      <c r="F18" s="12">
        <f>E18+'19'!F18</f>
        <v>8518</v>
      </c>
      <c r="G18" s="13">
        <f>E18+'19'!G18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E19+'19'!F19</f>
        <v>273</v>
      </c>
      <c r="G19" s="13">
        <f>E19+'19'!G19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4.0751879699248121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0.7142857142857143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2748.4661654135339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(E15*(803-130))*1000/(E7*0.77)</f>
        <v>4054.6919246167367</v>
      </c>
      <c r="F23" s="21">
        <f>(F15*(803-130))*1000/(F7*0.77)</f>
        <v>4007.0249574542931</v>
      </c>
      <c r="G23" s="21">
        <f>(G15*(803-130))*1000/(G7*0.77)</f>
        <v>3942.3244661376425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E24+'19'!F24</f>
        <v>23659</v>
      </c>
      <c r="G24" s="48">
        <f>E24+'19'!G24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95</v>
      </c>
      <c r="F26" s="32">
        <f>E26+'19'!F26</f>
        <v>1794</v>
      </c>
      <c r="G26" s="33">
        <f>E26+'19'!G26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5110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27</v>
      </c>
      <c r="F30" s="32">
        <f>E30+'19'!F30</f>
        <v>293.45</v>
      </c>
      <c r="G30" s="33">
        <f>E30+'19'!G30</f>
        <v>2577.4499999999998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26</v>
      </c>
      <c r="F31" s="12">
        <f>E31+'19'!F31</f>
        <v>292.85000000000002</v>
      </c>
      <c r="G31" s="13">
        <f>E31+'19'!G31</f>
        <v>2588.85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14</v>
      </c>
      <c r="F32" s="12">
        <f>E32+'19'!F32</f>
        <v>318</v>
      </c>
      <c r="G32" s="13">
        <f>E32+'19'!G32</f>
        <v>3422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33</v>
      </c>
      <c r="F33" s="47">
        <v>2585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E35+'19'!F35</f>
        <v>112</v>
      </c>
      <c r="G35" s="33">
        <f>E35+'19'!G35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E36+'19'!F36</f>
        <v>56</v>
      </c>
      <c r="G36" s="13">
        <f>E36+'19'!G36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E37+'19'!F37</f>
        <v>0</v>
      </c>
      <c r="G37" s="48">
        <f>E37+'19'!G37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L40"/>
  <sheetViews>
    <sheetView topLeftCell="C1" zoomScale="80" zoomScaleNormal="80" workbookViewId="0">
      <pane xSplit="2" ySplit="6" topLeftCell="E20" activePane="bottomRight" state="frozen"/>
      <selection pane="topRight"/>
      <selection pane="bottomLeft"/>
      <selection pane="bottomRight" activeCell="E22" sqref="E22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'20'!E6+1</f>
        <v>46286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E7+'20'!F7</f>
        <v>2410700</v>
      </c>
      <c r="G7" s="13">
        <f>E7+'20'!G7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E8+'20'!F8</f>
        <v>259198</v>
      </c>
      <c r="G8" s="13">
        <f>E8+'20'!G8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E9+'20'!F9</f>
        <v>2151502</v>
      </c>
      <c r="G9" s="13">
        <f>E9+'20'!G9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E12+'20'!F12</f>
        <v>343.5</v>
      </c>
      <c r="G12" s="13">
        <f>E12+'20'!G12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E14+'20'!F14</f>
        <v>11522</v>
      </c>
      <c r="G14" s="13">
        <f>E14+'20'!G14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E15+'20'!F15</f>
        <v>11052</v>
      </c>
      <c r="G15" s="13">
        <f>E15+'20'!G15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E16+'20'!F16</f>
        <v>744</v>
      </c>
      <c r="G16" s="13">
        <f>E16+'20'!G16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E17+'20'!F17</f>
        <v>10300</v>
      </c>
      <c r="G17" s="13">
        <f>E17+'20'!G17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E18+'20'!F18</f>
        <v>8518</v>
      </c>
      <c r="G18" s="13">
        <f>E18+'20'!G18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E19+'20'!F19</f>
        <v>273</v>
      </c>
      <c r="G19" s="13">
        <f>E19+'20'!G19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E24+'20'!F24</f>
        <v>23659</v>
      </c>
      <c r="G24" s="48">
        <f>E24+'20'!G24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E26+'20'!F26</f>
        <v>1794</v>
      </c>
      <c r="G26" s="33">
        <f>E26+'20'!G26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/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0</v>
      </c>
      <c r="F30" s="32">
        <f>E30+'20'!F30</f>
        <v>293.45</v>
      </c>
      <c r="G30" s="33">
        <f>E30+'20'!G30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E31+'20'!F31</f>
        <v>292.85000000000002</v>
      </c>
      <c r="G31" s="13">
        <f>E31+'20'!G31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E32+'20'!F32</f>
        <v>318</v>
      </c>
      <c r="G32" s="13">
        <f>E32+'20'!G32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E35+'20'!F35</f>
        <v>112</v>
      </c>
      <c r="G35" s="33">
        <f>E35+'20'!G35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E36+'20'!F36</f>
        <v>56</v>
      </c>
      <c r="G36" s="13">
        <f>E36+'20'!G36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E37+'20'!F37</f>
        <v>0</v>
      </c>
      <c r="G37" s="48">
        <f>E37+'20'!G37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L40"/>
  <sheetViews>
    <sheetView topLeftCell="C1" zoomScale="80" zoomScaleNormal="80" workbookViewId="0">
      <pane xSplit="2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69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'21'!E6+1</f>
        <v>46287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E7+'21'!F7</f>
        <v>2410700</v>
      </c>
      <c r="G7" s="13">
        <f>E7+'21'!G7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E8+'21'!F8</f>
        <v>259198</v>
      </c>
      <c r="G8" s="13">
        <f>E8+'21'!G8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E9+'21'!F9</f>
        <v>2151502</v>
      </c>
      <c r="G9" s="13">
        <f>E9+'21'!G9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E12+'21'!F12</f>
        <v>343.5</v>
      </c>
      <c r="G12" s="13">
        <f>E12+'21'!G12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E14+'21'!F14</f>
        <v>11522</v>
      </c>
      <c r="G14" s="13">
        <f>E14+'21'!G14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E15+'21'!F15</f>
        <v>11052</v>
      </c>
      <c r="G15" s="13">
        <f>E15+'21'!G15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E16+'21'!F16</f>
        <v>744</v>
      </c>
      <c r="G16" s="13">
        <f>E16+'21'!G16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E17+'21'!F17</f>
        <v>10300</v>
      </c>
      <c r="G17" s="13">
        <f>E17+'21'!G17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E18+'21'!F18</f>
        <v>8518</v>
      </c>
      <c r="G18" s="13">
        <f>E18+'21'!G18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E19+'21'!F19</f>
        <v>273</v>
      </c>
      <c r="G19" s="13">
        <f>E19+'21'!G19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>((F17*(803-130)+F31*(30))*1000)/F7</f>
        <v>2879.1162317998919</v>
      </c>
      <c r="G22" s="21">
        <f t="shared" ref="G22" si="0">((G17*(803-130)+G31*(30))*1000)/G7</f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E24+'21'!F24</f>
        <v>23659</v>
      </c>
      <c r="G24" s="48">
        <f>E24+'21'!G24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E26+'21'!F26</f>
        <v>1794</v>
      </c>
      <c r="G26" s="33">
        <f>E26+'21'!G26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E30+'21'!F30</f>
        <v>293.45</v>
      </c>
      <c r="G30" s="33">
        <f>E30+'21'!G30</f>
        <v>2577.4499999999998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E31+'21'!F31</f>
        <v>292.85000000000002</v>
      </c>
      <c r="G31" s="13">
        <f>E31+'21'!G31</f>
        <v>2588.85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E32+'21'!F32</f>
        <v>318</v>
      </c>
      <c r="G32" s="13">
        <f>E32+'21'!G32</f>
        <v>3422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E35+'21'!F35</f>
        <v>112</v>
      </c>
      <c r="G35" s="33">
        <f>E35+'21'!G35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E36+'21'!F36</f>
        <v>56</v>
      </c>
      <c r="G36" s="13">
        <f>E36+'21'!G36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E37+'21'!F37</f>
        <v>0</v>
      </c>
      <c r="G37" s="48">
        <f>E37+'21'!G37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L40"/>
  <sheetViews>
    <sheetView topLeftCell="C1" zoomScale="80" zoomScaleNormal="80" workbookViewId="0">
      <pane xSplit="2" ySplit="6" topLeftCell="E32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'22'!E6+1</f>
        <v>46288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E7+'22'!F7</f>
        <v>2410700</v>
      </c>
      <c r="G7" s="13">
        <f>E7+'22'!G7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E8+'22'!F8</f>
        <v>259198</v>
      </c>
      <c r="G8" s="13">
        <f>E8+'22'!G8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E9+'22'!F9</f>
        <v>2151502</v>
      </c>
      <c r="G9" s="13">
        <f>E9+'22'!G9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E12+'22'!F12</f>
        <v>343.5</v>
      </c>
      <c r="G12" s="13">
        <f>E12+'22'!G12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E14+'22'!F14</f>
        <v>11522</v>
      </c>
      <c r="G14" s="13">
        <f>E14+'22'!G14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E15+'22'!F15</f>
        <v>11052</v>
      </c>
      <c r="G15" s="13">
        <f>E15+'22'!G15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E16+'22'!F16</f>
        <v>744</v>
      </c>
      <c r="G16" s="13">
        <f>E16+'22'!G16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E17+'22'!F17</f>
        <v>10300</v>
      </c>
      <c r="G17" s="13">
        <f>E17+'22'!G17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E18+'22'!F18</f>
        <v>8518</v>
      </c>
      <c r="G18" s="13">
        <f>E18+'22'!G18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E19+'22'!F19</f>
        <v>273</v>
      </c>
      <c r="G19" s="13">
        <f>E19+'22'!G19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E24+'22'!F24</f>
        <v>23659</v>
      </c>
      <c r="G24" s="48">
        <f>E24+'22'!G24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E26+'22'!F26</f>
        <v>1794</v>
      </c>
      <c r="G26" s="33">
        <f>E26+'22'!G26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0</v>
      </c>
      <c r="F30" s="32">
        <f>E30+'22'!F30</f>
        <v>293.45</v>
      </c>
      <c r="G30" s="33">
        <f>E30+'22'!G30</f>
        <v>2577.4499999999998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0</v>
      </c>
      <c r="F31" s="12">
        <f>E31+'22'!F31</f>
        <v>292.85000000000002</v>
      </c>
      <c r="G31" s="13">
        <f>E31+'22'!G31</f>
        <v>2588.85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0</v>
      </c>
      <c r="F32" s="12">
        <f>E32+'22'!F32</f>
        <v>318</v>
      </c>
      <c r="G32" s="13">
        <f>E32+'22'!G32</f>
        <v>3422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/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E35+'22'!F35</f>
        <v>112</v>
      </c>
      <c r="G35" s="33">
        <f>E35+'22'!G35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E36+'22'!F36</f>
        <v>56</v>
      </c>
      <c r="G36" s="13">
        <f>E36+'22'!G36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E37+'22'!F37</f>
        <v>0</v>
      </c>
      <c r="G37" s="48">
        <f>E37+'22'!G37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L40"/>
  <sheetViews>
    <sheetView topLeftCell="B1" zoomScale="80" zoomScaleNormal="80" workbookViewId="0">
      <pane xSplit="3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4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'23'!E6+1</f>
        <v>46289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E7+'23'!F7</f>
        <v>2410700</v>
      </c>
      <c r="G7" s="13">
        <f>E7+'23'!G7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E8+'23'!F8</f>
        <v>259198</v>
      </c>
      <c r="G8" s="13">
        <f>E8+'23'!G8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E9+'23'!F9</f>
        <v>2151502</v>
      </c>
      <c r="G9" s="13">
        <f>E9+'23'!G9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E12+'23'!F12</f>
        <v>343.5</v>
      </c>
      <c r="G12" s="13">
        <f>E12+'23'!G12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E14+'23'!F14</f>
        <v>11522</v>
      </c>
      <c r="G14" s="13">
        <f>E14+'23'!G14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E15+'23'!F15</f>
        <v>11052</v>
      </c>
      <c r="G15" s="13">
        <f>E15+'23'!G15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E16+'23'!F16</f>
        <v>744</v>
      </c>
      <c r="G16" s="13">
        <f>E16+'23'!G16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E17+'23'!F17</f>
        <v>10300</v>
      </c>
      <c r="G17" s="13">
        <f>E17+'23'!G17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E18+'23'!F18</f>
        <v>8518</v>
      </c>
      <c r="G18" s="13">
        <f>E18+'23'!G18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E19+'23'!F19</f>
        <v>273</v>
      </c>
      <c r="G19" s="13">
        <f>E19+'23'!G19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E24+'23'!F24</f>
        <v>23659</v>
      </c>
      <c r="G24" s="48">
        <f>E24+'23'!G24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E26+'23'!F26</f>
        <v>1794</v>
      </c>
      <c r="G26" s="33">
        <f>E26+'23'!G26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0</v>
      </c>
      <c r="F30" s="32">
        <f>E30+'23'!F30</f>
        <v>293.45</v>
      </c>
      <c r="G30" s="33">
        <f>E30+'23'!G30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E31+'23'!F31</f>
        <v>292.85000000000002</v>
      </c>
      <c r="G31" s="13">
        <f>E31+'23'!G31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E32+'23'!F32</f>
        <v>318</v>
      </c>
      <c r="G32" s="13">
        <f>E32+'23'!G32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61">
        <v>0</v>
      </c>
      <c r="G33" s="62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E35+'23'!F35</f>
        <v>112</v>
      </c>
      <c r="G35" s="33">
        <f>E35+'23'!G35</f>
        <v>3919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E36+'23'!F36</f>
        <v>56</v>
      </c>
      <c r="G36" s="13">
        <f>E36+'23'!G36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E37+'23'!F37</f>
        <v>0</v>
      </c>
      <c r="G37" s="48">
        <f>E37+'23'!G37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L39"/>
  <sheetViews>
    <sheetView zoomScale="80" zoomScaleNormal="80" workbookViewId="0">
      <pane xSplit="4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'24'!E6+1</f>
        <v>46290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E7+'24'!F7</f>
        <v>2410700</v>
      </c>
      <c r="G7" s="13">
        <f>E7+'24'!G7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E8+'24'!F8</f>
        <v>259198</v>
      </c>
      <c r="G8" s="13">
        <f>E8+'24'!G8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E9+'24'!F9</f>
        <v>2151502</v>
      </c>
      <c r="G9" s="13">
        <f>E9+'24'!G9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E12+'24'!F12</f>
        <v>343.5</v>
      </c>
      <c r="G12" s="13">
        <f>E12+'24'!G12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E14+'24'!F14</f>
        <v>11522</v>
      </c>
      <c r="G14" s="13">
        <f>E14+'24'!G14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E15+'24'!F15</f>
        <v>11052</v>
      </c>
      <c r="G15" s="13">
        <f>E15+'24'!G15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E16+'24'!F16</f>
        <v>744</v>
      </c>
      <c r="G16" s="13">
        <f>E16+'24'!G16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E17+'24'!F17</f>
        <v>10300</v>
      </c>
      <c r="G17" s="13">
        <f>E17+'24'!G17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E18+'24'!F18</f>
        <v>8518</v>
      </c>
      <c r="G18" s="13">
        <f>E18+'24'!G18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E19+'24'!F19</f>
        <v>273</v>
      </c>
      <c r="G19" s="13">
        <f>E19+'24'!G19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E24+'24'!F24</f>
        <v>23659</v>
      </c>
      <c r="G24" s="48">
        <f>E24+'24'!G24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E26+'24'!F26</f>
        <v>1794</v>
      </c>
      <c r="G26" s="33">
        <f>E26+'24'!G26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0</v>
      </c>
      <c r="F30" s="32">
        <f>E30+'24'!F30</f>
        <v>293.45</v>
      </c>
      <c r="G30" s="33">
        <f>E30+'24'!G30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E31+'24'!F31</f>
        <v>292.85000000000002</v>
      </c>
      <c r="G31" s="13">
        <f>E31+'24'!G31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E32+'24'!F32</f>
        <v>318</v>
      </c>
      <c r="G32" s="13">
        <f>E32+'24'!G32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E35+'24'!F35</f>
        <v>112</v>
      </c>
      <c r="G35" s="33">
        <f>E35+'24'!G35</f>
        <v>3919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E36+'24'!F36</f>
        <v>56</v>
      </c>
      <c r="G36" s="13">
        <f>E36+'24'!G36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E37+'24'!F37</f>
        <v>0</v>
      </c>
      <c r="G37" s="48">
        <f>E37+'24'!G37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L39"/>
  <sheetViews>
    <sheetView topLeftCell="B1" zoomScale="80" zoomScaleNormal="80" workbookViewId="0">
      <pane xSplit="3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'25'!E6+1</f>
        <v>46291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E7+'25'!F7</f>
        <v>2410700</v>
      </c>
      <c r="G7" s="13">
        <f>E7+'25'!G7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E8+'25'!F8</f>
        <v>259198</v>
      </c>
      <c r="G8" s="13">
        <f>E8+'25'!G8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E9+'25'!F9</f>
        <v>2151502</v>
      </c>
      <c r="G9" s="13">
        <f>E9+'25'!G9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E12+'25'!F12</f>
        <v>343.5</v>
      </c>
      <c r="G12" s="13">
        <f>E12+'25'!G12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E14+'25'!F14</f>
        <v>11522</v>
      </c>
      <c r="G14" s="13">
        <f>E14+'25'!G14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E15+'25'!F15</f>
        <v>11052</v>
      </c>
      <c r="G15" s="13">
        <f>E15+'25'!G15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E16+'25'!F16</f>
        <v>744</v>
      </c>
      <c r="G16" s="13">
        <f>E16+'25'!G16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E17+'25'!F17</f>
        <v>10300</v>
      </c>
      <c r="G17" s="13">
        <f>E17+'25'!G17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E18+'25'!F18</f>
        <v>8518</v>
      </c>
      <c r="G18" s="13">
        <f>E18+'25'!G18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E19+'25'!F19</f>
        <v>273</v>
      </c>
      <c r="G19" s="13">
        <f>E19+'25'!G19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E24+'25'!F24</f>
        <v>23659</v>
      </c>
      <c r="G24" s="48">
        <f>E24+'25'!G24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E26+'25'!F26</f>
        <v>1794</v>
      </c>
      <c r="G26" s="33">
        <f>E26+'25'!G26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0</v>
      </c>
      <c r="F30" s="32">
        <f>E30+'25'!F30</f>
        <v>293.45</v>
      </c>
      <c r="G30" s="33">
        <f>E30+'25'!G30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E31+'25'!F31</f>
        <v>292.85000000000002</v>
      </c>
      <c r="G31" s="13">
        <f>E31+'25'!G31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E32+'25'!F32</f>
        <v>318</v>
      </c>
      <c r="G32" s="13">
        <f>E32+'25'!G32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E35+'25'!F35</f>
        <v>112</v>
      </c>
      <c r="G35" s="33">
        <f>E35+'25'!G35</f>
        <v>3919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E36+'25'!F36</f>
        <v>56</v>
      </c>
      <c r="G36" s="13">
        <f>E36+'25'!G36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E37+'25'!F37</f>
        <v>0</v>
      </c>
      <c r="G37" s="48">
        <f>E37+'25'!G37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L39"/>
  <sheetViews>
    <sheetView zoomScale="80" zoomScaleNormal="80" workbookViewId="0">
      <pane xSplit="4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'26'!E6+1</f>
        <v>46292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E7+'26'!F7</f>
        <v>2410700</v>
      </c>
      <c r="G7" s="13">
        <f>E7+'26'!G7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E8+'26'!F8</f>
        <v>259198</v>
      </c>
      <c r="G8" s="13">
        <f>E8+'26'!G8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E9+'26'!F9</f>
        <v>2151502</v>
      </c>
      <c r="G9" s="13">
        <f>E9+'26'!G9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E12+'26'!F12</f>
        <v>343.5</v>
      </c>
      <c r="G12" s="13">
        <f>E12+'26'!G12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E14+'26'!F14</f>
        <v>11522</v>
      </c>
      <c r="G14" s="13">
        <f>E14+'26'!G14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E15+'26'!F15</f>
        <v>11052</v>
      </c>
      <c r="G15" s="13">
        <f>E15+'26'!G15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E16+'26'!F16</f>
        <v>744</v>
      </c>
      <c r="G16" s="13">
        <f>E16+'26'!G16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E17+'26'!F17</f>
        <v>10300</v>
      </c>
      <c r="G17" s="13">
        <f>E17+'26'!G17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E18+'26'!F18</f>
        <v>8518</v>
      </c>
      <c r="G18" s="13">
        <f>E18+'26'!G18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E19+'26'!F19</f>
        <v>273</v>
      </c>
      <c r="G19" s="13">
        <f>E19+'26'!G19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E24+'26'!F24</f>
        <v>23659</v>
      </c>
      <c r="G24" s="48">
        <f>E24+'26'!G24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E26+'26'!F26</f>
        <v>1794</v>
      </c>
      <c r="G26" s="33">
        <f>E26+'26'!G26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0</v>
      </c>
      <c r="F30" s="32">
        <f>E30+'26'!F30</f>
        <v>293.45</v>
      </c>
      <c r="G30" s="33">
        <f>E30+'26'!G30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E31+'26'!F31</f>
        <v>292.85000000000002</v>
      </c>
      <c r="G31" s="13">
        <f>E31+'26'!G31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E32+'26'!F32</f>
        <v>318</v>
      </c>
      <c r="G32" s="13">
        <f>E32+'26'!G32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E35+'26'!F35</f>
        <v>112</v>
      </c>
      <c r="G35" s="33">
        <f>E35+'26'!G35</f>
        <v>3919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E36+'26'!F36</f>
        <v>56</v>
      </c>
      <c r="G36" s="13">
        <f>E36+'26'!G36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E37+'26'!F37</f>
        <v>0</v>
      </c>
      <c r="G37" s="48">
        <f>E37+'26'!G37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L40"/>
  <sheetViews>
    <sheetView zoomScale="80" zoomScaleNormal="80" workbookViewId="0">
      <pane xSplit="4" ySplit="6" topLeftCell="E31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'27'!E6+1</f>
        <v>46293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E7+'27'!F7</f>
        <v>2410700</v>
      </c>
      <c r="G7" s="13">
        <f>E7+'27'!G7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E8+'27'!F8</f>
        <v>259198</v>
      </c>
      <c r="G8" s="13">
        <f>E8+'27'!G8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E9+'27'!F9</f>
        <v>2151502</v>
      </c>
      <c r="G9" s="13">
        <f>E9+'27'!G9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E12+'27'!F12</f>
        <v>343.5</v>
      </c>
      <c r="G12" s="13">
        <f>E12+'27'!G12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E14+'27'!F14</f>
        <v>11522</v>
      </c>
      <c r="G14" s="13">
        <f>E14+'27'!G14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E15+'27'!F15</f>
        <v>11052</v>
      </c>
      <c r="G15" s="13">
        <f>E15+'27'!G15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E16+'27'!F16</f>
        <v>744</v>
      </c>
      <c r="G16" s="13">
        <f>E16+'27'!G16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E17+'27'!F17</f>
        <v>10300</v>
      </c>
      <c r="G17" s="13">
        <f>E17+'27'!G17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E18+'27'!F18</f>
        <v>8518</v>
      </c>
      <c r="G18" s="13">
        <f>E18+'27'!G18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E19+'27'!F19</f>
        <v>273</v>
      </c>
      <c r="G19" s="13">
        <f>E19+'27'!G19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E24+'27'!F24</f>
        <v>23659</v>
      </c>
      <c r="G24" s="48">
        <f>E24+'27'!G24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E26+'27'!F26</f>
        <v>1794</v>
      </c>
      <c r="G26" s="33">
        <f>E26+'27'!G26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0</v>
      </c>
      <c r="F30" s="32">
        <f>E30+'27'!F30</f>
        <v>293.45</v>
      </c>
      <c r="G30" s="33">
        <f>E30+'27'!G30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E31+'27'!F31</f>
        <v>292.85000000000002</v>
      </c>
      <c r="G31" s="13">
        <f>E31+'27'!G31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E32+'27'!F32</f>
        <v>318</v>
      </c>
      <c r="G32" s="13">
        <f>E32+'27'!G32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E35+'27'!F35</f>
        <v>112</v>
      </c>
      <c r="G35" s="33">
        <f>E35+'27'!G35</f>
        <v>3919</v>
      </c>
    </row>
    <row r="36" spans="2:7" ht="30.95" customHeight="1">
      <c r="B36" s="59">
        <v>6</v>
      </c>
      <c r="C36" s="53" t="s">
        <v>50</v>
      </c>
      <c r="D36" s="54" t="s">
        <v>43</v>
      </c>
      <c r="E36" s="60">
        <v>0</v>
      </c>
      <c r="F36" s="12">
        <f>E36+'27'!F36</f>
        <v>56</v>
      </c>
      <c r="G36" s="13">
        <f>E36+'27'!G36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E37+'27'!F37</f>
        <v>0</v>
      </c>
      <c r="G37" s="48">
        <f>E37+'27'!G37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L40"/>
  <sheetViews>
    <sheetView zoomScale="80" zoomScaleNormal="80" workbookViewId="0">
      <pane xSplit="4" ySplit="6" topLeftCell="E10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'28'!E6+1</f>
        <v>46294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E7+'28'!F7</f>
        <v>2410700</v>
      </c>
      <c r="G7" s="13">
        <f>E7+'28'!G7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E8+'28'!F8</f>
        <v>259198</v>
      </c>
      <c r="G8" s="13">
        <f>E8+'28'!G8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E9+'28'!F9</f>
        <v>2151502</v>
      </c>
      <c r="G9" s="13">
        <f>E9+'28'!G9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E12+'28'!F12</f>
        <v>343.5</v>
      </c>
      <c r="G12" s="13">
        <f>E12+'28'!G12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E14+'28'!F14</f>
        <v>11522</v>
      </c>
      <c r="G14" s="13">
        <f>E14+'28'!G14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E15+'28'!F15</f>
        <v>11052</v>
      </c>
      <c r="G15" s="13">
        <f>E15+'28'!G15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E16+'28'!F16</f>
        <v>744</v>
      </c>
      <c r="G16" s="13">
        <f>E16+'28'!G16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E17+'28'!F17</f>
        <v>10300</v>
      </c>
      <c r="G17" s="13">
        <f>E17+'28'!G17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E18+'28'!F18</f>
        <v>8518</v>
      </c>
      <c r="G18" s="13">
        <f>E18+'28'!G18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E19+'28'!F19</f>
        <v>273</v>
      </c>
      <c r="G19" s="13">
        <f>E19+'28'!G19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E24+'28'!F24</f>
        <v>23659</v>
      </c>
      <c r="G24" s="27">
        <f>E24+'28'!G24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E26+'28'!F26</f>
        <v>1794</v>
      </c>
      <c r="G26" s="33">
        <f>E26+'28'!G26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0</v>
      </c>
      <c r="F30" s="32">
        <f>E30+'28'!F30</f>
        <v>293.45</v>
      </c>
      <c r="G30" s="33">
        <f>E30+'28'!G30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E31+'28'!F31</f>
        <v>292.85000000000002</v>
      </c>
      <c r="G31" s="13">
        <f>E31+'28'!G31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E32+'28'!F32</f>
        <v>318</v>
      </c>
      <c r="G32" s="13">
        <f>E32+'28'!G32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E35+'28'!F35</f>
        <v>112</v>
      </c>
      <c r="G35" s="33">
        <f>E35+'28'!G35</f>
        <v>3919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E36+'28'!F36</f>
        <v>56</v>
      </c>
      <c r="G36" s="13">
        <f>E36+'28'!G36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E37+'28'!F37</f>
        <v>0</v>
      </c>
      <c r="G37" s="48">
        <f>E37+'28'!G37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'29'!E6+1</f>
        <v>46295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0</v>
      </c>
      <c r="F7" s="12">
        <f>E7+'29'!F7</f>
        <v>2410700</v>
      </c>
      <c r="G7" s="13">
        <f>E7+'29'!G7</f>
        <v>27431116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0</v>
      </c>
      <c r="F8" s="12">
        <f>E8+'29'!F8</f>
        <v>259198</v>
      </c>
      <c r="G8" s="13">
        <f>E8+'29'!G8</f>
        <v>2974691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0</v>
      </c>
      <c r="F9" s="12">
        <f>E9+'29'!F9</f>
        <v>2151502</v>
      </c>
      <c r="G9" s="13">
        <f>E9+'29'!G9</f>
        <v>24456425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 t="e">
        <f>E8/E7*100</f>
        <v>#DIV/0!</v>
      </c>
      <c r="F10" s="15">
        <f>F8/F7*100</f>
        <v>10.751980752478534</v>
      </c>
      <c r="G10" s="16">
        <f>G8/G7*100</f>
        <v>10.844221576694144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 t="e">
        <f>E7/E12/1000</f>
        <v>#DIV/0!</v>
      </c>
      <c r="F11" s="15">
        <f>F7/F12/1000</f>
        <v>7.0180494905385729</v>
      </c>
      <c r="G11" s="16">
        <f>G7/G12/1000</f>
        <v>6.8660869652279262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f>E12+'29'!F12</f>
        <v>343.5</v>
      </c>
      <c r="G12" s="13">
        <f>E12+'29'!G12</f>
        <v>3995.16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 t="e">
        <f>E11/10*100</f>
        <v>#DIV/0!</v>
      </c>
      <c r="F13" s="15">
        <f>F11/10*100</f>
        <v>70.180494905385729</v>
      </c>
      <c r="G13" s="16">
        <f>G11/10*100</f>
        <v>68.66086965227926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0</v>
      </c>
      <c r="F14" s="12">
        <f>E14+'29'!F14</f>
        <v>11522</v>
      </c>
      <c r="G14" s="13">
        <f>E14+'29'!G14</f>
        <v>127720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0</v>
      </c>
      <c r="F15" s="12">
        <f>E15+'29'!F15</f>
        <v>11052</v>
      </c>
      <c r="G15" s="13">
        <f>E15+'29'!G15</f>
        <v>123729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E16+'29'!F16</f>
        <v>744</v>
      </c>
      <c r="G16" s="13">
        <f>E16+'29'!G16</f>
        <v>8232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0</v>
      </c>
      <c r="F17" s="12">
        <f>E17+'29'!F17</f>
        <v>10300</v>
      </c>
      <c r="G17" s="13">
        <f>E17+'29'!G17</f>
        <v>114592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0</v>
      </c>
      <c r="F18" s="12">
        <f>E18+'29'!F18</f>
        <v>8518</v>
      </c>
      <c r="G18" s="13">
        <f>E18+'29'!G18</f>
        <v>91647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E19+'29'!F19</f>
        <v>273</v>
      </c>
      <c r="G19" s="13">
        <f>E19+'29'!G19</f>
        <v>2971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 t="e">
        <f>E17*1000/E7</f>
        <v>#DIV/0!</v>
      </c>
      <c r="F20" s="15">
        <f>F17*1000/F7</f>
        <v>4.2726179118098475</v>
      </c>
      <c r="G20" s="16">
        <f>G17*1000/G7</f>
        <v>4.1774457882063567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 t="e">
        <f>E26*1000/E7</f>
        <v>#DIV/0!</v>
      </c>
      <c r="F21" s="19">
        <f>F26*1000/F7</f>
        <v>0.74418218774629774</v>
      </c>
      <c r="G21" s="20">
        <f>G26*1000/G7</f>
        <v>0.82442872539345469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 t="e">
        <f>((E17*(803-130)+E31*(30))*1000)/E7</f>
        <v>#DIV/0!</v>
      </c>
      <c r="F22" s="21">
        <f t="shared" ref="F22:G22" si="0">((F17*(803-130)+F31*(30))*1000)/F7</f>
        <v>2879.1162317998919</v>
      </c>
      <c r="G22" s="21">
        <f t="shared" si="0"/>
        <v>2814.2523074890573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 t="e">
        <f>(E15*(803-130))*1000/(E7*0.78)</f>
        <v>#DIV/0!</v>
      </c>
      <c r="F23" s="21">
        <f t="shared" ref="F23:G23" si="1">(F15*(803-130))*1000/(F7*0.78)</f>
        <v>3955.6528426151358</v>
      </c>
      <c r="G23" s="21">
        <f t="shared" si="1"/>
        <v>3891.7818447769032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E24+'29'!F24</f>
        <v>23659</v>
      </c>
      <c r="G24" s="27">
        <f>E24+'29'!G24</f>
        <v>25127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f>E26+'29'!F26</f>
        <v>1794</v>
      </c>
      <c r="G26" s="33">
        <f>E26+'29'!G26</f>
        <v>22615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0</v>
      </c>
      <c r="F30" s="32">
        <f>E30+'29'!F30</f>
        <v>293.45</v>
      </c>
      <c r="G30" s="33">
        <f>E30+'29'!G30</f>
        <v>2577.4499999999998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0</v>
      </c>
      <c r="F31" s="12">
        <f>E31+'29'!F31</f>
        <v>292.85000000000002</v>
      </c>
      <c r="G31" s="13">
        <f>E31+'29'!G31</f>
        <v>2588.85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0</v>
      </c>
      <c r="F32" s="12">
        <f>E32+'29'!F32</f>
        <v>318</v>
      </c>
      <c r="G32" s="13">
        <f>E32+'29'!G32</f>
        <v>3422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E35+'29'!F35</f>
        <v>112</v>
      </c>
      <c r="G35" s="33">
        <f>E35+'29'!G35</f>
        <v>3919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E36+'29'!F36</f>
        <v>56</v>
      </c>
      <c r="G36" s="13">
        <f>E36+'29'!G36</f>
        <v>425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E37+'29'!F37</f>
        <v>0</v>
      </c>
      <c r="G37" s="48">
        <f>E37+'29'!G37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'0'!Print_Area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shishupal_2</dc:creator>
  <cp:lastModifiedBy>POWER PLANT</cp:lastModifiedBy>
  <cp:lastPrinted>2018-03-31T06:53:00Z</cp:lastPrinted>
  <dcterms:created xsi:type="dcterms:W3CDTF">2014-07-10T19:27:00Z</dcterms:created>
  <dcterms:modified xsi:type="dcterms:W3CDTF">2026-09-21T07:13:49Z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4D0260AB3DDA40C18C57D4897C40BC09</vt:lpwstr>
  </property>
  <property fmtid="{D5CDD505-2E9C-101B-9397-08002B2CF9AE}" pid="3" name="KSOProductBuildVer">
    <vt:lpwstr>1033-11.2.0.11156</vt:lpwstr>
  </property>
</Properties>
</file>